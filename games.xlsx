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defaultThemeVersion="166925"/>
  <mc:AlternateContent xmlns:mc="http://schemas.openxmlformats.org/markup-compatibility/2006">
    <mc:Choice Requires="x15">
      <x15ac:absPath xmlns:x15ac="http://schemas.microsoft.com/office/spreadsheetml/2010/11/ac" url="C:\dev\neo-geo-game-mag\"/>
    </mc:Choice>
  </mc:AlternateContent>
  <xr:revisionPtr revIDLastSave="0" documentId="13_ncr:1_{3C215480-7438-40E8-8079-DA7143415552}" xr6:coauthVersionLast="47" xr6:coauthVersionMax="47" xr10:uidLastSave="{00000000-0000-0000-0000-000000000000}"/>
  <bookViews>
    <workbookView xWindow="-120" yWindow="-120" windowWidth="57840" windowHeight="31200" tabRatio="744" xr2:uid="{D6FBCD06-945D-4AEF-A68C-18F5CA8765D7}"/>
  </bookViews>
  <sheets>
    <sheet name="Games-test" sheetId="15" r:id="rId1"/>
    <sheet name="Games" sheetId="1" r:id="rId2"/>
    <sheet name="neo-geo.com" sheetId="19" r:id="rId3"/>
    <sheet name="PivotTable" sheetId="17" r:id="rId4"/>
    <sheet name="hfsdb" sheetId="16" r:id="rId5"/>
    <sheet name="IGDB" sheetId="14" r:id="rId6"/>
    <sheet name="games to add" sheetId="13" r:id="rId7"/>
    <sheet name="FuzzyLookup_AddIn_Undo_Sheet" sheetId="11" state="hidden" r:id="rId8"/>
    <sheet name="credits" sheetId="2" r:id="rId9"/>
    <sheet name="hbmame" sheetId="18" r:id="rId10"/>
    <sheet name="MAME.xml (cleaned)" sheetId="4" r:id="rId11"/>
    <sheet name="MAME.xml" sheetId="3" r:id="rId12"/>
  </sheets>
  <definedNames>
    <definedName name="_xlnm._FilterDatabase" localSheetId="9" hidden="1">hbmame!$A$1:$G$196</definedName>
    <definedName name="_xlnm._FilterDatabase" localSheetId="4" hidden="1">hfsdb!$A$1:$O$189</definedName>
    <definedName name="_xlnm._FilterDatabase" localSheetId="11" hidden="1">MAME.xml!$A$1:$AS$3386</definedName>
    <definedName name="_xlnm._FilterDatabase" localSheetId="10" hidden="1">'MAME.xml (cleaned)'!$A$1:$M$281</definedName>
    <definedName name="ExternalData_1" localSheetId="7" hidden="1">FuzzyLookup_AddIn_Undo_Sheet!$A$1:$W$189</definedName>
    <definedName name="ExternalData_1" localSheetId="4" hidden="1">hfsdb!$B$1:$N$189</definedName>
  </definedNames>
  <calcPr calcId="191029"/>
  <pivotCaches>
    <pivotCache cacheId="0" r:id="rId13"/>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2" i="15" l="1"/>
  <c r="R11" i="15"/>
  <c r="R10" i="15"/>
  <c r="R9" i="15"/>
  <c r="R8" i="15"/>
  <c r="R7" i="15"/>
  <c r="R2" i="15"/>
  <c r="R6" i="15"/>
  <c r="K281" i="4"/>
  <c r="R3" i="15"/>
  <c r="R4" i="15"/>
  <c r="R5" i="15"/>
  <c r="M134" i="4"/>
  <c r="M133" i="4"/>
  <c r="M278" i="4"/>
  <c r="M277" i="4"/>
  <c r="M276" i="4"/>
  <c r="M275" i="4"/>
  <c r="M274" i="4"/>
  <c r="M273" i="4"/>
  <c r="M272" i="4"/>
  <c r="M271" i="4"/>
  <c r="M280" i="4"/>
  <c r="M279" i="4"/>
  <c r="M270" i="4"/>
  <c r="M269" i="4"/>
  <c r="M268" i="4"/>
  <c r="M265" i="4"/>
  <c r="M267" i="4"/>
  <c r="M266" i="4"/>
  <c r="M262" i="4"/>
  <c r="M261" i="4"/>
  <c r="M260" i="4"/>
  <c r="M259" i="4"/>
  <c r="M258" i="4"/>
  <c r="M257" i="4"/>
  <c r="M264" i="4"/>
  <c r="M263" i="4"/>
  <c r="M256" i="4"/>
  <c r="M255" i="4"/>
  <c r="M254" i="4"/>
  <c r="M253" i="4"/>
  <c r="M252" i="4"/>
  <c r="M249" i="4"/>
  <c r="M248" i="4"/>
  <c r="M251" i="4"/>
  <c r="M246" i="4"/>
  <c r="M250" i="4"/>
  <c r="M244" i="4"/>
  <c r="M243" i="4"/>
  <c r="M242" i="4"/>
  <c r="M241" i="4"/>
  <c r="M240" i="4"/>
  <c r="M239" i="4"/>
  <c r="M238" i="4"/>
  <c r="M247" i="4"/>
  <c r="M245" i="4"/>
  <c r="M237" i="4"/>
  <c r="M236" i="4"/>
  <c r="M233" i="4"/>
  <c r="M235" i="4"/>
  <c r="M234" i="4"/>
  <c r="M232" i="4"/>
  <c r="M229" i="4"/>
  <c r="M231" i="4"/>
  <c r="M227" i="4"/>
  <c r="M226" i="4"/>
  <c r="M225" i="4"/>
  <c r="M230" i="4"/>
  <c r="M228" i="4"/>
  <c r="M224" i="4"/>
  <c r="M223" i="4"/>
  <c r="M222" i="4"/>
  <c r="M221" i="4"/>
  <c r="M220" i="4"/>
  <c r="M219" i="4"/>
  <c r="M218" i="4"/>
  <c r="M217" i="4"/>
  <c r="M216" i="4"/>
  <c r="M215" i="4"/>
  <c r="M214" i="4"/>
  <c r="M213" i="4"/>
  <c r="M212" i="4"/>
  <c r="M211" i="4"/>
  <c r="M208" i="4"/>
  <c r="M210" i="4"/>
  <c r="M209" i="4"/>
  <c r="M207" i="4"/>
  <c r="M206" i="4"/>
  <c r="M205" i="4"/>
  <c r="M204" i="4"/>
  <c r="M203" i="4"/>
  <c r="M202" i="4"/>
  <c r="M201" i="4"/>
  <c r="M200" i="4"/>
  <c r="M199" i="4"/>
  <c r="M198" i="4"/>
  <c r="M197" i="4"/>
  <c r="M196" i="4"/>
  <c r="M195" i="4"/>
  <c r="M192" i="4"/>
  <c r="M194" i="4"/>
  <c r="M193" i="4"/>
  <c r="M191" i="4"/>
  <c r="M190" i="4"/>
  <c r="M187" i="4"/>
  <c r="M186" i="4"/>
  <c r="M185" i="4"/>
  <c r="M184" i="4"/>
  <c r="M183" i="4"/>
  <c r="M182" i="4"/>
  <c r="M181" i="4"/>
  <c r="M189" i="4"/>
  <c r="M188" i="4"/>
  <c r="M178" i="4"/>
  <c r="M180" i="4"/>
  <c r="M179" i="4"/>
  <c r="M175" i="4"/>
  <c r="M174" i="4"/>
  <c r="M173" i="4"/>
  <c r="M177" i="4"/>
  <c r="M176" i="4"/>
  <c r="M170" i="4"/>
  <c r="M169" i="4"/>
  <c r="M168" i="4"/>
  <c r="M167" i="4"/>
  <c r="M166" i="4"/>
  <c r="M165" i="4"/>
  <c r="M172" i="4"/>
  <c r="M171" i="4"/>
  <c r="M162" i="4"/>
  <c r="M161" i="4"/>
  <c r="M160" i="4"/>
  <c r="M164" i="4"/>
  <c r="M163" i="4"/>
  <c r="M159" i="4"/>
  <c r="M158" i="4"/>
  <c r="M157" i="4"/>
  <c r="M156" i="4"/>
  <c r="M155" i="4"/>
  <c r="M154" i="4"/>
  <c r="M153" i="4"/>
  <c r="M150" i="4"/>
  <c r="M149" i="4"/>
  <c r="M151" i="4"/>
  <c r="M152" i="4"/>
  <c r="M148" i="4"/>
  <c r="M145" i="4"/>
  <c r="M144" i="4"/>
  <c r="M143" i="4"/>
  <c r="M147" i="4"/>
  <c r="M146" i="4"/>
  <c r="M140" i="4"/>
  <c r="M139" i="4"/>
  <c r="M142" i="4"/>
  <c r="M141" i="4"/>
  <c r="M136" i="4"/>
  <c r="M135" i="4"/>
  <c r="M138" i="4"/>
  <c r="M137"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M2" i="4"/>
  <c r="R22" i="1"/>
  <c r="R230" i="1"/>
  <c r="K134" i="4"/>
  <c r="K133" i="4"/>
  <c r="R206" i="1"/>
  <c r="R6" i="1"/>
  <c r="R7" i="1"/>
  <c r="R8" i="1"/>
  <c r="R9" i="1"/>
  <c r="R10" i="1"/>
  <c r="R11" i="1"/>
  <c r="R12" i="1"/>
  <c r="R13" i="1"/>
  <c r="R14" i="1"/>
  <c r="R15" i="1"/>
  <c r="R16" i="1"/>
  <c r="R17" i="1"/>
  <c r="R18" i="1"/>
  <c r="R19" i="1"/>
  <c r="R21" i="1"/>
  <c r="R20" i="1"/>
  <c r="R23" i="1"/>
  <c r="R24" i="1"/>
  <c r="R25" i="1"/>
  <c r="R26" i="1"/>
  <c r="R27" i="1"/>
  <c r="R28" i="1"/>
  <c r="R29" i="1"/>
  <c r="R30" i="1"/>
  <c r="R31" i="1"/>
  <c r="R32" i="1"/>
  <c r="R33" i="1"/>
  <c r="R34" i="1"/>
  <c r="R35" i="1"/>
  <c r="R36" i="1"/>
  <c r="R37" i="1"/>
  <c r="R38" i="1"/>
  <c r="R40" i="1"/>
  <c r="R41" i="1"/>
  <c r="R42" i="1"/>
  <c r="R43" i="1"/>
  <c r="R44" i="1"/>
  <c r="R45" i="1"/>
  <c r="R46" i="1"/>
  <c r="R47" i="1"/>
  <c r="R48" i="1"/>
  <c r="R49" i="1"/>
  <c r="R51" i="1"/>
  <c r="R50" i="1"/>
  <c r="R52" i="1"/>
  <c r="R53" i="1"/>
  <c r="R54" i="1"/>
  <c r="R55"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133" i="1"/>
  <c r="R95" i="1"/>
  <c r="R96" i="1"/>
  <c r="R98" i="1"/>
  <c r="R99" i="1"/>
  <c r="R100" i="1"/>
  <c r="R97"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4" i="1"/>
  <c r="R135" i="1"/>
  <c r="R136" i="1"/>
  <c r="R137"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1" i="1"/>
  <c r="R192" i="1"/>
  <c r="R193" i="1"/>
  <c r="R194" i="1"/>
  <c r="R195" i="1"/>
  <c r="R196" i="1"/>
  <c r="R197" i="1"/>
  <c r="R198" i="1"/>
  <c r="R199" i="1"/>
  <c r="R200" i="1"/>
  <c r="R201" i="1"/>
  <c r="R202" i="1"/>
  <c r="R203" i="1"/>
  <c r="R204" i="1"/>
  <c r="R205" i="1"/>
  <c r="R207" i="1"/>
  <c r="R208" i="1"/>
  <c r="R209" i="1"/>
  <c r="R210" i="1"/>
  <c r="R211" i="1"/>
  <c r="R212" i="1"/>
  <c r="R213" i="1"/>
  <c r="R214" i="1"/>
  <c r="R215" i="1"/>
  <c r="R216" i="1"/>
  <c r="R217" i="1"/>
  <c r="R218" i="1"/>
  <c r="R219" i="1"/>
  <c r="R220" i="1"/>
  <c r="R221" i="1"/>
  <c r="R222" i="1"/>
  <c r="R223" i="1"/>
  <c r="R224" i="1"/>
  <c r="R225" i="1"/>
  <c r="R226" i="1"/>
  <c r="R227" i="1"/>
  <c r="R228" i="1"/>
  <c r="R231" i="1"/>
  <c r="R232" i="1"/>
  <c r="R233" i="1"/>
  <c r="R5" i="1"/>
  <c r="M137" i="19"/>
  <c r="N137" i="19"/>
  <c r="M138" i="19"/>
  <c r="N138" i="19"/>
  <c r="M139" i="19"/>
  <c r="N139" i="19"/>
  <c r="M140" i="19"/>
  <c r="N140" i="19"/>
  <c r="M141" i="19"/>
  <c r="N141" i="19"/>
  <c r="M142" i="19"/>
  <c r="N142" i="19"/>
  <c r="M143" i="19"/>
  <c r="N143" i="19"/>
  <c r="M144" i="19"/>
  <c r="N144" i="19"/>
  <c r="M145" i="19"/>
  <c r="N145" i="19"/>
  <c r="M146" i="19"/>
  <c r="N146" i="19"/>
  <c r="M147" i="19"/>
  <c r="N147" i="19"/>
  <c r="M148" i="19"/>
  <c r="N148" i="19"/>
  <c r="M149" i="19"/>
  <c r="N149" i="19"/>
  <c r="M76" i="19"/>
  <c r="N76" i="19"/>
  <c r="M77" i="19"/>
  <c r="N77" i="19"/>
  <c r="M78" i="19"/>
  <c r="N78" i="19"/>
  <c r="M79" i="19"/>
  <c r="N79" i="19"/>
  <c r="M80" i="19"/>
  <c r="N80" i="19"/>
  <c r="M81" i="19"/>
  <c r="N81" i="19"/>
  <c r="M82" i="19"/>
  <c r="N82" i="19"/>
  <c r="M83" i="19"/>
  <c r="N83" i="19"/>
  <c r="M84" i="19"/>
  <c r="N84" i="19"/>
  <c r="M85" i="19"/>
  <c r="N85" i="19"/>
  <c r="M86" i="19"/>
  <c r="N86" i="19"/>
  <c r="M87" i="19"/>
  <c r="N87" i="19"/>
  <c r="M88" i="19"/>
  <c r="N88" i="19"/>
  <c r="M89" i="19"/>
  <c r="N89" i="19"/>
  <c r="M90" i="19"/>
  <c r="N90" i="19"/>
  <c r="M91" i="19"/>
  <c r="N91" i="19"/>
  <c r="M92" i="19"/>
  <c r="N92" i="19"/>
  <c r="M93" i="19"/>
  <c r="N93" i="19"/>
  <c r="M94" i="19"/>
  <c r="N94" i="19"/>
  <c r="M95" i="19"/>
  <c r="N95" i="19"/>
  <c r="M96" i="19"/>
  <c r="N96" i="19"/>
  <c r="M97" i="19"/>
  <c r="N97" i="19"/>
  <c r="M98" i="19"/>
  <c r="N98" i="19"/>
  <c r="M99" i="19"/>
  <c r="N99" i="19"/>
  <c r="M100" i="19"/>
  <c r="N100" i="19"/>
  <c r="M101" i="19"/>
  <c r="N101" i="19"/>
  <c r="M102" i="19"/>
  <c r="N102" i="19"/>
  <c r="M103" i="19"/>
  <c r="N103" i="19"/>
  <c r="M104" i="19"/>
  <c r="N104" i="19"/>
  <c r="M105" i="19"/>
  <c r="N105" i="19"/>
  <c r="M106" i="19"/>
  <c r="N106" i="19"/>
  <c r="M107" i="19"/>
  <c r="N107" i="19"/>
  <c r="M108" i="19"/>
  <c r="N108" i="19"/>
  <c r="M109" i="19"/>
  <c r="N109" i="19"/>
  <c r="M110" i="19"/>
  <c r="N110" i="19"/>
  <c r="M111" i="19"/>
  <c r="N111" i="19"/>
  <c r="M112" i="19"/>
  <c r="N112" i="19"/>
  <c r="M113" i="19"/>
  <c r="N113" i="19"/>
  <c r="M114" i="19"/>
  <c r="N114" i="19"/>
  <c r="M115" i="19"/>
  <c r="N115" i="19"/>
  <c r="M116" i="19"/>
  <c r="N116" i="19"/>
  <c r="M117" i="19"/>
  <c r="N117" i="19"/>
  <c r="M118" i="19"/>
  <c r="N118" i="19"/>
  <c r="M119" i="19"/>
  <c r="N119" i="19"/>
  <c r="M120" i="19"/>
  <c r="N120" i="19"/>
  <c r="M121" i="19"/>
  <c r="N121" i="19"/>
  <c r="M122" i="19"/>
  <c r="N122" i="19"/>
  <c r="M123" i="19"/>
  <c r="N123" i="19"/>
  <c r="M124" i="19"/>
  <c r="N124" i="19"/>
  <c r="M125" i="19"/>
  <c r="N125" i="19"/>
  <c r="M126" i="19"/>
  <c r="N126" i="19"/>
  <c r="M127" i="19"/>
  <c r="N127" i="19"/>
  <c r="M128" i="19"/>
  <c r="N128" i="19"/>
  <c r="M129" i="19"/>
  <c r="N129" i="19"/>
  <c r="M130" i="19"/>
  <c r="N130" i="19"/>
  <c r="M131" i="19"/>
  <c r="N131" i="19"/>
  <c r="M132" i="19"/>
  <c r="N132" i="19"/>
  <c r="M133" i="19"/>
  <c r="N133" i="19"/>
  <c r="M134" i="19"/>
  <c r="N134" i="19"/>
  <c r="M135" i="19"/>
  <c r="N135" i="19"/>
  <c r="M136" i="19"/>
  <c r="N136" i="19"/>
  <c r="M75" i="19"/>
  <c r="N75" i="19"/>
  <c r="M54" i="19"/>
  <c r="N54" i="19"/>
  <c r="M55" i="19"/>
  <c r="N55" i="19"/>
  <c r="M56" i="19"/>
  <c r="N56" i="19"/>
  <c r="M57" i="19"/>
  <c r="N57" i="19"/>
  <c r="M58" i="19"/>
  <c r="N58" i="19"/>
  <c r="M59" i="19"/>
  <c r="N59" i="19"/>
  <c r="M60" i="19"/>
  <c r="N60" i="19"/>
  <c r="M61" i="19"/>
  <c r="N61" i="19"/>
  <c r="M62" i="19"/>
  <c r="N62" i="19"/>
  <c r="M63" i="19"/>
  <c r="N63" i="19"/>
  <c r="M64" i="19"/>
  <c r="N64" i="19"/>
  <c r="M65" i="19"/>
  <c r="N65" i="19"/>
  <c r="M66" i="19"/>
  <c r="N66" i="19"/>
  <c r="M67" i="19"/>
  <c r="N67" i="19"/>
  <c r="M68" i="19"/>
  <c r="N68" i="19"/>
  <c r="M69" i="19"/>
  <c r="N69" i="19"/>
  <c r="M70" i="19"/>
  <c r="N70" i="19"/>
  <c r="M71" i="19"/>
  <c r="N71" i="19"/>
  <c r="M72" i="19"/>
  <c r="N72" i="19"/>
  <c r="M73" i="19"/>
  <c r="N73" i="19"/>
  <c r="M74" i="19"/>
  <c r="N74" i="19"/>
  <c r="N53" i="19"/>
  <c r="M53" i="19"/>
  <c r="M24" i="19"/>
  <c r="N24" i="19"/>
  <c r="M25" i="19"/>
  <c r="N25" i="19"/>
  <c r="M26" i="19"/>
  <c r="N26" i="19"/>
  <c r="M27" i="19"/>
  <c r="N27" i="19"/>
  <c r="M28" i="19"/>
  <c r="N28" i="19"/>
  <c r="M29" i="19"/>
  <c r="N29" i="19"/>
  <c r="M30" i="19"/>
  <c r="N30" i="19"/>
  <c r="M31" i="19"/>
  <c r="N31" i="19"/>
  <c r="M32" i="19"/>
  <c r="N32" i="19"/>
  <c r="M33" i="19"/>
  <c r="N33" i="19"/>
  <c r="M34" i="19"/>
  <c r="N34" i="19"/>
  <c r="M35" i="19"/>
  <c r="N35" i="19"/>
  <c r="M36" i="19"/>
  <c r="N36" i="19"/>
  <c r="M37" i="19"/>
  <c r="N37" i="19"/>
  <c r="M38" i="19"/>
  <c r="N38" i="19"/>
  <c r="M39" i="19"/>
  <c r="N39" i="19"/>
  <c r="M40" i="19"/>
  <c r="N40" i="19"/>
  <c r="M41" i="19"/>
  <c r="N41" i="19"/>
  <c r="M42" i="19"/>
  <c r="N42" i="19"/>
  <c r="M43" i="19"/>
  <c r="N43" i="19"/>
  <c r="M44" i="19"/>
  <c r="N44" i="19"/>
  <c r="M45" i="19"/>
  <c r="N45" i="19"/>
  <c r="M46" i="19"/>
  <c r="N46" i="19"/>
  <c r="M47" i="19"/>
  <c r="N47" i="19"/>
  <c r="M48" i="19"/>
  <c r="N48" i="19"/>
  <c r="M49" i="19"/>
  <c r="N49" i="19"/>
  <c r="M50" i="19"/>
  <c r="N50" i="19"/>
  <c r="M51" i="19"/>
  <c r="N51" i="19"/>
  <c r="M52" i="19"/>
  <c r="N52" i="19"/>
  <c r="M3" i="19"/>
  <c r="M4" i="19"/>
  <c r="M5" i="19"/>
  <c r="M6" i="19"/>
  <c r="M7" i="19"/>
  <c r="M8" i="19"/>
  <c r="M9" i="19"/>
  <c r="M10" i="19"/>
  <c r="M11" i="19"/>
  <c r="M12" i="19"/>
  <c r="M13" i="19"/>
  <c r="M14" i="19"/>
  <c r="M15" i="19"/>
  <c r="M16" i="19"/>
  <c r="M17" i="19"/>
  <c r="M18" i="19"/>
  <c r="M19" i="19"/>
  <c r="M20" i="19"/>
  <c r="M21" i="19"/>
  <c r="M22" i="19"/>
  <c r="M23" i="19"/>
  <c r="M2" i="19"/>
  <c r="N3" i="19"/>
  <c r="N4" i="19"/>
  <c r="N5" i="19"/>
  <c r="N6" i="19"/>
  <c r="N7" i="19"/>
  <c r="N8" i="19"/>
  <c r="N9" i="19"/>
  <c r="N10" i="19"/>
  <c r="N11" i="19"/>
  <c r="N12" i="19"/>
  <c r="N13" i="19"/>
  <c r="N14" i="19"/>
  <c r="N15" i="19"/>
  <c r="N16" i="19"/>
  <c r="N17" i="19"/>
  <c r="N18" i="19"/>
  <c r="N19" i="19"/>
  <c r="N20" i="19"/>
  <c r="N21" i="19"/>
  <c r="N22" i="19"/>
  <c r="N23" i="19"/>
  <c r="N2" i="19"/>
  <c r="K151" i="4"/>
  <c r="L163" i="14" l="1"/>
  <c r="M116" i="14"/>
  <c r="L97" i="14"/>
  <c r="M41" i="14"/>
  <c r="M67" i="14"/>
  <c r="M64" i="14"/>
  <c r="M54" i="14"/>
  <c r="M49" i="14"/>
  <c r="L31" i="14"/>
  <c r="M53" i="14"/>
  <c r="M17" i="14"/>
  <c r="M6" i="14"/>
  <c r="M2" i="14"/>
  <c r="M3" i="14"/>
  <c r="M4" i="14"/>
  <c r="M5" i="14"/>
  <c r="M7" i="14"/>
  <c r="M8" i="14"/>
  <c r="M9" i="14"/>
  <c r="M10" i="14"/>
  <c r="M11" i="14"/>
  <c r="M12" i="14"/>
  <c r="M13" i="14"/>
  <c r="M14" i="14"/>
  <c r="M15" i="14"/>
  <c r="M16" i="14"/>
  <c r="M18" i="14"/>
  <c r="M19" i="14"/>
  <c r="M20" i="14"/>
  <c r="M21" i="14"/>
  <c r="M22" i="14"/>
  <c r="M23" i="14"/>
  <c r="M24" i="14"/>
  <c r="M25" i="14"/>
  <c r="M26" i="14"/>
  <c r="M27" i="14"/>
  <c r="M28" i="14"/>
  <c r="M29" i="14"/>
  <c r="M32" i="14"/>
  <c r="M33" i="14"/>
  <c r="M35" i="14"/>
  <c r="M36" i="14"/>
  <c r="M37" i="14"/>
  <c r="M38" i="14"/>
  <c r="M39" i="14"/>
  <c r="M40" i="14"/>
  <c r="M42" i="14"/>
  <c r="M43" i="14"/>
  <c r="M44" i="14"/>
  <c r="M45" i="14"/>
  <c r="M46" i="14"/>
  <c r="M47" i="14"/>
  <c r="M48" i="14"/>
  <c r="M50" i="14"/>
  <c r="M51" i="14"/>
  <c r="M56" i="14"/>
  <c r="M57" i="14"/>
  <c r="M58" i="14"/>
  <c r="M59" i="14"/>
  <c r="M60" i="14"/>
  <c r="M61" i="14"/>
  <c r="M62" i="14"/>
  <c r="M63" i="14"/>
  <c r="M65" i="14"/>
  <c r="M66" i="14"/>
  <c r="M68" i="14"/>
  <c r="M70" i="14"/>
  <c r="M71" i="14"/>
  <c r="M72" i="14"/>
  <c r="M73" i="14"/>
  <c r="M74" i="14"/>
  <c r="M75" i="14"/>
  <c r="M76" i="14"/>
  <c r="M77" i="14"/>
  <c r="M78" i="14"/>
  <c r="M79" i="14"/>
  <c r="M80" i="14"/>
  <c r="M81" i="14"/>
  <c r="M82" i="14"/>
  <c r="M83" i="14"/>
  <c r="M84" i="14"/>
  <c r="M85" i="14"/>
  <c r="M86" i="14"/>
  <c r="M87" i="14"/>
  <c r="M88" i="14"/>
  <c r="M90" i="14"/>
  <c r="M91" i="14"/>
  <c r="M92" i="14"/>
  <c r="M93" i="14"/>
  <c r="M94" i="14"/>
  <c r="M95" i="14"/>
  <c r="M96" i="14"/>
  <c r="M98" i="14"/>
  <c r="M99" i="14"/>
  <c r="M100" i="14"/>
  <c r="M101" i="14"/>
  <c r="M102" i="14"/>
  <c r="M103" i="14"/>
  <c r="M104" i="14"/>
  <c r="M106" i="14"/>
  <c r="M107" i="14"/>
  <c r="M108" i="14"/>
  <c r="M109" i="14"/>
  <c r="M110" i="14"/>
  <c r="M111" i="14"/>
  <c r="M112" i="14"/>
  <c r="M113" i="14"/>
  <c r="M114" i="14"/>
  <c r="M115" i="14"/>
  <c r="M119" i="14"/>
  <c r="M120" i="14"/>
  <c r="M121" i="14"/>
  <c r="M122" i="14"/>
  <c r="M123" i="14"/>
  <c r="M124" i="14"/>
  <c r="M125" i="14"/>
  <c r="M126" i="14"/>
  <c r="M127" i="14"/>
  <c r="M129" i="14"/>
  <c r="M130" i="14"/>
  <c r="M131" i="14"/>
  <c r="M132" i="14"/>
  <c r="M133" i="14"/>
  <c r="M134" i="14"/>
  <c r="M135" i="14"/>
  <c r="M136" i="14"/>
  <c r="M137" i="14"/>
  <c r="M138" i="14"/>
  <c r="M139" i="14"/>
  <c r="M140" i="14"/>
  <c r="M141" i="14"/>
  <c r="M142" i="14"/>
  <c r="M143" i="14"/>
  <c r="M144" i="14"/>
  <c r="M145" i="14"/>
  <c r="M146" i="14"/>
  <c r="M147" i="14"/>
  <c r="M148" i="14"/>
  <c r="M149" i="14"/>
  <c r="M150" i="14"/>
  <c r="M151" i="14"/>
  <c r="M152" i="14"/>
  <c r="M153" i="14"/>
  <c r="M154" i="14"/>
  <c r="M155" i="14"/>
  <c r="M156" i="14"/>
  <c r="M157" i="14"/>
  <c r="M158" i="14"/>
  <c r="M159" i="14"/>
  <c r="M160" i="14"/>
  <c r="M161" i="14"/>
  <c r="M162" i="14"/>
  <c r="M165" i="14"/>
  <c r="M166" i="14"/>
  <c r="M167" i="14"/>
  <c r="L3" i="14"/>
  <c r="L2" i="14"/>
  <c r="L4" i="14"/>
  <c r="L5" i="14"/>
  <c r="L7" i="14"/>
  <c r="L8" i="14"/>
  <c r="L9" i="14"/>
  <c r="L10" i="14"/>
  <c r="L11" i="14"/>
  <c r="L12" i="14"/>
  <c r="L13" i="14"/>
  <c r="L14" i="14"/>
  <c r="L15" i="14"/>
  <c r="L16" i="14"/>
  <c r="L17" i="14"/>
  <c r="L18" i="14"/>
  <c r="L19" i="14"/>
  <c r="L20" i="14"/>
  <c r="L21" i="14"/>
  <c r="L22" i="14"/>
  <c r="L23" i="14"/>
  <c r="L24" i="14"/>
  <c r="L25" i="14"/>
  <c r="L26" i="14"/>
  <c r="L27" i="14"/>
  <c r="L28" i="14"/>
  <c r="L29" i="14"/>
  <c r="L32" i="14"/>
  <c r="L33" i="14"/>
  <c r="L35" i="14"/>
  <c r="L36" i="14"/>
  <c r="L37" i="14"/>
  <c r="L38" i="14"/>
  <c r="L39" i="14"/>
  <c r="L40" i="14"/>
  <c r="L42" i="14"/>
  <c r="L43" i="14"/>
  <c r="L44" i="14"/>
  <c r="L45" i="14"/>
  <c r="L46" i="14"/>
  <c r="L47" i="14"/>
  <c r="L48" i="14"/>
  <c r="L49" i="14"/>
  <c r="L50" i="14"/>
  <c r="L51" i="14"/>
  <c r="L52" i="14"/>
  <c r="L56" i="14"/>
  <c r="L57" i="14"/>
  <c r="L58" i="14"/>
  <c r="L59" i="14"/>
  <c r="L60" i="14"/>
  <c r="L61" i="14"/>
  <c r="L62" i="14"/>
  <c r="L63" i="14"/>
  <c r="L64" i="14"/>
  <c r="L65" i="14"/>
  <c r="L66" i="14"/>
  <c r="L68" i="14"/>
  <c r="L69" i="14"/>
  <c r="L70" i="14"/>
  <c r="L71" i="14"/>
  <c r="L72" i="14"/>
  <c r="L73" i="14"/>
  <c r="L74" i="14"/>
  <c r="L75" i="14"/>
  <c r="L76" i="14"/>
  <c r="L77" i="14"/>
  <c r="L78" i="14"/>
  <c r="L79" i="14"/>
  <c r="L80" i="14"/>
  <c r="L81" i="14"/>
  <c r="L82" i="14"/>
  <c r="L83" i="14"/>
  <c r="L84" i="14"/>
  <c r="L85" i="14"/>
  <c r="L86" i="14"/>
  <c r="L87" i="14"/>
  <c r="L88" i="14"/>
  <c r="L90" i="14"/>
  <c r="L91" i="14"/>
  <c r="L92" i="14"/>
  <c r="L93" i="14"/>
  <c r="L94" i="14"/>
  <c r="L95" i="14"/>
  <c r="L96" i="14"/>
  <c r="L98" i="14"/>
  <c r="L99" i="14"/>
  <c r="L100" i="14"/>
  <c r="L101" i="14"/>
  <c r="L102" i="14"/>
  <c r="L103" i="14"/>
  <c r="L104" i="14"/>
  <c r="L105" i="14"/>
  <c r="L106" i="14"/>
  <c r="L107" i="14"/>
  <c r="L108" i="14"/>
  <c r="L109" i="14"/>
  <c r="L110" i="14"/>
  <c r="L111" i="14"/>
  <c r="L112" i="14"/>
  <c r="L113" i="14"/>
  <c r="L114" i="14"/>
  <c r="L115" i="14"/>
  <c r="L117" i="14"/>
  <c r="L118" i="14"/>
  <c r="L119" i="14"/>
  <c r="L120" i="14"/>
  <c r="L121" i="14"/>
  <c r="L122" i="14"/>
  <c r="L123" i="14"/>
  <c r="L124" i="14"/>
  <c r="L125" i="14"/>
  <c r="L126" i="14"/>
  <c r="L127" i="14"/>
  <c r="L128" i="14"/>
  <c r="L129" i="14"/>
  <c r="L130" i="14"/>
  <c r="L131" i="14"/>
  <c r="L132" i="14"/>
  <c r="L133" i="14"/>
  <c r="L134" i="14"/>
  <c r="L135" i="14"/>
  <c r="L136" i="14"/>
  <c r="L137" i="14"/>
  <c r="L138" i="14"/>
  <c r="L139" i="14"/>
  <c r="L140" i="14"/>
  <c r="L141" i="14"/>
  <c r="L142" i="14"/>
  <c r="L143" i="14"/>
  <c r="L144" i="14"/>
  <c r="L145" i="14"/>
  <c r="L146" i="14"/>
  <c r="L147" i="14"/>
  <c r="L148" i="14"/>
  <c r="L149" i="14"/>
  <c r="L150" i="14"/>
  <c r="L151" i="14"/>
  <c r="L152" i="14"/>
  <c r="L153" i="14"/>
  <c r="L154" i="14"/>
  <c r="L155" i="14"/>
  <c r="L156" i="14"/>
  <c r="L157" i="14"/>
  <c r="L158" i="14"/>
  <c r="L159" i="14"/>
  <c r="L160" i="14"/>
  <c r="L161" i="14"/>
  <c r="L162" i="14"/>
  <c r="L165" i="14"/>
  <c r="L166" i="14"/>
  <c r="L167" i="14"/>
  <c r="K2" i="14"/>
  <c r="K3" i="14"/>
  <c r="K4" i="14"/>
  <c r="K5" i="14"/>
  <c r="K6" i="14"/>
  <c r="K7" i="14"/>
  <c r="K8" i="14"/>
  <c r="K9" i="14"/>
  <c r="K10" i="14"/>
  <c r="K11" i="14"/>
  <c r="K12" i="14"/>
  <c r="K13" i="14"/>
  <c r="K14" i="14"/>
  <c r="K15" i="14"/>
  <c r="K16" i="14"/>
  <c r="K17" i="14"/>
  <c r="K18" i="14"/>
  <c r="K19" i="14"/>
  <c r="K20" i="14"/>
  <c r="K21" i="14"/>
  <c r="K22" i="14"/>
  <c r="K23" i="14"/>
  <c r="K24" i="14"/>
  <c r="K25" i="14"/>
  <c r="K26" i="14"/>
  <c r="K27" i="14"/>
  <c r="K28" i="14"/>
  <c r="K29" i="14"/>
  <c r="K30" i="14"/>
  <c r="K31" i="14"/>
  <c r="K32" i="14"/>
  <c r="K33" i="14"/>
  <c r="K34" i="14"/>
  <c r="K35" i="14"/>
  <c r="K36" i="14"/>
  <c r="K37" i="14"/>
  <c r="K38" i="14"/>
  <c r="K39" i="14"/>
  <c r="K40" i="14"/>
  <c r="K41" i="14"/>
  <c r="K42" i="14"/>
  <c r="K43" i="14"/>
  <c r="K44" i="14"/>
  <c r="K45" i="14"/>
  <c r="K46" i="14"/>
  <c r="K47" i="14"/>
  <c r="K48" i="14"/>
  <c r="K49" i="14"/>
  <c r="K50" i="14"/>
  <c r="K51" i="14"/>
  <c r="K52" i="14"/>
  <c r="K53" i="14"/>
  <c r="K54" i="14"/>
  <c r="K55" i="14"/>
  <c r="K56" i="14"/>
  <c r="K57" i="14"/>
  <c r="K58" i="14"/>
  <c r="K59" i="14"/>
  <c r="K60" i="14"/>
  <c r="K61" i="14"/>
  <c r="K62" i="14"/>
  <c r="K63" i="14"/>
  <c r="K64" i="14"/>
  <c r="K65" i="14"/>
  <c r="K66" i="14"/>
  <c r="K67" i="14"/>
  <c r="K68" i="14"/>
  <c r="K69" i="14"/>
  <c r="K70" i="14"/>
  <c r="K71" i="14"/>
  <c r="K72" i="14"/>
  <c r="K73" i="14"/>
  <c r="K74" i="14"/>
  <c r="K75" i="14"/>
  <c r="K76" i="14"/>
  <c r="K77" i="14"/>
  <c r="K78" i="14"/>
  <c r="K79" i="14"/>
  <c r="K80" i="14"/>
  <c r="K81" i="14"/>
  <c r="K82" i="14"/>
  <c r="K83" i="14"/>
  <c r="K84" i="14"/>
  <c r="K85" i="14"/>
  <c r="K86" i="14"/>
  <c r="K87" i="14"/>
  <c r="K88" i="14"/>
  <c r="K89" i="14"/>
  <c r="K90" i="14"/>
  <c r="K91" i="14"/>
  <c r="K92" i="14"/>
  <c r="K93" i="14"/>
  <c r="K94" i="14"/>
  <c r="K95" i="14"/>
  <c r="K96" i="14"/>
  <c r="K97" i="14"/>
  <c r="K98" i="14"/>
  <c r="K99" i="14"/>
  <c r="K100" i="14"/>
  <c r="K101" i="14"/>
  <c r="K102" i="14"/>
  <c r="K103" i="14"/>
  <c r="K104" i="14"/>
  <c r="K105" i="14"/>
  <c r="K106" i="14"/>
  <c r="K107" i="14"/>
  <c r="K108" i="14"/>
  <c r="K109" i="14"/>
  <c r="K110" i="14"/>
  <c r="K111" i="14"/>
  <c r="K112" i="14"/>
  <c r="K113" i="14"/>
  <c r="K114" i="14"/>
  <c r="K115" i="14"/>
  <c r="K116" i="14"/>
  <c r="K117" i="14"/>
  <c r="K118" i="14"/>
  <c r="K119" i="14"/>
  <c r="K120" i="14"/>
  <c r="K121" i="14"/>
  <c r="K122" i="14"/>
  <c r="K123" i="14"/>
  <c r="K124" i="14"/>
  <c r="K125" i="14"/>
  <c r="K126" i="14"/>
  <c r="K127" i="14"/>
  <c r="K128" i="14"/>
  <c r="K129" i="14"/>
  <c r="K130" i="14"/>
  <c r="K131" i="14"/>
  <c r="K132" i="14"/>
  <c r="K133" i="14"/>
  <c r="K134" i="14"/>
  <c r="K135" i="14"/>
  <c r="K136" i="14"/>
  <c r="K137" i="14"/>
  <c r="K138" i="14"/>
  <c r="K139" i="14"/>
  <c r="K140" i="14"/>
  <c r="K141" i="14"/>
  <c r="K142" i="14"/>
  <c r="K143" i="14"/>
  <c r="K144" i="14"/>
  <c r="K145" i="14"/>
  <c r="K146" i="14"/>
  <c r="K147" i="14"/>
  <c r="K148" i="14"/>
  <c r="K149" i="14"/>
  <c r="K150" i="14"/>
  <c r="K151" i="14"/>
  <c r="K152" i="14"/>
  <c r="K153" i="14"/>
  <c r="K154" i="14"/>
  <c r="K155" i="14"/>
  <c r="K156" i="14"/>
  <c r="K157" i="14"/>
  <c r="K158" i="14"/>
  <c r="K159" i="14"/>
  <c r="K160" i="14"/>
  <c r="K161" i="14"/>
  <c r="K162" i="14"/>
  <c r="K163" i="14"/>
  <c r="K164" i="14"/>
  <c r="K165" i="14"/>
  <c r="K166" i="14"/>
  <c r="K167" i="14"/>
  <c r="J2" i="14"/>
  <c r="J3" i="14"/>
  <c r="J4" i="14"/>
  <c r="J5" i="14"/>
  <c r="J6" i="14"/>
  <c r="J7" i="14"/>
  <c r="J8" i="14"/>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57" i="14"/>
  <c r="J58" i="14"/>
  <c r="J59" i="14"/>
  <c r="J60" i="14"/>
  <c r="J61" i="14"/>
  <c r="J62" i="14"/>
  <c r="J63" i="14"/>
  <c r="J64" i="14"/>
  <c r="J65" i="14"/>
  <c r="J66" i="14"/>
  <c r="J67" i="14"/>
  <c r="J68" i="14"/>
  <c r="J69" i="14"/>
  <c r="J70" i="14"/>
  <c r="J71" i="14"/>
  <c r="J72" i="14"/>
  <c r="J73" i="14"/>
  <c r="J74" i="14"/>
  <c r="J75" i="14"/>
  <c r="J76" i="14"/>
  <c r="J77" i="14"/>
  <c r="J78" i="14"/>
  <c r="J79" i="14"/>
  <c r="J80" i="14"/>
  <c r="J81" i="14"/>
  <c r="J82" i="14"/>
  <c r="J83" i="14"/>
  <c r="J84" i="14"/>
  <c r="J85" i="14"/>
  <c r="J86" i="14"/>
  <c r="J87" i="14"/>
  <c r="J88" i="14"/>
  <c r="J89" i="14"/>
  <c r="J90" i="14"/>
  <c r="J91" i="14"/>
  <c r="J92" i="14"/>
  <c r="J93" i="14"/>
  <c r="J94" i="14"/>
  <c r="J95" i="14"/>
  <c r="J96" i="14"/>
  <c r="J97" i="14"/>
  <c r="J98" i="14"/>
  <c r="J99" i="14"/>
  <c r="J100" i="14"/>
  <c r="J101" i="14"/>
  <c r="J102" i="14"/>
  <c r="J103" i="14"/>
  <c r="J104" i="14"/>
  <c r="J105" i="14"/>
  <c r="J106" i="14"/>
  <c r="J107" i="14"/>
  <c r="J108" i="14"/>
  <c r="J109" i="14"/>
  <c r="J110" i="14"/>
  <c r="J111" i="14"/>
  <c r="J112" i="14"/>
  <c r="J113" i="14"/>
  <c r="J114" i="14"/>
  <c r="J115" i="14"/>
  <c r="J116" i="14"/>
  <c r="J117" i="14"/>
  <c r="J118" i="14"/>
  <c r="J119" i="14"/>
  <c r="J120" i="14"/>
  <c r="J121" i="14"/>
  <c r="J122" i="14"/>
  <c r="J123" i="14"/>
  <c r="J124" i="14"/>
  <c r="J125" i="14"/>
  <c r="J126" i="14"/>
  <c r="J127" i="14"/>
  <c r="J128" i="14"/>
  <c r="J129" i="14"/>
  <c r="J130" i="14"/>
  <c r="J131" i="14"/>
  <c r="J132" i="14"/>
  <c r="J133" i="14"/>
  <c r="J134" i="14"/>
  <c r="J135" i="14"/>
  <c r="J136" i="14"/>
  <c r="J137" i="14"/>
  <c r="J138" i="14"/>
  <c r="J139" i="14"/>
  <c r="J140" i="14"/>
  <c r="J141" i="14"/>
  <c r="J142" i="14"/>
  <c r="J143" i="14"/>
  <c r="J144" i="14"/>
  <c r="J145" i="14"/>
  <c r="J146" i="14"/>
  <c r="J147" i="14"/>
  <c r="J148" i="14"/>
  <c r="J149" i="14"/>
  <c r="J150" i="14"/>
  <c r="J151" i="14"/>
  <c r="J152" i="14"/>
  <c r="J153" i="14"/>
  <c r="J154" i="14"/>
  <c r="J155" i="14"/>
  <c r="J156" i="14"/>
  <c r="J157" i="14"/>
  <c r="J158" i="14"/>
  <c r="J159" i="14"/>
  <c r="J160" i="14"/>
  <c r="J161" i="14"/>
  <c r="J162" i="14"/>
  <c r="J163" i="14"/>
  <c r="J164" i="14"/>
  <c r="J165" i="14"/>
  <c r="J166" i="14"/>
  <c r="J167" i="14"/>
  <c r="K278" i="4"/>
  <c r="O189" i="16"/>
  <c r="O188" i="16"/>
  <c r="O187" i="16"/>
  <c r="O186" i="16"/>
  <c r="O185" i="16"/>
  <c r="O184" i="16"/>
  <c r="O183" i="16"/>
  <c r="O182" i="16"/>
  <c r="O181" i="16"/>
  <c r="O180" i="16"/>
  <c r="O179" i="16"/>
  <c r="O178" i="16"/>
  <c r="O177" i="16"/>
  <c r="O176" i="16"/>
  <c r="O175" i="16"/>
  <c r="O174" i="16"/>
  <c r="O173" i="16"/>
  <c r="O172" i="16"/>
  <c r="O171" i="16"/>
  <c r="O170" i="16"/>
  <c r="O169" i="16"/>
  <c r="O168" i="16"/>
  <c r="O167" i="16"/>
  <c r="O166" i="16"/>
  <c r="O165" i="16"/>
  <c r="O164" i="16"/>
  <c r="O163" i="16"/>
  <c r="O162" i="16"/>
  <c r="O161" i="16"/>
  <c r="O160" i="16"/>
  <c r="O159" i="16"/>
  <c r="O158" i="16"/>
  <c r="O157" i="16"/>
  <c r="O156" i="16"/>
  <c r="O155" i="16"/>
  <c r="O154" i="16"/>
  <c r="O153" i="16"/>
  <c r="O152" i="16"/>
  <c r="O151" i="16"/>
  <c r="O150" i="16"/>
  <c r="O149" i="16"/>
  <c r="O148" i="16"/>
  <c r="O147" i="16"/>
  <c r="O146" i="16"/>
  <c r="O145" i="16"/>
  <c r="O144" i="16"/>
  <c r="O143" i="16"/>
  <c r="O142" i="16"/>
  <c r="O141" i="16"/>
  <c r="O140" i="16"/>
  <c r="O139" i="16"/>
  <c r="O138" i="16"/>
  <c r="O137" i="16"/>
  <c r="O136" i="16"/>
  <c r="O135" i="16"/>
  <c r="O134" i="16"/>
  <c r="O133" i="16"/>
  <c r="O132" i="16"/>
  <c r="O131" i="16"/>
  <c r="O130" i="16"/>
  <c r="O129" i="16"/>
  <c r="O128" i="16"/>
  <c r="O127" i="16"/>
  <c r="O126" i="16"/>
  <c r="O125" i="16"/>
  <c r="O124" i="16"/>
  <c r="O123" i="16"/>
  <c r="O122" i="16"/>
  <c r="O121" i="16"/>
  <c r="O120" i="16"/>
  <c r="O119" i="16"/>
  <c r="O118" i="16"/>
  <c r="O117" i="16"/>
  <c r="O116" i="16"/>
  <c r="O115" i="16"/>
  <c r="O114" i="16"/>
  <c r="O113" i="16"/>
  <c r="O112" i="16"/>
  <c r="O111" i="16"/>
  <c r="O110" i="16"/>
  <c r="O109" i="16"/>
  <c r="O108" i="16"/>
  <c r="O107" i="16"/>
  <c r="O106" i="16"/>
  <c r="O105" i="16"/>
  <c r="O104" i="16"/>
  <c r="O103" i="16"/>
  <c r="O102" i="16"/>
  <c r="O101" i="16"/>
  <c r="O100" i="16"/>
  <c r="O99" i="16"/>
  <c r="O98" i="16"/>
  <c r="O97" i="16"/>
  <c r="O96" i="16"/>
  <c r="O95" i="16"/>
  <c r="O94" i="16"/>
  <c r="O93" i="16"/>
  <c r="O92" i="16"/>
  <c r="O91" i="16"/>
  <c r="O90" i="16"/>
  <c r="O89" i="16"/>
  <c r="O88" i="16"/>
  <c r="O87" i="16"/>
  <c r="O86" i="16"/>
  <c r="O85" i="16"/>
  <c r="O84" i="16"/>
  <c r="O83" i="16"/>
  <c r="O82" i="16"/>
  <c r="O81" i="16"/>
  <c r="O80" i="16"/>
  <c r="O79" i="16"/>
  <c r="O78" i="16"/>
  <c r="O77" i="16"/>
  <c r="O76" i="16"/>
  <c r="O75" i="16"/>
  <c r="O74" i="16"/>
  <c r="O73" i="16"/>
  <c r="O72" i="16"/>
  <c r="O71" i="16"/>
  <c r="O70" i="16"/>
  <c r="O69" i="16"/>
  <c r="O68" i="16"/>
  <c r="O67" i="16"/>
  <c r="O66" i="16"/>
  <c r="O65" i="16"/>
  <c r="O64" i="16"/>
  <c r="O63" i="16"/>
  <c r="O62" i="16"/>
  <c r="O61" i="16"/>
  <c r="O60" i="16"/>
  <c r="O59" i="16"/>
  <c r="O58" i="16"/>
  <c r="O57" i="16"/>
  <c r="O56" i="16"/>
  <c r="O55" i="16"/>
  <c r="O54" i="16"/>
  <c r="O53" i="16"/>
  <c r="O52" i="16"/>
  <c r="O51" i="16"/>
  <c r="O50" i="16"/>
  <c r="O49" i="16"/>
  <c r="O48" i="16"/>
  <c r="O47" i="16"/>
  <c r="O46" i="16"/>
  <c r="O45" i="16"/>
  <c r="O44" i="16"/>
  <c r="O43" i="16"/>
  <c r="O42" i="16"/>
  <c r="O41" i="16"/>
  <c r="O40" i="16"/>
  <c r="O39" i="16"/>
  <c r="O38" i="16"/>
  <c r="O37" i="16"/>
  <c r="O36" i="16"/>
  <c r="O35" i="16"/>
  <c r="O34" i="16"/>
  <c r="O33" i="16"/>
  <c r="O32" i="16"/>
  <c r="O31" i="16"/>
  <c r="O30" i="16"/>
  <c r="O29" i="16"/>
  <c r="O28" i="16"/>
  <c r="O27" i="16"/>
  <c r="O26" i="16"/>
  <c r="O25" i="16"/>
  <c r="O24" i="16"/>
  <c r="O23" i="16"/>
  <c r="O22" i="16"/>
  <c r="O21" i="16"/>
  <c r="O20" i="16"/>
  <c r="O19" i="16"/>
  <c r="O18" i="16"/>
  <c r="O17" i="16"/>
  <c r="O16" i="16"/>
  <c r="O15" i="16"/>
  <c r="O14" i="16"/>
  <c r="O13" i="16"/>
  <c r="O12" i="16"/>
  <c r="O11" i="16"/>
  <c r="O10" i="16"/>
  <c r="O9" i="16"/>
  <c r="O8" i="16"/>
  <c r="O7" i="16"/>
  <c r="O6" i="16"/>
  <c r="O5" i="16"/>
  <c r="O4" i="16"/>
  <c r="O3" i="16"/>
  <c r="O2" i="16"/>
  <c r="K277" i="4"/>
  <c r="K276" i="4"/>
  <c r="K275" i="4"/>
  <c r="K274" i="4"/>
  <c r="K273" i="4"/>
  <c r="K272" i="4"/>
  <c r="K271" i="4"/>
  <c r="K280" i="4"/>
  <c r="K279" i="4"/>
  <c r="K270" i="4"/>
  <c r="K269" i="4"/>
  <c r="K268" i="4"/>
  <c r="K265" i="4"/>
  <c r="K267" i="4"/>
  <c r="K266" i="4"/>
  <c r="K262" i="4"/>
  <c r="K261" i="4"/>
  <c r="K260" i="4"/>
  <c r="K259" i="4"/>
  <c r="K258" i="4"/>
  <c r="K257" i="4"/>
  <c r="K264" i="4"/>
  <c r="K263" i="4"/>
  <c r="K256" i="4"/>
  <c r="K255" i="4"/>
  <c r="K254" i="4"/>
  <c r="K253" i="4"/>
  <c r="K252" i="4"/>
  <c r="K249" i="4"/>
  <c r="K248" i="4"/>
  <c r="K251" i="4"/>
  <c r="K246" i="4"/>
  <c r="K250" i="4"/>
  <c r="K244" i="4"/>
  <c r="K243" i="4"/>
  <c r="K242" i="4"/>
  <c r="K241" i="4"/>
  <c r="K240" i="4"/>
  <c r="K239" i="4"/>
  <c r="K238" i="4"/>
  <c r="K247" i="4"/>
  <c r="K245" i="4"/>
  <c r="K237" i="4"/>
  <c r="K236" i="4"/>
  <c r="K233" i="4"/>
  <c r="K235" i="4"/>
  <c r="K234" i="4"/>
  <c r="K232" i="4"/>
  <c r="K229" i="4"/>
  <c r="K231" i="4"/>
  <c r="K227" i="4"/>
  <c r="K226" i="4"/>
  <c r="K225" i="4"/>
  <c r="K230" i="4"/>
  <c r="K228" i="4"/>
  <c r="K224" i="4"/>
  <c r="K223" i="4"/>
  <c r="K222" i="4"/>
  <c r="K221" i="4"/>
  <c r="K220" i="4"/>
  <c r="K219" i="4"/>
  <c r="K218" i="4"/>
  <c r="K217" i="4"/>
  <c r="K216" i="4"/>
  <c r="K215" i="4"/>
  <c r="K214" i="4"/>
  <c r="K213" i="4"/>
  <c r="K212" i="4"/>
  <c r="K211" i="4"/>
  <c r="K208" i="4"/>
  <c r="K210" i="4"/>
  <c r="K209" i="4"/>
  <c r="K207" i="4"/>
  <c r="K206" i="4"/>
  <c r="K205" i="4"/>
  <c r="K204" i="4"/>
  <c r="K203" i="4"/>
  <c r="K202" i="4"/>
  <c r="K201" i="4"/>
  <c r="K200" i="4"/>
  <c r="K199" i="4"/>
  <c r="K198" i="4"/>
  <c r="K197" i="4"/>
  <c r="K196" i="4"/>
  <c r="K195" i="4"/>
  <c r="K192" i="4"/>
  <c r="K194" i="4"/>
  <c r="K193" i="4"/>
  <c r="K191" i="4"/>
  <c r="K190" i="4"/>
  <c r="K187" i="4"/>
  <c r="K186" i="4"/>
  <c r="K185" i="4"/>
  <c r="K184" i="4"/>
  <c r="K183" i="4"/>
  <c r="K182" i="4"/>
  <c r="K181" i="4"/>
  <c r="K189" i="4"/>
  <c r="K188" i="4"/>
  <c r="K178" i="4"/>
  <c r="K180" i="4"/>
  <c r="K179" i="4"/>
  <c r="K175" i="4"/>
  <c r="K174" i="4"/>
  <c r="K173" i="4"/>
  <c r="K177" i="4"/>
  <c r="K176" i="4"/>
  <c r="K170" i="4"/>
  <c r="K169" i="4"/>
  <c r="K168" i="4"/>
  <c r="K167" i="4"/>
  <c r="K166" i="4"/>
  <c r="K165" i="4"/>
  <c r="K172" i="4"/>
  <c r="K171" i="4"/>
  <c r="K162" i="4"/>
  <c r="K161" i="4"/>
  <c r="K160" i="4"/>
  <c r="K164" i="4"/>
  <c r="K163" i="4"/>
  <c r="K159" i="4"/>
  <c r="K158" i="4"/>
  <c r="K157" i="4"/>
  <c r="K156" i="4"/>
  <c r="K155" i="4"/>
  <c r="K154" i="4"/>
  <c r="K153" i="4"/>
  <c r="K150" i="4"/>
  <c r="K149" i="4"/>
  <c r="K152" i="4"/>
  <c r="K148" i="4"/>
  <c r="K145" i="4"/>
  <c r="K144" i="4"/>
  <c r="K143" i="4"/>
  <c r="K147" i="4"/>
  <c r="K146" i="4"/>
  <c r="K140" i="4"/>
  <c r="K139" i="4"/>
  <c r="K142" i="4"/>
  <c r="K141" i="4"/>
  <c r="K136" i="4"/>
  <c r="K135" i="4"/>
  <c r="K138" i="4"/>
  <c r="K137" i="4"/>
  <c r="K132" i="4"/>
  <c r="K131" i="4"/>
  <c r="K130" i="4"/>
  <c r="K129" i="4"/>
  <c r="K128" i="4"/>
  <c r="K127" i="4"/>
  <c r="K126" i="4"/>
  <c r="K125" i="4"/>
  <c r="K124" i="4"/>
  <c r="K123" i="4"/>
  <c r="K122" i="4"/>
  <c r="K121" i="4"/>
  <c r="K120" i="4"/>
  <c r="K119" i="4"/>
  <c r="K118" i="4"/>
  <c r="K117" i="4"/>
  <c r="K116" i="4"/>
  <c r="K115" i="4"/>
  <c r="K114" i="4"/>
  <c r="K113" i="4"/>
  <c r="K112" i="4"/>
  <c r="K111" i="4"/>
  <c r="K110" i="4"/>
  <c r="K109" i="4"/>
  <c r="K108" i="4"/>
  <c r="K107" i="4"/>
  <c r="K106" i="4"/>
  <c r="K105" i="4"/>
  <c r="K104" i="4"/>
  <c r="K103" i="4"/>
  <c r="K102" i="4"/>
  <c r="K101" i="4"/>
  <c r="K100" i="4"/>
  <c r="K99" i="4"/>
  <c r="K98" i="4"/>
  <c r="K97" i="4"/>
  <c r="K96" i="4"/>
  <c r="K95" i="4"/>
  <c r="K94" i="4"/>
  <c r="K93" i="4"/>
  <c r="K92" i="4"/>
  <c r="K91" i="4"/>
  <c r="K90" i="4"/>
  <c r="K89" i="4"/>
  <c r="K88" i="4"/>
  <c r="K87" i="4"/>
  <c r="K86" i="4"/>
  <c r="K85" i="4"/>
  <c r="K84" i="4"/>
  <c r="K83" i="4"/>
  <c r="K82" i="4"/>
  <c r="K81" i="4"/>
  <c r="K80" i="4"/>
  <c r="K79" i="4"/>
  <c r="K78" i="4"/>
  <c r="K77" i="4"/>
  <c r="K76" i="4"/>
  <c r="K75" i="4"/>
  <c r="K74" i="4"/>
  <c r="K73" i="4"/>
  <c r="K72" i="4"/>
  <c r="K71" i="4"/>
  <c r="K70" i="4"/>
  <c r="K69" i="4"/>
  <c r="K68" i="4"/>
  <c r="K67" i="4"/>
  <c r="K66" i="4"/>
  <c r="K65" i="4"/>
  <c r="K64" i="4"/>
  <c r="K63" i="4"/>
  <c r="K62" i="4"/>
  <c r="K61" i="4"/>
  <c r="K60" i="4"/>
  <c r="K59" i="4"/>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5" i="4"/>
  <c r="K14" i="4"/>
  <c r="K13" i="4"/>
  <c r="K12" i="4"/>
  <c r="K11" i="4"/>
  <c r="K10" i="4"/>
  <c r="K9" i="4"/>
  <c r="K8" i="4"/>
  <c r="K7" i="4"/>
  <c r="K6" i="4"/>
  <c r="K5" i="4"/>
  <c r="K4" i="4"/>
  <c r="K3" i="4"/>
  <c r="K2" i="4"/>
  <c r="K16" i="4"/>
  <c r="B167" i="14"/>
  <c r="B166" i="14"/>
  <c r="B165" i="14"/>
  <c r="B164" i="14"/>
  <c r="B163" i="14"/>
  <c r="B162" i="14"/>
  <c r="B161" i="14"/>
  <c r="B160" i="14"/>
  <c r="B159" i="14"/>
  <c r="B158" i="14"/>
  <c r="B157" i="14"/>
  <c r="B156" i="14"/>
  <c r="B155" i="14"/>
  <c r="B154" i="14"/>
  <c r="B153" i="14"/>
  <c r="B152" i="14"/>
  <c r="B151" i="14"/>
  <c r="B150" i="14"/>
  <c r="B149" i="14"/>
  <c r="B148" i="14"/>
  <c r="B147" i="14"/>
  <c r="B146" i="14"/>
  <c r="B145" i="14"/>
  <c r="B144" i="14"/>
  <c r="B143" i="14"/>
  <c r="B142" i="14"/>
  <c r="B141" i="14"/>
  <c r="B140" i="14"/>
  <c r="B139" i="14"/>
  <c r="B138" i="14"/>
  <c r="B137" i="14"/>
  <c r="B136" i="14"/>
  <c r="B135" i="14"/>
  <c r="B134" i="14"/>
  <c r="B133" i="14"/>
  <c r="B132" i="14"/>
  <c r="B131" i="14"/>
  <c r="B130" i="14"/>
  <c r="B129" i="14"/>
  <c r="B128" i="14"/>
  <c r="B127" i="14"/>
  <c r="B126" i="14"/>
  <c r="B125" i="14"/>
  <c r="B124" i="14"/>
  <c r="B123" i="14"/>
  <c r="B122" i="14"/>
  <c r="B121" i="14"/>
  <c r="B120" i="14"/>
  <c r="B119" i="14"/>
  <c r="B118" i="14"/>
  <c r="B117" i="14"/>
  <c r="B116" i="14"/>
  <c r="B115" i="14"/>
  <c r="B114" i="14"/>
  <c r="B113" i="14"/>
  <c r="B112" i="14"/>
  <c r="B111" i="14"/>
  <c r="B110" i="14"/>
  <c r="B109" i="14"/>
  <c r="B108" i="14"/>
  <c r="B107" i="14"/>
  <c r="B106" i="14"/>
  <c r="B105" i="14"/>
  <c r="B104" i="14"/>
  <c r="B103" i="14"/>
  <c r="B102" i="14"/>
  <c r="B101" i="14"/>
  <c r="B100" i="14"/>
  <c r="B99" i="14"/>
  <c r="B98" i="14"/>
  <c r="B97" i="14"/>
  <c r="B96" i="14"/>
  <c r="B95" i="14"/>
  <c r="B94" i="14"/>
  <c r="B93" i="14"/>
  <c r="B92" i="14"/>
  <c r="B91" i="14"/>
  <c r="B90" i="14"/>
  <c r="B89" i="14"/>
  <c r="B88" i="14"/>
  <c r="B87" i="14"/>
  <c r="B86" i="14"/>
  <c r="B85" i="14"/>
  <c r="B84" i="14"/>
  <c r="B83" i="14"/>
  <c r="B82" i="14"/>
  <c r="B81" i="14"/>
  <c r="B80" i="14"/>
  <c r="B79" i="14"/>
  <c r="B78" i="14"/>
  <c r="B77" i="14"/>
  <c r="B76" i="14"/>
  <c r="B75" i="14"/>
  <c r="B74" i="14"/>
  <c r="B73" i="14"/>
  <c r="B72" i="14"/>
  <c r="B71" i="14"/>
  <c r="B70" i="14"/>
  <c r="B69" i="14"/>
  <c r="B68" i="14"/>
  <c r="B67" i="14"/>
  <c r="B66" i="14"/>
  <c r="B65" i="14"/>
  <c r="B64" i="14"/>
  <c r="B63" i="14"/>
  <c r="B62" i="14"/>
  <c r="B61" i="14"/>
  <c r="B60" i="14"/>
  <c r="B59" i="14"/>
  <c r="B58" i="14"/>
  <c r="B57" i="14"/>
  <c r="B56" i="14"/>
  <c r="B55" i="14"/>
  <c r="B54" i="14"/>
  <c r="B53" i="14"/>
  <c r="B52" i="14"/>
  <c r="B51" i="14"/>
  <c r="B50" i="14"/>
  <c r="B49" i="14"/>
  <c r="B48" i="14"/>
  <c r="B47" i="14"/>
  <c r="B46" i="14"/>
  <c r="B45" i="14"/>
  <c r="B44" i="14"/>
  <c r="B43" i="14"/>
  <c r="B42" i="14"/>
  <c r="B41" i="14"/>
  <c r="B40" i="14"/>
  <c r="B39" i="14"/>
  <c r="B38" i="14"/>
  <c r="B37" i="14"/>
  <c r="B36" i="14"/>
  <c r="B35" i="14"/>
  <c r="B34" i="14"/>
  <c r="B33" i="14"/>
  <c r="B32" i="14"/>
  <c r="B31" i="14"/>
  <c r="B30" i="14"/>
  <c r="B29" i="14"/>
  <c r="B27" i="14"/>
  <c r="B28" i="14"/>
  <c r="B26" i="14"/>
  <c r="B25" i="14"/>
  <c r="B24" i="14"/>
  <c r="B23" i="14"/>
  <c r="B22" i="14"/>
  <c r="B21" i="14"/>
  <c r="B20" i="14"/>
  <c r="B19" i="14"/>
  <c r="B18" i="14"/>
  <c r="B17" i="14"/>
  <c r="B16" i="14"/>
  <c r="B15" i="14"/>
  <c r="B14" i="14"/>
  <c r="B13" i="14"/>
  <c r="B12" i="14"/>
  <c r="B11" i="14"/>
  <c r="B10" i="14"/>
  <c r="B9" i="14"/>
  <c r="B8" i="14"/>
  <c r="B7" i="14"/>
  <c r="B6" i="14"/>
  <c r="B5" i="14"/>
  <c r="B4" i="14"/>
  <c r="B3" i="14"/>
  <c r="B2" i="14"/>
  <c r="T6" i="3"/>
  <c r="T7" i="3"/>
  <c r="T8" i="3"/>
  <c r="T9" i="3"/>
  <c r="T10" i="3"/>
  <c r="T11" i="3"/>
  <c r="T12" i="3"/>
  <c r="T13" i="3"/>
  <c r="T14" i="3"/>
  <c r="T16" i="3"/>
  <c r="T17" i="3"/>
  <c r="T19" i="3"/>
  <c r="T20" i="3"/>
  <c r="T21" i="3"/>
  <c r="T22" i="3"/>
  <c r="T23" i="3"/>
  <c r="T24" i="3"/>
  <c r="T25" i="3"/>
  <c r="T26" i="3"/>
  <c r="T27" i="3"/>
  <c r="T28" i="3"/>
  <c r="T30" i="3"/>
  <c r="T31" i="3"/>
  <c r="T33" i="3"/>
  <c r="T34" i="3"/>
  <c r="T35" i="3"/>
  <c r="T36" i="3"/>
  <c r="T37" i="3"/>
  <c r="T38" i="3"/>
  <c r="T39" i="3"/>
  <c r="T40" i="3"/>
  <c r="T41" i="3"/>
  <c r="T42" i="3"/>
  <c r="T44" i="3"/>
  <c r="T45" i="3"/>
  <c r="T47" i="3"/>
  <c r="T48" i="3"/>
  <c r="T49" i="3"/>
  <c r="T50" i="3"/>
  <c r="T51" i="3"/>
  <c r="T52" i="3"/>
  <c r="T53" i="3"/>
  <c r="T54" i="3"/>
  <c r="T55" i="3"/>
  <c r="T56" i="3"/>
  <c r="T57" i="3"/>
  <c r="T58" i="3"/>
  <c r="T59" i="3"/>
  <c r="T61" i="3"/>
  <c r="T62" i="3"/>
  <c r="T64" i="3"/>
  <c r="T65" i="3"/>
  <c r="T66" i="3"/>
  <c r="T67" i="3"/>
  <c r="T68" i="3"/>
  <c r="T69" i="3"/>
  <c r="T70" i="3"/>
  <c r="T71" i="3"/>
  <c r="T73" i="3"/>
  <c r="T74" i="3"/>
  <c r="T76" i="3"/>
  <c r="T77" i="3"/>
  <c r="T78" i="3"/>
  <c r="T79" i="3"/>
  <c r="T80" i="3"/>
  <c r="T81" i="3"/>
  <c r="T82" i="3"/>
  <c r="T83" i="3"/>
  <c r="T85" i="3"/>
  <c r="T86" i="3"/>
  <c r="T88" i="3"/>
  <c r="T89" i="3"/>
  <c r="T90" i="3"/>
  <c r="T91" i="3"/>
  <c r="T92" i="3"/>
  <c r="T93" i="3"/>
  <c r="T94" i="3"/>
  <c r="T95" i="3"/>
  <c r="T97" i="3"/>
  <c r="T98" i="3"/>
  <c r="T100" i="3"/>
  <c r="T101" i="3"/>
  <c r="T102" i="3"/>
  <c r="T103" i="3"/>
  <c r="T104" i="3"/>
  <c r="T105" i="3"/>
  <c r="T106" i="3"/>
  <c r="T107" i="3"/>
  <c r="T108" i="3"/>
  <c r="T109" i="3"/>
  <c r="T111" i="3"/>
  <c r="T112" i="3"/>
  <c r="T114" i="3"/>
  <c r="T115" i="3"/>
  <c r="T116" i="3"/>
  <c r="T117" i="3"/>
  <c r="T118" i="3"/>
  <c r="T119" i="3"/>
  <c r="T120" i="3"/>
  <c r="T121" i="3"/>
  <c r="T122" i="3"/>
  <c r="T123" i="3"/>
  <c r="T125" i="3"/>
  <c r="T126" i="3"/>
  <c r="T128" i="3"/>
  <c r="T129" i="3"/>
  <c r="T130" i="3"/>
  <c r="T131" i="3"/>
  <c r="T132" i="3"/>
  <c r="T133" i="3"/>
  <c r="T136" i="3"/>
  <c r="T137" i="3"/>
  <c r="T138" i="3"/>
  <c r="T139" i="3"/>
  <c r="T140" i="3"/>
  <c r="T141" i="3"/>
  <c r="T142" i="3"/>
  <c r="T143" i="3"/>
  <c r="T144" i="3"/>
  <c r="T145" i="3"/>
  <c r="T146" i="3"/>
  <c r="T147" i="3"/>
  <c r="T148" i="3"/>
  <c r="T149" i="3"/>
  <c r="T151" i="3"/>
  <c r="T152" i="3"/>
  <c r="T154" i="3"/>
  <c r="T155" i="3"/>
  <c r="T156" i="3"/>
  <c r="T157" i="3"/>
  <c r="T158" i="3"/>
  <c r="T159" i="3"/>
  <c r="T160" i="3"/>
  <c r="T161" i="3"/>
  <c r="T162" i="3"/>
  <c r="T164" i="3"/>
  <c r="T165" i="3"/>
  <c r="T167" i="3"/>
  <c r="T168" i="3"/>
  <c r="T169" i="3"/>
  <c r="T170" i="3"/>
  <c r="T171" i="3"/>
  <c r="T172" i="3"/>
  <c r="T173" i="3"/>
  <c r="T174" i="3"/>
  <c r="T175" i="3"/>
  <c r="T177" i="3"/>
  <c r="T178" i="3"/>
  <c r="T180" i="3"/>
  <c r="T181" i="3"/>
  <c r="T182" i="3"/>
  <c r="T183" i="3"/>
  <c r="T184" i="3"/>
  <c r="T185" i="3"/>
  <c r="T186" i="3"/>
  <c r="T187" i="3"/>
  <c r="T188" i="3"/>
  <c r="T189" i="3"/>
  <c r="T191" i="3"/>
  <c r="T192" i="3"/>
  <c r="T194" i="3"/>
  <c r="T195" i="3"/>
  <c r="T196" i="3"/>
  <c r="T197" i="3"/>
  <c r="T198" i="3"/>
  <c r="T199" i="3"/>
  <c r="T200" i="3"/>
  <c r="T202" i="3"/>
  <c r="T203" i="3"/>
  <c r="T205" i="3"/>
  <c r="T206" i="3"/>
  <c r="T207" i="3"/>
  <c r="T208" i="3"/>
  <c r="T209" i="3"/>
  <c r="T211" i="3"/>
  <c r="T212" i="3"/>
  <c r="T214" i="3"/>
  <c r="T215" i="3"/>
  <c r="T216" i="3"/>
  <c r="T217" i="3"/>
  <c r="T218" i="3"/>
  <c r="T219" i="3"/>
  <c r="T221" i="3"/>
  <c r="T222" i="3"/>
  <c r="T224" i="3"/>
  <c r="T225" i="3"/>
  <c r="T226" i="3"/>
  <c r="T227" i="3"/>
  <c r="T228" i="3"/>
  <c r="T229" i="3"/>
  <c r="T231" i="3"/>
  <c r="T232" i="3"/>
  <c r="T234" i="3"/>
  <c r="T235" i="3"/>
  <c r="T236" i="3"/>
  <c r="T237" i="3"/>
  <c r="T238" i="3"/>
  <c r="T239" i="3"/>
  <c r="T242" i="3"/>
  <c r="T243" i="3"/>
  <c r="T244" i="3"/>
  <c r="T245" i="3"/>
  <c r="T246" i="3"/>
  <c r="T247" i="3"/>
  <c r="T248" i="3"/>
  <c r="T249" i="3"/>
  <c r="T251" i="3"/>
  <c r="T252" i="3"/>
  <c r="T254" i="3"/>
  <c r="T255" i="3"/>
  <c r="T256" i="3"/>
  <c r="T257" i="3"/>
  <c r="T258" i="3"/>
  <c r="T261" i="3"/>
  <c r="T262" i="3"/>
  <c r="T263" i="3"/>
  <c r="T264" i="3"/>
  <c r="T265" i="3"/>
  <c r="T266" i="3"/>
  <c r="T267" i="3"/>
  <c r="T270" i="3"/>
  <c r="T271" i="3"/>
  <c r="T272" i="3"/>
  <c r="T273" i="3"/>
  <c r="T274" i="3"/>
  <c r="T275" i="3"/>
  <c r="T276" i="3"/>
  <c r="T277" i="3"/>
  <c r="T278" i="3"/>
  <c r="T279" i="3"/>
  <c r="T280" i="3"/>
  <c r="T281" i="3"/>
  <c r="T282" i="3"/>
  <c r="T283" i="3"/>
  <c r="T286" i="3"/>
  <c r="T287" i="3"/>
  <c r="T288" i="3"/>
  <c r="T289" i="3"/>
  <c r="T290" i="3"/>
  <c r="T291" i="3"/>
  <c r="T292" i="3"/>
  <c r="T293" i="3"/>
  <c r="T294" i="3"/>
  <c r="T295" i="3"/>
  <c r="T296" i="3"/>
  <c r="T297" i="3"/>
  <c r="T298" i="3"/>
  <c r="T299" i="3"/>
  <c r="T300" i="3"/>
  <c r="T303" i="3"/>
  <c r="T304" i="3"/>
  <c r="T305" i="3"/>
  <c r="T306" i="3"/>
  <c r="T307" i="3"/>
  <c r="T308" i="3"/>
  <c r="T309" i="3"/>
  <c r="T310" i="3"/>
  <c r="T311" i="3"/>
  <c r="T312" i="3"/>
  <c r="T313" i="3"/>
  <c r="T314" i="3"/>
  <c r="T315" i="3"/>
  <c r="T317" i="3"/>
  <c r="T318" i="3"/>
  <c r="T320" i="3"/>
  <c r="T321" i="3"/>
  <c r="T322" i="3"/>
  <c r="T323" i="3"/>
  <c r="T324" i="3"/>
  <c r="T326" i="3"/>
  <c r="T327" i="3"/>
  <c r="T329" i="3"/>
  <c r="T330" i="3"/>
  <c r="T331" i="3"/>
  <c r="T332" i="3"/>
  <c r="T333" i="3"/>
  <c r="T334" i="3"/>
  <c r="T335" i="3"/>
  <c r="T338" i="3"/>
  <c r="T339" i="3"/>
  <c r="T340" i="3"/>
  <c r="T341" i="3"/>
  <c r="T342" i="3"/>
  <c r="T343" i="3"/>
  <c r="T344" i="3"/>
  <c r="T345" i="3"/>
  <c r="T346" i="3"/>
  <c r="T349" i="3"/>
  <c r="T350" i="3"/>
  <c r="T351" i="3"/>
  <c r="T352" i="3"/>
  <c r="T353" i="3"/>
  <c r="T354" i="3"/>
  <c r="T355" i="3"/>
  <c r="T356" i="3"/>
  <c r="T357" i="3"/>
  <c r="T358" i="3"/>
  <c r="T359" i="3"/>
  <c r="T360" i="3"/>
  <c r="T361" i="3"/>
  <c r="T362" i="3"/>
  <c r="T364" i="3"/>
  <c r="T365" i="3"/>
  <c r="T367" i="3"/>
  <c r="T368" i="3"/>
  <c r="T369" i="3"/>
  <c r="T371" i="3"/>
  <c r="T372" i="3"/>
  <c r="T374" i="3"/>
  <c r="T375" i="3"/>
  <c r="T376" i="3"/>
  <c r="T377" i="3"/>
  <c r="T378" i="3"/>
  <c r="T380" i="3"/>
  <c r="T381" i="3"/>
  <c r="T383" i="3"/>
  <c r="T384" i="3"/>
  <c r="T385" i="3"/>
  <c r="T386" i="3"/>
  <c r="T387" i="3"/>
  <c r="T389" i="3"/>
  <c r="T390" i="3"/>
  <c r="T392" i="3"/>
  <c r="T393" i="3"/>
  <c r="T396" i="3"/>
  <c r="T397" i="3"/>
  <c r="T398" i="3"/>
  <c r="T399" i="3"/>
  <c r="T401" i="3"/>
  <c r="T402" i="3"/>
  <c r="T404" i="3"/>
  <c r="T405" i="3"/>
  <c r="T406" i="3"/>
  <c r="T407" i="3"/>
  <c r="T408" i="3"/>
  <c r="T411" i="3"/>
  <c r="T412" i="3"/>
  <c r="T413" i="3"/>
  <c r="T414" i="3"/>
  <c r="T415" i="3"/>
  <c r="T416" i="3"/>
  <c r="T417" i="3"/>
  <c r="T418" i="3"/>
  <c r="T419" i="3"/>
  <c r="T420" i="3"/>
  <c r="T421" i="3"/>
  <c r="T422" i="3"/>
  <c r="T423" i="3"/>
  <c r="T424" i="3"/>
  <c r="T426" i="3"/>
  <c r="T427" i="3"/>
  <c r="T429" i="3"/>
  <c r="T430" i="3"/>
  <c r="T431" i="3"/>
  <c r="T432" i="3"/>
  <c r="T433" i="3"/>
  <c r="T435" i="3"/>
  <c r="T436" i="3"/>
  <c r="T438" i="3"/>
  <c r="T439" i="3"/>
  <c r="T440" i="3"/>
  <c r="T441" i="3"/>
  <c r="T442" i="3"/>
  <c r="T444" i="3"/>
  <c r="T445" i="3"/>
  <c r="T447" i="3"/>
  <c r="T448" i="3"/>
  <c r="T449" i="3"/>
  <c r="T450" i="3"/>
  <c r="T452" i="3"/>
  <c r="T453" i="3"/>
  <c r="T455" i="3"/>
  <c r="T456" i="3"/>
  <c r="T457" i="3"/>
  <c r="T458" i="3"/>
  <c r="T459" i="3"/>
  <c r="T461" i="3"/>
  <c r="T462" i="3"/>
  <c r="T464" i="3"/>
  <c r="T465" i="3"/>
  <c r="T466" i="3"/>
  <c r="T467" i="3"/>
  <c r="T468" i="3"/>
  <c r="T470" i="3"/>
  <c r="T471" i="3"/>
  <c r="T473" i="3"/>
  <c r="T474" i="3"/>
  <c r="T475" i="3"/>
  <c r="T476" i="3"/>
  <c r="T477" i="3"/>
  <c r="T479" i="3"/>
  <c r="T480" i="3"/>
  <c r="T482" i="3"/>
  <c r="T483" i="3"/>
  <c r="T484" i="3"/>
  <c r="T485" i="3"/>
  <c r="T486" i="3"/>
  <c r="T488" i="3"/>
  <c r="T489" i="3"/>
  <c r="T491" i="3"/>
  <c r="T492" i="3"/>
  <c r="T493" i="3"/>
  <c r="T494" i="3"/>
  <c r="T495" i="3"/>
  <c r="T497" i="3"/>
  <c r="T498" i="3"/>
  <c r="T500" i="3"/>
  <c r="T501" i="3"/>
  <c r="T502" i="3"/>
  <c r="T503" i="3"/>
  <c r="T504" i="3"/>
  <c r="T506" i="3"/>
  <c r="T507" i="3"/>
  <c r="T509" i="3"/>
  <c r="T510" i="3"/>
  <c r="T511" i="3"/>
  <c r="T512" i="3"/>
  <c r="T513" i="3"/>
  <c r="T515" i="3"/>
  <c r="T516" i="3"/>
  <c r="T518" i="3"/>
  <c r="T519" i="3"/>
  <c r="T520" i="3"/>
  <c r="T521" i="3"/>
  <c r="T522" i="3"/>
  <c r="T523" i="3"/>
  <c r="T525" i="3"/>
  <c r="T526" i="3"/>
  <c r="T528" i="3"/>
  <c r="T529" i="3"/>
  <c r="T530" i="3"/>
  <c r="T531" i="3"/>
  <c r="T532" i="3"/>
  <c r="T534" i="3"/>
  <c r="T535" i="3"/>
  <c r="T537" i="3"/>
  <c r="T538" i="3"/>
  <c r="T539" i="3"/>
  <c r="T540" i="3"/>
  <c r="T541" i="3"/>
  <c r="T543" i="3"/>
  <c r="T544" i="3"/>
  <c r="T546" i="3"/>
  <c r="T547" i="3"/>
  <c r="T548" i="3"/>
  <c r="T549" i="3"/>
  <c r="T551" i="3"/>
  <c r="T552" i="3"/>
  <c r="T554" i="3"/>
  <c r="T555" i="3"/>
  <c r="T556" i="3"/>
  <c r="T557" i="3"/>
  <c r="T558" i="3"/>
  <c r="T559" i="3"/>
  <c r="T560" i="3"/>
  <c r="T562" i="3"/>
  <c r="T563" i="3"/>
  <c r="T565" i="3"/>
  <c r="T566" i="3"/>
  <c r="T567" i="3"/>
  <c r="T568" i="3"/>
  <c r="T569" i="3"/>
  <c r="T570" i="3"/>
  <c r="T571" i="3"/>
  <c r="T572" i="3"/>
  <c r="T575" i="3"/>
  <c r="T576" i="3"/>
  <c r="T577" i="3"/>
  <c r="T578" i="3"/>
  <c r="T579" i="3"/>
  <c r="T580" i="3"/>
  <c r="T581" i="3"/>
  <c r="T582" i="3"/>
  <c r="T583" i="3"/>
  <c r="T584" i="3"/>
  <c r="T587" i="3"/>
  <c r="T588" i="3"/>
  <c r="T589" i="3"/>
  <c r="T590" i="3"/>
  <c r="T591" i="3"/>
  <c r="T592" i="3"/>
  <c r="T593" i="3"/>
  <c r="T594" i="3"/>
  <c r="T595" i="3"/>
  <c r="T596" i="3"/>
  <c r="T597" i="3"/>
  <c r="T598" i="3"/>
  <c r="T599" i="3"/>
  <c r="T600" i="3"/>
  <c r="T601" i="3"/>
  <c r="T602" i="3"/>
  <c r="T604" i="3"/>
  <c r="T605" i="3"/>
  <c r="T607" i="3"/>
  <c r="T608" i="3"/>
  <c r="T609" i="3"/>
  <c r="T610" i="3"/>
  <c r="T611" i="3"/>
  <c r="T612" i="3"/>
  <c r="T613" i="3"/>
  <c r="T615" i="3"/>
  <c r="T616" i="3"/>
  <c r="T618" i="3"/>
  <c r="T619" i="3"/>
  <c r="T620" i="3"/>
  <c r="T621" i="3"/>
  <c r="T622" i="3"/>
  <c r="T623" i="3"/>
  <c r="T625" i="3"/>
  <c r="T626" i="3"/>
  <c r="T628" i="3"/>
  <c r="T629" i="3"/>
  <c r="T630" i="3"/>
  <c r="T631" i="3"/>
  <c r="T632" i="3"/>
  <c r="T634" i="3"/>
  <c r="T635" i="3"/>
  <c r="T637" i="3"/>
  <c r="T638" i="3"/>
  <c r="T639" i="3"/>
  <c r="T640" i="3"/>
  <c r="T641" i="3"/>
  <c r="T642" i="3"/>
  <c r="T643" i="3"/>
  <c r="T644" i="3"/>
  <c r="T645" i="3"/>
  <c r="T647" i="3"/>
  <c r="T648" i="3"/>
  <c r="T650" i="3"/>
  <c r="T651" i="3"/>
  <c r="T652" i="3"/>
  <c r="T653" i="3"/>
  <c r="T654" i="3"/>
  <c r="T655" i="3"/>
  <c r="T656" i="3"/>
  <c r="T657" i="3"/>
  <c r="T658" i="3"/>
  <c r="T660" i="3"/>
  <c r="T661" i="3"/>
  <c r="T663" i="3"/>
  <c r="T664" i="3"/>
  <c r="T665" i="3"/>
  <c r="T666" i="3"/>
  <c r="T667" i="3"/>
  <c r="T668" i="3"/>
  <c r="T669" i="3"/>
  <c r="T670" i="3"/>
  <c r="T672" i="3"/>
  <c r="T673" i="3"/>
  <c r="T675" i="3"/>
  <c r="T676" i="3"/>
  <c r="T677" i="3"/>
  <c r="T678" i="3"/>
  <c r="T679" i="3"/>
  <c r="T680" i="3"/>
  <c r="T681" i="3"/>
  <c r="T682" i="3"/>
  <c r="T684" i="3"/>
  <c r="T685" i="3"/>
  <c r="T687" i="3"/>
  <c r="T688" i="3"/>
  <c r="T689" i="3"/>
  <c r="T690" i="3"/>
  <c r="T691" i="3"/>
  <c r="T692" i="3"/>
  <c r="T693" i="3"/>
  <c r="T694" i="3"/>
  <c r="T695" i="3"/>
  <c r="T696" i="3"/>
  <c r="T697" i="3"/>
  <c r="T698" i="3"/>
  <c r="T700" i="3"/>
  <c r="T701" i="3"/>
  <c r="T703" i="3"/>
  <c r="T704" i="3"/>
  <c r="T705" i="3"/>
  <c r="T706" i="3"/>
  <c r="T707" i="3"/>
  <c r="T708" i="3"/>
  <c r="T709" i="3"/>
  <c r="T710" i="3"/>
  <c r="T711" i="3"/>
  <c r="T712" i="3"/>
  <c r="T713" i="3"/>
  <c r="T714" i="3"/>
  <c r="T716" i="3"/>
  <c r="T717" i="3"/>
  <c r="T719" i="3"/>
  <c r="T720" i="3"/>
  <c r="T721" i="3"/>
  <c r="T722" i="3"/>
  <c r="T723" i="3"/>
  <c r="T724" i="3"/>
  <c r="T725" i="3"/>
  <c r="T726" i="3"/>
  <c r="T727" i="3"/>
  <c r="T729" i="3"/>
  <c r="T730" i="3"/>
  <c r="T732" i="3"/>
  <c r="T733" i="3"/>
  <c r="T735" i="3"/>
  <c r="T736" i="3"/>
  <c r="T738" i="3"/>
  <c r="T739" i="3"/>
  <c r="T740" i="3"/>
  <c r="T742" i="3"/>
  <c r="T743" i="3"/>
  <c r="T745" i="3"/>
  <c r="T746" i="3"/>
  <c r="T747" i="3"/>
  <c r="T748" i="3"/>
  <c r="T749" i="3"/>
  <c r="T751" i="3"/>
  <c r="T752" i="3"/>
  <c r="T754" i="3"/>
  <c r="T755" i="3"/>
  <c r="T756" i="3"/>
  <c r="T757" i="3"/>
  <c r="T758" i="3"/>
  <c r="T761" i="3"/>
  <c r="T762" i="3"/>
  <c r="T763" i="3"/>
  <c r="T764" i="3"/>
  <c r="T765" i="3"/>
  <c r="T766" i="3"/>
  <c r="T767" i="3"/>
  <c r="T768" i="3"/>
  <c r="T769" i="3"/>
  <c r="T770" i="3"/>
  <c r="T771" i="3"/>
  <c r="T772" i="3"/>
  <c r="T773" i="3"/>
  <c r="T774" i="3"/>
  <c r="T776" i="3"/>
  <c r="T777" i="3"/>
  <c r="T779" i="3"/>
  <c r="T780" i="3"/>
  <c r="T781" i="3"/>
  <c r="T782" i="3"/>
  <c r="T784" i="3"/>
  <c r="T785" i="3"/>
  <c r="T787" i="3"/>
  <c r="T788" i="3"/>
  <c r="T789" i="3"/>
  <c r="T790" i="3"/>
  <c r="T791" i="3"/>
  <c r="T792" i="3"/>
  <c r="T793" i="3"/>
  <c r="T794" i="3"/>
  <c r="T796" i="3"/>
  <c r="T797" i="3"/>
  <c r="T799" i="3"/>
  <c r="T800" i="3"/>
  <c r="T801" i="3"/>
  <c r="T802" i="3"/>
  <c r="T803" i="3"/>
  <c r="T804" i="3"/>
  <c r="T805" i="3"/>
  <c r="T806" i="3"/>
  <c r="T809" i="3"/>
  <c r="T810" i="3"/>
  <c r="T811" i="3"/>
  <c r="T812" i="3"/>
  <c r="T813" i="3"/>
  <c r="T814" i="3"/>
  <c r="T815" i="3"/>
  <c r="T816" i="3"/>
  <c r="T817" i="3"/>
  <c r="T818" i="3"/>
  <c r="T820" i="3"/>
  <c r="T821" i="3"/>
  <c r="T823" i="3"/>
  <c r="T824" i="3"/>
  <c r="T825" i="3"/>
  <c r="T826" i="3"/>
  <c r="T827" i="3"/>
  <c r="T828" i="3"/>
  <c r="T829" i="3"/>
  <c r="T830" i="3"/>
  <c r="T831" i="3"/>
  <c r="T832" i="3"/>
  <c r="T833" i="3"/>
  <c r="T835" i="3"/>
  <c r="T836" i="3"/>
  <c r="T838" i="3"/>
  <c r="T839" i="3"/>
  <c r="T840" i="3"/>
  <c r="T841" i="3"/>
  <c r="T842" i="3"/>
  <c r="T843" i="3"/>
  <c r="T844" i="3"/>
  <c r="T845" i="3"/>
  <c r="T846" i="3"/>
  <c r="T847" i="3"/>
  <c r="T849" i="3"/>
  <c r="T850" i="3"/>
  <c r="T852" i="3"/>
  <c r="T853" i="3"/>
  <c r="T854" i="3"/>
  <c r="T855" i="3"/>
  <c r="T856" i="3"/>
  <c r="T857" i="3"/>
  <c r="T858" i="3"/>
  <c r="T859" i="3"/>
  <c r="T860" i="3"/>
  <c r="T861" i="3"/>
  <c r="T862" i="3"/>
  <c r="T864" i="3"/>
  <c r="T865" i="3"/>
  <c r="T867" i="3"/>
  <c r="T868" i="3"/>
  <c r="T869" i="3"/>
  <c r="T870" i="3"/>
  <c r="T871" i="3"/>
  <c r="T872" i="3"/>
  <c r="T873" i="3"/>
  <c r="T874" i="3"/>
  <c r="T876" i="3"/>
  <c r="T877" i="3"/>
  <c r="T879" i="3"/>
  <c r="T880" i="3"/>
  <c r="T881" i="3"/>
  <c r="T882" i="3"/>
  <c r="T883" i="3"/>
  <c r="T884" i="3"/>
  <c r="T885" i="3"/>
  <c r="T886" i="3"/>
  <c r="T888" i="3"/>
  <c r="T889" i="3"/>
  <c r="T891" i="3"/>
  <c r="T892" i="3"/>
  <c r="T893" i="3"/>
  <c r="T894" i="3"/>
  <c r="T895" i="3"/>
  <c r="T896" i="3"/>
  <c r="T897" i="3"/>
  <c r="T898" i="3"/>
  <c r="T899" i="3"/>
  <c r="T901" i="3"/>
  <c r="T902" i="3"/>
  <c r="T904" i="3"/>
  <c r="T905" i="3"/>
  <c r="T906" i="3"/>
  <c r="T907" i="3"/>
  <c r="T908" i="3"/>
  <c r="T909" i="3"/>
  <c r="T910" i="3"/>
  <c r="T911" i="3"/>
  <c r="T912" i="3"/>
  <c r="T913" i="3"/>
  <c r="T915" i="3"/>
  <c r="T916" i="3"/>
  <c r="T918" i="3"/>
  <c r="T919" i="3"/>
  <c r="T920" i="3"/>
  <c r="T921" i="3"/>
  <c r="T922" i="3"/>
  <c r="T923" i="3"/>
  <c r="T924" i="3"/>
  <c r="T925" i="3"/>
  <c r="T926" i="3"/>
  <c r="T927" i="3"/>
  <c r="T928" i="3"/>
  <c r="T930" i="3"/>
  <c r="T931" i="3"/>
  <c r="T933" i="3"/>
  <c r="T934" i="3"/>
  <c r="T935" i="3"/>
  <c r="T936" i="3"/>
  <c r="T937" i="3"/>
  <c r="T939" i="3"/>
  <c r="T940" i="3"/>
  <c r="T942" i="3"/>
  <c r="T943" i="3"/>
  <c r="T944" i="3"/>
  <c r="T945" i="3"/>
  <c r="T946" i="3"/>
  <c r="T947" i="3"/>
  <c r="T949" i="3"/>
  <c r="T950" i="3"/>
  <c r="T952" i="3"/>
  <c r="T953" i="3"/>
  <c r="T954" i="3"/>
  <c r="T955" i="3"/>
  <c r="T956" i="3"/>
  <c r="T958" i="3"/>
  <c r="T959" i="3"/>
  <c r="T961" i="3"/>
  <c r="T962" i="3"/>
  <c r="T963" i="3"/>
  <c r="T964" i="3"/>
  <c r="T965" i="3"/>
  <c r="T966" i="3"/>
  <c r="T967" i="3"/>
  <c r="T968" i="3"/>
  <c r="T969" i="3"/>
  <c r="T971" i="3"/>
  <c r="T972" i="3"/>
  <c r="T974" i="3"/>
  <c r="T975" i="3"/>
  <c r="T976" i="3"/>
  <c r="T977" i="3"/>
  <c r="T978" i="3"/>
  <c r="T979" i="3"/>
  <c r="T980" i="3"/>
  <c r="T981" i="3"/>
  <c r="T982" i="3"/>
  <c r="T983" i="3"/>
  <c r="T984" i="3"/>
  <c r="T985" i="3"/>
  <c r="T988" i="3"/>
  <c r="T989" i="3"/>
  <c r="T990" i="3"/>
  <c r="T991" i="3"/>
  <c r="T992" i="3"/>
  <c r="T993" i="3"/>
  <c r="T994" i="3"/>
  <c r="T995" i="3"/>
  <c r="T996" i="3"/>
  <c r="T997" i="3"/>
  <c r="T998" i="3"/>
  <c r="T999" i="3"/>
  <c r="T1000" i="3"/>
  <c r="T1001" i="3"/>
  <c r="T1002" i="3"/>
  <c r="T1003" i="3"/>
  <c r="T1006" i="3"/>
  <c r="T1007" i="3"/>
  <c r="T1008" i="3"/>
  <c r="T1009" i="3"/>
  <c r="T1010" i="3"/>
  <c r="T1011" i="3"/>
  <c r="T1012" i="3"/>
  <c r="T1013" i="3"/>
  <c r="T1014" i="3"/>
  <c r="T1015" i="3"/>
  <c r="T1016" i="3"/>
  <c r="T1017" i="3"/>
  <c r="T1018" i="3"/>
  <c r="T1019" i="3"/>
  <c r="T1021" i="3"/>
  <c r="T1022" i="3"/>
  <c r="T1024" i="3"/>
  <c r="T1025" i="3"/>
  <c r="T1026" i="3"/>
  <c r="T1027" i="3"/>
  <c r="T1028" i="3"/>
  <c r="T1029" i="3"/>
  <c r="T1030" i="3"/>
  <c r="T1031" i="3"/>
  <c r="T1032" i="3"/>
  <c r="T1033" i="3"/>
  <c r="T1035" i="3"/>
  <c r="T1036" i="3"/>
  <c r="T1038" i="3"/>
  <c r="T1039" i="3"/>
  <c r="T1040" i="3"/>
  <c r="T1041" i="3"/>
  <c r="T1042" i="3"/>
  <c r="T1043" i="3"/>
  <c r="T1044" i="3"/>
  <c r="T1046" i="3"/>
  <c r="T1047" i="3"/>
  <c r="T1049" i="3"/>
  <c r="T1050" i="3"/>
  <c r="T1051" i="3"/>
  <c r="T1052" i="3"/>
  <c r="T1053" i="3"/>
  <c r="T1054" i="3"/>
  <c r="T1056" i="3"/>
  <c r="T1057" i="3"/>
  <c r="T1059" i="3"/>
  <c r="T1060" i="3"/>
  <c r="T1062" i="3"/>
  <c r="T1063" i="3"/>
  <c r="T1065" i="3"/>
  <c r="T1066" i="3"/>
  <c r="T1067" i="3"/>
  <c r="T1068" i="3"/>
  <c r="T1069" i="3"/>
  <c r="T1070" i="3"/>
  <c r="T1071" i="3"/>
  <c r="T1072" i="3"/>
  <c r="T1074" i="3"/>
  <c r="T1075" i="3"/>
  <c r="T1077" i="3"/>
  <c r="T1078" i="3"/>
  <c r="T1079" i="3"/>
  <c r="T1080" i="3"/>
  <c r="T1081" i="3"/>
  <c r="T1082" i="3"/>
  <c r="T1083" i="3"/>
  <c r="T1084" i="3"/>
  <c r="T1085" i="3"/>
  <c r="T1088" i="3"/>
  <c r="T1089" i="3"/>
  <c r="T1090" i="3"/>
  <c r="T1091" i="3"/>
  <c r="T1093" i="3"/>
  <c r="T1094" i="3"/>
  <c r="T1096" i="3"/>
  <c r="T1097" i="3"/>
  <c r="T1098" i="3"/>
  <c r="T1100" i="3"/>
  <c r="T1101" i="3"/>
  <c r="T1103" i="3"/>
  <c r="T1104" i="3"/>
  <c r="T1105" i="3"/>
  <c r="T1106" i="3"/>
  <c r="T1107" i="3"/>
  <c r="T1108" i="3"/>
  <c r="T1109" i="3"/>
  <c r="T1110" i="3"/>
  <c r="T1111" i="3"/>
  <c r="T1112" i="3"/>
  <c r="T1114" i="3"/>
  <c r="T1115" i="3"/>
  <c r="T1117" i="3"/>
  <c r="T1118" i="3"/>
  <c r="T1119" i="3"/>
  <c r="T1120" i="3"/>
  <c r="T1121" i="3"/>
  <c r="T1122" i="3"/>
  <c r="T1124" i="3"/>
  <c r="T1125" i="3"/>
  <c r="T1127" i="3"/>
  <c r="T1128" i="3"/>
  <c r="T1129" i="3"/>
  <c r="T1130" i="3"/>
  <c r="T1131" i="3"/>
  <c r="T1132" i="3"/>
  <c r="T1134" i="3"/>
  <c r="T1135" i="3"/>
  <c r="T1137" i="3"/>
  <c r="T1138" i="3"/>
  <c r="T1139" i="3"/>
  <c r="T1140" i="3"/>
  <c r="T1141" i="3"/>
  <c r="T1142" i="3"/>
  <c r="T1143" i="3"/>
  <c r="T1144" i="3"/>
  <c r="T1145" i="3"/>
  <c r="T1146" i="3"/>
  <c r="T1147" i="3"/>
  <c r="T1149" i="3"/>
  <c r="T1150" i="3"/>
  <c r="T1152" i="3"/>
  <c r="T1153" i="3"/>
  <c r="T1154" i="3"/>
  <c r="T1155" i="3"/>
  <c r="T1156" i="3"/>
  <c r="T1158" i="3"/>
  <c r="T1159" i="3"/>
  <c r="T1161" i="3"/>
  <c r="T1162" i="3"/>
  <c r="T1163" i="3"/>
  <c r="T1164" i="3"/>
  <c r="T1165" i="3"/>
  <c r="T1166" i="3"/>
  <c r="T1169" i="3"/>
  <c r="T1170" i="3"/>
  <c r="T1171" i="3"/>
  <c r="T1172" i="3"/>
  <c r="T1173" i="3"/>
  <c r="T1174" i="3"/>
  <c r="T1175" i="3"/>
  <c r="T1176" i="3"/>
  <c r="T1178" i="3"/>
  <c r="T1179" i="3"/>
  <c r="T1181" i="3"/>
  <c r="T1182" i="3"/>
  <c r="T1183" i="3"/>
  <c r="T1184" i="3"/>
  <c r="T1185" i="3"/>
  <c r="T1186" i="3"/>
  <c r="T1187" i="3"/>
  <c r="T1188" i="3"/>
  <c r="T1189" i="3"/>
  <c r="T1191" i="3"/>
  <c r="T1192" i="3"/>
  <c r="T1194" i="3"/>
  <c r="T1195" i="3"/>
  <c r="T1196" i="3"/>
  <c r="T1197" i="3"/>
  <c r="T1198" i="3"/>
  <c r="T1199" i="3"/>
  <c r="T1200" i="3"/>
  <c r="T1201" i="3"/>
  <c r="T1202" i="3"/>
  <c r="T1203" i="3"/>
  <c r="T1205" i="3"/>
  <c r="T1206" i="3"/>
  <c r="T1208" i="3"/>
  <c r="T1209" i="3"/>
  <c r="T1210" i="3"/>
  <c r="T1211" i="3"/>
  <c r="T1212" i="3"/>
  <c r="T1213" i="3"/>
  <c r="T1214" i="3"/>
  <c r="T1215" i="3"/>
  <c r="T1216" i="3"/>
  <c r="T1218" i="3"/>
  <c r="T1219" i="3"/>
  <c r="T1221" i="3"/>
  <c r="T1222" i="3"/>
  <c r="T1223" i="3"/>
  <c r="T1224" i="3"/>
  <c r="T1225" i="3"/>
  <c r="T1226" i="3"/>
  <c r="T1227" i="3"/>
  <c r="T1228" i="3"/>
  <c r="T1229" i="3"/>
  <c r="T1230" i="3"/>
  <c r="T1231" i="3"/>
  <c r="T1233" i="3"/>
  <c r="T1234" i="3"/>
  <c r="T1236" i="3"/>
  <c r="T1237" i="3"/>
  <c r="T1238" i="3"/>
  <c r="T1239" i="3"/>
  <c r="T1240" i="3"/>
  <c r="T1241" i="3"/>
  <c r="T1242" i="3"/>
  <c r="T1243" i="3"/>
  <c r="T1244" i="3"/>
  <c r="T1245" i="3"/>
  <c r="T1246" i="3"/>
  <c r="T1247" i="3"/>
  <c r="T1248" i="3"/>
  <c r="T1250" i="3"/>
  <c r="T1251" i="3"/>
  <c r="T1253" i="3"/>
  <c r="T1254" i="3"/>
  <c r="T1255" i="3"/>
  <c r="T1256" i="3"/>
  <c r="T1257" i="3"/>
  <c r="T1258" i="3"/>
  <c r="T1259" i="3"/>
  <c r="T1260" i="3"/>
  <c r="T1261" i="3"/>
  <c r="T1262" i="3"/>
  <c r="T1263" i="3"/>
  <c r="T1265" i="3"/>
  <c r="T1267" i="3"/>
  <c r="T1268" i="3"/>
  <c r="T1269" i="3"/>
  <c r="T1270" i="3"/>
  <c r="T1271" i="3"/>
  <c r="T1272" i="3"/>
  <c r="T1274" i="3"/>
  <c r="T1275" i="3"/>
  <c r="T1277" i="3"/>
  <c r="T1278" i="3"/>
  <c r="T1279" i="3"/>
  <c r="T1280" i="3"/>
  <c r="T1281" i="3"/>
  <c r="T1282" i="3"/>
  <c r="T1283" i="3"/>
  <c r="T1284" i="3"/>
  <c r="T1285" i="3"/>
  <c r="T1286" i="3"/>
  <c r="T1287" i="3"/>
  <c r="T1288" i="3"/>
  <c r="T1289" i="3"/>
  <c r="T1291" i="3"/>
  <c r="T1292" i="3"/>
  <c r="T1294" i="3"/>
  <c r="T1295" i="3"/>
  <c r="T1296" i="3"/>
  <c r="T1297" i="3"/>
  <c r="T1298" i="3"/>
  <c r="T1299" i="3"/>
  <c r="T1300" i="3"/>
  <c r="T1301" i="3"/>
  <c r="T1302" i="3"/>
  <c r="T1303" i="3"/>
  <c r="T1306" i="3"/>
  <c r="T1307" i="3"/>
  <c r="T1308" i="3"/>
  <c r="T1309" i="3"/>
  <c r="T1310" i="3"/>
  <c r="T1311" i="3"/>
  <c r="T1312" i="3"/>
  <c r="T1313" i="3"/>
  <c r="T1314" i="3"/>
  <c r="T1315" i="3"/>
  <c r="T1316" i="3"/>
  <c r="T1317" i="3"/>
  <c r="T1319" i="3"/>
  <c r="T1320" i="3"/>
  <c r="T1322" i="3"/>
  <c r="T1323" i="3"/>
  <c r="T1324" i="3"/>
  <c r="T1325" i="3"/>
  <c r="T1326" i="3"/>
  <c r="T1329" i="3"/>
  <c r="T1330" i="3"/>
  <c r="T1331" i="3"/>
  <c r="T1332" i="3"/>
  <c r="T1333" i="3"/>
  <c r="T1334" i="3"/>
  <c r="T1335" i="3"/>
  <c r="T1336" i="3"/>
  <c r="T1337" i="3"/>
  <c r="T1338" i="3"/>
  <c r="T1339" i="3"/>
  <c r="T1340" i="3"/>
  <c r="T1341" i="3"/>
  <c r="T1342" i="3"/>
  <c r="T1343" i="3"/>
  <c r="T1344" i="3"/>
  <c r="T1345" i="3"/>
  <c r="T1347" i="3"/>
  <c r="T1348" i="3"/>
  <c r="T1350" i="3"/>
  <c r="T1351" i="3"/>
  <c r="T1352" i="3"/>
  <c r="T1353" i="3"/>
  <c r="T1354" i="3"/>
  <c r="T1355" i="3"/>
  <c r="T1356" i="3"/>
  <c r="T1357" i="3"/>
  <c r="T1358" i="3"/>
  <c r="T1359" i="3"/>
  <c r="T1361" i="3"/>
  <c r="T1362" i="3"/>
  <c r="T1364" i="3"/>
  <c r="T1365" i="3"/>
  <c r="T1366" i="3"/>
  <c r="T1367" i="3"/>
  <c r="T1368" i="3"/>
  <c r="T1369" i="3"/>
  <c r="T1370" i="3"/>
  <c r="T1371" i="3"/>
  <c r="T1372" i="3"/>
  <c r="T1373" i="3"/>
  <c r="T1374" i="3"/>
  <c r="T1376" i="3"/>
  <c r="T1377" i="3"/>
  <c r="T1379" i="3"/>
  <c r="T1380" i="3"/>
  <c r="T1381" i="3"/>
  <c r="T1382" i="3"/>
  <c r="T1383" i="3"/>
  <c r="T1384" i="3"/>
  <c r="T1385" i="3"/>
  <c r="T1386" i="3"/>
  <c r="T1388" i="3"/>
  <c r="T1389" i="3"/>
  <c r="T1391" i="3"/>
  <c r="T1392" i="3"/>
  <c r="T1393" i="3"/>
  <c r="T1394" i="3"/>
  <c r="T1395" i="3"/>
  <c r="T1397" i="3"/>
  <c r="T1398" i="3"/>
  <c r="T1400" i="3"/>
  <c r="T1401" i="3"/>
  <c r="T1402" i="3"/>
  <c r="T1403" i="3"/>
  <c r="T1404" i="3"/>
  <c r="T1405" i="3"/>
  <c r="T1406" i="3"/>
  <c r="T1407" i="3"/>
  <c r="T1408" i="3"/>
  <c r="T1409" i="3"/>
  <c r="T1410" i="3"/>
  <c r="T1412" i="3"/>
  <c r="T1413" i="3"/>
  <c r="T1415" i="3"/>
  <c r="T1416" i="3"/>
  <c r="T1417" i="3"/>
  <c r="T1418" i="3"/>
  <c r="T1419" i="3"/>
  <c r="T1420" i="3"/>
  <c r="T1421" i="3"/>
  <c r="T1422" i="3"/>
  <c r="T1423" i="3"/>
  <c r="T1424" i="3"/>
  <c r="T1425" i="3"/>
  <c r="T1427" i="3"/>
  <c r="T1428" i="3"/>
  <c r="T1430" i="3"/>
  <c r="T1431" i="3"/>
  <c r="T1432" i="3"/>
  <c r="T1433" i="3"/>
  <c r="T1434" i="3"/>
  <c r="T1435" i="3"/>
  <c r="T1436" i="3"/>
  <c r="T1437" i="3"/>
  <c r="T1438" i="3"/>
  <c r="T1439" i="3"/>
  <c r="T1440" i="3"/>
  <c r="T1441" i="3"/>
  <c r="T1443" i="3"/>
  <c r="T1444" i="3"/>
  <c r="T1446" i="3"/>
  <c r="T1447" i="3"/>
  <c r="T1448" i="3"/>
  <c r="T1449" i="3"/>
  <c r="T1450" i="3"/>
  <c r="T1451" i="3"/>
  <c r="T1452" i="3"/>
  <c r="T1453" i="3"/>
  <c r="T1454" i="3"/>
  <c r="T1455" i="3"/>
  <c r="T1456" i="3"/>
  <c r="T1457" i="3"/>
  <c r="T1459" i="3"/>
  <c r="T1460" i="3"/>
  <c r="T1462" i="3"/>
  <c r="T1463" i="3"/>
  <c r="T1464" i="3"/>
  <c r="T1465" i="3"/>
  <c r="T1466" i="3"/>
  <c r="T1467" i="3"/>
  <c r="T1468" i="3"/>
  <c r="T1469" i="3"/>
  <c r="T1470" i="3"/>
  <c r="T1471" i="3"/>
  <c r="T1472" i="3"/>
  <c r="T1474" i="3"/>
  <c r="T1475" i="3"/>
  <c r="T1477" i="3"/>
  <c r="T1478" i="3"/>
  <c r="T1479" i="3"/>
  <c r="T1480" i="3"/>
  <c r="T1481" i="3"/>
  <c r="T1482" i="3"/>
  <c r="T1483" i="3"/>
  <c r="T1484" i="3"/>
  <c r="T1485" i="3"/>
  <c r="T1486" i="3"/>
  <c r="T1487" i="3"/>
  <c r="T1490" i="3"/>
  <c r="T1491" i="3"/>
  <c r="T1492" i="3"/>
  <c r="T1493" i="3"/>
  <c r="T1494" i="3"/>
  <c r="T1495" i="3"/>
  <c r="T1496" i="3"/>
  <c r="T1497" i="3"/>
  <c r="T1498" i="3"/>
  <c r="T1499" i="3"/>
  <c r="T1500" i="3"/>
  <c r="T1501" i="3"/>
  <c r="T1502" i="3"/>
  <c r="T1504" i="3"/>
  <c r="T1505" i="3"/>
  <c r="T1507" i="3"/>
  <c r="T1508" i="3"/>
  <c r="T1509" i="3"/>
  <c r="T1510" i="3"/>
  <c r="T1511" i="3"/>
  <c r="T1512" i="3"/>
  <c r="T1514" i="3"/>
  <c r="T1515" i="3"/>
  <c r="T1517" i="3"/>
  <c r="T1518" i="3"/>
  <c r="T1519" i="3"/>
  <c r="T1520" i="3"/>
  <c r="T1521" i="3"/>
  <c r="T1522" i="3"/>
  <c r="T1524" i="3"/>
  <c r="T1525" i="3"/>
  <c r="T1527" i="3"/>
  <c r="T1528" i="3"/>
  <c r="T1529" i="3"/>
  <c r="T1530" i="3"/>
  <c r="T1531" i="3"/>
  <c r="T1532" i="3"/>
  <c r="T1534" i="3"/>
  <c r="T1535" i="3"/>
  <c r="T1537" i="3"/>
  <c r="T1538" i="3"/>
  <c r="T1540" i="3"/>
  <c r="T1541" i="3"/>
  <c r="T1543" i="3"/>
  <c r="T1544" i="3"/>
  <c r="T1546" i="3"/>
  <c r="T1547" i="3"/>
  <c r="T1549" i="3"/>
  <c r="T1550" i="3"/>
  <c r="T1551" i="3"/>
  <c r="T1552" i="3"/>
  <c r="T1553" i="3"/>
  <c r="T1555" i="3"/>
  <c r="T1557" i="3"/>
  <c r="T1558" i="3"/>
  <c r="T1559" i="3"/>
  <c r="T1561" i="3"/>
  <c r="T1563" i="3"/>
  <c r="T1564" i="3"/>
  <c r="T1565" i="3"/>
  <c r="T1566" i="3"/>
  <c r="T1567" i="3"/>
  <c r="T1568" i="3"/>
  <c r="T1570" i="3"/>
  <c r="T1572" i="3"/>
  <c r="T1573" i="3"/>
  <c r="T1574" i="3"/>
  <c r="T1575" i="3"/>
  <c r="T1576" i="3"/>
  <c r="T1577" i="3"/>
  <c r="T1579" i="3"/>
  <c r="T1580" i="3"/>
  <c r="T1582" i="3"/>
  <c r="T1583" i="3"/>
  <c r="T1584" i="3"/>
  <c r="T1585" i="3"/>
  <c r="T1586" i="3"/>
  <c r="T1587" i="3"/>
  <c r="T1588" i="3"/>
  <c r="T1590" i="3"/>
  <c r="T1591" i="3"/>
  <c r="T1593" i="3"/>
  <c r="T1594" i="3"/>
  <c r="T1595" i="3"/>
  <c r="T1596" i="3"/>
  <c r="T1598" i="3"/>
  <c r="T1599" i="3"/>
  <c r="T1601" i="3"/>
  <c r="T1602" i="3"/>
  <c r="T1603" i="3"/>
  <c r="T1604" i="3"/>
  <c r="T1605" i="3"/>
  <c r="T1606" i="3"/>
  <c r="T1607" i="3"/>
  <c r="T1608" i="3"/>
  <c r="T1609" i="3"/>
  <c r="T1610" i="3"/>
  <c r="T1611" i="3"/>
  <c r="T1613" i="3"/>
  <c r="T1614" i="3"/>
  <c r="T1616" i="3"/>
  <c r="T1617" i="3"/>
  <c r="T1618" i="3"/>
  <c r="T1619" i="3"/>
  <c r="T1620" i="3"/>
  <c r="T1621" i="3"/>
  <c r="T1622" i="3"/>
  <c r="T1623" i="3"/>
  <c r="T1624" i="3"/>
  <c r="T1625" i="3"/>
  <c r="T1626" i="3"/>
  <c r="T1628" i="3"/>
  <c r="T1629" i="3"/>
  <c r="T1631" i="3"/>
  <c r="T1632" i="3"/>
  <c r="T1633" i="3"/>
  <c r="T1634" i="3"/>
  <c r="T1635" i="3"/>
  <c r="T1636" i="3"/>
  <c r="T1637" i="3"/>
  <c r="T1638" i="3"/>
  <c r="T1640" i="3"/>
  <c r="T1641" i="3"/>
  <c r="T1643" i="3"/>
  <c r="T1644" i="3"/>
  <c r="T1645" i="3"/>
  <c r="T1646" i="3"/>
  <c r="T1647" i="3"/>
  <c r="T1648" i="3"/>
  <c r="T1649" i="3"/>
  <c r="T1650" i="3"/>
  <c r="T1651" i="3"/>
  <c r="T1652" i="3"/>
  <c r="T1653" i="3"/>
  <c r="T1654" i="3"/>
  <c r="T1656" i="3"/>
  <c r="T1657" i="3"/>
  <c r="T1659" i="3"/>
  <c r="T1660" i="3"/>
  <c r="T1661" i="3"/>
  <c r="T1662" i="3"/>
  <c r="T1663" i="3"/>
  <c r="T1664" i="3"/>
  <c r="T1665" i="3"/>
  <c r="T1666" i="3"/>
  <c r="T1667" i="3"/>
  <c r="T1668" i="3"/>
  <c r="T1670" i="3"/>
  <c r="T1671" i="3"/>
  <c r="T1673" i="3"/>
  <c r="T1674" i="3"/>
  <c r="T1675" i="3"/>
  <c r="T1676" i="3"/>
  <c r="T1677" i="3"/>
  <c r="T1678" i="3"/>
  <c r="T1679" i="3"/>
  <c r="T1680" i="3"/>
  <c r="T1681" i="3"/>
  <c r="T1682" i="3"/>
  <c r="T1684" i="3"/>
  <c r="T1686" i="3"/>
  <c r="T1687" i="3"/>
  <c r="T1688" i="3"/>
  <c r="T1689" i="3"/>
  <c r="T1690" i="3"/>
  <c r="T1691" i="3"/>
  <c r="T1694" i="3"/>
  <c r="T1695" i="3"/>
  <c r="T1696" i="3"/>
  <c r="T1697" i="3"/>
  <c r="T1698" i="3"/>
  <c r="T1699" i="3"/>
  <c r="T1700" i="3"/>
  <c r="T1703" i="3"/>
  <c r="T1704" i="3"/>
  <c r="T1705" i="3"/>
  <c r="T1706" i="3"/>
  <c r="T1707" i="3"/>
  <c r="T1708" i="3"/>
  <c r="T1709" i="3"/>
  <c r="T1711" i="3"/>
  <c r="T1712" i="3"/>
  <c r="T1714" i="3"/>
  <c r="T1715" i="3"/>
  <c r="T1717" i="3"/>
  <c r="T1718" i="3"/>
  <c r="T1720" i="3"/>
  <c r="T1721" i="3"/>
  <c r="T1722" i="3"/>
  <c r="T1723" i="3"/>
  <c r="T1724" i="3"/>
  <c r="T1725" i="3"/>
  <c r="T1726" i="3"/>
  <c r="T1727" i="3"/>
  <c r="T1728" i="3"/>
  <c r="T1729" i="3"/>
  <c r="T1730" i="3"/>
  <c r="T1733" i="3"/>
  <c r="T1734" i="3"/>
  <c r="T1735" i="3"/>
  <c r="T1736" i="3"/>
  <c r="T1737" i="3"/>
  <c r="T1738" i="3"/>
  <c r="T1739" i="3"/>
  <c r="T1740" i="3"/>
  <c r="T1741" i="3"/>
  <c r="T1742" i="3"/>
  <c r="T1743" i="3"/>
  <c r="T1744" i="3"/>
  <c r="T1745" i="3"/>
  <c r="T1747" i="3"/>
  <c r="T1748" i="3"/>
  <c r="T1750" i="3"/>
  <c r="T1751" i="3"/>
  <c r="T1752" i="3"/>
  <c r="T1753" i="3"/>
  <c r="T1754" i="3"/>
  <c r="T1755" i="3"/>
  <c r="T1756" i="3"/>
  <c r="T1757" i="3"/>
  <c r="T1758" i="3"/>
  <c r="T1759" i="3"/>
  <c r="T1760" i="3"/>
  <c r="T1763" i="3"/>
  <c r="T1764" i="3"/>
  <c r="T1765" i="3"/>
  <c r="T1766" i="3"/>
  <c r="T1767" i="3"/>
  <c r="T1768" i="3"/>
  <c r="T1769" i="3"/>
  <c r="T1770" i="3"/>
  <c r="T1771" i="3"/>
  <c r="T1772" i="3"/>
  <c r="T1773" i="3"/>
  <c r="T1774" i="3"/>
  <c r="T1775" i="3"/>
  <c r="T1777" i="3"/>
  <c r="T1778" i="3"/>
  <c r="T1780" i="3"/>
  <c r="T1781" i="3"/>
  <c r="T1782" i="3"/>
  <c r="T1783" i="3"/>
  <c r="T1784" i="3"/>
  <c r="T1785" i="3"/>
  <c r="T1787" i="3"/>
  <c r="T1788" i="3"/>
  <c r="T1790" i="3"/>
  <c r="T1791" i="3"/>
  <c r="T1792" i="3"/>
  <c r="T1793" i="3"/>
  <c r="T1794" i="3"/>
  <c r="T1795" i="3"/>
  <c r="T1796" i="3"/>
  <c r="T1797" i="3"/>
  <c r="T1799" i="3"/>
  <c r="T1800" i="3"/>
  <c r="T1802" i="3"/>
  <c r="T1803" i="3"/>
  <c r="T1804" i="3"/>
  <c r="T1805" i="3"/>
  <c r="T1806" i="3"/>
  <c r="T1807" i="3"/>
  <c r="T1810" i="3"/>
  <c r="T1811" i="3"/>
  <c r="T1812" i="3"/>
  <c r="T1813" i="3"/>
  <c r="T1815" i="3"/>
  <c r="T1816" i="3"/>
  <c r="T1818" i="3"/>
  <c r="T1819" i="3"/>
  <c r="T1820" i="3"/>
  <c r="T1821" i="3"/>
  <c r="T1822" i="3"/>
  <c r="T1823" i="3"/>
  <c r="T1825" i="3"/>
  <c r="T1826" i="3"/>
  <c r="T1828" i="3"/>
  <c r="T1829" i="3"/>
  <c r="T1830" i="3"/>
  <c r="T1831" i="3"/>
  <c r="T1833" i="3"/>
  <c r="T1834" i="3"/>
  <c r="T1836" i="3"/>
  <c r="T1837" i="3"/>
  <c r="T1838" i="3"/>
  <c r="T1839" i="3"/>
  <c r="T1840" i="3"/>
  <c r="T1841" i="3"/>
  <c r="T1842" i="3"/>
  <c r="T1843" i="3"/>
  <c r="T1844" i="3"/>
  <c r="T1846" i="3"/>
  <c r="T1847" i="3"/>
  <c r="T1849" i="3"/>
  <c r="T1850" i="3"/>
  <c r="T1851" i="3"/>
  <c r="T1852" i="3"/>
  <c r="T1853" i="3"/>
  <c r="T1854" i="3"/>
  <c r="T1855" i="3"/>
  <c r="T1856" i="3"/>
  <c r="T1857" i="3"/>
  <c r="T1860" i="3"/>
  <c r="T1861" i="3"/>
  <c r="T1862" i="3"/>
  <c r="T1863" i="3"/>
  <c r="T1864" i="3"/>
  <c r="T1865" i="3"/>
  <c r="T1866" i="3"/>
  <c r="T1867" i="3"/>
  <c r="T1868" i="3"/>
  <c r="T1869" i="3"/>
  <c r="T1870" i="3"/>
  <c r="T1872" i="3"/>
  <c r="T1873" i="3"/>
  <c r="T1875" i="3"/>
  <c r="T1876" i="3"/>
  <c r="T1877" i="3"/>
  <c r="T1878" i="3"/>
  <c r="T1879" i="3"/>
  <c r="T1881" i="3"/>
  <c r="T1882" i="3"/>
  <c r="T1884" i="3"/>
  <c r="T1885" i="3"/>
  <c r="T1886" i="3"/>
  <c r="T1887" i="3"/>
  <c r="T1888" i="3"/>
  <c r="T1889" i="3"/>
  <c r="T1890" i="3"/>
  <c r="T1891" i="3"/>
  <c r="T1892" i="3"/>
  <c r="T1893" i="3"/>
  <c r="T1895" i="3"/>
  <c r="T1896" i="3"/>
  <c r="T1898" i="3"/>
  <c r="T1899" i="3"/>
  <c r="T1900" i="3"/>
  <c r="T1901" i="3"/>
  <c r="T1902" i="3"/>
  <c r="T1903" i="3"/>
  <c r="T1904" i="3"/>
  <c r="T1905" i="3"/>
  <c r="T1906" i="3"/>
  <c r="T1907" i="3"/>
  <c r="T1910" i="3"/>
  <c r="T1911" i="3"/>
  <c r="T1912" i="3"/>
  <c r="T1913" i="3"/>
  <c r="T1914" i="3"/>
  <c r="T1915" i="3"/>
  <c r="T1916" i="3"/>
  <c r="T1917" i="3"/>
  <c r="T1918" i="3"/>
  <c r="T1919" i="3"/>
  <c r="T1920" i="3"/>
  <c r="T1921" i="3"/>
  <c r="T1923" i="3"/>
  <c r="T1925" i="3"/>
  <c r="T1926" i="3"/>
  <c r="T1927" i="3"/>
  <c r="T1929" i="3"/>
  <c r="T1930" i="3"/>
  <c r="T1932" i="3"/>
  <c r="T1933" i="3"/>
  <c r="T1934" i="3"/>
  <c r="T1935" i="3"/>
  <c r="T1937" i="3"/>
  <c r="T1939" i="3"/>
  <c r="T1940" i="3"/>
  <c r="T1941" i="3"/>
  <c r="T1943" i="3"/>
  <c r="T1944" i="3"/>
  <c r="T1946" i="3"/>
  <c r="T1947" i="3"/>
  <c r="T1948" i="3"/>
  <c r="T1949" i="3"/>
  <c r="T1950" i="3"/>
  <c r="T1951" i="3"/>
  <c r="T1952" i="3"/>
  <c r="T1953" i="3"/>
  <c r="T1954" i="3"/>
  <c r="T1955" i="3"/>
  <c r="T1957" i="3"/>
  <c r="T1958" i="3"/>
  <c r="T1960" i="3"/>
  <c r="T1961" i="3"/>
  <c r="T1962" i="3"/>
  <c r="T1963" i="3"/>
  <c r="T1964" i="3"/>
  <c r="T1965" i="3"/>
  <c r="T1966" i="3"/>
  <c r="T1967" i="3"/>
  <c r="T1968" i="3"/>
  <c r="T1969" i="3"/>
  <c r="T1971" i="3"/>
  <c r="T1972" i="3"/>
  <c r="T1974" i="3"/>
  <c r="T1975" i="3"/>
  <c r="T1976" i="3"/>
  <c r="T1977" i="3"/>
  <c r="T1978" i="3"/>
  <c r="T1979" i="3"/>
  <c r="T1980" i="3"/>
  <c r="T1981" i="3"/>
  <c r="T1982" i="3"/>
  <c r="T1983" i="3"/>
  <c r="T1985" i="3"/>
  <c r="T1986" i="3"/>
  <c r="T1988" i="3"/>
  <c r="T1989" i="3"/>
  <c r="T1990" i="3"/>
  <c r="T1991" i="3"/>
  <c r="T1992" i="3"/>
  <c r="T1993" i="3"/>
  <c r="T1994" i="3"/>
  <c r="T1995" i="3"/>
  <c r="T1996" i="3"/>
  <c r="T1997" i="3"/>
  <c r="T1999" i="3"/>
  <c r="T2000" i="3"/>
  <c r="T2002" i="3"/>
  <c r="T2003" i="3"/>
  <c r="T2004" i="3"/>
  <c r="T2005" i="3"/>
  <c r="T2006" i="3"/>
  <c r="T2007" i="3"/>
  <c r="T2008" i="3"/>
  <c r="T2009" i="3"/>
  <c r="T2010" i="3"/>
  <c r="T2011" i="3"/>
  <c r="T2014" i="3"/>
  <c r="T2015" i="3"/>
  <c r="T2016" i="3"/>
  <c r="T2017" i="3"/>
  <c r="T2018" i="3"/>
  <c r="T2019" i="3"/>
  <c r="T2020" i="3"/>
  <c r="T2021" i="3"/>
  <c r="T2022" i="3"/>
  <c r="T2023" i="3"/>
  <c r="T2024" i="3"/>
  <c r="T2025" i="3"/>
  <c r="T2027" i="3"/>
  <c r="T2028" i="3"/>
  <c r="T2030" i="3"/>
  <c r="T2031" i="3"/>
  <c r="T2032" i="3"/>
  <c r="T2033" i="3"/>
  <c r="T2034" i="3"/>
  <c r="T2035" i="3"/>
  <c r="T2037" i="3"/>
  <c r="T2038" i="3"/>
  <c r="T2040" i="3"/>
  <c r="T2041" i="3"/>
  <c r="T2042" i="3"/>
  <c r="T2043" i="3"/>
  <c r="T2044" i="3"/>
  <c r="T2045" i="3"/>
  <c r="T2046" i="3"/>
  <c r="T2047" i="3"/>
  <c r="T2048" i="3"/>
  <c r="T2049" i="3"/>
  <c r="T2050" i="3"/>
  <c r="T2051" i="3"/>
  <c r="T2053" i="3"/>
  <c r="T2054" i="3"/>
  <c r="T2056" i="3"/>
  <c r="T2057" i="3"/>
  <c r="T2058" i="3"/>
  <c r="T2059" i="3"/>
  <c r="T2060" i="3"/>
  <c r="T2061" i="3"/>
  <c r="T2062" i="3"/>
  <c r="T2063" i="3"/>
  <c r="T2064" i="3"/>
  <c r="T2065" i="3"/>
  <c r="T2066" i="3"/>
  <c r="T2067" i="3"/>
  <c r="T2068" i="3"/>
  <c r="T2071" i="3"/>
  <c r="T2072" i="3"/>
  <c r="T2073" i="3"/>
  <c r="T2074" i="3"/>
  <c r="T2075" i="3"/>
  <c r="T2076" i="3"/>
  <c r="T2077" i="3"/>
  <c r="T2078" i="3"/>
  <c r="T2079" i="3"/>
  <c r="T2080" i="3"/>
  <c r="T2081" i="3"/>
  <c r="T2082" i="3"/>
  <c r="T2083" i="3"/>
  <c r="T2084" i="3"/>
  <c r="T2087" i="3"/>
  <c r="T2088" i="3"/>
  <c r="T2089" i="3"/>
  <c r="T2090" i="3"/>
  <c r="T2091" i="3"/>
  <c r="T2092" i="3"/>
  <c r="T2093" i="3"/>
  <c r="T2094" i="3"/>
  <c r="T2095" i="3"/>
  <c r="T2096" i="3"/>
  <c r="T2097" i="3"/>
  <c r="T2098" i="3"/>
  <c r="T2099" i="3"/>
  <c r="T2100" i="3"/>
  <c r="T2102" i="3"/>
  <c r="T2103" i="3"/>
  <c r="T2105" i="3"/>
  <c r="T2106" i="3"/>
  <c r="T2107" i="3"/>
  <c r="T2108" i="3"/>
  <c r="T2109" i="3"/>
  <c r="T2110" i="3"/>
  <c r="T2111" i="3"/>
  <c r="T2112" i="3"/>
  <c r="T2113" i="3"/>
  <c r="T2114" i="3"/>
  <c r="T2115" i="3"/>
  <c r="T2116" i="3"/>
  <c r="T2118" i="3"/>
  <c r="T2119" i="3"/>
  <c r="T2121" i="3"/>
  <c r="T2122" i="3"/>
  <c r="T2123" i="3"/>
  <c r="T2124" i="3"/>
  <c r="T2125" i="3"/>
  <c r="T2126" i="3"/>
  <c r="T2127" i="3"/>
  <c r="T2128" i="3"/>
  <c r="T2129" i="3"/>
  <c r="T2130" i="3"/>
  <c r="T2132" i="3"/>
  <c r="T2133" i="3"/>
  <c r="T2135" i="3"/>
  <c r="T2136" i="3"/>
  <c r="T2137" i="3"/>
  <c r="T2138" i="3"/>
  <c r="T2140" i="3"/>
  <c r="T2141" i="3"/>
  <c r="T2143" i="3"/>
  <c r="T2144" i="3"/>
  <c r="T2145" i="3"/>
  <c r="T2146" i="3"/>
  <c r="T2147" i="3"/>
  <c r="T2148" i="3"/>
  <c r="T2149" i="3"/>
  <c r="T2150" i="3"/>
  <c r="T2152" i="3"/>
  <c r="T2153" i="3"/>
  <c r="T2155" i="3"/>
  <c r="T2156" i="3"/>
  <c r="T2157" i="3"/>
  <c r="T2158" i="3"/>
  <c r="T2159" i="3"/>
  <c r="T2160" i="3"/>
  <c r="T2161" i="3"/>
  <c r="T2162" i="3"/>
  <c r="T2163" i="3"/>
  <c r="T2165" i="3"/>
  <c r="T2166" i="3"/>
  <c r="T2168" i="3"/>
  <c r="T2169" i="3"/>
  <c r="T2171" i="3"/>
  <c r="T2173" i="3"/>
  <c r="T2174" i="3"/>
  <c r="T2175" i="3"/>
  <c r="T2176" i="3"/>
  <c r="T2177" i="3"/>
  <c r="T2178" i="3"/>
  <c r="T2181" i="3"/>
  <c r="T2182" i="3"/>
  <c r="T2183" i="3"/>
  <c r="T2184" i="3"/>
  <c r="T2186" i="3"/>
  <c r="T2187" i="3"/>
  <c r="T2189" i="3"/>
  <c r="T2190" i="3"/>
  <c r="T2191" i="3"/>
  <c r="T2192" i="3"/>
  <c r="T2194" i="3"/>
  <c r="T2195" i="3"/>
  <c r="T2197" i="3"/>
  <c r="T2198" i="3"/>
  <c r="T2199" i="3"/>
  <c r="T2200" i="3"/>
  <c r="T2201" i="3"/>
  <c r="T2202" i="3"/>
  <c r="T2203" i="3"/>
  <c r="T2204" i="3"/>
  <c r="T2205" i="3"/>
  <c r="T2207" i="3"/>
  <c r="T2208" i="3"/>
  <c r="T2210" i="3"/>
  <c r="T2211" i="3"/>
  <c r="T2212" i="3"/>
  <c r="T2213" i="3"/>
  <c r="T2214" i="3"/>
  <c r="T2215" i="3"/>
  <c r="T2216" i="3"/>
  <c r="T2217" i="3"/>
  <c r="T2218" i="3"/>
  <c r="T2219" i="3"/>
  <c r="T2220" i="3"/>
  <c r="T2221" i="3"/>
  <c r="T2222" i="3"/>
  <c r="T2224" i="3"/>
  <c r="T2225" i="3"/>
  <c r="T2227" i="3"/>
  <c r="T2228" i="3"/>
  <c r="T2229" i="3"/>
  <c r="T2230" i="3"/>
  <c r="T2231" i="3"/>
  <c r="T2232" i="3"/>
  <c r="T2233" i="3"/>
  <c r="T2234" i="3"/>
  <c r="T2235" i="3"/>
  <c r="T2236" i="3"/>
  <c r="T2237" i="3"/>
  <c r="T2238" i="3"/>
  <c r="T2239" i="3"/>
  <c r="T2241" i="3"/>
  <c r="T2242" i="3"/>
  <c r="T2244" i="3"/>
  <c r="T2245" i="3"/>
  <c r="T2246" i="3"/>
  <c r="T2247" i="3"/>
  <c r="T2248" i="3"/>
  <c r="T2249" i="3"/>
  <c r="T2250" i="3"/>
  <c r="T2251" i="3"/>
  <c r="T2252" i="3"/>
  <c r="T2253" i="3"/>
  <c r="T2254" i="3"/>
  <c r="T2255" i="3"/>
  <c r="T2256" i="3"/>
  <c r="T2257" i="3"/>
  <c r="T2258" i="3"/>
  <c r="T2261" i="3"/>
  <c r="T2262" i="3"/>
  <c r="T2263" i="3"/>
  <c r="T2264" i="3"/>
  <c r="T2265" i="3"/>
  <c r="T2266" i="3"/>
  <c r="T2267" i="3"/>
  <c r="T2268" i="3"/>
  <c r="T2269" i="3"/>
  <c r="T2270" i="3"/>
  <c r="T2271" i="3"/>
  <c r="T2272" i="3"/>
  <c r="T2273" i="3"/>
  <c r="T2274" i="3"/>
  <c r="T2275" i="3"/>
  <c r="T2278" i="3"/>
  <c r="T2279" i="3"/>
  <c r="T2280" i="3"/>
  <c r="T2281" i="3"/>
  <c r="T2282" i="3"/>
  <c r="T2283" i="3"/>
  <c r="T2284" i="3"/>
  <c r="T2285" i="3"/>
  <c r="T2286" i="3"/>
  <c r="T2287" i="3"/>
  <c r="T2288" i="3"/>
  <c r="T2289" i="3"/>
  <c r="T2290" i="3"/>
  <c r="T2291" i="3"/>
  <c r="T2294" i="3"/>
  <c r="T2295" i="3"/>
  <c r="T2296" i="3"/>
  <c r="T2297" i="3"/>
  <c r="T2298" i="3"/>
  <c r="T2299" i="3"/>
  <c r="T2300" i="3"/>
  <c r="T2301" i="3"/>
  <c r="T2302" i="3"/>
  <c r="T2303" i="3"/>
  <c r="T2304" i="3"/>
  <c r="T2305" i="3"/>
  <c r="T2306" i="3"/>
  <c r="T2307" i="3"/>
  <c r="T2309" i="3"/>
  <c r="T2311" i="3"/>
  <c r="T2312" i="3"/>
  <c r="T2313" i="3"/>
  <c r="T2314" i="3"/>
  <c r="T2316" i="3"/>
  <c r="T2317" i="3"/>
  <c r="T2319" i="3"/>
  <c r="T2320" i="3"/>
  <c r="T2321" i="3"/>
  <c r="T2322" i="3"/>
  <c r="T2323" i="3"/>
  <c r="T2324" i="3"/>
  <c r="T2325" i="3"/>
  <c r="T2326" i="3"/>
  <c r="T2327" i="3"/>
  <c r="T2328" i="3"/>
  <c r="T2329" i="3"/>
  <c r="T2330" i="3"/>
  <c r="T2331" i="3"/>
  <c r="T2332" i="3"/>
  <c r="T2333" i="3"/>
  <c r="T2335" i="3"/>
  <c r="T2336" i="3"/>
  <c r="T2338" i="3"/>
  <c r="T2339" i="3"/>
  <c r="T2340" i="3"/>
  <c r="T2341" i="3"/>
  <c r="T2342" i="3"/>
  <c r="T2343" i="3"/>
  <c r="T2344" i="3"/>
  <c r="T2345" i="3"/>
  <c r="T2346" i="3"/>
  <c r="T2347" i="3"/>
  <c r="T2348" i="3"/>
  <c r="T2349" i="3"/>
  <c r="T2350" i="3"/>
  <c r="T2352" i="3"/>
  <c r="T2353" i="3"/>
  <c r="T2355" i="3"/>
  <c r="T2356" i="3"/>
  <c r="T2357" i="3"/>
  <c r="T2358" i="3"/>
  <c r="T2359" i="3"/>
  <c r="T2360" i="3"/>
  <c r="T2361" i="3"/>
  <c r="T2362" i="3"/>
  <c r="T2363" i="3"/>
  <c r="T2364" i="3"/>
  <c r="T2365" i="3"/>
  <c r="T2366" i="3"/>
  <c r="T2367" i="3"/>
  <c r="T2368" i="3"/>
  <c r="T2369" i="3"/>
  <c r="T2372" i="3"/>
  <c r="T2373" i="3"/>
  <c r="T2374" i="3"/>
  <c r="T2375" i="3"/>
  <c r="T2376" i="3"/>
  <c r="T2377" i="3"/>
  <c r="T2378" i="3"/>
  <c r="T2379" i="3"/>
  <c r="T2380" i="3"/>
  <c r="T2381" i="3"/>
  <c r="T2382" i="3"/>
  <c r="T2383" i="3"/>
  <c r="T2384" i="3"/>
  <c r="T2385" i="3"/>
  <c r="T2387" i="3"/>
  <c r="T2389" i="3"/>
  <c r="T2390" i="3"/>
  <c r="T2391" i="3"/>
  <c r="T2392" i="3"/>
  <c r="T2393" i="3"/>
  <c r="T2394" i="3"/>
  <c r="T2395" i="3"/>
  <c r="T2396" i="3"/>
  <c r="T2397" i="3"/>
  <c r="T2398" i="3"/>
  <c r="T2399" i="3"/>
  <c r="T2400" i="3"/>
  <c r="T2401" i="3"/>
  <c r="T2403" i="3"/>
  <c r="T2404" i="3"/>
  <c r="T2406" i="3"/>
  <c r="T2407" i="3"/>
  <c r="T2408" i="3"/>
  <c r="T2409" i="3"/>
  <c r="T2410" i="3"/>
  <c r="T2411" i="3"/>
  <c r="T2412" i="3"/>
  <c r="T2413" i="3"/>
  <c r="T2415" i="3"/>
  <c r="T2416" i="3"/>
  <c r="T2418" i="3"/>
  <c r="T2419" i="3"/>
  <c r="T2420" i="3"/>
  <c r="T2421" i="3"/>
  <c r="T2422" i="3"/>
  <c r="T2423" i="3"/>
  <c r="T2424" i="3"/>
  <c r="T2425" i="3"/>
  <c r="T2426" i="3"/>
  <c r="T2427" i="3"/>
  <c r="T2428" i="3"/>
  <c r="T2429" i="3"/>
  <c r="T2430" i="3"/>
  <c r="T2432" i="3"/>
  <c r="T2433" i="3"/>
  <c r="T2435" i="3"/>
  <c r="T2436" i="3"/>
  <c r="T2437" i="3"/>
  <c r="T2438" i="3"/>
  <c r="T2439" i="3"/>
  <c r="T2440" i="3"/>
  <c r="T2441" i="3"/>
  <c r="T2442" i="3"/>
  <c r="T2443" i="3"/>
  <c r="T2444" i="3"/>
  <c r="T2445" i="3"/>
  <c r="T2446" i="3"/>
  <c r="T2447" i="3"/>
  <c r="T2449" i="3"/>
  <c r="T2450" i="3"/>
  <c r="T2452" i="3"/>
  <c r="T2453" i="3"/>
  <c r="T2454" i="3"/>
  <c r="T2455" i="3"/>
  <c r="T2456" i="3"/>
  <c r="T2457" i="3"/>
  <c r="T2458" i="3"/>
  <c r="T2459" i="3"/>
  <c r="T2460" i="3"/>
  <c r="T2461" i="3"/>
  <c r="T2462" i="3"/>
  <c r="T2463" i="3"/>
  <c r="T2465" i="3"/>
  <c r="T2466" i="3"/>
  <c r="T2468" i="3"/>
  <c r="T2469" i="3"/>
  <c r="T2470" i="3"/>
  <c r="T2471" i="3"/>
  <c r="T2472" i="3"/>
  <c r="T2473" i="3"/>
  <c r="T2474" i="3"/>
  <c r="T2475" i="3"/>
  <c r="T2476" i="3"/>
  <c r="T2477" i="3"/>
  <c r="T2478" i="3"/>
  <c r="T2479" i="3"/>
  <c r="T2480" i="3"/>
  <c r="T2482" i="3"/>
  <c r="T2483" i="3"/>
  <c r="T2485" i="3"/>
  <c r="T2486" i="3"/>
  <c r="T2487" i="3"/>
  <c r="T2488" i="3"/>
  <c r="T2489" i="3"/>
  <c r="T2490" i="3"/>
  <c r="T2491" i="3"/>
  <c r="T2492" i="3"/>
  <c r="T2493" i="3"/>
  <c r="T2494" i="3"/>
  <c r="T2495" i="3"/>
  <c r="T2496" i="3"/>
  <c r="T2498" i="3"/>
  <c r="T2500" i="3"/>
  <c r="T2501" i="3"/>
  <c r="T2502" i="3"/>
  <c r="T2503" i="3"/>
  <c r="T2504" i="3"/>
  <c r="T2506" i="3"/>
  <c r="T2508" i="3"/>
  <c r="T2509" i="3"/>
  <c r="T2510" i="3"/>
  <c r="T2512" i="3"/>
  <c r="T2513" i="3"/>
  <c r="T2515" i="3"/>
  <c r="T2516" i="3"/>
  <c r="T2517" i="3"/>
  <c r="T2518" i="3"/>
  <c r="T2519" i="3"/>
  <c r="T2520" i="3"/>
  <c r="T2521" i="3"/>
  <c r="T2522" i="3"/>
  <c r="T2524" i="3"/>
  <c r="T2525" i="3"/>
  <c r="T2527" i="3"/>
  <c r="T2528" i="3"/>
  <c r="T2529" i="3"/>
  <c r="T2530" i="3"/>
  <c r="T2531" i="3"/>
  <c r="T2532" i="3"/>
  <c r="T2533" i="3"/>
  <c r="T2534" i="3"/>
  <c r="T2536" i="3"/>
  <c r="T2537" i="3"/>
  <c r="T2538" i="3"/>
  <c r="T2540" i="3"/>
  <c r="T2541" i="3"/>
  <c r="T2542" i="3"/>
  <c r="T2543" i="3"/>
  <c r="T2544" i="3"/>
  <c r="T2545" i="3"/>
  <c r="T2546" i="3"/>
  <c r="T2547" i="3"/>
  <c r="T2548" i="3"/>
  <c r="T2549" i="3"/>
  <c r="T2550" i="3"/>
  <c r="T2552" i="3"/>
  <c r="T2553" i="3"/>
  <c r="T2555" i="3"/>
  <c r="T2556" i="3"/>
  <c r="T2557" i="3"/>
  <c r="T2558" i="3"/>
  <c r="T2559" i="3"/>
  <c r="T2560" i="3"/>
  <c r="T2561" i="3"/>
  <c r="T2562" i="3"/>
  <c r="T2563" i="3"/>
  <c r="T2564" i="3"/>
  <c r="T2565" i="3"/>
  <c r="T2566" i="3"/>
  <c r="T2568" i="3"/>
  <c r="T2569" i="3"/>
  <c r="T2571" i="3"/>
  <c r="T2572" i="3"/>
  <c r="T2573" i="3"/>
  <c r="T2574" i="3"/>
  <c r="T2575" i="3"/>
  <c r="T2576" i="3"/>
  <c r="T2577" i="3"/>
  <c r="T2578" i="3"/>
  <c r="T2580" i="3"/>
  <c r="T2581" i="3"/>
  <c r="T2583" i="3"/>
  <c r="T2584" i="3"/>
  <c r="T2585" i="3"/>
  <c r="T2586" i="3"/>
  <c r="T2587" i="3"/>
  <c r="T2588" i="3"/>
  <c r="T2589" i="3"/>
  <c r="T2590" i="3"/>
  <c r="T2592" i="3"/>
  <c r="T2593" i="3"/>
  <c r="T2595" i="3"/>
  <c r="T2596" i="3"/>
  <c r="T2597" i="3"/>
  <c r="T2598" i="3"/>
  <c r="T2599" i="3"/>
  <c r="T2600" i="3"/>
  <c r="T2601" i="3"/>
  <c r="T2602" i="3"/>
  <c r="T2603" i="3"/>
  <c r="T2605" i="3"/>
  <c r="T2606" i="3"/>
  <c r="T2608" i="3"/>
  <c r="T2609" i="3"/>
  <c r="T2610" i="3"/>
  <c r="T2611" i="3"/>
  <c r="T2612" i="3"/>
  <c r="T2613" i="3"/>
  <c r="T2614" i="3"/>
  <c r="T2615" i="3"/>
  <c r="T2616" i="3"/>
  <c r="T2617" i="3"/>
  <c r="T2619" i="3"/>
  <c r="T2620" i="3"/>
  <c r="T2622" i="3"/>
  <c r="T2623" i="3"/>
  <c r="T2624" i="3"/>
  <c r="T2625" i="3"/>
  <c r="T2626" i="3"/>
  <c r="T2627" i="3"/>
  <c r="T2628" i="3"/>
  <c r="T2629" i="3"/>
  <c r="T2630" i="3"/>
  <c r="T2631" i="3"/>
  <c r="T2633" i="3"/>
  <c r="T2634" i="3"/>
  <c r="T2636" i="3"/>
  <c r="T2637" i="3"/>
  <c r="T2638" i="3"/>
  <c r="T2639" i="3"/>
  <c r="T2640" i="3"/>
  <c r="T2641" i="3"/>
  <c r="T2642" i="3"/>
  <c r="T2643" i="3"/>
  <c r="T2644" i="3"/>
  <c r="T2645" i="3"/>
  <c r="T2647" i="3"/>
  <c r="T2648" i="3"/>
  <c r="T2650" i="3"/>
  <c r="T2651" i="3"/>
  <c r="T2653" i="3"/>
  <c r="T2654" i="3"/>
  <c r="T2656" i="3"/>
  <c r="T2657" i="3"/>
  <c r="T2659" i="3"/>
  <c r="T2660" i="3"/>
  <c r="T2662" i="3"/>
  <c r="T2663" i="3"/>
  <c r="T2664" i="3"/>
  <c r="T2665" i="3"/>
  <c r="T2666" i="3"/>
  <c r="T2667" i="3"/>
  <c r="T2668" i="3"/>
  <c r="T2669" i="3"/>
  <c r="T2670" i="3"/>
  <c r="T2671" i="3"/>
  <c r="T2673" i="3"/>
  <c r="T2674" i="3"/>
  <c r="T2676" i="3"/>
  <c r="T2677" i="3"/>
  <c r="T2678" i="3"/>
  <c r="T2679" i="3"/>
  <c r="T2680" i="3"/>
  <c r="T2681" i="3"/>
  <c r="T2682" i="3"/>
  <c r="T2683" i="3"/>
  <c r="T2684" i="3"/>
  <c r="T2685" i="3"/>
  <c r="T2687" i="3"/>
  <c r="T2688" i="3"/>
  <c r="T2690" i="3"/>
  <c r="T2691" i="3"/>
  <c r="T2692" i="3"/>
  <c r="T2693" i="3"/>
  <c r="T2694" i="3"/>
  <c r="T2695" i="3"/>
  <c r="T2696" i="3"/>
  <c r="T2697" i="3"/>
  <c r="T2698" i="3"/>
  <c r="T2699" i="3"/>
  <c r="T2701" i="3"/>
  <c r="T2702" i="3"/>
  <c r="T2703" i="3"/>
  <c r="T2705" i="3"/>
  <c r="T2706" i="3"/>
  <c r="T2707" i="3"/>
  <c r="T2708" i="3"/>
  <c r="T2709" i="3"/>
  <c r="T2710" i="3"/>
  <c r="T2711" i="3"/>
  <c r="T2712" i="3"/>
  <c r="T2713" i="3"/>
  <c r="T2715" i="3"/>
  <c r="T2716" i="3"/>
  <c r="T2718" i="3"/>
  <c r="T2719" i="3"/>
  <c r="T2720" i="3"/>
  <c r="T2721" i="3"/>
  <c r="T2722" i="3"/>
  <c r="T2723" i="3"/>
  <c r="T2724" i="3"/>
  <c r="T2725" i="3"/>
  <c r="T2726" i="3"/>
  <c r="T2727" i="3"/>
  <c r="T2729" i="3"/>
  <c r="T2730" i="3"/>
  <c r="T2732" i="3"/>
  <c r="T2733" i="3"/>
  <c r="T2734" i="3"/>
  <c r="T2735" i="3"/>
  <c r="T2736" i="3"/>
  <c r="T2737" i="3"/>
  <c r="T2738" i="3"/>
  <c r="T2739" i="3"/>
  <c r="T2740" i="3"/>
  <c r="T2741" i="3"/>
  <c r="T2743" i="3"/>
  <c r="T2744" i="3"/>
  <c r="T2746" i="3"/>
  <c r="T2747" i="3"/>
  <c r="T2748" i="3"/>
  <c r="T2749" i="3"/>
  <c r="T2750" i="3"/>
  <c r="T2751" i="3"/>
  <c r="T2752" i="3"/>
  <c r="T2753" i="3"/>
  <c r="T2754" i="3"/>
  <c r="T2755" i="3"/>
  <c r="T2756" i="3"/>
  <c r="T2758" i="3"/>
  <c r="T2759" i="3"/>
  <c r="T2761" i="3"/>
  <c r="T2762" i="3"/>
  <c r="T2763" i="3"/>
  <c r="T2764" i="3"/>
  <c r="T2765" i="3"/>
  <c r="T2766" i="3"/>
  <c r="T2767" i="3"/>
  <c r="T2768" i="3"/>
  <c r="T2769" i="3"/>
  <c r="T2770" i="3"/>
  <c r="T2771" i="3"/>
  <c r="T2773" i="3"/>
  <c r="T2774" i="3"/>
  <c r="T2776" i="3"/>
  <c r="T2777" i="3"/>
  <c r="T2778" i="3"/>
  <c r="T2779" i="3"/>
  <c r="T2780" i="3"/>
  <c r="T2781" i="3"/>
  <c r="T2782" i="3"/>
  <c r="T2783" i="3"/>
  <c r="T2784" i="3"/>
  <c r="T2785" i="3"/>
  <c r="T2787" i="3"/>
  <c r="T2788" i="3"/>
  <c r="T2790" i="3"/>
  <c r="T2791" i="3"/>
  <c r="T2792" i="3"/>
  <c r="T2793" i="3"/>
  <c r="T2794" i="3"/>
  <c r="T2795" i="3"/>
  <c r="T2796" i="3"/>
  <c r="T2797" i="3"/>
  <c r="T2798" i="3"/>
  <c r="T2799" i="3"/>
  <c r="T2801" i="3"/>
  <c r="T2802" i="3"/>
  <c r="T2804" i="3"/>
  <c r="T2805" i="3"/>
  <c r="T2806" i="3"/>
  <c r="T2807" i="3"/>
  <c r="T2808" i="3"/>
  <c r="T2809" i="3"/>
  <c r="T2810" i="3"/>
  <c r="T2811" i="3"/>
  <c r="T2812" i="3"/>
  <c r="T2813" i="3"/>
  <c r="T2816" i="3"/>
  <c r="T2817" i="3"/>
  <c r="T2818" i="3"/>
  <c r="T2819" i="3"/>
  <c r="T2820" i="3"/>
  <c r="T2823" i="3"/>
  <c r="T2824" i="3"/>
  <c r="T2825" i="3"/>
  <c r="T2826" i="3"/>
  <c r="T2827" i="3"/>
  <c r="T2830" i="3"/>
  <c r="T2831" i="3"/>
  <c r="T2832" i="3"/>
  <c r="T2833" i="3"/>
  <c r="T2834" i="3"/>
  <c r="T2837" i="3"/>
  <c r="T2838" i="3"/>
  <c r="T2839" i="3"/>
  <c r="T2840" i="3"/>
  <c r="T2843" i="3"/>
  <c r="T2844" i="3"/>
  <c r="T2845" i="3"/>
  <c r="T2846" i="3"/>
  <c r="T2849" i="3"/>
  <c r="T2850" i="3"/>
  <c r="T2851" i="3"/>
  <c r="T2852" i="3"/>
  <c r="T2853" i="3"/>
  <c r="T2856" i="3"/>
  <c r="T2857" i="3"/>
  <c r="T2858" i="3"/>
  <c r="T2859" i="3"/>
  <c r="T2860" i="3"/>
  <c r="T2861" i="3"/>
  <c r="T2862" i="3"/>
  <c r="T2863" i="3"/>
  <c r="T2864" i="3"/>
  <c r="T2865" i="3"/>
  <c r="T2866" i="3"/>
  <c r="T2867" i="3"/>
  <c r="T2868" i="3"/>
  <c r="T2869" i="3"/>
  <c r="T2872" i="3"/>
  <c r="T2873" i="3"/>
  <c r="T2874" i="3"/>
  <c r="T2875" i="3"/>
  <c r="T2876" i="3"/>
  <c r="T2877" i="3"/>
  <c r="T2878" i="3"/>
  <c r="T2879" i="3"/>
  <c r="T2880" i="3"/>
  <c r="T2881" i="3"/>
  <c r="T2882" i="3"/>
  <c r="T2885" i="3"/>
  <c r="T2886" i="3"/>
  <c r="T2887" i="3"/>
  <c r="T2888" i="3"/>
  <c r="T2889" i="3"/>
  <c r="T2890" i="3"/>
  <c r="T2891" i="3"/>
  <c r="T2892" i="3"/>
  <c r="T2893" i="3"/>
  <c r="T2894" i="3"/>
  <c r="T2895" i="3"/>
  <c r="T2898" i="3"/>
  <c r="T2899" i="3"/>
  <c r="T2900" i="3"/>
  <c r="T2901" i="3"/>
  <c r="T2902" i="3"/>
  <c r="T2903" i="3"/>
  <c r="T2904" i="3"/>
  <c r="T2905" i="3"/>
  <c r="T2906" i="3"/>
  <c r="T2907" i="3"/>
  <c r="T2908" i="3"/>
  <c r="T2909" i="3"/>
  <c r="T2912" i="3"/>
  <c r="T2913" i="3"/>
  <c r="T2914" i="3"/>
  <c r="T2915" i="3"/>
  <c r="T2916" i="3"/>
  <c r="T2917" i="3"/>
  <c r="T2918" i="3"/>
  <c r="T2919" i="3"/>
  <c r="T2920" i="3"/>
  <c r="T2921" i="3"/>
  <c r="T2924" i="3"/>
  <c r="T2925" i="3"/>
  <c r="T2926" i="3"/>
  <c r="T2927" i="3"/>
  <c r="T2928" i="3"/>
  <c r="T2929" i="3"/>
  <c r="T2930" i="3"/>
  <c r="T2931" i="3"/>
  <c r="T2932" i="3"/>
  <c r="T2933" i="3"/>
  <c r="T2934" i="3"/>
  <c r="T2935" i="3"/>
  <c r="T2936" i="3"/>
  <c r="T2937" i="3"/>
  <c r="T2940" i="3"/>
  <c r="T2941" i="3"/>
  <c r="T2942" i="3"/>
  <c r="T2943" i="3"/>
  <c r="T2944" i="3"/>
  <c r="T2945" i="3"/>
  <c r="T2946" i="3"/>
  <c r="T2949" i="3"/>
  <c r="T2950" i="3"/>
  <c r="T2951" i="3"/>
  <c r="T2952" i="3"/>
  <c r="T2953" i="3"/>
  <c r="T2954" i="3"/>
  <c r="T2955" i="3"/>
  <c r="T2956" i="3"/>
  <c r="T2957" i="3"/>
  <c r="T2958" i="3"/>
  <c r="T2959" i="3"/>
  <c r="T2960" i="3"/>
  <c r="T2961" i="3"/>
  <c r="T2962" i="3"/>
  <c r="T2965" i="3"/>
  <c r="T2966" i="3"/>
  <c r="T2967" i="3"/>
  <c r="T2968" i="3"/>
  <c r="T2969" i="3"/>
  <c r="T2970" i="3"/>
  <c r="T2971" i="3"/>
  <c r="T2972" i="3"/>
  <c r="T2973" i="3"/>
  <c r="T2974" i="3"/>
  <c r="T2975" i="3"/>
  <c r="T2976" i="3"/>
  <c r="T2977" i="3"/>
  <c r="T2978" i="3"/>
  <c r="T2981" i="3"/>
  <c r="T2982" i="3"/>
  <c r="T2983" i="3"/>
  <c r="T2984" i="3"/>
  <c r="T2985" i="3"/>
  <c r="T2986" i="3"/>
  <c r="T2987" i="3"/>
  <c r="T2988" i="3"/>
  <c r="T2989" i="3"/>
  <c r="T2990" i="3"/>
  <c r="T2991" i="3"/>
  <c r="T2992" i="3"/>
  <c r="T2993" i="3"/>
  <c r="T2994" i="3"/>
  <c r="T2997" i="3"/>
  <c r="T2998" i="3"/>
  <c r="T2999" i="3"/>
  <c r="T3000" i="3"/>
  <c r="T3001" i="3"/>
  <c r="T3002" i="3"/>
  <c r="T3003" i="3"/>
  <c r="T3004" i="3"/>
  <c r="T3005" i="3"/>
  <c r="T3006" i="3"/>
  <c r="T3009" i="3"/>
  <c r="T3010" i="3"/>
  <c r="T3011" i="3"/>
  <c r="T3012" i="3"/>
  <c r="T3013" i="3"/>
  <c r="T3014" i="3"/>
  <c r="T3015" i="3"/>
  <c r="T3016" i="3"/>
  <c r="T3017" i="3"/>
  <c r="T3018" i="3"/>
  <c r="T3019" i="3"/>
  <c r="T3020" i="3"/>
  <c r="T3023" i="3"/>
  <c r="T3024" i="3"/>
  <c r="T3025" i="3"/>
  <c r="T3026" i="3"/>
  <c r="T3027" i="3"/>
  <c r="T3028" i="3"/>
  <c r="T3029" i="3"/>
  <c r="T3030" i="3"/>
  <c r="T3031" i="3"/>
  <c r="T3032" i="3"/>
  <c r="T3033" i="3"/>
  <c r="T3034" i="3"/>
  <c r="T3037" i="3"/>
  <c r="T3038" i="3"/>
  <c r="T3039" i="3"/>
  <c r="T3040" i="3"/>
  <c r="T3041" i="3"/>
  <c r="T3042" i="3"/>
  <c r="T3043" i="3"/>
  <c r="T3044" i="3"/>
  <c r="T3045" i="3"/>
  <c r="T3046" i="3"/>
  <c r="T3047" i="3"/>
  <c r="T3048" i="3"/>
  <c r="T3051" i="3"/>
  <c r="T3052" i="3"/>
  <c r="T3053" i="3"/>
  <c r="T3054" i="3"/>
  <c r="T3055" i="3"/>
  <c r="T3056" i="3"/>
  <c r="T3057" i="3"/>
  <c r="T3058" i="3"/>
  <c r="T3059" i="3"/>
  <c r="T3060" i="3"/>
  <c r="T3061" i="3"/>
  <c r="T3062" i="3"/>
  <c r="T3065" i="3"/>
  <c r="T3066" i="3"/>
  <c r="T3067" i="3"/>
  <c r="T3068" i="3"/>
  <c r="T3069" i="3"/>
  <c r="T3070" i="3"/>
  <c r="T3071" i="3"/>
  <c r="T3072" i="3"/>
  <c r="T3073" i="3"/>
  <c r="T3074" i="3"/>
  <c r="T3075" i="3"/>
  <c r="T3076" i="3"/>
  <c r="T3079" i="3"/>
  <c r="T3080" i="3"/>
  <c r="T3081" i="3"/>
  <c r="T3082" i="3"/>
  <c r="T3083" i="3"/>
  <c r="T3084" i="3"/>
  <c r="T3085" i="3"/>
  <c r="T3086" i="3"/>
  <c r="T3087" i="3"/>
  <c r="T3088" i="3"/>
  <c r="T3089" i="3"/>
  <c r="T3090" i="3"/>
  <c r="T3091" i="3"/>
  <c r="T3092" i="3"/>
  <c r="T3093" i="3"/>
  <c r="T3094" i="3"/>
  <c r="T3095" i="3"/>
  <c r="T3096" i="3"/>
  <c r="T3097" i="3"/>
  <c r="T3100" i="3"/>
  <c r="T3101" i="3"/>
  <c r="T3102" i="3"/>
  <c r="T3103" i="3"/>
  <c r="T3104" i="3"/>
  <c r="T3105" i="3"/>
  <c r="T3106" i="3"/>
  <c r="T3107" i="3"/>
  <c r="T3108" i="3"/>
  <c r="T3109" i="3"/>
  <c r="T3110" i="3"/>
  <c r="T3111" i="3"/>
  <c r="T3112" i="3"/>
  <c r="T3113" i="3"/>
  <c r="T3114" i="3"/>
  <c r="T3115" i="3"/>
  <c r="T3116" i="3"/>
  <c r="T3117" i="3"/>
  <c r="T3118" i="3"/>
  <c r="T3119" i="3"/>
  <c r="T3120" i="3"/>
  <c r="T3123" i="3"/>
  <c r="T3124" i="3"/>
  <c r="T3125" i="3"/>
  <c r="T3126" i="3"/>
  <c r="T3127" i="3"/>
  <c r="T3128" i="3"/>
  <c r="T3129" i="3"/>
  <c r="T3130" i="3"/>
  <c r="T3131" i="3"/>
  <c r="T3132" i="3"/>
  <c r="T3133" i="3"/>
  <c r="T3134" i="3"/>
  <c r="T3135" i="3"/>
  <c r="T3136" i="3"/>
  <c r="T3137" i="3"/>
  <c r="T3138" i="3"/>
  <c r="T3139" i="3"/>
  <c r="T3140" i="3"/>
  <c r="T3141" i="3"/>
  <c r="T3142" i="3"/>
  <c r="T3145" i="3"/>
  <c r="T3146" i="3"/>
  <c r="T3147" i="3"/>
  <c r="T3148" i="3"/>
  <c r="T3149" i="3"/>
  <c r="T3150" i="3"/>
  <c r="T3151" i="3"/>
  <c r="T3152" i="3"/>
  <c r="T3153" i="3"/>
  <c r="T3154" i="3"/>
  <c r="T3155" i="3"/>
  <c r="T3156" i="3"/>
  <c r="T3157" i="3"/>
  <c r="T3160" i="3"/>
  <c r="T3161" i="3"/>
  <c r="T3162" i="3"/>
  <c r="T3163" i="3"/>
  <c r="T3164" i="3"/>
  <c r="T3165" i="3"/>
  <c r="T3166" i="3"/>
  <c r="T3167" i="3"/>
  <c r="T3168" i="3"/>
  <c r="T3169" i="3"/>
  <c r="T3170" i="3"/>
  <c r="T3171" i="3"/>
  <c r="T3172" i="3"/>
  <c r="T3173" i="3"/>
  <c r="T3176" i="3"/>
  <c r="T3177" i="3"/>
  <c r="T3178" i="3"/>
  <c r="T3179" i="3"/>
  <c r="T3180" i="3"/>
  <c r="T3181" i="3"/>
  <c r="T3182" i="3"/>
  <c r="T3183" i="3"/>
  <c r="T3184" i="3"/>
  <c r="T3185" i="3"/>
  <c r="T3186" i="3"/>
  <c r="T3187" i="3"/>
  <c r="T3188" i="3"/>
  <c r="T3191" i="3"/>
  <c r="T3192" i="3"/>
  <c r="T3193" i="3"/>
  <c r="T3194" i="3"/>
  <c r="T3195" i="3"/>
  <c r="T3196" i="3"/>
  <c r="T3197" i="3"/>
  <c r="T3198" i="3"/>
  <c r="T3199" i="3"/>
  <c r="T3200" i="3"/>
  <c r="T3201" i="3"/>
  <c r="T3202" i="3"/>
  <c r="T3203" i="3"/>
  <c r="T3204" i="3"/>
  <c r="T3207" i="3"/>
  <c r="T3208" i="3"/>
  <c r="T3209" i="3"/>
  <c r="T3210" i="3"/>
  <c r="T3211" i="3"/>
  <c r="T3214" i="3"/>
  <c r="T3215" i="3"/>
  <c r="T3216" i="3"/>
  <c r="T3217" i="3"/>
  <c r="T3218" i="3"/>
  <c r="T3219" i="3"/>
  <c r="T3220" i="3"/>
  <c r="T3221" i="3"/>
  <c r="T3222" i="3"/>
  <c r="T3223" i="3"/>
  <c r="T3224" i="3"/>
  <c r="T3225" i="3"/>
  <c r="T3226" i="3"/>
  <c r="T3227" i="3"/>
  <c r="T3228" i="3"/>
  <c r="T3231" i="3"/>
  <c r="T3232" i="3"/>
  <c r="T3233" i="3"/>
  <c r="T3234" i="3"/>
  <c r="T3235" i="3"/>
  <c r="T3236" i="3"/>
  <c r="T3237" i="3"/>
  <c r="T3238" i="3"/>
  <c r="T3239" i="3"/>
  <c r="T3240" i="3"/>
  <c r="T3241" i="3"/>
  <c r="T3242" i="3"/>
  <c r="T3243" i="3"/>
  <c r="T3244" i="3"/>
  <c r="T3245" i="3"/>
  <c r="T3246" i="3"/>
  <c r="T3249" i="3"/>
  <c r="T3250" i="3"/>
  <c r="T3251" i="3"/>
  <c r="T3252" i="3"/>
  <c r="T3253" i="3"/>
  <c r="T3254" i="3"/>
  <c r="T3255" i="3"/>
  <c r="T3256" i="3"/>
  <c r="T3257" i="3"/>
  <c r="T3258" i="3"/>
  <c r="T3259" i="3"/>
  <c r="T3260" i="3"/>
  <c r="T3261" i="3"/>
  <c r="T3262" i="3"/>
  <c r="T3263" i="3"/>
  <c r="T3264" i="3"/>
  <c r="T3267" i="3"/>
  <c r="T3268" i="3"/>
  <c r="T3269" i="3"/>
  <c r="T3270" i="3"/>
  <c r="T3271" i="3"/>
  <c r="T3272" i="3"/>
  <c r="T3273" i="3"/>
  <c r="T3274" i="3"/>
  <c r="T3275" i="3"/>
  <c r="T3276" i="3"/>
  <c r="T3277" i="3"/>
  <c r="T3278" i="3"/>
  <c r="T3279" i="3"/>
  <c r="T3280" i="3"/>
  <c r="T3281" i="3"/>
  <c r="T3284" i="3"/>
  <c r="T3285" i="3"/>
  <c r="T3286" i="3"/>
  <c r="T3287" i="3"/>
  <c r="T3288" i="3"/>
  <c r="T3289" i="3"/>
  <c r="T3290" i="3"/>
  <c r="T3291" i="3"/>
  <c r="T3292" i="3"/>
  <c r="T3293" i="3"/>
  <c r="T3296" i="3"/>
  <c r="T3297" i="3"/>
  <c r="T3298" i="3"/>
  <c r="T3299" i="3"/>
  <c r="T3300" i="3"/>
  <c r="T3301" i="3"/>
  <c r="T3302" i="3"/>
  <c r="T3303" i="3"/>
  <c r="T3304" i="3"/>
  <c r="T3305" i="3"/>
  <c r="T3306" i="3"/>
  <c r="T3307" i="3"/>
  <c r="T3308" i="3"/>
  <c r="T3309" i="3"/>
  <c r="T3312" i="3"/>
  <c r="T3313" i="3"/>
  <c r="T3314" i="3"/>
  <c r="T3315" i="3"/>
  <c r="T3316" i="3"/>
  <c r="T3317" i="3"/>
  <c r="T3318" i="3"/>
  <c r="T3319" i="3"/>
  <c r="T3320" i="3"/>
  <c r="T3321" i="3"/>
  <c r="T3322" i="3"/>
  <c r="T3323" i="3"/>
  <c r="T3324" i="3"/>
  <c r="T3327" i="3"/>
  <c r="T3328" i="3"/>
  <c r="T3329" i="3"/>
  <c r="T3330" i="3"/>
  <c r="T3331" i="3"/>
  <c r="T3332" i="3"/>
  <c r="T3333" i="3"/>
  <c r="T3334" i="3"/>
  <c r="T3335" i="3"/>
  <c r="T3336" i="3"/>
  <c r="T3337" i="3"/>
  <c r="T3338" i="3"/>
  <c r="T3339" i="3"/>
  <c r="T3342" i="3"/>
  <c r="T3343" i="3"/>
  <c r="T3344" i="3"/>
  <c r="T3345" i="3"/>
  <c r="T3346" i="3"/>
  <c r="T3347" i="3"/>
  <c r="T3348" i="3"/>
  <c r="T3349" i="3"/>
  <c r="T3350" i="3"/>
  <c r="T3351" i="3"/>
  <c r="T3352" i="3"/>
  <c r="T3355" i="3"/>
  <c r="T3356" i="3"/>
  <c r="T3357" i="3"/>
  <c r="T3358" i="3"/>
  <c r="T3359" i="3"/>
  <c r="T3360" i="3"/>
  <c r="T3361" i="3"/>
  <c r="T3362" i="3"/>
  <c r="T3365" i="3"/>
  <c r="T3366" i="3"/>
  <c r="T3367" i="3"/>
  <c r="T3368" i="3"/>
  <c r="T3371" i="3"/>
  <c r="T3372" i="3"/>
  <c r="T3373" i="3"/>
  <c r="T3374" i="3"/>
  <c r="T3375" i="3"/>
  <c r="T3376" i="3"/>
  <c r="T3377" i="3"/>
  <c r="T3378" i="3"/>
  <c r="T3381" i="3"/>
  <c r="T3382" i="3"/>
  <c r="T3383" i="3"/>
  <c r="T3384" i="3"/>
  <c r="T3385" i="3"/>
  <c r="T3386" i="3"/>
  <c r="T3" i="3"/>
  <c r="T4" i="3"/>
  <c r="J5" i="3"/>
  <c r="J6" i="3"/>
  <c r="J7" i="3"/>
  <c r="J8" i="3"/>
  <c r="J9" i="3"/>
  <c r="J10" i="3"/>
  <c r="J11" i="3"/>
  <c r="J12" i="3"/>
  <c r="J13" i="3"/>
  <c r="J14" i="3"/>
  <c r="J18" i="3"/>
  <c r="J19" i="3"/>
  <c r="J20" i="3"/>
  <c r="J21" i="3"/>
  <c r="J22" i="3"/>
  <c r="J23" i="3"/>
  <c r="J24" i="3"/>
  <c r="J25" i="3"/>
  <c r="J26" i="3"/>
  <c r="J27" i="3"/>
  <c r="J28" i="3"/>
  <c r="J32" i="3"/>
  <c r="J33" i="3"/>
  <c r="J34" i="3"/>
  <c r="J35" i="3"/>
  <c r="J36" i="3"/>
  <c r="J37" i="3"/>
  <c r="J38" i="3"/>
  <c r="J39" i="3"/>
  <c r="J40" i="3"/>
  <c r="J41" i="3"/>
  <c r="J42" i="3"/>
  <c r="J46" i="3"/>
  <c r="J47" i="3"/>
  <c r="J48" i="3"/>
  <c r="J49" i="3"/>
  <c r="J50" i="3"/>
  <c r="J51" i="3"/>
  <c r="J52" i="3"/>
  <c r="J53" i="3"/>
  <c r="J54" i="3"/>
  <c r="J55" i="3"/>
  <c r="J56" i="3"/>
  <c r="J57" i="3"/>
  <c r="J58" i="3"/>
  <c r="J59" i="3"/>
  <c r="J63" i="3"/>
  <c r="J64" i="3"/>
  <c r="J65" i="3"/>
  <c r="J66" i="3"/>
  <c r="J67" i="3"/>
  <c r="J68" i="3"/>
  <c r="J69" i="3"/>
  <c r="J70" i="3"/>
  <c r="J71" i="3"/>
  <c r="J75" i="3"/>
  <c r="J76" i="3"/>
  <c r="J77" i="3"/>
  <c r="J78" i="3"/>
  <c r="J79" i="3"/>
  <c r="J80" i="3"/>
  <c r="J81" i="3"/>
  <c r="J82" i="3"/>
  <c r="J83" i="3"/>
  <c r="J87" i="3"/>
  <c r="J88" i="3"/>
  <c r="J89" i="3"/>
  <c r="J90" i="3"/>
  <c r="J91" i="3"/>
  <c r="J92" i="3"/>
  <c r="J93" i="3"/>
  <c r="J94" i="3"/>
  <c r="J95" i="3"/>
  <c r="J99" i="3"/>
  <c r="J100" i="3"/>
  <c r="J101" i="3"/>
  <c r="J102" i="3"/>
  <c r="J103" i="3"/>
  <c r="J104" i="3"/>
  <c r="J105" i="3"/>
  <c r="J106" i="3"/>
  <c r="J107" i="3"/>
  <c r="J108" i="3"/>
  <c r="J109" i="3"/>
  <c r="J113" i="3"/>
  <c r="J114" i="3"/>
  <c r="J115" i="3"/>
  <c r="J116" i="3"/>
  <c r="J117" i="3"/>
  <c r="J118" i="3"/>
  <c r="J119" i="3"/>
  <c r="J120" i="3"/>
  <c r="J121" i="3"/>
  <c r="J122" i="3"/>
  <c r="J123" i="3"/>
  <c r="J127" i="3"/>
  <c r="J128" i="3"/>
  <c r="J129" i="3"/>
  <c r="J130" i="3"/>
  <c r="J131" i="3"/>
  <c r="J132" i="3"/>
  <c r="J133" i="3"/>
  <c r="J135" i="3"/>
  <c r="J136" i="3"/>
  <c r="J137" i="3"/>
  <c r="J138" i="3"/>
  <c r="J139" i="3"/>
  <c r="J140" i="3"/>
  <c r="J141" i="3"/>
  <c r="J142" i="3"/>
  <c r="J143" i="3"/>
  <c r="J144" i="3"/>
  <c r="J145" i="3"/>
  <c r="J146" i="3"/>
  <c r="J147" i="3"/>
  <c r="J148" i="3"/>
  <c r="J149" i="3"/>
  <c r="J153" i="3"/>
  <c r="J154" i="3"/>
  <c r="J155" i="3"/>
  <c r="J156" i="3"/>
  <c r="J157" i="3"/>
  <c r="J158" i="3"/>
  <c r="J159" i="3"/>
  <c r="J160" i="3"/>
  <c r="J161" i="3"/>
  <c r="J162" i="3"/>
  <c r="J166" i="3"/>
  <c r="J167" i="3"/>
  <c r="J168" i="3"/>
  <c r="J169" i="3"/>
  <c r="J170" i="3"/>
  <c r="J171" i="3"/>
  <c r="J172" i="3"/>
  <c r="J173" i="3"/>
  <c r="J174" i="3"/>
  <c r="J175" i="3"/>
  <c r="J179" i="3"/>
  <c r="J180" i="3"/>
  <c r="J181" i="3"/>
  <c r="J182" i="3"/>
  <c r="J183" i="3"/>
  <c r="J184" i="3"/>
  <c r="J185" i="3"/>
  <c r="J186" i="3"/>
  <c r="J187" i="3"/>
  <c r="J188" i="3"/>
  <c r="J189" i="3"/>
  <c r="J193" i="3"/>
  <c r="J194" i="3"/>
  <c r="J195" i="3"/>
  <c r="J196" i="3"/>
  <c r="J197" i="3"/>
  <c r="J198" i="3"/>
  <c r="J199" i="3"/>
  <c r="J200" i="3"/>
  <c r="J204" i="3"/>
  <c r="J205" i="3"/>
  <c r="J206" i="3"/>
  <c r="J207" i="3"/>
  <c r="J208" i="3"/>
  <c r="J209" i="3"/>
  <c r="J213" i="3"/>
  <c r="J214" i="3"/>
  <c r="J215" i="3"/>
  <c r="J216" i="3"/>
  <c r="J217" i="3"/>
  <c r="J218" i="3"/>
  <c r="J219" i="3"/>
  <c r="J223" i="3"/>
  <c r="J224" i="3"/>
  <c r="J225" i="3"/>
  <c r="J226" i="3"/>
  <c r="J227" i="3"/>
  <c r="J228" i="3"/>
  <c r="J229" i="3"/>
  <c r="J233" i="3"/>
  <c r="J234" i="3"/>
  <c r="J235" i="3"/>
  <c r="J236" i="3"/>
  <c r="J237" i="3"/>
  <c r="J238" i="3"/>
  <c r="J239" i="3"/>
  <c r="J241" i="3"/>
  <c r="J242" i="3"/>
  <c r="J243" i="3"/>
  <c r="J244" i="3"/>
  <c r="J245" i="3"/>
  <c r="J246" i="3"/>
  <c r="J247" i="3"/>
  <c r="J248" i="3"/>
  <c r="J249" i="3"/>
  <c r="J253" i="3"/>
  <c r="J254" i="3"/>
  <c r="J255" i="3"/>
  <c r="J256" i="3"/>
  <c r="J257" i="3"/>
  <c r="J258"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9" i="3"/>
  <c r="J320" i="3"/>
  <c r="J321" i="3"/>
  <c r="J322" i="3"/>
  <c r="J323" i="3"/>
  <c r="J324" i="3"/>
  <c r="J328" i="3"/>
  <c r="J329" i="3"/>
  <c r="J330" i="3"/>
  <c r="J331" i="3"/>
  <c r="J332" i="3"/>
  <c r="J333" i="3"/>
  <c r="J334" i="3"/>
  <c r="J335"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6" i="3"/>
  <c r="J367" i="3"/>
  <c r="J368" i="3"/>
  <c r="J369" i="3"/>
  <c r="J373" i="3"/>
  <c r="J374" i="3"/>
  <c r="J375" i="3"/>
  <c r="J376" i="3"/>
  <c r="J377" i="3"/>
  <c r="J378" i="3"/>
  <c r="J382" i="3"/>
  <c r="J383" i="3"/>
  <c r="J384" i="3"/>
  <c r="J385" i="3"/>
  <c r="J386" i="3"/>
  <c r="J387" i="3"/>
  <c r="J391" i="3"/>
  <c r="J392" i="3"/>
  <c r="J393" i="3"/>
  <c r="J395" i="3"/>
  <c r="J396" i="3"/>
  <c r="J397" i="3"/>
  <c r="J398" i="3"/>
  <c r="J399" i="3"/>
  <c r="J403" i="3"/>
  <c r="J404" i="3"/>
  <c r="J405" i="3"/>
  <c r="J406" i="3"/>
  <c r="J407" i="3"/>
  <c r="J408" i="3"/>
  <c r="J409" i="3"/>
  <c r="J410" i="3"/>
  <c r="J411" i="3"/>
  <c r="J412" i="3"/>
  <c r="J413" i="3"/>
  <c r="J414" i="3"/>
  <c r="J415" i="3"/>
  <c r="J416" i="3"/>
  <c r="J417" i="3"/>
  <c r="J418" i="3"/>
  <c r="J419" i="3"/>
  <c r="J420" i="3"/>
  <c r="J421" i="3"/>
  <c r="J422" i="3"/>
  <c r="J423" i="3"/>
  <c r="J424" i="3"/>
  <c r="J428" i="3"/>
  <c r="J429" i="3"/>
  <c r="J430" i="3"/>
  <c r="J431" i="3"/>
  <c r="J432" i="3"/>
  <c r="J433" i="3"/>
  <c r="J437" i="3"/>
  <c r="J438" i="3"/>
  <c r="J439" i="3"/>
  <c r="J440" i="3"/>
  <c r="J441" i="3"/>
  <c r="J442" i="3"/>
  <c r="J446" i="3"/>
  <c r="J447" i="3"/>
  <c r="J448" i="3"/>
  <c r="J449" i="3"/>
  <c r="J450" i="3"/>
  <c r="J454" i="3"/>
  <c r="J455" i="3"/>
  <c r="J456" i="3"/>
  <c r="J457" i="3"/>
  <c r="J458" i="3"/>
  <c r="J459" i="3"/>
  <c r="J463" i="3"/>
  <c r="J464" i="3"/>
  <c r="J465" i="3"/>
  <c r="J466" i="3"/>
  <c r="J467" i="3"/>
  <c r="J468" i="3"/>
  <c r="J472" i="3"/>
  <c r="J473" i="3"/>
  <c r="J474" i="3"/>
  <c r="J475" i="3"/>
  <c r="J476" i="3"/>
  <c r="J477" i="3"/>
  <c r="J481" i="3"/>
  <c r="J482" i="3"/>
  <c r="J483" i="3"/>
  <c r="J484" i="3"/>
  <c r="J485" i="3"/>
  <c r="J486" i="3"/>
  <c r="J490" i="3"/>
  <c r="J491" i="3"/>
  <c r="J492" i="3"/>
  <c r="J493" i="3"/>
  <c r="J494" i="3"/>
  <c r="J495" i="3"/>
  <c r="J499" i="3"/>
  <c r="J500" i="3"/>
  <c r="J501" i="3"/>
  <c r="J502" i="3"/>
  <c r="J503" i="3"/>
  <c r="J504" i="3"/>
  <c r="J508" i="3"/>
  <c r="J509" i="3"/>
  <c r="J510" i="3"/>
  <c r="J511" i="3"/>
  <c r="J512" i="3"/>
  <c r="J513" i="3"/>
  <c r="J517" i="3"/>
  <c r="J518" i="3"/>
  <c r="J519" i="3"/>
  <c r="J520" i="3"/>
  <c r="J521" i="3"/>
  <c r="J522" i="3"/>
  <c r="J523" i="3"/>
  <c r="J527" i="3"/>
  <c r="J528" i="3"/>
  <c r="J529" i="3"/>
  <c r="J530" i="3"/>
  <c r="J531" i="3"/>
  <c r="J532" i="3"/>
  <c r="J536" i="3"/>
  <c r="J537" i="3"/>
  <c r="J538" i="3"/>
  <c r="J539" i="3"/>
  <c r="J540" i="3"/>
  <c r="J541" i="3"/>
  <c r="J545" i="3"/>
  <c r="J546" i="3"/>
  <c r="J547" i="3"/>
  <c r="J548" i="3"/>
  <c r="J549" i="3"/>
  <c r="J553" i="3"/>
  <c r="J554" i="3"/>
  <c r="J555" i="3"/>
  <c r="J556" i="3"/>
  <c r="J557" i="3"/>
  <c r="J558" i="3"/>
  <c r="J559" i="3"/>
  <c r="J560" i="3"/>
  <c r="J564" i="3"/>
  <c r="J565" i="3"/>
  <c r="J566" i="3"/>
  <c r="J567" i="3"/>
  <c r="J568" i="3"/>
  <c r="J569" i="3"/>
  <c r="J570" i="3"/>
  <c r="J571" i="3"/>
  <c r="J572"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6" i="3"/>
  <c r="J607" i="3"/>
  <c r="J608" i="3"/>
  <c r="J609" i="3"/>
  <c r="J610" i="3"/>
  <c r="J611" i="3"/>
  <c r="J612" i="3"/>
  <c r="J613" i="3"/>
  <c r="J617" i="3"/>
  <c r="J618" i="3"/>
  <c r="J619" i="3"/>
  <c r="J620" i="3"/>
  <c r="J621" i="3"/>
  <c r="J622" i="3"/>
  <c r="J623" i="3"/>
  <c r="J627" i="3"/>
  <c r="J628" i="3"/>
  <c r="J629" i="3"/>
  <c r="J630" i="3"/>
  <c r="J631" i="3"/>
  <c r="J632" i="3"/>
  <c r="J636" i="3"/>
  <c r="J637" i="3"/>
  <c r="J638" i="3"/>
  <c r="J639" i="3"/>
  <c r="J640" i="3"/>
  <c r="J641" i="3"/>
  <c r="J642" i="3"/>
  <c r="J643" i="3"/>
  <c r="J644" i="3"/>
  <c r="J645" i="3"/>
  <c r="J649" i="3"/>
  <c r="J650" i="3"/>
  <c r="J651" i="3"/>
  <c r="J652" i="3"/>
  <c r="J653" i="3"/>
  <c r="J654" i="3"/>
  <c r="J655" i="3"/>
  <c r="J656" i="3"/>
  <c r="J657" i="3"/>
  <c r="J658" i="3"/>
  <c r="J662" i="3"/>
  <c r="J663" i="3"/>
  <c r="J664" i="3"/>
  <c r="J665" i="3"/>
  <c r="J666" i="3"/>
  <c r="J667" i="3"/>
  <c r="J668" i="3"/>
  <c r="J669" i="3"/>
  <c r="J670" i="3"/>
  <c r="J674" i="3"/>
  <c r="J675" i="3"/>
  <c r="J676" i="3"/>
  <c r="J677" i="3"/>
  <c r="J678" i="3"/>
  <c r="J679" i="3"/>
  <c r="J680" i="3"/>
  <c r="J681" i="3"/>
  <c r="J682" i="3"/>
  <c r="J686" i="3"/>
  <c r="J687" i="3"/>
  <c r="J688" i="3"/>
  <c r="J689" i="3"/>
  <c r="J690" i="3"/>
  <c r="J691" i="3"/>
  <c r="J692" i="3"/>
  <c r="J693" i="3"/>
  <c r="J694" i="3"/>
  <c r="J695" i="3"/>
  <c r="J696" i="3"/>
  <c r="J697" i="3"/>
  <c r="J698" i="3"/>
  <c r="J702" i="3"/>
  <c r="J703" i="3"/>
  <c r="J704" i="3"/>
  <c r="J705" i="3"/>
  <c r="J706" i="3"/>
  <c r="J707" i="3"/>
  <c r="J708" i="3"/>
  <c r="J709" i="3"/>
  <c r="J710" i="3"/>
  <c r="J711" i="3"/>
  <c r="J712" i="3"/>
  <c r="J713" i="3"/>
  <c r="J714" i="3"/>
  <c r="J718" i="3"/>
  <c r="J719" i="3"/>
  <c r="J720" i="3"/>
  <c r="J721" i="3"/>
  <c r="J722" i="3"/>
  <c r="J723" i="3"/>
  <c r="J724" i="3"/>
  <c r="J725" i="3"/>
  <c r="J726" i="3"/>
  <c r="J727" i="3"/>
  <c r="J731" i="3"/>
  <c r="J732" i="3"/>
  <c r="J733" i="3"/>
  <c r="J737" i="3"/>
  <c r="J738" i="3"/>
  <c r="J739" i="3"/>
  <c r="J740" i="3"/>
  <c r="J744" i="3"/>
  <c r="J745" i="3"/>
  <c r="J746" i="3"/>
  <c r="J747" i="3"/>
  <c r="J748" i="3"/>
  <c r="J749" i="3"/>
  <c r="J753" i="3"/>
  <c r="J754" i="3"/>
  <c r="J755" i="3"/>
  <c r="J756" i="3"/>
  <c r="J757" i="3"/>
  <c r="J758" i="3"/>
  <c r="J760" i="3"/>
  <c r="J761" i="3"/>
  <c r="J762" i="3"/>
  <c r="J763" i="3"/>
  <c r="J764" i="3"/>
  <c r="J765" i="3"/>
  <c r="J766" i="3"/>
  <c r="J767" i="3"/>
  <c r="J768" i="3"/>
  <c r="J769" i="3"/>
  <c r="J770" i="3"/>
  <c r="J771" i="3"/>
  <c r="J772" i="3"/>
  <c r="J773" i="3"/>
  <c r="J774" i="3"/>
  <c r="J778" i="3"/>
  <c r="J779" i="3"/>
  <c r="J780" i="3"/>
  <c r="J781" i="3"/>
  <c r="J782" i="3"/>
  <c r="J786" i="3"/>
  <c r="J787" i="3"/>
  <c r="J788" i="3"/>
  <c r="J789" i="3"/>
  <c r="J790" i="3"/>
  <c r="J791" i="3"/>
  <c r="J792" i="3"/>
  <c r="J793" i="3"/>
  <c r="J794" i="3"/>
  <c r="J798" i="3"/>
  <c r="J799" i="3"/>
  <c r="J800" i="3"/>
  <c r="J801" i="3"/>
  <c r="J802" i="3"/>
  <c r="J803" i="3"/>
  <c r="J804" i="3"/>
  <c r="J805" i="3"/>
  <c r="J806" i="3"/>
  <c r="J807" i="3"/>
  <c r="J808" i="3"/>
  <c r="J809" i="3"/>
  <c r="J810" i="3"/>
  <c r="J811" i="3"/>
  <c r="J812" i="3"/>
  <c r="J813" i="3"/>
  <c r="J814" i="3"/>
  <c r="J815" i="3"/>
  <c r="J816" i="3"/>
  <c r="J817" i="3"/>
  <c r="J818" i="3"/>
  <c r="J822" i="3"/>
  <c r="J823" i="3"/>
  <c r="J824" i="3"/>
  <c r="J825" i="3"/>
  <c r="J826" i="3"/>
  <c r="J827" i="3"/>
  <c r="J828" i="3"/>
  <c r="J829" i="3"/>
  <c r="J830" i="3"/>
  <c r="J831" i="3"/>
  <c r="J832" i="3"/>
  <c r="J833" i="3"/>
  <c r="J837" i="3"/>
  <c r="J838" i="3"/>
  <c r="J839" i="3"/>
  <c r="J840" i="3"/>
  <c r="J841" i="3"/>
  <c r="J842" i="3"/>
  <c r="J843" i="3"/>
  <c r="J844" i="3"/>
  <c r="J845" i="3"/>
  <c r="J846" i="3"/>
  <c r="J847" i="3"/>
  <c r="J851" i="3"/>
  <c r="J852" i="3"/>
  <c r="J853" i="3"/>
  <c r="J854" i="3"/>
  <c r="J855" i="3"/>
  <c r="J856" i="3"/>
  <c r="J857" i="3"/>
  <c r="J858" i="3"/>
  <c r="J859" i="3"/>
  <c r="J860" i="3"/>
  <c r="J861" i="3"/>
  <c r="J862" i="3"/>
  <c r="J866" i="3"/>
  <c r="J867" i="3"/>
  <c r="J868" i="3"/>
  <c r="J869" i="3"/>
  <c r="J870" i="3"/>
  <c r="J871" i="3"/>
  <c r="J872" i="3"/>
  <c r="J873" i="3"/>
  <c r="J874" i="3"/>
  <c r="J878" i="3"/>
  <c r="J879" i="3"/>
  <c r="J880" i="3"/>
  <c r="J881" i="3"/>
  <c r="J882" i="3"/>
  <c r="J883" i="3"/>
  <c r="J884" i="3"/>
  <c r="J885" i="3"/>
  <c r="J886" i="3"/>
  <c r="J890" i="3"/>
  <c r="J891" i="3"/>
  <c r="J892" i="3"/>
  <c r="J893" i="3"/>
  <c r="J894" i="3"/>
  <c r="J895" i="3"/>
  <c r="J896" i="3"/>
  <c r="J897" i="3"/>
  <c r="J898" i="3"/>
  <c r="J899" i="3"/>
  <c r="J903" i="3"/>
  <c r="J904" i="3"/>
  <c r="J905" i="3"/>
  <c r="J906" i="3"/>
  <c r="J907" i="3"/>
  <c r="J908" i="3"/>
  <c r="J909" i="3"/>
  <c r="J910" i="3"/>
  <c r="J911" i="3"/>
  <c r="J912" i="3"/>
  <c r="J913" i="3"/>
  <c r="J917" i="3"/>
  <c r="J918" i="3"/>
  <c r="J919" i="3"/>
  <c r="J920" i="3"/>
  <c r="J921" i="3"/>
  <c r="J922" i="3"/>
  <c r="J923" i="3"/>
  <c r="J924" i="3"/>
  <c r="J925" i="3"/>
  <c r="J926" i="3"/>
  <c r="J927" i="3"/>
  <c r="J928" i="3"/>
  <c r="J932" i="3"/>
  <c r="J933" i="3"/>
  <c r="J934" i="3"/>
  <c r="J935" i="3"/>
  <c r="J936" i="3"/>
  <c r="J937" i="3"/>
  <c r="J941" i="3"/>
  <c r="J942" i="3"/>
  <c r="J943" i="3"/>
  <c r="J944" i="3"/>
  <c r="J945" i="3"/>
  <c r="J946" i="3"/>
  <c r="J947" i="3"/>
  <c r="J951" i="3"/>
  <c r="J952" i="3"/>
  <c r="J953" i="3"/>
  <c r="J954" i="3"/>
  <c r="J955" i="3"/>
  <c r="J956" i="3"/>
  <c r="J960" i="3"/>
  <c r="J961" i="3"/>
  <c r="J962" i="3"/>
  <c r="J963" i="3"/>
  <c r="J964" i="3"/>
  <c r="J965" i="3"/>
  <c r="J966" i="3"/>
  <c r="J967" i="3"/>
  <c r="J968" i="3"/>
  <c r="J969"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3" i="3"/>
  <c r="J1024" i="3"/>
  <c r="J1025" i="3"/>
  <c r="J1026" i="3"/>
  <c r="J1027" i="3"/>
  <c r="J1028" i="3"/>
  <c r="J1029" i="3"/>
  <c r="J1030" i="3"/>
  <c r="J1031" i="3"/>
  <c r="J1032" i="3"/>
  <c r="J1033" i="3"/>
  <c r="J1037" i="3"/>
  <c r="J1038" i="3"/>
  <c r="J1039" i="3"/>
  <c r="J1040" i="3"/>
  <c r="J1041" i="3"/>
  <c r="J1042" i="3"/>
  <c r="J1043" i="3"/>
  <c r="J1044" i="3"/>
  <c r="J1048" i="3"/>
  <c r="J1049" i="3"/>
  <c r="J1050" i="3"/>
  <c r="J1051" i="3"/>
  <c r="J1052" i="3"/>
  <c r="J1053" i="3"/>
  <c r="J1054" i="3"/>
  <c r="J1058" i="3"/>
  <c r="J1059" i="3"/>
  <c r="J1060" i="3"/>
  <c r="J1064" i="3"/>
  <c r="J1065" i="3"/>
  <c r="J1066" i="3"/>
  <c r="J1067" i="3"/>
  <c r="J1068" i="3"/>
  <c r="J1069" i="3"/>
  <c r="J1070" i="3"/>
  <c r="J1071" i="3"/>
  <c r="J1072" i="3"/>
  <c r="J1076" i="3"/>
  <c r="J1077" i="3"/>
  <c r="J1078" i="3"/>
  <c r="J1079" i="3"/>
  <c r="J1080" i="3"/>
  <c r="J1081" i="3"/>
  <c r="J1082" i="3"/>
  <c r="J1083" i="3"/>
  <c r="J1084" i="3"/>
  <c r="J1085" i="3"/>
  <c r="J1087" i="3"/>
  <c r="J1088" i="3"/>
  <c r="J1089" i="3"/>
  <c r="J1090" i="3"/>
  <c r="J1091" i="3"/>
  <c r="J1095" i="3"/>
  <c r="J1096" i="3"/>
  <c r="J1097" i="3"/>
  <c r="J1098" i="3"/>
  <c r="J1102" i="3"/>
  <c r="J1103" i="3"/>
  <c r="J1104" i="3"/>
  <c r="J1105" i="3"/>
  <c r="J1106" i="3"/>
  <c r="J1107" i="3"/>
  <c r="J1108" i="3"/>
  <c r="J1109" i="3"/>
  <c r="J1110" i="3"/>
  <c r="J1111" i="3"/>
  <c r="J1112" i="3"/>
  <c r="J1116" i="3"/>
  <c r="J1117" i="3"/>
  <c r="J1118" i="3"/>
  <c r="J1119" i="3"/>
  <c r="J1120" i="3"/>
  <c r="J1121" i="3"/>
  <c r="J1122" i="3"/>
  <c r="J1126" i="3"/>
  <c r="J1127" i="3"/>
  <c r="J1128" i="3"/>
  <c r="J1129" i="3"/>
  <c r="J1130" i="3"/>
  <c r="J1131" i="3"/>
  <c r="J1132" i="3"/>
  <c r="J1136" i="3"/>
  <c r="J1137" i="3"/>
  <c r="J1138" i="3"/>
  <c r="J1139" i="3"/>
  <c r="J1140" i="3"/>
  <c r="J1141" i="3"/>
  <c r="J1142" i="3"/>
  <c r="J1143" i="3"/>
  <c r="J1144" i="3"/>
  <c r="J1145" i="3"/>
  <c r="J1146" i="3"/>
  <c r="J1147" i="3"/>
  <c r="J1151" i="3"/>
  <c r="J1152" i="3"/>
  <c r="J1153" i="3"/>
  <c r="J1154" i="3"/>
  <c r="J1155" i="3"/>
  <c r="J1156" i="3"/>
  <c r="J1160" i="3"/>
  <c r="J1161" i="3"/>
  <c r="J1162" i="3"/>
  <c r="J1163" i="3"/>
  <c r="J1164" i="3"/>
  <c r="J1165" i="3"/>
  <c r="J1166" i="3"/>
  <c r="J1168" i="3"/>
  <c r="J1169" i="3"/>
  <c r="J1170" i="3"/>
  <c r="J1171" i="3"/>
  <c r="J1172" i="3"/>
  <c r="J1173" i="3"/>
  <c r="J1174" i="3"/>
  <c r="J1175" i="3"/>
  <c r="J1176" i="3"/>
  <c r="J1180" i="3"/>
  <c r="J1181" i="3"/>
  <c r="J1182" i="3"/>
  <c r="J1183" i="3"/>
  <c r="J1184" i="3"/>
  <c r="J1185" i="3"/>
  <c r="J1186" i="3"/>
  <c r="J1187" i="3"/>
  <c r="J1188" i="3"/>
  <c r="J1189" i="3"/>
  <c r="J1193" i="3"/>
  <c r="J1194" i="3"/>
  <c r="J1195" i="3"/>
  <c r="J1196" i="3"/>
  <c r="J1197" i="3"/>
  <c r="J1198" i="3"/>
  <c r="J1199" i="3"/>
  <c r="J1200" i="3"/>
  <c r="J1201" i="3"/>
  <c r="J1202" i="3"/>
  <c r="J1203" i="3"/>
  <c r="J1207" i="3"/>
  <c r="J1208" i="3"/>
  <c r="J1209" i="3"/>
  <c r="J1210" i="3"/>
  <c r="J1211" i="3"/>
  <c r="J1212" i="3"/>
  <c r="J1213" i="3"/>
  <c r="J1214" i="3"/>
  <c r="J1215" i="3"/>
  <c r="J1216" i="3"/>
  <c r="J1220" i="3"/>
  <c r="J1221" i="3"/>
  <c r="J1222" i="3"/>
  <c r="J1223" i="3"/>
  <c r="J1224" i="3"/>
  <c r="J1225" i="3"/>
  <c r="J1226" i="3"/>
  <c r="J1227" i="3"/>
  <c r="J1228" i="3"/>
  <c r="J1229" i="3"/>
  <c r="J1230" i="3"/>
  <c r="J1231" i="3"/>
  <c r="J1235" i="3"/>
  <c r="J1236" i="3"/>
  <c r="J1237" i="3"/>
  <c r="J1238" i="3"/>
  <c r="J1239" i="3"/>
  <c r="J1240" i="3"/>
  <c r="J1241" i="3"/>
  <c r="J1242" i="3"/>
  <c r="J1243" i="3"/>
  <c r="J1244" i="3"/>
  <c r="J1245" i="3"/>
  <c r="J1246" i="3"/>
  <c r="J1247" i="3"/>
  <c r="J1248" i="3"/>
  <c r="J1252" i="3"/>
  <c r="J1253" i="3"/>
  <c r="J1254" i="3"/>
  <c r="J1255" i="3"/>
  <c r="J1256" i="3"/>
  <c r="J1257" i="3"/>
  <c r="J1258" i="3"/>
  <c r="J1259" i="3"/>
  <c r="J1260" i="3"/>
  <c r="J1261" i="3"/>
  <c r="J1262" i="3"/>
  <c r="J1263" i="3"/>
  <c r="J1266" i="3"/>
  <c r="J1267" i="3"/>
  <c r="J1268" i="3"/>
  <c r="J1269" i="3"/>
  <c r="J1270" i="3"/>
  <c r="J1271" i="3"/>
  <c r="J1272" i="3"/>
  <c r="J1276" i="3"/>
  <c r="J1277" i="3"/>
  <c r="J1278" i="3"/>
  <c r="J1279" i="3"/>
  <c r="J1280" i="3"/>
  <c r="J1281" i="3"/>
  <c r="J1282" i="3"/>
  <c r="J1283" i="3"/>
  <c r="J1284" i="3"/>
  <c r="J1285" i="3"/>
  <c r="J1286" i="3"/>
  <c r="J1287" i="3"/>
  <c r="J1288" i="3"/>
  <c r="J1289"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21" i="3"/>
  <c r="J1322" i="3"/>
  <c r="J1323" i="3"/>
  <c r="J1324" i="3"/>
  <c r="J1325" i="3"/>
  <c r="J1326" i="3"/>
  <c r="J1328" i="3"/>
  <c r="J1329" i="3"/>
  <c r="J1330" i="3"/>
  <c r="J1331" i="3"/>
  <c r="J1332" i="3"/>
  <c r="J1333" i="3"/>
  <c r="J1334" i="3"/>
  <c r="J1335" i="3"/>
  <c r="J1336" i="3"/>
  <c r="J1337" i="3"/>
  <c r="J1338" i="3"/>
  <c r="J1339" i="3"/>
  <c r="J1340" i="3"/>
  <c r="J1341" i="3"/>
  <c r="J1342" i="3"/>
  <c r="J1343" i="3"/>
  <c r="J1344" i="3"/>
  <c r="J1345" i="3"/>
  <c r="J1349" i="3"/>
  <c r="J1350" i="3"/>
  <c r="J1351" i="3"/>
  <c r="J1352" i="3"/>
  <c r="J1353" i="3"/>
  <c r="J1354" i="3"/>
  <c r="J1355" i="3"/>
  <c r="J1356" i="3"/>
  <c r="J1357" i="3"/>
  <c r="J1358" i="3"/>
  <c r="J1359" i="3"/>
  <c r="J1363" i="3"/>
  <c r="J1364" i="3"/>
  <c r="J1365" i="3"/>
  <c r="J1366" i="3"/>
  <c r="J1367" i="3"/>
  <c r="J1368" i="3"/>
  <c r="J1369" i="3"/>
  <c r="J1370" i="3"/>
  <c r="J1371" i="3"/>
  <c r="J1372" i="3"/>
  <c r="J1373" i="3"/>
  <c r="J1374" i="3"/>
  <c r="J1378" i="3"/>
  <c r="J1379" i="3"/>
  <c r="J1380" i="3"/>
  <c r="J1381" i="3"/>
  <c r="J1382" i="3"/>
  <c r="J1383" i="3"/>
  <c r="J1384" i="3"/>
  <c r="J1385" i="3"/>
  <c r="J1386" i="3"/>
  <c r="J1390" i="3"/>
  <c r="J1391" i="3"/>
  <c r="J1392" i="3"/>
  <c r="J1393" i="3"/>
  <c r="J1394" i="3"/>
  <c r="J1395" i="3"/>
  <c r="J1399" i="3"/>
  <c r="J1400" i="3"/>
  <c r="J1401" i="3"/>
  <c r="J1402" i="3"/>
  <c r="J1403" i="3"/>
  <c r="J1404" i="3"/>
  <c r="J1405" i="3"/>
  <c r="J1406" i="3"/>
  <c r="J1407" i="3"/>
  <c r="J1408" i="3"/>
  <c r="J1409" i="3"/>
  <c r="J1410" i="3"/>
  <c r="J1414" i="3"/>
  <c r="J1415" i="3"/>
  <c r="J1416" i="3"/>
  <c r="J1417" i="3"/>
  <c r="J1418" i="3"/>
  <c r="J1419" i="3"/>
  <c r="J1420" i="3"/>
  <c r="J1421" i="3"/>
  <c r="J1422" i="3"/>
  <c r="J1423" i="3"/>
  <c r="J1424" i="3"/>
  <c r="J1425" i="3"/>
  <c r="J1429" i="3"/>
  <c r="J1430" i="3"/>
  <c r="J1431" i="3"/>
  <c r="J1432" i="3"/>
  <c r="J1433" i="3"/>
  <c r="J1434" i="3"/>
  <c r="J1435" i="3"/>
  <c r="J1436" i="3"/>
  <c r="J1437" i="3"/>
  <c r="J1438" i="3"/>
  <c r="J1439" i="3"/>
  <c r="J1440" i="3"/>
  <c r="J1441" i="3"/>
  <c r="J1445" i="3"/>
  <c r="J1446" i="3"/>
  <c r="J1447" i="3"/>
  <c r="J1448" i="3"/>
  <c r="J1449" i="3"/>
  <c r="J1450" i="3"/>
  <c r="J1451" i="3"/>
  <c r="J1452" i="3"/>
  <c r="J1453" i="3"/>
  <c r="J1454" i="3"/>
  <c r="J1455" i="3"/>
  <c r="J1456" i="3"/>
  <c r="J1457" i="3"/>
  <c r="J1461" i="3"/>
  <c r="J1462" i="3"/>
  <c r="J1463" i="3"/>
  <c r="J1464" i="3"/>
  <c r="J1465" i="3"/>
  <c r="J1466" i="3"/>
  <c r="J1467" i="3"/>
  <c r="J1468" i="3"/>
  <c r="J1469" i="3"/>
  <c r="J1470" i="3"/>
  <c r="J1471" i="3"/>
  <c r="J1472"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6" i="3"/>
  <c r="J1507" i="3"/>
  <c r="J1508" i="3"/>
  <c r="J1509" i="3"/>
  <c r="J1510" i="3"/>
  <c r="J1511" i="3"/>
  <c r="J1512" i="3"/>
  <c r="J1516" i="3"/>
  <c r="J1517" i="3"/>
  <c r="J1518" i="3"/>
  <c r="J1519" i="3"/>
  <c r="J1520" i="3"/>
  <c r="J1521" i="3"/>
  <c r="J1522" i="3"/>
  <c r="J1526" i="3"/>
  <c r="J1527" i="3"/>
  <c r="J1528" i="3"/>
  <c r="J1529" i="3"/>
  <c r="J1530" i="3"/>
  <c r="J1531" i="3"/>
  <c r="J1532" i="3"/>
  <c r="J1536" i="3"/>
  <c r="J1537" i="3"/>
  <c r="J1538" i="3"/>
  <c r="J1542" i="3"/>
  <c r="J1543" i="3"/>
  <c r="J1544" i="3"/>
  <c r="J1548" i="3"/>
  <c r="J1549" i="3"/>
  <c r="J1550" i="3"/>
  <c r="J1551" i="3"/>
  <c r="J1552" i="3"/>
  <c r="J1553" i="3"/>
  <c r="J1556" i="3"/>
  <c r="J1557" i="3"/>
  <c r="J1558" i="3"/>
  <c r="J1559" i="3"/>
  <c r="J1562" i="3"/>
  <c r="J1563" i="3"/>
  <c r="J1564" i="3"/>
  <c r="J1565" i="3"/>
  <c r="J1566" i="3"/>
  <c r="J1567" i="3"/>
  <c r="J1568" i="3"/>
  <c r="J1571" i="3"/>
  <c r="J1572" i="3"/>
  <c r="J1573" i="3"/>
  <c r="J1574" i="3"/>
  <c r="J1575" i="3"/>
  <c r="J1576" i="3"/>
  <c r="J1577" i="3"/>
  <c r="J1581" i="3"/>
  <c r="J1582" i="3"/>
  <c r="J1583" i="3"/>
  <c r="J1584" i="3"/>
  <c r="J1585" i="3"/>
  <c r="J1586" i="3"/>
  <c r="J1587" i="3"/>
  <c r="J1588" i="3"/>
  <c r="J1592" i="3"/>
  <c r="J1593" i="3"/>
  <c r="J1594" i="3"/>
  <c r="J1595" i="3"/>
  <c r="J1596" i="3"/>
  <c r="J1600" i="3"/>
  <c r="J1601" i="3"/>
  <c r="J1602" i="3"/>
  <c r="J1603" i="3"/>
  <c r="J1604" i="3"/>
  <c r="J1605" i="3"/>
  <c r="J1606" i="3"/>
  <c r="J1607" i="3"/>
  <c r="J1608" i="3"/>
  <c r="J1609" i="3"/>
  <c r="J1610" i="3"/>
  <c r="J1611" i="3"/>
  <c r="J1615" i="3"/>
  <c r="J1616" i="3"/>
  <c r="J1617" i="3"/>
  <c r="J1618" i="3"/>
  <c r="J1619" i="3"/>
  <c r="J1620" i="3"/>
  <c r="J1621" i="3"/>
  <c r="J1622" i="3"/>
  <c r="J1623" i="3"/>
  <c r="J1624" i="3"/>
  <c r="J1625" i="3"/>
  <c r="J1626" i="3"/>
  <c r="J1630" i="3"/>
  <c r="J1631" i="3"/>
  <c r="J1632" i="3"/>
  <c r="J1633" i="3"/>
  <c r="J1634" i="3"/>
  <c r="J1635" i="3"/>
  <c r="J1636" i="3"/>
  <c r="J1637" i="3"/>
  <c r="J1638" i="3"/>
  <c r="J1642" i="3"/>
  <c r="J1643" i="3"/>
  <c r="J1644" i="3"/>
  <c r="J1645" i="3"/>
  <c r="J1646" i="3"/>
  <c r="J1647" i="3"/>
  <c r="J1648" i="3"/>
  <c r="J1649" i="3"/>
  <c r="J1650" i="3"/>
  <c r="J1651" i="3"/>
  <c r="J1652" i="3"/>
  <c r="J1653" i="3"/>
  <c r="J1654" i="3"/>
  <c r="J1658" i="3"/>
  <c r="J1659" i="3"/>
  <c r="J1660" i="3"/>
  <c r="J1661" i="3"/>
  <c r="J1662" i="3"/>
  <c r="J1663" i="3"/>
  <c r="J1664" i="3"/>
  <c r="J1665" i="3"/>
  <c r="J1666" i="3"/>
  <c r="J1667" i="3"/>
  <c r="J1668" i="3"/>
  <c r="J1672" i="3"/>
  <c r="J1673" i="3"/>
  <c r="J1674" i="3"/>
  <c r="J1675" i="3"/>
  <c r="J1676" i="3"/>
  <c r="J1677" i="3"/>
  <c r="J1678" i="3"/>
  <c r="J1679" i="3"/>
  <c r="J1680" i="3"/>
  <c r="J1681" i="3"/>
  <c r="J1682"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3" i="3"/>
  <c r="J1714" i="3"/>
  <c r="J1715"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9" i="3"/>
  <c r="J1780" i="3"/>
  <c r="J1781" i="3"/>
  <c r="J1782" i="3"/>
  <c r="J1783" i="3"/>
  <c r="J1784" i="3"/>
  <c r="J1785" i="3"/>
  <c r="J1789" i="3"/>
  <c r="J1790" i="3"/>
  <c r="J1791" i="3"/>
  <c r="J1792" i="3"/>
  <c r="J1793" i="3"/>
  <c r="J1794" i="3"/>
  <c r="J1795" i="3"/>
  <c r="J1796" i="3"/>
  <c r="J1797" i="3"/>
  <c r="J1801" i="3"/>
  <c r="J1802" i="3"/>
  <c r="J1803" i="3"/>
  <c r="J1804" i="3"/>
  <c r="J1805" i="3"/>
  <c r="J1806" i="3"/>
  <c r="J1807" i="3"/>
  <c r="J1808" i="3"/>
  <c r="J1809" i="3"/>
  <c r="J1810" i="3"/>
  <c r="J1811" i="3"/>
  <c r="J1812" i="3"/>
  <c r="J1813" i="3"/>
  <c r="J1817" i="3"/>
  <c r="J1818" i="3"/>
  <c r="J1819" i="3"/>
  <c r="J1820" i="3"/>
  <c r="J1821" i="3"/>
  <c r="J1822" i="3"/>
  <c r="J1823" i="3"/>
  <c r="J1827" i="3"/>
  <c r="J1828" i="3"/>
  <c r="J1829" i="3"/>
  <c r="J1830" i="3"/>
  <c r="J1831" i="3"/>
  <c r="J1835" i="3"/>
  <c r="J1836" i="3"/>
  <c r="J1837" i="3"/>
  <c r="J1838" i="3"/>
  <c r="J1839" i="3"/>
  <c r="J1840" i="3"/>
  <c r="J1841" i="3"/>
  <c r="J1842" i="3"/>
  <c r="J1843" i="3"/>
  <c r="J1844"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4" i="3"/>
  <c r="J1875" i="3"/>
  <c r="J1876" i="3"/>
  <c r="J1877" i="3"/>
  <c r="J1878" i="3"/>
  <c r="J1879" i="3"/>
  <c r="J1883" i="3"/>
  <c r="J1884" i="3"/>
  <c r="J1885" i="3"/>
  <c r="J1886" i="3"/>
  <c r="J1887" i="3"/>
  <c r="J1888" i="3"/>
  <c r="J1889" i="3"/>
  <c r="J1890" i="3"/>
  <c r="J1891" i="3"/>
  <c r="J1892" i="3"/>
  <c r="J1893"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4" i="3"/>
  <c r="J1925" i="3"/>
  <c r="J1926" i="3"/>
  <c r="J1927" i="3"/>
  <c r="J1931" i="3"/>
  <c r="J1932" i="3"/>
  <c r="J1933" i="3"/>
  <c r="J1934" i="3"/>
  <c r="J1935" i="3"/>
  <c r="J1938" i="3"/>
  <c r="J1939" i="3"/>
  <c r="J1940" i="3"/>
  <c r="J1941" i="3"/>
  <c r="J1945" i="3"/>
  <c r="J1946" i="3"/>
  <c r="J1947" i="3"/>
  <c r="J1948" i="3"/>
  <c r="J1949" i="3"/>
  <c r="J1950" i="3"/>
  <c r="J1951" i="3"/>
  <c r="J1952" i="3"/>
  <c r="J1953" i="3"/>
  <c r="J1954" i="3"/>
  <c r="J1955" i="3"/>
  <c r="J1959" i="3"/>
  <c r="J1960" i="3"/>
  <c r="J1961" i="3"/>
  <c r="J1962" i="3"/>
  <c r="J1963" i="3"/>
  <c r="J1964" i="3"/>
  <c r="J1965" i="3"/>
  <c r="J1966" i="3"/>
  <c r="J1967" i="3"/>
  <c r="J1968" i="3"/>
  <c r="J1969" i="3"/>
  <c r="J1973" i="3"/>
  <c r="J1974" i="3"/>
  <c r="J1975" i="3"/>
  <c r="J1976" i="3"/>
  <c r="J1977" i="3"/>
  <c r="J1978" i="3"/>
  <c r="J1979" i="3"/>
  <c r="J1980" i="3"/>
  <c r="J1981" i="3"/>
  <c r="J1982" i="3"/>
  <c r="J1983" i="3"/>
  <c r="J1987" i="3"/>
  <c r="J1988" i="3"/>
  <c r="J1989" i="3"/>
  <c r="J1990" i="3"/>
  <c r="J1991" i="3"/>
  <c r="J1992" i="3"/>
  <c r="J1993" i="3"/>
  <c r="J1994" i="3"/>
  <c r="J1995" i="3"/>
  <c r="J1996" i="3"/>
  <c r="J1997"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9" i="3"/>
  <c r="J2030" i="3"/>
  <c r="J2031" i="3"/>
  <c r="J2032" i="3"/>
  <c r="J2033" i="3"/>
  <c r="J2034" i="3"/>
  <c r="J2035" i="3"/>
  <c r="J2039" i="3"/>
  <c r="J2040" i="3"/>
  <c r="J2041" i="3"/>
  <c r="J2042" i="3"/>
  <c r="J2043" i="3"/>
  <c r="J2044" i="3"/>
  <c r="J2045" i="3"/>
  <c r="J2046" i="3"/>
  <c r="J2047" i="3"/>
  <c r="J2048" i="3"/>
  <c r="J2049" i="3"/>
  <c r="J2050" i="3"/>
  <c r="J2051"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4" i="3"/>
  <c r="J2105" i="3"/>
  <c r="J2106" i="3"/>
  <c r="J2107" i="3"/>
  <c r="J2108" i="3"/>
  <c r="J2109" i="3"/>
  <c r="J2110" i="3"/>
  <c r="J2111" i="3"/>
  <c r="J2112" i="3"/>
  <c r="J2113" i="3"/>
  <c r="J2114" i="3"/>
  <c r="J2115" i="3"/>
  <c r="J2116" i="3"/>
  <c r="J2120" i="3"/>
  <c r="J2121" i="3"/>
  <c r="J2122" i="3"/>
  <c r="J2123" i="3"/>
  <c r="J2124" i="3"/>
  <c r="J2125" i="3"/>
  <c r="J2126" i="3"/>
  <c r="J2127" i="3"/>
  <c r="J2128" i="3"/>
  <c r="J2129" i="3"/>
  <c r="J2130" i="3"/>
  <c r="J2134" i="3"/>
  <c r="J2135" i="3"/>
  <c r="J2136" i="3"/>
  <c r="J2137" i="3"/>
  <c r="J2138" i="3"/>
  <c r="J2142" i="3"/>
  <c r="J2143" i="3"/>
  <c r="J2144" i="3"/>
  <c r="J2145" i="3"/>
  <c r="J2146" i="3"/>
  <c r="J2147" i="3"/>
  <c r="J2148" i="3"/>
  <c r="J2149" i="3"/>
  <c r="J2150" i="3"/>
  <c r="J2154" i="3"/>
  <c r="J2155" i="3"/>
  <c r="J2156" i="3"/>
  <c r="J2157" i="3"/>
  <c r="J2158" i="3"/>
  <c r="J2159" i="3"/>
  <c r="J2160" i="3"/>
  <c r="J2161" i="3"/>
  <c r="J2162" i="3"/>
  <c r="J2163" i="3"/>
  <c r="J2167" i="3"/>
  <c r="J2168" i="3"/>
  <c r="J2169" i="3"/>
  <c r="J2172" i="3"/>
  <c r="J2173" i="3"/>
  <c r="J2174" i="3"/>
  <c r="J2175" i="3"/>
  <c r="J2176" i="3"/>
  <c r="J2177" i="3"/>
  <c r="J2178" i="3"/>
  <c r="J2180" i="3"/>
  <c r="J2181" i="3"/>
  <c r="J2182" i="3"/>
  <c r="J2183" i="3"/>
  <c r="J2184" i="3"/>
  <c r="J2188" i="3"/>
  <c r="J2189" i="3"/>
  <c r="J2190" i="3"/>
  <c r="J2191" i="3"/>
  <c r="J2192" i="3"/>
  <c r="J2196" i="3"/>
  <c r="J2197" i="3"/>
  <c r="J2198" i="3"/>
  <c r="J2199" i="3"/>
  <c r="J2200" i="3"/>
  <c r="J2201" i="3"/>
  <c r="J2202" i="3"/>
  <c r="J2203" i="3"/>
  <c r="J2204" i="3"/>
  <c r="J2205" i="3"/>
  <c r="J2209" i="3"/>
  <c r="J2210" i="3"/>
  <c r="J2211" i="3"/>
  <c r="J2212" i="3"/>
  <c r="J2213" i="3"/>
  <c r="J2214" i="3"/>
  <c r="J2215" i="3"/>
  <c r="J2216" i="3"/>
  <c r="J2217" i="3"/>
  <c r="J2218" i="3"/>
  <c r="J2219" i="3"/>
  <c r="J2220" i="3"/>
  <c r="J2221" i="3"/>
  <c r="J2222" i="3"/>
  <c r="J2226" i="3"/>
  <c r="J2227" i="3"/>
  <c r="J2228" i="3"/>
  <c r="J2229" i="3"/>
  <c r="J2230" i="3"/>
  <c r="J2231" i="3"/>
  <c r="J2232" i="3"/>
  <c r="J2233" i="3"/>
  <c r="J2234" i="3"/>
  <c r="J2235" i="3"/>
  <c r="J2236" i="3"/>
  <c r="J2237" i="3"/>
  <c r="J2238" i="3"/>
  <c r="J2239"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10" i="3"/>
  <c r="J2311" i="3"/>
  <c r="J2312" i="3"/>
  <c r="J2313" i="3"/>
  <c r="J2314" i="3"/>
  <c r="J2318" i="3"/>
  <c r="J2319" i="3"/>
  <c r="J2320" i="3"/>
  <c r="J2321" i="3"/>
  <c r="J2322" i="3"/>
  <c r="J2323" i="3"/>
  <c r="J2324" i="3"/>
  <c r="J2325" i="3"/>
  <c r="J2326" i="3"/>
  <c r="J2327" i="3"/>
  <c r="J2328" i="3"/>
  <c r="J2329" i="3"/>
  <c r="J2330" i="3"/>
  <c r="J2331" i="3"/>
  <c r="J2332" i="3"/>
  <c r="J2333" i="3"/>
  <c r="J2337" i="3"/>
  <c r="J2338" i="3"/>
  <c r="J2339" i="3"/>
  <c r="J2340" i="3"/>
  <c r="J2341" i="3"/>
  <c r="J2342" i="3"/>
  <c r="J2343" i="3"/>
  <c r="J2344" i="3"/>
  <c r="J2345" i="3"/>
  <c r="J2346" i="3"/>
  <c r="J2347" i="3"/>
  <c r="J2348" i="3"/>
  <c r="J2349" i="3"/>
  <c r="J2350"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8" i="3"/>
  <c r="J2389" i="3"/>
  <c r="J2390" i="3"/>
  <c r="J2391" i="3"/>
  <c r="J2392" i="3"/>
  <c r="J2393" i="3"/>
  <c r="J2394" i="3"/>
  <c r="J2395" i="3"/>
  <c r="J2396" i="3"/>
  <c r="J2397" i="3"/>
  <c r="J2398" i="3"/>
  <c r="J2399" i="3"/>
  <c r="J2400" i="3"/>
  <c r="J2401" i="3"/>
  <c r="J2405" i="3"/>
  <c r="J2406" i="3"/>
  <c r="J2407" i="3"/>
  <c r="J2408" i="3"/>
  <c r="J2409" i="3"/>
  <c r="J2410" i="3"/>
  <c r="J2411" i="3"/>
  <c r="J2412" i="3"/>
  <c r="J2413" i="3"/>
  <c r="J2417" i="3"/>
  <c r="J2418" i="3"/>
  <c r="J2419" i="3"/>
  <c r="J2420" i="3"/>
  <c r="J2421" i="3"/>
  <c r="J2422" i="3"/>
  <c r="J2423" i="3"/>
  <c r="J2424" i="3"/>
  <c r="J2425" i="3"/>
  <c r="J2426" i="3"/>
  <c r="J2427" i="3"/>
  <c r="J2428" i="3"/>
  <c r="J2429" i="3"/>
  <c r="J2430" i="3"/>
  <c r="J2434" i="3"/>
  <c r="J2435" i="3"/>
  <c r="J2436" i="3"/>
  <c r="J2437" i="3"/>
  <c r="J2438" i="3"/>
  <c r="J2439" i="3"/>
  <c r="J2440" i="3"/>
  <c r="J2441" i="3"/>
  <c r="J2442" i="3"/>
  <c r="J2443" i="3"/>
  <c r="J2444" i="3"/>
  <c r="J2445" i="3"/>
  <c r="J2446" i="3"/>
  <c r="J2447" i="3"/>
  <c r="J2451" i="3"/>
  <c r="J2452" i="3"/>
  <c r="J2453" i="3"/>
  <c r="J2454" i="3"/>
  <c r="J2455" i="3"/>
  <c r="J2456" i="3"/>
  <c r="J2457" i="3"/>
  <c r="J2458" i="3"/>
  <c r="J2459" i="3"/>
  <c r="J2460" i="3"/>
  <c r="J2461" i="3"/>
  <c r="J2462" i="3"/>
  <c r="J2463" i="3"/>
  <c r="J2467" i="3"/>
  <c r="J2468" i="3"/>
  <c r="J2469" i="3"/>
  <c r="J2470" i="3"/>
  <c r="J2471" i="3"/>
  <c r="J2472" i="3"/>
  <c r="J2473" i="3"/>
  <c r="J2474" i="3"/>
  <c r="J2475" i="3"/>
  <c r="J2476" i="3"/>
  <c r="J2477" i="3"/>
  <c r="J2478" i="3"/>
  <c r="J2479" i="3"/>
  <c r="J2480" i="3"/>
  <c r="J2484" i="3"/>
  <c r="J2485" i="3"/>
  <c r="J2486" i="3"/>
  <c r="J2487" i="3"/>
  <c r="J2488" i="3"/>
  <c r="J2489" i="3"/>
  <c r="J2490" i="3"/>
  <c r="J2491" i="3"/>
  <c r="J2492" i="3"/>
  <c r="J2493" i="3"/>
  <c r="J2494" i="3"/>
  <c r="J2495" i="3"/>
  <c r="J2496" i="3"/>
  <c r="J2499" i="3"/>
  <c r="J2500" i="3"/>
  <c r="J2501" i="3"/>
  <c r="J2502" i="3"/>
  <c r="J2503" i="3"/>
  <c r="J2504" i="3"/>
  <c r="J2507" i="3"/>
  <c r="J2508" i="3"/>
  <c r="J2509" i="3"/>
  <c r="J2510" i="3"/>
  <c r="J2514" i="3"/>
  <c r="J2515" i="3"/>
  <c r="J2516" i="3"/>
  <c r="J2517" i="3"/>
  <c r="J2518" i="3"/>
  <c r="J2519" i="3"/>
  <c r="J2520" i="3"/>
  <c r="J2521" i="3"/>
  <c r="J2522" i="3"/>
  <c r="J2526" i="3"/>
  <c r="J2527" i="3"/>
  <c r="J2528" i="3"/>
  <c r="J2529" i="3"/>
  <c r="J2530" i="3"/>
  <c r="J2531" i="3"/>
  <c r="J2532" i="3"/>
  <c r="J2533" i="3"/>
  <c r="J2534" i="3"/>
  <c r="J2539" i="3"/>
  <c r="J2540" i="3"/>
  <c r="J2541" i="3"/>
  <c r="J2542" i="3"/>
  <c r="J2543" i="3"/>
  <c r="J2544" i="3"/>
  <c r="J2545" i="3"/>
  <c r="J2546" i="3"/>
  <c r="J2547" i="3"/>
  <c r="J2548" i="3"/>
  <c r="J2549" i="3"/>
  <c r="J2550" i="3"/>
  <c r="J2554" i="3"/>
  <c r="J2555" i="3"/>
  <c r="J2556" i="3"/>
  <c r="J2557" i="3"/>
  <c r="J2558" i="3"/>
  <c r="J2559" i="3"/>
  <c r="J2560" i="3"/>
  <c r="J2561" i="3"/>
  <c r="J2562" i="3"/>
  <c r="J2563" i="3"/>
  <c r="J2564" i="3"/>
  <c r="J2565" i="3"/>
  <c r="J2566" i="3"/>
  <c r="J2570" i="3"/>
  <c r="J2571" i="3"/>
  <c r="J2572" i="3"/>
  <c r="J2573" i="3"/>
  <c r="J2574" i="3"/>
  <c r="J2575" i="3"/>
  <c r="J2576" i="3"/>
  <c r="J2577" i="3"/>
  <c r="J2578" i="3"/>
  <c r="J2582" i="3"/>
  <c r="J2583" i="3"/>
  <c r="J2584" i="3"/>
  <c r="J2585" i="3"/>
  <c r="J2586" i="3"/>
  <c r="J2587" i="3"/>
  <c r="J2588" i="3"/>
  <c r="J2589" i="3"/>
  <c r="J2590" i="3"/>
  <c r="J2594" i="3"/>
  <c r="J2595" i="3"/>
  <c r="J2596" i="3"/>
  <c r="J2597" i="3"/>
  <c r="J2598" i="3"/>
  <c r="J2599" i="3"/>
  <c r="J2600" i="3"/>
  <c r="J2601" i="3"/>
  <c r="J2602" i="3"/>
  <c r="J2603" i="3"/>
  <c r="J2607" i="3"/>
  <c r="J2608" i="3"/>
  <c r="J2609" i="3"/>
  <c r="J2610" i="3"/>
  <c r="J2611" i="3"/>
  <c r="J2612" i="3"/>
  <c r="J2613" i="3"/>
  <c r="J2614" i="3"/>
  <c r="J2615" i="3"/>
  <c r="J2616" i="3"/>
  <c r="J2617" i="3"/>
  <c r="J2621" i="3"/>
  <c r="J2622" i="3"/>
  <c r="J2623" i="3"/>
  <c r="J2624" i="3"/>
  <c r="J2625" i="3"/>
  <c r="J2626" i="3"/>
  <c r="J2627" i="3"/>
  <c r="J2628" i="3"/>
  <c r="J2629" i="3"/>
  <c r="J2630" i="3"/>
  <c r="J2631" i="3"/>
  <c r="J2635" i="3"/>
  <c r="J2636" i="3"/>
  <c r="J2637" i="3"/>
  <c r="J2638" i="3"/>
  <c r="J2639" i="3"/>
  <c r="J2640" i="3"/>
  <c r="J2641" i="3"/>
  <c r="J2642" i="3"/>
  <c r="J2643" i="3"/>
  <c r="J2644" i="3"/>
  <c r="J2645" i="3"/>
  <c r="J2649" i="3"/>
  <c r="J2650" i="3"/>
  <c r="J2651" i="3"/>
  <c r="J2655" i="3"/>
  <c r="J2656" i="3"/>
  <c r="J2657" i="3"/>
  <c r="J2661" i="3"/>
  <c r="J2662" i="3"/>
  <c r="J2663" i="3"/>
  <c r="J2664" i="3"/>
  <c r="J2665" i="3"/>
  <c r="J2666" i="3"/>
  <c r="J2667" i="3"/>
  <c r="J2668" i="3"/>
  <c r="J2669" i="3"/>
  <c r="J2670" i="3"/>
  <c r="J2671" i="3"/>
  <c r="J2675" i="3"/>
  <c r="J2676" i="3"/>
  <c r="J2677" i="3"/>
  <c r="J2678" i="3"/>
  <c r="J2679" i="3"/>
  <c r="J2680" i="3"/>
  <c r="J2681" i="3"/>
  <c r="J2682" i="3"/>
  <c r="J2683" i="3"/>
  <c r="J2684" i="3"/>
  <c r="J2685" i="3"/>
  <c r="J2689" i="3"/>
  <c r="J2690" i="3"/>
  <c r="J2691" i="3"/>
  <c r="J2692" i="3"/>
  <c r="J2693" i="3"/>
  <c r="J2694" i="3"/>
  <c r="J2695" i="3"/>
  <c r="J2696" i="3"/>
  <c r="J2697" i="3"/>
  <c r="J2698" i="3"/>
  <c r="J2699" i="3"/>
  <c r="J2704" i="3"/>
  <c r="J2705" i="3"/>
  <c r="J2706" i="3"/>
  <c r="J2707" i="3"/>
  <c r="J2708" i="3"/>
  <c r="J2709" i="3"/>
  <c r="J2710" i="3"/>
  <c r="J2711" i="3"/>
  <c r="J2712" i="3"/>
  <c r="J2713" i="3"/>
  <c r="J2717" i="3"/>
  <c r="J2718" i="3"/>
  <c r="J2719" i="3"/>
  <c r="J2720" i="3"/>
  <c r="J2721" i="3"/>
  <c r="J2722" i="3"/>
  <c r="J2723" i="3"/>
  <c r="J2724" i="3"/>
  <c r="J2725" i="3"/>
  <c r="J2726" i="3"/>
  <c r="J2727" i="3"/>
  <c r="J2731" i="3"/>
  <c r="J2732" i="3"/>
  <c r="J2733" i="3"/>
  <c r="J2734" i="3"/>
  <c r="J2735" i="3"/>
  <c r="J2736" i="3"/>
  <c r="J2737" i="3"/>
  <c r="J2738" i="3"/>
  <c r="J2739" i="3"/>
  <c r="J2740" i="3"/>
  <c r="J2741" i="3"/>
  <c r="J2745" i="3"/>
  <c r="J2746" i="3"/>
  <c r="J2747" i="3"/>
  <c r="J2748" i="3"/>
  <c r="J2749" i="3"/>
  <c r="J2750" i="3"/>
  <c r="J2751" i="3"/>
  <c r="J2752" i="3"/>
  <c r="J2753" i="3"/>
  <c r="J2754" i="3"/>
  <c r="J2755" i="3"/>
  <c r="J2756" i="3"/>
  <c r="J2760" i="3"/>
  <c r="J2761" i="3"/>
  <c r="J2762" i="3"/>
  <c r="J2763" i="3"/>
  <c r="J2764" i="3"/>
  <c r="J2765" i="3"/>
  <c r="J2766" i="3"/>
  <c r="J2767" i="3"/>
  <c r="J2768" i="3"/>
  <c r="J2769" i="3"/>
  <c r="J2770" i="3"/>
  <c r="J2771" i="3"/>
  <c r="J2775" i="3"/>
  <c r="J2776" i="3"/>
  <c r="J2777" i="3"/>
  <c r="J2778" i="3"/>
  <c r="J2779" i="3"/>
  <c r="J2780" i="3"/>
  <c r="J2781" i="3"/>
  <c r="J2782" i="3"/>
  <c r="J2783" i="3"/>
  <c r="J2784" i="3"/>
  <c r="J2785" i="3"/>
  <c r="J2789" i="3"/>
  <c r="J2790" i="3"/>
  <c r="J2791" i="3"/>
  <c r="J2792" i="3"/>
  <c r="J2793" i="3"/>
  <c r="J2794" i="3"/>
  <c r="J2795" i="3"/>
  <c r="J2796" i="3"/>
  <c r="J2797" i="3"/>
  <c r="J2798" i="3"/>
  <c r="J2799"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4" i="3"/>
  <c r="J2965" i="3"/>
  <c r="J2966" i="3"/>
  <c r="J2967" i="3"/>
  <c r="J2968" i="3"/>
  <c r="J2969" i="3"/>
  <c r="J2970" i="3"/>
  <c r="J2971" i="3"/>
  <c r="J2972" i="3"/>
  <c r="J2973" i="3"/>
  <c r="J2974" i="3"/>
  <c r="J2975" i="3"/>
  <c r="J2976" i="3"/>
  <c r="J2977" i="3"/>
  <c r="J2978" i="3"/>
  <c r="J2980" i="3"/>
  <c r="J2981" i="3"/>
  <c r="J2982" i="3"/>
  <c r="J2983" i="3"/>
  <c r="J2984" i="3"/>
  <c r="J2985" i="3"/>
  <c r="J2986" i="3"/>
  <c r="J2987" i="3"/>
  <c r="J2988" i="3"/>
  <c r="J2989" i="3"/>
  <c r="J2990" i="3"/>
  <c r="J2991" i="3"/>
  <c r="J2992" i="3"/>
  <c r="J2993" i="3"/>
  <c r="J2994" i="3"/>
  <c r="J2996" i="3"/>
  <c r="J2997" i="3"/>
  <c r="J2998" i="3"/>
  <c r="J2999" i="3"/>
  <c r="J3000" i="3"/>
  <c r="J3001" i="3"/>
  <c r="J3002" i="3"/>
  <c r="J3003" i="3"/>
  <c r="J3004" i="3"/>
  <c r="J3005" i="3"/>
  <c r="J3006" i="3"/>
  <c r="J3007" i="3"/>
  <c r="J3008" i="3"/>
  <c r="J3009" i="3"/>
  <c r="J3010" i="3"/>
  <c r="J3011" i="3"/>
  <c r="J3012" i="3"/>
  <c r="J3013" i="3"/>
  <c r="J3014" i="3"/>
  <c r="J3015" i="3"/>
  <c r="J3016" i="3"/>
  <c r="J3017" i="3"/>
  <c r="J3018" i="3"/>
  <c r="J3019" i="3"/>
  <c r="J3020" i="3"/>
  <c r="J3021" i="3"/>
  <c r="J3022" i="3"/>
  <c r="J3023" i="3"/>
  <c r="J3024" i="3"/>
  <c r="J3025" i="3"/>
  <c r="J3026" i="3"/>
  <c r="J3027" i="3"/>
  <c r="J3028" i="3"/>
  <c r="J3029" i="3"/>
  <c r="J3030" i="3"/>
  <c r="J3031" i="3"/>
  <c r="J3032" i="3"/>
  <c r="J3033" i="3"/>
  <c r="J3034" i="3"/>
  <c r="J3035" i="3"/>
  <c r="J3036" i="3"/>
  <c r="J3037" i="3"/>
  <c r="J3038" i="3"/>
  <c r="J3039" i="3"/>
  <c r="J3040" i="3"/>
  <c r="J3041" i="3"/>
  <c r="J3042" i="3"/>
  <c r="J3043" i="3"/>
  <c r="J3044" i="3"/>
  <c r="J3045" i="3"/>
  <c r="J3046" i="3"/>
  <c r="J3047" i="3"/>
  <c r="J3048" i="3"/>
  <c r="J3049" i="3"/>
  <c r="J3050" i="3"/>
  <c r="J3051" i="3"/>
  <c r="J3052" i="3"/>
  <c r="J3053" i="3"/>
  <c r="J3054" i="3"/>
  <c r="J3055" i="3"/>
  <c r="J3056" i="3"/>
  <c r="J3057" i="3"/>
  <c r="J3058" i="3"/>
  <c r="J3059" i="3"/>
  <c r="J3060" i="3"/>
  <c r="J3061" i="3"/>
  <c r="J3062" i="3"/>
  <c r="J3063" i="3"/>
  <c r="J3064" i="3"/>
  <c r="J3065" i="3"/>
  <c r="J3066" i="3"/>
  <c r="J3067" i="3"/>
  <c r="J3068" i="3"/>
  <c r="J3069" i="3"/>
  <c r="J3070" i="3"/>
  <c r="J3071" i="3"/>
  <c r="J3072" i="3"/>
  <c r="J3073" i="3"/>
  <c r="J3074" i="3"/>
  <c r="J3075" i="3"/>
  <c r="J3076" i="3"/>
  <c r="J3077" i="3"/>
  <c r="J3078" i="3"/>
  <c r="J3079" i="3"/>
  <c r="J3080" i="3"/>
  <c r="J3081" i="3"/>
  <c r="J3082" i="3"/>
  <c r="J3083" i="3"/>
  <c r="J3084" i="3"/>
  <c r="J3085" i="3"/>
  <c r="J3086" i="3"/>
  <c r="J3087" i="3"/>
  <c r="J3088" i="3"/>
  <c r="J3089" i="3"/>
  <c r="J3090" i="3"/>
  <c r="J3091" i="3"/>
  <c r="J3092" i="3"/>
  <c r="J3093" i="3"/>
  <c r="J3094" i="3"/>
  <c r="J3095" i="3"/>
  <c r="J3096" i="3"/>
  <c r="J3097" i="3"/>
  <c r="J3098" i="3"/>
  <c r="J3099" i="3"/>
  <c r="J3100" i="3"/>
  <c r="J3101" i="3"/>
  <c r="J3102" i="3"/>
  <c r="J3103" i="3"/>
  <c r="J3104" i="3"/>
  <c r="J3105" i="3"/>
  <c r="J3106" i="3"/>
  <c r="J3107" i="3"/>
  <c r="J3108" i="3"/>
  <c r="J3109" i="3"/>
  <c r="J3110" i="3"/>
  <c r="J3111" i="3"/>
  <c r="J3112" i="3"/>
  <c r="J3113" i="3"/>
  <c r="J3114" i="3"/>
  <c r="J3115" i="3"/>
  <c r="J3116" i="3"/>
  <c r="J3117" i="3"/>
  <c r="J3118" i="3"/>
  <c r="J3119" i="3"/>
  <c r="J3120" i="3"/>
  <c r="J3121" i="3"/>
  <c r="J3122" i="3"/>
  <c r="J3123" i="3"/>
  <c r="J3124" i="3"/>
  <c r="J3125" i="3"/>
  <c r="J3126" i="3"/>
  <c r="J3127" i="3"/>
  <c r="J3128" i="3"/>
  <c r="J3129" i="3"/>
  <c r="J3130" i="3"/>
  <c r="J3131" i="3"/>
  <c r="J3132" i="3"/>
  <c r="J3133" i="3"/>
  <c r="J3134" i="3"/>
  <c r="J3135" i="3"/>
  <c r="J3136" i="3"/>
  <c r="J3137" i="3"/>
  <c r="J3138" i="3"/>
  <c r="J3139" i="3"/>
  <c r="J3140" i="3"/>
  <c r="J3141" i="3"/>
  <c r="J3142" i="3"/>
  <c r="J3144" i="3"/>
  <c r="J3145" i="3"/>
  <c r="J3146" i="3"/>
  <c r="J3147" i="3"/>
  <c r="J3148" i="3"/>
  <c r="J3149" i="3"/>
  <c r="J3150" i="3"/>
  <c r="J3151" i="3"/>
  <c r="J3152" i="3"/>
  <c r="J3153" i="3"/>
  <c r="J3154" i="3"/>
  <c r="J3155" i="3"/>
  <c r="J3156" i="3"/>
  <c r="J3157" i="3"/>
  <c r="J3158" i="3"/>
  <c r="J3159" i="3"/>
  <c r="J3160" i="3"/>
  <c r="J3161" i="3"/>
  <c r="J3162" i="3"/>
  <c r="J3163" i="3"/>
  <c r="J3164" i="3"/>
  <c r="J3165" i="3"/>
  <c r="J3166" i="3"/>
  <c r="J3167" i="3"/>
  <c r="J3168" i="3"/>
  <c r="J3169" i="3"/>
  <c r="J3170" i="3"/>
  <c r="J3171" i="3"/>
  <c r="J3172" i="3"/>
  <c r="J3173" i="3"/>
  <c r="J3175" i="3"/>
  <c r="J3176" i="3"/>
  <c r="J3177" i="3"/>
  <c r="J3178" i="3"/>
  <c r="J3179" i="3"/>
  <c r="J3180" i="3"/>
  <c r="J3181" i="3"/>
  <c r="J3182" i="3"/>
  <c r="J3183" i="3"/>
  <c r="J3184" i="3"/>
  <c r="J3185" i="3"/>
  <c r="J3186" i="3"/>
  <c r="J3187" i="3"/>
  <c r="J3188" i="3"/>
  <c r="J3189" i="3"/>
  <c r="J3190" i="3"/>
  <c r="J3191" i="3"/>
  <c r="J3192" i="3"/>
  <c r="J3193" i="3"/>
  <c r="J3194" i="3"/>
  <c r="J3195" i="3"/>
  <c r="J3196" i="3"/>
  <c r="J3197" i="3"/>
  <c r="J3198" i="3"/>
  <c r="J3199" i="3"/>
  <c r="J3200" i="3"/>
  <c r="J3201" i="3"/>
  <c r="J3202" i="3"/>
  <c r="J3203" i="3"/>
  <c r="J3204" i="3"/>
  <c r="J3205" i="3"/>
  <c r="J3206" i="3"/>
  <c r="J3207" i="3"/>
  <c r="J3208" i="3"/>
  <c r="J3209" i="3"/>
  <c r="J3210" i="3"/>
  <c r="J3211" i="3"/>
  <c r="J3212" i="3"/>
  <c r="J3213" i="3"/>
  <c r="J3214" i="3"/>
  <c r="J3215" i="3"/>
  <c r="J3216" i="3"/>
  <c r="J3217" i="3"/>
  <c r="J3218" i="3"/>
  <c r="J3219" i="3"/>
  <c r="J3220" i="3"/>
  <c r="J3221" i="3"/>
  <c r="J3222" i="3"/>
  <c r="J3223" i="3"/>
  <c r="J3224" i="3"/>
  <c r="J3225" i="3"/>
  <c r="J3226" i="3"/>
  <c r="J3227" i="3"/>
  <c r="J3228" i="3"/>
  <c r="J3230" i="3"/>
  <c r="J3231" i="3"/>
  <c r="J3232" i="3"/>
  <c r="J3233" i="3"/>
  <c r="J3234" i="3"/>
  <c r="J3235" i="3"/>
  <c r="J3236" i="3"/>
  <c r="J3237" i="3"/>
  <c r="J3238" i="3"/>
  <c r="J3239" i="3"/>
  <c r="J3240" i="3"/>
  <c r="J3241" i="3"/>
  <c r="J3242" i="3"/>
  <c r="J3243" i="3"/>
  <c r="J3244" i="3"/>
  <c r="J3245" i="3"/>
  <c r="J3246" i="3"/>
  <c r="J3248" i="3"/>
  <c r="J3249" i="3"/>
  <c r="J3250" i="3"/>
  <c r="J3251" i="3"/>
  <c r="J3252" i="3"/>
  <c r="J3253" i="3"/>
  <c r="J3254" i="3"/>
  <c r="J3255" i="3"/>
  <c r="J3256" i="3"/>
  <c r="J3257" i="3"/>
  <c r="J3258" i="3"/>
  <c r="J3259" i="3"/>
  <c r="J3260" i="3"/>
  <c r="J3261" i="3"/>
  <c r="J3262" i="3"/>
  <c r="J3263" i="3"/>
  <c r="J3264" i="3"/>
  <c r="J3266" i="3"/>
  <c r="J3267" i="3"/>
  <c r="J3268" i="3"/>
  <c r="J3269" i="3"/>
  <c r="J3270" i="3"/>
  <c r="J3271" i="3"/>
  <c r="J3272" i="3"/>
  <c r="J3273" i="3"/>
  <c r="J3274" i="3"/>
  <c r="J3275" i="3"/>
  <c r="J3276" i="3"/>
  <c r="J3277" i="3"/>
  <c r="J3278" i="3"/>
  <c r="J3279" i="3"/>
  <c r="J3280" i="3"/>
  <c r="J3281" i="3"/>
  <c r="J3282" i="3"/>
  <c r="J3283" i="3"/>
  <c r="J3284" i="3"/>
  <c r="J3285" i="3"/>
  <c r="J3286" i="3"/>
  <c r="J3287" i="3"/>
  <c r="J3288" i="3"/>
  <c r="J3289" i="3"/>
  <c r="J3290" i="3"/>
  <c r="J3291" i="3"/>
  <c r="J3292" i="3"/>
  <c r="J3293" i="3"/>
  <c r="J3294" i="3"/>
  <c r="J3295" i="3"/>
  <c r="J3296" i="3"/>
  <c r="J3297" i="3"/>
  <c r="J3298" i="3"/>
  <c r="J3299" i="3"/>
  <c r="J3300" i="3"/>
  <c r="J3301" i="3"/>
  <c r="J3302" i="3"/>
  <c r="J3303" i="3"/>
  <c r="J3304" i="3"/>
  <c r="J3305" i="3"/>
  <c r="J3306" i="3"/>
  <c r="J3307" i="3"/>
  <c r="J3308" i="3"/>
  <c r="J3309" i="3"/>
  <c r="J3310" i="3"/>
  <c r="J3311" i="3"/>
  <c r="J3312" i="3"/>
  <c r="J3313" i="3"/>
  <c r="J3314" i="3"/>
  <c r="J3315" i="3"/>
  <c r="J3316" i="3"/>
  <c r="J3317" i="3"/>
  <c r="J3318" i="3"/>
  <c r="J3319" i="3"/>
  <c r="J3320" i="3"/>
  <c r="J3321" i="3"/>
  <c r="J3322" i="3"/>
  <c r="J3323" i="3"/>
  <c r="J3324" i="3"/>
  <c r="J3326" i="3"/>
  <c r="J3327" i="3"/>
  <c r="J3328" i="3"/>
  <c r="J3329" i="3"/>
  <c r="J3330" i="3"/>
  <c r="J3331" i="3"/>
  <c r="J3332" i="3"/>
  <c r="J3333" i="3"/>
  <c r="J3334" i="3"/>
  <c r="J3335" i="3"/>
  <c r="J3336" i="3"/>
  <c r="J3337" i="3"/>
  <c r="J3338" i="3"/>
  <c r="J3339" i="3"/>
  <c r="J3341" i="3"/>
  <c r="J3342" i="3"/>
  <c r="J3343" i="3"/>
  <c r="J3344" i="3"/>
  <c r="J3345" i="3"/>
  <c r="J3346" i="3"/>
  <c r="J3347" i="3"/>
  <c r="J3348" i="3"/>
  <c r="J3349" i="3"/>
  <c r="J3350" i="3"/>
  <c r="J3351" i="3"/>
  <c r="J3352" i="3"/>
  <c r="J3353" i="3"/>
  <c r="J3354" i="3"/>
  <c r="J3355" i="3"/>
  <c r="J3356" i="3"/>
  <c r="J3357" i="3"/>
  <c r="J3358" i="3"/>
  <c r="J3359" i="3"/>
  <c r="J3360" i="3"/>
  <c r="J3361" i="3"/>
  <c r="J3362"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I3379" i="3"/>
  <c r="I3369" i="3"/>
  <c r="T3369" i="3" s="1"/>
  <c r="I3363" i="3"/>
  <c r="I3353" i="3"/>
  <c r="T3353" i="3" s="1"/>
  <c r="I3340" i="3"/>
  <c r="I3325" i="3"/>
  <c r="I3310" i="3"/>
  <c r="T3310" i="3" s="1"/>
  <c r="I3294" i="3"/>
  <c r="T3294" i="3" s="1"/>
  <c r="I3282" i="3"/>
  <c r="I3283" i="3" s="1"/>
  <c r="I3265" i="3"/>
  <c r="T3265" i="3" s="1"/>
  <c r="I3247" i="3"/>
  <c r="T3247" i="3" s="1"/>
  <c r="I3229" i="3"/>
  <c r="T3229" i="3" s="1"/>
  <c r="I3212" i="3"/>
  <c r="I3205" i="3"/>
  <c r="T3205" i="3" s="1"/>
  <c r="I3189" i="3"/>
  <c r="T3189" i="3" s="1"/>
  <c r="I3174" i="3"/>
  <c r="T3174" i="3" s="1"/>
  <c r="I3158" i="3"/>
  <c r="I3143" i="3"/>
  <c r="I3121" i="3"/>
  <c r="T3121" i="3" s="1"/>
  <c r="I3098" i="3"/>
  <c r="T3098" i="3" s="1"/>
  <c r="I3077" i="3"/>
  <c r="I3063" i="3"/>
  <c r="I3049" i="3"/>
  <c r="T3049" i="3" s="1"/>
  <c r="I3035" i="3"/>
  <c r="I3021" i="3"/>
  <c r="I3007" i="3"/>
  <c r="T3007" i="3" s="1"/>
  <c r="I2995" i="3"/>
  <c r="I2979" i="3"/>
  <c r="I2963" i="3"/>
  <c r="I2947" i="3"/>
  <c r="I2938" i="3"/>
  <c r="T2938" i="3" s="1"/>
  <c r="I2922" i="3"/>
  <c r="T2922" i="3" s="1"/>
  <c r="I2910" i="3"/>
  <c r="I2896" i="3"/>
  <c r="T2896" i="3" s="1"/>
  <c r="I2883" i="3"/>
  <c r="I2870" i="3"/>
  <c r="T2870" i="3" s="1"/>
  <c r="I2854" i="3"/>
  <c r="I2847" i="3"/>
  <c r="I2841" i="3"/>
  <c r="T2841" i="3" s="1"/>
  <c r="I2835" i="3"/>
  <c r="I2828" i="3"/>
  <c r="I2821" i="3"/>
  <c r="T2821" i="3" s="1"/>
  <c r="I2814" i="3"/>
  <c r="T2814" i="3" s="1"/>
  <c r="I2800" i="3"/>
  <c r="T2800" i="3" s="1"/>
  <c r="I2786" i="3"/>
  <c r="T2786" i="3" s="1"/>
  <c r="I2772" i="3"/>
  <c r="I2757" i="3"/>
  <c r="T2757" i="3" s="1"/>
  <c r="I2742" i="3"/>
  <c r="T2742" i="3" s="1"/>
  <c r="I2728" i="3"/>
  <c r="I2714" i="3"/>
  <c r="T2714" i="3" s="1"/>
  <c r="I2700" i="3"/>
  <c r="I2686" i="3"/>
  <c r="T2686" i="3" s="1"/>
  <c r="I2672" i="3"/>
  <c r="I2658" i="3"/>
  <c r="T2658" i="3" s="1"/>
  <c r="I2652" i="3"/>
  <c r="I2646" i="3"/>
  <c r="T2646" i="3" s="1"/>
  <c r="I2632" i="3"/>
  <c r="T2632" i="3" s="1"/>
  <c r="I2618" i="3"/>
  <c r="T2618" i="3" s="1"/>
  <c r="I2604" i="3"/>
  <c r="I2591" i="3"/>
  <c r="T2591" i="3" s="1"/>
  <c r="I2579" i="3"/>
  <c r="I2567" i="3"/>
  <c r="I2551" i="3"/>
  <c r="I2535" i="3"/>
  <c r="I2523" i="3"/>
  <c r="I2511" i="3"/>
  <c r="T2511" i="3" s="1"/>
  <c r="I2505" i="3"/>
  <c r="T2505" i="3" s="1"/>
  <c r="I2497" i="3"/>
  <c r="T2497" i="3" s="1"/>
  <c r="I2481" i="3"/>
  <c r="I2464" i="3"/>
  <c r="T2464" i="3" s="1"/>
  <c r="I2448" i="3"/>
  <c r="I2431" i="3"/>
  <c r="I2414" i="3"/>
  <c r="I2402" i="3"/>
  <c r="T2402" i="3" s="1"/>
  <c r="I2386" i="3"/>
  <c r="T2386" i="3" s="1"/>
  <c r="I2370" i="3"/>
  <c r="T2370" i="3" s="1"/>
  <c r="I2351" i="3"/>
  <c r="I2334" i="3"/>
  <c r="T2334" i="3" s="1"/>
  <c r="I2315" i="3"/>
  <c r="I2308" i="3"/>
  <c r="I2292" i="3"/>
  <c r="I2276" i="3"/>
  <c r="T2276" i="3" s="1"/>
  <c r="I2259" i="3"/>
  <c r="I2240" i="3"/>
  <c r="T2240" i="3" s="1"/>
  <c r="I2223" i="3"/>
  <c r="T2223" i="3" s="1"/>
  <c r="I2206" i="3"/>
  <c r="T2206" i="3" s="1"/>
  <c r="I2193" i="3"/>
  <c r="T2193" i="3" s="1"/>
  <c r="I2185" i="3"/>
  <c r="T2185" i="3" s="1"/>
  <c r="I2179" i="3"/>
  <c r="I2170" i="3"/>
  <c r="T2170" i="3" s="1"/>
  <c r="I2164" i="3"/>
  <c r="I2151" i="3"/>
  <c r="T2151" i="3" s="1"/>
  <c r="I2139" i="3"/>
  <c r="I2131" i="3"/>
  <c r="I2117" i="3"/>
  <c r="T2117" i="3" s="1"/>
  <c r="I2101" i="3"/>
  <c r="T2101" i="3" s="1"/>
  <c r="I2085" i="3"/>
  <c r="I2069" i="3"/>
  <c r="T2069" i="3" s="1"/>
  <c r="I2052" i="3"/>
  <c r="I2036" i="3"/>
  <c r="I2026" i="3"/>
  <c r="T2026" i="3" s="1"/>
  <c r="I2012" i="3"/>
  <c r="I1998" i="3"/>
  <c r="T1998" i="3" s="1"/>
  <c r="I1984" i="3"/>
  <c r="I1970" i="3"/>
  <c r="T1970" i="3" s="1"/>
  <c r="I1956" i="3"/>
  <c r="I1942" i="3"/>
  <c r="I1936" i="3"/>
  <c r="T1936" i="3" s="1"/>
  <c r="I1928" i="3"/>
  <c r="I1922" i="3"/>
  <c r="T1922" i="3" s="1"/>
  <c r="I1908" i="3"/>
  <c r="I1894" i="3"/>
  <c r="T1894" i="3" s="1"/>
  <c r="I1880" i="3"/>
  <c r="T1880" i="3" s="1"/>
  <c r="I1871" i="3"/>
  <c r="T1871" i="3" s="1"/>
  <c r="I1858" i="3"/>
  <c r="T1858" i="3" s="1"/>
  <c r="I1845" i="3"/>
  <c r="T1845" i="3" s="1"/>
  <c r="I1832" i="3"/>
  <c r="I1824" i="3"/>
  <c r="T1824" i="3" s="1"/>
  <c r="I1814" i="3"/>
  <c r="I1808" i="3"/>
  <c r="T1808" i="3" s="1"/>
  <c r="I1798" i="3"/>
  <c r="T1798" i="3" s="1"/>
  <c r="I1786" i="3"/>
  <c r="T1786" i="3" s="1"/>
  <c r="I1776" i="3"/>
  <c r="I1761" i="3"/>
  <c r="T1761" i="3" s="1"/>
  <c r="I1746" i="3"/>
  <c r="T1746" i="3" s="1"/>
  <c r="I1731" i="3"/>
  <c r="I1716" i="3"/>
  <c r="I1710" i="3"/>
  <c r="T1710" i="3" s="1"/>
  <c r="I1701" i="3"/>
  <c r="T1701" i="3" s="1"/>
  <c r="I1692" i="3"/>
  <c r="T1692" i="3" s="1"/>
  <c r="I1683" i="3"/>
  <c r="I1669" i="3"/>
  <c r="T1669" i="3" s="1"/>
  <c r="I1655" i="3"/>
  <c r="I1639" i="3"/>
  <c r="I1627" i="3"/>
  <c r="I1628" i="3" s="1"/>
  <c r="I1612" i="3"/>
  <c r="I1597" i="3"/>
  <c r="I1589" i="3"/>
  <c r="I1578" i="3"/>
  <c r="T1578" i="3" s="1"/>
  <c r="I1569" i="3"/>
  <c r="T1569" i="3" s="1"/>
  <c r="I1560" i="3"/>
  <c r="T1560" i="3" s="1"/>
  <c r="I1554" i="3"/>
  <c r="I1545" i="3"/>
  <c r="T1545" i="3" s="1"/>
  <c r="I1539" i="3"/>
  <c r="I1533" i="3"/>
  <c r="I1523" i="3"/>
  <c r="I1513" i="3"/>
  <c r="T1513" i="3" s="1"/>
  <c r="I1503" i="3"/>
  <c r="I1488" i="3"/>
  <c r="I1473" i="3"/>
  <c r="T1473" i="3" s="1"/>
  <c r="I1458" i="3"/>
  <c r="T1458" i="3" s="1"/>
  <c r="I1442" i="3"/>
  <c r="T1442" i="3" s="1"/>
  <c r="I1426" i="3"/>
  <c r="T1426" i="3" s="1"/>
  <c r="I1411" i="3"/>
  <c r="I1396" i="3"/>
  <c r="I1387" i="3"/>
  <c r="I1375" i="3"/>
  <c r="I1360" i="3"/>
  <c r="I1346" i="3"/>
  <c r="T1346" i="3" s="1"/>
  <c r="I1327" i="3"/>
  <c r="T1327" i="3" s="1"/>
  <c r="I1318" i="3"/>
  <c r="T1318" i="3" s="1"/>
  <c r="I1304" i="3"/>
  <c r="T1304" i="3" s="1"/>
  <c r="I1290" i="3"/>
  <c r="T1290" i="3" s="1"/>
  <c r="I1273" i="3"/>
  <c r="T1273" i="3" s="1"/>
  <c r="I1264" i="3"/>
  <c r="T1264" i="3" s="1"/>
  <c r="I1249" i="3"/>
  <c r="T1249" i="3" s="1"/>
  <c r="I1232" i="3"/>
  <c r="T1232" i="3" s="1"/>
  <c r="I1217" i="3"/>
  <c r="T1217" i="3" s="1"/>
  <c r="I1204" i="3"/>
  <c r="I1190" i="3"/>
  <c r="I1177" i="3"/>
  <c r="T1177" i="3" s="1"/>
  <c r="I1167" i="3"/>
  <c r="I1157" i="3"/>
  <c r="T1157" i="3" s="1"/>
  <c r="I1148" i="3"/>
  <c r="I1133" i="3"/>
  <c r="T1133" i="3" s="1"/>
  <c r="I1123" i="3"/>
  <c r="I1113" i="3"/>
  <c r="T1113" i="3" s="1"/>
  <c r="I1099" i="3"/>
  <c r="I1092" i="3"/>
  <c r="I1086" i="3"/>
  <c r="I1073" i="3"/>
  <c r="T1073" i="3" s="1"/>
  <c r="I1061" i="3"/>
  <c r="I1055" i="3"/>
  <c r="I1045" i="3"/>
  <c r="I1034" i="3"/>
  <c r="T1034" i="3" s="1"/>
  <c r="I1020" i="3"/>
  <c r="I1004" i="3"/>
  <c r="I986" i="3"/>
  <c r="T986" i="3" s="1"/>
  <c r="I970" i="3"/>
  <c r="T970" i="3" s="1"/>
  <c r="I957" i="3"/>
  <c r="I948" i="3"/>
  <c r="I938" i="3"/>
  <c r="T938" i="3" s="1"/>
  <c r="I929" i="3"/>
  <c r="I914" i="3"/>
  <c r="I900" i="3"/>
  <c r="T900" i="3" s="1"/>
  <c r="I887" i="3"/>
  <c r="I875" i="3"/>
  <c r="I863" i="3"/>
  <c r="I864" i="3" s="1"/>
  <c r="I848" i="3"/>
  <c r="I834" i="3"/>
  <c r="I29" i="3"/>
  <c r="I43" i="3"/>
  <c r="I60" i="3"/>
  <c r="I72" i="3"/>
  <c r="I84" i="3"/>
  <c r="I96" i="3"/>
  <c r="I110" i="3"/>
  <c r="I124" i="3"/>
  <c r="I134" i="3"/>
  <c r="I150" i="3"/>
  <c r="I163" i="3"/>
  <c r="T163" i="3" s="1"/>
  <c r="I176" i="3"/>
  <c r="I190" i="3"/>
  <c r="I201" i="3"/>
  <c r="I210" i="3"/>
  <c r="I220" i="3"/>
  <c r="I230" i="3"/>
  <c r="I240" i="3"/>
  <c r="T240" i="3" s="1"/>
  <c r="I250" i="3"/>
  <c r="I259" i="3"/>
  <c r="T259" i="3" s="1"/>
  <c r="I268" i="3"/>
  <c r="I284" i="3"/>
  <c r="I301" i="3"/>
  <c r="I316" i="3"/>
  <c r="I325" i="3"/>
  <c r="I336" i="3"/>
  <c r="I347" i="3"/>
  <c r="T347" i="3" s="1"/>
  <c r="I363" i="3"/>
  <c r="I370" i="3"/>
  <c r="I379" i="3"/>
  <c r="T379" i="3" s="1"/>
  <c r="I388" i="3"/>
  <c r="I394" i="3"/>
  <c r="I400" i="3"/>
  <c r="I409" i="3"/>
  <c r="I425" i="3"/>
  <c r="I434" i="3"/>
  <c r="I443" i="3"/>
  <c r="T443" i="3" s="1"/>
  <c r="I451" i="3"/>
  <c r="I460" i="3"/>
  <c r="I469" i="3"/>
  <c r="I478" i="3"/>
  <c r="I487" i="3"/>
  <c r="I496" i="3"/>
  <c r="T496" i="3" s="1"/>
  <c r="I505" i="3"/>
  <c r="I514" i="3"/>
  <c r="I524" i="3"/>
  <c r="I533" i="3"/>
  <c r="I542" i="3"/>
  <c r="I550" i="3"/>
  <c r="I561" i="3"/>
  <c r="I573" i="3"/>
  <c r="I585" i="3"/>
  <c r="I603" i="3"/>
  <c r="T603" i="3" s="1"/>
  <c r="I614" i="3"/>
  <c r="I624" i="3"/>
  <c r="I633" i="3"/>
  <c r="I646" i="3"/>
  <c r="I659" i="3"/>
  <c r="I671" i="3"/>
  <c r="I683" i="3"/>
  <c r="T683" i="3" s="1"/>
  <c r="I699" i="3"/>
  <c r="I715" i="3"/>
  <c r="I728" i="3"/>
  <c r="T728" i="3" s="1"/>
  <c r="I734" i="3"/>
  <c r="I741" i="3"/>
  <c r="I750" i="3"/>
  <c r="I759" i="3"/>
  <c r="I775" i="3"/>
  <c r="I783" i="3"/>
  <c r="I784" i="3" s="1"/>
  <c r="I795" i="3"/>
  <c r="I807" i="3"/>
  <c r="I819" i="3"/>
  <c r="T819" i="3" s="1"/>
  <c r="I15" i="3"/>
  <c r="I2" i="3"/>
  <c r="L55" i="14" l="1"/>
  <c r="M55" i="14"/>
  <c r="L54" i="14"/>
  <c r="M89" i="14"/>
  <c r="M164" i="14"/>
  <c r="L41" i="14"/>
  <c r="M163" i="14"/>
  <c r="L164" i="14"/>
  <c r="L89" i="14"/>
  <c r="M34" i="14"/>
  <c r="M97" i="14"/>
  <c r="L116" i="14"/>
  <c r="M128" i="14"/>
  <c r="L67" i="14"/>
  <c r="L34" i="14"/>
  <c r="M118" i="14"/>
  <c r="M69" i="14"/>
  <c r="M31" i="14"/>
  <c r="M117" i="14"/>
  <c r="L6" i="14"/>
  <c r="L30" i="14"/>
  <c r="L53" i="14"/>
  <c r="M30" i="14"/>
  <c r="M52" i="14"/>
  <c r="M105" i="14"/>
  <c r="I167" i="14"/>
  <c r="I112" i="14"/>
  <c r="I32" i="14"/>
  <c r="I80" i="14"/>
  <c r="I160" i="14"/>
  <c r="I9" i="14"/>
  <c r="I17" i="14"/>
  <c r="I25" i="14"/>
  <c r="I33" i="14"/>
  <c r="I41" i="14"/>
  <c r="I49" i="14"/>
  <c r="I57" i="14"/>
  <c r="I65" i="14"/>
  <c r="I73" i="14"/>
  <c r="I81" i="14"/>
  <c r="I89" i="14"/>
  <c r="I97" i="14"/>
  <c r="I105" i="14"/>
  <c r="I113" i="14"/>
  <c r="I121" i="14"/>
  <c r="I129" i="14"/>
  <c r="I137" i="14"/>
  <c r="I145" i="14"/>
  <c r="I153" i="14"/>
  <c r="I161" i="14"/>
  <c r="I72" i="14"/>
  <c r="I144" i="14"/>
  <c r="I2" i="14"/>
  <c r="I10" i="14"/>
  <c r="I18" i="14"/>
  <c r="I26" i="14"/>
  <c r="I34" i="14"/>
  <c r="I42" i="14"/>
  <c r="I50" i="14"/>
  <c r="I58" i="14"/>
  <c r="I66" i="14"/>
  <c r="I74" i="14"/>
  <c r="I82" i="14"/>
  <c r="I90" i="14"/>
  <c r="I98" i="14"/>
  <c r="I106" i="14"/>
  <c r="I114" i="14"/>
  <c r="I122" i="14"/>
  <c r="I130" i="14"/>
  <c r="I138" i="14"/>
  <c r="I146" i="14"/>
  <c r="I154" i="14"/>
  <c r="I162" i="14"/>
  <c r="I8" i="14"/>
  <c r="I64" i="14"/>
  <c r="I152" i="14"/>
  <c r="I3" i="14"/>
  <c r="I11" i="14"/>
  <c r="I19" i="14"/>
  <c r="I28" i="14"/>
  <c r="I35" i="14"/>
  <c r="I43" i="14"/>
  <c r="I51" i="14"/>
  <c r="I59" i="14"/>
  <c r="I67" i="14"/>
  <c r="I75" i="14"/>
  <c r="I83" i="14"/>
  <c r="I91" i="14"/>
  <c r="I99" i="14"/>
  <c r="I107" i="14"/>
  <c r="I115" i="14"/>
  <c r="I123" i="14"/>
  <c r="I131" i="14"/>
  <c r="I139" i="14"/>
  <c r="I147" i="14"/>
  <c r="I155" i="14"/>
  <c r="I163" i="14"/>
  <c r="I40" i="14"/>
  <c r="I88" i="14"/>
  <c r="I120" i="14"/>
  <c r="I4" i="14"/>
  <c r="I12" i="14"/>
  <c r="I20" i="14"/>
  <c r="I27" i="14"/>
  <c r="I36" i="14"/>
  <c r="I44" i="14"/>
  <c r="I52" i="14"/>
  <c r="I60" i="14"/>
  <c r="I68" i="14"/>
  <c r="I76" i="14"/>
  <c r="I84" i="14"/>
  <c r="I92" i="14"/>
  <c r="I100" i="14"/>
  <c r="I108" i="14"/>
  <c r="I116" i="14"/>
  <c r="I124" i="14"/>
  <c r="I132" i="14"/>
  <c r="I140" i="14"/>
  <c r="I148" i="14"/>
  <c r="I156" i="14"/>
  <c r="I164" i="14"/>
  <c r="I24" i="14"/>
  <c r="I56" i="14"/>
  <c r="I96" i="14"/>
  <c r="I136" i="14"/>
  <c r="I5" i="14"/>
  <c r="I13" i="14"/>
  <c r="I21" i="14"/>
  <c r="I29" i="14"/>
  <c r="I37" i="14"/>
  <c r="I45" i="14"/>
  <c r="I53" i="14"/>
  <c r="I61" i="14"/>
  <c r="I69" i="14"/>
  <c r="I77" i="14"/>
  <c r="I85" i="14"/>
  <c r="I93" i="14"/>
  <c r="I101" i="14"/>
  <c r="I109" i="14"/>
  <c r="I117" i="14"/>
  <c r="I125" i="14"/>
  <c r="I133" i="14"/>
  <c r="I141" i="14"/>
  <c r="I149" i="14"/>
  <c r="I157" i="14"/>
  <c r="I165" i="14"/>
  <c r="I16" i="14"/>
  <c r="I48" i="14"/>
  <c r="I104" i="14"/>
  <c r="I128" i="14"/>
  <c r="I6" i="14"/>
  <c r="I14" i="14"/>
  <c r="I22" i="14"/>
  <c r="I30" i="14"/>
  <c r="I38" i="14"/>
  <c r="I46" i="14"/>
  <c r="I54" i="14"/>
  <c r="I62" i="14"/>
  <c r="I70" i="14"/>
  <c r="I78" i="14"/>
  <c r="I86" i="14"/>
  <c r="I94" i="14"/>
  <c r="I102" i="14"/>
  <c r="I110" i="14"/>
  <c r="I118" i="14"/>
  <c r="I126" i="14"/>
  <c r="I134" i="14"/>
  <c r="I142" i="14"/>
  <c r="I150" i="14"/>
  <c r="I158" i="14"/>
  <c r="I166" i="14"/>
  <c r="I7" i="14"/>
  <c r="I15" i="14"/>
  <c r="I23" i="14"/>
  <c r="I31" i="14"/>
  <c r="I39" i="14"/>
  <c r="I47" i="14"/>
  <c r="I55" i="14"/>
  <c r="I63" i="14"/>
  <c r="I71" i="14"/>
  <c r="I79" i="14"/>
  <c r="I87" i="14"/>
  <c r="I95" i="14"/>
  <c r="I103" i="14"/>
  <c r="I111" i="14"/>
  <c r="I119" i="14"/>
  <c r="I127" i="14"/>
  <c r="I135" i="14"/>
  <c r="I143" i="14"/>
  <c r="I151" i="14"/>
  <c r="I159" i="14"/>
  <c r="I987" i="3"/>
  <c r="T987" i="3" s="1"/>
  <c r="I1074" i="3"/>
  <c r="I1250" i="3"/>
  <c r="I1251" i="3" s="1"/>
  <c r="I497" i="3"/>
  <c r="I498" i="3" s="1"/>
  <c r="T3283" i="3"/>
  <c r="I435" i="3"/>
  <c r="J435" i="3" s="1"/>
  <c r="T434" i="3"/>
  <c r="I1056" i="3"/>
  <c r="I1057" i="3" s="1"/>
  <c r="J2481" i="3"/>
  <c r="I796" i="3"/>
  <c r="I534" i="3"/>
  <c r="I535" i="3" s="1"/>
  <c r="T533" i="3"/>
  <c r="I221" i="3"/>
  <c r="T220" i="3"/>
  <c r="I1168" i="3"/>
  <c r="I1169" i="3" s="1"/>
  <c r="I1361" i="3"/>
  <c r="I1362" i="3" s="1"/>
  <c r="I1909" i="3"/>
  <c r="I2729" i="3"/>
  <c r="T3282" i="3"/>
  <c r="T2481" i="3"/>
  <c r="T929" i="3"/>
  <c r="T671" i="3"/>
  <c r="I73" i="3"/>
  <c r="I74" i="3" s="1"/>
  <c r="I2673" i="3"/>
  <c r="I2674" i="3" s="1"/>
  <c r="I395" i="3"/>
  <c r="T394" i="3"/>
  <c r="I125" i="3"/>
  <c r="I126" i="3" s="1"/>
  <c r="T124" i="3"/>
  <c r="I1985" i="3"/>
  <c r="J1985" i="3" s="1"/>
  <c r="T614" i="3"/>
  <c r="T388" i="3"/>
  <c r="I211" i="3"/>
  <c r="J211" i="3" s="1"/>
  <c r="T210" i="3"/>
  <c r="I1021" i="3"/>
  <c r="J1021" i="3" s="1"/>
  <c r="I1489" i="3"/>
  <c r="I1640" i="3"/>
  <c r="T783" i="3"/>
  <c r="I604" i="3"/>
  <c r="J604" i="3" s="1"/>
  <c r="I515" i="3"/>
  <c r="J515" i="3" s="1"/>
  <c r="T514" i="3"/>
  <c r="I452" i="3"/>
  <c r="I380" i="3"/>
  <c r="I381" i="3" s="1"/>
  <c r="I285" i="3"/>
  <c r="I286" i="3" s="1"/>
  <c r="T284" i="3"/>
  <c r="T201" i="3"/>
  <c r="I97" i="3"/>
  <c r="I98" i="3" s="1"/>
  <c r="T863" i="3"/>
  <c r="I939" i="3"/>
  <c r="I940" i="3" s="1"/>
  <c r="I1035" i="3"/>
  <c r="I1178" i="3"/>
  <c r="I1179" i="3" s="1"/>
  <c r="J1273" i="3"/>
  <c r="I2013" i="3"/>
  <c r="I2316" i="3"/>
  <c r="I2758" i="3"/>
  <c r="I2759" i="3" s="1"/>
  <c r="T2728" i="3"/>
  <c r="T2672" i="3"/>
  <c r="T2448" i="3"/>
  <c r="T1984" i="3"/>
  <c r="T1928" i="3"/>
  <c r="T1832" i="3"/>
  <c r="T1776" i="3"/>
  <c r="T1488" i="3"/>
  <c r="T1360" i="3"/>
  <c r="I470" i="3"/>
  <c r="I471" i="3" s="1"/>
  <c r="T469" i="3"/>
  <c r="T316" i="3"/>
  <c r="I835" i="3"/>
  <c r="J835" i="3" s="1"/>
  <c r="I2086" i="3"/>
  <c r="I2415" i="3"/>
  <c r="T1554" i="3"/>
  <c r="I525" i="3"/>
  <c r="J525" i="3" s="1"/>
  <c r="T460" i="3"/>
  <c r="T301" i="3"/>
  <c r="T110" i="3"/>
  <c r="I930" i="3"/>
  <c r="J930" i="3" s="1"/>
  <c r="I1923" i="3"/>
  <c r="J2185" i="3"/>
  <c r="J2742" i="3"/>
  <c r="I2923" i="3"/>
  <c r="I2924" i="3" s="1"/>
  <c r="T775" i="3"/>
  <c r="I684" i="3"/>
  <c r="T585" i="3"/>
  <c r="J505" i="3"/>
  <c r="T505" i="3"/>
  <c r="I444" i="3"/>
  <c r="T370" i="3"/>
  <c r="I269" i="3"/>
  <c r="I270" i="3" s="1"/>
  <c r="T268" i="3"/>
  <c r="T190" i="3"/>
  <c r="T84" i="3"/>
  <c r="J1113" i="3"/>
  <c r="I2027" i="3"/>
  <c r="I2132" i="3"/>
  <c r="I2335" i="3"/>
  <c r="I2336" i="3" s="1"/>
  <c r="T3143" i="3"/>
  <c r="T3063" i="3"/>
  <c r="T2847" i="3"/>
  <c r="T2567" i="3"/>
  <c r="T2551" i="3"/>
  <c r="T2535" i="3"/>
  <c r="T2431" i="3"/>
  <c r="T2351" i="3"/>
  <c r="T1655" i="3"/>
  <c r="T1639" i="3"/>
  <c r="T1503" i="3"/>
  <c r="T1375" i="3"/>
  <c r="T1167" i="3"/>
  <c r="T1055" i="3"/>
  <c r="T834" i="3"/>
  <c r="T699" i="3"/>
  <c r="T451" i="3"/>
  <c r="I1305" i="3"/>
  <c r="I1306" i="3" s="1"/>
  <c r="T2414" i="3"/>
  <c r="T1942" i="3"/>
  <c r="T1814" i="3"/>
  <c r="T1190" i="3"/>
  <c r="T1086" i="3"/>
  <c r="T875" i="3"/>
  <c r="T715" i="3"/>
  <c r="T72" i="3"/>
  <c r="I364" i="3"/>
  <c r="I760" i="3"/>
  <c r="T759" i="3"/>
  <c r="I177" i="3"/>
  <c r="T2854" i="3"/>
  <c r="I751" i="3"/>
  <c r="J751" i="3" s="1"/>
  <c r="T750" i="3"/>
  <c r="T561" i="3"/>
  <c r="I348" i="3"/>
  <c r="I888" i="3"/>
  <c r="T887" i="3"/>
  <c r="J1217" i="3"/>
  <c r="I1598" i="3"/>
  <c r="J1598" i="3" s="1"/>
  <c r="I1787" i="3"/>
  <c r="I1788" i="3" s="1"/>
  <c r="I1943" i="3"/>
  <c r="J1943" i="3" s="1"/>
  <c r="T2085" i="3"/>
  <c r="T1061" i="3"/>
  <c r="T1045" i="3"/>
  <c r="T524" i="3"/>
  <c r="T363" i="3"/>
  <c r="T741" i="3"/>
  <c r="T646" i="3"/>
  <c r="T550" i="3"/>
  <c r="I488" i="3"/>
  <c r="J488" i="3" s="1"/>
  <c r="T487" i="3"/>
  <c r="T409" i="3"/>
  <c r="I337" i="3"/>
  <c r="I338" i="3" s="1"/>
  <c r="T150" i="3"/>
  <c r="J1073" i="3"/>
  <c r="I1613" i="3"/>
  <c r="I1614" i="3" s="1"/>
  <c r="I1957" i="3"/>
  <c r="I1958" i="3" s="1"/>
  <c r="I2053" i="3"/>
  <c r="J2053" i="3" s="1"/>
  <c r="I2260" i="3"/>
  <c r="J2995" i="3"/>
  <c r="J3247" i="3"/>
  <c r="T3340" i="3"/>
  <c r="T3212" i="3"/>
  <c r="T2828" i="3"/>
  <c r="T2772" i="3"/>
  <c r="T2700" i="3"/>
  <c r="T2652" i="3"/>
  <c r="T2604" i="3"/>
  <c r="T2308" i="3"/>
  <c r="T2292" i="3"/>
  <c r="T2164" i="3"/>
  <c r="T2052" i="3"/>
  <c r="T2036" i="3"/>
  <c r="T2012" i="3"/>
  <c r="T1956" i="3"/>
  <c r="T1908" i="3"/>
  <c r="T1716" i="3"/>
  <c r="T1612" i="3"/>
  <c r="T1396" i="3"/>
  <c r="T1204" i="3"/>
  <c r="T1148" i="3"/>
  <c r="T1092" i="3"/>
  <c r="T1020" i="3"/>
  <c r="T1004" i="3"/>
  <c r="T948" i="3"/>
  <c r="T848" i="3"/>
  <c r="T336" i="3"/>
  <c r="T96" i="3"/>
  <c r="T43" i="3"/>
  <c r="T573" i="3"/>
  <c r="T2" i="3"/>
  <c r="T3158" i="3"/>
  <c r="T2910" i="3"/>
  <c r="I16" i="3"/>
  <c r="T15" i="3"/>
  <c r="I660" i="3"/>
  <c r="I661" i="3" s="1"/>
  <c r="T425" i="3"/>
  <c r="I251" i="3"/>
  <c r="J251" i="3" s="1"/>
  <c r="T250" i="3"/>
  <c r="I61" i="3"/>
  <c r="T60" i="3"/>
  <c r="I971" i="3"/>
  <c r="I1693" i="3"/>
  <c r="I1694" i="3" s="1"/>
  <c r="I2037" i="3"/>
  <c r="I2038" i="3" s="1"/>
  <c r="I2241" i="3"/>
  <c r="I2242" i="3" s="1"/>
  <c r="I2498" i="3"/>
  <c r="I2499" i="3" s="1"/>
  <c r="I2801" i="3"/>
  <c r="I3099" i="3"/>
  <c r="I3100" i="3" s="1"/>
  <c r="T3325" i="3"/>
  <c r="T3077" i="3"/>
  <c r="T3021" i="3"/>
  <c r="T1597" i="3"/>
  <c r="T1589" i="3"/>
  <c r="T1533" i="3"/>
  <c r="T957" i="3"/>
  <c r="I808" i="3"/>
  <c r="T807" i="3"/>
  <c r="I735" i="3"/>
  <c r="T734" i="3"/>
  <c r="J633" i="3"/>
  <c r="T633" i="3"/>
  <c r="T542" i="3"/>
  <c r="T478" i="3"/>
  <c r="I401" i="3"/>
  <c r="J401" i="3" s="1"/>
  <c r="T325" i="3"/>
  <c r="T230" i="3"/>
  <c r="T134" i="3"/>
  <c r="T29" i="3"/>
  <c r="I1075" i="3"/>
  <c r="J1075" i="3" s="1"/>
  <c r="I1347" i="3"/>
  <c r="I1348" i="3" s="1"/>
  <c r="J1545" i="3"/>
  <c r="I1711" i="3"/>
  <c r="J1711" i="3" s="1"/>
  <c r="I1971" i="3"/>
  <c r="J1971" i="3" s="1"/>
  <c r="I2070" i="3"/>
  <c r="I2715" i="3"/>
  <c r="I2716" i="3" s="1"/>
  <c r="I2822" i="3"/>
  <c r="I2897" i="3"/>
  <c r="I2898" i="3" s="1"/>
  <c r="T3379" i="3"/>
  <c r="T3363" i="3"/>
  <c r="T3035" i="3"/>
  <c r="T2995" i="3"/>
  <c r="T2979" i="3"/>
  <c r="T2963" i="3"/>
  <c r="T2947" i="3"/>
  <c r="T2883" i="3"/>
  <c r="T2835" i="3"/>
  <c r="T2579" i="3"/>
  <c r="T2523" i="3"/>
  <c r="T2315" i="3"/>
  <c r="T2259" i="3"/>
  <c r="T2179" i="3"/>
  <c r="T2139" i="3"/>
  <c r="T2131" i="3"/>
  <c r="T1731" i="3"/>
  <c r="T1683" i="3"/>
  <c r="T1627" i="3"/>
  <c r="T1539" i="3"/>
  <c r="T1523" i="3"/>
  <c r="T1411" i="3"/>
  <c r="T1387" i="3"/>
  <c r="T1123" i="3"/>
  <c r="T1099" i="3"/>
  <c r="T914" i="3"/>
  <c r="T795" i="3"/>
  <c r="T659" i="3"/>
  <c r="T624" i="3"/>
  <c r="T400" i="3"/>
  <c r="T176" i="3"/>
  <c r="I1218" i="3"/>
  <c r="J1218" i="3" s="1"/>
  <c r="I1274" i="3"/>
  <c r="I2482" i="3"/>
  <c r="I17" i="3"/>
  <c r="J16" i="3"/>
  <c r="J364" i="3"/>
  <c r="I365" i="3"/>
  <c r="I761" i="3"/>
  <c r="I349" i="3"/>
  <c r="I809" i="3"/>
  <c r="I2802" i="3"/>
  <c r="J2801" i="3"/>
  <c r="I797" i="3"/>
  <c r="J796" i="3"/>
  <c r="J444" i="3"/>
  <c r="I445" i="3"/>
  <c r="I62" i="3"/>
  <c r="J61" i="3"/>
  <c r="J624" i="3"/>
  <c r="J259" i="3"/>
  <c r="J1178" i="3"/>
  <c r="J1523" i="3"/>
  <c r="J2027" i="3"/>
  <c r="J2715" i="3"/>
  <c r="J819" i="3"/>
  <c r="J735" i="3"/>
  <c r="I402" i="3"/>
  <c r="J388" i="3"/>
  <c r="I202" i="3"/>
  <c r="J84" i="3"/>
  <c r="I1570" i="3"/>
  <c r="J1669" i="3"/>
  <c r="J1746" i="3"/>
  <c r="I1924" i="3"/>
  <c r="J1923" i="3"/>
  <c r="I2403" i="3"/>
  <c r="J2402" i="3"/>
  <c r="J2523" i="3"/>
  <c r="J2646" i="3"/>
  <c r="I2855" i="3"/>
  <c r="J2854" i="3"/>
  <c r="I3295" i="3"/>
  <c r="I3380" i="3"/>
  <c r="J201" i="3"/>
  <c r="J380" i="3"/>
  <c r="I1233" i="3"/>
  <c r="J1232" i="3"/>
  <c r="I2293" i="3"/>
  <c r="J775" i="3"/>
  <c r="J671" i="3"/>
  <c r="I562" i="3"/>
  <c r="J370" i="3"/>
  <c r="J316" i="3"/>
  <c r="J240" i="3"/>
  <c r="I876" i="3"/>
  <c r="J875" i="3"/>
  <c r="J948" i="3"/>
  <c r="J1458" i="3"/>
  <c r="I1590" i="3"/>
  <c r="J1589" i="3"/>
  <c r="I1629" i="3"/>
  <c r="J1628" i="3"/>
  <c r="I1702" i="3"/>
  <c r="I1815" i="3"/>
  <c r="J1814" i="3"/>
  <c r="J1894" i="3"/>
  <c r="I2014" i="3"/>
  <c r="J2101" i="3"/>
  <c r="I2194" i="3"/>
  <c r="J734" i="3"/>
  <c r="I625" i="3"/>
  <c r="I551" i="3"/>
  <c r="J550" i="3"/>
  <c r="J524" i="3"/>
  <c r="J496" i="3"/>
  <c r="J469" i="3"/>
  <c r="J400" i="3"/>
  <c r="I302" i="3"/>
  <c r="I260" i="3"/>
  <c r="I191" i="3"/>
  <c r="J190" i="3"/>
  <c r="J887" i="3"/>
  <c r="I949" i="3"/>
  <c r="I1046" i="3"/>
  <c r="J1045" i="3"/>
  <c r="I1076" i="3"/>
  <c r="I1124" i="3"/>
  <c r="J1123" i="3"/>
  <c r="I1275" i="3"/>
  <c r="J1346" i="3"/>
  <c r="I1388" i="3"/>
  <c r="J1387" i="3"/>
  <c r="I1459" i="3"/>
  <c r="I1514" i="3"/>
  <c r="J1597" i="3"/>
  <c r="I1670" i="3"/>
  <c r="J1710" i="3"/>
  <c r="I1747" i="3"/>
  <c r="I1825" i="3"/>
  <c r="J1824" i="3"/>
  <c r="I1895" i="3"/>
  <c r="J1956" i="3"/>
  <c r="J2026" i="3"/>
  <c r="J2052" i="3"/>
  <c r="I2102" i="3"/>
  <c r="J2240" i="3"/>
  <c r="I2277" i="3"/>
  <c r="J2414" i="3"/>
  <c r="I2524" i="3"/>
  <c r="I2647" i="3"/>
  <c r="J2714" i="3"/>
  <c r="I2787" i="3"/>
  <c r="J2786" i="3"/>
  <c r="I2829" i="3"/>
  <c r="I2871" i="3"/>
  <c r="J2922" i="3"/>
  <c r="I2980" i="3"/>
  <c r="J2979" i="3"/>
  <c r="I3064" i="3"/>
  <c r="I3213" i="3"/>
  <c r="J1177" i="3"/>
  <c r="J759" i="3"/>
  <c r="J72" i="3"/>
  <c r="I1087" i="3"/>
  <c r="J1086" i="3"/>
  <c r="I1474" i="3"/>
  <c r="I1712" i="3"/>
  <c r="J1473" i="3"/>
  <c r="J2" i="3"/>
  <c r="I716" i="3"/>
  <c r="J715" i="3"/>
  <c r="J659" i="3"/>
  <c r="I615" i="3"/>
  <c r="J614" i="3"/>
  <c r="I461" i="3"/>
  <c r="J379" i="3"/>
  <c r="J176" i="3"/>
  <c r="J834" i="3"/>
  <c r="I958" i="3"/>
  <c r="J957" i="3"/>
  <c r="I1005" i="3"/>
  <c r="I1093" i="3"/>
  <c r="J1092" i="3"/>
  <c r="I1149" i="3"/>
  <c r="J1148" i="3"/>
  <c r="I1524" i="3"/>
  <c r="I1546" i="3"/>
  <c r="I1684" i="3"/>
  <c r="J1683" i="3"/>
  <c r="I1762" i="3"/>
  <c r="I1833" i="3"/>
  <c r="J1832" i="3"/>
  <c r="I1929" i="3"/>
  <c r="J1928" i="3"/>
  <c r="I2028" i="3"/>
  <c r="J2117" i="3"/>
  <c r="I2165" i="3"/>
  <c r="J2164" i="3"/>
  <c r="J2206" i="3"/>
  <c r="I2309" i="3"/>
  <c r="J2308" i="3"/>
  <c r="J2464" i="3"/>
  <c r="I2552" i="3"/>
  <c r="J2551" i="3"/>
  <c r="I2605" i="3"/>
  <c r="J2604" i="3"/>
  <c r="I2659" i="3"/>
  <c r="J2658" i="3"/>
  <c r="I2836" i="3"/>
  <c r="I3008" i="3"/>
  <c r="I3230" i="3"/>
  <c r="J3229" i="3"/>
  <c r="I3326" i="3"/>
  <c r="J3325" i="3"/>
  <c r="J2193" i="3"/>
  <c r="I729" i="3"/>
  <c r="J728" i="3"/>
  <c r="I1134" i="3"/>
  <c r="J1133" i="3"/>
  <c r="I1540" i="3"/>
  <c r="J1539" i="3"/>
  <c r="J1786" i="3"/>
  <c r="I2352" i="3"/>
  <c r="J2351" i="3"/>
  <c r="J795" i="3"/>
  <c r="I700" i="3"/>
  <c r="J699" i="3"/>
  <c r="J487" i="3"/>
  <c r="J460" i="3"/>
  <c r="J443" i="3"/>
  <c r="I426" i="3"/>
  <c r="J336" i="3"/>
  <c r="J220" i="3"/>
  <c r="I164" i="3"/>
  <c r="J163" i="3"/>
  <c r="I111" i="3"/>
  <c r="J110" i="3"/>
  <c r="J60" i="3"/>
  <c r="I836" i="3"/>
  <c r="I901" i="3"/>
  <c r="J900" i="3"/>
  <c r="J970" i="3"/>
  <c r="J1020" i="3"/>
  <c r="I1100" i="3"/>
  <c r="J1099" i="3"/>
  <c r="I1158" i="3"/>
  <c r="J1157" i="3"/>
  <c r="I1191" i="3"/>
  <c r="J1190" i="3"/>
  <c r="J1250" i="3"/>
  <c r="J1360" i="3"/>
  <c r="I1412" i="3"/>
  <c r="J1411" i="3"/>
  <c r="I1555" i="3"/>
  <c r="J1554" i="3"/>
  <c r="J1612" i="3"/>
  <c r="J1639" i="3"/>
  <c r="I1717" i="3"/>
  <c r="J1716" i="3"/>
  <c r="I1799" i="3"/>
  <c r="J1798" i="3"/>
  <c r="I1846" i="3"/>
  <c r="J1845" i="3"/>
  <c r="I1937" i="3"/>
  <c r="J1936" i="3"/>
  <c r="I1999" i="3"/>
  <c r="J1998" i="3"/>
  <c r="J2036" i="3"/>
  <c r="I2118" i="3"/>
  <c r="I2207" i="3"/>
  <c r="J2315" i="3"/>
  <c r="I2432" i="3"/>
  <c r="J2431" i="3"/>
  <c r="I2465" i="3"/>
  <c r="I2506" i="3"/>
  <c r="I2568" i="3"/>
  <c r="J2567" i="3"/>
  <c r="I2619" i="3"/>
  <c r="J2618" i="3"/>
  <c r="J2672" i="3"/>
  <c r="I2842" i="3"/>
  <c r="I2884" i="3"/>
  <c r="I2939" i="3"/>
  <c r="J434" i="3"/>
  <c r="I1397" i="3"/>
  <c r="J1396" i="3"/>
  <c r="I1872" i="3"/>
  <c r="J1871" i="3"/>
  <c r="J2800" i="3"/>
  <c r="J15" i="3"/>
  <c r="J750" i="3"/>
  <c r="J533" i="3"/>
  <c r="I410" i="3"/>
  <c r="I326" i="3"/>
  <c r="J325" i="3"/>
  <c r="I849" i="3"/>
  <c r="J848" i="3"/>
  <c r="I1022" i="3"/>
  <c r="J1533" i="3"/>
  <c r="J1560" i="3"/>
  <c r="I1641" i="3"/>
  <c r="J1640" i="3"/>
  <c r="I1777" i="3"/>
  <c r="J1776" i="3"/>
  <c r="I2071" i="3"/>
  <c r="I2171" i="3"/>
  <c r="J2170" i="3"/>
  <c r="I2224" i="3"/>
  <c r="J2223" i="3"/>
  <c r="J2316" i="3"/>
  <c r="I2371" i="3"/>
  <c r="J2448" i="3"/>
  <c r="J2579" i="3"/>
  <c r="J2632" i="3"/>
  <c r="I2730" i="3"/>
  <c r="J2772" i="3"/>
  <c r="I2773" i="3"/>
  <c r="I2815" i="3"/>
  <c r="I2948" i="3"/>
  <c r="I3022" i="3"/>
  <c r="I3266" i="3"/>
  <c r="I3354" i="3"/>
  <c r="J1249" i="3"/>
  <c r="J929" i="3"/>
  <c r="J124" i="3"/>
  <c r="I1291" i="3"/>
  <c r="J1290" i="3"/>
  <c r="J1984" i="3"/>
  <c r="I2536" i="3"/>
  <c r="J2535" i="3"/>
  <c r="J2757" i="3"/>
  <c r="I785" i="3"/>
  <c r="J784" i="3"/>
  <c r="I685" i="3"/>
  <c r="J684" i="3"/>
  <c r="J603" i="3"/>
  <c r="J363" i="3"/>
  <c r="J914" i="3"/>
  <c r="J971" i="3"/>
  <c r="I1062" i="3"/>
  <c r="J1061" i="3"/>
  <c r="I1205" i="3"/>
  <c r="J1204" i="3"/>
  <c r="J1578" i="3"/>
  <c r="I3" i="3"/>
  <c r="J783" i="3"/>
  <c r="I742" i="3"/>
  <c r="J741" i="3"/>
  <c r="J683" i="3"/>
  <c r="I647" i="3"/>
  <c r="J646" i="3"/>
  <c r="I586" i="3"/>
  <c r="J514" i="3"/>
  <c r="J394" i="3"/>
  <c r="J250" i="3"/>
  <c r="J210" i="3"/>
  <c r="I151" i="3"/>
  <c r="J150" i="3"/>
  <c r="J96" i="3"/>
  <c r="I44" i="3"/>
  <c r="J43" i="3"/>
  <c r="J863" i="3"/>
  <c r="I915" i="3"/>
  <c r="J938" i="3"/>
  <c r="I972" i="3"/>
  <c r="J1034" i="3"/>
  <c r="I1114" i="3"/>
  <c r="J1167" i="3"/>
  <c r="I1265" i="3"/>
  <c r="J1264" i="3"/>
  <c r="I1319" i="3"/>
  <c r="J1318" i="3"/>
  <c r="I1427" i="3"/>
  <c r="J1426" i="3"/>
  <c r="I1490" i="3"/>
  <c r="I1534" i="3"/>
  <c r="I1561" i="3"/>
  <c r="I1579" i="3"/>
  <c r="I1656" i="3"/>
  <c r="J1655" i="3"/>
  <c r="I1732" i="3"/>
  <c r="I1859" i="3"/>
  <c r="J1942" i="3"/>
  <c r="J1970" i="3"/>
  <c r="J2131" i="3"/>
  <c r="I2180" i="3"/>
  <c r="J2179" i="3"/>
  <c r="I2317" i="3"/>
  <c r="I2387" i="3"/>
  <c r="J2386" i="3"/>
  <c r="I2449" i="3"/>
  <c r="I2512" i="3"/>
  <c r="J2511" i="3"/>
  <c r="I2580" i="3"/>
  <c r="I2633" i="3"/>
  <c r="I2687" i="3"/>
  <c r="J2686" i="3"/>
  <c r="I3036" i="3"/>
  <c r="I3122" i="3"/>
  <c r="I3190" i="3"/>
  <c r="I3364" i="3"/>
  <c r="J3363" i="3"/>
  <c r="J2497" i="3"/>
  <c r="J1569" i="3"/>
  <c r="J1513" i="3"/>
  <c r="J425" i="3"/>
  <c r="I543" i="3"/>
  <c r="J542" i="3"/>
  <c r="I231" i="3"/>
  <c r="J230" i="3"/>
  <c r="J1055" i="3"/>
  <c r="I2140" i="3"/>
  <c r="J2139" i="3"/>
  <c r="I2416" i="3"/>
  <c r="J2415" i="3"/>
  <c r="I2653" i="3"/>
  <c r="J2652" i="3"/>
  <c r="I820" i="3"/>
  <c r="I776" i="3"/>
  <c r="I736" i="3"/>
  <c r="I672" i="3"/>
  <c r="I634" i="3"/>
  <c r="I574" i="3"/>
  <c r="J573" i="3"/>
  <c r="I506" i="3"/>
  <c r="I479" i="3"/>
  <c r="J478" i="3"/>
  <c r="J451" i="3"/>
  <c r="I389" i="3"/>
  <c r="I371" i="3"/>
  <c r="I317" i="3"/>
  <c r="I241" i="3"/>
  <c r="I135" i="3"/>
  <c r="J134" i="3"/>
  <c r="I85" i="3"/>
  <c r="I30" i="3"/>
  <c r="J29" i="3"/>
  <c r="I865" i="3"/>
  <c r="J864" i="3"/>
  <c r="J1035" i="3"/>
  <c r="J1074" i="3"/>
  <c r="I1328" i="3"/>
  <c r="J1327" i="3"/>
  <c r="I1376" i="3"/>
  <c r="J1375" i="3"/>
  <c r="I1443" i="3"/>
  <c r="J1442" i="3"/>
  <c r="I1504" i="3"/>
  <c r="J1503" i="3"/>
  <c r="J1627" i="3"/>
  <c r="I1809" i="3"/>
  <c r="I1881" i="3"/>
  <c r="J1880" i="3"/>
  <c r="J1922" i="3"/>
  <c r="I2087" i="3"/>
  <c r="J2132" i="3"/>
  <c r="I2152" i="3"/>
  <c r="J2151" i="3"/>
  <c r="I2186" i="3"/>
  <c r="I2261" i="3"/>
  <c r="J2334" i="3"/>
  <c r="I2592" i="3"/>
  <c r="J2591" i="3"/>
  <c r="J2700" i="3"/>
  <c r="I2701" i="3"/>
  <c r="I2823" i="3"/>
  <c r="I2964" i="3"/>
  <c r="J2963" i="3"/>
  <c r="I3284" i="3"/>
  <c r="J3265" i="3"/>
  <c r="J2729" i="3"/>
  <c r="J2505" i="3"/>
  <c r="J561" i="3"/>
  <c r="I3159" i="3"/>
  <c r="I3206" i="3"/>
  <c r="I3341" i="3"/>
  <c r="I2848" i="3"/>
  <c r="I3050" i="3"/>
  <c r="I3175" i="3"/>
  <c r="I3370" i="3"/>
  <c r="J2728" i="3"/>
  <c r="I2996" i="3"/>
  <c r="I3144" i="3"/>
  <c r="J3143" i="3"/>
  <c r="J3174" i="3"/>
  <c r="I2743" i="3"/>
  <c r="I2911" i="3"/>
  <c r="I3078" i="3"/>
  <c r="I3248" i="3"/>
  <c r="I3311" i="3"/>
  <c r="J3340" i="3"/>
  <c r="I1252" i="3" l="1"/>
  <c r="J1251" i="3"/>
  <c r="J497" i="3"/>
  <c r="I931" i="3"/>
  <c r="J534" i="3"/>
  <c r="I605" i="3"/>
  <c r="I606" i="3" s="1"/>
  <c r="J1613" i="3"/>
  <c r="I988" i="3"/>
  <c r="I989" i="3" s="1"/>
  <c r="J2335" i="3"/>
  <c r="I1986" i="3"/>
  <c r="J1986" i="3" s="1"/>
  <c r="I1599" i="3"/>
  <c r="I1600" i="3" s="1"/>
  <c r="J660" i="3"/>
  <c r="J73" i="3"/>
  <c r="J2758" i="3"/>
  <c r="I752" i="3"/>
  <c r="J752" i="3" s="1"/>
  <c r="I436" i="3"/>
  <c r="I437" i="3" s="1"/>
  <c r="J2037" i="3"/>
  <c r="J1787" i="3"/>
  <c r="I1944" i="3"/>
  <c r="I1945" i="3" s="1"/>
  <c r="I526" i="3"/>
  <c r="J1957" i="3"/>
  <c r="J1056" i="3"/>
  <c r="J2498" i="3"/>
  <c r="I489" i="3"/>
  <c r="I490" i="3" s="1"/>
  <c r="J939" i="3"/>
  <c r="J1347" i="3"/>
  <c r="J470" i="3"/>
  <c r="I212" i="3"/>
  <c r="I213" i="3" s="1"/>
  <c r="T2499" i="3"/>
  <c r="T3078" i="3"/>
  <c r="T241" i="3"/>
  <c r="T1732" i="3"/>
  <c r="T2948" i="3"/>
  <c r="T2939" i="3"/>
  <c r="T3326" i="3"/>
  <c r="T1762" i="3"/>
  <c r="T1087" i="3"/>
  <c r="T1076" i="3"/>
  <c r="T260" i="3"/>
  <c r="T3295" i="3"/>
  <c r="I1219" i="3"/>
  <c r="I1972" i="3"/>
  <c r="T337" i="3"/>
  <c r="T1305" i="3"/>
  <c r="T1328" i="3"/>
  <c r="T3341" i="3"/>
  <c r="T2911" i="3"/>
  <c r="T3370" i="3"/>
  <c r="T1809" i="3"/>
  <c r="T1252" i="3"/>
  <c r="T2815" i="3"/>
  <c r="T2371" i="3"/>
  <c r="T2884" i="3"/>
  <c r="T2871" i="3"/>
  <c r="T2277" i="3"/>
  <c r="T302" i="3"/>
  <c r="T3099" i="3"/>
  <c r="I2054" i="3"/>
  <c r="J1361" i="3"/>
  <c r="T3050" i="3"/>
  <c r="T3364" i="3"/>
  <c r="J888" i="3"/>
  <c r="T3008" i="3"/>
  <c r="T1005" i="3"/>
  <c r="I178" i="3"/>
  <c r="I179" i="3" s="1"/>
  <c r="J125" i="3"/>
  <c r="T2897" i="3"/>
  <c r="T1693" i="3"/>
  <c r="V2" i="3"/>
  <c r="J2673" i="3"/>
  <c r="T3175" i="3"/>
  <c r="T3230" i="3"/>
  <c r="T2848" i="3"/>
  <c r="T3190" i="3"/>
  <c r="I889" i="3"/>
  <c r="I890" i="3" s="1"/>
  <c r="T2836" i="3"/>
  <c r="T3213" i="3"/>
  <c r="I252" i="3"/>
  <c r="T2260" i="3"/>
  <c r="T2086" i="3"/>
  <c r="I1036" i="3"/>
  <c r="T285" i="3"/>
  <c r="I1910" i="3"/>
  <c r="T1909" i="3"/>
  <c r="T1168" i="3"/>
  <c r="T2180" i="3"/>
  <c r="T3354" i="3"/>
  <c r="T3064" i="3"/>
  <c r="T2293" i="3"/>
  <c r="T1924" i="3"/>
  <c r="J221" i="3"/>
  <c r="I453" i="3"/>
  <c r="I454" i="3" s="1"/>
  <c r="T2822" i="3"/>
  <c r="T2070" i="3"/>
  <c r="T808" i="3"/>
  <c r="J2241" i="3"/>
  <c r="T2013" i="3"/>
  <c r="J97" i="3"/>
  <c r="T2842" i="3"/>
  <c r="T2829" i="3"/>
  <c r="T1702" i="3"/>
  <c r="T3122" i="3"/>
  <c r="T3311" i="3"/>
  <c r="T3206" i="3"/>
  <c r="T3036" i="3"/>
  <c r="V3" i="3"/>
  <c r="T3266" i="3"/>
  <c r="J177" i="3"/>
  <c r="I222" i="3"/>
  <c r="J452" i="3"/>
  <c r="I2483" i="3"/>
  <c r="J2483" i="3" s="1"/>
  <c r="T760" i="3"/>
  <c r="I2133" i="3"/>
  <c r="T269" i="3"/>
  <c r="I516" i="3"/>
  <c r="I396" i="3"/>
  <c r="T395" i="3"/>
  <c r="T574" i="3"/>
  <c r="T410" i="3"/>
  <c r="T2855" i="3"/>
  <c r="T3144" i="3"/>
  <c r="T2996" i="3"/>
  <c r="T2964" i="3"/>
  <c r="T3248" i="3"/>
  <c r="T3159" i="3"/>
  <c r="T135" i="3"/>
  <c r="T1859" i="3"/>
  <c r="T586" i="3"/>
  <c r="T3022" i="3"/>
  <c r="T2980" i="3"/>
  <c r="T3380" i="3"/>
  <c r="J1274" i="3"/>
  <c r="T348" i="3"/>
  <c r="T2923" i="3"/>
  <c r="T1489" i="3"/>
  <c r="J2482" i="3"/>
  <c r="I1515" i="3"/>
  <c r="J1514" i="3"/>
  <c r="I3312" i="3"/>
  <c r="I3145" i="3"/>
  <c r="I3207" i="3"/>
  <c r="I1505" i="3"/>
  <c r="J1504" i="3"/>
  <c r="I2634" i="3"/>
  <c r="J2633" i="3"/>
  <c r="I2388" i="3"/>
  <c r="J2387" i="3"/>
  <c r="J1579" i="3"/>
  <c r="I1580" i="3"/>
  <c r="J915" i="3"/>
  <c r="I916" i="3"/>
  <c r="I152" i="3"/>
  <c r="J151" i="3"/>
  <c r="I1253" i="3"/>
  <c r="I99" i="3"/>
  <c r="J98" i="3"/>
  <c r="I2172" i="3"/>
  <c r="J2171" i="3"/>
  <c r="I850" i="3"/>
  <c r="J849" i="3"/>
  <c r="I3101" i="3"/>
  <c r="I2466" i="3"/>
  <c r="J2465" i="3"/>
  <c r="I1938" i="3"/>
  <c r="J1937" i="3"/>
  <c r="I427" i="3"/>
  <c r="J426" i="3"/>
  <c r="I701" i="3"/>
  <c r="J700" i="3"/>
  <c r="I1541" i="3"/>
  <c r="J1540" i="3"/>
  <c r="I3009" i="3"/>
  <c r="I1180" i="3"/>
  <c r="J1179" i="3"/>
  <c r="I2872" i="3"/>
  <c r="I2525" i="3"/>
  <c r="J2524" i="3"/>
  <c r="I950" i="3"/>
  <c r="J949" i="3"/>
  <c r="I303" i="3"/>
  <c r="I626" i="3"/>
  <c r="J625" i="3"/>
  <c r="J1629" i="3"/>
  <c r="I1630" i="3"/>
  <c r="I3296" i="3"/>
  <c r="I2337" i="3"/>
  <c r="J2336" i="3"/>
  <c r="I203" i="3"/>
  <c r="J202" i="3"/>
  <c r="I536" i="3"/>
  <c r="J535" i="3"/>
  <c r="I75" i="3"/>
  <c r="J74" i="3"/>
  <c r="I810" i="3"/>
  <c r="J605" i="3"/>
  <c r="I2843" i="3"/>
  <c r="I2744" i="3"/>
  <c r="J2743" i="3"/>
  <c r="I2965" i="3"/>
  <c r="I673" i="3"/>
  <c r="J672" i="3"/>
  <c r="I2654" i="3"/>
  <c r="J2653" i="3"/>
  <c r="I2513" i="3"/>
  <c r="J2512" i="3"/>
  <c r="I1695" i="3"/>
  <c r="I3176" i="3"/>
  <c r="I3285" i="3"/>
  <c r="I480" i="3"/>
  <c r="J479" i="3"/>
  <c r="I737" i="3"/>
  <c r="J736" i="3"/>
  <c r="I2925" i="3"/>
  <c r="I544" i="3"/>
  <c r="J543" i="3"/>
  <c r="I3365" i="3"/>
  <c r="I2581" i="3"/>
  <c r="J2580" i="3"/>
  <c r="I2450" i="3"/>
  <c r="J2449" i="3"/>
  <c r="I2318" i="3"/>
  <c r="J2317" i="3"/>
  <c r="I2039" i="3"/>
  <c r="J2038" i="3"/>
  <c r="I1562" i="3"/>
  <c r="J1561" i="3"/>
  <c r="I1266" i="3"/>
  <c r="J1265" i="3"/>
  <c r="I973" i="3"/>
  <c r="J972" i="3"/>
  <c r="I3355" i="3"/>
  <c r="I2816" i="3"/>
  <c r="I2225" i="3"/>
  <c r="J2224" i="3"/>
  <c r="I1023" i="3"/>
  <c r="J1022" i="3"/>
  <c r="I411" i="3"/>
  <c r="I2940" i="3"/>
  <c r="I2000" i="3"/>
  <c r="J1999" i="3"/>
  <c r="I165" i="3"/>
  <c r="J164" i="3"/>
  <c r="I1930" i="3"/>
  <c r="J1929" i="3"/>
  <c r="I1547" i="3"/>
  <c r="J1546" i="3"/>
  <c r="I717" i="3"/>
  <c r="J716" i="3"/>
  <c r="I2830" i="3"/>
  <c r="I2278" i="3"/>
  <c r="I2103" i="3"/>
  <c r="J2102" i="3"/>
  <c r="I1276" i="3"/>
  <c r="J1275" i="3"/>
  <c r="I382" i="3"/>
  <c r="J381" i="3"/>
  <c r="I662" i="3"/>
  <c r="J661" i="3"/>
  <c r="I1703" i="3"/>
  <c r="I1234" i="3"/>
  <c r="J1233" i="3"/>
  <c r="I2404" i="3"/>
  <c r="J2403" i="3"/>
  <c r="I1987" i="3"/>
  <c r="J445" i="3"/>
  <c r="I446" i="3"/>
  <c r="I350" i="3"/>
  <c r="I753" i="3"/>
  <c r="I2912" i="3"/>
  <c r="J317" i="3"/>
  <c r="I318" i="3"/>
  <c r="I777" i="3"/>
  <c r="J776" i="3"/>
  <c r="I1428" i="3"/>
  <c r="J1427" i="3"/>
  <c r="I1718" i="3"/>
  <c r="J1717" i="3"/>
  <c r="I2029" i="3"/>
  <c r="J2028" i="3"/>
  <c r="I192" i="3"/>
  <c r="J191" i="3"/>
  <c r="I3381" i="3"/>
  <c r="I2484" i="3"/>
  <c r="I2760" i="3"/>
  <c r="J2759" i="3"/>
  <c r="I339" i="3"/>
  <c r="I3371" i="3"/>
  <c r="I2187" i="3"/>
  <c r="J2186" i="3"/>
  <c r="I1810" i="3"/>
  <c r="I31" i="3"/>
  <c r="J30" i="3"/>
  <c r="I136" i="3"/>
  <c r="J371" i="3"/>
  <c r="I372" i="3"/>
  <c r="I821" i="3"/>
  <c r="J820" i="3"/>
  <c r="I3037" i="3"/>
  <c r="I1491" i="3"/>
  <c r="I1363" i="3"/>
  <c r="J1362" i="3"/>
  <c r="I686" i="3"/>
  <c r="J685" i="3"/>
  <c r="I2949" i="3"/>
  <c r="J1397" i="3"/>
  <c r="I1398" i="3"/>
  <c r="I1800" i="3"/>
  <c r="J1799" i="3"/>
  <c r="I112" i="3"/>
  <c r="J111" i="3"/>
  <c r="I2553" i="3"/>
  <c r="J2552" i="3"/>
  <c r="I2166" i="3"/>
  <c r="J2165" i="3"/>
  <c r="I1763" i="3"/>
  <c r="J1599" i="3"/>
  <c r="I959" i="3"/>
  <c r="J958" i="3"/>
  <c r="L2" i="3"/>
  <c r="I1088" i="3"/>
  <c r="I2788" i="3"/>
  <c r="J2787" i="3"/>
  <c r="I1826" i="3"/>
  <c r="J1825" i="3"/>
  <c r="I1671" i="3"/>
  <c r="J1670" i="3"/>
  <c r="I1460" i="3"/>
  <c r="J1459" i="3"/>
  <c r="I261" i="3"/>
  <c r="I1816" i="3"/>
  <c r="J1815" i="3"/>
  <c r="I472" i="3"/>
  <c r="J471" i="3"/>
  <c r="J365" i="3"/>
  <c r="I366" i="3"/>
  <c r="I2849" i="3"/>
  <c r="I1320" i="3"/>
  <c r="J1319" i="3"/>
  <c r="I1556" i="3"/>
  <c r="J1555" i="3"/>
  <c r="I1525" i="3"/>
  <c r="J1524" i="3"/>
  <c r="I2593" i="3"/>
  <c r="J2592" i="3"/>
  <c r="I86" i="3"/>
  <c r="J85" i="3"/>
  <c r="I242" i="3"/>
  <c r="I390" i="3"/>
  <c r="J389" i="3"/>
  <c r="J44" i="3"/>
  <c r="I45" i="3"/>
  <c r="I587" i="3"/>
  <c r="I1292" i="3"/>
  <c r="J1291" i="3"/>
  <c r="I2372" i="3"/>
  <c r="I327" i="3"/>
  <c r="J326" i="3"/>
  <c r="I1873" i="3"/>
  <c r="J1872" i="3"/>
  <c r="I2885" i="3"/>
  <c r="I1847" i="3"/>
  <c r="J1846" i="3"/>
  <c r="I1101" i="3"/>
  <c r="J1100" i="3"/>
  <c r="I2606" i="3"/>
  <c r="J2605" i="3"/>
  <c r="I1006" i="3"/>
  <c r="J931" i="3"/>
  <c r="I932" i="3"/>
  <c r="I1475" i="3"/>
  <c r="J1474" i="3"/>
  <c r="I2981" i="3"/>
  <c r="I1896" i="3"/>
  <c r="J1895" i="3"/>
  <c r="J1747" i="3"/>
  <c r="I1748" i="3"/>
  <c r="I563" i="3"/>
  <c r="J562" i="3"/>
  <c r="J1958" i="3"/>
  <c r="I1959" i="3"/>
  <c r="I1925" i="3"/>
  <c r="I403" i="3"/>
  <c r="J402" i="3"/>
  <c r="I63" i="3"/>
  <c r="J62" i="3"/>
  <c r="J436" i="3"/>
  <c r="I127" i="3"/>
  <c r="J126" i="3"/>
  <c r="I1685" i="3"/>
  <c r="J1684" i="3"/>
  <c r="I762" i="3"/>
  <c r="I3342" i="3"/>
  <c r="I2262" i="3"/>
  <c r="I1882" i="3"/>
  <c r="J1881" i="3"/>
  <c r="I1329" i="3"/>
  <c r="I866" i="3"/>
  <c r="J865" i="3"/>
  <c r="I1349" i="3"/>
  <c r="J1348" i="3"/>
  <c r="I3123" i="3"/>
  <c r="I2181" i="3"/>
  <c r="J1114" i="3"/>
  <c r="I1115" i="3"/>
  <c r="I3023" i="3"/>
  <c r="I1307" i="3"/>
  <c r="I1159" i="3"/>
  <c r="J1158" i="3"/>
  <c r="I2353" i="3"/>
  <c r="J2352" i="3"/>
  <c r="I3231" i="3"/>
  <c r="I2660" i="3"/>
  <c r="J2659" i="3"/>
  <c r="I2310" i="3"/>
  <c r="J2309" i="3"/>
  <c r="I1834" i="3"/>
  <c r="J1833" i="3"/>
  <c r="I616" i="3"/>
  <c r="J615" i="3"/>
  <c r="I3065" i="3"/>
  <c r="I2294" i="3"/>
  <c r="I1058" i="3"/>
  <c r="J1057" i="3"/>
  <c r="I232" i="3"/>
  <c r="J231" i="3"/>
  <c r="J1534" i="3"/>
  <c r="I1535" i="3"/>
  <c r="I786" i="3"/>
  <c r="J785" i="3"/>
  <c r="J2773" i="3"/>
  <c r="I2774" i="3"/>
  <c r="I1389" i="3"/>
  <c r="J1388" i="3"/>
  <c r="I287" i="3"/>
  <c r="I2803" i="3"/>
  <c r="J2802" i="3"/>
  <c r="I2899" i="3"/>
  <c r="I3249" i="3"/>
  <c r="I2997" i="3"/>
  <c r="I3160" i="3"/>
  <c r="I2824" i="3"/>
  <c r="I2088" i="3"/>
  <c r="J1376" i="3"/>
  <c r="I1377" i="3"/>
  <c r="I1170" i="3"/>
  <c r="I941" i="3"/>
  <c r="J940" i="3"/>
  <c r="I507" i="3"/>
  <c r="J506" i="3"/>
  <c r="I575" i="3"/>
  <c r="J2140" i="3"/>
  <c r="I2141" i="3"/>
  <c r="I1860" i="3"/>
  <c r="I4" i="3"/>
  <c r="L3" i="3"/>
  <c r="J3" i="3"/>
  <c r="M2" i="3" s="1"/>
  <c r="I1063" i="3"/>
  <c r="J1062" i="3"/>
  <c r="J2730" i="3"/>
  <c r="I2731" i="3"/>
  <c r="I2072" i="3"/>
  <c r="I1778" i="3"/>
  <c r="J1777" i="3"/>
  <c r="I1615" i="3"/>
  <c r="J1614" i="3"/>
  <c r="I2569" i="3"/>
  <c r="J2568" i="3"/>
  <c r="I2208" i="3"/>
  <c r="J2207" i="3"/>
  <c r="I1413" i="3"/>
  <c r="J1412" i="3"/>
  <c r="I1192" i="3"/>
  <c r="J1191" i="3"/>
  <c r="I837" i="3"/>
  <c r="J836" i="3"/>
  <c r="I730" i="3"/>
  <c r="J729" i="3"/>
  <c r="I3327" i="3"/>
  <c r="I2837" i="3"/>
  <c r="I2243" i="3"/>
  <c r="J2242" i="3"/>
  <c r="I1094" i="3"/>
  <c r="J1093" i="3"/>
  <c r="J461" i="3"/>
  <c r="I462" i="3"/>
  <c r="I1713" i="3"/>
  <c r="J1712" i="3"/>
  <c r="I1125" i="3"/>
  <c r="J1124" i="3"/>
  <c r="I1047" i="3"/>
  <c r="J1046" i="3"/>
  <c r="I2015" i="3"/>
  <c r="I499" i="3"/>
  <c r="J498" i="3"/>
  <c r="J1570" i="3"/>
  <c r="I1571" i="3"/>
  <c r="I271" i="3"/>
  <c r="I798" i="3"/>
  <c r="J797" i="3"/>
  <c r="I1789" i="3"/>
  <c r="J1788" i="3"/>
  <c r="I18" i="3"/>
  <c r="J17" i="3"/>
  <c r="J2152" i="3"/>
  <c r="I2153" i="3"/>
  <c r="J647" i="3"/>
  <c r="I648" i="3"/>
  <c r="I2195" i="3"/>
  <c r="J2194" i="3"/>
  <c r="I3079" i="3"/>
  <c r="I3051" i="3"/>
  <c r="J2701" i="3"/>
  <c r="I2702" i="3"/>
  <c r="I1444" i="3"/>
  <c r="J1443" i="3"/>
  <c r="I527" i="3"/>
  <c r="J526" i="3"/>
  <c r="I635" i="3"/>
  <c r="J634" i="3"/>
  <c r="I2417" i="3"/>
  <c r="J2416" i="3"/>
  <c r="I3191" i="3"/>
  <c r="I2688" i="3"/>
  <c r="J2687" i="3"/>
  <c r="I1733" i="3"/>
  <c r="I1657" i="3"/>
  <c r="J1656" i="3"/>
  <c r="I743" i="3"/>
  <c r="J742" i="3"/>
  <c r="I1206" i="3"/>
  <c r="J1205" i="3"/>
  <c r="I2537" i="3"/>
  <c r="J2536" i="3"/>
  <c r="I3267" i="3"/>
  <c r="I2675" i="3"/>
  <c r="J2674" i="3"/>
  <c r="I1642" i="3"/>
  <c r="J1641" i="3"/>
  <c r="I2620" i="3"/>
  <c r="J2619" i="3"/>
  <c r="I2507" i="3"/>
  <c r="J2506" i="3"/>
  <c r="I2433" i="3"/>
  <c r="J2432" i="3"/>
  <c r="I2119" i="3"/>
  <c r="J2118" i="3"/>
  <c r="I902" i="3"/>
  <c r="J901" i="3"/>
  <c r="I1135" i="3"/>
  <c r="J1134" i="3"/>
  <c r="I1150" i="3"/>
  <c r="J1149" i="3"/>
  <c r="I2500" i="3"/>
  <c r="I3214" i="3"/>
  <c r="I2648" i="3"/>
  <c r="J2647" i="3"/>
  <c r="I1077" i="3"/>
  <c r="I552" i="3"/>
  <c r="J551" i="3"/>
  <c r="I1591" i="3"/>
  <c r="J1590" i="3"/>
  <c r="I877" i="3"/>
  <c r="J876" i="3"/>
  <c r="J178" i="3"/>
  <c r="I2856" i="3"/>
  <c r="I2717" i="3"/>
  <c r="J2716" i="3"/>
  <c r="J889" i="3" l="1"/>
  <c r="J1944" i="3"/>
  <c r="J489" i="3"/>
  <c r="J453" i="3"/>
  <c r="J212" i="3"/>
  <c r="T1938" i="3"/>
  <c r="T1945" i="3"/>
  <c r="I223" i="3"/>
  <c r="I224" i="3" s="1"/>
  <c r="J222" i="3"/>
  <c r="T63" i="3"/>
  <c r="T1642" i="3"/>
  <c r="T686" i="3"/>
  <c r="T606" i="3"/>
  <c r="T99" i="3"/>
  <c r="J252" i="3"/>
  <c r="I253" i="3"/>
  <c r="T1349" i="3"/>
  <c r="T472" i="3"/>
  <c r="T662" i="3"/>
  <c r="T1562" i="3"/>
  <c r="T2337" i="3"/>
  <c r="T2717" i="3"/>
  <c r="T2417" i="3"/>
  <c r="T786" i="3"/>
  <c r="T2310" i="3"/>
  <c r="T179" i="3"/>
  <c r="T2507" i="3"/>
  <c r="T527" i="3"/>
  <c r="T454" i="3"/>
  <c r="T1713" i="3"/>
  <c r="T499" i="3"/>
  <c r="T866" i="3"/>
  <c r="T1685" i="3"/>
  <c r="T403" i="3"/>
  <c r="T366" i="3"/>
  <c r="T1600" i="3"/>
  <c r="T1363" i="3"/>
  <c r="T2760" i="3"/>
  <c r="T2029" i="3"/>
  <c r="T1987" i="3"/>
  <c r="T2388" i="3"/>
  <c r="T1789" i="3"/>
  <c r="T2731" i="3"/>
  <c r="V4" i="3"/>
  <c r="T941" i="3"/>
  <c r="T382" i="3"/>
  <c r="T2039" i="3"/>
  <c r="T75" i="3"/>
  <c r="T1630" i="3"/>
  <c r="T127" i="3"/>
  <c r="T1959" i="3"/>
  <c r="T2484" i="3"/>
  <c r="I1037" i="3"/>
  <c r="J1036" i="3"/>
  <c r="T798" i="3"/>
  <c r="T837" i="3"/>
  <c r="T890" i="3"/>
  <c r="T437" i="3"/>
  <c r="T1556" i="3"/>
  <c r="T753" i="3"/>
  <c r="T1276" i="3"/>
  <c r="T973" i="3"/>
  <c r="T2318" i="3"/>
  <c r="T536" i="3"/>
  <c r="I397" i="3"/>
  <c r="I2055" i="3"/>
  <c r="J2054" i="3"/>
  <c r="T2675" i="3"/>
  <c r="J516" i="3"/>
  <c r="I517" i="3"/>
  <c r="I1911" i="3"/>
  <c r="I1220" i="3"/>
  <c r="J1219" i="3"/>
  <c r="T213" i="3"/>
  <c r="T18" i="3"/>
  <c r="T1571" i="3"/>
  <c r="T2243" i="3"/>
  <c r="T1615" i="3"/>
  <c r="T2803" i="3"/>
  <c r="T1058" i="3"/>
  <c r="T932" i="3"/>
  <c r="T490" i="3"/>
  <c r="T446" i="3"/>
  <c r="T1023" i="3"/>
  <c r="T1266" i="3"/>
  <c r="T737" i="3"/>
  <c r="T1180" i="3"/>
  <c r="T2172" i="3"/>
  <c r="I2134" i="3"/>
  <c r="J2133" i="3"/>
  <c r="J1972" i="3"/>
  <c r="I1973" i="3"/>
  <c r="M3" i="3"/>
  <c r="I2718" i="3"/>
  <c r="I731" i="3"/>
  <c r="J730" i="3"/>
  <c r="I617" i="3"/>
  <c r="J616" i="3"/>
  <c r="I2182" i="3"/>
  <c r="I1557" i="3"/>
  <c r="J1671" i="3"/>
  <c r="I1672" i="3"/>
  <c r="I1089" i="3"/>
  <c r="I1254" i="3"/>
  <c r="I903" i="3"/>
  <c r="J902" i="3"/>
  <c r="I2649" i="3"/>
  <c r="J2648" i="3"/>
  <c r="I3052" i="3"/>
  <c r="I2838" i="3"/>
  <c r="I2263" i="3"/>
  <c r="I243" i="3"/>
  <c r="I1817" i="3"/>
  <c r="J1816" i="3"/>
  <c r="J372" i="3"/>
  <c r="I373" i="3"/>
  <c r="I1024" i="3"/>
  <c r="I2319" i="3"/>
  <c r="I674" i="3"/>
  <c r="J673" i="3"/>
  <c r="I180" i="3"/>
  <c r="I1592" i="3"/>
  <c r="J1591" i="3"/>
  <c r="I1643" i="3"/>
  <c r="I1658" i="3"/>
  <c r="J1657" i="3"/>
  <c r="I500" i="3"/>
  <c r="I233" i="3"/>
  <c r="J232" i="3"/>
  <c r="I262" i="3"/>
  <c r="I2467" i="3"/>
  <c r="J2466" i="3"/>
  <c r="I1136" i="3"/>
  <c r="J1135" i="3"/>
  <c r="I3215" i="3"/>
  <c r="I1151" i="3"/>
  <c r="J1150" i="3"/>
  <c r="I2621" i="3"/>
  <c r="J2620" i="3"/>
  <c r="I2676" i="3"/>
  <c r="I1734" i="3"/>
  <c r="I2703" i="3"/>
  <c r="J2702" i="3"/>
  <c r="I2196" i="3"/>
  <c r="J2195" i="3"/>
  <c r="I838" i="3"/>
  <c r="I1378" i="3"/>
  <c r="J1377" i="3"/>
  <c r="I2661" i="3"/>
  <c r="J2660" i="3"/>
  <c r="I1686" i="3"/>
  <c r="I328" i="3"/>
  <c r="J327" i="3"/>
  <c r="I2167" i="3"/>
  <c r="J2166" i="3"/>
  <c r="I2001" i="3"/>
  <c r="J2000" i="3"/>
  <c r="I878" i="3"/>
  <c r="J877" i="3"/>
  <c r="I2538" i="3"/>
  <c r="J2537" i="3"/>
  <c r="I636" i="3"/>
  <c r="J635" i="3"/>
  <c r="J648" i="3"/>
  <c r="I649" i="3"/>
  <c r="I990" i="3"/>
  <c r="I2508" i="3"/>
  <c r="I3268" i="3"/>
  <c r="I2689" i="3"/>
  <c r="J2688" i="3"/>
  <c r="I3192" i="3"/>
  <c r="I3080" i="3"/>
  <c r="I19" i="3"/>
  <c r="I799" i="3"/>
  <c r="I463" i="3"/>
  <c r="J462" i="3"/>
  <c r="I1095" i="3"/>
  <c r="J1094" i="3"/>
  <c r="I2244" i="3"/>
  <c r="I1988" i="3"/>
  <c r="I2338" i="3"/>
  <c r="I1207" i="3"/>
  <c r="J1206" i="3"/>
  <c r="I553" i="3"/>
  <c r="J552" i="3"/>
  <c r="I2501" i="3"/>
  <c r="I2434" i="3"/>
  <c r="J2433" i="3"/>
  <c r="I1790" i="3"/>
  <c r="I2016" i="3"/>
  <c r="I3328" i="3"/>
  <c r="I3232" i="3"/>
  <c r="I1007" i="3"/>
  <c r="I537" i="3"/>
  <c r="I1445" i="3"/>
  <c r="J1444" i="3"/>
  <c r="I2120" i="3"/>
  <c r="J2119" i="3"/>
  <c r="I455" i="3"/>
  <c r="I2857" i="3"/>
  <c r="I1078" i="3"/>
  <c r="I744" i="3"/>
  <c r="J743" i="3"/>
  <c r="I2418" i="3"/>
  <c r="I528" i="3"/>
  <c r="I2154" i="3"/>
  <c r="J2153" i="3"/>
  <c r="I1048" i="3"/>
  <c r="J1047" i="3"/>
  <c r="I5" i="3"/>
  <c r="J4" i="3"/>
  <c r="M31" i="3" s="1"/>
  <c r="M4" i="3"/>
  <c r="L4" i="3"/>
  <c r="I2311" i="3"/>
  <c r="I2279" i="3"/>
  <c r="I166" i="3"/>
  <c r="J165" i="3"/>
  <c r="I412" i="3"/>
  <c r="I3177" i="3"/>
  <c r="I100" i="3"/>
  <c r="I1861" i="3"/>
  <c r="I508" i="3"/>
  <c r="J507" i="3"/>
  <c r="I1390" i="3"/>
  <c r="J1389" i="3"/>
  <c r="I2295" i="3"/>
  <c r="I1308" i="3"/>
  <c r="I1330" i="3"/>
  <c r="I2982" i="3"/>
  <c r="I46" i="3"/>
  <c r="J45" i="3"/>
  <c r="I1526" i="3"/>
  <c r="J1525" i="3"/>
  <c r="I1461" i="3"/>
  <c r="J1460" i="3"/>
  <c r="I1601" i="3"/>
  <c r="I1811" i="3"/>
  <c r="I2913" i="3"/>
  <c r="I754" i="3"/>
  <c r="I663" i="3"/>
  <c r="I383" i="3"/>
  <c r="I2226" i="3"/>
  <c r="J2225" i="3"/>
  <c r="I2655" i="3"/>
  <c r="J2654" i="3"/>
  <c r="I204" i="3"/>
  <c r="J203" i="3"/>
  <c r="I3297" i="3"/>
  <c r="I1631" i="3"/>
  <c r="I3010" i="3"/>
  <c r="I1714" i="3"/>
  <c r="I1193" i="3"/>
  <c r="J1192" i="3"/>
  <c r="I2209" i="3"/>
  <c r="J2208" i="3"/>
  <c r="I2570" i="3"/>
  <c r="J2569" i="3"/>
  <c r="I576" i="3"/>
  <c r="I787" i="3"/>
  <c r="I3066" i="3"/>
  <c r="I2607" i="3"/>
  <c r="J2606" i="3"/>
  <c r="I391" i="3"/>
  <c r="J390" i="3"/>
  <c r="I2554" i="3"/>
  <c r="J2553" i="3"/>
  <c r="I1399" i="3"/>
  <c r="J1398" i="3"/>
  <c r="I687" i="3"/>
  <c r="I32" i="3"/>
  <c r="J31" i="3"/>
  <c r="I3372" i="3"/>
  <c r="I2104" i="3"/>
  <c r="J2103" i="3"/>
  <c r="I2451" i="3"/>
  <c r="J2450" i="3"/>
  <c r="I2966" i="3"/>
  <c r="I2873" i="3"/>
  <c r="I1542" i="3"/>
  <c r="J1541" i="3"/>
  <c r="J916" i="3"/>
  <c r="I917" i="3"/>
  <c r="I272" i="3"/>
  <c r="I1572" i="3"/>
  <c r="I1126" i="3"/>
  <c r="J1125" i="3"/>
  <c r="I1414" i="3"/>
  <c r="J1413" i="3"/>
  <c r="I1616" i="3"/>
  <c r="I2732" i="3"/>
  <c r="J2141" i="3"/>
  <c r="I2142" i="3"/>
  <c r="I2089" i="3"/>
  <c r="I2998" i="3"/>
  <c r="I1536" i="3"/>
  <c r="J1535" i="3"/>
  <c r="I763" i="3"/>
  <c r="I128" i="3"/>
  <c r="I1897" i="3"/>
  <c r="J1896" i="3"/>
  <c r="I2886" i="3"/>
  <c r="I113" i="3"/>
  <c r="J112" i="3"/>
  <c r="I3038" i="3"/>
  <c r="I822" i="3"/>
  <c r="J821" i="3"/>
  <c r="I137" i="3"/>
  <c r="I3382" i="3"/>
  <c r="I447" i="3"/>
  <c r="I2831" i="3"/>
  <c r="I2526" i="3"/>
  <c r="J2525" i="3"/>
  <c r="I1939" i="3"/>
  <c r="I3146" i="3"/>
  <c r="J1778" i="3"/>
  <c r="I1779" i="3"/>
  <c r="I2073" i="3"/>
  <c r="I3250" i="3"/>
  <c r="I891" i="3"/>
  <c r="I1059" i="3"/>
  <c r="J2353" i="3"/>
  <c r="I2354" i="3"/>
  <c r="J1115" i="3"/>
  <c r="I1116" i="3"/>
  <c r="I1883" i="3"/>
  <c r="J1882" i="3"/>
  <c r="I64" i="3"/>
  <c r="I564" i="3"/>
  <c r="J563" i="3"/>
  <c r="J1475" i="3"/>
  <c r="I1476" i="3"/>
  <c r="I933" i="3"/>
  <c r="I1848" i="3"/>
  <c r="J1847" i="3"/>
  <c r="J2593" i="3"/>
  <c r="I2594" i="3"/>
  <c r="I367" i="3"/>
  <c r="I2950" i="3"/>
  <c r="I1492" i="3"/>
  <c r="I778" i="3"/>
  <c r="J777" i="3"/>
  <c r="I1235" i="3"/>
  <c r="J1234" i="3"/>
  <c r="I1548" i="3"/>
  <c r="J1547" i="3"/>
  <c r="I2941" i="3"/>
  <c r="I2817" i="3"/>
  <c r="I3356" i="3"/>
  <c r="I607" i="3"/>
  <c r="I76" i="3"/>
  <c r="I627" i="3"/>
  <c r="J626" i="3"/>
  <c r="I702" i="3"/>
  <c r="J701" i="3"/>
  <c r="I428" i="3"/>
  <c r="J427" i="3"/>
  <c r="I2389" i="3"/>
  <c r="I214" i="3"/>
  <c r="I942" i="3"/>
  <c r="I1171" i="3"/>
  <c r="I288" i="3"/>
  <c r="I2775" i="3"/>
  <c r="J2774" i="3"/>
  <c r="I1835" i="3"/>
  <c r="J1834" i="3"/>
  <c r="I1160" i="3"/>
  <c r="J1159" i="3"/>
  <c r="I1926" i="3"/>
  <c r="I1960" i="3"/>
  <c r="I1102" i="3"/>
  <c r="J1101" i="3"/>
  <c r="I1874" i="3"/>
  <c r="J1873" i="3"/>
  <c r="I2373" i="3"/>
  <c r="I588" i="3"/>
  <c r="I1321" i="3"/>
  <c r="J1320" i="3"/>
  <c r="I473" i="3"/>
  <c r="I2789" i="3"/>
  <c r="J2788" i="3"/>
  <c r="I2188" i="3"/>
  <c r="J2187" i="3"/>
  <c r="I2761" i="3"/>
  <c r="I2485" i="3"/>
  <c r="I1429" i="3"/>
  <c r="J1428" i="3"/>
  <c r="I319" i="3"/>
  <c r="J318" i="3"/>
  <c r="I351" i="3"/>
  <c r="I1704" i="3"/>
  <c r="I1277" i="3"/>
  <c r="I974" i="3"/>
  <c r="I545" i="3"/>
  <c r="J544" i="3"/>
  <c r="I3286" i="3"/>
  <c r="I1696" i="3"/>
  <c r="J2744" i="3"/>
  <c r="I2745" i="3"/>
  <c r="I304" i="3"/>
  <c r="I1506" i="3"/>
  <c r="J1505" i="3"/>
  <c r="I1946" i="3"/>
  <c r="I1064" i="3"/>
  <c r="J1063" i="3"/>
  <c r="I2825" i="3"/>
  <c r="I3161" i="3"/>
  <c r="I2900" i="3"/>
  <c r="I2804" i="3"/>
  <c r="I3024" i="3"/>
  <c r="I3124" i="3"/>
  <c r="I3343" i="3"/>
  <c r="I404" i="3"/>
  <c r="I1749" i="3"/>
  <c r="J1748" i="3"/>
  <c r="I2850" i="3"/>
  <c r="I960" i="3"/>
  <c r="J959" i="3"/>
  <c r="I1801" i="3"/>
  <c r="J1800" i="3"/>
  <c r="I1364" i="3"/>
  <c r="I340" i="3"/>
  <c r="I1719" i="3"/>
  <c r="J1718" i="3"/>
  <c r="I718" i="3"/>
  <c r="J717" i="3"/>
  <c r="I1931" i="3"/>
  <c r="J1930" i="3"/>
  <c r="I1267" i="3"/>
  <c r="I2582" i="3"/>
  <c r="J2581" i="3"/>
  <c r="I3366" i="3"/>
  <c r="I738" i="3"/>
  <c r="J480" i="3"/>
  <c r="I481" i="3"/>
  <c r="I2514" i="3"/>
  <c r="J2513" i="3"/>
  <c r="I951" i="3"/>
  <c r="J950" i="3"/>
  <c r="I1181" i="3"/>
  <c r="I3102" i="3"/>
  <c r="I851" i="3"/>
  <c r="J850" i="3"/>
  <c r="I2173" i="3"/>
  <c r="I1581" i="3"/>
  <c r="J1580" i="3"/>
  <c r="I2635" i="3"/>
  <c r="J2634" i="3"/>
  <c r="I1516" i="3"/>
  <c r="J1515" i="3"/>
  <c r="I1350" i="3"/>
  <c r="I867" i="3"/>
  <c r="I438" i="3"/>
  <c r="I1293" i="3"/>
  <c r="J1292" i="3"/>
  <c r="I87" i="3"/>
  <c r="J86" i="3"/>
  <c r="I491" i="3"/>
  <c r="J1826" i="3"/>
  <c r="I1827" i="3"/>
  <c r="I1764" i="3"/>
  <c r="I193" i="3"/>
  <c r="J192" i="3"/>
  <c r="I2030" i="3"/>
  <c r="I2405" i="3"/>
  <c r="J2404" i="3"/>
  <c r="I1563" i="3"/>
  <c r="I2040" i="3"/>
  <c r="I2926" i="3"/>
  <c r="I2844" i="3"/>
  <c r="I811" i="3"/>
  <c r="I153" i="3"/>
  <c r="J152" i="3"/>
  <c r="I3208" i="3"/>
  <c r="I3313" i="3"/>
  <c r="N16" i="3" l="1"/>
  <c r="L86" i="3"/>
  <c r="M86" i="3"/>
  <c r="L75" i="3"/>
  <c r="N72" i="3"/>
  <c r="N15" i="3"/>
  <c r="M75" i="3"/>
  <c r="M16" i="3"/>
  <c r="L30" i="3"/>
  <c r="M85" i="3"/>
  <c r="L15" i="3"/>
  <c r="M72" i="3"/>
  <c r="N2" i="3"/>
  <c r="N74" i="3"/>
  <c r="L72" i="3"/>
  <c r="M125" i="3"/>
  <c r="M152" i="3"/>
  <c r="M74" i="3"/>
  <c r="T2745" i="3"/>
  <c r="T778" i="3"/>
  <c r="T1883" i="3"/>
  <c r="T113" i="3"/>
  <c r="T2104" i="3"/>
  <c r="T2226" i="3"/>
  <c r="T1461" i="3"/>
  <c r="T2154" i="3"/>
  <c r="T463" i="3"/>
  <c r="T2196" i="3"/>
  <c r="T1151" i="3"/>
  <c r="T1817" i="3"/>
  <c r="T903" i="3"/>
  <c r="T617" i="3"/>
  <c r="I1912" i="3"/>
  <c r="T2582" i="3"/>
  <c r="T1848" i="3"/>
  <c r="T851" i="3"/>
  <c r="T2514" i="3"/>
  <c r="T1749" i="3"/>
  <c r="T702" i="3"/>
  <c r="T1476" i="3"/>
  <c r="T1116" i="3"/>
  <c r="T1536" i="3"/>
  <c r="T1414" i="3"/>
  <c r="T1542" i="3"/>
  <c r="T2554" i="3"/>
  <c r="T2120" i="3"/>
  <c r="T1207" i="3"/>
  <c r="T878" i="3"/>
  <c r="T233" i="3"/>
  <c r="T1321" i="3"/>
  <c r="T1399" i="3"/>
  <c r="M2134" i="3"/>
  <c r="T87" i="3"/>
  <c r="T1516" i="3"/>
  <c r="T481" i="3"/>
  <c r="T1931" i="3"/>
  <c r="T1801" i="3"/>
  <c r="T2188" i="3"/>
  <c r="T1160" i="3"/>
  <c r="T1779" i="3"/>
  <c r="M44" i="3"/>
  <c r="T2570" i="3"/>
  <c r="T1526" i="3"/>
  <c r="L16" i="3"/>
  <c r="N4" i="3"/>
  <c r="T649" i="3"/>
  <c r="T2661" i="3"/>
  <c r="T674" i="3"/>
  <c r="T731" i="3"/>
  <c r="T2134" i="3"/>
  <c r="I2135" i="3"/>
  <c r="L2135" i="3" s="1"/>
  <c r="I398" i="3"/>
  <c r="N398" i="3" s="1"/>
  <c r="T1037" i="3"/>
  <c r="I1038" i="3"/>
  <c r="T223" i="3"/>
  <c r="T428" i="3"/>
  <c r="T1592" i="3"/>
  <c r="T1064" i="3"/>
  <c r="T319" i="3"/>
  <c r="T1874" i="3"/>
  <c r="T627" i="3"/>
  <c r="T2354" i="3"/>
  <c r="T1126" i="3"/>
  <c r="T391" i="3"/>
  <c r="T1445" i="3"/>
  <c r="T2434" i="3"/>
  <c r="T2001" i="3"/>
  <c r="T1672" i="3"/>
  <c r="T1220" i="3"/>
  <c r="I1221" i="3"/>
  <c r="T517" i="3"/>
  <c r="I518" i="3"/>
  <c r="T508" i="3"/>
  <c r="L152" i="3"/>
  <c r="T153" i="3"/>
  <c r="T1827" i="3"/>
  <c r="T1293" i="3"/>
  <c r="T2635" i="3"/>
  <c r="T718" i="3"/>
  <c r="T960" i="3"/>
  <c r="T2789" i="3"/>
  <c r="T1835" i="3"/>
  <c r="T1548" i="3"/>
  <c r="T2594" i="3"/>
  <c r="T564" i="3"/>
  <c r="T2142" i="3"/>
  <c r="T32" i="3"/>
  <c r="T2209" i="3"/>
  <c r="T204" i="3"/>
  <c r="T46" i="3"/>
  <c r="T1390" i="3"/>
  <c r="V5" i="3"/>
  <c r="T5" i="3"/>
  <c r="T744" i="3"/>
  <c r="T1136" i="3"/>
  <c r="T1658" i="3"/>
  <c r="T253" i="3"/>
  <c r="I254" i="3"/>
  <c r="T2775" i="3"/>
  <c r="T2526" i="3"/>
  <c r="T193" i="3"/>
  <c r="T545" i="3"/>
  <c r="T1429" i="3"/>
  <c r="T1102" i="3"/>
  <c r="N63" i="3"/>
  <c r="T822" i="3"/>
  <c r="T1897" i="3"/>
  <c r="T2607" i="3"/>
  <c r="T166" i="3"/>
  <c r="T636" i="3"/>
  <c r="T2167" i="3"/>
  <c r="T1378" i="3"/>
  <c r="T373" i="3"/>
  <c r="T1973" i="3"/>
  <c r="I1974" i="3"/>
  <c r="M1974" i="3" s="1"/>
  <c r="T2055" i="3"/>
  <c r="I2056" i="3"/>
  <c r="T328" i="3"/>
  <c r="T2405" i="3"/>
  <c r="T1581" i="3"/>
  <c r="T951" i="3"/>
  <c r="T1719" i="3"/>
  <c r="T1506" i="3"/>
  <c r="T1235" i="3"/>
  <c r="T917" i="3"/>
  <c r="T2451" i="3"/>
  <c r="T1193" i="3"/>
  <c r="T2655" i="3"/>
  <c r="T1048" i="3"/>
  <c r="T553" i="3"/>
  <c r="T1095" i="3"/>
  <c r="T2689" i="3"/>
  <c r="T2621" i="3"/>
  <c r="T2467" i="3"/>
  <c r="T2649" i="3"/>
  <c r="N86" i="3"/>
  <c r="N44" i="3"/>
  <c r="L63" i="3"/>
  <c r="L1360" i="3"/>
  <c r="L73" i="3"/>
  <c r="M63" i="3"/>
  <c r="M1540" i="3"/>
  <c r="L43" i="3"/>
  <c r="N31" i="3"/>
  <c r="L84" i="3"/>
  <c r="N75" i="3"/>
  <c r="N60" i="3"/>
  <c r="N2151" i="3"/>
  <c r="M2387" i="3"/>
  <c r="M43" i="3"/>
  <c r="N62" i="3"/>
  <c r="L31" i="3"/>
  <c r="L261" i="3"/>
  <c r="N1168" i="3"/>
  <c r="I2927" i="3"/>
  <c r="N1190" i="3"/>
  <c r="N437" i="3"/>
  <c r="L1349" i="3"/>
  <c r="L2524" i="3"/>
  <c r="I952" i="3"/>
  <c r="N951" i="3"/>
  <c r="M951" i="3"/>
  <c r="L951" i="3"/>
  <c r="N480" i="3"/>
  <c r="I739" i="3"/>
  <c r="N738" i="3"/>
  <c r="M738" i="3"/>
  <c r="L738" i="3"/>
  <c r="I3367" i="3"/>
  <c r="N2449" i="3"/>
  <c r="M2224" i="3"/>
  <c r="L1157" i="3"/>
  <c r="N1930" i="3"/>
  <c r="M381" i="3"/>
  <c r="L1718" i="3"/>
  <c r="M1363" i="3"/>
  <c r="L1099" i="3"/>
  <c r="M223" i="3"/>
  <c r="L211" i="3"/>
  <c r="M1748" i="3"/>
  <c r="L404" i="3"/>
  <c r="N404" i="3"/>
  <c r="M404" i="3"/>
  <c r="I405" i="3"/>
  <c r="M1710" i="3"/>
  <c r="I2746" i="3"/>
  <c r="I546" i="3"/>
  <c r="M545" i="3"/>
  <c r="L545" i="3"/>
  <c r="N545" i="3"/>
  <c r="L1276" i="3"/>
  <c r="L1428" i="3"/>
  <c r="N1397" i="3"/>
  <c r="N222" i="3"/>
  <c r="I2374" i="3"/>
  <c r="I1836" i="3"/>
  <c r="M1835" i="3"/>
  <c r="L1835" i="3"/>
  <c r="N1835" i="3"/>
  <c r="N1717" i="3"/>
  <c r="N615" i="3"/>
  <c r="L2336" i="3"/>
  <c r="L1613" i="3"/>
  <c r="I1898" i="3"/>
  <c r="N1897" i="3"/>
  <c r="M1897" i="3"/>
  <c r="L1897" i="3"/>
  <c r="L1348" i="3"/>
  <c r="M1984" i="3"/>
  <c r="L443" i="3"/>
  <c r="N2512" i="3"/>
  <c r="L1546" i="3"/>
  <c r="L786" i="3"/>
  <c r="N753" i="3"/>
  <c r="M2133" i="3"/>
  <c r="N1047" i="3"/>
  <c r="I1008" i="3"/>
  <c r="I2509" i="3"/>
  <c r="N2508" i="3"/>
  <c r="L2508" i="3"/>
  <c r="N2195" i="3"/>
  <c r="M372" i="3"/>
  <c r="N2181" i="3"/>
  <c r="L1458" i="3"/>
  <c r="I1828" i="3"/>
  <c r="N1827" i="3"/>
  <c r="L1827" i="3"/>
  <c r="M1827" i="3"/>
  <c r="N394" i="3"/>
  <c r="L325" i="3"/>
  <c r="M1055" i="3"/>
  <c r="L2039" i="3"/>
  <c r="M1776" i="3"/>
  <c r="I2406" i="3"/>
  <c r="L2405" i="3"/>
  <c r="N2405" i="3"/>
  <c r="M2405" i="3"/>
  <c r="L192" i="3"/>
  <c r="N2334" i="3"/>
  <c r="L699" i="3"/>
  <c r="I88" i="3"/>
  <c r="N87" i="3"/>
  <c r="M87" i="3"/>
  <c r="L87" i="3"/>
  <c r="L683" i="3"/>
  <c r="N1293" i="3"/>
  <c r="M1293" i="3"/>
  <c r="L1293" i="3"/>
  <c r="I1294" i="3"/>
  <c r="N1998" i="3"/>
  <c r="L931" i="3"/>
  <c r="M1349" i="3"/>
  <c r="I1582" i="3"/>
  <c r="L1581" i="3"/>
  <c r="N1581" i="3"/>
  <c r="M1581" i="3"/>
  <c r="L2172" i="3"/>
  <c r="L850" i="3"/>
  <c r="L1180" i="3"/>
  <c r="L2134" i="3"/>
  <c r="M190" i="3"/>
  <c r="N202" i="3"/>
  <c r="L2513" i="3"/>
  <c r="I1268" i="3"/>
  <c r="L1267" i="3"/>
  <c r="N1267" i="3"/>
  <c r="M487" i="3"/>
  <c r="I1932" i="3"/>
  <c r="P1931" i="3"/>
  <c r="N1931" i="3"/>
  <c r="L1931" i="3"/>
  <c r="I719" i="3"/>
  <c r="N718" i="3"/>
  <c r="L718" i="3"/>
  <c r="M718" i="3"/>
  <c r="M661" i="3"/>
  <c r="M1986" i="3"/>
  <c r="M1718" i="3"/>
  <c r="N1363" i="3"/>
  <c r="L685" i="3"/>
  <c r="M111" i="3"/>
  <c r="N223" i="3"/>
  <c r="L1291" i="3"/>
  <c r="L2402" i="3"/>
  <c r="N1972" i="3"/>
  <c r="I3344" i="3"/>
  <c r="L1426" i="3"/>
  <c r="M1716" i="3"/>
  <c r="L1683" i="3"/>
  <c r="I2826" i="3"/>
  <c r="I1065" i="3"/>
  <c r="N1064" i="3"/>
  <c r="L1064" i="3"/>
  <c r="M1064" i="3"/>
  <c r="M1505" i="3"/>
  <c r="M849" i="3"/>
  <c r="I305" i="3"/>
  <c r="M1276" i="3"/>
  <c r="M1428" i="3"/>
  <c r="L1346" i="3"/>
  <c r="M1579" i="3"/>
  <c r="M2053" i="3"/>
  <c r="M1825" i="3"/>
  <c r="M2386" i="3"/>
  <c r="L932" i="3"/>
  <c r="I1117" i="3"/>
  <c r="N1116" i="3"/>
  <c r="M1116" i="3"/>
  <c r="L1116" i="3"/>
  <c r="L2482" i="3"/>
  <c r="N371" i="3"/>
  <c r="L1972" i="3"/>
  <c r="L124" i="3"/>
  <c r="I2999" i="3"/>
  <c r="N1055" i="3"/>
  <c r="N325" i="3"/>
  <c r="M736" i="3"/>
  <c r="N1514" i="3"/>
  <c r="N1630" i="3"/>
  <c r="N2241" i="3"/>
  <c r="N728" i="3"/>
  <c r="L1525" i="3"/>
  <c r="N743" i="3"/>
  <c r="M2119" i="3"/>
  <c r="L2500" i="3"/>
  <c r="L1206" i="3"/>
  <c r="N2224" i="3"/>
  <c r="M542" i="3"/>
  <c r="N434" i="3"/>
  <c r="L887" i="3"/>
  <c r="N2179" i="3"/>
  <c r="N2039" i="3"/>
  <c r="M1318" i="3"/>
  <c r="L1022" i="3"/>
  <c r="N460" i="3"/>
  <c r="L1923" i="3"/>
  <c r="I2031" i="3"/>
  <c r="L2030" i="3"/>
  <c r="N2030" i="3"/>
  <c r="M2030" i="3"/>
  <c r="I194" i="3"/>
  <c r="N193" i="3"/>
  <c r="M193" i="3"/>
  <c r="L193" i="3"/>
  <c r="I1765" i="3"/>
  <c r="M1826" i="3"/>
  <c r="L400" i="3"/>
  <c r="L365" i="3"/>
  <c r="L97" i="3"/>
  <c r="M1846" i="3"/>
  <c r="L866" i="3"/>
  <c r="N1349" i="3"/>
  <c r="L1515" i="3"/>
  <c r="I2636" i="3"/>
  <c r="M915" i="3"/>
  <c r="N2172" i="3"/>
  <c r="M850" i="3"/>
  <c r="M1180" i="3"/>
  <c r="M496" i="3"/>
  <c r="M2513" i="3"/>
  <c r="N230" i="3"/>
  <c r="L1073" i="3"/>
  <c r="M1473" i="3"/>
  <c r="L1814" i="3"/>
  <c r="L445" i="3"/>
  <c r="I341" i="3"/>
  <c r="L340" i="3"/>
  <c r="L1800" i="3"/>
  <c r="M795" i="3"/>
  <c r="L959" i="3"/>
  <c r="N380" i="3"/>
  <c r="L389" i="3"/>
  <c r="N931" i="3"/>
  <c r="N1748" i="3"/>
  <c r="N1924" i="3"/>
  <c r="N761" i="3"/>
  <c r="L1114" i="3"/>
  <c r="L1190" i="3"/>
  <c r="L615" i="3"/>
  <c r="L785" i="3"/>
  <c r="N1505" i="3"/>
  <c r="M750" i="3"/>
  <c r="L524" i="3"/>
  <c r="N1276" i="3"/>
  <c r="L1959" i="3"/>
  <c r="M316" i="3"/>
  <c r="I1172" i="3"/>
  <c r="N1171" i="3"/>
  <c r="M1956" i="3"/>
  <c r="I77" i="3"/>
  <c r="N76" i="3"/>
  <c r="M76" i="3"/>
  <c r="L76" i="3"/>
  <c r="N1523" i="3"/>
  <c r="N1291" i="3"/>
  <c r="L1158" i="3"/>
  <c r="L795" i="3"/>
  <c r="M2103" i="3"/>
  <c r="N1711" i="3"/>
  <c r="L2206" i="3"/>
  <c r="I2539" i="3"/>
  <c r="N2538" i="3"/>
  <c r="M2538" i="3"/>
  <c r="L2538" i="3"/>
  <c r="J2538" i="3"/>
  <c r="L2673" i="3" s="1"/>
  <c r="I1255" i="3"/>
  <c r="M1254" i="3"/>
  <c r="L1254" i="3"/>
  <c r="N1254" i="3"/>
  <c r="I2041" i="3"/>
  <c r="N2040" i="3"/>
  <c r="M2040" i="3"/>
  <c r="L2040" i="3"/>
  <c r="N1894" i="3"/>
  <c r="M848" i="3"/>
  <c r="M1815" i="3"/>
  <c r="L490" i="3"/>
  <c r="M389" i="3"/>
  <c r="M1474" i="3"/>
  <c r="M866" i="3"/>
  <c r="M1515" i="3"/>
  <c r="N850" i="3"/>
  <c r="N1180" i="3"/>
  <c r="L535" i="3"/>
  <c r="N2513" i="3"/>
  <c r="M1074" i="3"/>
  <c r="N737" i="3"/>
  <c r="N1219" i="3"/>
  <c r="N1718" i="3"/>
  <c r="N1923" i="3"/>
  <c r="M478" i="3"/>
  <c r="M1800" i="3"/>
  <c r="M959" i="3"/>
  <c r="L1555" i="3"/>
  <c r="N2448" i="3"/>
  <c r="N2498" i="3"/>
  <c r="L403" i="3"/>
  <c r="I3025" i="3"/>
  <c r="M970" i="3"/>
  <c r="M1711" i="3"/>
  <c r="N1973" i="3"/>
  <c r="N1945" i="3"/>
  <c r="L487" i="3"/>
  <c r="L973" i="3"/>
  <c r="M1221" i="3"/>
  <c r="L659" i="3"/>
  <c r="N941" i="3"/>
  <c r="I608" i="3"/>
  <c r="M607" i="3"/>
  <c r="L607" i="3"/>
  <c r="N607" i="3"/>
  <c r="L1234" i="3"/>
  <c r="L366" i="3"/>
  <c r="M97" i="3"/>
  <c r="N1058" i="3"/>
  <c r="N736" i="3"/>
  <c r="I448" i="3"/>
  <c r="M447" i="3"/>
  <c r="L447" i="3"/>
  <c r="N447" i="3"/>
  <c r="L2165" i="3"/>
  <c r="M127" i="3"/>
  <c r="N1148" i="3"/>
  <c r="L1092" i="3"/>
  <c r="N2208" i="3"/>
  <c r="M230" i="3"/>
  <c r="N1275" i="3"/>
  <c r="N1150" i="3"/>
  <c r="I1659" i="3"/>
  <c r="N1658" i="3"/>
  <c r="M1658" i="3"/>
  <c r="L1658" i="3"/>
  <c r="I618" i="3"/>
  <c r="M617" i="3"/>
  <c r="L617" i="3"/>
  <c r="N617" i="3"/>
  <c r="I3209" i="3"/>
  <c r="N152" i="3"/>
  <c r="N684" i="3"/>
  <c r="L1937" i="3"/>
  <c r="N625" i="3"/>
  <c r="I812" i="3"/>
  <c r="I2845" i="3"/>
  <c r="I1564" i="3"/>
  <c r="L1563" i="3"/>
  <c r="N1563" i="3"/>
  <c r="L1061" i="3"/>
  <c r="M1396" i="3"/>
  <c r="N2117" i="3"/>
  <c r="L776" i="3"/>
  <c r="N2165" i="3"/>
  <c r="N1458" i="3"/>
  <c r="M490" i="3"/>
  <c r="M1555" i="3"/>
  <c r="N2415" i="3"/>
  <c r="M2223" i="3"/>
  <c r="N443" i="3"/>
  <c r="I439" i="3"/>
  <c r="N438" i="3"/>
  <c r="L438" i="3"/>
  <c r="M438" i="3"/>
  <c r="N866" i="3"/>
  <c r="I1517" i="3"/>
  <c r="L1516" i="3"/>
  <c r="N1516" i="3"/>
  <c r="M1516" i="3"/>
  <c r="L1580" i="3"/>
  <c r="L1540" i="3"/>
  <c r="I1182" i="3"/>
  <c r="N1181" i="3"/>
  <c r="M1181" i="3"/>
  <c r="L1181" i="3"/>
  <c r="M950" i="3"/>
  <c r="N948" i="3"/>
  <c r="N435" i="3"/>
  <c r="I482" i="3"/>
  <c r="M481" i="3"/>
  <c r="N481" i="3"/>
  <c r="L481" i="3"/>
  <c r="L737" i="3"/>
  <c r="L1266" i="3"/>
  <c r="L971" i="3"/>
  <c r="M1957" i="3"/>
  <c r="N452" i="3"/>
  <c r="L1363" i="3"/>
  <c r="N1800" i="3"/>
  <c r="N959" i="3"/>
  <c r="N1670" i="3"/>
  <c r="I225" i="3"/>
  <c r="L224" i="3"/>
  <c r="N224" i="3"/>
  <c r="M224" i="3"/>
  <c r="I2851" i="3"/>
  <c r="M1524" i="3"/>
  <c r="L970" i="3"/>
  <c r="L1748" i="3"/>
  <c r="M403" i="3"/>
  <c r="M1204" i="3"/>
  <c r="N699" i="3"/>
  <c r="I3162" i="3"/>
  <c r="M1945" i="3"/>
  <c r="L2351" i="3"/>
  <c r="M1513" i="3"/>
  <c r="L1273" i="3"/>
  <c r="M973" i="3"/>
  <c r="N1639" i="3"/>
  <c r="N1221" i="3"/>
  <c r="L2187" i="3"/>
  <c r="N1159" i="3"/>
  <c r="N1845" i="3"/>
  <c r="N626" i="3"/>
  <c r="N1475" i="3"/>
  <c r="M1639" i="3"/>
  <c r="L1778" i="3"/>
  <c r="M1220" i="3"/>
  <c r="M2415" i="3"/>
  <c r="M1232" i="3"/>
  <c r="N2142" i="3"/>
  <c r="L2142" i="3"/>
  <c r="M2142" i="3"/>
  <c r="I2143" i="3"/>
  <c r="N478" i="3"/>
  <c r="N1937" i="3"/>
  <c r="M938" i="3"/>
  <c r="M552" i="3"/>
  <c r="L1987" i="3"/>
  <c r="I154" i="3"/>
  <c r="N153" i="3"/>
  <c r="M153" i="3"/>
  <c r="L153" i="3"/>
  <c r="I3314" i="3"/>
  <c r="N1986" i="3"/>
  <c r="M192" i="3"/>
  <c r="M176" i="3"/>
  <c r="L1826" i="3"/>
  <c r="L177" i="3"/>
  <c r="N490" i="3"/>
  <c r="N317" i="3"/>
  <c r="L728" i="3"/>
  <c r="L2185" i="3"/>
  <c r="N2185" i="3"/>
  <c r="N1871" i="3"/>
  <c r="N1578" i="3"/>
  <c r="L1413" i="3"/>
  <c r="N1360" i="3"/>
  <c r="L835" i="3"/>
  <c r="N211" i="3"/>
  <c r="M1133" i="3"/>
  <c r="N1776" i="3"/>
  <c r="M2036" i="3"/>
  <c r="M379" i="3"/>
  <c r="M1845" i="3"/>
  <c r="N251" i="3"/>
  <c r="M2141" i="3"/>
  <c r="M940" i="3"/>
  <c r="N1535" i="3"/>
  <c r="N221" i="3"/>
  <c r="N400" i="3"/>
  <c r="M888" i="3"/>
  <c r="M1034" i="3"/>
  <c r="M1218" i="3"/>
  <c r="M604" i="3"/>
  <c r="N436" i="3"/>
  <c r="N562" i="3"/>
  <c r="M1896" i="3"/>
  <c r="N1872" i="3"/>
  <c r="M2535" i="3"/>
  <c r="N821" i="3"/>
  <c r="N446" i="3"/>
  <c r="M2449" i="3"/>
  <c r="N370" i="3"/>
  <c r="N659" i="3"/>
  <c r="L1020" i="3"/>
  <c r="M2465" i="3"/>
  <c r="L254" i="3"/>
  <c r="L2309" i="3"/>
  <c r="N1882" i="3"/>
  <c r="M515" i="3"/>
  <c r="L241" i="3"/>
  <c r="M1787" i="3"/>
  <c r="M835" i="3"/>
  <c r="L863" i="3"/>
  <c r="L2511" i="3"/>
  <c r="N1943" i="3"/>
  <c r="M2483" i="3"/>
  <c r="M1022" i="3"/>
  <c r="M363" i="3"/>
  <c r="L1074" i="3"/>
  <c r="N606" i="3"/>
  <c r="M380" i="3"/>
  <c r="N701" i="3"/>
  <c r="N427" i="3"/>
  <c r="L1252" i="3"/>
  <c r="M2388" i="3"/>
  <c r="L213" i="3"/>
  <c r="N1056" i="3"/>
  <c r="L436" i="3"/>
  <c r="N1925" i="3"/>
  <c r="N1959" i="3"/>
  <c r="M1873" i="3"/>
  <c r="L1347" i="3"/>
  <c r="N1524" i="3"/>
  <c r="L1320" i="3"/>
  <c r="L875" i="3"/>
  <c r="L111" i="3"/>
  <c r="L2028" i="3"/>
  <c r="N1598" i="3"/>
  <c r="L661" i="3"/>
  <c r="P1929" i="3"/>
  <c r="N1265" i="3"/>
  <c r="M479" i="3"/>
  <c r="N2336" i="3"/>
  <c r="N1426" i="3"/>
  <c r="L1505" i="3"/>
  <c r="L1945" i="3"/>
  <c r="M1063" i="3"/>
  <c r="L796" i="3"/>
  <c r="N1956" i="3"/>
  <c r="L164" i="3"/>
  <c r="N2316" i="3"/>
  <c r="L2038" i="3"/>
  <c r="N605" i="3"/>
  <c r="N849" i="3"/>
  <c r="M151" i="3"/>
  <c r="M1190" i="3"/>
  <c r="N110" i="3"/>
  <c r="L1578" i="3"/>
  <c r="L210" i="3"/>
  <c r="L497" i="3"/>
  <c r="M1535" i="3"/>
  <c r="N534" i="3"/>
  <c r="L1387" i="3"/>
  <c r="M1021" i="3"/>
  <c r="L1217" i="3"/>
  <c r="L1442" i="3"/>
  <c r="N762" i="3"/>
  <c r="L1021" i="3"/>
  <c r="N516" i="3"/>
  <c r="M497" i="3"/>
  <c r="M1411" i="3"/>
  <c r="N603" i="3"/>
  <c r="M821" i="3"/>
  <c r="N136" i="3"/>
  <c r="L446" i="3"/>
  <c r="N1233" i="3"/>
  <c r="M1546" i="3"/>
  <c r="N2481" i="3"/>
  <c r="M1629" i="3"/>
  <c r="N1179" i="3"/>
  <c r="M1798" i="3"/>
  <c r="M1514" i="3"/>
  <c r="M364" i="3"/>
  <c r="N1115" i="3"/>
  <c r="L1882" i="3"/>
  <c r="M402" i="3"/>
  <c r="N563" i="3"/>
  <c r="M2026" i="3"/>
  <c r="M1847" i="3"/>
  <c r="M222" i="3"/>
  <c r="L550" i="3"/>
  <c r="M2186" i="3"/>
  <c r="L606" i="3"/>
  <c r="N316" i="3"/>
  <c r="M614" i="3"/>
  <c r="M701" i="3"/>
  <c r="M427" i="3"/>
  <c r="L2388" i="3"/>
  <c r="N213" i="3"/>
  <c r="N785" i="3"/>
  <c r="M201" i="3"/>
  <c r="M900" i="3"/>
  <c r="L865" i="3"/>
  <c r="N775" i="3"/>
  <c r="N1815" i="3"/>
  <c r="L958" i="3"/>
  <c r="M752" i="3"/>
  <c r="N1036" i="3"/>
  <c r="L381" i="3"/>
  <c r="L2102" i="3"/>
  <c r="L96" i="3"/>
  <c r="N1561" i="3"/>
  <c r="N834" i="3"/>
  <c r="M1157" i="3"/>
  <c r="L2131" i="3"/>
  <c r="M191" i="3"/>
  <c r="L364" i="3"/>
  <c r="M1233" i="3"/>
  <c r="L561" i="3"/>
  <c r="M426" i="3"/>
  <c r="N916" i="3"/>
  <c r="L1571" i="3"/>
  <c r="N1125" i="3"/>
  <c r="N783" i="3"/>
  <c r="L1533" i="3"/>
  <c r="L2415" i="3"/>
  <c r="M2464" i="3"/>
  <c r="L2037" i="3"/>
  <c r="N1217" i="3"/>
  <c r="N550" i="3"/>
  <c r="L1896" i="3"/>
  <c r="L1815" i="3"/>
  <c r="M1251" i="3"/>
  <c r="L821" i="3"/>
  <c r="M446" i="3"/>
  <c r="N624" i="3"/>
  <c r="N2101" i="3"/>
  <c r="P1928" i="3"/>
  <c r="N1938" i="3"/>
  <c r="N1778" i="3"/>
  <c r="L488" i="3"/>
  <c r="M1597" i="3"/>
  <c r="M1115" i="3"/>
  <c r="M1348" i="3"/>
  <c r="M1882" i="3"/>
  <c r="L1669" i="3"/>
  <c r="M563" i="3"/>
  <c r="L1545" i="3"/>
  <c r="L326" i="3"/>
  <c r="M489" i="3"/>
  <c r="L1599" i="3"/>
  <c r="L1799" i="3"/>
  <c r="N191" i="3"/>
  <c r="M777" i="3"/>
  <c r="N972" i="3"/>
  <c r="M543" i="3"/>
  <c r="M606" i="3"/>
  <c r="L1629" i="3"/>
  <c r="L701" i="3"/>
  <c r="L427" i="3"/>
  <c r="L849" i="3"/>
  <c r="N151" i="3"/>
  <c r="N1170" i="3"/>
  <c r="L1534" i="3"/>
  <c r="M1973" i="3"/>
  <c r="M1834" i="3"/>
  <c r="L633" i="3"/>
  <c r="L819" i="3"/>
  <c r="M2335" i="3"/>
  <c r="N326" i="3"/>
  <c r="L1612" i="3"/>
  <c r="M505" i="3"/>
  <c r="L1986" i="3"/>
  <c r="L1045" i="3"/>
  <c r="M2351" i="3"/>
  <c r="N1022" i="3"/>
  <c r="N544" i="3"/>
  <c r="L2512" i="3"/>
  <c r="L1220" i="3"/>
  <c r="N497" i="3"/>
  <c r="L2103" i="3"/>
  <c r="M716" i="3"/>
  <c r="L1894" i="3"/>
  <c r="L2171" i="3"/>
  <c r="M916" i="3"/>
  <c r="L1125" i="3"/>
  <c r="N1413" i="3"/>
  <c r="M603" i="3"/>
  <c r="L939" i="3"/>
  <c r="L2431" i="3"/>
  <c r="L1411" i="3"/>
  <c r="M1073" i="3"/>
  <c r="N2206" i="3"/>
  <c r="N134" i="3"/>
  <c r="N929" i="3"/>
  <c r="L1942" i="3"/>
  <c r="L646" i="3"/>
  <c r="L2141" i="3"/>
  <c r="N1922" i="3"/>
  <c r="M889" i="3"/>
  <c r="N2511" i="3"/>
  <c r="L402" i="3"/>
  <c r="L222" i="3"/>
  <c r="N958" i="3"/>
  <c r="L112" i="3"/>
  <c r="M2315" i="3"/>
  <c r="L338" i="3"/>
  <c r="M972" i="3"/>
  <c r="L543" i="3"/>
  <c r="M202" i="3"/>
  <c r="N2525" i="3"/>
  <c r="L1579" i="3"/>
  <c r="N1539" i="3"/>
  <c r="L563" i="3"/>
  <c r="N932" i="3"/>
  <c r="M2027" i="3"/>
  <c r="N2027" i="3"/>
  <c r="M1459" i="3"/>
  <c r="N1220" i="3"/>
  <c r="L777" i="3"/>
  <c r="L2054" i="3"/>
  <c r="N1234" i="3"/>
  <c r="M1547" i="3"/>
  <c r="N2053" i="3"/>
  <c r="N535" i="3"/>
  <c r="M2117" i="3"/>
  <c r="N915" i="3"/>
  <c r="N231" i="3"/>
  <c r="N1318" i="3"/>
  <c r="N1627" i="3"/>
  <c r="N887" i="3"/>
  <c r="N402" i="3"/>
  <c r="N1101" i="3"/>
  <c r="L1218" i="3"/>
  <c r="L252" i="3"/>
  <c r="N472" i="3"/>
  <c r="M1799" i="3"/>
  <c r="M2187" i="3"/>
  <c r="N1613" i="3"/>
  <c r="L2317" i="3"/>
  <c r="M544" i="3"/>
  <c r="N2164" i="3"/>
  <c r="N98" i="3"/>
  <c r="N2028" i="3"/>
  <c r="L603" i="3"/>
  <c r="N2450" i="3"/>
  <c r="N1541" i="3"/>
  <c r="L916" i="3"/>
  <c r="N1571" i="3"/>
  <c r="M1125" i="3"/>
  <c r="M1061" i="3"/>
  <c r="N1327" i="3"/>
  <c r="L750" i="3"/>
  <c r="N614" i="3"/>
  <c r="N1273" i="3"/>
  <c r="M231" i="3"/>
  <c r="M2402" i="3"/>
  <c r="N127" i="3"/>
  <c r="N1569" i="3"/>
  <c r="M550" i="3"/>
  <c r="N489" i="3"/>
  <c r="N750" i="3"/>
  <c r="N1362" i="3"/>
  <c r="M210" i="3"/>
  <c r="M887" i="3"/>
  <c r="N1786" i="3"/>
  <c r="L1265" i="3"/>
  <c r="L2525" i="3"/>
  <c r="L1938" i="3"/>
  <c r="N1560" i="3"/>
  <c r="L2387" i="3"/>
  <c r="M1778" i="3"/>
  <c r="L1973" i="3"/>
  <c r="N2353" i="3"/>
  <c r="M1158" i="3"/>
  <c r="L1232" i="3"/>
  <c r="L1475" i="3"/>
  <c r="M932" i="3"/>
  <c r="N795" i="3"/>
  <c r="N1847" i="3"/>
  <c r="M1045" i="3"/>
  <c r="N366" i="3"/>
  <c r="M471" i="3"/>
  <c r="L1397" i="3"/>
  <c r="N777" i="3"/>
  <c r="L2027" i="3"/>
  <c r="M1234" i="3"/>
  <c r="L1275" i="3"/>
  <c r="L1547" i="3"/>
  <c r="N164" i="3"/>
  <c r="L1561" i="3"/>
  <c r="M1056" i="3"/>
  <c r="M1099" i="3"/>
  <c r="L1318" i="3"/>
  <c r="M1545" i="3"/>
  <c r="N2180" i="3"/>
  <c r="L1922" i="3"/>
  <c r="N1684" i="3"/>
  <c r="M1959" i="3"/>
  <c r="N469" i="3"/>
  <c r="L1101" i="3"/>
  <c r="N796" i="3"/>
  <c r="M472" i="3"/>
  <c r="N2187" i="3"/>
  <c r="N318" i="3"/>
  <c r="L735" i="3"/>
  <c r="N1099" i="3"/>
  <c r="L2224" i="3"/>
  <c r="L2449" i="3"/>
  <c r="L544" i="3"/>
  <c r="N672" i="3"/>
  <c r="N1629" i="3"/>
  <c r="M1252" i="3"/>
  <c r="L2315" i="3"/>
  <c r="N741" i="3"/>
  <c r="M1148" i="3"/>
  <c r="M1872" i="3"/>
  <c r="L1204" i="3"/>
  <c r="M958" i="3"/>
  <c r="L2241" i="3"/>
  <c r="N686" i="3"/>
  <c r="N1427" i="3"/>
  <c r="N496" i="3"/>
  <c r="L1929" i="3"/>
  <c r="L972" i="3"/>
  <c r="M2450" i="3"/>
  <c r="M1347" i="3"/>
  <c r="L401" i="3"/>
  <c r="M949" i="3"/>
  <c r="M1179" i="3"/>
  <c r="L1541" i="3"/>
  <c r="L2465" i="3"/>
  <c r="M98" i="3"/>
  <c r="L1615" i="3"/>
  <c r="L220" i="3"/>
  <c r="N1167" i="3"/>
  <c r="N2351" i="3"/>
  <c r="N1074" i="3"/>
  <c r="M2241" i="3"/>
  <c r="N864" i="3"/>
  <c r="M971" i="3"/>
  <c r="M1375" i="3"/>
  <c r="N363" i="3"/>
  <c r="L505" i="3"/>
  <c r="L1833" i="3"/>
  <c r="M211" i="3"/>
  <c r="L127" i="3"/>
  <c r="M177" i="3"/>
  <c r="N1100" i="3"/>
  <c r="L471" i="3"/>
  <c r="L1825" i="3"/>
  <c r="N112" i="3"/>
  <c r="L2386" i="3"/>
  <c r="L2483" i="3"/>
  <c r="N2026" i="3"/>
  <c r="N835" i="3"/>
  <c r="M2038" i="3"/>
  <c r="L700" i="3"/>
  <c r="M864" i="3"/>
  <c r="N254" i="3"/>
  <c r="M890" i="3"/>
  <c r="M1058" i="3"/>
  <c r="L1249" i="3"/>
  <c r="L2353" i="3"/>
  <c r="M514" i="3"/>
  <c r="M1503" i="3"/>
  <c r="M524" i="3"/>
  <c r="M1475" i="3"/>
  <c r="M366" i="3"/>
  <c r="M2414" i="3"/>
  <c r="L1640" i="3"/>
  <c r="L515" i="3"/>
  <c r="M939" i="3"/>
  <c r="L1427" i="3"/>
  <c r="M1612" i="3"/>
  <c r="N2317" i="3"/>
  <c r="N939" i="3"/>
  <c r="M626" i="3"/>
  <c r="M1290" i="3"/>
  <c r="L1504" i="3"/>
  <c r="M941" i="3"/>
  <c r="M1376" i="3"/>
  <c r="L1787" i="3"/>
  <c r="N1834" i="3"/>
  <c r="M1159" i="3"/>
  <c r="L1925" i="3"/>
  <c r="M699" i="3"/>
  <c r="N1873" i="3"/>
  <c r="L783" i="3"/>
  <c r="L1264" i="3"/>
  <c r="N1320" i="3"/>
  <c r="N1825" i="3"/>
  <c r="M534" i="3"/>
  <c r="N190" i="3"/>
  <c r="N2103" i="3"/>
  <c r="L2308" i="3"/>
  <c r="L2450" i="3"/>
  <c r="L1375" i="3"/>
  <c r="L1832" i="3"/>
  <c r="M1541" i="3"/>
  <c r="N971" i="3"/>
  <c r="N1944" i="3"/>
  <c r="M1413" i="3"/>
  <c r="N1615" i="3"/>
  <c r="N1020" i="3"/>
  <c r="N1442" i="3"/>
  <c r="N1113" i="3"/>
  <c r="N1157" i="3"/>
  <c r="L684" i="3"/>
  <c r="N2141" i="3"/>
  <c r="L451" i="3"/>
  <c r="L1535" i="3"/>
  <c r="M1057" i="3"/>
  <c r="N2309" i="3"/>
  <c r="N2431" i="3"/>
  <c r="M683" i="3"/>
  <c r="N865" i="3"/>
  <c r="N1787" i="3"/>
  <c r="N1896" i="3"/>
  <c r="N176" i="3"/>
  <c r="N1251" i="3"/>
  <c r="M112" i="3"/>
  <c r="L2186" i="3"/>
  <c r="M1717" i="3"/>
  <c r="M2403" i="3"/>
  <c r="N716" i="3"/>
  <c r="M2317" i="3"/>
  <c r="L864" i="3"/>
  <c r="L672" i="3"/>
  <c r="M660" i="3"/>
  <c r="N426" i="3"/>
  <c r="M254" i="3"/>
  <c r="L890" i="3"/>
  <c r="L1058" i="3"/>
  <c r="M1833" i="3"/>
  <c r="L1115" i="3"/>
  <c r="L1177" i="3"/>
  <c r="M220" i="3"/>
  <c r="M2448" i="3"/>
  <c r="M1578" i="3"/>
  <c r="L752" i="3"/>
  <c r="N660" i="3"/>
  <c r="N1547" i="3"/>
  <c r="N1999" i="3"/>
  <c r="M672" i="3"/>
  <c r="L626" i="3"/>
  <c r="N2465" i="3"/>
  <c r="L98" i="3"/>
  <c r="M213" i="3"/>
  <c r="L941" i="3"/>
  <c r="M1971" i="3"/>
  <c r="M1037" i="3"/>
  <c r="L2055" i="3"/>
  <c r="L1834" i="3"/>
  <c r="L1786" i="3"/>
  <c r="L1159" i="3"/>
  <c r="N1348" i="3"/>
  <c r="L900" i="3"/>
  <c r="L1873" i="3"/>
  <c r="M2511" i="3"/>
  <c r="M1320" i="3"/>
  <c r="L660" i="3"/>
  <c r="N1087" i="3"/>
  <c r="L2484" i="3"/>
  <c r="L1221" i="3"/>
  <c r="N1428" i="3"/>
  <c r="M318" i="3"/>
  <c r="L1292" i="3"/>
  <c r="M1613" i="3"/>
  <c r="I1351" i="3"/>
  <c r="M1350" i="3"/>
  <c r="L1350" i="3"/>
  <c r="N1350" i="3"/>
  <c r="N1580" i="3"/>
  <c r="N1252" i="3"/>
  <c r="I3103" i="3"/>
  <c r="N957" i="3"/>
  <c r="N950" i="3"/>
  <c r="L1598" i="3"/>
  <c r="M737" i="3"/>
  <c r="N1290" i="3"/>
  <c r="P1930" i="3"/>
  <c r="L717" i="3"/>
  <c r="M2102" i="3"/>
  <c r="L2403" i="3"/>
  <c r="N752" i="3"/>
  <c r="I1720" i="3"/>
  <c r="M1719" i="3"/>
  <c r="N1719" i="3"/>
  <c r="L1719" i="3"/>
  <c r="L339" i="3"/>
  <c r="N633" i="3"/>
  <c r="I1365" i="3"/>
  <c r="N1364" i="3"/>
  <c r="M1364" i="3"/>
  <c r="L1364" i="3"/>
  <c r="M2165" i="3"/>
  <c r="N1459" i="3"/>
  <c r="M633" i="3"/>
  <c r="L1655" i="3"/>
  <c r="L1560" i="3"/>
  <c r="N487" i="3"/>
  <c r="L2240" i="3"/>
  <c r="I1750" i="3"/>
  <c r="M1749" i="3"/>
  <c r="L1749" i="3"/>
  <c r="N1749" i="3"/>
  <c r="N403" i="3"/>
  <c r="M252" i="3"/>
  <c r="N1328" i="3"/>
  <c r="N2052" i="3"/>
  <c r="N930" i="3"/>
  <c r="L915" i="3"/>
  <c r="N1540" i="3"/>
  <c r="L202" i="3"/>
  <c r="N973" i="3"/>
  <c r="L318" i="3"/>
  <c r="M1670" i="3"/>
  <c r="M1101" i="3"/>
  <c r="L479" i="3"/>
  <c r="M1020" i="3"/>
  <c r="L1524" i="3"/>
  <c r="L1847" i="3"/>
  <c r="N1628" i="3"/>
  <c r="N890" i="3"/>
  <c r="M2525" i="3"/>
  <c r="M1533" i="3"/>
  <c r="M1523" i="3"/>
  <c r="N604" i="3"/>
  <c r="M1880" i="3"/>
  <c r="M1640" i="3"/>
  <c r="N203" i="3"/>
  <c r="L662" i="3"/>
  <c r="L2505" i="3"/>
  <c r="I167" i="3"/>
  <c r="N166" i="3"/>
  <c r="M166" i="3"/>
  <c r="L166" i="3"/>
  <c r="N648" i="3"/>
  <c r="M837" i="3"/>
  <c r="I1735" i="3"/>
  <c r="I2320" i="3"/>
  <c r="N2319" i="3"/>
  <c r="M2319" i="3"/>
  <c r="L2319" i="3"/>
  <c r="M535" i="3"/>
  <c r="L1984" i="3"/>
  <c r="L2404" i="3"/>
  <c r="L1055" i="3"/>
  <c r="L2223" i="3"/>
  <c r="M163" i="3"/>
  <c r="M1036" i="3"/>
  <c r="L1880" i="3"/>
  <c r="M2039" i="3"/>
  <c r="M1999" i="3"/>
  <c r="N1546" i="3"/>
  <c r="N661" i="3"/>
  <c r="M2404" i="3"/>
  <c r="M445" i="3"/>
  <c r="M2029" i="3"/>
  <c r="N192" i="3"/>
  <c r="L371" i="3"/>
  <c r="N1826" i="3"/>
  <c r="I492" i="3"/>
  <c r="N491" i="3"/>
  <c r="M491" i="3"/>
  <c r="L491" i="3"/>
  <c r="M1292" i="3"/>
  <c r="L437" i="3"/>
  <c r="M1580" i="3"/>
  <c r="I2174" i="3"/>
  <c r="N2173" i="3"/>
  <c r="L2173" i="3"/>
  <c r="I852" i="3"/>
  <c r="M851" i="3"/>
  <c r="L851" i="3"/>
  <c r="N851" i="3"/>
  <c r="M2206" i="3"/>
  <c r="L480" i="3"/>
  <c r="N1266" i="3"/>
  <c r="L1999" i="3"/>
  <c r="L1930" i="3"/>
  <c r="M717" i="3"/>
  <c r="M2028" i="3"/>
  <c r="I1802" i="3"/>
  <c r="M1801" i="3"/>
  <c r="L1801" i="3"/>
  <c r="N1801" i="3"/>
  <c r="I961" i="3"/>
  <c r="N960" i="3"/>
  <c r="L960" i="3"/>
  <c r="M960" i="3"/>
  <c r="N1746" i="3"/>
  <c r="L514" i="3"/>
  <c r="N1895" i="3"/>
  <c r="M400" i="3"/>
  <c r="M865" i="3"/>
  <c r="M929" i="3"/>
  <c r="M2055" i="3"/>
  <c r="I2805" i="3"/>
  <c r="L1063" i="3"/>
  <c r="M2484" i="3"/>
  <c r="L472" i="3"/>
  <c r="L428" i="3"/>
  <c r="N428" i="3"/>
  <c r="M428" i="3"/>
  <c r="I429" i="3"/>
  <c r="N2038" i="3"/>
  <c r="M164" i="3"/>
  <c r="L1523" i="3"/>
  <c r="M728" i="3"/>
  <c r="M1615" i="3"/>
  <c r="L734" i="3"/>
  <c r="M1346" i="3"/>
  <c r="N542" i="3"/>
  <c r="I1812" i="3"/>
  <c r="L260" i="3"/>
  <c r="I1791" i="3"/>
  <c r="N1790" i="3"/>
  <c r="L1790" i="3"/>
  <c r="M1790" i="3"/>
  <c r="M2243" i="3"/>
  <c r="I800" i="3"/>
  <c r="M799" i="3"/>
  <c r="L799" i="3"/>
  <c r="N799" i="3"/>
  <c r="M1591" i="3"/>
  <c r="M1556" i="3"/>
  <c r="L1562" i="3"/>
  <c r="M1832" i="3"/>
  <c r="N381" i="3"/>
  <c r="L2029" i="3"/>
  <c r="N2037" i="3"/>
  <c r="M2524" i="3"/>
  <c r="L1957" i="3"/>
  <c r="N1562" i="3"/>
  <c r="M1894" i="3"/>
  <c r="N2404" i="3"/>
  <c r="N396" i="3"/>
  <c r="N2029" i="3"/>
  <c r="M820" i="3"/>
  <c r="M685" i="3"/>
  <c r="L1670" i="3"/>
  <c r="M388" i="3"/>
  <c r="N2054" i="3"/>
  <c r="N1292" i="3"/>
  <c r="M437" i="3"/>
  <c r="I868" i="3"/>
  <c r="M867" i="3"/>
  <c r="L867" i="3"/>
  <c r="N867" i="3"/>
  <c r="N1515" i="3"/>
  <c r="L950" i="3"/>
  <c r="M2336" i="3"/>
  <c r="I2515" i="3"/>
  <c r="N2514" i="3"/>
  <c r="M2514" i="3"/>
  <c r="L2514" i="3"/>
  <c r="M480" i="3"/>
  <c r="I2583" i="3"/>
  <c r="L1716" i="3"/>
  <c r="N717" i="3"/>
  <c r="N1942" i="3"/>
  <c r="L741" i="3"/>
  <c r="L1639" i="3"/>
  <c r="N1599" i="3"/>
  <c r="N379" i="3"/>
  <c r="M469" i="3"/>
  <c r="L223" i="3"/>
  <c r="M741" i="3"/>
  <c r="L478" i="3"/>
  <c r="I3125" i="3"/>
  <c r="L516" i="3"/>
  <c r="N1063" i="3"/>
  <c r="L716" i="3"/>
  <c r="N2403" i="3"/>
  <c r="N2484" i="3"/>
  <c r="L938" i="3"/>
  <c r="M1035" i="3"/>
  <c r="M2353" i="3"/>
  <c r="N949" i="3"/>
  <c r="L1503" i="3"/>
  <c r="L1536" i="3"/>
  <c r="M1536" i="3"/>
  <c r="N1536" i="3"/>
  <c r="I1537" i="3"/>
  <c r="N2139" i="3"/>
  <c r="L2535" i="3"/>
  <c r="L1717" i="3"/>
  <c r="I392" i="3"/>
  <c r="M391" i="3"/>
  <c r="L391" i="3"/>
  <c r="N391" i="3"/>
  <c r="M930" i="3"/>
  <c r="N2225" i="3"/>
  <c r="L1233" i="3"/>
  <c r="N536" i="3"/>
  <c r="I589" i="3"/>
  <c r="I779" i="3"/>
  <c r="N778" i="3"/>
  <c r="M778" i="3"/>
  <c r="L778" i="3"/>
  <c r="I1884" i="3"/>
  <c r="N1883" i="3"/>
  <c r="L1883" i="3"/>
  <c r="M1883" i="3"/>
  <c r="I3251" i="3"/>
  <c r="I1940" i="3"/>
  <c r="N1939" i="3"/>
  <c r="L1939" i="3"/>
  <c r="I3383" i="3"/>
  <c r="I3039" i="3"/>
  <c r="I1127" i="3"/>
  <c r="M1126" i="3"/>
  <c r="L1126" i="3"/>
  <c r="N1126" i="3"/>
  <c r="M2139" i="3"/>
  <c r="L686" i="3"/>
  <c r="I1400" i="3"/>
  <c r="N1399" i="3"/>
  <c r="M1399" i="3"/>
  <c r="L1399" i="3"/>
  <c r="M326" i="3"/>
  <c r="N2464" i="3"/>
  <c r="N1747" i="3"/>
  <c r="L1075" i="3"/>
  <c r="N938" i="3"/>
  <c r="I3067" i="3"/>
  <c r="N1669" i="3"/>
  <c r="L2414" i="3"/>
  <c r="I577" i="3"/>
  <c r="N576" i="3"/>
  <c r="L2208" i="3"/>
  <c r="N1192" i="3"/>
  <c r="N451" i="3"/>
  <c r="N914" i="3"/>
  <c r="L1179" i="3"/>
  <c r="M1814" i="3"/>
  <c r="I3298" i="3"/>
  <c r="L2151" i="3"/>
  <c r="M1113" i="3"/>
  <c r="I384" i="3"/>
  <c r="M383" i="3"/>
  <c r="L383" i="3"/>
  <c r="N383" i="3"/>
  <c r="L1056" i="3"/>
  <c r="M1427" i="3"/>
  <c r="M1600" i="3"/>
  <c r="I1462" i="3"/>
  <c r="M1461" i="3"/>
  <c r="N1461" i="3"/>
  <c r="L1461" i="3"/>
  <c r="N471" i="3"/>
  <c r="N875" i="3"/>
  <c r="L251" i="3"/>
  <c r="M1747" i="3"/>
  <c r="L1711" i="3"/>
  <c r="N1881" i="3"/>
  <c r="I1309" i="3"/>
  <c r="M1177" i="3"/>
  <c r="I2296" i="3"/>
  <c r="M1389" i="3"/>
  <c r="N507" i="3"/>
  <c r="I3178" i="3"/>
  <c r="I2280" i="3"/>
  <c r="L1047" i="3"/>
  <c r="N2153" i="3"/>
  <c r="M527" i="3"/>
  <c r="M1077" i="3"/>
  <c r="I456" i="3"/>
  <c r="M455" i="3"/>
  <c r="L455" i="3"/>
  <c r="N455" i="3"/>
  <c r="L536" i="3"/>
  <c r="I3233" i="3"/>
  <c r="M2337" i="3"/>
  <c r="L1514" i="3"/>
  <c r="L462" i="3"/>
  <c r="I20" i="3"/>
  <c r="M19" i="3"/>
  <c r="L19" i="3"/>
  <c r="N19" i="3"/>
  <c r="L648" i="3"/>
  <c r="N635" i="3"/>
  <c r="N2537" i="3"/>
  <c r="I2002" i="3"/>
  <c r="N2001" i="3"/>
  <c r="M2001" i="3"/>
  <c r="L2001" i="3"/>
  <c r="N327" i="3"/>
  <c r="N1685" i="3"/>
  <c r="I1379" i="3"/>
  <c r="L1378" i="3"/>
  <c r="M1378" i="3"/>
  <c r="N1378" i="3"/>
  <c r="L2195" i="3"/>
  <c r="I2677" i="3"/>
  <c r="I2468" i="3"/>
  <c r="M2467" i="3"/>
  <c r="L2467" i="3"/>
  <c r="N2467" i="3"/>
  <c r="M232" i="3"/>
  <c r="N499" i="3"/>
  <c r="L1657" i="3"/>
  <c r="I1644" i="3"/>
  <c r="M1643" i="3"/>
  <c r="N1643" i="3"/>
  <c r="L1643" i="3"/>
  <c r="L673" i="3"/>
  <c r="L2318" i="3"/>
  <c r="I1025" i="3"/>
  <c r="N1024" i="3"/>
  <c r="L1024" i="3"/>
  <c r="M1024" i="3"/>
  <c r="L242" i="3"/>
  <c r="I2839" i="3"/>
  <c r="M902" i="3"/>
  <c r="I1090" i="3"/>
  <c r="N1089" i="3"/>
  <c r="L1556" i="3"/>
  <c r="N730" i="3"/>
  <c r="I703" i="3"/>
  <c r="N702" i="3"/>
  <c r="L702" i="3"/>
  <c r="M702" i="3"/>
  <c r="I565" i="3"/>
  <c r="L564" i="3"/>
  <c r="N564" i="3"/>
  <c r="M564" i="3"/>
  <c r="I138" i="3"/>
  <c r="N137" i="3"/>
  <c r="I823" i="3"/>
  <c r="N822" i="3"/>
  <c r="L822" i="3"/>
  <c r="M822" i="3"/>
  <c r="I1415" i="3"/>
  <c r="N1414" i="3"/>
  <c r="M1414" i="3"/>
  <c r="L1414" i="3"/>
  <c r="N1572" i="3"/>
  <c r="L1572" i="3"/>
  <c r="I1573" i="3"/>
  <c r="I3373" i="3"/>
  <c r="M819" i="3"/>
  <c r="L940" i="3"/>
  <c r="M2208" i="3"/>
  <c r="N1714" i="3"/>
  <c r="M1714" i="3"/>
  <c r="L1714" i="3"/>
  <c r="I1715" i="3"/>
  <c r="L363" i="3"/>
  <c r="L1473" i="3"/>
  <c r="M1631" i="3"/>
  <c r="N1631" i="3"/>
  <c r="L1631" i="3"/>
  <c r="I1632" i="3"/>
  <c r="I2656" i="3"/>
  <c r="M2225" i="3"/>
  <c r="M325" i="3"/>
  <c r="N1824" i="3"/>
  <c r="M662" i="3"/>
  <c r="M561" i="3"/>
  <c r="M443" i="3"/>
  <c r="N1600" i="3"/>
  <c r="L2026" i="3"/>
  <c r="N1123" i="3"/>
  <c r="L259" i="3"/>
  <c r="I47" i="3"/>
  <c r="N46" i="3"/>
  <c r="M46" i="3"/>
  <c r="L46" i="3"/>
  <c r="L533" i="3"/>
  <c r="N1133" i="3"/>
  <c r="L929" i="3"/>
  <c r="L316" i="3"/>
  <c r="M251" i="3"/>
  <c r="L380" i="3"/>
  <c r="I1391" i="3"/>
  <c r="N1390" i="3"/>
  <c r="M1390" i="3"/>
  <c r="L1390" i="3"/>
  <c r="N2310" i="3"/>
  <c r="M1047" i="3"/>
  <c r="L2153" i="3"/>
  <c r="N528" i="3"/>
  <c r="M528" i="3"/>
  <c r="L528" i="3"/>
  <c r="I529" i="3"/>
  <c r="N1077" i="3"/>
  <c r="N1444" i="3"/>
  <c r="M536" i="3"/>
  <c r="I2435" i="3"/>
  <c r="N2434" i="3"/>
  <c r="M2434" i="3"/>
  <c r="L2434" i="3"/>
  <c r="L552" i="3"/>
  <c r="N2337" i="3"/>
  <c r="L2243" i="3"/>
  <c r="N1094" i="3"/>
  <c r="N462" i="3"/>
  <c r="I3269" i="3"/>
  <c r="M648" i="3"/>
  <c r="I879" i="3"/>
  <c r="L878" i="3"/>
  <c r="N878" i="3"/>
  <c r="M878" i="3"/>
  <c r="L1685" i="3"/>
  <c r="L837" i="3"/>
  <c r="M2195" i="3"/>
  <c r="I1137" i="3"/>
  <c r="M1136" i="3"/>
  <c r="L1136" i="3"/>
  <c r="N1136" i="3"/>
  <c r="N232" i="3"/>
  <c r="M1657" i="3"/>
  <c r="N179" i="3"/>
  <c r="M673" i="3"/>
  <c r="M2318" i="3"/>
  <c r="N373" i="3"/>
  <c r="M373" i="3"/>
  <c r="L373" i="3"/>
  <c r="I374" i="3"/>
  <c r="M1816" i="3"/>
  <c r="N902" i="3"/>
  <c r="I1673" i="3"/>
  <c r="N1672" i="3"/>
  <c r="L1672" i="3"/>
  <c r="M1672" i="3"/>
  <c r="I732" i="3"/>
  <c r="N731" i="3"/>
  <c r="M731" i="3"/>
  <c r="L731" i="3"/>
  <c r="I1507" i="3"/>
  <c r="N1506" i="3"/>
  <c r="M1506" i="3"/>
  <c r="L1506" i="3"/>
  <c r="I1697" i="3"/>
  <c r="I3287" i="3"/>
  <c r="I215" i="3"/>
  <c r="N214" i="3"/>
  <c r="M214" i="3"/>
  <c r="L214" i="3"/>
  <c r="I628" i="3"/>
  <c r="N627" i="3"/>
  <c r="M627" i="3"/>
  <c r="L627" i="3"/>
  <c r="I2818" i="3"/>
  <c r="I2090" i="3"/>
  <c r="I2874" i="3"/>
  <c r="L1398" i="3"/>
  <c r="N759" i="3"/>
  <c r="N1319" i="3"/>
  <c r="L85" i="3"/>
  <c r="N573" i="3"/>
  <c r="M1291" i="3"/>
  <c r="M2431" i="3"/>
  <c r="M62" i="3"/>
  <c r="L435" i="3"/>
  <c r="M786" i="3"/>
  <c r="I1194" i="3"/>
  <c r="M1193" i="3"/>
  <c r="L1193" i="3"/>
  <c r="N1193" i="3"/>
  <c r="M2512" i="3"/>
  <c r="N479" i="3"/>
  <c r="L2225" i="3"/>
  <c r="N1929" i="3"/>
  <c r="M382" i="3"/>
  <c r="N662" i="3"/>
  <c r="N2523" i="3"/>
  <c r="L753" i="3"/>
  <c r="L191" i="3"/>
  <c r="N1375" i="3"/>
  <c r="L1362" i="3"/>
  <c r="M1871" i="3"/>
  <c r="I1602" i="3"/>
  <c r="N1601" i="3"/>
  <c r="M1601" i="3"/>
  <c r="L1601" i="3"/>
  <c r="L1460" i="3"/>
  <c r="M1525" i="3"/>
  <c r="N1503" i="3"/>
  <c r="N45" i="3"/>
  <c r="L62" i="3"/>
  <c r="L1970" i="3"/>
  <c r="L1998" i="3"/>
  <c r="L1985" i="3"/>
  <c r="M1038" i="3"/>
  <c r="M253" i="3"/>
  <c r="I509" i="3"/>
  <c r="L508" i="3"/>
  <c r="N508" i="3"/>
  <c r="M508" i="3"/>
  <c r="N99" i="3"/>
  <c r="I413" i="3"/>
  <c r="L240" i="3"/>
  <c r="M1958" i="3"/>
  <c r="N388" i="3"/>
  <c r="L534" i="3"/>
  <c r="L1684" i="3"/>
  <c r="L2497" i="3"/>
  <c r="L1971" i="3"/>
  <c r="L1881" i="3"/>
  <c r="L542" i="3"/>
  <c r="N1655" i="3"/>
  <c r="M1114" i="3"/>
  <c r="L150" i="3"/>
  <c r="L784" i="3"/>
  <c r="L1388" i="3"/>
  <c r="N1037" i="3"/>
  <c r="M735" i="3"/>
  <c r="M796" i="3"/>
  <c r="M516" i="3"/>
  <c r="N1376" i="3"/>
  <c r="N1218" i="3"/>
  <c r="L29" i="3"/>
  <c r="L506" i="3"/>
  <c r="N2140" i="3"/>
  <c r="M150" i="3"/>
  <c r="N97" i="3"/>
  <c r="L2140" i="3"/>
  <c r="N1264" i="3"/>
  <c r="L1062" i="3"/>
  <c r="L2170" i="3"/>
  <c r="N533" i="3"/>
  <c r="L1554" i="3"/>
  <c r="L836" i="3"/>
  <c r="M2242" i="3"/>
  <c r="N715" i="3"/>
  <c r="M1712" i="3"/>
  <c r="N1346" i="3"/>
  <c r="L1037" i="3"/>
  <c r="N2132" i="3"/>
  <c r="L1943" i="3"/>
  <c r="L1376" i="3"/>
  <c r="N1169" i="3"/>
  <c r="N940" i="3"/>
  <c r="M1217" i="3"/>
  <c r="N514" i="3"/>
  <c r="N3" i="3"/>
  <c r="M784" i="3"/>
  <c r="M15" i="3"/>
  <c r="N1062" i="3"/>
  <c r="N2036" i="3"/>
  <c r="M729" i="3"/>
  <c r="N1093" i="3"/>
  <c r="N461" i="3"/>
  <c r="N2240" i="3"/>
  <c r="L1046" i="3"/>
  <c r="N524" i="3"/>
  <c r="L948" i="3"/>
  <c r="M1746" i="3"/>
  <c r="N819" i="3"/>
  <c r="M1062" i="3"/>
  <c r="L1396" i="3"/>
  <c r="M1998" i="3"/>
  <c r="N970" i="3"/>
  <c r="L729" i="3"/>
  <c r="L1093" i="3"/>
  <c r="M461" i="3"/>
  <c r="M1669" i="3"/>
  <c r="M1274" i="3"/>
  <c r="N212" i="3"/>
  <c r="M124" i="3"/>
  <c r="M1777" i="3"/>
  <c r="N1614" i="3"/>
  <c r="N1021" i="3"/>
  <c r="L888" i="3"/>
  <c r="L2207" i="3"/>
  <c r="N900" i="3"/>
  <c r="N729" i="3"/>
  <c r="N2242" i="3"/>
  <c r="M1093" i="3"/>
  <c r="L461" i="3"/>
  <c r="L1824" i="3"/>
  <c r="M700" i="3"/>
  <c r="N1683" i="3"/>
  <c r="M2131" i="3"/>
  <c r="M1972" i="3"/>
  <c r="M452" i="3"/>
  <c r="L317" i="3"/>
  <c r="M444" i="3"/>
  <c r="N820" i="3"/>
  <c r="M1589" i="3"/>
  <c r="N389" i="3"/>
  <c r="L1872" i="3"/>
  <c r="M1250" i="3"/>
  <c r="L1474" i="3"/>
  <c r="L1747" i="3"/>
  <c r="M250" i="3"/>
  <c r="N1250" i="3"/>
  <c r="M615" i="3"/>
  <c r="M2240" i="3"/>
  <c r="N1057" i="3"/>
  <c r="M1534" i="3"/>
  <c r="N1513" i="3"/>
  <c r="N1035" i="3"/>
  <c r="L914" i="3"/>
  <c r="N1191" i="3"/>
  <c r="N1712" i="3"/>
  <c r="M1387" i="3"/>
  <c r="N2193" i="3"/>
  <c r="L498" i="3"/>
  <c r="M470" i="3"/>
  <c r="M1985" i="3"/>
  <c r="N2194" i="3"/>
  <c r="M2185" i="3"/>
  <c r="N634" i="3"/>
  <c r="L230" i="3"/>
  <c r="L1251" i="3"/>
  <c r="M914" i="3"/>
  <c r="L2536" i="3"/>
  <c r="L2036" i="3"/>
  <c r="M1539" i="3"/>
  <c r="L1149" i="3"/>
  <c r="M2052" i="3"/>
  <c r="L496" i="3"/>
  <c r="N1590" i="3"/>
  <c r="M948" i="3"/>
  <c r="M370" i="3"/>
  <c r="N84" i="3"/>
  <c r="N1985" i="3"/>
  <c r="N517" i="3"/>
  <c r="L604" i="3"/>
  <c r="M1249" i="3"/>
  <c r="N1177" i="3"/>
  <c r="N1589" i="3"/>
  <c r="M2482" i="3"/>
  <c r="L1570" i="3"/>
  <c r="N73" i="3"/>
  <c r="M647" i="3"/>
  <c r="N561" i="3"/>
  <c r="M751" i="3"/>
  <c r="L1944" i="3"/>
  <c r="N525" i="3"/>
  <c r="M671" i="3"/>
  <c r="M401" i="3"/>
  <c r="M30" i="3"/>
  <c r="M1599" i="3"/>
  <c r="L1958" i="3"/>
  <c r="M1881" i="3"/>
  <c r="N1114" i="3"/>
  <c r="L1123" i="3"/>
  <c r="N1178" i="3"/>
  <c r="M1388" i="3"/>
  <c r="L253" i="3"/>
  <c r="L1777" i="3"/>
  <c r="N2207" i="3"/>
  <c r="M1191" i="3"/>
  <c r="N1046" i="3"/>
  <c r="L525" i="3"/>
  <c r="M634" i="3"/>
  <c r="N1641" i="3"/>
  <c r="N1076" i="3"/>
  <c r="M517" i="3"/>
  <c r="M1554" i="3"/>
  <c r="N2134" i="3"/>
  <c r="L625" i="3"/>
  <c r="L614" i="3"/>
  <c r="N2102" i="3"/>
  <c r="M734" i="3"/>
  <c r="M2037" i="3"/>
  <c r="L1459" i="3"/>
  <c r="L2335" i="3"/>
  <c r="L126" i="3"/>
  <c r="M533" i="3"/>
  <c r="L2117" i="3"/>
  <c r="N1388" i="3"/>
  <c r="N253" i="3"/>
  <c r="M1442" i="3"/>
  <c r="N574" i="3"/>
  <c r="M1970" i="3"/>
  <c r="N1777" i="3"/>
  <c r="L434" i="3"/>
  <c r="M2207" i="3"/>
  <c r="M1412" i="3"/>
  <c r="L1191" i="3"/>
  <c r="L336" i="3"/>
  <c r="L2464" i="3"/>
  <c r="M1046" i="3"/>
  <c r="N671" i="3"/>
  <c r="N2402" i="3"/>
  <c r="L1178" i="3"/>
  <c r="L751" i="3"/>
  <c r="L647" i="3"/>
  <c r="M1123" i="3"/>
  <c r="M2132" i="3"/>
  <c r="L1443" i="3"/>
  <c r="L1035" i="3"/>
  <c r="L634" i="3"/>
  <c r="M2416" i="3"/>
  <c r="L1656" i="3"/>
  <c r="N150" i="3"/>
  <c r="N395" i="3"/>
  <c r="M2536" i="3"/>
  <c r="L1641" i="3"/>
  <c r="N901" i="3"/>
  <c r="M1134" i="3"/>
  <c r="N1545" i="3"/>
  <c r="M1824" i="3"/>
  <c r="M1076" i="3"/>
  <c r="L2193" i="3"/>
  <c r="N876" i="3"/>
  <c r="N178" i="3"/>
  <c r="N401" i="3"/>
  <c r="L444" i="3"/>
  <c r="L517" i="3"/>
  <c r="L1361" i="3"/>
  <c r="L163" i="3"/>
  <c r="L1036" i="3"/>
  <c r="N364" i="3"/>
  <c r="N1086" i="3"/>
  <c r="M1590" i="3"/>
  <c r="L110" i="3"/>
  <c r="M1942" i="3"/>
  <c r="N2186" i="3"/>
  <c r="M1092" i="3"/>
  <c r="N1640" i="3"/>
  <c r="M931" i="3"/>
  <c r="L1928" i="3"/>
  <c r="N734" i="3"/>
  <c r="N2055" i="3"/>
  <c r="N252" i="3"/>
  <c r="M2054" i="3"/>
  <c r="M2140" i="3"/>
  <c r="M212" i="3"/>
  <c r="L2448" i="3"/>
  <c r="N1412" i="3"/>
  <c r="N1124" i="3"/>
  <c r="L775" i="3"/>
  <c r="L1788" i="3"/>
  <c r="N453" i="3"/>
  <c r="L337" i="3"/>
  <c r="N2152" i="3"/>
  <c r="L469" i="3"/>
  <c r="M646" i="3"/>
  <c r="N526" i="3"/>
  <c r="N2416" i="3"/>
  <c r="L250" i="3"/>
  <c r="N742" i="3"/>
  <c r="L2432" i="3"/>
  <c r="N2118" i="3"/>
  <c r="L1845" i="3"/>
  <c r="M901" i="3"/>
  <c r="M460" i="3"/>
  <c r="L1134" i="3"/>
  <c r="N1249" i="3"/>
  <c r="L1076" i="3"/>
  <c r="M551" i="3"/>
  <c r="M2101" i="3"/>
  <c r="M876" i="3"/>
  <c r="M775" i="3"/>
  <c r="L178" i="3"/>
  <c r="L1746" i="3"/>
  <c r="L470" i="3"/>
  <c r="N488" i="3"/>
  <c r="L2506" i="3"/>
  <c r="M1786" i="3"/>
  <c r="M1178" i="3"/>
  <c r="M624" i="3"/>
  <c r="M1504" i="3"/>
  <c r="M2316" i="3"/>
  <c r="M61" i="3"/>
  <c r="L605" i="3"/>
  <c r="N1361" i="3"/>
  <c r="M2164" i="3"/>
  <c r="L1710" i="3"/>
  <c r="M776" i="3"/>
  <c r="N135" i="3"/>
  <c r="M1397" i="3"/>
  <c r="L1956" i="3"/>
  <c r="N1045" i="3"/>
  <c r="L1319" i="3"/>
  <c r="N29" i="3"/>
  <c r="N425" i="3"/>
  <c r="N2497" i="3"/>
  <c r="L2101" i="3"/>
  <c r="M96" i="3"/>
  <c r="M425" i="3"/>
  <c r="M2193" i="3"/>
  <c r="L2481" i="3"/>
  <c r="M1655" i="3"/>
  <c r="L212" i="3"/>
  <c r="L1412" i="3"/>
  <c r="L2242" i="3"/>
  <c r="M1124" i="3"/>
  <c r="L370" i="3"/>
  <c r="M1598" i="3"/>
  <c r="N2133" i="3"/>
  <c r="L624" i="3"/>
  <c r="M453" i="3"/>
  <c r="L2152" i="3"/>
  <c r="N647" i="3"/>
  <c r="N1971" i="3"/>
  <c r="M29" i="3"/>
  <c r="L526" i="3"/>
  <c r="L2416" i="3"/>
  <c r="N2131" i="3"/>
  <c r="L742" i="3"/>
  <c r="N1205" i="3"/>
  <c r="M684" i="3"/>
  <c r="N2536" i="3"/>
  <c r="N1533" i="3"/>
  <c r="L1871" i="3"/>
  <c r="M2118" i="3"/>
  <c r="N1798" i="3"/>
  <c r="L901" i="3"/>
  <c r="N2505" i="3"/>
  <c r="M957" i="3"/>
  <c r="L2499" i="3"/>
  <c r="L1597" i="3"/>
  <c r="L551" i="3"/>
  <c r="L1590" i="3"/>
  <c r="L876" i="3"/>
  <c r="M525" i="3"/>
  <c r="L125" i="3"/>
  <c r="N125" i="3"/>
  <c r="M2334" i="3"/>
  <c r="N2223" i="3"/>
  <c r="M2432" i="3"/>
  <c r="N1149" i="3"/>
  <c r="N2482" i="3"/>
  <c r="N1579" i="3"/>
  <c r="M1273" i="3"/>
  <c r="N1347" i="3"/>
  <c r="N445" i="3"/>
  <c r="L2498" i="3"/>
  <c r="N685" i="3"/>
  <c r="N111" i="3"/>
  <c r="M863" i="3"/>
  <c r="M875" i="3"/>
  <c r="N1936" i="3"/>
  <c r="N1833" i="3"/>
  <c r="M73" i="3"/>
  <c r="N889" i="3"/>
  <c r="L2334" i="3"/>
  <c r="N506" i="3"/>
  <c r="M1426" i="3"/>
  <c r="N1204" i="3"/>
  <c r="L1614" i="3"/>
  <c r="L1798" i="3"/>
  <c r="N836" i="3"/>
  <c r="L1539" i="3"/>
  <c r="L1124" i="3"/>
  <c r="N1232" i="3"/>
  <c r="M84" i="3"/>
  <c r="N797" i="3"/>
  <c r="L453" i="3"/>
  <c r="N17" i="3"/>
  <c r="M2152" i="3"/>
  <c r="M2194" i="3"/>
  <c r="L2523" i="3"/>
  <c r="M1943" i="3"/>
  <c r="N1443" i="3"/>
  <c r="M742" i="3"/>
  <c r="M1205" i="3"/>
  <c r="N784" i="3"/>
  <c r="N1396" i="3"/>
  <c r="N2432" i="3"/>
  <c r="L2118" i="3"/>
  <c r="N1134" i="3"/>
  <c r="M834" i="3"/>
  <c r="N2414" i="3"/>
  <c r="N1387" i="3"/>
  <c r="L190" i="3"/>
  <c r="M178" i="3"/>
  <c r="L1513" i="3"/>
  <c r="N735" i="3"/>
  <c r="L61" i="3"/>
  <c r="N760" i="3"/>
  <c r="N1656" i="3"/>
  <c r="N124" i="3"/>
  <c r="M434" i="3"/>
  <c r="N1612" i="3"/>
  <c r="N1928" i="3"/>
  <c r="M435" i="3"/>
  <c r="M1656" i="3"/>
  <c r="N250" i="3"/>
  <c r="L949" i="3"/>
  <c r="L74" i="3"/>
  <c r="M1275" i="3"/>
  <c r="N2483" i="3"/>
  <c r="N1832" i="3"/>
  <c r="M365" i="3"/>
  <c r="N1846" i="3"/>
  <c r="L715" i="3"/>
  <c r="M436" i="3"/>
  <c r="L1274" i="3"/>
  <c r="N444" i="3"/>
  <c r="M785" i="3"/>
  <c r="L2132" i="3"/>
  <c r="M506" i="3"/>
  <c r="M1614" i="3"/>
  <c r="N1716" i="3"/>
  <c r="M836" i="3"/>
  <c r="L2164" i="3"/>
  <c r="L957" i="3"/>
  <c r="L1712" i="3"/>
  <c r="N1710" i="3"/>
  <c r="N1814" i="3"/>
  <c r="N498" i="3"/>
  <c r="N201" i="3"/>
  <c r="M488" i="3"/>
  <c r="N61" i="3"/>
  <c r="M797" i="3"/>
  <c r="M1788" i="3"/>
  <c r="M17" i="3"/>
  <c r="L2194" i="3"/>
  <c r="L1569" i="3"/>
  <c r="M2481" i="3"/>
  <c r="M1443" i="3"/>
  <c r="M451" i="3"/>
  <c r="M526" i="3"/>
  <c r="N1970" i="3"/>
  <c r="N646" i="3"/>
  <c r="L1205" i="3"/>
  <c r="L1290" i="3"/>
  <c r="L2316" i="3"/>
  <c r="N888" i="3"/>
  <c r="N2506" i="3"/>
  <c r="L60" i="3"/>
  <c r="L2053" i="3"/>
  <c r="L176" i="3"/>
  <c r="N2499" i="3"/>
  <c r="N551" i="3"/>
  <c r="L1628" i="3"/>
  <c r="L1219" i="3"/>
  <c r="N1274" i="3"/>
  <c r="M221" i="3"/>
  <c r="N397" i="3"/>
  <c r="L17" i="3"/>
  <c r="M1627" i="3"/>
  <c r="M659" i="3"/>
  <c r="L1113" i="3"/>
  <c r="N2524" i="3"/>
  <c r="M1219" i="3"/>
  <c r="L460" i="3"/>
  <c r="L201" i="3"/>
  <c r="N1957" i="3"/>
  <c r="L2352" i="3"/>
  <c r="M1075" i="3"/>
  <c r="L2133" i="3"/>
  <c r="N96" i="3"/>
  <c r="L834" i="3"/>
  <c r="M498" i="3"/>
  <c r="N1570" i="3"/>
  <c r="L388" i="3"/>
  <c r="L221" i="3"/>
  <c r="L797" i="3"/>
  <c r="N1788" i="3"/>
  <c r="N1073" i="3"/>
  <c r="M1641" i="3"/>
  <c r="M1149" i="3"/>
  <c r="I2155" i="3"/>
  <c r="M2154" i="3"/>
  <c r="L2154" i="3"/>
  <c r="N2154" i="3"/>
  <c r="M454" i="3"/>
  <c r="L1444" i="3"/>
  <c r="N552" i="3"/>
  <c r="I1208" i="3"/>
  <c r="N1207" i="3"/>
  <c r="M1207" i="3"/>
  <c r="L1207" i="3"/>
  <c r="M1987" i="3"/>
  <c r="N2243" i="3"/>
  <c r="L1094" i="3"/>
  <c r="M18" i="3"/>
  <c r="I2690" i="3"/>
  <c r="I637" i="3"/>
  <c r="L636" i="3"/>
  <c r="N636" i="3"/>
  <c r="M636" i="3"/>
  <c r="L2000" i="3"/>
  <c r="L2166" i="3"/>
  <c r="I2662" i="3"/>
  <c r="L1377" i="3"/>
  <c r="N837" i="3"/>
  <c r="L2466" i="3"/>
  <c r="I501" i="3"/>
  <c r="L500" i="3"/>
  <c r="N500" i="3"/>
  <c r="M500" i="3"/>
  <c r="L1642" i="3"/>
  <c r="L179" i="3"/>
  <c r="L1816" i="3"/>
  <c r="L902" i="3"/>
  <c r="N1088" i="3"/>
  <c r="N1671" i="3"/>
  <c r="I2183" i="3"/>
  <c r="N2182" i="3"/>
  <c r="I1947" i="3"/>
  <c r="N1946" i="3"/>
  <c r="M1946" i="3"/>
  <c r="L1946" i="3"/>
  <c r="I1278" i="3"/>
  <c r="N1277" i="3"/>
  <c r="M1277" i="3"/>
  <c r="L1277" i="3"/>
  <c r="I1322" i="3"/>
  <c r="N1321" i="3"/>
  <c r="M1321" i="3"/>
  <c r="L1321" i="3"/>
  <c r="N1874" i="3"/>
  <c r="L1874" i="3"/>
  <c r="M1874" i="3"/>
  <c r="I1875" i="3"/>
  <c r="I1961" i="3"/>
  <c r="N1960" i="3"/>
  <c r="M1960" i="3"/>
  <c r="L1960" i="3"/>
  <c r="I2390" i="3"/>
  <c r="L2389" i="3"/>
  <c r="M2389" i="3"/>
  <c r="I2733" i="3"/>
  <c r="I273" i="3"/>
  <c r="N1880" i="3"/>
  <c r="I33" i="3"/>
  <c r="L32" i="3"/>
  <c r="N32" i="3"/>
  <c r="M32" i="3"/>
  <c r="M1362" i="3"/>
  <c r="I688" i="3"/>
  <c r="M687" i="3"/>
  <c r="L687" i="3"/>
  <c r="N687" i="3"/>
  <c r="M1398" i="3"/>
  <c r="N1075" i="3"/>
  <c r="M390" i="3"/>
  <c r="L1846" i="3"/>
  <c r="M562" i="3"/>
  <c r="N163" i="3"/>
  <c r="L1589" i="3"/>
  <c r="L1057" i="3"/>
  <c r="N786" i="3"/>
  <c r="N575" i="3"/>
  <c r="I2210" i="3"/>
  <c r="L2209" i="3"/>
  <c r="N2209" i="3"/>
  <c r="M2209" i="3"/>
  <c r="L1713" i="3"/>
  <c r="N2171" i="3"/>
  <c r="M60" i="3"/>
  <c r="M1630" i="3"/>
  <c r="L203" i="3"/>
  <c r="L736" i="3"/>
  <c r="L382" i="3"/>
  <c r="M753" i="3"/>
  <c r="N30" i="3"/>
  <c r="N210" i="3"/>
  <c r="L1148" i="3"/>
  <c r="M1460" i="3"/>
  <c r="M1628" i="3"/>
  <c r="N365" i="3"/>
  <c r="N1525" i="3"/>
  <c r="L45" i="3"/>
  <c r="N2535" i="3"/>
  <c r="N2315" i="3"/>
  <c r="N1092" i="3"/>
  <c r="L562" i="3"/>
  <c r="L1389" i="3"/>
  <c r="N1038" i="3"/>
  <c r="L1627" i="3"/>
  <c r="I1862" i="3"/>
  <c r="N165" i="3"/>
  <c r="L2310" i="3"/>
  <c r="I1049" i="3"/>
  <c r="N1048" i="3"/>
  <c r="L1048" i="3"/>
  <c r="M1048" i="3"/>
  <c r="N527" i="3"/>
  <c r="L2417" i="3"/>
  <c r="L743" i="3"/>
  <c r="I1079" i="3"/>
  <c r="M1078" i="3"/>
  <c r="L1078" i="3"/>
  <c r="N1078" i="3"/>
  <c r="L454" i="3"/>
  <c r="M1444" i="3"/>
  <c r="I2017" i="3"/>
  <c r="M2433" i="3"/>
  <c r="N2500" i="3"/>
  <c r="I2339" i="3"/>
  <c r="N2338" i="3"/>
  <c r="M2338" i="3"/>
  <c r="L2338" i="3"/>
  <c r="N1987" i="3"/>
  <c r="M1094" i="3"/>
  <c r="I464" i="3"/>
  <c r="M463" i="3"/>
  <c r="L463" i="3"/>
  <c r="N463" i="3"/>
  <c r="L18" i="3"/>
  <c r="I3193" i="3"/>
  <c r="L877" i="3"/>
  <c r="M2000" i="3"/>
  <c r="M2166" i="3"/>
  <c r="L327" i="3"/>
  <c r="I1687" i="3"/>
  <c r="N1686" i="3"/>
  <c r="L1686" i="3"/>
  <c r="M1377" i="3"/>
  <c r="I2704" i="3"/>
  <c r="J2703" i="3"/>
  <c r="L1150" i="3"/>
  <c r="I3216" i="3"/>
  <c r="L1135" i="3"/>
  <c r="M2466" i="3"/>
  <c r="L232" i="3"/>
  <c r="L1591" i="3"/>
  <c r="M179" i="3"/>
  <c r="I675" i="3"/>
  <c r="N674" i="3"/>
  <c r="M674" i="3"/>
  <c r="L674" i="3"/>
  <c r="L1023" i="3"/>
  <c r="N1816" i="3"/>
  <c r="I244" i="3"/>
  <c r="L243" i="3"/>
  <c r="I904" i="3"/>
  <c r="N903" i="3"/>
  <c r="M903" i="3"/>
  <c r="L903" i="3"/>
  <c r="L1671" i="3"/>
  <c r="I975" i="3"/>
  <c r="L974" i="3"/>
  <c r="N974" i="3"/>
  <c r="M974" i="3"/>
  <c r="I1705" i="3"/>
  <c r="I352" i="3"/>
  <c r="I1430" i="3"/>
  <c r="N1429" i="3"/>
  <c r="M1429" i="3"/>
  <c r="L1429" i="3"/>
  <c r="I2486" i="3"/>
  <c r="L2485" i="3"/>
  <c r="N2485" i="3"/>
  <c r="M2485" i="3"/>
  <c r="I1161" i="3"/>
  <c r="M1160" i="3"/>
  <c r="L1160" i="3"/>
  <c r="N1160" i="3"/>
  <c r="I2776" i="3"/>
  <c r="I943" i="3"/>
  <c r="L942" i="3"/>
  <c r="N942" i="3"/>
  <c r="M942" i="3"/>
  <c r="I3357" i="3"/>
  <c r="I1549" i="3"/>
  <c r="M1548" i="3"/>
  <c r="N1548" i="3"/>
  <c r="L1548" i="3"/>
  <c r="I1493" i="3"/>
  <c r="I2595" i="3"/>
  <c r="I1477" i="3"/>
  <c r="N1476" i="3"/>
  <c r="M1476" i="3"/>
  <c r="L1476" i="3"/>
  <c r="I65" i="3"/>
  <c r="L64" i="3"/>
  <c r="N64" i="3"/>
  <c r="M64" i="3"/>
  <c r="I2355" i="3"/>
  <c r="N2354" i="3"/>
  <c r="M2354" i="3"/>
  <c r="L2354" i="3"/>
  <c r="I3147" i="3"/>
  <c r="I114" i="3"/>
  <c r="N113" i="3"/>
  <c r="M113" i="3"/>
  <c r="L113" i="3"/>
  <c r="I2887" i="3"/>
  <c r="I1617" i="3"/>
  <c r="M1616" i="3"/>
  <c r="N1616" i="3"/>
  <c r="L1616" i="3"/>
  <c r="I1543" i="3"/>
  <c r="N1542" i="3"/>
  <c r="M1542" i="3"/>
  <c r="L1542" i="3"/>
  <c r="I2452" i="3"/>
  <c r="M2451" i="3"/>
  <c r="L2451" i="3"/>
  <c r="N2451" i="3"/>
  <c r="I2105" i="3"/>
  <c r="N2104" i="3"/>
  <c r="L2104" i="3"/>
  <c r="M2104" i="3"/>
  <c r="N1984" i="3"/>
  <c r="N1398" i="3"/>
  <c r="L425" i="3"/>
  <c r="I2555" i="3"/>
  <c r="L2052" i="3"/>
  <c r="N505" i="3"/>
  <c r="N1411" i="3"/>
  <c r="N126" i="3"/>
  <c r="M2151" i="3"/>
  <c r="M2352" i="3"/>
  <c r="I788" i="3"/>
  <c r="N787" i="3"/>
  <c r="M787" i="3"/>
  <c r="L787" i="3"/>
  <c r="N1034" i="3"/>
  <c r="I2571" i="3"/>
  <c r="N1713" i="3"/>
  <c r="N43" i="3"/>
  <c r="L426" i="3"/>
  <c r="I3011" i="3"/>
  <c r="N1597" i="3"/>
  <c r="M203" i="3"/>
  <c r="M605" i="3"/>
  <c r="L2139" i="3"/>
  <c r="L379" i="3"/>
  <c r="N382" i="3"/>
  <c r="I2914" i="3"/>
  <c r="N1061" i="3"/>
  <c r="L1936" i="3"/>
  <c r="N1460" i="3"/>
  <c r="N85" i="3"/>
  <c r="M45" i="3"/>
  <c r="I2983" i="3"/>
  <c r="N1958" i="3"/>
  <c r="L452" i="3"/>
  <c r="N1329" i="3"/>
  <c r="N863" i="3"/>
  <c r="N1158" i="3"/>
  <c r="M715" i="3"/>
  <c r="M2056" i="3"/>
  <c r="N1389" i="3"/>
  <c r="L99" i="3"/>
  <c r="L165" i="3"/>
  <c r="I6" i="3"/>
  <c r="M5" i="3"/>
  <c r="L5" i="3"/>
  <c r="N5" i="3"/>
  <c r="M2417" i="3"/>
  <c r="M743" i="3"/>
  <c r="I2858" i="3"/>
  <c r="N454" i="3"/>
  <c r="N2119" i="3"/>
  <c r="M1789" i="3"/>
  <c r="I1096" i="3"/>
  <c r="N1095" i="3"/>
  <c r="M1095" i="3"/>
  <c r="L1095" i="3"/>
  <c r="M798" i="3"/>
  <c r="N18" i="3"/>
  <c r="N2507" i="3"/>
  <c r="I991" i="3"/>
  <c r="M877" i="3"/>
  <c r="N2000" i="3"/>
  <c r="N2166" i="3"/>
  <c r="M327" i="3"/>
  <c r="N1377" i="3"/>
  <c r="M2196" i="3"/>
  <c r="N2196" i="3"/>
  <c r="L2196" i="3"/>
  <c r="I2197" i="3"/>
  <c r="M1150" i="3"/>
  <c r="M518" i="3"/>
  <c r="M1135" i="3"/>
  <c r="N2466" i="3"/>
  <c r="I234" i="3"/>
  <c r="N233" i="3"/>
  <c r="M233" i="3"/>
  <c r="L233" i="3"/>
  <c r="M1642" i="3"/>
  <c r="N1591" i="3"/>
  <c r="I181" i="3"/>
  <c r="N180" i="3"/>
  <c r="M180" i="3"/>
  <c r="L180" i="3"/>
  <c r="M1023" i="3"/>
  <c r="N372" i="3"/>
  <c r="I2264" i="3"/>
  <c r="I2650" i="3"/>
  <c r="L1253" i="3"/>
  <c r="I1558" i="3"/>
  <c r="L1557" i="3"/>
  <c r="M1557" i="3"/>
  <c r="L616" i="3"/>
  <c r="I320" i="3"/>
  <c r="M319" i="3"/>
  <c r="L319" i="3"/>
  <c r="N319" i="3"/>
  <c r="I1927" i="3"/>
  <c r="N1926" i="3"/>
  <c r="L1926" i="3"/>
  <c r="I289" i="3"/>
  <c r="I2942" i="3"/>
  <c r="I368" i="3"/>
  <c r="M367" i="3"/>
  <c r="L367" i="3"/>
  <c r="N367" i="3"/>
  <c r="I2074" i="3"/>
  <c r="I129" i="3"/>
  <c r="L128" i="3"/>
  <c r="N128" i="3"/>
  <c r="M128" i="3"/>
  <c r="I2967" i="3"/>
  <c r="M371" i="3"/>
  <c r="L1133" i="3"/>
  <c r="N2308" i="3"/>
  <c r="L930" i="3"/>
  <c r="L390" i="3"/>
  <c r="L1034" i="3"/>
  <c r="L1776" i="3"/>
  <c r="M1100" i="3"/>
  <c r="N751" i="3"/>
  <c r="N177" i="3"/>
  <c r="N683" i="3"/>
  <c r="L1192" i="3"/>
  <c r="M1713" i="3"/>
  <c r="M1944" i="3"/>
  <c r="L151" i="3"/>
  <c r="N700" i="3"/>
  <c r="L1630" i="3"/>
  <c r="N204" i="3"/>
  <c r="M204" i="3"/>
  <c r="L204" i="3"/>
  <c r="I205" i="3"/>
  <c r="N543" i="3"/>
  <c r="I2227" i="3"/>
  <c r="M2226" i="3"/>
  <c r="L2226" i="3"/>
  <c r="N2226" i="3"/>
  <c r="M1360" i="3"/>
  <c r="I664" i="3"/>
  <c r="M663" i="3"/>
  <c r="L663" i="3"/>
  <c r="N663" i="3"/>
  <c r="M317" i="3"/>
  <c r="N1799" i="3"/>
  <c r="L1600" i="3"/>
  <c r="N1473" i="3"/>
  <c r="M2523" i="3"/>
  <c r="M1319" i="3"/>
  <c r="N1526" i="3"/>
  <c r="M1526" i="3"/>
  <c r="L1526" i="3"/>
  <c r="I1527" i="3"/>
  <c r="M126" i="3"/>
  <c r="I1331" i="3"/>
  <c r="N1330" i="3"/>
  <c r="M783" i="3"/>
  <c r="L2056" i="3"/>
  <c r="L1038" i="3"/>
  <c r="L507" i="3"/>
  <c r="M99" i="3"/>
  <c r="M165" i="3"/>
  <c r="I2312" i="3"/>
  <c r="N2311" i="3"/>
  <c r="L2311" i="3"/>
  <c r="N2417" i="3"/>
  <c r="I745" i="3"/>
  <c r="N744" i="3"/>
  <c r="M744" i="3"/>
  <c r="L744" i="3"/>
  <c r="L2119" i="3"/>
  <c r="I1446" i="3"/>
  <c r="N1445" i="3"/>
  <c r="M1445" i="3"/>
  <c r="L1445" i="3"/>
  <c r="I3329" i="3"/>
  <c r="L1789" i="3"/>
  <c r="L2433" i="3"/>
  <c r="I554" i="3"/>
  <c r="M553" i="3"/>
  <c r="L553" i="3"/>
  <c r="N553" i="3"/>
  <c r="M1206" i="3"/>
  <c r="I2245" i="3"/>
  <c r="M2244" i="3"/>
  <c r="L2244" i="3"/>
  <c r="N2244" i="3"/>
  <c r="M462" i="3"/>
  <c r="L798" i="3"/>
  <c r="I3081" i="3"/>
  <c r="L2507" i="3"/>
  <c r="I650" i="3"/>
  <c r="M649" i="3"/>
  <c r="L649" i="3"/>
  <c r="N649" i="3"/>
  <c r="L635" i="3"/>
  <c r="L2537" i="3"/>
  <c r="N877" i="3"/>
  <c r="I329" i="3"/>
  <c r="N328" i="3"/>
  <c r="M328" i="3"/>
  <c r="L328" i="3"/>
  <c r="I839" i="3"/>
  <c r="L838" i="3"/>
  <c r="N838" i="3"/>
  <c r="M838" i="3"/>
  <c r="I1152" i="3"/>
  <c r="N1151" i="3"/>
  <c r="M1151" i="3"/>
  <c r="L1151" i="3"/>
  <c r="L518" i="3"/>
  <c r="N1135" i="3"/>
  <c r="I263" i="3"/>
  <c r="L262" i="3"/>
  <c r="L499" i="3"/>
  <c r="N1657" i="3"/>
  <c r="N2318" i="3"/>
  <c r="N1023" i="3"/>
  <c r="I1818" i="3"/>
  <c r="N1817" i="3"/>
  <c r="M1817" i="3"/>
  <c r="L1817" i="3"/>
  <c r="I3053" i="3"/>
  <c r="M1253" i="3"/>
  <c r="M616" i="3"/>
  <c r="L730" i="3"/>
  <c r="I2901" i="3"/>
  <c r="I2762" i="3"/>
  <c r="I2189" i="3"/>
  <c r="M2188" i="3"/>
  <c r="N2188" i="3"/>
  <c r="L2188" i="3"/>
  <c r="I2790" i="3"/>
  <c r="I474" i="3"/>
  <c r="M473" i="3"/>
  <c r="L473" i="3"/>
  <c r="N473" i="3"/>
  <c r="I1103" i="3"/>
  <c r="M1102" i="3"/>
  <c r="L1102" i="3"/>
  <c r="N1102" i="3"/>
  <c r="I1236" i="3"/>
  <c r="L1235" i="3"/>
  <c r="N1235" i="3"/>
  <c r="M1235" i="3"/>
  <c r="I2951" i="3"/>
  <c r="I1849" i="3"/>
  <c r="N1848" i="3"/>
  <c r="L1848" i="3"/>
  <c r="M1848" i="3"/>
  <c r="I934" i="3"/>
  <c r="N933" i="3"/>
  <c r="M933" i="3"/>
  <c r="L933" i="3"/>
  <c r="I1060" i="3"/>
  <c r="M1059" i="3"/>
  <c r="L1059" i="3"/>
  <c r="N1059" i="3"/>
  <c r="I892" i="3"/>
  <c r="M891" i="3"/>
  <c r="L891" i="3"/>
  <c r="N891" i="3"/>
  <c r="N1779" i="3"/>
  <c r="L1779" i="3"/>
  <c r="M1779" i="3"/>
  <c r="I1780" i="3"/>
  <c r="I2527" i="3"/>
  <c r="N2526" i="3"/>
  <c r="M2526" i="3"/>
  <c r="L2526" i="3"/>
  <c r="I2832" i="3"/>
  <c r="I764" i="3"/>
  <c r="N763" i="3"/>
  <c r="I918" i="3"/>
  <c r="N917" i="3"/>
  <c r="M917" i="3"/>
  <c r="L917" i="3"/>
  <c r="L820" i="3"/>
  <c r="M686" i="3"/>
  <c r="N2170" i="3"/>
  <c r="L489" i="3"/>
  <c r="N390" i="3"/>
  <c r="L44" i="3"/>
  <c r="L848" i="3"/>
  <c r="N220" i="3"/>
  <c r="I2608" i="3"/>
  <c r="M1895" i="3"/>
  <c r="L1924" i="3"/>
  <c r="M1458" i="3"/>
  <c r="N848" i="3"/>
  <c r="N2335" i="3"/>
  <c r="L231" i="3"/>
  <c r="L889" i="3"/>
  <c r="M1192" i="3"/>
  <c r="N1504" i="3"/>
  <c r="M1361" i="3"/>
  <c r="M625" i="3"/>
  <c r="L671" i="3"/>
  <c r="N470" i="3"/>
  <c r="M110" i="3"/>
  <c r="I755" i="3"/>
  <c r="N754" i="3"/>
  <c r="M754" i="3"/>
  <c r="L754" i="3"/>
  <c r="N776" i="3"/>
  <c r="L1250" i="3"/>
  <c r="L1100" i="3"/>
  <c r="N1474" i="3"/>
  <c r="L1895" i="3"/>
  <c r="N515" i="3"/>
  <c r="N2352" i="3"/>
  <c r="N2056" i="3"/>
  <c r="N1534" i="3"/>
  <c r="M507" i="3"/>
  <c r="I101" i="3"/>
  <c r="N100" i="3"/>
  <c r="M100" i="3"/>
  <c r="L100" i="3"/>
  <c r="M2153" i="3"/>
  <c r="L527" i="3"/>
  <c r="I2419" i="3"/>
  <c r="N2418" i="3"/>
  <c r="L2418" i="3"/>
  <c r="M2418" i="3"/>
  <c r="L1077" i="3"/>
  <c r="I2121" i="3"/>
  <c r="N2120" i="3"/>
  <c r="L2120" i="3"/>
  <c r="M2120" i="3"/>
  <c r="I538" i="3"/>
  <c r="M537" i="3"/>
  <c r="L537" i="3"/>
  <c r="N537" i="3"/>
  <c r="N1789" i="3"/>
  <c r="N2433" i="3"/>
  <c r="I2502" i="3"/>
  <c r="N2501" i="3"/>
  <c r="L2501" i="3"/>
  <c r="N1206" i="3"/>
  <c r="L2337" i="3"/>
  <c r="I1989" i="3"/>
  <c r="L1988" i="3"/>
  <c r="N1988" i="3"/>
  <c r="M1988" i="3"/>
  <c r="N798" i="3"/>
  <c r="M635" i="3"/>
  <c r="M2537" i="3"/>
  <c r="I2168" i="3"/>
  <c r="L2167" i="3"/>
  <c r="N2167" i="3"/>
  <c r="M2167" i="3"/>
  <c r="I2622" i="3"/>
  <c r="N518" i="3"/>
  <c r="M499" i="3"/>
  <c r="N1642" i="3"/>
  <c r="I1593" i="3"/>
  <c r="L1592" i="3"/>
  <c r="N1592" i="3"/>
  <c r="M1592" i="3"/>
  <c r="N673" i="3"/>
  <c r="L372" i="3"/>
  <c r="N1253" i="3"/>
  <c r="M1671" i="3"/>
  <c r="N616" i="3"/>
  <c r="M730" i="3"/>
  <c r="I2719" i="3"/>
  <c r="N2135" i="3" l="1"/>
  <c r="L1974" i="3"/>
  <c r="M2135" i="3"/>
  <c r="N1974" i="3"/>
  <c r="W822" i="3"/>
  <c r="M2606" i="3"/>
  <c r="L2633" i="3"/>
  <c r="M2687" i="3"/>
  <c r="L2594" i="3"/>
  <c r="L2702" i="3"/>
  <c r="V166" i="3"/>
  <c r="L2743" i="3"/>
  <c r="L2579" i="3"/>
  <c r="N2653" i="3"/>
  <c r="M2634" i="3"/>
  <c r="W2467" i="3"/>
  <c r="W687" i="3"/>
  <c r="W545" i="3"/>
  <c r="V2244" i="3"/>
  <c r="W1102" i="3"/>
  <c r="L2632" i="3"/>
  <c r="W304" i="3"/>
  <c r="W76" i="3"/>
  <c r="W636" i="3"/>
  <c r="V2279" i="3"/>
  <c r="V1294" i="3"/>
  <c r="W1294" i="3"/>
  <c r="V88" i="3"/>
  <c r="W88" i="3"/>
  <c r="V1828" i="3"/>
  <c r="W1828" i="3"/>
  <c r="V1008" i="3"/>
  <c r="W1008" i="3"/>
  <c r="V951" i="3"/>
  <c r="V2030" i="3"/>
  <c r="V2405" i="3"/>
  <c r="V1973" i="3"/>
  <c r="V1643" i="3"/>
  <c r="V2526" i="3"/>
  <c r="V253" i="3"/>
  <c r="W250" i="3"/>
  <c r="V987" i="3"/>
  <c r="V2170" i="3"/>
  <c r="V15" i="3"/>
  <c r="V1692" i="3"/>
  <c r="V400" i="3"/>
  <c r="V134" i="3"/>
  <c r="W970" i="3"/>
  <c r="W1249" i="3"/>
  <c r="W1894" i="3"/>
  <c r="V1545" i="3"/>
  <c r="V1523" i="3"/>
  <c r="W659" i="3"/>
  <c r="V1046" i="3"/>
  <c r="W2223" i="3"/>
  <c r="W1376" i="3"/>
  <c r="V1732" i="3"/>
  <c r="V2506" i="3"/>
  <c r="W1762" i="3"/>
  <c r="V1895" i="3"/>
  <c r="W260" i="3"/>
  <c r="W2336" i="3"/>
  <c r="W349" i="3"/>
  <c r="V542" i="3"/>
  <c r="W496" i="3"/>
  <c r="W1073" i="3"/>
  <c r="W1426" i="3"/>
  <c r="W1305" i="3"/>
  <c r="V1045" i="3"/>
  <c r="W2414" i="3"/>
  <c r="W1503" i="3"/>
  <c r="W614" i="3"/>
  <c r="W220" i="3"/>
  <c r="V562" i="3"/>
  <c r="V948" i="3"/>
  <c r="V1809" i="3"/>
  <c r="W1427" i="3"/>
  <c r="W785" i="3"/>
  <c r="W326" i="3"/>
  <c r="W1717" i="3"/>
  <c r="W625" i="3"/>
  <c r="W605" i="3"/>
  <c r="V1347" i="3"/>
  <c r="V550" i="3"/>
  <c r="W2335" i="3"/>
  <c r="V775" i="3"/>
  <c r="W2117" i="3"/>
  <c r="W1998" i="3"/>
  <c r="W1411" i="3"/>
  <c r="W1055" i="3"/>
  <c r="V863" i="3"/>
  <c r="W901" i="3"/>
  <c r="V1599" i="3"/>
  <c r="W988" i="3"/>
  <c r="W1545" i="3"/>
  <c r="W2240" i="3"/>
  <c r="W957" i="3"/>
  <c r="V150" i="3"/>
  <c r="W864" i="3"/>
  <c r="W110" i="3"/>
  <c r="V2448" i="3"/>
  <c r="V1639" i="3"/>
  <c r="V72" i="3"/>
  <c r="V30" i="3"/>
  <c r="V1319" i="3"/>
  <c r="V2194" i="3"/>
  <c r="V62" i="3"/>
  <c r="V633" i="3"/>
  <c r="V251" i="3"/>
  <c r="V2260" i="3"/>
  <c r="W240" i="3"/>
  <c r="W759" i="3"/>
  <c r="V1513" i="3"/>
  <c r="V2308" i="3"/>
  <c r="W2086" i="3"/>
  <c r="V2012" i="3"/>
  <c r="W285" i="3"/>
  <c r="W533" i="3"/>
  <c r="V752" i="3"/>
  <c r="V1589" i="3"/>
  <c r="V1062" i="3"/>
  <c r="V1641" i="3"/>
  <c r="W1555" i="3"/>
  <c r="W2352" i="3"/>
  <c r="W1524" i="3"/>
  <c r="W1670" i="3"/>
  <c r="W1924" i="3"/>
  <c r="V809" i="3"/>
  <c r="V1157" i="3"/>
  <c r="V487" i="3"/>
  <c r="V759" i="3"/>
  <c r="V1113" i="3"/>
  <c r="V525" i="3"/>
  <c r="W938" i="3"/>
  <c r="W848" i="3"/>
  <c r="V1554" i="3"/>
  <c r="V972" i="3"/>
  <c r="W550" i="3"/>
  <c r="V211" i="3"/>
  <c r="W2140" i="3"/>
  <c r="W3" i="3"/>
  <c r="W849" i="3"/>
  <c r="W1179" i="3"/>
  <c r="W2014" i="3"/>
  <c r="V365" i="3"/>
  <c r="V1970" i="3"/>
  <c r="W2037" i="3"/>
  <c r="W487" i="3"/>
  <c r="V760" i="3"/>
  <c r="V1264" i="3"/>
  <c r="W497" i="3"/>
  <c r="W379" i="3"/>
  <c r="V1984" i="3"/>
  <c r="W2087" i="3"/>
  <c r="V443" i="3"/>
  <c r="W1908" i="3"/>
  <c r="W820" i="3"/>
  <c r="V44" i="3"/>
  <c r="V1291" i="3"/>
  <c r="V1100" i="3"/>
  <c r="W191" i="3"/>
  <c r="W535" i="3"/>
  <c r="W325" i="3"/>
  <c r="V16" i="3"/>
  <c r="V1798" i="3"/>
  <c r="W2151" i="3"/>
  <c r="W363" i="3"/>
  <c r="W1045" i="3"/>
  <c r="W1092" i="3"/>
  <c r="V497" i="3"/>
  <c r="V939" i="3"/>
  <c r="V1489" i="3"/>
  <c r="V671" i="3"/>
  <c r="V2499" i="3"/>
  <c r="W1046" i="3"/>
  <c r="V1578" i="3"/>
  <c r="V940" i="3"/>
  <c r="W1732" i="3"/>
  <c r="V111" i="3"/>
  <c r="V1762" i="3"/>
  <c r="W1895" i="3"/>
  <c r="W1570" i="3"/>
  <c r="V1971" i="3"/>
  <c r="V734" i="3"/>
  <c r="V2139" i="3"/>
  <c r="V43" i="3"/>
  <c r="W887" i="3"/>
  <c r="V370" i="3"/>
  <c r="V1716" i="3"/>
  <c r="W1099" i="3"/>
  <c r="V795" i="3"/>
  <c r="V1397" i="3"/>
  <c r="W1986" i="3"/>
  <c r="V1922" i="3"/>
  <c r="V1427" i="3"/>
  <c r="V1717" i="3"/>
  <c r="V2277" i="3"/>
  <c r="V1815" i="3"/>
  <c r="W987" i="3"/>
  <c r="W2386" i="3"/>
  <c r="W819" i="3"/>
  <c r="V176" i="3"/>
  <c r="V2027" i="3"/>
  <c r="V2415" i="3"/>
  <c r="V1832" i="3"/>
  <c r="V1177" i="3"/>
  <c r="V2292" i="3"/>
  <c r="V151" i="3"/>
  <c r="W150" i="3"/>
  <c r="W1639" i="3"/>
  <c r="V389" i="3"/>
  <c r="V2432" i="3"/>
  <c r="V1134" i="3"/>
  <c r="W1599" i="3"/>
  <c r="V1249" i="3"/>
  <c r="W1693" i="3"/>
  <c r="V409" i="3"/>
  <c r="W443" i="3"/>
  <c r="W524" i="3"/>
  <c r="W2012" i="3"/>
  <c r="V1020" i="3"/>
  <c r="V661" i="3"/>
  <c r="V1387" i="3"/>
  <c r="W30" i="3"/>
  <c r="V2512" i="3"/>
  <c r="V915" i="3"/>
  <c r="V2224" i="3"/>
  <c r="W1546" i="3"/>
  <c r="W2194" i="3"/>
  <c r="W62" i="3"/>
  <c r="V807" i="3"/>
  <c r="W251" i="3"/>
  <c r="W2260" i="3"/>
  <c r="W646" i="3"/>
  <c r="W1123" i="3"/>
  <c r="W1113" i="3"/>
  <c r="V1923" i="3"/>
  <c r="W1655" i="3"/>
  <c r="V2179" i="3"/>
  <c r="V2481" i="3"/>
  <c r="W752" i="3"/>
  <c r="W1167" i="3"/>
  <c r="W1062" i="3"/>
  <c r="V1158" i="3"/>
  <c r="V729" i="3"/>
  <c r="V958" i="3"/>
  <c r="V1670" i="3"/>
  <c r="W809" i="3"/>
  <c r="V230" i="3"/>
  <c r="W2164" i="3"/>
  <c r="V646" i="3"/>
  <c r="V1123" i="3"/>
  <c r="V268" i="3"/>
  <c r="W525" i="3"/>
  <c r="V388" i="3"/>
  <c r="W929" i="3"/>
  <c r="W972" i="3"/>
  <c r="V561" i="3"/>
  <c r="W211" i="3"/>
  <c r="V2186" i="3"/>
  <c r="V1179" i="3"/>
  <c r="V2014" i="3"/>
  <c r="W365" i="3"/>
  <c r="W1710" i="3"/>
  <c r="V2037" i="3"/>
  <c r="V2505" i="3"/>
  <c r="V2370" i="3"/>
  <c r="W760" i="3"/>
  <c r="V2132" i="3"/>
  <c r="W505" i="3"/>
  <c r="W301" i="3"/>
  <c r="V1004" i="3"/>
  <c r="W1554" i="3"/>
  <c r="W574" i="3"/>
  <c r="W1825" i="3"/>
  <c r="V1560" i="3"/>
  <c r="V2387" i="3"/>
  <c r="W44" i="3"/>
  <c r="W1100" i="3"/>
  <c r="V2524" i="3"/>
  <c r="W1958" i="3"/>
  <c r="V535" i="3"/>
  <c r="W2276" i="3"/>
  <c r="W734" i="3"/>
  <c r="W16" i="3"/>
  <c r="V1539" i="3"/>
  <c r="W1598" i="3"/>
  <c r="V1304" i="3"/>
  <c r="V84" i="3"/>
  <c r="V301" i="3"/>
  <c r="W939" i="3"/>
  <c r="W2499" i="3"/>
  <c r="V1306" i="3"/>
  <c r="V1233" i="3"/>
  <c r="W940" i="3"/>
  <c r="V1348" i="3"/>
  <c r="V1872" i="3"/>
  <c r="W111" i="3"/>
  <c r="W1459" i="3"/>
  <c r="W551" i="3"/>
  <c r="V1570" i="3"/>
  <c r="V1218" i="3"/>
  <c r="W1971" i="3"/>
  <c r="V337" i="3"/>
  <c r="W775" i="3"/>
  <c r="V728" i="3"/>
  <c r="V201" i="3"/>
  <c r="W1628" i="3"/>
  <c r="V1776" i="3"/>
  <c r="W1397" i="3"/>
  <c r="V1986" i="3"/>
  <c r="W1473" i="3"/>
  <c r="V317" i="3"/>
  <c r="V647" i="3"/>
  <c r="V1540" i="3"/>
  <c r="W2277" i="3"/>
  <c r="W1815" i="3"/>
  <c r="W134" i="3"/>
  <c r="W2497" i="3"/>
  <c r="W2027" i="3"/>
  <c r="W2431" i="3"/>
  <c r="W2415" i="3"/>
  <c r="V1503" i="3"/>
  <c r="V210" i="3"/>
  <c r="W151" i="3"/>
  <c r="V888" i="3"/>
  <c r="V2523" i="3"/>
  <c r="W389" i="3"/>
  <c r="V1656" i="3"/>
  <c r="W2432" i="3"/>
  <c r="W1134" i="3"/>
  <c r="V1005" i="3"/>
  <c r="V202" i="3"/>
  <c r="W914" i="3"/>
  <c r="V1693" i="3"/>
  <c r="V585" i="3"/>
  <c r="W1746" i="3"/>
  <c r="V1908" i="3"/>
  <c r="W371" i="3"/>
  <c r="W661" i="3"/>
  <c r="V452" i="3"/>
  <c r="V672" i="3"/>
  <c r="W2512" i="3"/>
  <c r="W915" i="3"/>
  <c r="W2224" i="3"/>
  <c r="V1546" i="3"/>
  <c r="V2102" i="3"/>
  <c r="W1629" i="3"/>
  <c r="V74" i="3"/>
  <c r="V2511" i="3"/>
  <c r="V660" i="3"/>
  <c r="W2036" i="3"/>
  <c r="V864" i="3"/>
  <c r="W1923" i="3"/>
  <c r="V1086" i="3"/>
  <c r="W1273" i="3"/>
  <c r="V514" i="3"/>
  <c r="W1251" i="3"/>
  <c r="W1909" i="3"/>
  <c r="W2498" i="3"/>
  <c r="V1944" i="3"/>
  <c r="W1158" i="3"/>
  <c r="W729" i="3"/>
  <c r="W958" i="3"/>
  <c r="V876" i="3"/>
  <c r="W402" i="3"/>
  <c r="V761" i="3"/>
  <c r="V2402" i="3"/>
  <c r="V478" i="3"/>
  <c r="V2241" i="3"/>
  <c r="W1880" i="3"/>
  <c r="W2370" i="3"/>
  <c r="V2036" i="3"/>
  <c r="V683" i="3"/>
  <c r="V2315" i="3"/>
  <c r="V97" i="3"/>
  <c r="V533" i="3"/>
  <c r="W1250" i="3"/>
  <c r="W2186" i="3"/>
  <c r="V2118" i="3"/>
  <c r="V931" i="3"/>
  <c r="W1590" i="3"/>
  <c r="V1458" i="3"/>
  <c r="W1318" i="3"/>
  <c r="V2164" i="3"/>
  <c r="W1597" i="3"/>
  <c r="W2132" i="3"/>
  <c r="V684" i="3"/>
  <c r="W715" i="3"/>
  <c r="W515" i="3"/>
  <c r="V929" i="3"/>
  <c r="V574" i="3"/>
  <c r="V1825" i="3"/>
  <c r="V316" i="3"/>
  <c r="V135" i="3"/>
  <c r="W2387" i="3"/>
  <c r="W586" i="3"/>
  <c r="W1833" i="3"/>
  <c r="W2524" i="3"/>
  <c r="V1958" i="3"/>
  <c r="V436" i="3"/>
  <c r="W1970" i="3"/>
  <c r="W2139" i="3"/>
  <c r="V1148" i="3"/>
  <c r="V1598" i="3"/>
  <c r="V505" i="3"/>
  <c r="V715" i="3"/>
  <c r="W201" i="3"/>
  <c r="V614" i="3"/>
  <c r="W1306" i="3"/>
  <c r="W1233" i="3"/>
  <c r="V2152" i="3"/>
  <c r="V241" i="3"/>
  <c r="W1348" i="3"/>
  <c r="V1114" i="3"/>
  <c r="W1872" i="3"/>
  <c r="V1149" i="3"/>
  <c r="V1459" i="3"/>
  <c r="V551" i="3"/>
  <c r="V270" i="3"/>
  <c r="W1218" i="3"/>
  <c r="W1627" i="3"/>
  <c r="V2497" i="3"/>
  <c r="W337" i="3"/>
  <c r="W176" i="3"/>
  <c r="V451" i="3"/>
  <c r="W124" i="3"/>
  <c r="V461" i="3"/>
  <c r="W2259" i="3"/>
  <c r="W1034" i="3"/>
  <c r="W317" i="3"/>
  <c r="W647" i="3"/>
  <c r="W1540" i="3"/>
  <c r="W498" i="3"/>
  <c r="W400" i="3"/>
  <c r="W1692" i="3"/>
  <c r="W2053" i="3"/>
  <c r="V1943" i="3"/>
  <c r="W1669" i="3"/>
  <c r="V2101" i="3"/>
  <c r="V1473" i="3"/>
  <c r="V1099" i="3"/>
  <c r="W784" i="3"/>
  <c r="V1361" i="3"/>
  <c r="V164" i="3"/>
  <c r="W888" i="3"/>
  <c r="V634" i="3"/>
  <c r="W1656" i="3"/>
  <c r="W1937" i="3"/>
  <c r="W1005" i="3"/>
  <c r="W202" i="3"/>
  <c r="V401" i="3"/>
  <c r="V2259" i="3"/>
  <c r="W1786" i="3"/>
  <c r="V2085" i="3"/>
  <c r="W1387" i="3"/>
  <c r="W2179" i="3"/>
  <c r="V1167" i="3"/>
  <c r="V371" i="3"/>
  <c r="V1327" i="3"/>
  <c r="W452" i="3"/>
  <c r="W672" i="3"/>
  <c r="W2038" i="3"/>
  <c r="V742" i="3"/>
  <c r="V1022" i="3"/>
  <c r="W615" i="3"/>
  <c r="W2102" i="3"/>
  <c r="V1629" i="3"/>
  <c r="W74" i="3"/>
  <c r="V2069" i="3"/>
  <c r="V2240" i="3"/>
  <c r="W660" i="3"/>
  <c r="W1957" i="3"/>
  <c r="V1787" i="3"/>
  <c r="W2" i="3"/>
  <c r="W268" i="3"/>
  <c r="W1375" i="3"/>
  <c r="W469" i="3"/>
  <c r="V1640" i="3"/>
  <c r="V1251" i="3"/>
  <c r="V1909" i="3"/>
  <c r="V2180" i="3"/>
  <c r="V2498" i="3"/>
  <c r="W1944" i="3"/>
  <c r="V2207" i="3"/>
  <c r="V836" i="3"/>
  <c r="V2309" i="3"/>
  <c r="V1712" i="3"/>
  <c r="W876" i="3"/>
  <c r="V402" i="3"/>
  <c r="W761" i="3"/>
  <c r="W2070" i="3"/>
  <c r="V808" i="3"/>
  <c r="W2241" i="3"/>
  <c r="W1613" i="3"/>
  <c r="V1597" i="3"/>
  <c r="V1814" i="3"/>
  <c r="W2013" i="3"/>
  <c r="W97" i="3"/>
  <c r="W1984" i="3"/>
  <c r="W2481" i="3"/>
  <c r="W1936" i="3"/>
  <c r="W72" i="3"/>
  <c r="W1443" i="3"/>
  <c r="W2118" i="3"/>
  <c r="W931" i="3"/>
  <c r="V1590" i="3"/>
  <c r="W2482" i="3"/>
  <c r="W1074" i="3"/>
  <c r="W60" i="3"/>
  <c r="V1880" i="3"/>
  <c r="V1061" i="3"/>
  <c r="V363" i="3"/>
  <c r="V1761" i="3"/>
  <c r="W684" i="3"/>
  <c r="V2316" i="3"/>
  <c r="V515" i="3"/>
  <c r="W395" i="3"/>
  <c r="W534" i="3"/>
  <c r="W2448" i="3"/>
  <c r="W135" i="3"/>
  <c r="V1859" i="3"/>
  <c r="V586" i="3"/>
  <c r="V1833" i="3"/>
  <c r="W1514" i="3"/>
  <c r="W436" i="3"/>
  <c r="V1711" i="3"/>
  <c r="V573" i="3"/>
  <c r="W43" i="3"/>
  <c r="V348" i="3"/>
  <c r="V2414" i="3"/>
  <c r="W2193" i="3"/>
  <c r="V380" i="3"/>
  <c r="W1360" i="3"/>
  <c r="V126" i="3"/>
  <c r="V700" i="3"/>
  <c r="V1788" i="3"/>
  <c r="V2117" i="3"/>
  <c r="W2152" i="3"/>
  <c r="W241" i="3"/>
  <c r="W1114" i="3"/>
  <c r="W1149" i="3"/>
  <c r="V1076" i="3"/>
  <c r="W270" i="3"/>
  <c r="V1346" i="3"/>
  <c r="V1871" i="3"/>
  <c r="V2386" i="3"/>
  <c r="V2334" i="3"/>
  <c r="V2535" i="3"/>
  <c r="W603" i="3"/>
  <c r="V624" i="3"/>
  <c r="W461" i="3"/>
  <c r="V819" i="3"/>
  <c r="V221" i="3"/>
  <c r="V1252" i="3"/>
  <c r="V2371" i="3"/>
  <c r="W2465" i="3"/>
  <c r="V2165" i="3"/>
  <c r="V302" i="3"/>
  <c r="V498" i="3"/>
  <c r="W2170" i="3"/>
  <c r="W542" i="3"/>
  <c r="V1133" i="3"/>
  <c r="V2053" i="3"/>
  <c r="W1943" i="3"/>
  <c r="W259" i="3"/>
  <c r="V1290" i="3"/>
  <c r="W1560" i="3"/>
  <c r="W316" i="3"/>
  <c r="W863" i="3"/>
  <c r="W2523" i="3"/>
  <c r="W1361" i="3"/>
  <c r="W164" i="3"/>
  <c r="W1190" i="3"/>
  <c r="W634" i="3"/>
  <c r="V1205" i="3"/>
  <c r="V1937" i="3"/>
  <c r="V286" i="3"/>
  <c r="W401" i="3"/>
  <c r="V970" i="3"/>
  <c r="V1956" i="3"/>
  <c r="V1217" i="3"/>
  <c r="V2206" i="3"/>
  <c r="W1086" i="3"/>
  <c r="V1034" i="3"/>
  <c r="V1250" i="3"/>
  <c r="V212" i="3"/>
  <c r="V784" i="3"/>
  <c r="V1504" i="3"/>
  <c r="V2416" i="3"/>
  <c r="V2038" i="3"/>
  <c r="W742" i="3"/>
  <c r="W1022" i="3"/>
  <c r="V615" i="3"/>
  <c r="W1275" i="3"/>
  <c r="V1057" i="3"/>
  <c r="V1808" i="3"/>
  <c r="V1533" i="3"/>
  <c r="V1957" i="3"/>
  <c r="W1787" i="3"/>
  <c r="V444" i="3"/>
  <c r="V110" i="3"/>
  <c r="W875" i="3"/>
  <c r="V1035" i="3"/>
  <c r="W1640" i="3"/>
  <c r="V394" i="3"/>
  <c r="W2180" i="3"/>
  <c r="W1701" i="3"/>
  <c r="W543" i="3"/>
  <c r="W2207" i="3"/>
  <c r="W836" i="3"/>
  <c r="W2309" i="3"/>
  <c r="W1712" i="3"/>
  <c r="V2293" i="3"/>
  <c r="W17" i="3"/>
  <c r="V2070" i="3"/>
  <c r="W808" i="3"/>
  <c r="W1533" i="3"/>
  <c r="V1613" i="3"/>
  <c r="W1061" i="3"/>
  <c r="W2464" i="3"/>
  <c r="W834" i="3"/>
  <c r="V2013" i="3"/>
  <c r="V379" i="3"/>
  <c r="W1004" i="3"/>
  <c r="V434" i="3"/>
  <c r="W1702" i="3"/>
  <c r="V2261" i="3"/>
  <c r="V1443" i="3"/>
  <c r="W1534" i="3"/>
  <c r="W1474" i="3"/>
  <c r="V2403" i="3"/>
  <c r="V2482" i="3"/>
  <c r="W29" i="3"/>
  <c r="W425" i="3"/>
  <c r="W1539" i="3"/>
  <c r="V347" i="3"/>
  <c r="W1304" i="3"/>
  <c r="W1396" i="3"/>
  <c r="W1814" i="3"/>
  <c r="W2316" i="3"/>
  <c r="V783" i="3"/>
  <c r="V395" i="3"/>
  <c r="V534" i="3"/>
  <c r="V1362" i="3"/>
  <c r="W284" i="3"/>
  <c r="V85" i="3"/>
  <c r="W1859" i="3"/>
  <c r="V2071" i="3"/>
  <c r="V1799" i="3"/>
  <c r="V716" i="3"/>
  <c r="V1514" i="3"/>
  <c r="W1711" i="3"/>
  <c r="W1871" i="3"/>
  <c r="V336" i="3"/>
  <c r="W348" i="3"/>
  <c r="W2334" i="3"/>
  <c r="W1716" i="3"/>
  <c r="V1928" i="3"/>
  <c r="W380" i="3"/>
  <c r="W1985" i="3"/>
  <c r="W795" i="3"/>
  <c r="W126" i="3"/>
  <c r="W700" i="3"/>
  <c r="W1788" i="3"/>
  <c r="W1881" i="3"/>
  <c r="V98" i="3"/>
  <c r="V1087" i="3"/>
  <c r="W1076" i="3"/>
  <c r="V797" i="3"/>
  <c r="V1075" i="3"/>
  <c r="W1133" i="3"/>
  <c r="V2052" i="3"/>
  <c r="V741" i="3"/>
  <c r="V364" i="3"/>
  <c r="W2026" i="3"/>
  <c r="W2101" i="3"/>
  <c r="V1998" i="3"/>
  <c r="V1411" i="3"/>
  <c r="V1388" i="3"/>
  <c r="V177" i="3"/>
  <c r="W221" i="3"/>
  <c r="W1252" i="3"/>
  <c r="W2371" i="3"/>
  <c r="V2465" i="3"/>
  <c r="W2165" i="3"/>
  <c r="W302" i="3"/>
  <c r="V1894" i="3"/>
  <c r="V735" i="3"/>
  <c r="V496" i="3"/>
  <c r="V1701" i="3"/>
  <c r="V1426" i="3"/>
  <c r="W948" i="3"/>
  <c r="V930" i="3"/>
  <c r="W451" i="3"/>
  <c r="V1628" i="3"/>
  <c r="V220" i="3"/>
  <c r="V1684" i="3"/>
  <c r="V2431" i="3"/>
  <c r="V231" i="3"/>
  <c r="W1205" i="3"/>
  <c r="W1191" i="3"/>
  <c r="V1747" i="3"/>
  <c r="W286" i="3"/>
  <c r="W2511" i="3"/>
  <c r="W633" i="3"/>
  <c r="V250" i="3"/>
  <c r="W1612" i="3"/>
  <c r="W163" i="3"/>
  <c r="V1936" i="3"/>
  <c r="W2308" i="3"/>
  <c r="W1589" i="3"/>
  <c r="W96" i="3"/>
  <c r="V1056" i="3"/>
  <c r="W212" i="3"/>
  <c r="V1858" i="3"/>
  <c r="W1504" i="3"/>
  <c r="W2416" i="3"/>
  <c r="V1579" i="3"/>
  <c r="V2536" i="3"/>
  <c r="V1275" i="3"/>
  <c r="W1057" i="3"/>
  <c r="W1157" i="3"/>
  <c r="V971" i="3"/>
  <c r="V957" i="3"/>
  <c r="V1612" i="3"/>
  <c r="V163" i="3"/>
  <c r="W444" i="3"/>
  <c r="V524" i="3"/>
  <c r="W1035" i="3"/>
  <c r="V1021" i="3"/>
  <c r="W2351" i="3"/>
  <c r="V1168" i="3"/>
  <c r="V1786" i="3"/>
  <c r="V543" i="3"/>
  <c r="W1846" i="3"/>
  <c r="W426" i="3"/>
  <c r="W1929" i="3"/>
  <c r="W2293" i="3"/>
  <c r="V445" i="3"/>
  <c r="V17" i="3"/>
  <c r="W15" i="3"/>
  <c r="V1232" i="3"/>
  <c r="W347" i="3"/>
  <c r="V2131" i="3"/>
  <c r="W2185" i="3"/>
  <c r="V469" i="3"/>
  <c r="W514" i="3"/>
  <c r="W394" i="3"/>
  <c r="V1702" i="3"/>
  <c r="V460" i="3"/>
  <c r="W2261" i="3"/>
  <c r="V776" i="3"/>
  <c r="V1534" i="3"/>
  <c r="V2171" i="3"/>
  <c r="V1474" i="3"/>
  <c r="W2403" i="3"/>
  <c r="W478" i="3"/>
  <c r="W1148" i="3"/>
  <c r="V751" i="3"/>
  <c r="W84" i="3"/>
  <c r="V834" i="3"/>
  <c r="W1928" i="3"/>
  <c r="V1488" i="3"/>
  <c r="W434" i="3"/>
  <c r="W1362" i="3"/>
  <c r="W1020" i="3"/>
  <c r="W85" i="3"/>
  <c r="W506" i="3"/>
  <c r="V685" i="3"/>
  <c r="W2071" i="3"/>
  <c r="W1799" i="3"/>
  <c r="W716" i="3"/>
  <c r="V1124" i="3"/>
  <c r="V1274" i="3"/>
  <c r="W1346" i="3"/>
  <c r="V1318" i="3"/>
  <c r="V488" i="3"/>
  <c r="V2026" i="3"/>
  <c r="V835" i="3"/>
  <c r="W1569" i="3"/>
  <c r="V603" i="3"/>
  <c r="V1985" i="3"/>
  <c r="W1776" i="3"/>
  <c r="W2317" i="3"/>
  <c r="V1092" i="3"/>
  <c r="W1328" i="3"/>
  <c r="V785" i="3"/>
  <c r="W1347" i="3"/>
  <c r="V1073" i="3"/>
  <c r="W460" i="3"/>
  <c r="V796" i="3"/>
  <c r="W231" i="3"/>
  <c r="V659" i="3"/>
  <c r="V1190" i="3"/>
  <c r="V338" i="3"/>
  <c r="V285" i="3"/>
  <c r="W1168" i="3"/>
  <c r="V1561" i="3"/>
  <c r="V1929" i="3"/>
  <c r="W445" i="3"/>
  <c r="V750" i="3"/>
  <c r="W699" i="3"/>
  <c r="W776" i="3"/>
  <c r="V849" i="3"/>
  <c r="W336" i="3"/>
  <c r="W269" i="3"/>
  <c r="V2087" i="3"/>
  <c r="V125" i="3"/>
  <c r="V479" i="3"/>
  <c r="W1490" i="3"/>
  <c r="V1412" i="3"/>
  <c r="W471" i="3"/>
  <c r="V425" i="3"/>
  <c r="W1761" i="3"/>
  <c r="W1178" i="3"/>
  <c r="W364" i="3"/>
  <c r="W1388" i="3"/>
  <c r="W561" i="3"/>
  <c r="W2028" i="3"/>
  <c r="V1375" i="3"/>
  <c r="V1055" i="3"/>
  <c r="V986" i="3"/>
  <c r="W1021" i="3"/>
  <c r="W2402" i="3"/>
  <c r="V2185" i="3"/>
  <c r="W1489" i="3"/>
  <c r="V865" i="3"/>
  <c r="W1075" i="3"/>
  <c r="V2151" i="3"/>
  <c r="V2193" i="3"/>
  <c r="W735" i="3"/>
  <c r="V887" i="3"/>
  <c r="W796" i="3"/>
  <c r="V2028" i="3"/>
  <c r="W1922" i="3"/>
  <c r="W585" i="3"/>
  <c r="W338" i="3"/>
  <c r="W1232" i="3"/>
  <c r="V1524" i="3"/>
  <c r="V1683" i="3"/>
  <c r="V1655" i="3"/>
  <c r="V736" i="3"/>
  <c r="V2140" i="3"/>
  <c r="W751" i="3"/>
  <c r="V848" i="3"/>
  <c r="W125" i="3"/>
  <c r="V1490" i="3"/>
  <c r="W1412" i="3"/>
  <c r="V471" i="3"/>
  <c r="W2505" i="3"/>
  <c r="V1396" i="3"/>
  <c r="V325" i="3"/>
  <c r="W1832" i="3"/>
  <c r="W1684" i="3"/>
  <c r="W1327" i="3"/>
  <c r="W1056" i="3"/>
  <c r="W1579" i="3"/>
  <c r="V914" i="3"/>
  <c r="V2086" i="3"/>
  <c r="W1845" i="3"/>
  <c r="V2242" i="3"/>
  <c r="W1204" i="3"/>
  <c r="W410" i="3"/>
  <c r="W865" i="3"/>
  <c r="V1881" i="3"/>
  <c r="W98" i="3"/>
  <c r="V2336" i="3"/>
  <c r="V1093" i="3"/>
  <c r="V1376" i="3"/>
  <c r="W1087" i="3"/>
  <c r="W797" i="3"/>
  <c r="V61" i="3"/>
  <c r="V1305" i="3"/>
  <c r="W1177" i="3"/>
  <c r="W562" i="3"/>
  <c r="W1809" i="3"/>
  <c r="V326" i="3"/>
  <c r="V604" i="3"/>
  <c r="W1777" i="3"/>
  <c r="W2069" i="3"/>
  <c r="W986" i="3"/>
  <c r="W1319" i="3"/>
  <c r="W230" i="3"/>
  <c r="W750" i="3"/>
  <c r="W388" i="3"/>
  <c r="V381" i="3"/>
  <c r="W1641" i="3"/>
  <c r="W1513" i="3"/>
  <c r="V1265" i="3"/>
  <c r="W2242" i="3"/>
  <c r="V1824" i="3"/>
  <c r="V410" i="3"/>
  <c r="W2449" i="3"/>
  <c r="W685" i="3"/>
  <c r="W1274" i="3"/>
  <c r="W488" i="3"/>
  <c r="W1578" i="3"/>
  <c r="W1561" i="3"/>
  <c r="V900" i="3"/>
  <c r="W2206" i="3"/>
  <c r="V60" i="3"/>
  <c r="W736" i="3"/>
  <c r="W1093" i="3"/>
  <c r="V349" i="3"/>
  <c r="W61" i="3"/>
  <c r="W210" i="3"/>
  <c r="W177" i="3"/>
  <c r="V625" i="3"/>
  <c r="W1523" i="3"/>
  <c r="V2335" i="3"/>
  <c r="W604" i="3"/>
  <c r="W2085" i="3"/>
  <c r="V1777" i="3"/>
  <c r="W1747" i="3"/>
  <c r="W1808" i="3"/>
  <c r="V2223" i="3"/>
  <c r="V949" i="3"/>
  <c r="W971" i="3"/>
  <c r="W1683" i="3"/>
  <c r="V73" i="3"/>
  <c r="W381" i="3"/>
  <c r="V1846" i="3"/>
  <c r="W1824" i="3"/>
  <c r="W783" i="3"/>
  <c r="W1265" i="3"/>
  <c r="W470" i="3"/>
  <c r="V2449" i="3"/>
  <c r="W1291" i="3"/>
  <c r="W741" i="3"/>
  <c r="W1731" i="3"/>
  <c r="W624" i="3"/>
  <c r="V1627" i="3"/>
  <c r="W489" i="3"/>
  <c r="V2352" i="3"/>
  <c r="V1746" i="3"/>
  <c r="V269" i="3"/>
  <c r="W479" i="3"/>
  <c r="V1178" i="3"/>
  <c r="V1273" i="3"/>
  <c r="W2052" i="3"/>
  <c r="W526" i="3"/>
  <c r="W1798" i="3"/>
  <c r="V1669" i="3"/>
  <c r="W2292" i="3"/>
  <c r="W1694" i="3"/>
  <c r="V1999" i="3"/>
  <c r="W190" i="3"/>
  <c r="V124" i="3"/>
  <c r="V988" i="3"/>
  <c r="W807" i="3"/>
  <c r="W1858" i="3"/>
  <c r="V284" i="3"/>
  <c r="V1169" i="3"/>
  <c r="W949" i="3"/>
  <c r="W2131" i="3"/>
  <c r="W2315" i="3"/>
  <c r="W73" i="3"/>
  <c r="V259" i="3"/>
  <c r="V1555" i="3"/>
  <c r="V1924" i="3"/>
  <c r="W1264" i="3"/>
  <c r="W1488" i="3"/>
  <c r="W573" i="3"/>
  <c r="V2464" i="3"/>
  <c r="V470" i="3"/>
  <c r="V1942" i="3"/>
  <c r="V506" i="3"/>
  <c r="W1124" i="3"/>
  <c r="V1074" i="3"/>
  <c r="W835" i="3"/>
  <c r="W1942" i="3"/>
  <c r="V96" i="3"/>
  <c r="V240" i="3"/>
  <c r="W2171" i="3"/>
  <c r="V938" i="3"/>
  <c r="V1614" i="3"/>
  <c r="V435" i="3"/>
  <c r="W409" i="3"/>
  <c r="V526" i="3"/>
  <c r="W2506" i="3"/>
  <c r="V260" i="3"/>
  <c r="W1442" i="3"/>
  <c r="W1290" i="3"/>
  <c r="V1360" i="3"/>
  <c r="V1694" i="3"/>
  <c r="W1999" i="3"/>
  <c r="V605" i="3"/>
  <c r="W370" i="3"/>
  <c r="V1191" i="3"/>
  <c r="V699" i="3"/>
  <c r="W1169" i="3"/>
  <c r="V489" i="3"/>
  <c r="V1845" i="3"/>
  <c r="V190" i="3"/>
  <c r="V426" i="3"/>
  <c r="V1710" i="3"/>
  <c r="W900" i="3"/>
  <c r="V875" i="3"/>
  <c r="V2351" i="3"/>
  <c r="W1956" i="3"/>
  <c r="V1569" i="3"/>
  <c r="W671" i="3"/>
  <c r="W1217" i="3"/>
  <c r="V820" i="3"/>
  <c r="W1614" i="3"/>
  <c r="V191" i="3"/>
  <c r="V29" i="3"/>
  <c r="V1204" i="3"/>
  <c r="W728" i="3"/>
  <c r="W435" i="3"/>
  <c r="V2317" i="3"/>
  <c r="V2276" i="3"/>
  <c r="V1731" i="3"/>
  <c r="V1328" i="3"/>
  <c r="V1442" i="3"/>
  <c r="W930" i="3"/>
  <c r="V901" i="3"/>
  <c r="W683" i="3"/>
  <c r="W1458" i="3"/>
  <c r="V1945" i="3"/>
  <c r="W339" i="3"/>
  <c r="V606" i="3"/>
  <c r="W252" i="3"/>
  <c r="V2119" i="3"/>
  <c r="V472" i="3"/>
  <c r="W318" i="3"/>
  <c r="V2225" i="3"/>
  <c r="W480" i="3"/>
  <c r="W587" i="3"/>
  <c r="V1170" i="3"/>
  <c r="V2417" i="3"/>
  <c r="W2433" i="3"/>
  <c r="W1307" i="3"/>
  <c r="V453" i="3"/>
  <c r="W1135" i="3"/>
  <c r="W527" i="3"/>
  <c r="W1713" i="3"/>
  <c r="V1778" i="3"/>
  <c r="W462" i="3"/>
  <c r="V2294" i="3"/>
  <c r="V1685" i="3"/>
  <c r="V366" i="3"/>
  <c r="V1363" i="3"/>
  <c r="V1987" i="3"/>
  <c r="V2466" i="3"/>
  <c r="V889" i="3"/>
  <c r="W2015" i="3"/>
  <c r="W1389" i="3"/>
  <c r="W1329" i="3"/>
  <c r="V1525" i="3"/>
  <c r="W1491" i="3"/>
  <c r="V717" i="3"/>
  <c r="W1630" i="3"/>
  <c r="W127" i="3"/>
  <c r="W327" i="3"/>
  <c r="W1398" i="3"/>
  <c r="W1718" i="3"/>
  <c r="V1695" i="3"/>
  <c r="V1882" i="3"/>
  <c r="V242" i="3"/>
  <c r="W2166" i="3"/>
  <c r="V2318" i="3"/>
  <c r="W536" i="3"/>
  <c r="V1515" i="3"/>
  <c r="V2054" i="3"/>
  <c r="V2353" i="3"/>
  <c r="V1460" i="3"/>
  <c r="V1428" i="3"/>
  <c r="V516" i="3"/>
  <c r="W178" i="3"/>
  <c r="W271" i="3"/>
  <c r="W1657" i="3"/>
  <c r="V2088" i="3"/>
  <c r="W1834" i="3"/>
  <c r="V490" i="3"/>
  <c r="V192" i="3"/>
  <c r="W2103" i="3"/>
  <c r="V303" i="3"/>
  <c r="V1580" i="3"/>
  <c r="W606" i="3"/>
  <c r="V318" i="3"/>
  <c r="W2153" i="3"/>
  <c r="W1535" i="3"/>
  <c r="W2466" i="3"/>
  <c r="V1329" i="3"/>
  <c r="V327" i="3"/>
  <c r="W916" i="3"/>
  <c r="V777" i="3"/>
  <c r="W2119" i="3"/>
  <c r="W472" i="3"/>
  <c r="V662" i="3"/>
  <c r="W2225" i="3"/>
  <c r="V810" i="3"/>
  <c r="V587" i="3"/>
  <c r="W1170" i="3"/>
  <c r="V2433" i="3"/>
  <c r="V1307" i="3"/>
  <c r="W453" i="3"/>
  <c r="V2507" i="3"/>
  <c r="V527" i="3"/>
  <c r="V1713" i="3"/>
  <c r="W507" i="3"/>
  <c r="V462" i="3"/>
  <c r="W2294" i="3"/>
  <c r="W1987" i="3"/>
  <c r="V673" i="3"/>
  <c r="V1253" i="3"/>
  <c r="W889" i="3"/>
  <c r="V730" i="3"/>
  <c r="W4" i="3"/>
  <c r="W1925" i="3"/>
  <c r="V1816" i="3"/>
  <c r="V31" i="3"/>
  <c r="W717" i="3"/>
  <c r="V1630" i="3"/>
  <c r="W390" i="3"/>
  <c r="V1718" i="3"/>
  <c r="W1695" i="3"/>
  <c r="V1047" i="3"/>
  <c r="V232" i="3"/>
  <c r="V437" i="3"/>
  <c r="W242" i="3"/>
  <c r="V1547" i="3"/>
  <c r="W2318" i="3"/>
  <c r="W1515" i="3"/>
  <c r="W2353" i="3"/>
  <c r="W1460" i="3"/>
  <c r="W1428" i="3"/>
  <c r="W516" i="3"/>
  <c r="W1219" i="3"/>
  <c r="V213" i="3"/>
  <c r="V1657" i="3"/>
  <c r="V1571" i="3"/>
  <c r="V1192" i="3"/>
  <c r="W2088" i="3"/>
  <c r="V1834" i="3"/>
  <c r="V1847" i="3"/>
  <c r="W192" i="3"/>
  <c r="W1930" i="3"/>
  <c r="W2450" i="3"/>
  <c r="W303" i="3"/>
  <c r="W1580" i="3"/>
  <c r="W1945" i="3"/>
  <c r="V480" i="3"/>
  <c r="W1150" i="3"/>
  <c r="V1135" i="3"/>
  <c r="W1685" i="3"/>
  <c r="W1525" i="3"/>
  <c r="V1398" i="3"/>
  <c r="W890" i="3"/>
  <c r="V536" i="3"/>
  <c r="V2513" i="3"/>
  <c r="V575" i="3"/>
  <c r="W203" i="3"/>
  <c r="V222" i="3"/>
  <c r="W777" i="3"/>
  <c r="V99" i="3"/>
  <c r="V1860" i="3"/>
  <c r="W662" i="3"/>
  <c r="W1562" i="3"/>
  <c r="W810" i="3"/>
  <c r="V877" i="3"/>
  <c r="V959" i="3"/>
  <c r="V1320" i="3"/>
  <c r="V1077" i="3"/>
  <c r="V786" i="3"/>
  <c r="V1006" i="3"/>
  <c r="V762" i="3"/>
  <c r="W2507" i="3"/>
  <c r="V507" i="3"/>
  <c r="V2072" i="3"/>
  <c r="W403" i="3"/>
  <c r="W1826" i="3"/>
  <c r="W673" i="3"/>
  <c r="W1253" i="3"/>
  <c r="V902" i="3"/>
  <c r="V1444" i="3"/>
  <c r="W730" i="3"/>
  <c r="V941" i="3"/>
  <c r="V1925" i="3"/>
  <c r="W1816" i="3"/>
  <c r="W31" i="3"/>
  <c r="V2000" i="3"/>
  <c r="V1959" i="3"/>
  <c r="V390" i="3"/>
  <c r="V2404" i="3"/>
  <c r="W2525" i="3"/>
  <c r="V1036" i="3"/>
  <c r="W1047" i="3"/>
  <c r="V2141" i="3"/>
  <c r="W232" i="3"/>
  <c r="W437" i="3"/>
  <c r="V1556" i="3"/>
  <c r="W1547" i="3"/>
  <c r="V396" i="3"/>
  <c r="V350" i="3"/>
  <c r="V626" i="3"/>
  <c r="V1219" i="3"/>
  <c r="W213" i="3"/>
  <c r="V635" i="3"/>
  <c r="W1571" i="3"/>
  <c r="W1192" i="3"/>
  <c r="W1847" i="3"/>
  <c r="W446" i="3"/>
  <c r="V1930" i="3"/>
  <c r="V2450" i="3"/>
  <c r="V1180" i="3"/>
  <c r="V2133" i="3"/>
  <c r="V252" i="3"/>
  <c r="W1206" i="3"/>
  <c r="W2372" i="3"/>
  <c r="W1475" i="3"/>
  <c r="V18" i="3"/>
  <c r="W1266" i="3"/>
  <c r="W222" i="3"/>
  <c r="V1591" i="3"/>
  <c r="V2278" i="3"/>
  <c r="W99" i="3"/>
  <c r="V287" i="3"/>
  <c r="W1860" i="3"/>
  <c r="V112" i="3"/>
  <c r="V1562" i="3"/>
  <c r="V2337" i="3"/>
  <c r="W877" i="3"/>
  <c r="W959" i="3"/>
  <c r="W1320" i="3"/>
  <c r="W1077" i="3"/>
  <c r="W786" i="3"/>
  <c r="W1006" i="3"/>
  <c r="W762" i="3"/>
  <c r="V2195" i="3"/>
  <c r="V648" i="3"/>
  <c r="W2072" i="3"/>
  <c r="V403" i="3"/>
  <c r="V1826" i="3"/>
  <c r="V2388" i="3"/>
  <c r="W902" i="3"/>
  <c r="W1444" i="3"/>
  <c r="V2208" i="3"/>
  <c r="W941" i="3"/>
  <c r="V1896" i="3"/>
  <c r="V1763" i="3"/>
  <c r="W2000" i="3"/>
  <c r="W1959" i="3"/>
  <c r="V261" i="3"/>
  <c r="W1810" i="3"/>
  <c r="W2404" i="3"/>
  <c r="V2525" i="3"/>
  <c r="W1036" i="3"/>
  <c r="V1094" i="3"/>
  <c r="W2141" i="3"/>
  <c r="V616" i="3"/>
  <c r="W1556" i="3"/>
  <c r="V753" i="3"/>
  <c r="W411" i="3"/>
  <c r="W396" i="3"/>
  <c r="W350" i="3"/>
  <c r="W626" i="3"/>
  <c r="W635" i="3"/>
  <c r="V1615" i="3"/>
  <c r="V1292" i="3"/>
  <c r="V446" i="3"/>
  <c r="V1023" i="3"/>
  <c r="V737" i="3"/>
  <c r="W1180" i="3"/>
  <c r="W2133" i="3"/>
  <c r="W1778" i="3"/>
  <c r="V1491" i="3"/>
  <c r="W152" i="3"/>
  <c r="W1276" i="3"/>
  <c r="W2187" i="3"/>
  <c r="W2243" i="3"/>
  <c r="V2103" i="3"/>
  <c r="W1938" i="3"/>
  <c r="W1591" i="3"/>
  <c r="V686" i="3"/>
  <c r="W2278" i="3"/>
  <c r="W287" i="3"/>
  <c r="V1671" i="3"/>
  <c r="W112" i="3"/>
  <c r="W2337" i="3"/>
  <c r="V2500" i="3"/>
  <c r="V552" i="3"/>
  <c r="V1159" i="3"/>
  <c r="V45" i="3"/>
  <c r="V179" i="3"/>
  <c r="W1733" i="3"/>
  <c r="W2195" i="3"/>
  <c r="W648" i="3"/>
  <c r="V866" i="3"/>
  <c r="V1600" i="3"/>
  <c r="W2388" i="3"/>
  <c r="W1789" i="3"/>
  <c r="W2208" i="3"/>
  <c r="W1896" i="3"/>
  <c r="W1763" i="3"/>
  <c r="W261" i="3"/>
  <c r="V1810" i="3"/>
  <c r="V701" i="3"/>
  <c r="W1094" i="3"/>
  <c r="V1377" i="3"/>
  <c r="W616" i="3"/>
  <c r="V1101" i="3"/>
  <c r="W753" i="3"/>
  <c r="V411" i="3"/>
  <c r="V850" i="3"/>
  <c r="V2262" i="3"/>
  <c r="V821" i="3"/>
  <c r="V1234" i="3"/>
  <c r="W427" i="3"/>
  <c r="W1910" i="3"/>
  <c r="V989" i="3"/>
  <c r="V1125" i="3"/>
  <c r="W1615" i="3"/>
  <c r="W563" i="3"/>
  <c r="W1292" i="3"/>
  <c r="V372" i="3"/>
  <c r="W1023" i="3"/>
  <c r="W737" i="3"/>
  <c r="W63" i="3"/>
  <c r="W165" i="3"/>
  <c r="W2417" i="3"/>
  <c r="V1389" i="3"/>
  <c r="V127" i="3"/>
  <c r="W1882" i="3"/>
  <c r="W2054" i="3"/>
  <c r="V271" i="3"/>
  <c r="W490" i="3"/>
  <c r="W1972" i="3"/>
  <c r="V1938" i="3"/>
  <c r="W1642" i="3"/>
  <c r="W686" i="3"/>
  <c r="V1349" i="3"/>
  <c r="W1671" i="3"/>
  <c r="V136" i="3"/>
  <c r="W2500" i="3"/>
  <c r="W552" i="3"/>
  <c r="W1159" i="3"/>
  <c r="V2310" i="3"/>
  <c r="W45" i="3"/>
  <c r="W179" i="3"/>
  <c r="V1733" i="3"/>
  <c r="W454" i="3"/>
  <c r="V1413" i="3"/>
  <c r="W499" i="3"/>
  <c r="W866" i="3"/>
  <c r="W1873" i="3"/>
  <c r="W1600" i="3"/>
  <c r="W2029" i="3"/>
  <c r="W1541" i="3"/>
  <c r="V1789" i="3"/>
  <c r="V1115" i="3"/>
  <c r="V1800" i="3"/>
  <c r="W382" i="3"/>
  <c r="V75" i="3"/>
  <c r="V2484" i="3"/>
  <c r="W701" i="3"/>
  <c r="V837" i="3"/>
  <c r="W1377" i="3"/>
  <c r="V2181" i="3"/>
  <c r="W1101" i="3"/>
  <c r="V1088" i="3"/>
  <c r="V973" i="3"/>
  <c r="W850" i="3"/>
  <c r="V2483" i="3"/>
  <c r="W2262" i="3"/>
  <c r="W821" i="3"/>
  <c r="W1234" i="3"/>
  <c r="V427" i="3"/>
  <c r="V1910" i="3"/>
  <c r="W989" i="3"/>
  <c r="W1125" i="3"/>
  <c r="V1058" i="3"/>
  <c r="V563" i="3"/>
  <c r="V86" i="3"/>
  <c r="W372" i="3"/>
  <c r="V1703" i="3"/>
  <c r="V2172" i="3"/>
  <c r="V339" i="3"/>
  <c r="W950" i="3"/>
  <c r="W1063" i="3"/>
  <c r="V2537" i="3"/>
  <c r="W366" i="3"/>
  <c r="V2015" i="3"/>
  <c r="W2039" i="3"/>
  <c r="W544" i="3"/>
  <c r="V2166" i="3"/>
  <c r="V178" i="3"/>
  <c r="V63" i="3"/>
  <c r="V1642" i="3"/>
  <c r="W1349" i="3"/>
  <c r="V743" i="3"/>
  <c r="W136" i="3"/>
  <c r="V165" i="3"/>
  <c r="V950" i="3"/>
  <c r="V2153" i="3"/>
  <c r="V1150" i="3"/>
  <c r="V1748" i="3"/>
  <c r="V1063" i="3"/>
  <c r="W2310" i="3"/>
  <c r="V454" i="3"/>
  <c r="W1413" i="3"/>
  <c r="V499" i="3"/>
  <c r="V1535" i="3"/>
  <c r="V1873" i="3"/>
  <c r="V2029" i="3"/>
  <c r="V1541" i="3"/>
  <c r="V1206" i="3"/>
  <c r="W1115" i="3"/>
  <c r="W1800" i="3"/>
  <c r="V382" i="3"/>
  <c r="V2039" i="3"/>
  <c r="W75" i="3"/>
  <c r="W2484" i="3"/>
  <c r="V544" i="3"/>
  <c r="V152" i="3"/>
  <c r="V798" i="3"/>
  <c r="W837" i="3"/>
  <c r="V890" i="3"/>
  <c r="W2181" i="3"/>
  <c r="V2372" i="3"/>
  <c r="W1088" i="3"/>
  <c r="V1276" i="3"/>
  <c r="W973" i="3"/>
  <c r="V916" i="3"/>
  <c r="W2483" i="3"/>
  <c r="V1475" i="3"/>
  <c r="V2187" i="3"/>
  <c r="W2513" i="3"/>
  <c r="W1505" i="3"/>
  <c r="W18" i="3"/>
  <c r="V2243" i="3"/>
  <c r="W575" i="3"/>
  <c r="W1058" i="3"/>
  <c r="V932" i="3"/>
  <c r="W86" i="3"/>
  <c r="W1703" i="3"/>
  <c r="V1266" i="3"/>
  <c r="V203" i="3"/>
  <c r="W2172" i="3"/>
  <c r="V1972" i="3"/>
  <c r="W743" i="3"/>
  <c r="W1748" i="3"/>
  <c r="W1363" i="3"/>
  <c r="W798" i="3"/>
  <c r="V1505" i="3"/>
  <c r="W932" i="3"/>
  <c r="V46" i="3"/>
  <c r="V2209" i="3"/>
  <c r="W738" i="3"/>
  <c r="W508" i="3"/>
  <c r="W517" i="3"/>
  <c r="W1734" i="3"/>
  <c r="W754" i="3"/>
  <c r="W2089" i="3"/>
  <c r="V2354" i="3"/>
  <c r="V1563" i="3"/>
  <c r="W2311" i="3"/>
  <c r="W1037" i="3"/>
  <c r="V2134" i="3"/>
  <c r="V2338" i="3"/>
  <c r="V1526" i="3"/>
  <c r="V2188" i="3"/>
  <c r="V243" i="3"/>
  <c r="V878" i="3"/>
  <c r="V1790" i="3"/>
  <c r="V100" i="3"/>
  <c r="V1536" i="3"/>
  <c r="W702" i="3"/>
  <c r="V2485" i="3"/>
  <c r="W1817" i="3"/>
  <c r="V2196" i="3"/>
  <c r="W2016" i="3"/>
  <c r="V2295" i="3"/>
  <c r="V113" i="3"/>
  <c r="W933" i="3"/>
  <c r="V288" i="3"/>
  <c r="V1704" i="3"/>
  <c r="V1267" i="3"/>
  <c r="W1308" i="3"/>
  <c r="V2189" i="3"/>
  <c r="W2189" i="3"/>
  <c r="V263" i="3"/>
  <c r="W263" i="3"/>
  <c r="W2486" i="3"/>
  <c r="V2486" i="3"/>
  <c r="V2312" i="3"/>
  <c r="W2312" i="3"/>
  <c r="W1331" i="3"/>
  <c r="V1331" i="3"/>
  <c r="V675" i="3"/>
  <c r="W675" i="3"/>
  <c r="V2468" i="3"/>
  <c r="W2468" i="3"/>
  <c r="V384" i="3"/>
  <c r="W384" i="3"/>
  <c r="W482" i="3"/>
  <c r="V482" i="3"/>
  <c r="V194" i="3"/>
  <c r="W194" i="3"/>
  <c r="V305" i="3"/>
  <c r="W305" i="3"/>
  <c r="V2419" i="3"/>
  <c r="W2419" i="3"/>
  <c r="V1687" i="3"/>
  <c r="W1687" i="3"/>
  <c r="V2339" i="3"/>
  <c r="W2339" i="3"/>
  <c r="W2390" i="3"/>
  <c r="V2390" i="3"/>
  <c r="V2090" i="3"/>
  <c r="W2090" i="3"/>
  <c r="V1644" i="3"/>
  <c r="W1644" i="3"/>
  <c r="V2280" i="3"/>
  <c r="W2280" i="3"/>
  <c r="V1462" i="3"/>
  <c r="W1462" i="3"/>
  <c r="V961" i="3"/>
  <c r="W961" i="3"/>
  <c r="V1735" i="3"/>
  <c r="W1735" i="3"/>
  <c r="V1365" i="3"/>
  <c r="W1365" i="3"/>
  <c r="W1351" i="3"/>
  <c r="V1351" i="3"/>
  <c r="V1172" i="3"/>
  <c r="W1172" i="3"/>
  <c r="V719" i="3"/>
  <c r="W719" i="3"/>
  <c r="V1268" i="3"/>
  <c r="W1268" i="3"/>
  <c r="V405" i="3"/>
  <c r="W405" i="3"/>
  <c r="V952" i="3"/>
  <c r="W952" i="3"/>
  <c r="V2467" i="3"/>
  <c r="W1330" i="3"/>
  <c r="W1193" i="3"/>
  <c r="W917" i="3"/>
  <c r="W891" i="3"/>
  <c r="V76" i="3"/>
  <c r="W2030" i="3"/>
  <c r="V304" i="3"/>
  <c r="W1973" i="3"/>
  <c r="V636" i="3"/>
  <c r="V687" i="3"/>
  <c r="V822" i="3"/>
  <c r="V1102" i="3"/>
  <c r="V545" i="3"/>
  <c r="W193" i="3"/>
  <c r="W2526" i="3"/>
  <c r="W1136" i="3"/>
  <c r="V2501" i="3"/>
  <c r="W2142" i="3"/>
  <c r="W1835" i="3"/>
  <c r="V738" i="3"/>
  <c r="W1827" i="3"/>
  <c r="V508" i="3"/>
  <c r="V517" i="3"/>
  <c r="W1672" i="3"/>
  <c r="V2434" i="3"/>
  <c r="V754" i="3"/>
  <c r="V2089" i="3"/>
  <c r="V367" i="3"/>
  <c r="V1874" i="3"/>
  <c r="W1064" i="3"/>
  <c r="V2311" i="3"/>
  <c r="W867" i="3"/>
  <c r="V1037" i="3"/>
  <c r="W674" i="3"/>
  <c r="V2418" i="3"/>
  <c r="W1526" i="3"/>
  <c r="W942" i="3"/>
  <c r="W1696" i="3"/>
  <c r="W1931" i="3"/>
  <c r="W1516" i="3"/>
  <c r="W1321" i="3"/>
  <c r="W990" i="3"/>
  <c r="W1790" i="3"/>
  <c r="V383" i="3"/>
  <c r="V1542" i="3"/>
  <c r="V447" i="3"/>
  <c r="W1476" i="3"/>
  <c r="V702" i="3"/>
  <c r="W851" i="3"/>
  <c r="W2485" i="3"/>
  <c r="W617" i="3"/>
  <c r="W180" i="3"/>
  <c r="V1686" i="3"/>
  <c r="V2016" i="3"/>
  <c r="W576" i="3"/>
  <c r="V933" i="3"/>
  <c r="V1926" i="3"/>
  <c r="W1267" i="3"/>
  <c r="V1308" i="3"/>
  <c r="V2121" i="3"/>
  <c r="W2121" i="3"/>
  <c r="V1103" i="3"/>
  <c r="W1103" i="3"/>
  <c r="V1430" i="3"/>
  <c r="W1430" i="3"/>
  <c r="W538" i="3"/>
  <c r="V538" i="3"/>
  <c r="V918" i="3"/>
  <c r="W918" i="3"/>
  <c r="V1780" i="3"/>
  <c r="W1780" i="3"/>
  <c r="V1236" i="3"/>
  <c r="W1236" i="3"/>
  <c r="V289" i="3"/>
  <c r="W289" i="3"/>
  <c r="V1507" i="3"/>
  <c r="W1507" i="3"/>
  <c r="W1391" i="3"/>
  <c r="V1391" i="3"/>
  <c r="V1791" i="3"/>
  <c r="W1791" i="3"/>
  <c r="V755" i="3"/>
  <c r="W755" i="3"/>
  <c r="V2074" i="3"/>
  <c r="W2074" i="3"/>
  <c r="V991" i="3"/>
  <c r="W991" i="3"/>
  <c r="W2502" i="3"/>
  <c r="V2502" i="3"/>
  <c r="V1543" i="3"/>
  <c r="W1543" i="3"/>
  <c r="V244" i="3"/>
  <c r="W244" i="3"/>
  <c r="V1049" i="3"/>
  <c r="W1049" i="3"/>
  <c r="V413" i="3"/>
  <c r="W413" i="3"/>
  <c r="V215" i="3"/>
  <c r="W215" i="3"/>
  <c r="V2435" i="3"/>
  <c r="W2435" i="3"/>
  <c r="V47" i="3"/>
  <c r="W47" i="3"/>
  <c r="W1415" i="3"/>
  <c r="V1415" i="3"/>
  <c r="V1940" i="3"/>
  <c r="W1940" i="3"/>
  <c r="V492" i="3"/>
  <c r="W492" i="3"/>
  <c r="W439" i="3"/>
  <c r="V439" i="3"/>
  <c r="V812" i="3"/>
  <c r="W812" i="3"/>
  <c r="W2041" i="3"/>
  <c r="V2041" i="3"/>
  <c r="W2182" i="3"/>
  <c r="V1330" i="3"/>
  <c r="V1193" i="3"/>
  <c r="V917" i="3"/>
  <c r="V891" i="3"/>
  <c r="W974" i="3"/>
  <c r="V1581" i="3"/>
  <c r="W811" i="3"/>
  <c r="W2405" i="3"/>
  <c r="V2056" i="3"/>
  <c r="W2056" i="3"/>
  <c r="I2057" i="3"/>
  <c r="V1557" i="3"/>
  <c r="W1378" i="3"/>
  <c r="W1007" i="3"/>
  <c r="W272" i="3"/>
  <c r="W1939" i="3"/>
  <c r="W473" i="3"/>
  <c r="W224" i="3"/>
  <c r="V193" i="3"/>
  <c r="V1136" i="3"/>
  <c r="W2501" i="3"/>
  <c r="W5" i="3"/>
  <c r="W32" i="3"/>
  <c r="V2142" i="3"/>
  <c r="V1835" i="3"/>
  <c r="V1827" i="3"/>
  <c r="V607" i="3"/>
  <c r="V1221" i="3"/>
  <c r="W1221" i="3"/>
  <c r="I1222" i="3"/>
  <c r="P1222" i="3" s="1"/>
  <c r="V1672" i="3"/>
  <c r="V2001" i="3"/>
  <c r="W2434" i="3"/>
  <c r="W367" i="3"/>
  <c r="W1874" i="3"/>
  <c r="V1064" i="3"/>
  <c r="V1714" i="3"/>
  <c r="V867" i="3"/>
  <c r="W398" i="3"/>
  <c r="V398" i="3"/>
  <c r="I399" i="3"/>
  <c r="W731" i="3"/>
  <c r="V674" i="3"/>
  <c r="W2418" i="3"/>
  <c r="W663" i="3"/>
  <c r="V942" i="3"/>
  <c r="V1696" i="3"/>
  <c r="V1931" i="3"/>
  <c r="V1516" i="3"/>
  <c r="V1321" i="3"/>
  <c r="W233" i="3"/>
  <c r="V990" i="3"/>
  <c r="W383" i="3"/>
  <c r="W1542" i="3"/>
  <c r="W447" i="3"/>
  <c r="V1476" i="3"/>
  <c r="V1171" i="3"/>
  <c r="V851" i="3"/>
  <c r="V617" i="3"/>
  <c r="V180" i="3"/>
  <c r="W1686" i="3"/>
  <c r="W1461" i="3"/>
  <c r="V576" i="3"/>
  <c r="W1926" i="3"/>
  <c r="W1350" i="3"/>
  <c r="W1616" i="3"/>
  <c r="W1989" i="3"/>
  <c r="V1989" i="3"/>
  <c r="W474" i="3"/>
  <c r="V474" i="3"/>
  <c r="W554" i="3"/>
  <c r="V554" i="3"/>
  <c r="V129" i="3"/>
  <c r="W129" i="3"/>
  <c r="V1096" i="3"/>
  <c r="W1096" i="3"/>
  <c r="V2355" i="3"/>
  <c r="W2355" i="3"/>
  <c r="W1477" i="3"/>
  <c r="V1477" i="3"/>
  <c r="V904" i="3"/>
  <c r="W904" i="3"/>
  <c r="V2210" i="3"/>
  <c r="W2210" i="3"/>
  <c r="W1673" i="3"/>
  <c r="V1673" i="3"/>
  <c r="V138" i="3"/>
  <c r="W138" i="3"/>
  <c r="V703" i="3"/>
  <c r="W703" i="3"/>
  <c r="V392" i="3"/>
  <c r="W392" i="3"/>
  <c r="V852" i="3"/>
  <c r="W852" i="3"/>
  <c r="V2320" i="3"/>
  <c r="W2320" i="3"/>
  <c r="V1564" i="3"/>
  <c r="W1564" i="3"/>
  <c r="V1161" i="3"/>
  <c r="W1161" i="3"/>
  <c r="T2704" i="3"/>
  <c r="V1278" i="3"/>
  <c r="W1278" i="3"/>
  <c r="V501" i="3"/>
  <c r="W501" i="3"/>
  <c r="V764" i="3"/>
  <c r="W764" i="3"/>
  <c r="V1527" i="3"/>
  <c r="W1527" i="3"/>
  <c r="V234" i="3"/>
  <c r="W234" i="3"/>
  <c r="W6" i="3"/>
  <c r="V6" i="3"/>
  <c r="V2105" i="3"/>
  <c r="W2105" i="3"/>
  <c r="V868" i="3"/>
  <c r="W868" i="3"/>
  <c r="V1812" i="3"/>
  <c r="W1812" i="3"/>
  <c r="V1060" i="3"/>
  <c r="W1060" i="3"/>
  <c r="W1849" i="3"/>
  <c r="V1849" i="3"/>
  <c r="V1152" i="3"/>
  <c r="W1152" i="3"/>
  <c r="V650" i="3"/>
  <c r="W650" i="3"/>
  <c r="V2245" i="3"/>
  <c r="W2245" i="3"/>
  <c r="M2966" i="3"/>
  <c r="O367" i="3"/>
  <c r="V1927" i="3"/>
  <c r="W1927" i="3"/>
  <c r="W1558" i="3"/>
  <c r="V1558" i="3"/>
  <c r="V788" i="3"/>
  <c r="W788" i="3"/>
  <c r="V114" i="3"/>
  <c r="W114" i="3"/>
  <c r="W1493" i="3"/>
  <c r="V1493" i="3"/>
  <c r="V975" i="3"/>
  <c r="W975" i="3"/>
  <c r="V464" i="3"/>
  <c r="W464" i="3"/>
  <c r="V1079" i="3"/>
  <c r="W1079" i="3"/>
  <c r="V33" i="3"/>
  <c r="W33" i="3"/>
  <c r="V637" i="3"/>
  <c r="W637" i="3"/>
  <c r="V2155" i="3"/>
  <c r="W2155" i="3"/>
  <c r="W374" i="3"/>
  <c r="V374" i="3"/>
  <c r="V1025" i="3"/>
  <c r="W1025" i="3"/>
  <c r="V20" i="3"/>
  <c r="W20" i="3"/>
  <c r="V577" i="3"/>
  <c r="W577" i="3"/>
  <c r="V779" i="3"/>
  <c r="W779" i="3"/>
  <c r="V2515" i="3"/>
  <c r="W2515" i="3"/>
  <c r="V800" i="3"/>
  <c r="W800" i="3"/>
  <c r="V2174" i="3"/>
  <c r="W2174" i="3"/>
  <c r="V2143" i="3"/>
  <c r="W2143" i="3"/>
  <c r="V225" i="3"/>
  <c r="W225" i="3"/>
  <c r="V618" i="3"/>
  <c r="W618" i="3"/>
  <c r="V448" i="3"/>
  <c r="W448" i="3"/>
  <c r="V2539" i="3"/>
  <c r="T2539" i="3"/>
  <c r="V2580" i="3" s="1"/>
  <c r="V2182" i="3"/>
  <c r="W1095" i="3"/>
  <c r="V1601" i="3"/>
  <c r="W64" i="3"/>
  <c r="V974" i="3"/>
  <c r="W1581" i="3"/>
  <c r="V811" i="3"/>
  <c r="W1557" i="3"/>
  <c r="V1378" i="3"/>
  <c r="V1007" i="3"/>
  <c r="W1811" i="3"/>
  <c r="V272" i="3"/>
  <c r="V1939" i="3"/>
  <c r="V473" i="3"/>
  <c r="V224" i="3"/>
  <c r="W1024" i="3"/>
  <c r="W537" i="3"/>
  <c r="V32" i="3"/>
  <c r="W960" i="3"/>
  <c r="W607" i="3"/>
  <c r="W2001" i="3"/>
  <c r="V391" i="3"/>
  <c r="W1714" i="3"/>
  <c r="W397" i="3"/>
  <c r="V731" i="3"/>
  <c r="W500" i="3"/>
  <c r="W649" i="3"/>
  <c r="V663" i="3"/>
  <c r="W1779" i="3"/>
  <c r="W404" i="3"/>
  <c r="V455" i="3"/>
  <c r="W340" i="3"/>
  <c r="V233" i="3"/>
  <c r="W799" i="3"/>
  <c r="W2120" i="3"/>
  <c r="W1631" i="3"/>
  <c r="W2073" i="3"/>
  <c r="W1492" i="3"/>
  <c r="W1171" i="3"/>
  <c r="V1749" i="3"/>
  <c r="W262" i="3"/>
  <c r="W2508" i="3"/>
  <c r="W2154" i="3"/>
  <c r="V1461" i="3"/>
  <c r="W778" i="3"/>
  <c r="W588" i="3"/>
  <c r="V1350" i="3"/>
  <c r="V1616" i="3"/>
  <c r="V181" i="3"/>
  <c r="W181" i="3"/>
  <c r="V65" i="3"/>
  <c r="W65" i="3"/>
  <c r="V943" i="3"/>
  <c r="W943" i="3"/>
  <c r="V1208" i="3"/>
  <c r="W1208" i="3"/>
  <c r="W1697" i="3"/>
  <c r="V1697" i="3"/>
  <c r="V732" i="3"/>
  <c r="W732" i="3"/>
  <c r="V1715" i="3"/>
  <c r="W1715" i="3"/>
  <c r="W1573" i="3"/>
  <c r="V1573" i="3"/>
  <c r="V565" i="3"/>
  <c r="W565" i="3"/>
  <c r="V1090" i="3"/>
  <c r="W1090" i="3"/>
  <c r="W2002" i="3"/>
  <c r="V2002" i="3"/>
  <c r="V456" i="3"/>
  <c r="W456" i="3"/>
  <c r="V589" i="3"/>
  <c r="W589" i="3"/>
  <c r="W1537" i="3"/>
  <c r="V1537" i="3"/>
  <c r="V608" i="3"/>
  <c r="W608" i="3"/>
  <c r="W1765" i="3"/>
  <c r="V1765" i="3"/>
  <c r="V2031" i="3"/>
  <c r="W2031" i="3"/>
  <c r="W1582" i="3"/>
  <c r="V1582" i="3"/>
  <c r="V739" i="3"/>
  <c r="W739" i="3"/>
  <c r="V1095" i="3"/>
  <c r="W1601" i="3"/>
  <c r="V64" i="3"/>
  <c r="W1719" i="3"/>
  <c r="V438" i="3"/>
  <c r="W328" i="3"/>
  <c r="W2055" i="3"/>
  <c r="W1078" i="3"/>
  <c r="V1811" i="3"/>
  <c r="W1059" i="3"/>
  <c r="W1764" i="3"/>
  <c r="V1024" i="3"/>
  <c r="V537" i="3"/>
  <c r="W1390" i="3"/>
  <c r="W204" i="3"/>
  <c r="W1548" i="3"/>
  <c r="V960" i="3"/>
  <c r="W153" i="3"/>
  <c r="W1277" i="3"/>
  <c r="W1220" i="3"/>
  <c r="W1445" i="3"/>
  <c r="W391" i="3"/>
  <c r="W137" i="3"/>
  <c r="W627" i="3"/>
  <c r="W319" i="3"/>
  <c r="W1592" i="3"/>
  <c r="W223" i="3"/>
  <c r="V397" i="3"/>
  <c r="W1089" i="3"/>
  <c r="V500" i="3"/>
  <c r="V649" i="3"/>
  <c r="V1779" i="3"/>
  <c r="W1160" i="3"/>
  <c r="V404" i="3"/>
  <c r="W481" i="3"/>
  <c r="W87" i="3"/>
  <c r="W455" i="3"/>
  <c r="V340" i="3"/>
  <c r="V799" i="3"/>
  <c r="V2120" i="3"/>
  <c r="V1631" i="3"/>
  <c r="W1414" i="3"/>
  <c r="V2073" i="3"/>
  <c r="V1492" i="3"/>
  <c r="V2373" i="3"/>
  <c r="W1749" i="3"/>
  <c r="V262" i="3"/>
  <c r="W903" i="3"/>
  <c r="W1151" i="3"/>
  <c r="V2508" i="3"/>
  <c r="V2154" i="3"/>
  <c r="W2104" i="3"/>
  <c r="V778" i="3"/>
  <c r="V588" i="3"/>
  <c r="W1960" i="3"/>
  <c r="V329" i="3"/>
  <c r="W329" i="3"/>
  <c r="W1862" i="3"/>
  <c r="V1862" i="3"/>
  <c r="V273" i="3"/>
  <c r="W273" i="3"/>
  <c r="W1602" i="3"/>
  <c r="V1602" i="3"/>
  <c r="V1194" i="3"/>
  <c r="W1194" i="3"/>
  <c r="V2296" i="3"/>
  <c r="W2296" i="3"/>
  <c r="V1127" i="3"/>
  <c r="W1127" i="3"/>
  <c r="W1802" i="3"/>
  <c r="V1802" i="3"/>
  <c r="V154" i="3"/>
  <c r="W154" i="3"/>
  <c r="W1517" i="3"/>
  <c r="V1517" i="3"/>
  <c r="V1932" i="3"/>
  <c r="W1932" i="3"/>
  <c r="W1898" i="3"/>
  <c r="V1898" i="3"/>
  <c r="V1836" i="3"/>
  <c r="W1836" i="3"/>
  <c r="W838" i="3"/>
  <c r="W1048" i="3"/>
  <c r="W128" i="3"/>
  <c r="V1506" i="3"/>
  <c r="V1719" i="3"/>
  <c r="W438" i="3"/>
  <c r="V328" i="3"/>
  <c r="V2055" i="3"/>
  <c r="W373" i="3"/>
  <c r="W2167" i="3"/>
  <c r="V1078" i="3"/>
  <c r="V1897" i="3"/>
  <c r="V1059" i="3"/>
  <c r="W1429" i="3"/>
  <c r="V1764" i="3"/>
  <c r="W787" i="3"/>
  <c r="V254" i="3"/>
  <c r="W254" i="3"/>
  <c r="I255" i="3"/>
  <c r="P255" i="3" s="1"/>
  <c r="V1390" i="3"/>
  <c r="V204" i="3"/>
  <c r="V1548" i="3"/>
  <c r="V153" i="3"/>
  <c r="V1277" i="3"/>
  <c r="V1220" i="3"/>
  <c r="W2319" i="3"/>
  <c r="V1445" i="3"/>
  <c r="V137" i="3"/>
  <c r="V627" i="3"/>
  <c r="V319" i="3"/>
  <c r="W1181" i="3"/>
  <c r="V1592" i="3"/>
  <c r="W428" i="3"/>
  <c r="V223" i="3"/>
  <c r="V2135" i="3"/>
  <c r="W2135" i="3"/>
  <c r="I2136" i="3"/>
  <c r="V1089" i="3"/>
  <c r="V19" i="3"/>
  <c r="V1160" i="3"/>
  <c r="V481" i="3"/>
  <c r="V87" i="3"/>
  <c r="W1254" i="3"/>
  <c r="W528" i="3"/>
  <c r="V1414" i="3"/>
  <c r="W2373" i="3"/>
  <c r="V1912" i="3"/>
  <c r="W1912" i="3"/>
  <c r="I1913" i="3"/>
  <c r="P1913" i="3" s="1"/>
  <c r="V903" i="3"/>
  <c r="V1151" i="3"/>
  <c r="V1861" i="3"/>
  <c r="W2226" i="3"/>
  <c r="V2104" i="3"/>
  <c r="V1960" i="3"/>
  <c r="V2168" i="3"/>
  <c r="W2168" i="3"/>
  <c r="V368" i="3"/>
  <c r="W368" i="3"/>
  <c r="V2264" i="3"/>
  <c r="W2264" i="3"/>
  <c r="W1617" i="3"/>
  <c r="V1617" i="3"/>
  <c r="V1875" i="3"/>
  <c r="W1875" i="3"/>
  <c r="V529" i="3"/>
  <c r="W529" i="3"/>
  <c r="V823" i="3"/>
  <c r="W823" i="3"/>
  <c r="W1379" i="3"/>
  <c r="V1379" i="3"/>
  <c r="W1750" i="3"/>
  <c r="V1750" i="3"/>
  <c r="W1255" i="3"/>
  <c r="V1255" i="3"/>
  <c r="V77" i="3"/>
  <c r="W77" i="3"/>
  <c r="V1065" i="3"/>
  <c r="W1065" i="3"/>
  <c r="W2374" i="3"/>
  <c r="V2374" i="3"/>
  <c r="W546" i="3"/>
  <c r="V546" i="3"/>
  <c r="V838" i="3"/>
  <c r="W553" i="3"/>
  <c r="V1048" i="3"/>
  <c r="W2451" i="3"/>
  <c r="V128" i="3"/>
  <c r="V1235" i="3"/>
  <c r="W1506" i="3"/>
  <c r="V491" i="3"/>
  <c r="W763" i="3"/>
  <c r="W1974" i="3"/>
  <c r="V1974" i="3"/>
  <c r="I1975" i="3"/>
  <c r="P1975" i="3" s="1"/>
  <c r="V373" i="3"/>
  <c r="V2167" i="3"/>
  <c r="W1897" i="3"/>
  <c r="V1429" i="3"/>
  <c r="V787" i="3"/>
  <c r="V1658" i="3"/>
  <c r="W744" i="3"/>
  <c r="W1572" i="3"/>
  <c r="W564" i="3"/>
  <c r="V2389" i="3"/>
  <c r="V1946" i="3"/>
  <c r="W718" i="3"/>
  <c r="W1293" i="3"/>
  <c r="W518" i="3"/>
  <c r="V518" i="3"/>
  <c r="I519" i="3"/>
  <c r="O519" i="3" s="1"/>
  <c r="V2319" i="3"/>
  <c r="W1988" i="3"/>
  <c r="W412" i="3"/>
  <c r="W1126" i="3"/>
  <c r="W214" i="3"/>
  <c r="V1181" i="3"/>
  <c r="V428" i="3"/>
  <c r="V1038" i="3"/>
  <c r="W1038" i="3"/>
  <c r="I1039" i="3"/>
  <c r="O1039" i="3" s="1"/>
  <c r="W2263" i="3"/>
  <c r="W19" i="3"/>
  <c r="V1801" i="3"/>
  <c r="W2040" i="3"/>
  <c r="V1399" i="3"/>
  <c r="V1254" i="3"/>
  <c r="V1207" i="3"/>
  <c r="V528" i="3"/>
  <c r="W1116" i="3"/>
  <c r="W351" i="3"/>
  <c r="V2514" i="3"/>
  <c r="W1848" i="3"/>
  <c r="W1911" i="3"/>
  <c r="V463" i="3"/>
  <c r="W1861" i="3"/>
  <c r="V2226" i="3"/>
  <c r="W1883" i="3"/>
  <c r="W1364" i="3"/>
  <c r="V2538" i="3"/>
  <c r="W2173" i="3"/>
  <c r="W1593" i="3"/>
  <c r="V1593" i="3"/>
  <c r="V745" i="3"/>
  <c r="W745" i="3"/>
  <c r="V2227" i="3"/>
  <c r="W2227" i="3"/>
  <c r="W2017" i="3"/>
  <c r="V2017" i="3"/>
  <c r="W1961" i="3"/>
  <c r="V1961" i="3"/>
  <c r="V1322" i="3"/>
  <c r="W1322" i="3"/>
  <c r="V1947" i="3"/>
  <c r="W1947" i="3"/>
  <c r="V205" i="3"/>
  <c r="W205" i="3"/>
  <c r="V2452" i="3"/>
  <c r="W2452" i="3"/>
  <c r="V352" i="3"/>
  <c r="W352" i="3"/>
  <c r="V688" i="3"/>
  <c r="W688" i="3"/>
  <c r="V628" i="3"/>
  <c r="W628" i="3"/>
  <c r="V879" i="3"/>
  <c r="W879" i="3"/>
  <c r="V1632" i="3"/>
  <c r="W1632" i="3"/>
  <c r="V101" i="3"/>
  <c r="W101" i="3"/>
  <c r="V2527" i="3"/>
  <c r="W2527" i="3"/>
  <c r="V892" i="3"/>
  <c r="W892" i="3"/>
  <c r="V934" i="3"/>
  <c r="W934" i="3"/>
  <c r="W1818" i="3"/>
  <c r="V1818" i="3"/>
  <c r="V839" i="3"/>
  <c r="W839" i="3"/>
  <c r="V1446" i="3"/>
  <c r="W1446" i="3"/>
  <c r="V664" i="3"/>
  <c r="W664" i="3"/>
  <c r="V320" i="3"/>
  <c r="W320" i="3"/>
  <c r="V2197" i="3"/>
  <c r="W2197" i="3"/>
  <c r="W1549" i="3"/>
  <c r="V1549" i="3"/>
  <c r="W1705" i="3"/>
  <c r="V1705" i="3"/>
  <c r="V2183" i="3"/>
  <c r="W2183" i="3"/>
  <c r="V509" i="3"/>
  <c r="W509" i="3"/>
  <c r="V1137" i="3"/>
  <c r="W1137" i="3"/>
  <c r="V1309" i="3"/>
  <c r="W1309" i="3"/>
  <c r="V1400" i="3"/>
  <c r="W1400" i="3"/>
  <c r="V1884" i="3"/>
  <c r="W1884" i="3"/>
  <c r="V429" i="3"/>
  <c r="W429" i="3"/>
  <c r="V167" i="3"/>
  <c r="W167" i="3"/>
  <c r="V1720" i="3"/>
  <c r="W1720" i="3"/>
  <c r="V1182" i="3"/>
  <c r="W1182" i="3"/>
  <c r="V1659" i="3"/>
  <c r="W1659" i="3"/>
  <c r="V341" i="3"/>
  <c r="W341" i="3"/>
  <c r="V1117" i="3"/>
  <c r="W1117" i="3"/>
  <c r="W2406" i="3"/>
  <c r="V2406" i="3"/>
  <c r="W2509" i="3"/>
  <c r="V2509" i="3"/>
  <c r="V553" i="3"/>
  <c r="W2279" i="3"/>
  <c r="V2451" i="3"/>
  <c r="W1235" i="3"/>
  <c r="W951" i="3"/>
  <c r="W491" i="3"/>
  <c r="V763" i="3"/>
  <c r="W1643" i="3"/>
  <c r="W166" i="3"/>
  <c r="W253" i="3"/>
  <c r="W1658" i="3"/>
  <c r="W2244" i="3"/>
  <c r="V744" i="3"/>
  <c r="W46" i="3"/>
  <c r="W2209" i="3"/>
  <c r="V1572" i="3"/>
  <c r="V564" i="3"/>
  <c r="W2389" i="3"/>
  <c r="W1946" i="3"/>
  <c r="V718" i="3"/>
  <c r="V1293" i="3"/>
  <c r="V1734" i="3"/>
  <c r="V1988" i="3"/>
  <c r="V412" i="3"/>
  <c r="V1126" i="3"/>
  <c r="W2354" i="3"/>
  <c r="V214" i="3"/>
  <c r="W1563" i="3"/>
  <c r="W2134" i="3"/>
  <c r="V2263" i="3"/>
  <c r="W2338" i="3"/>
  <c r="W2188" i="3"/>
  <c r="W1801" i="3"/>
  <c r="V2040" i="3"/>
  <c r="W1399" i="3"/>
  <c r="W243" i="3"/>
  <c r="W878" i="3"/>
  <c r="W1207" i="3"/>
  <c r="W100" i="3"/>
  <c r="W1536" i="3"/>
  <c r="V1116" i="3"/>
  <c r="V351" i="3"/>
  <c r="W2514" i="3"/>
  <c r="V1848" i="3"/>
  <c r="V1911" i="3"/>
  <c r="V1817" i="3"/>
  <c r="W2196" i="3"/>
  <c r="W463" i="3"/>
  <c r="W2295" i="3"/>
  <c r="W113" i="3"/>
  <c r="V1883" i="3"/>
  <c r="W288" i="3"/>
  <c r="W1704" i="3"/>
  <c r="V1364" i="3"/>
  <c r="V2173" i="3"/>
  <c r="P1088" i="3"/>
  <c r="N2856" i="3"/>
  <c r="M2580" i="3"/>
  <c r="O2607" i="3"/>
  <c r="O220" i="3"/>
  <c r="P2225" i="3"/>
  <c r="M2775" i="3"/>
  <c r="O1525" i="3"/>
  <c r="N2661" i="3"/>
  <c r="M2689" i="3"/>
  <c r="L2647" i="3"/>
  <c r="M2688" i="3"/>
  <c r="N2675" i="3"/>
  <c r="M2655" i="3"/>
  <c r="L2553" i="3"/>
  <c r="M2581" i="3"/>
  <c r="M2618" i="3"/>
  <c r="P1657" i="3"/>
  <c r="O917" i="3"/>
  <c r="N2702" i="3"/>
  <c r="M398" i="3"/>
  <c r="N3328" i="3"/>
  <c r="P204" i="3"/>
  <c r="O2537" i="3"/>
  <c r="N2655" i="3"/>
  <c r="M2659" i="3"/>
  <c r="N2567" i="3"/>
  <c r="N2604" i="3"/>
  <c r="N2689" i="3"/>
  <c r="O2660" i="3"/>
  <c r="O1088" i="3"/>
  <c r="N2594" i="3"/>
  <c r="P351" i="3"/>
  <c r="P989" i="3"/>
  <c r="L2674" i="3"/>
  <c r="M2619" i="3"/>
  <c r="M2647" i="3"/>
  <c r="M2551" i="3"/>
  <c r="N2652" i="3"/>
  <c r="M2582" i="3"/>
  <c r="M2686" i="3"/>
  <c r="M1693" i="3"/>
  <c r="M575" i="3"/>
  <c r="M2570" i="3"/>
  <c r="N2703" i="3"/>
  <c r="L2591" i="3"/>
  <c r="N2619" i="3"/>
  <c r="O2536" i="3"/>
  <c r="L2701" i="3"/>
  <c r="L2551" i="3"/>
  <c r="M2672" i="3"/>
  <c r="N2568" i="3"/>
  <c r="L2552" i="3"/>
  <c r="L2655" i="3"/>
  <c r="M2633" i="3"/>
  <c r="L2676" i="3"/>
  <c r="N2582" i="3"/>
  <c r="N2579" i="3"/>
  <c r="L2592" i="3"/>
  <c r="L2688" i="3"/>
  <c r="L2703" i="3"/>
  <c r="L2582" i="3"/>
  <c r="L2686" i="3"/>
  <c r="P3080" i="3"/>
  <c r="O3176" i="3"/>
  <c r="L2654" i="3"/>
  <c r="L3356" i="3"/>
  <c r="M2703" i="3"/>
  <c r="M2620" i="3"/>
  <c r="L2689" i="3"/>
  <c r="N2632" i="3"/>
  <c r="L2580" i="3"/>
  <c r="M2700" i="3"/>
  <c r="M2673" i="3"/>
  <c r="M2718" i="3"/>
  <c r="P1988" i="3"/>
  <c r="P100" i="3"/>
  <c r="O2037" i="3"/>
  <c r="P933" i="3"/>
  <c r="L411" i="3"/>
  <c r="P1814" i="3"/>
  <c r="M3215" i="3"/>
  <c r="M1686" i="3"/>
  <c r="L2675" i="3"/>
  <c r="N2621" i="3"/>
  <c r="N2654" i="3"/>
  <c r="L2700" i="3"/>
  <c r="N2660" i="3"/>
  <c r="M2847" i="3"/>
  <c r="N2551" i="3"/>
  <c r="O2085" i="3"/>
  <c r="M2649" i="3"/>
  <c r="P527" i="3"/>
  <c r="L2982" i="3"/>
  <c r="O2483" i="3"/>
  <c r="L2570" i="3"/>
  <c r="N337" i="3"/>
  <c r="M2554" i="3"/>
  <c r="O1616" i="3"/>
  <c r="P1492" i="3"/>
  <c r="L2606" i="3"/>
  <c r="M2701" i="3"/>
  <c r="M2674" i="3"/>
  <c r="N2646" i="3"/>
  <c r="M2660" i="3"/>
  <c r="N2676" i="3"/>
  <c r="L2618" i="3"/>
  <c r="N2634" i="3"/>
  <c r="L2653" i="3"/>
  <c r="N2633" i="3"/>
  <c r="M2591" i="3"/>
  <c r="O2535" i="3"/>
  <c r="M2950" i="3"/>
  <c r="P3283" i="3"/>
  <c r="L2569" i="3"/>
  <c r="L2607" i="3"/>
  <c r="N2831" i="3"/>
  <c r="N2262" i="3"/>
  <c r="O382" i="3"/>
  <c r="N2649" i="3"/>
  <c r="P2243" i="3"/>
  <c r="N2570" i="3"/>
  <c r="O1542" i="3"/>
  <c r="N2674" i="3"/>
  <c r="N2647" i="3"/>
  <c r="N2569" i="3"/>
  <c r="L2660" i="3"/>
  <c r="N2658" i="3"/>
  <c r="L2652" i="3"/>
  <c r="N2580" i="3"/>
  <c r="L2646" i="3"/>
  <c r="M2604" i="3"/>
  <c r="N2686" i="3"/>
  <c r="P1114" i="3"/>
  <c r="M2594" i="3"/>
  <c r="N2672" i="3"/>
  <c r="L2621" i="3"/>
  <c r="P614" i="3"/>
  <c r="M2654" i="3"/>
  <c r="O288" i="3"/>
  <c r="L2554" i="3"/>
  <c r="M2568" i="3"/>
  <c r="M2676" i="3"/>
  <c r="L2605" i="3"/>
  <c r="L2634" i="3"/>
  <c r="L2593" i="3"/>
  <c r="M2621" i="3"/>
  <c r="L1307" i="3"/>
  <c r="M2607" i="3"/>
  <c r="O2900" i="3"/>
  <c r="N2606" i="3"/>
  <c r="L2649" i="3"/>
  <c r="P3079" i="3"/>
  <c r="N2554" i="3"/>
  <c r="N2620" i="3"/>
  <c r="L2661" i="3"/>
  <c r="P1124" i="3"/>
  <c r="N2687" i="3"/>
  <c r="L2604" i="3"/>
  <c r="M2632" i="3"/>
  <c r="N2618" i="3"/>
  <c r="M2593" i="3"/>
  <c r="N2605" i="3"/>
  <c r="M2579" i="3"/>
  <c r="N2591" i="3"/>
  <c r="N2659" i="3"/>
  <c r="N2648" i="3"/>
  <c r="N2607" i="3"/>
  <c r="O1779" i="3"/>
  <c r="N2789" i="3"/>
  <c r="M262" i="3"/>
  <c r="O2244" i="3"/>
  <c r="P1445" i="3"/>
  <c r="M1810" i="3"/>
  <c r="P1557" i="3"/>
  <c r="O2554" i="3"/>
  <c r="M2675" i="3"/>
  <c r="M2661" i="3"/>
  <c r="L2619" i="3"/>
  <c r="L2687" i="3"/>
  <c r="N2701" i="3"/>
  <c r="L2568" i="3"/>
  <c r="M2646" i="3"/>
  <c r="N2700" i="3"/>
  <c r="N2553" i="3"/>
  <c r="M2648" i="3"/>
  <c r="M2702" i="3"/>
  <c r="N2688" i="3"/>
  <c r="M2605" i="3"/>
  <c r="L2648" i="3"/>
  <c r="M2652" i="3"/>
  <c r="M2658" i="3"/>
  <c r="O3340" i="3"/>
  <c r="P259" i="3"/>
  <c r="N2884" i="3"/>
  <c r="P1045" i="3"/>
  <c r="M574" i="3"/>
  <c r="O2817" i="3"/>
  <c r="I2720" i="3"/>
  <c r="N2719" i="3"/>
  <c r="M2719" i="3"/>
  <c r="L2719" i="3"/>
  <c r="P2719" i="3"/>
  <c r="O2719" i="3"/>
  <c r="O2167" i="3"/>
  <c r="O445" i="3"/>
  <c r="L2831" i="3"/>
  <c r="O473" i="3"/>
  <c r="P2166" i="3"/>
  <c r="O454" i="3"/>
  <c r="P663" i="3"/>
  <c r="O2073" i="3"/>
  <c r="P368" i="3"/>
  <c r="O368" i="3"/>
  <c r="N368" i="3"/>
  <c r="M368" i="3"/>
  <c r="L368" i="3"/>
  <c r="I369" i="3"/>
  <c r="P1038" i="3"/>
  <c r="O1592" i="3"/>
  <c r="L2181" i="3"/>
  <c r="P18" i="3"/>
  <c r="O2497" i="3"/>
  <c r="N3212" i="3"/>
  <c r="O2414" i="3"/>
  <c r="O1713" i="3"/>
  <c r="P763" i="3"/>
  <c r="O1235" i="3"/>
  <c r="L2789" i="3"/>
  <c r="I2763" i="3"/>
  <c r="O2762" i="3"/>
  <c r="N2762" i="3"/>
  <c r="M2762" i="3"/>
  <c r="L2762" i="3"/>
  <c r="P2762" i="3"/>
  <c r="I3054" i="3"/>
  <c r="M3053" i="3"/>
  <c r="L3053" i="3"/>
  <c r="P3053" i="3"/>
  <c r="O3053" i="3"/>
  <c r="N3053" i="3"/>
  <c r="P372" i="3"/>
  <c r="P262" i="3"/>
  <c r="O838" i="3"/>
  <c r="L3328" i="3"/>
  <c r="I2313" i="3"/>
  <c r="P2312" i="3"/>
  <c r="M2312" i="3"/>
  <c r="O2312" i="3"/>
  <c r="N2312" i="3"/>
  <c r="L2312" i="3"/>
  <c r="O1526" i="3"/>
  <c r="P2227" i="3"/>
  <c r="O2227" i="3"/>
  <c r="N2227" i="3"/>
  <c r="M2227" i="3"/>
  <c r="L2227" i="3"/>
  <c r="I2228" i="3"/>
  <c r="N3065" i="3"/>
  <c r="O2941" i="3"/>
  <c r="O1926" i="3"/>
  <c r="N2263" i="3"/>
  <c r="O180" i="3"/>
  <c r="N1733" i="3"/>
  <c r="O1095" i="3"/>
  <c r="O3231" i="3"/>
  <c r="O2278" i="3"/>
  <c r="O1305" i="3"/>
  <c r="P2570" i="3"/>
  <c r="P787" i="3"/>
  <c r="O1958" i="3"/>
  <c r="P2104" i="3"/>
  <c r="P2452" i="3"/>
  <c r="O2452" i="3"/>
  <c r="N2452" i="3"/>
  <c r="M2452" i="3"/>
  <c r="L2452" i="3"/>
  <c r="I2453" i="3"/>
  <c r="I2888" i="3"/>
  <c r="M2887" i="3"/>
  <c r="L2887" i="3"/>
  <c r="P2887" i="3"/>
  <c r="O2887" i="3"/>
  <c r="N2887" i="3"/>
  <c r="M3146" i="3"/>
  <c r="O64" i="3"/>
  <c r="N1492" i="3"/>
  <c r="I1550" i="3"/>
  <c r="P1549" i="3"/>
  <c r="L1549" i="3"/>
  <c r="N1549" i="3"/>
  <c r="O1549" i="3"/>
  <c r="M1549" i="3"/>
  <c r="I944" i="3"/>
  <c r="O943" i="3"/>
  <c r="N943" i="3"/>
  <c r="M943" i="3"/>
  <c r="L943" i="3"/>
  <c r="P943" i="3"/>
  <c r="O1160" i="3"/>
  <c r="O1704" i="3"/>
  <c r="L1088" i="3"/>
  <c r="P243" i="3"/>
  <c r="P2195" i="3"/>
  <c r="O3192" i="3"/>
  <c r="N2016" i="3"/>
  <c r="M3380" i="3"/>
  <c r="P252" i="3"/>
  <c r="N2802" i="3"/>
  <c r="O1474" i="3"/>
  <c r="N2732" i="3"/>
  <c r="I2391" i="3"/>
  <c r="M2390" i="3"/>
  <c r="L2390" i="3"/>
  <c r="O2390" i="3"/>
  <c r="P2390" i="3"/>
  <c r="N2390" i="3"/>
  <c r="P1874" i="3"/>
  <c r="P2182" i="3"/>
  <c r="O1685" i="3"/>
  <c r="I638" i="3"/>
  <c r="O637" i="3"/>
  <c r="N637" i="3"/>
  <c r="M637" i="3"/>
  <c r="L637" i="3"/>
  <c r="P637" i="3"/>
  <c r="L3191" i="3"/>
  <c r="O536" i="3"/>
  <c r="P836" i="3"/>
  <c r="O409" i="3"/>
  <c r="P1055" i="3"/>
  <c r="N3379" i="3"/>
  <c r="O1037" i="3"/>
  <c r="P1895" i="3"/>
  <c r="O1809" i="3"/>
  <c r="P2847" i="3"/>
  <c r="P876" i="3"/>
  <c r="P1149" i="3"/>
  <c r="P2568" i="3"/>
  <c r="O1361" i="3"/>
  <c r="P426" i="3"/>
  <c r="O2240" i="3"/>
  <c r="O452" i="3"/>
  <c r="P2432" i="3"/>
  <c r="O1443" i="3"/>
  <c r="P1788" i="3"/>
  <c r="P1328" i="3"/>
  <c r="O222" i="3"/>
  <c r="P752" i="3"/>
  <c r="O1004" i="3"/>
  <c r="O316" i="3"/>
  <c r="N2847" i="3"/>
  <c r="M1305" i="3"/>
  <c r="P96" i="3"/>
  <c r="P1075" i="3"/>
  <c r="O533" i="3"/>
  <c r="N1732" i="3"/>
  <c r="N3077" i="3"/>
  <c r="P1036" i="3"/>
  <c r="O286" i="3"/>
  <c r="M2371" i="3"/>
  <c r="O888" i="3"/>
  <c r="O163" i="3"/>
  <c r="P1534" i="3"/>
  <c r="P2206" i="3"/>
  <c r="O2815" i="3"/>
  <c r="P526" i="3"/>
  <c r="O1306" i="3"/>
  <c r="L2259" i="3"/>
  <c r="M1859" i="3"/>
  <c r="L3035" i="3"/>
  <c r="O508" i="3"/>
  <c r="O1894" i="3"/>
  <c r="P1193" i="3"/>
  <c r="P1348" i="3"/>
  <c r="O2646" i="3"/>
  <c r="N2089" i="3"/>
  <c r="L137" i="3"/>
  <c r="M3214" i="3"/>
  <c r="P1789" i="3"/>
  <c r="M2856" i="3"/>
  <c r="P1168" i="3"/>
  <c r="O1399" i="3"/>
  <c r="I780" i="3"/>
  <c r="P779" i="3"/>
  <c r="O779" i="3"/>
  <c r="N779" i="3"/>
  <c r="M779" i="3"/>
  <c r="L779" i="3"/>
  <c r="P1329" i="3"/>
  <c r="O325" i="3"/>
  <c r="I539" i="3"/>
  <c r="N538" i="3"/>
  <c r="M538" i="3"/>
  <c r="L538" i="3"/>
  <c r="P538" i="3"/>
  <c r="O538" i="3"/>
  <c r="I2018" i="3"/>
  <c r="L2017" i="3"/>
  <c r="M2017" i="3"/>
  <c r="P2017" i="3"/>
  <c r="O2017" i="3"/>
  <c r="N2017" i="3"/>
  <c r="O1207" i="3"/>
  <c r="P1656" i="3"/>
  <c r="M337" i="3"/>
  <c r="L2979" i="3"/>
  <c r="M2855" i="3"/>
  <c r="O1458" i="3"/>
  <c r="N1695" i="3"/>
  <c r="P2675" i="3"/>
  <c r="N1006" i="3"/>
  <c r="I1153" i="3"/>
  <c r="P1152" i="3"/>
  <c r="O1152" i="3"/>
  <c r="M1152" i="3"/>
  <c r="L1152" i="3"/>
  <c r="N1152" i="3"/>
  <c r="O649" i="3"/>
  <c r="I1528" i="3"/>
  <c r="P1527" i="3"/>
  <c r="O1527" i="3"/>
  <c r="N1527" i="3"/>
  <c r="M1527" i="3"/>
  <c r="L1527" i="3"/>
  <c r="O2773" i="3"/>
  <c r="I290" i="3"/>
  <c r="O289" i="3"/>
  <c r="N289" i="3"/>
  <c r="M289" i="3"/>
  <c r="L289" i="3"/>
  <c r="P289" i="3"/>
  <c r="P837" i="3"/>
  <c r="L2718" i="3"/>
  <c r="O1023" i="3"/>
  <c r="I1594" i="3"/>
  <c r="O1593" i="3"/>
  <c r="N1593" i="3"/>
  <c r="P1593" i="3"/>
  <c r="L1593" i="3"/>
  <c r="M1593" i="3"/>
  <c r="P1377" i="3"/>
  <c r="O2168" i="3"/>
  <c r="N2168" i="3"/>
  <c r="L2168" i="3"/>
  <c r="P2168" i="3"/>
  <c r="M2168" i="3"/>
  <c r="I2169" i="3"/>
  <c r="I2503" i="3"/>
  <c r="N2502" i="3"/>
  <c r="M2502" i="3"/>
  <c r="L2502" i="3"/>
  <c r="P2502" i="3"/>
  <c r="O2502" i="3"/>
  <c r="I2420" i="3"/>
  <c r="L2419" i="3"/>
  <c r="N2419" i="3"/>
  <c r="P2419" i="3"/>
  <c r="O2419" i="3"/>
  <c r="M2419" i="3"/>
  <c r="P754" i="3"/>
  <c r="P1972" i="3"/>
  <c r="P3065" i="3"/>
  <c r="O2526" i="3"/>
  <c r="I1850" i="3"/>
  <c r="P1849" i="3"/>
  <c r="O1849" i="3"/>
  <c r="N1849" i="3"/>
  <c r="L1849" i="3"/>
  <c r="M1849" i="3"/>
  <c r="N2718" i="3"/>
  <c r="O2318" i="3"/>
  <c r="P2000" i="3"/>
  <c r="P537" i="3"/>
  <c r="P454" i="3"/>
  <c r="O100" i="3"/>
  <c r="O1600" i="3"/>
  <c r="P125" i="3"/>
  <c r="P2136" i="3"/>
  <c r="I765" i="3"/>
  <c r="L764" i="3"/>
  <c r="P764" i="3"/>
  <c r="N764" i="3"/>
  <c r="M764" i="3"/>
  <c r="O764" i="3"/>
  <c r="P2526" i="3"/>
  <c r="O933" i="3"/>
  <c r="L2950" i="3"/>
  <c r="P1235" i="3"/>
  <c r="I1104" i="3"/>
  <c r="P1103" i="3"/>
  <c r="O1103" i="3"/>
  <c r="N1103" i="3"/>
  <c r="M1103" i="3"/>
  <c r="L1103" i="3"/>
  <c r="M2789" i="3"/>
  <c r="P2188" i="3"/>
  <c r="M2900" i="3"/>
  <c r="P1671" i="3"/>
  <c r="N2837" i="3"/>
  <c r="M3328" i="3"/>
  <c r="O744" i="3"/>
  <c r="L2294" i="3"/>
  <c r="N3294" i="3"/>
  <c r="O685" i="3"/>
  <c r="I665" i="3"/>
  <c r="P664" i="3"/>
  <c r="O664" i="3"/>
  <c r="N664" i="3"/>
  <c r="M664" i="3"/>
  <c r="L664" i="3"/>
  <c r="O204" i="3"/>
  <c r="P1489" i="3"/>
  <c r="N3371" i="3"/>
  <c r="P128" i="3"/>
  <c r="P367" i="3"/>
  <c r="M1927" i="3"/>
  <c r="P1927" i="3"/>
  <c r="O1927" i="3"/>
  <c r="N1927" i="3"/>
  <c r="L1927" i="3"/>
  <c r="O1557" i="3"/>
  <c r="O2263" i="3"/>
  <c r="I182" i="3"/>
  <c r="P181" i="3"/>
  <c r="O181" i="3"/>
  <c r="M181" i="3"/>
  <c r="L181" i="3"/>
  <c r="N181" i="3"/>
  <c r="O233" i="3"/>
  <c r="I1097" i="3"/>
  <c r="P1096" i="3"/>
  <c r="O1096" i="3"/>
  <c r="M1096" i="3"/>
  <c r="L1096" i="3"/>
  <c r="N1096" i="3"/>
  <c r="O1444" i="3"/>
  <c r="O2294" i="3"/>
  <c r="O135" i="3"/>
  <c r="P1630" i="3"/>
  <c r="P3063" i="3"/>
  <c r="P113" i="3"/>
  <c r="I3148" i="3"/>
  <c r="P3147" i="3"/>
  <c r="O3147" i="3"/>
  <c r="N3147" i="3"/>
  <c r="M3147" i="3"/>
  <c r="L3147" i="3"/>
  <c r="P1476" i="3"/>
  <c r="O1492" i="3"/>
  <c r="O3356" i="3"/>
  <c r="P2775" i="3"/>
  <c r="I1162" i="3"/>
  <c r="N1161" i="3"/>
  <c r="M1161" i="3"/>
  <c r="L1161" i="3"/>
  <c r="P1161" i="3"/>
  <c r="O1161" i="3"/>
  <c r="I1706" i="3"/>
  <c r="P1705" i="3"/>
  <c r="N1705" i="3"/>
  <c r="M1705" i="3"/>
  <c r="L1705" i="3"/>
  <c r="O1705" i="3"/>
  <c r="N243" i="3"/>
  <c r="O837" i="3"/>
  <c r="O1686" i="3"/>
  <c r="P648" i="3"/>
  <c r="O2243" i="3"/>
  <c r="O2016" i="3"/>
  <c r="O1078" i="3"/>
  <c r="O99" i="3"/>
  <c r="O2981" i="3"/>
  <c r="P2732" i="3"/>
  <c r="I1323" i="3"/>
  <c r="P1322" i="3"/>
  <c r="O1322" i="3"/>
  <c r="N1322" i="3"/>
  <c r="M1322" i="3"/>
  <c r="L1322" i="3"/>
  <c r="I2184" i="3"/>
  <c r="L2183" i="3"/>
  <c r="N2183" i="3"/>
  <c r="O2183" i="3"/>
  <c r="P2183" i="3"/>
  <c r="M2183" i="3"/>
  <c r="O372" i="3"/>
  <c r="I502" i="3"/>
  <c r="O501" i="3"/>
  <c r="N501" i="3"/>
  <c r="M501" i="3"/>
  <c r="L501" i="3"/>
  <c r="P501" i="3"/>
  <c r="O327" i="3"/>
  <c r="O989" i="3"/>
  <c r="N3079" i="3"/>
  <c r="P1692" i="3"/>
  <c r="L2276" i="3"/>
  <c r="P2938" i="3"/>
  <c r="P2416" i="3"/>
  <c r="O1232" i="3"/>
  <c r="M1808" i="3"/>
  <c r="L348" i="3"/>
  <c r="P2897" i="3"/>
  <c r="L1701" i="3"/>
  <c r="O2164" i="3"/>
  <c r="N268" i="3"/>
  <c r="N2014" i="3"/>
  <c r="O785" i="3"/>
  <c r="P939" i="3"/>
  <c r="N2716" i="3"/>
  <c r="O1426" i="3"/>
  <c r="P270" i="3"/>
  <c r="M2786" i="3"/>
  <c r="M2996" i="3"/>
  <c r="L1732" i="3"/>
  <c r="P2386" i="3"/>
  <c r="P2387" i="3"/>
  <c r="P2716" i="3"/>
  <c r="O2821" i="3"/>
  <c r="O624" i="3"/>
  <c r="M269" i="3"/>
  <c r="P3340" i="3"/>
  <c r="O3174" i="3"/>
  <c r="O134" i="3"/>
  <c r="L1909" i="3"/>
  <c r="P2292" i="3"/>
  <c r="P574" i="3"/>
  <c r="N2013" i="3"/>
  <c r="I2091" i="3"/>
  <c r="M2090" i="3"/>
  <c r="L2090" i="3"/>
  <c r="N2090" i="3"/>
  <c r="P2090" i="3"/>
  <c r="O2090" i="3"/>
  <c r="M989" i="3"/>
  <c r="O402" i="3"/>
  <c r="P2132" i="3"/>
  <c r="P1461" i="3"/>
  <c r="P576" i="3"/>
  <c r="N3038" i="3"/>
  <c r="O16" i="3"/>
  <c r="O1123" i="3"/>
  <c r="O2925" i="3"/>
  <c r="P166" i="3"/>
  <c r="P646" i="3"/>
  <c r="L3340" i="3"/>
  <c r="I1478" i="3"/>
  <c r="M1477" i="3"/>
  <c r="L1477" i="3"/>
  <c r="O1477" i="3"/>
  <c r="P1477" i="3"/>
  <c r="N1477" i="3"/>
  <c r="P2844" i="3"/>
  <c r="M1563" i="3"/>
  <c r="O1597" i="3"/>
  <c r="P1292" i="3"/>
  <c r="P1181" i="3"/>
  <c r="O672" i="3"/>
  <c r="O2277" i="3"/>
  <c r="O1776" i="3"/>
  <c r="P224" i="3"/>
  <c r="O2850" i="3"/>
  <c r="P3064" i="3"/>
  <c r="O2824" i="3"/>
  <c r="P1937" i="3"/>
  <c r="O1220" i="3"/>
  <c r="O1524" i="3"/>
  <c r="M1561" i="3"/>
  <c r="L3077" i="3"/>
  <c r="M2260" i="3"/>
  <c r="O2787" i="3"/>
  <c r="P3381" i="3"/>
  <c r="P1627" i="3"/>
  <c r="O1944" i="3"/>
  <c r="P1115" i="3"/>
  <c r="O1475" i="3"/>
  <c r="M1087" i="3"/>
  <c r="P1702" i="3"/>
  <c r="N3100" i="3"/>
  <c r="P1388" i="3"/>
  <c r="O561" i="3"/>
  <c r="N301" i="3"/>
  <c r="P364" i="3"/>
  <c r="P2497" i="3"/>
  <c r="M1571" i="3"/>
  <c r="P834" i="3"/>
  <c r="P2259" i="3"/>
  <c r="P2141" i="3"/>
  <c r="L3230" i="3"/>
  <c r="O2567" i="3"/>
  <c r="P535" i="3"/>
  <c r="M1005" i="3"/>
  <c r="O1488" i="3"/>
  <c r="P1234" i="3"/>
  <c r="N3284" i="3"/>
  <c r="P683" i="3"/>
  <c r="P2054" i="3"/>
  <c r="P1555" i="3"/>
  <c r="P2187" i="3"/>
  <c r="L3285" i="3"/>
  <c r="M2772" i="3"/>
  <c r="O2979" i="3"/>
  <c r="N2872" i="3"/>
  <c r="O1413" i="3"/>
  <c r="L3049" i="3"/>
  <c r="P250" i="3"/>
  <c r="L2997" i="3"/>
  <c r="P1881" i="3"/>
  <c r="P1167" i="3"/>
  <c r="M1929" i="3"/>
  <c r="O2525" i="3"/>
  <c r="O254" i="3"/>
  <c r="N586" i="3"/>
  <c r="L2940" i="3"/>
  <c r="M1328" i="3"/>
  <c r="L2788" i="3"/>
  <c r="O3175" i="3"/>
  <c r="P2757" i="3"/>
  <c r="O2758" i="3"/>
  <c r="N2387" i="3"/>
  <c r="M2308" i="3"/>
  <c r="O2223" i="3"/>
  <c r="O2885" i="3"/>
  <c r="O1702" i="3"/>
  <c r="O1778" i="3"/>
  <c r="P835" i="3"/>
  <c r="O366" i="3"/>
  <c r="M3370" i="3"/>
  <c r="P2940" i="3"/>
  <c r="P941" i="3"/>
  <c r="P1159" i="3"/>
  <c r="P2788" i="3"/>
  <c r="P1221" i="3"/>
  <c r="P1985" i="3"/>
  <c r="N3160" i="3"/>
  <c r="N2069" i="3"/>
  <c r="P3035" i="3"/>
  <c r="N1731" i="3"/>
  <c r="P2773" i="3"/>
  <c r="P762" i="3"/>
  <c r="O240" i="3"/>
  <c r="P3037" i="3"/>
  <c r="L3249" i="3"/>
  <c r="O865" i="3"/>
  <c r="O2165" i="3"/>
  <c r="O736" i="3"/>
  <c r="O2171" i="3"/>
  <c r="L760" i="3"/>
  <c r="P1291" i="3"/>
  <c r="P2165" i="3"/>
  <c r="P1428" i="3"/>
  <c r="L303" i="3"/>
  <c r="P390" i="3"/>
  <c r="O15" i="3"/>
  <c r="P2524" i="3"/>
  <c r="P124" i="3"/>
  <c r="O2997" i="3"/>
  <c r="M2923" i="3"/>
  <c r="P2885" i="3"/>
  <c r="P2370" i="3"/>
  <c r="M3063" i="3"/>
  <c r="O1824" i="3"/>
  <c r="M1264" i="3"/>
  <c r="O3021" i="3"/>
  <c r="L2829" i="3"/>
  <c r="O2388" i="3"/>
  <c r="N348" i="3"/>
  <c r="P1362" i="3"/>
  <c r="O84" i="3"/>
  <c r="M271" i="3"/>
  <c r="N284" i="3"/>
  <c r="M2822" i="3"/>
  <c r="M2277" i="3"/>
  <c r="P2822" i="3"/>
  <c r="O1291" i="3"/>
  <c r="P759" i="3"/>
  <c r="M2774" i="3"/>
  <c r="P3341" i="3"/>
  <c r="P1731" i="3"/>
  <c r="P437" i="3"/>
  <c r="O3311" i="3"/>
  <c r="O3102" i="3"/>
  <c r="P2653" i="3"/>
  <c r="P736" i="3"/>
  <c r="M1925" i="3"/>
  <c r="P60" i="3"/>
  <c r="P221" i="3"/>
  <c r="O3049" i="3"/>
  <c r="O166" i="3"/>
  <c r="O1734" i="3"/>
  <c r="O2133" i="3"/>
  <c r="O1942" i="3"/>
  <c r="P950" i="3"/>
  <c r="M2804" i="3"/>
  <c r="P2871" i="3"/>
  <c r="L2965" i="3"/>
  <c r="O1811" i="3"/>
  <c r="O1038" i="3"/>
  <c r="O426" i="3"/>
  <c r="P3370" i="3"/>
  <c r="P867" i="3"/>
  <c r="O1580" i="3"/>
  <c r="P3175" i="3"/>
  <c r="P2582" i="3"/>
  <c r="O525" i="3"/>
  <c r="O2241" i="3"/>
  <c r="O3124" i="3"/>
  <c r="P2101" i="3"/>
  <c r="M1695" i="3"/>
  <c r="O126" i="3"/>
  <c r="O2633" i="3"/>
  <c r="O31" i="3"/>
  <c r="P269" i="3"/>
  <c r="P2310" i="3"/>
  <c r="P1883" i="3"/>
  <c r="O3250" i="3"/>
  <c r="L3382" i="3"/>
  <c r="O3038" i="3"/>
  <c r="P1126" i="3"/>
  <c r="L586" i="3"/>
  <c r="M3066" i="3"/>
  <c r="O576" i="3"/>
  <c r="L3297" i="3"/>
  <c r="O383" i="3"/>
  <c r="L1810" i="3"/>
  <c r="O1461" i="3"/>
  <c r="P284" i="3"/>
  <c r="N3177" i="3"/>
  <c r="N2279" i="3"/>
  <c r="O2433" i="3"/>
  <c r="P3267" i="3"/>
  <c r="P1733" i="3"/>
  <c r="O518" i="3"/>
  <c r="O2838" i="3"/>
  <c r="L1089" i="3"/>
  <c r="P702" i="3"/>
  <c r="P137" i="3"/>
  <c r="P1414" i="3"/>
  <c r="O3372" i="3"/>
  <c r="P2415" i="3"/>
  <c r="O1714" i="3"/>
  <c r="O1631" i="3"/>
  <c r="P1717" i="3"/>
  <c r="P2056" i="3"/>
  <c r="P286" i="3"/>
  <c r="P1206" i="3"/>
  <c r="O2688" i="3"/>
  <c r="O878" i="3"/>
  <c r="P1150" i="3"/>
  <c r="O373" i="3"/>
  <c r="L2262" i="3"/>
  <c r="L3286" i="3"/>
  <c r="O2089" i="3"/>
  <c r="N2873" i="3"/>
  <c r="N347" i="3"/>
  <c r="P575" i="3"/>
  <c r="O1193" i="3"/>
  <c r="O1630" i="3"/>
  <c r="N2939" i="3"/>
  <c r="L1329" i="3"/>
  <c r="M412" i="3"/>
  <c r="P62" i="3"/>
  <c r="P3158" i="3"/>
  <c r="P2180" i="3"/>
  <c r="O1859" i="3"/>
  <c r="L1910" i="3"/>
  <c r="M3265" i="3"/>
  <c r="P2207" i="3"/>
  <c r="M1086" i="3"/>
  <c r="N3174" i="3"/>
  <c r="M268" i="3"/>
  <c r="P1062" i="3"/>
  <c r="P2431" i="3"/>
  <c r="N2836" i="3"/>
  <c r="P3" i="3"/>
  <c r="P1614" i="3"/>
  <c r="M3326" i="3"/>
  <c r="O1124" i="3"/>
  <c r="O938" i="3"/>
  <c r="O2071" i="3"/>
  <c r="O1412" i="3"/>
  <c r="M1937" i="3"/>
  <c r="L1702" i="3"/>
  <c r="N3325" i="3"/>
  <c r="M2773" i="3"/>
  <c r="P1488" i="3"/>
  <c r="O396" i="3"/>
  <c r="P2728" i="3"/>
  <c r="P2687" i="3"/>
  <c r="L3266" i="3"/>
  <c r="O715" i="3"/>
  <c r="L397" i="3"/>
  <c r="P2536" i="3"/>
  <c r="L2848" i="3"/>
  <c r="L3248" i="3"/>
  <c r="P938" i="3"/>
  <c r="M2787" i="3"/>
  <c r="P1100" i="3"/>
  <c r="O2" i="3"/>
  <c r="O2152" i="3"/>
  <c r="P2511" i="3"/>
  <c r="L3353" i="3"/>
  <c r="N1304" i="3"/>
  <c r="P2647" i="3"/>
  <c r="N409" i="3"/>
  <c r="O1086" i="3"/>
  <c r="P1233" i="3"/>
  <c r="P3121" i="3"/>
  <c r="N2772" i="3"/>
  <c r="O647" i="3"/>
  <c r="P986" i="3"/>
  <c r="O1205" i="3"/>
  <c r="O2674" i="3"/>
  <c r="O72" i="3"/>
  <c r="N2854" i="3"/>
  <c r="O2055" i="3"/>
  <c r="P1251" i="3"/>
  <c r="P2" i="3"/>
  <c r="M394" i="3"/>
  <c r="O487" i="3"/>
  <c r="P887" i="3"/>
  <c r="O2687" i="3"/>
  <c r="L3050" i="3"/>
  <c r="P1910" i="3"/>
  <c r="N3122" i="3"/>
  <c r="O1036" i="3"/>
  <c r="O252" i="3"/>
  <c r="P2963" i="3"/>
  <c r="N2085" i="3"/>
  <c r="L2370" i="3"/>
  <c r="P1020" i="3"/>
  <c r="N2786" i="3"/>
  <c r="P1598" i="3"/>
  <c r="P2335" i="3"/>
  <c r="P1426" i="3"/>
  <c r="P231" i="3"/>
  <c r="P251" i="3"/>
  <c r="O177" i="3"/>
  <c r="O2118" i="3"/>
  <c r="O1523" i="3"/>
  <c r="M3266" i="3"/>
  <c r="O97" i="3"/>
  <c r="M2911" i="3"/>
  <c r="M347" i="3"/>
  <c r="L1304" i="3"/>
  <c r="N2087" i="3"/>
  <c r="L2836" i="3"/>
  <c r="P3294" i="3"/>
  <c r="O401" i="3"/>
  <c r="L2883" i="3"/>
  <c r="O2154" i="3"/>
  <c r="O2689" i="3"/>
  <c r="P636" i="3"/>
  <c r="O2195" i="3"/>
  <c r="P232" i="3"/>
  <c r="O1591" i="3"/>
  <c r="L3051" i="3"/>
  <c r="L272" i="3"/>
  <c r="P32" i="3"/>
  <c r="O687" i="3"/>
  <c r="O1911" i="3"/>
  <c r="P1056" i="3"/>
  <c r="O2209" i="3"/>
  <c r="N1694" i="3"/>
  <c r="O388" i="3"/>
  <c r="O2206" i="3"/>
  <c r="O1114" i="3"/>
  <c r="N1861" i="3"/>
  <c r="P1048" i="3"/>
  <c r="M2016" i="3"/>
  <c r="P399" i="3"/>
  <c r="M243" i="3"/>
  <c r="P1556" i="3"/>
  <c r="O974" i="3"/>
  <c r="M351" i="3"/>
  <c r="P1160" i="3"/>
  <c r="L2775" i="3"/>
  <c r="O942" i="3"/>
  <c r="P1548" i="3"/>
  <c r="L1492" i="3"/>
  <c r="O3146" i="3"/>
  <c r="O2886" i="3"/>
  <c r="O2104" i="3"/>
  <c r="O471" i="3"/>
  <c r="O575" i="3"/>
  <c r="O3010" i="3"/>
  <c r="P662" i="3"/>
  <c r="M2913" i="3"/>
  <c r="O931" i="3"/>
  <c r="M2857" i="3"/>
  <c r="P1095" i="3"/>
  <c r="M3267" i="3"/>
  <c r="P2537" i="3"/>
  <c r="P2196" i="3"/>
  <c r="O2620" i="3"/>
  <c r="P180" i="3"/>
  <c r="P1816" i="3"/>
  <c r="O3051" i="3"/>
  <c r="M1088" i="3"/>
  <c r="P319" i="3"/>
  <c r="L288" i="3"/>
  <c r="M2941" i="3"/>
  <c r="N2966" i="3"/>
  <c r="P728" i="3"/>
  <c r="P302" i="3"/>
  <c r="P61" i="3"/>
  <c r="O389" i="3"/>
  <c r="O2334" i="3"/>
  <c r="P1307" i="3"/>
  <c r="O2311" i="3"/>
  <c r="P744" i="3"/>
  <c r="P2500" i="3"/>
  <c r="P2337" i="3"/>
  <c r="O3080" i="3"/>
  <c r="P328" i="3"/>
  <c r="P2620" i="3"/>
  <c r="P1817" i="3"/>
  <c r="O3052" i="3"/>
  <c r="O2181" i="3"/>
  <c r="N2900" i="3"/>
  <c r="O2789" i="3"/>
  <c r="O2950" i="3"/>
  <c r="O1848" i="3"/>
  <c r="O891" i="3"/>
  <c r="P1779" i="3"/>
  <c r="O763" i="3"/>
  <c r="P3007" i="3"/>
  <c r="P2208" i="3"/>
  <c r="L2815" i="3"/>
  <c r="P1347" i="3"/>
  <c r="O684" i="3"/>
  <c r="P16" i="3"/>
  <c r="P2418" i="3"/>
  <c r="O537" i="3"/>
  <c r="O877" i="3"/>
  <c r="M1685" i="3"/>
  <c r="P2621" i="3"/>
  <c r="P2466" i="3"/>
  <c r="P2262" i="3"/>
  <c r="O2242" i="3"/>
  <c r="O741" i="3"/>
  <c r="O1191" i="3"/>
  <c r="P1545" i="3"/>
  <c r="O1628" i="3"/>
  <c r="M1732" i="3"/>
  <c r="N1554" i="3"/>
  <c r="P1473" i="3"/>
  <c r="M3007" i="3"/>
  <c r="L2938" i="3"/>
  <c r="P716" i="3"/>
  <c r="N285" i="3"/>
  <c r="O914" i="3"/>
  <c r="M2872" i="3"/>
  <c r="O1125" i="3"/>
  <c r="P1148" i="3"/>
  <c r="M1169" i="3"/>
  <c r="N3037" i="3"/>
  <c r="P2830" i="3"/>
  <c r="O3249" i="3"/>
  <c r="M3189" i="3"/>
  <c r="O2949" i="3"/>
  <c r="P661" i="3"/>
  <c r="O3064" i="3"/>
  <c r="P472" i="3"/>
  <c r="O3247" i="3"/>
  <c r="P1695" i="3"/>
  <c r="M2815" i="3"/>
  <c r="P1908" i="3"/>
  <c r="P1099" i="3"/>
  <c r="M3369" i="3"/>
  <c r="M2979" i="3"/>
  <c r="M762" i="3"/>
  <c r="M136" i="3"/>
  <c r="P2939" i="3"/>
  <c r="L2758" i="3"/>
  <c r="M3143" i="3"/>
  <c r="O1168" i="3"/>
  <c r="N3158" i="3"/>
  <c r="P2224" i="3"/>
  <c r="O1179" i="3"/>
  <c r="L3159" i="3"/>
  <c r="P2372" i="3"/>
  <c r="O1599" i="3"/>
  <c r="P3363" i="3"/>
  <c r="P1571" i="3"/>
  <c r="M2835" i="3"/>
  <c r="N2371" i="3"/>
  <c r="L3037" i="3"/>
  <c r="L2830" i="3"/>
  <c r="P625" i="3"/>
  <c r="M2072" i="3"/>
  <c r="N3022" i="3"/>
  <c r="O759" i="3"/>
  <c r="P2632" i="3"/>
  <c r="O2193" i="3"/>
  <c r="M1170" i="3"/>
  <c r="M2800" i="3"/>
  <c r="M1489" i="3"/>
  <c r="O1762" i="3"/>
  <c r="O1428" i="3"/>
  <c r="P973" i="3"/>
  <c r="M240" i="3"/>
  <c r="M2899" i="3"/>
  <c r="P2731" i="3"/>
  <c r="P735" i="3"/>
  <c r="O864" i="3"/>
  <c r="O1022" i="3"/>
  <c r="O3229" i="3"/>
  <c r="O890" i="3"/>
  <c r="O1882" i="3"/>
  <c r="P2037" i="3"/>
  <c r="P1694" i="3"/>
  <c r="N2293" i="3"/>
  <c r="O1925" i="3"/>
  <c r="L587" i="3"/>
  <c r="O973" i="3"/>
  <c r="N3008" i="3"/>
  <c r="P865" i="3"/>
  <c r="P1880" i="3"/>
  <c r="L3036" i="3"/>
  <c r="N2731" i="3"/>
  <c r="P2164" i="3"/>
  <c r="P253" i="3"/>
  <c r="P2995" i="3"/>
  <c r="O603" i="3"/>
  <c r="O230" i="3"/>
  <c r="O1547" i="3"/>
  <c r="P606" i="3"/>
  <c r="O2013" i="3"/>
  <c r="P84" i="3"/>
  <c r="P1809" i="3"/>
  <c r="P1710" i="3"/>
  <c r="O807" i="3"/>
  <c r="O900" i="3"/>
  <c r="L2088" i="3"/>
  <c r="M1488" i="3"/>
  <c r="L2948" i="3"/>
  <c r="O2276" i="3"/>
  <c r="P516" i="3"/>
  <c r="P389" i="3"/>
  <c r="O606" i="3"/>
  <c r="N2388" i="3"/>
  <c r="P1925" i="3"/>
  <c r="O1956" i="3"/>
  <c r="P1655" i="3"/>
  <c r="M350" i="3"/>
  <c r="O866" i="3"/>
  <c r="M3102" i="3"/>
  <c r="M2085" i="3"/>
  <c r="P1719" i="3"/>
  <c r="N3342" i="3"/>
  <c r="P2803" i="3"/>
  <c r="L2774" i="3"/>
  <c r="O762" i="3"/>
  <c r="O165" i="3"/>
  <c r="M259" i="3"/>
  <c r="P616" i="3"/>
  <c r="N1734" i="3"/>
  <c r="N2871" i="3"/>
  <c r="M1562" i="3"/>
  <c r="O98" i="3"/>
  <c r="P851" i="3"/>
  <c r="M3295" i="3"/>
  <c r="L3021" i="3"/>
  <c r="M339" i="3"/>
  <c r="P1801" i="3"/>
  <c r="O326" i="3"/>
  <c r="O3123" i="3"/>
  <c r="L2804" i="3"/>
  <c r="P1523" i="3"/>
  <c r="L1490" i="3"/>
  <c r="O2939" i="3"/>
  <c r="P1811" i="3"/>
  <c r="P99" i="3"/>
  <c r="P1790" i="3"/>
  <c r="P799" i="3"/>
  <c r="P2815" i="3"/>
  <c r="P660" i="3"/>
  <c r="O867" i="3"/>
  <c r="O784" i="3"/>
  <c r="O760" i="3"/>
  <c r="O2582" i="3"/>
  <c r="P1824" i="3"/>
  <c r="N3124" i="3"/>
  <c r="N807" i="3"/>
  <c r="M287" i="3"/>
  <c r="M2871" i="3"/>
  <c r="P3382" i="3"/>
  <c r="M3038" i="3"/>
  <c r="P434" i="3"/>
  <c r="P3297" i="3"/>
  <c r="P3036" i="3"/>
  <c r="L2981" i="3"/>
  <c r="O1308" i="3"/>
  <c r="P2295" i="3"/>
  <c r="L2854" i="3"/>
  <c r="M3177" i="3"/>
  <c r="M2279" i="3"/>
  <c r="O3232" i="3"/>
  <c r="L398" i="3"/>
  <c r="L989" i="3"/>
  <c r="P1135" i="3"/>
  <c r="P179" i="3"/>
  <c r="N2838" i="3"/>
  <c r="P1089" i="3"/>
  <c r="O702" i="3"/>
  <c r="O1414" i="3"/>
  <c r="P1833" i="3"/>
  <c r="O2995" i="3"/>
  <c r="P46" i="3"/>
  <c r="O1329" i="3"/>
  <c r="N2773" i="3"/>
  <c r="N3159" i="3"/>
  <c r="P528" i="3"/>
  <c r="O2856" i="3"/>
  <c r="O2434" i="3"/>
  <c r="O635" i="3"/>
  <c r="N3214" i="3"/>
  <c r="N261" i="3"/>
  <c r="P3051" i="3"/>
  <c r="P3286" i="3"/>
  <c r="P214" i="3"/>
  <c r="P2089" i="3"/>
  <c r="M2873" i="3"/>
  <c r="O1360" i="3"/>
  <c r="O1158" i="3"/>
  <c r="O2386" i="3"/>
  <c r="N3296" i="3"/>
  <c r="O1061" i="3"/>
  <c r="N2278" i="3"/>
  <c r="O562" i="3"/>
  <c r="M808" i="3"/>
  <c r="P2261" i="3"/>
  <c r="O1318" i="3"/>
  <c r="O1614" i="3"/>
  <c r="N2821" i="3"/>
  <c r="P2730" i="3"/>
  <c r="M1928" i="3"/>
  <c r="O1388" i="3"/>
  <c r="P3159" i="3"/>
  <c r="O506" i="3"/>
  <c r="P212" i="3"/>
  <c r="N2757" i="3"/>
  <c r="O1113" i="3"/>
  <c r="P2836" i="3"/>
  <c r="P1046" i="3"/>
  <c r="P2715" i="3"/>
  <c r="O3063" i="3"/>
  <c r="O2352" i="3"/>
  <c r="M760" i="3"/>
  <c r="P2674" i="3"/>
  <c r="N270" i="3"/>
  <c r="P3364" i="3"/>
  <c r="O1533" i="3"/>
  <c r="O2315" i="3"/>
  <c r="O1535" i="3"/>
  <c r="P127" i="3"/>
  <c r="O1056" i="3"/>
  <c r="L2742" i="3"/>
  <c r="M585" i="3"/>
  <c r="P366" i="3"/>
  <c r="P287" i="3"/>
  <c r="N587" i="3"/>
  <c r="L2277" i="3"/>
  <c r="N2744" i="3"/>
  <c r="L3144" i="3"/>
  <c r="P1411" i="3"/>
  <c r="O2135" i="3"/>
  <c r="O2131" i="3"/>
  <c r="L1305" i="3"/>
  <c r="O3159" i="3"/>
  <c r="M2261" i="3"/>
  <c r="O2259" i="3"/>
  <c r="P821" i="3"/>
  <c r="O2551" i="3"/>
  <c r="M3249" i="3"/>
  <c r="O1115" i="3"/>
  <c r="P3355" i="3"/>
  <c r="N302" i="3"/>
  <c r="N3369" i="3"/>
  <c r="P3265" i="3"/>
  <c r="O318" i="3"/>
  <c r="M303" i="3"/>
  <c r="L2803" i="3"/>
  <c r="P1716" i="3"/>
  <c r="L3229" i="3"/>
  <c r="P1909" i="3"/>
  <c r="P460" i="3"/>
  <c r="M2759" i="3"/>
  <c r="O1058" i="3"/>
  <c r="O496" i="3"/>
  <c r="P1217" i="3"/>
  <c r="L2949" i="3"/>
  <c r="N2842" i="3"/>
  <c r="M3035" i="3"/>
  <c r="N2086" i="3"/>
  <c r="O783" i="3"/>
  <c r="O350" i="3"/>
  <c r="O3100" i="3"/>
  <c r="M2728" i="3"/>
  <c r="O365" i="3"/>
  <c r="L2759" i="3"/>
  <c r="L2069" i="3"/>
  <c r="P1535" i="3"/>
  <c r="L2013" i="3"/>
  <c r="P241" i="3"/>
  <c r="O1922" i="3"/>
  <c r="N2370" i="3"/>
  <c r="O1938" i="3"/>
  <c r="N2261" i="3"/>
  <c r="O1491" i="3"/>
  <c r="O2336" i="3"/>
  <c r="O213" i="3"/>
  <c r="P1959" i="3"/>
  <c r="M2760" i="3"/>
  <c r="P1305" i="3"/>
  <c r="P2872" i="3"/>
  <c r="N2997" i="3"/>
  <c r="M2885" i="3"/>
  <c r="O821" i="3"/>
  <c r="O1554" i="3"/>
  <c r="L2922" i="3"/>
  <c r="P370" i="3"/>
  <c r="P563" i="3"/>
  <c r="N1491" i="3"/>
  <c r="P3295" i="3"/>
  <c r="P1944" i="3"/>
  <c r="P190" i="3"/>
  <c r="O1959" i="3"/>
  <c r="L2012" i="3"/>
  <c r="O380" i="3"/>
  <c r="L3102" i="3"/>
  <c r="O1719" i="3"/>
  <c r="O444" i="3"/>
  <c r="O1749" i="3"/>
  <c r="P3160" i="3"/>
  <c r="P1683" i="3"/>
  <c r="P213" i="3"/>
  <c r="P1684" i="3"/>
  <c r="M986" i="3"/>
  <c r="P2688" i="3"/>
  <c r="M1734" i="3"/>
  <c r="P1787" i="3"/>
  <c r="L3354" i="3"/>
  <c r="P491" i="3"/>
  <c r="P326" i="3"/>
  <c r="O851" i="3"/>
  <c r="P809" i="3"/>
  <c r="N2260" i="3"/>
  <c r="O1801" i="3"/>
  <c r="N3229" i="3"/>
  <c r="N3023" i="3"/>
  <c r="P2804" i="3"/>
  <c r="O1695" i="3"/>
  <c r="P428" i="3"/>
  <c r="O1555" i="3"/>
  <c r="O1799" i="3"/>
  <c r="N1811" i="3"/>
  <c r="O2417" i="3"/>
  <c r="O398" i="3"/>
  <c r="O1798" i="3"/>
  <c r="P44" i="3"/>
  <c r="O1910" i="3"/>
  <c r="P737" i="3"/>
  <c r="O1266" i="3"/>
  <c r="N339" i="3"/>
  <c r="P1894" i="3"/>
  <c r="P3124" i="3"/>
  <c r="O2899" i="3"/>
  <c r="M2830" i="3"/>
  <c r="P635" i="3"/>
  <c r="L588" i="3"/>
  <c r="P1939" i="3"/>
  <c r="O3382" i="3"/>
  <c r="L3038" i="3"/>
  <c r="P2553" i="3"/>
  <c r="P1539" i="3"/>
  <c r="M2309" i="3"/>
  <c r="O786" i="3"/>
  <c r="M576" i="3"/>
  <c r="M3100" i="3"/>
  <c r="O3297" i="3"/>
  <c r="P383" i="3"/>
  <c r="O2948" i="3"/>
  <c r="N1308" i="3"/>
  <c r="O2295" i="3"/>
  <c r="O2728" i="3"/>
  <c r="L3177" i="3"/>
  <c r="L2279" i="3"/>
  <c r="N3232" i="3"/>
  <c r="O1206" i="3"/>
  <c r="P2676" i="3"/>
  <c r="O1089" i="3"/>
  <c r="O564" i="3"/>
  <c r="P822" i="3"/>
  <c r="N2714" i="3"/>
  <c r="P1631" i="3"/>
  <c r="L3325" i="3"/>
  <c r="N1810" i="3"/>
  <c r="P1525" i="3"/>
  <c r="O46" i="3"/>
  <c r="O3122" i="3"/>
  <c r="O507" i="3"/>
  <c r="O528" i="3"/>
  <c r="N3268" i="3"/>
  <c r="P518" i="3"/>
  <c r="P2648" i="3"/>
  <c r="P1696" i="3"/>
  <c r="O3286" i="3"/>
  <c r="O214" i="3"/>
  <c r="L2817" i="3"/>
  <c r="M2089" i="3"/>
  <c r="L2873" i="3"/>
  <c r="P2606" i="3"/>
  <c r="L3065" i="3"/>
  <c r="P2910" i="3"/>
  <c r="O203" i="3"/>
  <c r="M2884" i="3"/>
  <c r="M1307" i="3"/>
  <c r="O2087" i="3"/>
  <c r="M3176" i="3"/>
  <c r="O2310" i="3"/>
  <c r="O986" i="3"/>
  <c r="M409" i="3"/>
  <c r="N1859" i="3"/>
  <c r="P1191" i="3"/>
  <c r="P1093" i="3"/>
  <c r="M2823" i="3"/>
  <c r="N2923" i="3"/>
  <c r="N2814" i="3"/>
  <c r="O1250" i="3"/>
  <c r="O1761" i="3"/>
  <c r="M2014" i="3"/>
  <c r="O212" i="3"/>
  <c r="P2242" i="3"/>
  <c r="P550" i="3"/>
  <c r="P1169" i="3"/>
  <c r="P1361" i="3"/>
  <c r="P2087" i="3"/>
  <c r="O729" i="3"/>
  <c r="P17" i="3"/>
  <c r="O1656" i="3"/>
  <c r="M2170" i="3"/>
  <c r="P901" i="3"/>
  <c r="P3213" i="3"/>
  <c r="P178" i="3"/>
  <c r="P1956" i="3"/>
  <c r="P479" i="3"/>
  <c r="P2591" i="3"/>
  <c r="O1503" i="3"/>
  <c r="M2505" i="3"/>
  <c r="M336" i="3"/>
  <c r="L3379" i="3"/>
  <c r="N1858" i="3"/>
  <c r="P425" i="3"/>
  <c r="M1923" i="3"/>
  <c r="O3369" i="3"/>
  <c r="O3144" i="3"/>
  <c r="L3121" i="3"/>
  <c r="O971" i="3"/>
  <c r="P3230" i="3"/>
  <c r="O2898" i="3"/>
  <c r="L3326" i="3"/>
  <c r="O930" i="3"/>
  <c r="O1589" i="3"/>
  <c r="P634" i="3"/>
  <c r="M2499" i="3"/>
  <c r="P1590" i="3"/>
  <c r="M2086" i="3"/>
  <c r="P1970" i="3"/>
  <c r="P230" i="3"/>
  <c r="L2802" i="3"/>
  <c r="P2316" i="3"/>
  <c r="O797" i="3"/>
  <c r="P3078" i="3"/>
  <c r="O634" i="3"/>
  <c r="P2506" i="3"/>
  <c r="O1814" i="3"/>
  <c r="P534" i="3"/>
  <c r="M2947" i="3"/>
  <c r="L2871" i="3"/>
  <c r="P2482" i="3"/>
  <c r="P1858" i="3"/>
  <c r="N585" i="3"/>
  <c r="N2855" i="3"/>
  <c r="P2652" i="3"/>
  <c r="P624" i="3"/>
  <c r="O2829" i="3"/>
  <c r="P603" i="3"/>
  <c r="P889" i="3"/>
  <c r="P647" i="3"/>
  <c r="O1264" i="3"/>
  <c r="P1641" i="3"/>
  <c r="O970" i="3"/>
  <c r="M3213" i="3"/>
  <c r="O876" i="3"/>
  <c r="O901" i="3"/>
  <c r="P1220" i="3"/>
  <c r="P562" i="3"/>
  <c r="P2464" i="3"/>
  <c r="N3363" i="3"/>
  <c r="O478" i="3"/>
  <c r="P524" i="3"/>
  <c r="M3231" i="3"/>
  <c r="P673" i="3"/>
  <c r="L2182" i="3"/>
  <c r="O1946" i="3"/>
  <c r="M2732" i="3"/>
  <c r="N272" i="3"/>
  <c r="P687" i="3"/>
  <c r="L3363" i="3"/>
  <c r="P3122" i="3"/>
  <c r="P2823" i="3"/>
  <c r="P2134" i="3"/>
  <c r="P1578" i="3"/>
  <c r="P2912" i="3"/>
  <c r="O1411" i="3"/>
  <c r="N3176" i="3"/>
  <c r="N3231" i="3"/>
  <c r="O3079" i="3"/>
  <c r="P2507" i="3"/>
  <c r="O261" i="3"/>
  <c r="O243" i="3"/>
  <c r="N2717" i="3"/>
  <c r="P1704" i="3"/>
  <c r="O351" i="3"/>
  <c r="O1429" i="3"/>
  <c r="P2485" i="3"/>
  <c r="O2775" i="3"/>
  <c r="N3356" i="3"/>
  <c r="M1492" i="3"/>
  <c r="O1476" i="3"/>
  <c r="O113" i="3"/>
  <c r="M2886" i="3"/>
  <c r="P2554" i="3"/>
  <c r="P2179" i="3"/>
  <c r="N2386" i="3"/>
  <c r="O787" i="3"/>
  <c r="O753" i="3"/>
  <c r="P1810" i="3"/>
  <c r="M2848" i="3"/>
  <c r="N2982" i="3"/>
  <c r="M2310" i="3"/>
  <c r="O2500" i="3"/>
  <c r="O2196" i="3"/>
  <c r="P2263" i="3"/>
  <c r="O2649" i="3"/>
  <c r="O2717" i="3"/>
  <c r="P1926" i="3"/>
  <c r="N288" i="3"/>
  <c r="P2941" i="3"/>
  <c r="L2073" i="3"/>
  <c r="L2966" i="3"/>
  <c r="O1825" i="3"/>
  <c r="P2786" i="3"/>
  <c r="P2402" i="3"/>
  <c r="P2226" i="3"/>
  <c r="O663" i="3"/>
  <c r="P820" i="3"/>
  <c r="O2371" i="3"/>
  <c r="P1330" i="3"/>
  <c r="N3064" i="3"/>
  <c r="M2311" i="3"/>
  <c r="O1445" i="3"/>
  <c r="O3328" i="3"/>
  <c r="P553" i="3"/>
  <c r="O18" i="3"/>
  <c r="N3267" i="3"/>
  <c r="P838" i="3"/>
  <c r="P471" i="3"/>
  <c r="P543" i="3"/>
  <c r="L2911" i="3"/>
  <c r="O193" i="3"/>
  <c r="M3229" i="3"/>
  <c r="O2635" i="3"/>
  <c r="P2038" i="3"/>
  <c r="P1718" i="3"/>
  <c r="L135" i="3"/>
  <c r="O223" i="3"/>
  <c r="M3283" i="3"/>
  <c r="P2899" i="3"/>
  <c r="P2580" i="3"/>
  <c r="L1693" i="3"/>
  <c r="O30" i="3"/>
  <c r="P1035" i="3"/>
  <c r="P2070" i="3"/>
  <c r="O1254" i="3"/>
  <c r="P2308" i="3"/>
  <c r="O1073" i="3"/>
  <c r="O1349" i="3"/>
  <c r="L3365" i="3"/>
  <c r="P1157" i="3"/>
  <c r="P210" i="3"/>
  <c r="M2964" i="3"/>
  <c r="P1491" i="3"/>
  <c r="N1488" i="3"/>
  <c r="O889" i="3"/>
  <c r="P617" i="3"/>
  <c r="P1459" i="3"/>
  <c r="P3312" i="3"/>
  <c r="N811" i="3"/>
  <c r="M2844" i="3"/>
  <c r="P1563" i="3"/>
  <c r="M2172" i="3"/>
  <c r="P481" i="3"/>
  <c r="O1718" i="3"/>
  <c r="O224" i="3"/>
  <c r="P1943" i="3"/>
  <c r="P3161" i="3"/>
  <c r="O2848" i="3"/>
  <c r="L3099" i="3"/>
  <c r="O153" i="3"/>
  <c r="P3313" i="3"/>
  <c r="N1763" i="3"/>
  <c r="P2842" i="3"/>
  <c r="P1125" i="3"/>
  <c r="P2088" i="3"/>
  <c r="P3379" i="3"/>
  <c r="O3341" i="3"/>
  <c r="N3206" i="3"/>
  <c r="P1834" i="3"/>
  <c r="M1909" i="3"/>
  <c r="O614" i="3"/>
  <c r="L2801" i="3"/>
  <c r="P544" i="3"/>
  <c r="L3063" i="3"/>
  <c r="O2803" i="3"/>
  <c r="P700" i="3"/>
  <c r="P1615" i="3"/>
  <c r="M3158" i="3"/>
  <c r="M2997" i="3"/>
  <c r="P2315" i="3"/>
  <c r="N3143" i="3"/>
  <c r="O1578" i="3"/>
  <c r="N3121" i="3"/>
  <c r="O1929" i="3"/>
  <c r="P1101" i="3"/>
  <c r="M2788" i="3"/>
  <c r="O191" i="3"/>
  <c r="L410" i="3"/>
  <c r="O809" i="3"/>
  <c r="O1442" i="3"/>
  <c r="N2896" i="3"/>
  <c r="O1290" i="3"/>
  <c r="N1761" i="3"/>
  <c r="P633" i="3"/>
  <c r="O2027" i="3"/>
  <c r="N3381" i="3"/>
  <c r="L3364" i="3"/>
  <c r="P2800" i="3"/>
  <c r="P85" i="3"/>
  <c r="P685" i="3"/>
  <c r="O796" i="3"/>
  <c r="P1063" i="3"/>
  <c r="O3354" i="3"/>
  <c r="L2872" i="3"/>
  <c r="N3247" i="3"/>
  <c r="O3248" i="3"/>
  <c r="L762" i="3"/>
  <c r="L269" i="3"/>
  <c r="O136" i="3"/>
  <c r="O410" i="3"/>
  <c r="P890" i="3"/>
  <c r="O573" i="3"/>
  <c r="O2835" i="3"/>
  <c r="M1762" i="3"/>
  <c r="M1265" i="3"/>
  <c r="O287" i="3"/>
  <c r="M587" i="3"/>
  <c r="O363" i="3"/>
  <c r="P350" i="3"/>
  <c r="M2924" i="3"/>
  <c r="P1871" i="3"/>
  <c r="M2179" i="3"/>
  <c r="N3265" i="3"/>
  <c r="P615" i="3"/>
  <c r="O1747" i="3"/>
  <c r="N260" i="3"/>
  <c r="L3381" i="3"/>
  <c r="N2924" i="3"/>
  <c r="O63" i="3"/>
  <c r="O2593" i="3"/>
  <c r="L1491" i="3"/>
  <c r="O941" i="3"/>
  <c r="O2309" i="3"/>
  <c r="P1320" i="3"/>
  <c r="P30" i="3"/>
  <c r="P402" i="3"/>
  <c r="M2013" i="3"/>
  <c r="P29" i="3"/>
  <c r="P1613" i="3"/>
  <c r="M2801" i="3"/>
  <c r="N1911" i="3"/>
  <c r="O2632" i="3"/>
  <c r="M2293" i="3"/>
  <c r="O364" i="3"/>
  <c r="N1555" i="3"/>
  <c r="M2940" i="3"/>
  <c r="N3230" i="3"/>
  <c r="O2052" i="3"/>
  <c r="O489" i="3"/>
  <c r="P3371" i="3"/>
  <c r="P1265" i="3"/>
  <c r="L2731" i="3"/>
  <c r="O2658" i="3"/>
  <c r="P2012" i="3"/>
  <c r="O2802" i="3"/>
  <c r="L3174" i="3"/>
  <c r="L136" i="3"/>
  <c r="N2815" i="3"/>
  <c r="P1911" i="3"/>
  <c r="M1809" i="3"/>
  <c r="P410" i="3"/>
  <c r="N2980" i="3"/>
  <c r="M2715" i="3"/>
  <c r="O3205" i="3"/>
  <c r="O1703" i="3"/>
  <c r="N3102" i="3"/>
  <c r="N3365" i="3"/>
  <c r="P1364" i="3"/>
  <c r="L1912" i="3"/>
  <c r="P1749" i="3"/>
  <c r="N3123" i="3"/>
  <c r="O1945" i="3"/>
  <c r="N1703" i="3"/>
  <c r="P931" i="3"/>
  <c r="P1734" i="3"/>
  <c r="O242" i="3"/>
  <c r="P2883" i="3"/>
  <c r="O221" i="3"/>
  <c r="P97" i="3"/>
  <c r="O491" i="3"/>
  <c r="M3247" i="3"/>
  <c r="M3036" i="3"/>
  <c r="O887" i="3"/>
  <c r="N1306" i="3"/>
  <c r="O2804" i="3"/>
  <c r="P2924" i="3"/>
  <c r="L3212" i="3"/>
  <c r="L1811" i="3"/>
  <c r="P2856" i="3"/>
  <c r="P585" i="3"/>
  <c r="O810" i="3"/>
  <c r="O659" i="3"/>
  <c r="M1692" i="3"/>
  <c r="P409" i="3"/>
  <c r="P2514" i="3"/>
  <c r="P3365" i="3"/>
  <c r="M2729" i="3"/>
  <c r="L2086" i="3"/>
  <c r="P403" i="3"/>
  <c r="M3124" i="3"/>
  <c r="M3160" i="3"/>
  <c r="N3355" i="3"/>
  <c r="P588" i="3"/>
  <c r="P778" i="3"/>
  <c r="O1939" i="3"/>
  <c r="N3382" i="3"/>
  <c r="O1560" i="3"/>
  <c r="O1249" i="3"/>
  <c r="L576" i="3"/>
  <c r="M3009" i="3"/>
  <c r="N3297" i="3"/>
  <c r="M284" i="3"/>
  <c r="N1702" i="3"/>
  <c r="O111" i="3"/>
  <c r="P987" i="3"/>
  <c r="M1308" i="3"/>
  <c r="N2295" i="3"/>
  <c r="N411" i="3"/>
  <c r="O455" i="3"/>
  <c r="M3232" i="3"/>
  <c r="O19" i="3"/>
  <c r="O2001" i="3"/>
  <c r="P1378" i="3"/>
  <c r="O2262" i="3"/>
  <c r="O822" i="3"/>
  <c r="O1192" i="3"/>
  <c r="P2655" i="3"/>
  <c r="O2179" i="3"/>
  <c r="P3247" i="3"/>
  <c r="M3022" i="3"/>
  <c r="P1390" i="3"/>
  <c r="L1860" i="3"/>
  <c r="P2434" i="3"/>
  <c r="M3268" i="3"/>
  <c r="P1974" i="3"/>
  <c r="O499" i="3"/>
  <c r="N1556" i="3"/>
  <c r="O1696" i="3"/>
  <c r="N3286" i="3"/>
  <c r="P2817" i="3"/>
  <c r="L2089" i="3"/>
  <c r="O3143" i="3"/>
  <c r="O379" i="3"/>
  <c r="O469" i="3"/>
  <c r="O2208" i="3"/>
  <c r="O1579" i="3"/>
  <c r="P2801" i="3"/>
  <c r="O2308" i="3"/>
  <c r="P2980" i="3"/>
  <c r="M2910" i="3"/>
  <c r="N2938" i="3"/>
  <c r="L1858" i="3"/>
  <c r="P176" i="3"/>
  <c r="N286" i="3"/>
  <c r="P2686" i="3"/>
  <c r="L2947" i="3"/>
  <c r="N2071" i="3"/>
  <c r="O1020" i="3"/>
  <c r="P2535" i="3"/>
  <c r="M1683" i="3"/>
  <c r="L2014" i="3"/>
  <c r="P940" i="3"/>
  <c r="O1062" i="3"/>
  <c r="P110" i="3"/>
  <c r="O302" i="3"/>
  <c r="O2592" i="3"/>
  <c r="O2836" i="3"/>
  <c r="O2854" i="3"/>
  <c r="O1473" i="3"/>
  <c r="P1503" i="3"/>
  <c r="O1034" i="3"/>
  <c r="O1641" i="3"/>
  <c r="P220" i="3"/>
  <c r="O2402" i="3"/>
  <c r="P604" i="3"/>
  <c r="O3121" i="3"/>
  <c r="M761" i="3"/>
  <c r="P1057" i="3"/>
  <c r="O574" i="3"/>
  <c r="O3295" i="3"/>
  <c r="O2759" i="3"/>
  <c r="P1524" i="3"/>
  <c r="O2822" i="3"/>
  <c r="O1148" i="3"/>
  <c r="M270" i="3"/>
  <c r="P435" i="3"/>
  <c r="O526" i="3"/>
  <c r="O988" i="3"/>
  <c r="N2825" i="3"/>
  <c r="N304" i="3"/>
  <c r="N2277" i="3"/>
  <c r="O1292" i="3"/>
  <c r="P490" i="3"/>
  <c r="P2635" i="3"/>
  <c r="P819" i="3"/>
  <c r="O3380" i="3"/>
  <c r="O1363" i="3"/>
  <c r="O2849" i="3"/>
  <c r="N3353" i="3"/>
  <c r="P3123" i="3"/>
  <c r="M2824" i="3"/>
  <c r="P2841" i="3"/>
  <c r="P1569" i="3"/>
  <c r="L395" i="3"/>
  <c r="P411" i="3"/>
  <c r="O1746" i="3"/>
  <c r="P2925" i="3"/>
  <c r="M1167" i="3"/>
  <c r="M1168" i="3"/>
  <c r="N2848" i="3"/>
  <c r="O950" i="3"/>
  <c r="P1825" i="3"/>
  <c r="P3285" i="3"/>
  <c r="N2729" i="3"/>
  <c r="O2847" i="3"/>
  <c r="P507" i="3"/>
  <c r="P1658" i="3"/>
  <c r="O617" i="3"/>
  <c r="O394" i="3"/>
  <c r="M811" i="3"/>
  <c r="L3175" i="3"/>
  <c r="O1563" i="3"/>
  <c r="O192" i="3"/>
  <c r="P438" i="3"/>
  <c r="P1516" i="3"/>
  <c r="O850" i="3"/>
  <c r="O481" i="3"/>
  <c r="P2170" i="3"/>
  <c r="L3123" i="3"/>
  <c r="O3161" i="3"/>
  <c r="O1092" i="3"/>
  <c r="O4" i="3"/>
  <c r="O3313" i="3"/>
  <c r="P2403" i="3"/>
  <c r="O2482" i="3"/>
  <c r="P914" i="3"/>
  <c r="P2997" i="3"/>
  <c r="M586" i="3"/>
  <c r="O3037" i="3"/>
  <c r="O957" i="3"/>
  <c r="M1701" i="3"/>
  <c r="P796" i="3"/>
  <c r="P2593" i="3"/>
  <c r="M2816" i="3"/>
  <c r="P626" i="3"/>
  <c r="O795" i="3"/>
  <c r="N336" i="3"/>
  <c r="P957" i="3"/>
  <c r="P3282" i="3"/>
  <c r="L3370" i="3"/>
  <c r="P395" i="3"/>
  <c r="P2055" i="3"/>
  <c r="P436" i="3"/>
  <c r="O85" i="3"/>
  <c r="P1560" i="3"/>
  <c r="O626" i="3"/>
  <c r="O1170" i="3"/>
  <c r="N1692" i="3"/>
  <c r="P2672" i="3"/>
  <c r="O1717" i="3"/>
  <c r="L3295" i="3"/>
  <c r="M3371" i="3"/>
  <c r="O2965" i="3"/>
  <c r="P1579" i="3"/>
  <c r="L573" i="3"/>
  <c r="N2995" i="3"/>
  <c r="L2786" i="3"/>
  <c r="M2498" i="3"/>
  <c r="O317" i="3"/>
  <c r="M3284" i="3"/>
  <c r="P1264" i="3"/>
  <c r="M3230" i="3"/>
  <c r="M2980" i="3"/>
  <c r="O260" i="3"/>
  <c r="P1986" i="3"/>
  <c r="N3175" i="3"/>
  <c r="O497" i="3"/>
  <c r="M1911" i="3"/>
  <c r="P1232" i="3"/>
  <c r="L3371" i="3"/>
  <c r="O2450" i="3"/>
  <c r="P1541" i="3"/>
  <c r="O2604" i="3"/>
  <c r="O127" i="3"/>
  <c r="M1938" i="3"/>
  <c r="P1058" i="3"/>
  <c r="P1882" i="3"/>
  <c r="O1847" i="3"/>
  <c r="O2431" i="3"/>
  <c r="O2924" i="3"/>
  <c r="P701" i="3"/>
  <c r="P2774" i="3"/>
  <c r="P371" i="3"/>
  <c r="N269" i="3"/>
  <c r="O2465" i="3"/>
  <c r="O1787" i="3"/>
  <c r="O1694" i="3"/>
  <c r="P2551" i="3"/>
  <c r="O3189" i="3"/>
  <c r="O110" i="3"/>
  <c r="M2870" i="3"/>
  <c r="P1762" i="3"/>
  <c r="L2995" i="3"/>
  <c r="L759" i="3"/>
  <c r="O371" i="3"/>
  <c r="O1178" i="3"/>
  <c r="L1170" i="3"/>
  <c r="O1159" i="3"/>
  <c r="P1703" i="3"/>
  <c r="P1945" i="3"/>
  <c r="O1045" i="3"/>
  <c r="P1178" i="3"/>
  <c r="O60" i="3"/>
  <c r="P497" i="3"/>
  <c r="O2028" i="3"/>
  <c r="O479" i="3"/>
  <c r="N2759" i="3"/>
  <c r="O2816" i="3"/>
  <c r="P2414" i="3"/>
  <c r="O1923" i="3"/>
  <c r="P1396" i="3"/>
  <c r="M1684" i="3"/>
  <c r="O1319" i="3"/>
  <c r="O124" i="3"/>
  <c r="P2353" i="3"/>
  <c r="P1475" i="3"/>
  <c r="O348" i="3"/>
  <c r="P470" i="3"/>
  <c r="N2816" i="3"/>
  <c r="O2786" i="3"/>
  <c r="L2760" i="3"/>
  <c r="L2821" i="3"/>
  <c r="P2172" i="3"/>
  <c r="L3008" i="3"/>
  <c r="O2581" i="3"/>
  <c r="M3340" i="3"/>
  <c r="O251" i="3"/>
  <c r="P2714" i="3"/>
  <c r="M2757" i="3"/>
  <c r="N3145" i="3"/>
  <c r="N3009" i="3"/>
  <c r="P1685" i="3"/>
  <c r="O3214" i="3"/>
  <c r="N3144" i="3"/>
  <c r="P605" i="3"/>
  <c r="O1845" i="3"/>
  <c r="M2173" i="3"/>
  <c r="O1167" i="3"/>
  <c r="N1762" i="3"/>
  <c r="P489" i="3"/>
  <c r="O2659" i="3"/>
  <c r="N2804" i="3"/>
  <c r="P1092" i="3"/>
  <c r="L1859" i="3"/>
  <c r="M1811" i="3"/>
  <c r="L2717" i="3"/>
  <c r="O2843" i="3"/>
  <c r="P1763" i="3"/>
  <c r="L2800" i="3"/>
  <c r="O2069" i="3"/>
  <c r="O2514" i="3"/>
  <c r="L2849" i="3"/>
  <c r="O1684" i="3"/>
  <c r="L3124" i="3"/>
  <c r="P1547" i="3"/>
  <c r="N3341" i="3"/>
  <c r="O391" i="3"/>
  <c r="N1490" i="3"/>
  <c r="N588" i="3"/>
  <c r="O778" i="3"/>
  <c r="M3250" i="3"/>
  <c r="M3382" i="3"/>
  <c r="M260" i="3"/>
  <c r="L3066" i="3"/>
  <c r="N3248" i="3"/>
  <c r="P2569" i="3"/>
  <c r="P203" i="3"/>
  <c r="P2102" i="3"/>
  <c r="L1308" i="3"/>
  <c r="M2295" i="3"/>
  <c r="P1860" i="3"/>
  <c r="P165" i="3"/>
  <c r="P455" i="3"/>
  <c r="L3232" i="3"/>
  <c r="O1378" i="3"/>
  <c r="O1643" i="3"/>
  <c r="O1253" i="3"/>
  <c r="P2181" i="3"/>
  <c r="O137" i="3"/>
  <c r="N3372" i="3"/>
  <c r="P786" i="3"/>
  <c r="P2465" i="3"/>
  <c r="O2655" i="3"/>
  <c r="M2070" i="3"/>
  <c r="P2085" i="3"/>
  <c r="P3176" i="3"/>
  <c r="L1006" i="3"/>
  <c r="L3268" i="3"/>
  <c r="P1136" i="3"/>
  <c r="P373" i="3"/>
  <c r="P1253" i="3"/>
  <c r="M2181" i="3"/>
  <c r="P1506" i="3"/>
  <c r="N1696" i="3"/>
  <c r="M3286" i="3"/>
  <c r="P1562" i="3"/>
  <c r="O3312" i="3"/>
  <c r="O3035" i="3"/>
  <c r="N410" i="3"/>
  <c r="M1490" i="3"/>
  <c r="O86" i="3"/>
  <c r="P542" i="3"/>
  <c r="P1629" i="3"/>
  <c r="O1561" i="3"/>
  <c r="M3310" i="3"/>
  <c r="O1972" i="3"/>
  <c r="O1748" i="3"/>
  <c r="P3024" i="3"/>
  <c r="M2803" i="3"/>
  <c r="L2371" i="3"/>
  <c r="O447" i="3"/>
  <c r="O2153" i="3"/>
  <c r="N3312" i="3"/>
  <c r="O3208" i="3"/>
  <c r="P1004" i="3"/>
  <c r="L811" i="3"/>
  <c r="L2925" i="3"/>
  <c r="P3380" i="3"/>
  <c r="O438" i="3"/>
  <c r="O1516" i="3"/>
  <c r="M3101" i="3"/>
  <c r="P888" i="3"/>
  <c r="O3370" i="3"/>
  <c r="P401" i="3"/>
  <c r="N2850" i="3"/>
  <c r="N3161" i="3"/>
  <c r="O1670" i="3"/>
  <c r="O2053" i="3"/>
  <c r="P1444" i="3"/>
  <c r="N3313" i="3"/>
  <c r="O1275" i="3"/>
  <c r="O2872" i="3"/>
  <c r="O1615" i="3"/>
  <c r="O2086" i="3"/>
  <c r="O2591" i="3"/>
  <c r="M286" i="3"/>
  <c r="P1074" i="3"/>
  <c r="P1999" i="3"/>
  <c r="N2715" i="3"/>
  <c r="P1319" i="3"/>
  <c r="N2979" i="3"/>
  <c r="P1170" i="3"/>
  <c r="M2372" i="3"/>
  <c r="O2673" i="3"/>
  <c r="M3285" i="3"/>
  <c r="P2171" i="3"/>
  <c r="N3380" i="3"/>
  <c r="L3284" i="3"/>
  <c r="P1798" i="3"/>
  <c r="O2448" i="3"/>
  <c r="M1560" i="3"/>
  <c r="P1589" i="3"/>
  <c r="L1087" i="3"/>
  <c r="O3381" i="3"/>
  <c r="P3100" i="3"/>
  <c r="M301" i="3"/>
  <c r="P177" i="3"/>
  <c r="L2816" i="3"/>
  <c r="N2823" i="3"/>
  <c r="P1061" i="3"/>
  <c r="L2372" i="3"/>
  <c r="P900" i="3"/>
  <c r="O303" i="3"/>
  <c r="N809" i="3"/>
  <c r="P3311" i="3"/>
  <c r="O1832" i="3"/>
  <c r="O2141" i="3"/>
  <c r="O1133" i="3"/>
  <c r="P1799" i="3"/>
  <c r="N3282" i="3"/>
  <c r="P2448" i="3"/>
  <c r="O1234" i="3"/>
  <c r="L2847" i="3"/>
  <c r="N1005" i="3"/>
  <c r="P365" i="3"/>
  <c r="O2187" i="3"/>
  <c r="O2038" i="3"/>
  <c r="N303" i="3"/>
  <c r="O543" i="3"/>
  <c r="P970" i="3"/>
  <c r="N2883" i="3"/>
  <c r="P1973" i="3"/>
  <c r="P2828" i="3"/>
  <c r="M3381" i="3"/>
  <c r="O849" i="3"/>
  <c r="P388" i="3"/>
  <c r="O259" i="3"/>
  <c r="N1305" i="3"/>
  <c r="M2949" i="3"/>
  <c r="P929" i="3"/>
  <c r="O2910" i="3"/>
  <c r="O1693" i="3"/>
  <c r="M1703" i="3"/>
  <c r="P3077" i="3"/>
  <c r="M1702" i="3"/>
  <c r="M2965" i="3"/>
  <c r="P2947" i="3"/>
  <c r="P1073" i="3"/>
  <c r="O3022" i="3"/>
  <c r="P2351" i="3"/>
  <c r="P112" i="3"/>
  <c r="O61" i="3"/>
  <c r="M2842" i="3"/>
  <c r="O3145" i="3"/>
  <c r="M3077" i="3"/>
  <c r="O2940" i="3"/>
  <c r="O949" i="3"/>
  <c r="O2742" i="3"/>
  <c r="M1306" i="3"/>
  <c r="O2760" i="3"/>
  <c r="O1276" i="3"/>
  <c r="L2744" i="3"/>
  <c r="P1514" i="3"/>
  <c r="P2965" i="3"/>
  <c r="O916" i="3"/>
  <c r="P2700" i="3"/>
  <c r="O2511" i="3"/>
  <c r="P1896" i="3"/>
  <c r="P446" i="3"/>
  <c r="O2512" i="3"/>
  <c r="M3145" i="3"/>
  <c r="M3294" i="3"/>
  <c r="M3355" i="3"/>
  <c r="P427" i="3"/>
  <c r="P2896" i="3"/>
  <c r="O776" i="3"/>
  <c r="L3100" i="3"/>
  <c r="L2070" i="3"/>
  <c r="M1922" i="3"/>
  <c r="O1204" i="3"/>
  <c r="O1513" i="3"/>
  <c r="P1504" i="3"/>
  <c r="P2241" i="3"/>
  <c r="O932" i="3"/>
  <c r="P240" i="3"/>
  <c r="L3355" i="3"/>
  <c r="O701" i="3"/>
  <c r="O1692" i="3"/>
  <c r="M2497" i="3"/>
  <c r="P1350" i="3"/>
  <c r="P850" i="3"/>
  <c r="M1266" i="3"/>
  <c r="P1800" i="3"/>
  <c r="P1776" i="3"/>
  <c r="P1513" i="3"/>
  <c r="O271" i="3"/>
  <c r="O1763" i="3"/>
  <c r="P866" i="3"/>
  <c r="P2173" i="3"/>
  <c r="O737" i="3"/>
  <c r="O1387" i="3"/>
  <c r="O1397" i="3"/>
  <c r="L808" i="3"/>
  <c r="O403" i="3"/>
  <c r="L3160" i="3"/>
  <c r="O428" i="3"/>
  <c r="O1790" i="3"/>
  <c r="O1629" i="3"/>
  <c r="O3207" i="3"/>
  <c r="P672" i="3"/>
  <c r="P2979" i="3"/>
  <c r="O1928" i="3"/>
  <c r="O1180" i="3"/>
  <c r="M1930" i="3"/>
  <c r="M1912" i="3"/>
  <c r="P3342" i="3"/>
  <c r="O3023" i="3"/>
  <c r="O646" i="3"/>
  <c r="P533" i="3"/>
  <c r="P1808" i="3"/>
  <c r="P391" i="3"/>
  <c r="P222" i="3"/>
  <c r="M588" i="3"/>
  <c r="L3250" i="3"/>
  <c r="M1939" i="3"/>
  <c r="P452" i="3"/>
  <c r="P3066" i="3"/>
  <c r="L1169" i="3"/>
  <c r="O488" i="3"/>
  <c r="L2912" i="3"/>
  <c r="L2787" i="3"/>
  <c r="P1308" i="3"/>
  <c r="L2295" i="3"/>
  <c r="P3232" i="3"/>
  <c r="P1094" i="3"/>
  <c r="P19" i="3"/>
  <c r="P877" i="3"/>
  <c r="O2676" i="3"/>
  <c r="O2467" i="3"/>
  <c r="P1643" i="3"/>
  <c r="P1024" i="3"/>
  <c r="M2838" i="3"/>
  <c r="O616" i="3"/>
  <c r="P1572" i="3"/>
  <c r="M3372" i="3"/>
  <c r="O2828" i="3"/>
  <c r="P3009" i="3"/>
  <c r="L3296" i="3"/>
  <c r="M2981" i="3"/>
  <c r="P2835" i="3"/>
  <c r="O1390" i="3"/>
  <c r="O411" i="3"/>
  <c r="P3327" i="3"/>
  <c r="P798" i="3"/>
  <c r="P3268" i="3"/>
  <c r="P878" i="3"/>
  <c r="O1136" i="3"/>
  <c r="O1506" i="3"/>
  <c r="M1696" i="3"/>
  <c r="O627" i="3"/>
  <c r="N2817" i="3"/>
  <c r="P31" i="3"/>
  <c r="P1612" i="3"/>
  <c r="L396" i="3"/>
  <c r="O948" i="3"/>
  <c r="P2294" i="3"/>
  <c r="P508" i="3"/>
  <c r="P412" i="3"/>
  <c r="O1895" i="3"/>
  <c r="L761" i="3"/>
  <c r="L268" i="3"/>
  <c r="N2996" i="3"/>
  <c r="L574" i="3"/>
  <c r="P3353" i="3"/>
  <c r="P134" i="3"/>
  <c r="O3" i="3"/>
  <c r="P729" i="3"/>
  <c r="M2742" i="3"/>
  <c r="P1533" i="3"/>
  <c r="N1489" i="3"/>
  <c r="O699" i="3"/>
  <c r="P2498" i="3"/>
  <c r="O660" i="3"/>
  <c r="O498" i="3"/>
  <c r="P2140" i="3"/>
  <c r="P3212" i="3"/>
  <c r="O337" i="3"/>
  <c r="O2896" i="3"/>
  <c r="O210" i="3"/>
  <c r="P1942" i="3"/>
  <c r="P2027" i="3"/>
  <c r="O461" i="3"/>
  <c r="L2715" i="3"/>
  <c r="O3099" i="3"/>
  <c r="N3098" i="3"/>
  <c r="L988" i="3"/>
  <c r="M2716" i="3"/>
  <c r="O2101" i="3"/>
  <c r="L3310" i="3"/>
  <c r="O1871" i="3"/>
  <c r="P2139" i="3"/>
  <c r="L2773" i="3"/>
  <c r="M2758" i="3"/>
  <c r="O972" i="3"/>
  <c r="P514" i="3"/>
  <c r="O2922" i="3"/>
  <c r="O453" i="3"/>
  <c r="P3050" i="3"/>
  <c r="P1205" i="3"/>
  <c r="M2841" i="3"/>
  <c r="O1590" i="3"/>
  <c r="M285" i="3"/>
  <c r="O1021" i="3"/>
  <c r="M1910" i="3"/>
  <c r="P3021" i="3"/>
  <c r="O2224" i="3"/>
  <c r="L2980" i="3"/>
  <c r="O1046" i="3"/>
  <c r="P1732" i="3"/>
  <c r="L1731" i="3"/>
  <c r="O2647" i="3"/>
  <c r="P517" i="3"/>
  <c r="M2883" i="3"/>
  <c r="N2841" i="3"/>
  <c r="O3326" i="3"/>
  <c r="O808" i="3"/>
  <c r="O3283" i="3"/>
  <c r="P3266" i="3"/>
  <c r="O2870" i="3"/>
  <c r="P1957" i="3"/>
  <c r="P551" i="3"/>
  <c r="O178" i="3"/>
  <c r="M348" i="3"/>
  <c r="O1924" i="3"/>
  <c r="P2659" i="3"/>
  <c r="P1037" i="3"/>
  <c r="O347" i="3"/>
  <c r="O3078" i="3"/>
  <c r="O2416" i="3"/>
  <c r="O551" i="3"/>
  <c r="O1998" i="3"/>
  <c r="P948" i="3"/>
  <c r="L3282" i="3"/>
  <c r="M1304" i="3"/>
  <c r="O400" i="3"/>
  <c r="M3078" i="3"/>
  <c r="O2923" i="3"/>
  <c r="O2757" i="3"/>
  <c r="P1134" i="3"/>
  <c r="N988" i="3"/>
  <c r="O2523" i="3"/>
  <c r="O517" i="3"/>
  <c r="O73" i="3"/>
  <c r="M1694" i="3"/>
  <c r="L347" i="3"/>
  <c r="P2086" i="3"/>
  <c r="L2071" i="3"/>
  <c r="O734" i="3"/>
  <c r="M988" i="3"/>
  <c r="P1077" i="3"/>
  <c r="M2500" i="3"/>
  <c r="P1207" i="3"/>
  <c r="O648" i="3"/>
  <c r="P3214" i="3"/>
  <c r="O500" i="3"/>
  <c r="O1556" i="3"/>
  <c r="O1277" i="3"/>
  <c r="P1321" i="3"/>
  <c r="O2389" i="3"/>
  <c r="O2732" i="3"/>
  <c r="O2553" i="3"/>
  <c r="O3065" i="3"/>
  <c r="O2569" i="3"/>
  <c r="L2896" i="3"/>
  <c r="O1546" i="3"/>
  <c r="O436" i="3"/>
  <c r="O2715" i="3"/>
  <c r="M1861" i="3"/>
  <c r="P1078" i="3"/>
  <c r="P2016" i="3"/>
  <c r="M399" i="3"/>
  <c r="M3192" i="3"/>
  <c r="P1686" i="3"/>
  <c r="O2703" i="3"/>
  <c r="O3215" i="3"/>
  <c r="M2837" i="3"/>
  <c r="P903" i="3"/>
  <c r="P974" i="3"/>
  <c r="L1704" i="3"/>
  <c r="P942" i="3"/>
  <c r="P3356" i="3"/>
  <c r="O2594" i="3"/>
  <c r="L3146" i="3"/>
  <c r="P2451" i="3"/>
  <c r="P150" i="3"/>
  <c r="M3065" i="3"/>
  <c r="N3010" i="3"/>
  <c r="P3296" i="3"/>
  <c r="N1909" i="3"/>
  <c r="O2913" i="3"/>
  <c r="M2982" i="3"/>
  <c r="M1860" i="3"/>
  <c r="O5" i="3"/>
  <c r="P2857" i="3"/>
  <c r="O1006" i="3"/>
  <c r="O1987" i="3"/>
  <c r="N990" i="3"/>
  <c r="P261" i="3"/>
  <c r="P2318" i="3"/>
  <c r="M2263" i="3"/>
  <c r="M1926" i="3"/>
  <c r="N2073" i="3"/>
  <c r="P1204" i="3"/>
  <c r="O1881" i="3"/>
  <c r="M2898" i="3"/>
  <c r="P849" i="3"/>
  <c r="N3354" i="3"/>
  <c r="M2922" i="3"/>
  <c r="O435" i="3"/>
  <c r="M2714" i="3"/>
  <c r="M1330" i="3"/>
  <c r="O1389" i="3"/>
  <c r="L2278" i="3"/>
  <c r="O527" i="3"/>
  <c r="L2856" i="3"/>
  <c r="P2030" i="3"/>
  <c r="P1764" i="3"/>
  <c r="O1375" i="3"/>
  <c r="L1327" i="3"/>
  <c r="L2835" i="3"/>
  <c r="M3023" i="3"/>
  <c r="N350" i="3"/>
  <c r="L1171" i="3"/>
  <c r="P76" i="3"/>
  <c r="L1694" i="3"/>
  <c r="P916" i="3"/>
  <c r="O2387" i="3"/>
  <c r="P3191" i="3"/>
  <c r="M3051" i="3"/>
  <c r="O1711" i="3"/>
  <c r="O2841" i="3"/>
  <c r="P3098" i="3"/>
  <c r="P151" i="3"/>
  <c r="O43" i="3"/>
  <c r="P223" i="3"/>
  <c r="O3024" i="3"/>
  <c r="N2824" i="3"/>
  <c r="O1999" i="3"/>
  <c r="O607" i="3"/>
  <c r="O2731" i="3"/>
  <c r="M3353" i="3"/>
  <c r="O1077" i="3"/>
  <c r="O1658" i="3"/>
  <c r="O1252" i="3"/>
  <c r="N3208" i="3"/>
  <c r="O2449" i="3"/>
  <c r="O1217" i="3"/>
  <c r="P86" i="3"/>
  <c r="O1930" i="3"/>
  <c r="O820" i="3"/>
  <c r="M2850" i="3"/>
  <c r="O2980" i="3"/>
  <c r="L2729" i="3"/>
  <c r="M3161" i="3"/>
  <c r="P2512" i="3"/>
  <c r="P451" i="3"/>
  <c r="M2015" i="3"/>
  <c r="P2317" i="3"/>
  <c r="M2731" i="3"/>
  <c r="P2848" i="3"/>
  <c r="P136" i="3"/>
  <c r="P3354" i="3"/>
  <c r="O2353" i="3"/>
  <c r="O563" i="3"/>
  <c r="P777" i="3"/>
  <c r="O2580" i="3"/>
  <c r="P2151" i="3"/>
  <c r="P505" i="3"/>
  <c r="P587" i="3"/>
  <c r="P1276" i="3"/>
  <c r="L1695" i="3"/>
  <c r="L1167" i="3"/>
  <c r="M3021" i="3"/>
  <c r="M1004" i="3"/>
  <c r="O1896" i="3"/>
  <c r="O284" i="3"/>
  <c r="P776" i="3"/>
  <c r="L2260" i="3"/>
  <c r="P783" i="3"/>
  <c r="O777" i="3"/>
  <c r="O250" i="3"/>
  <c r="P659" i="3"/>
  <c r="O587" i="3"/>
  <c r="N3021" i="3"/>
  <c r="P445" i="3"/>
  <c r="O544" i="3"/>
  <c r="P1639" i="3"/>
  <c r="P1376" i="3"/>
  <c r="O1613" i="3"/>
  <c r="P2505" i="3"/>
  <c r="P316" i="3"/>
  <c r="N2072" i="3"/>
  <c r="P1847" i="3"/>
  <c r="P381" i="3"/>
  <c r="P2388" i="3"/>
  <c r="O2618" i="3"/>
  <c r="O1101" i="3"/>
  <c r="O472" i="3"/>
  <c r="N338" i="3"/>
  <c r="P1179" i="3"/>
  <c r="O349" i="3"/>
  <c r="N2897" i="3"/>
  <c r="O3212" i="3"/>
  <c r="P1123" i="3"/>
  <c r="P760" i="3"/>
  <c r="M3175" i="3"/>
  <c r="N2870" i="3"/>
  <c r="P63" i="3"/>
  <c r="O1943" i="3"/>
  <c r="M1491" i="3"/>
  <c r="N2743" i="3"/>
  <c r="P2646" i="3"/>
  <c r="N1701" i="3"/>
  <c r="P2760" i="3"/>
  <c r="M2829" i="3"/>
  <c r="O2653" i="3"/>
  <c r="P1218" i="3"/>
  <c r="P2103" i="3"/>
  <c r="O74" i="3"/>
  <c r="P271" i="3"/>
  <c r="L3098" i="3"/>
  <c r="P3049" i="3"/>
  <c r="L3122" i="3"/>
  <c r="N2885" i="3"/>
  <c r="N987" i="3"/>
  <c r="P2028" i="3"/>
  <c r="O3355" i="3"/>
  <c r="M3008" i="3"/>
  <c r="N287" i="3"/>
  <c r="P1873" i="3"/>
  <c r="O1459" i="3"/>
  <c r="O2484" i="3"/>
  <c r="L1086" i="3"/>
  <c r="O535" i="3"/>
  <c r="P2824" i="3"/>
  <c r="M2069" i="3"/>
  <c r="O2103" i="3"/>
  <c r="O1504" i="3"/>
  <c r="O2185" i="3"/>
  <c r="P1554" i="3"/>
  <c r="P1474" i="3"/>
  <c r="O2464" i="3"/>
  <c r="P1274" i="3"/>
  <c r="L809" i="3"/>
  <c r="P1778" i="3"/>
  <c r="P2567" i="3"/>
  <c r="P932" i="3"/>
  <c r="N2911" i="3"/>
  <c r="P1998" i="3"/>
  <c r="L287" i="3"/>
  <c r="M3363" i="3"/>
  <c r="O2372" i="3"/>
  <c r="N2835" i="3"/>
  <c r="L987" i="3"/>
  <c r="O268" i="3"/>
  <c r="O1655" i="3"/>
  <c r="L1168" i="3"/>
  <c r="P1628" i="3"/>
  <c r="P1958" i="3"/>
  <c r="P2240" i="3"/>
  <c r="O446" i="3"/>
  <c r="L3145" i="3"/>
  <c r="O1639" i="3"/>
  <c r="P2787" i="3"/>
  <c r="P2449" i="3"/>
  <c r="O427" i="3"/>
  <c r="O604" i="3"/>
  <c r="P3022" i="3"/>
  <c r="O1350" i="3"/>
  <c r="O3230" i="3"/>
  <c r="O44" i="3"/>
  <c r="P2949" i="3"/>
  <c r="O285" i="3"/>
  <c r="O1265" i="3"/>
  <c r="P2319" i="3"/>
  <c r="O2964" i="3"/>
  <c r="P152" i="3"/>
  <c r="L2822" i="3"/>
  <c r="P1087" i="3"/>
  <c r="M3144" i="3"/>
  <c r="O2173" i="3"/>
  <c r="O2672" i="3"/>
  <c r="O3365" i="3"/>
  <c r="P1746" i="3"/>
  <c r="P960" i="3"/>
  <c r="O1912" i="3"/>
  <c r="P126" i="3"/>
  <c r="L986" i="3"/>
  <c r="P1192" i="3"/>
  <c r="O761" i="3"/>
  <c r="O3282" i="3"/>
  <c r="P2633" i="3"/>
  <c r="N2012" i="3"/>
  <c r="P3206" i="3"/>
  <c r="O2871" i="3"/>
  <c r="P3205" i="3"/>
  <c r="P750" i="3"/>
  <c r="O2134" i="3"/>
  <c r="P363" i="3"/>
  <c r="O835" i="3"/>
  <c r="P1536" i="3"/>
  <c r="L134" i="3"/>
  <c r="P586" i="3"/>
  <c r="O588" i="3"/>
  <c r="O1883" i="3"/>
  <c r="N3250" i="3"/>
  <c r="P3038" i="3"/>
  <c r="O1126" i="3"/>
  <c r="P1399" i="3"/>
  <c r="P2592" i="3"/>
  <c r="P761" i="3"/>
  <c r="O3066" i="3"/>
  <c r="L2964" i="3"/>
  <c r="L3189" i="3"/>
  <c r="O2415" i="3"/>
  <c r="P3325" i="3"/>
  <c r="O2056" i="3"/>
  <c r="P3177" i="3"/>
  <c r="P2279" i="3"/>
  <c r="P2015" i="3"/>
  <c r="N3191" i="3"/>
  <c r="O1024" i="3"/>
  <c r="L2838" i="3"/>
  <c r="M137" i="3"/>
  <c r="O1572" i="3"/>
  <c r="L3372" i="3"/>
  <c r="L2996" i="3"/>
  <c r="O2054" i="3"/>
  <c r="M1327" i="3"/>
  <c r="N349" i="3"/>
  <c r="O550" i="3"/>
  <c r="L2015" i="3"/>
  <c r="L3079" i="3"/>
  <c r="O3268" i="3"/>
  <c r="P1672" i="3"/>
  <c r="P731" i="3"/>
  <c r="L1696" i="3"/>
  <c r="M2817" i="3"/>
  <c r="P2873" i="3"/>
  <c r="P1490" i="3"/>
  <c r="M3341" i="3"/>
  <c r="L286" i="3"/>
  <c r="L3009" i="3"/>
  <c r="P972" i="3"/>
  <c r="O2912" i="3"/>
  <c r="O1601" i="3"/>
  <c r="O1569" i="3"/>
  <c r="N412" i="3"/>
  <c r="L301" i="3"/>
  <c r="P525" i="3"/>
  <c r="P2334" i="3"/>
  <c r="P2185" i="3"/>
  <c r="L2730" i="3"/>
  <c r="P506" i="3"/>
  <c r="L2841" i="3"/>
  <c r="P3326" i="3"/>
  <c r="O2714" i="3"/>
  <c r="N3340" i="3"/>
  <c r="N2800" i="3"/>
  <c r="P1086" i="3"/>
  <c r="P2071" i="3"/>
  <c r="P795" i="3"/>
  <c r="M759" i="3"/>
  <c r="M3379" i="3"/>
  <c r="P163" i="3"/>
  <c r="O2730" i="3"/>
  <c r="M3098" i="3"/>
  <c r="P2673" i="3"/>
  <c r="L3265" i="3"/>
  <c r="M2730" i="3"/>
  <c r="N3078" i="3"/>
  <c r="O2619" i="3"/>
  <c r="P1761" i="3"/>
  <c r="P930" i="3"/>
  <c r="O1218" i="3"/>
  <c r="O381" i="3"/>
  <c r="O1957" i="3"/>
  <c r="P325" i="3"/>
  <c r="P2026" i="3"/>
  <c r="O395" i="3"/>
  <c r="O336" i="3"/>
  <c r="O586" i="3"/>
  <c r="P1158" i="3"/>
  <c r="P3248" i="3"/>
  <c r="N2801" i="3"/>
  <c r="N3205" i="3"/>
  <c r="O3363" i="3"/>
  <c r="P2118" i="3"/>
  <c r="P72" i="3"/>
  <c r="L1488" i="3"/>
  <c r="M2939" i="3"/>
  <c r="P201" i="3"/>
  <c r="O190" i="3"/>
  <c r="O3294" i="3"/>
  <c r="N3099" i="3"/>
  <c r="P2014" i="3"/>
  <c r="O2012" i="3"/>
  <c r="O2800" i="3"/>
  <c r="O1710" i="3"/>
  <c r="P2855" i="3"/>
  <c r="O2701" i="3"/>
  <c r="P2194" i="3"/>
  <c r="O1701" i="3"/>
  <c r="O661" i="3"/>
  <c r="O2140" i="3"/>
  <c r="O17" i="3"/>
  <c r="O1099" i="3"/>
  <c r="O2855" i="3"/>
  <c r="P397" i="3"/>
  <c r="P2131" i="3"/>
  <c r="L3205" i="3"/>
  <c r="P2802" i="3"/>
  <c r="O301" i="3"/>
  <c r="O1788" i="3"/>
  <c r="L3143" i="3"/>
  <c r="O3190" i="3"/>
  <c r="O3266" i="3"/>
  <c r="P2499" i="3"/>
  <c r="P1581" i="3"/>
  <c r="L2924" i="3"/>
  <c r="O1731" i="3"/>
  <c r="P959" i="3"/>
  <c r="O2884" i="3"/>
  <c r="N3343" i="3"/>
  <c r="O2825" i="3"/>
  <c r="N3285" i="3"/>
  <c r="M2821" i="3"/>
  <c r="O2998" i="3"/>
  <c r="M2259" i="3"/>
  <c r="P2605" i="3"/>
  <c r="O2823" i="3"/>
  <c r="M2843" i="3"/>
  <c r="P193" i="3"/>
  <c r="N1764" i="3"/>
  <c r="O241" i="3"/>
  <c r="P1971" i="3"/>
  <c r="M1761" i="3"/>
  <c r="P340" i="3"/>
  <c r="N2760" i="3"/>
  <c r="P1171" i="3"/>
  <c r="O76" i="3"/>
  <c r="P2135" i="3"/>
  <c r="L2728" i="3"/>
  <c r="O1545" i="3"/>
  <c r="P2040" i="3"/>
  <c r="O2102" i="3"/>
  <c r="O2552" i="3"/>
  <c r="P2579" i="3"/>
  <c r="O2172" i="3"/>
  <c r="O1627" i="3"/>
  <c r="M410" i="3"/>
  <c r="P1363" i="3"/>
  <c r="P2849" i="3"/>
  <c r="O62" i="3"/>
  <c r="N3024" i="3"/>
  <c r="P447" i="3"/>
  <c r="P807" i="3"/>
  <c r="M3296" i="3"/>
  <c r="P327" i="3"/>
  <c r="M810" i="3"/>
  <c r="M3208" i="3"/>
  <c r="O735" i="3"/>
  <c r="L2844" i="3"/>
  <c r="P1397" i="3"/>
  <c r="P717" i="3"/>
  <c r="P2850" i="3"/>
  <c r="L3161" i="3"/>
  <c r="L1703" i="3"/>
  <c r="P2142" i="3"/>
  <c r="O1571" i="3"/>
  <c r="M134" i="3"/>
  <c r="P153" i="3"/>
  <c r="L2939" i="3"/>
  <c r="N2070" i="3"/>
  <c r="O585" i="3"/>
  <c r="M2854" i="3"/>
  <c r="L2963" i="3"/>
  <c r="P1252" i="3"/>
  <c r="L1306" i="3"/>
  <c r="P1747" i="3"/>
  <c r="O1815" i="3"/>
  <c r="O125" i="3"/>
  <c r="O2481" i="3"/>
  <c r="N2742" i="3"/>
  <c r="N3370" i="3"/>
  <c r="P2744" i="3"/>
  <c r="O3379" i="3"/>
  <c r="P3369" i="3"/>
  <c r="O1347" i="3"/>
  <c r="O2938" i="3"/>
  <c r="M2896" i="3"/>
  <c r="P1249" i="3"/>
  <c r="M3206" i="3"/>
  <c r="O1640" i="3"/>
  <c r="P958" i="3"/>
  <c r="P337" i="3"/>
  <c r="M3364" i="3"/>
  <c r="N3310" i="3"/>
  <c r="M241" i="3"/>
  <c r="P3189" i="3"/>
  <c r="O1035" i="3"/>
  <c r="P863" i="3"/>
  <c r="P15" i="3"/>
  <c r="L2823" i="3"/>
  <c r="L2180" i="3"/>
  <c r="O1858" i="3"/>
  <c r="M3037" i="3"/>
  <c r="O2830" i="3"/>
  <c r="N3249" i="3"/>
  <c r="N2949" i="3"/>
  <c r="P75" i="3"/>
  <c r="M3311" i="3"/>
  <c r="P394" i="3"/>
  <c r="M3099" i="3"/>
  <c r="P496" i="3"/>
  <c r="P318" i="3"/>
  <c r="O1880" i="3"/>
  <c r="O2036" i="3"/>
  <c r="N2965" i="3"/>
  <c r="O2370" i="3"/>
  <c r="P2352" i="3"/>
  <c r="O1986" i="3"/>
  <c r="M2743" i="3"/>
  <c r="P3145" i="3"/>
  <c r="P2133" i="3"/>
  <c r="M573" i="3"/>
  <c r="M809" i="3"/>
  <c r="O1514" i="3"/>
  <c r="O615" i="3"/>
  <c r="P1832" i="3"/>
  <c r="P260" i="3"/>
  <c r="P2484" i="3"/>
  <c r="O164" i="3"/>
  <c r="M2744" i="3"/>
  <c r="N3311" i="3"/>
  <c r="O834" i="3"/>
  <c r="O625" i="3"/>
  <c r="M3325" i="3"/>
  <c r="L3283" i="3"/>
  <c r="L2814" i="3"/>
  <c r="N2830" i="3"/>
  <c r="M302" i="3"/>
  <c r="O2072" i="3"/>
  <c r="P1984" i="3"/>
  <c r="P1670" i="3"/>
  <c r="O2774" i="3"/>
  <c r="O2070" i="3"/>
  <c r="O2788" i="3"/>
  <c r="O1221" i="3"/>
  <c r="N271" i="3"/>
  <c r="O2316" i="3"/>
  <c r="P336" i="3"/>
  <c r="N2088" i="3"/>
  <c r="P2523" i="3"/>
  <c r="P2072" i="3"/>
  <c r="O1100" i="3"/>
  <c r="P2053" i="3"/>
  <c r="O2403" i="3"/>
  <c r="N2774" i="3"/>
  <c r="N2963" i="3"/>
  <c r="O3296" i="3"/>
  <c r="P2119" i="3"/>
  <c r="M3282" i="3"/>
  <c r="L2898" i="3"/>
  <c r="L3213" i="3"/>
  <c r="N3326" i="3"/>
  <c r="P743" i="3"/>
  <c r="P2001" i="3"/>
  <c r="P1006" i="3"/>
  <c r="O1364" i="3"/>
  <c r="N2372" i="3"/>
  <c r="N1808" i="3"/>
  <c r="O2718" i="3"/>
  <c r="P1592" i="3"/>
  <c r="O2621" i="3"/>
  <c r="P2167" i="3"/>
  <c r="O2015" i="3"/>
  <c r="P1047" i="3"/>
  <c r="I102" i="3"/>
  <c r="P101" i="3"/>
  <c r="O101" i="3"/>
  <c r="M101" i="3"/>
  <c r="L101" i="3"/>
  <c r="N101" i="3"/>
  <c r="P45" i="3"/>
  <c r="P1290" i="3"/>
  <c r="O3364" i="3"/>
  <c r="L1761" i="3"/>
  <c r="O1376" i="3"/>
  <c r="P1375" i="3"/>
  <c r="P2607" i="3"/>
  <c r="O1177" i="3"/>
  <c r="P917" i="3"/>
  <c r="O2831" i="3"/>
  <c r="O1059" i="3"/>
  <c r="I935" i="3"/>
  <c r="L934" i="3"/>
  <c r="P934" i="3"/>
  <c r="N934" i="3"/>
  <c r="M934" i="3"/>
  <c r="O934" i="3"/>
  <c r="N2950" i="3"/>
  <c r="P2789" i="3"/>
  <c r="N2761" i="3"/>
  <c r="P2900" i="3"/>
  <c r="O1817" i="3"/>
  <c r="P1591" i="3"/>
  <c r="N262" i="3"/>
  <c r="O1151" i="3"/>
  <c r="O328" i="3"/>
  <c r="L3080" i="3"/>
  <c r="P3328" i="3"/>
  <c r="P1360" i="3"/>
  <c r="L575" i="3"/>
  <c r="O2966" i="3"/>
  <c r="I130" i="3"/>
  <c r="O129" i="3"/>
  <c r="N129" i="3"/>
  <c r="M129" i="3"/>
  <c r="L129" i="3"/>
  <c r="P129" i="3"/>
  <c r="M288" i="3"/>
  <c r="O319" i="3"/>
  <c r="P2649" i="3"/>
  <c r="O2337" i="3"/>
  <c r="O2982" i="3"/>
  <c r="N2292" i="3"/>
  <c r="L2913" i="3"/>
  <c r="P684" i="3"/>
  <c r="L2087" i="3"/>
  <c r="O775" i="3"/>
  <c r="I2556" i="3"/>
  <c r="M2555" i="3"/>
  <c r="L2555" i="3"/>
  <c r="P2555" i="3"/>
  <c r="O2555" i="3"/>
  <c r="N2555" i="3"/>
  <c r="I2106" i="3"/>
  <c r="O2105" i="3"/>
  <c r="N2105" i="3"/>
  <c r="M2105" i="3"/>
  <c r="P2105" i="3"/>
  <c r="L2105" i="3"/>
  <c r="P1542" i="3"/>
  <c r="P1616" i="3"/>
  <c r="P64" i="3"/>
  <c r="M3356" i="3"/>
  <c r="N2775" i="3"/>
  <c r="N351" i="3"/>
  <c r="I245" i="3"/>
  <c r="P244" i="3"/>
  <c r="O244" i="3"/>
  <c r="N244" i="3"/>
  <c r="M244" i="3"/>
  <c r="L244" i="3"/>
  <c r="I676" i="3"/>
  <c r="P675" i="3"/>
  <c r="O675" i="3"/>
  <c r="N675" i="3"/>
  <c r="M675" i="3"/>
  <c r="L675" i="3"/>
  <c r="N3215" i="3"/>
  <c r="P2703" i="3"/>
  <c r="L3267" i="3"/>
  <c r="P463" i="3"/>
  <c r="L399" i="3"/>
  <c r="N3327" i="3"/>
  <c r="O1048" i="3"/>
  <c r="P1861" i="3"/>
  <c r="N2294" i="3"/>
  <c r="P2772" i="3"/>
  <c r="I2734" i="3"/>
  <c r="P2733" i="3"/>
  <c r="O2733" i="3"/>
  <c r="N2733" i="3"/>
  <c r="M2733" i="3"/>
  <c r="L2733" i="3"/>
  <c r="O2661" i="3"/>
  <c r="P462" i="3"/>
  <c r="O1047" i="3"/>
  <c r="P453" i="3"/>
  <c r="P1701" i="3"/>
  <c r="P1306" i="3"/>
  <c r="O1327" i="3"/>
  <c r="L3294" i="3"/>
  <c r="P808" i="3"/>
  <c r="P2117" i="3"/>
  <c r="P1113" i="3"/>
  <c r="P2701" i="3"/>
  <c r="O750" i="3"/>
  <c r="P2013" i="3"/>
  <c r="O397" i="3"/>
  <c r="O1076" i="3"/>
  <c r="P699" i="3"/>
  <c r="M2276" i="3"/>
  <c r="O1973" i="3"/>
  <c r="O728" i="3"/>
  <c r="P784" i="3"/>
  <c r="P1669" i="3"/>
  <c r="P1693" i="3"/>
  <c r="P2742" i="3"/>
  <c r="O1075" i="3"/>
  <c r="P348" i="3"/>
  <c r="N3035" i="3"/>
  <c r="O460" i="3"/>
  <c r="O425" i="3"/>
  <c r="L2855" i="3"/>
  <c r="N2948" i="3"/>
  <c r="O2743" i="3"/>
  <c r="L3190" i="3"/>
  <c r="P797" i="3"/>
  <c r="L1908" i="3"/>
  <c r="P498" i="3"/>
  <c r="P1640" i="3"/>
  <c r="N1693" i="3"/>
  <c r="O412" i="3"/>
  <c r="I1195" i="3"/>
  <c r="P1194" i="3"/>
  <c r="O1194" i="3"/>
  <c r="N1194" i="3"/>
  <c r="M1194" i="3"/>
  <c r="L1194" i="3"/>
  <c r="O1672" i="3"/>
  <c r="O3191" i="3"/>
  <c r="I1416" i="3"/>
  <c r="P1415" i="3"/>
  <c r="N1415" i="3"/>
  <c r="O1415" i="3"/>
  <c r="M1415" i="3"/>
  <c r="L1415" i="3"/>
  <c r="I704" i="3"/>
  <c r="M703" i="3"/>
  <c r="L703" i="3"/>
  <c r="O703" i="3"/>
  <c r="N703" i="3"/>
  <c r="P703" i="3"/>
  <c r="P2838" i="3"/>
  <c r="P2467" i="3"/>
  <c r="O1974" i="3"/>
  <c r="P785" i="3"/>
  <c r="I3384" i="3"/>
  <c r="O3383" i="3"/>
  <c r="N3383" i="3"/>
  <c r="M3383" i="3"/>
  <c r="L3383" i="3"/>
  <c r="P3383" i="3"/>
  <c r="P519" i="3"/>
  <c r="O1541" i="3"/>
  <c r="O3342" i="3"/>
  <c r="O960" i="3"/>
  <c r="O2319" i="3"/>
  <c r="L1861" i="3"/>
  <c r="L2732" i="3"/>
  <c r="O2507" i="3"/>
  <c r="O2568" i="3"/>
  <c r="O1093" i="3"/>
  <c r="O2814" i="3"/>
  <c r="O2293" i="3"/>
  <c r="M3122" i="3"/>
  <c r="P3372" i="3"/>
  <c r="P2718" i="3"/>
  <c r="O232" i="3"/>
  <c r="I2623" i="3"/>
  <c r="N2622" i="3"/>
  <c r="M2622" i="3"/>
  <c r="L2622" i="3"/>
  <c r="O2622" i="3"/>
  <c r="P2622" i="3"/>
  <c r="M2507" i="3"/>
  <c r="M2501" i="3"/>
  <c r="L3231" i="3"/>
  <c r="P2120" i="3"/>
  <c r="M2278" i="3"/>
  <c r="O1860" i="3"/>
  <c r="P1389" i="3"/>
  <c r="N986" i="3"/>
  <c r="L2923" i="3"/>
  <c r="O1810" i="3"/>
  <c r="I756" i="3"/>
  <c r="P755" i="3"/>
  <c r="O755" i="3"/>
  <c r="N755" i="3"/>
  <c r="M755" i="3"/>
  <c r="L755" i="3"/>
  <c r="P3284" i="3"/>
  <c r="P1540" i="3"/>
  <c r="I2609" i="3"/>
  <c r="L2608" i="3"/>
  <c r="P2608" i="3"/>
  <c r="N2608" i="3"/>
  <c r="M2608" i="3"/>
  <c r="O2608" i="3"/>
  <c r="L1762" i="3"/>
  <c r="I919" i="3"/>
  <c r="L918" i="3"/>
  <c r="P918" i="3"/>
  <c r="N918" i="3"/>
  <c r="M918" i="3"/>
  <c r="O918" i="3"/>
  <c r="P2831" i="3"/>
  <c r="P1059" i="3"/>
  <c r="P2950" i="3"/>
  <c r="P1102" i="3"/>
  <c r="I2791" i="3"/>
  <c r="P2790" i="3"/>
  <c r="O2790" i="3"/>
  <c r="L2790" i="3"/>
  <c r="N2790" i="3"/>
  <c r="M2790" i="3"/>
  <c r="O2761" i="3"/>
  <c r="L2900" i="3"/>
  <c r="L3052" i="3"/>
  <c r="O1642" i="3"/>
  <c r="I264" i="3"/>
  <c r="P263" i="3"/>
  <c r="O263" i="3"/>
  <c r="N263" i="3"/>
  <c r="M263" i="3"/>
  <c r="L263" i="3"/>
  <c r="P1151" i="3"/>
  <c r="I330" i="3"/>
  <c r="P329" i="3"/>
  <c r="O329" i="3"/>
  <c r="M329" i="3"/>
  <c r="N329" i="3"/>
  <c r="L329" i="3"/>
  <c r="M3080" i="3"/>
  <c r="O553" i="3"/>
  <c r="P2153" i="3"/>
  <c r="N1860" i="3"/>
  <c r="L1330" i="3"/>
  <c r="O45" i="3"/>
  <c r="P753" i="3"/>
  <c r="O2842" i="3"/>
  <c r="L1808" i="3"/>
  <c r="P380" i="3"/>
  <c r="P2966" i="3"/>
  <c r="M2073" i="3"/>
  <c r="P288" i="3"/>
  <c r="N1557" i="3"/>
  <c r="O1657" i="3"/>
  <c r="O990" i="3"/>
  <c r="P552" i="3"/>
  <c r="L2857" i="3"/>
  <c r="O2260" i="3"/>
  <c r="O1307" i="3"/>
  <c r="P2982" i="3"/>
  <c r="N2913" i="3"/>
  <c r="L3010" i="3"/>
  <c r="O253" i="3"/>
  <c r="P2371" i="3"/>
  <c r="I3358" i="3"/>
  <c r="P3357" i="3"/>
  <c r="O3357" i="3"/>
  <c r="N3357" i="3"/>
  <c r="M3357" i="3"/>
  <c r="L3357" i="3"/>
  <c r="L351" i="3"/>
  <c r="O903" i="3"/>
  <c r="P3215" i="3"/>
  <c r="O1975" i="3"/>
  <c r="I1688" i="3"/>
  <c r="M1687" i="3"/>
  <c r="O1687" i="3"/>
  <c r="P1687" i="3"/>
  <c r="N1687" i="3"/>
  <c r="L1687" i="3"/>
  <c r="O463" i="3"/>
  <c r="O552" i="3"/>
  <c r="P536" i="3"/>
  <c r="I1050" i="3"/>
  <c r="M1049" i="3"/>
  <c r="L1049" i="3"/>
  <c r="O1049" i="3"/>
  <c r="N1049" i="3"/>
  <c r="P1049" i="3"/>
  <c r="O1861" i="3"/>
  <c r="P379" i="3"/>
  <c r="P3099" i="3"/>
  <c r="P2036" i="3"/>
  <c r="O3009" i="3"/>
  <c r="P2209" i="3"/>
  <c r="O272" i="3"/>
  <c r="O1960" i="3"/>
  <c r="M2717" i="3"/>
  <c r="O1150" i="3"/>
  <c r="P2661" i="3"/>
  <c r="O636" i="3"/>
  <c r="P398" i="3"/>
  <c r="O743" i="3"/>
  <c r="L2716" i="3"/>
  <c r="P1597" i="3"/>
  <c r="O1169" i="3"/>
  <c r="O3353" i="3"/>
  <c r="P1427" i="3"/>
  <c r="P400" i="3"/>
  <c r="M2897" i="3"/>
  <c r="M2071" i="3"/>
  <c r="L3064" i="3"/>
  <c r="M2995" i="3"/>
  <c r="P2923" i="3"/>
  <c r="O1716" i="3"/>
  <c r="O270" i="3"/>
  <c r="L3007" i="3"/>
  <c r="M3064" i="3"/>
  <c r="O1134" i="3"/>
  <c r="P3190" i="3"/>
  <c r="M2292" i="3"/>
  <c r="P487" i="3"/>
  <c r="P2069" i="3"/>
  <c r="O3036" i="3"/>
  <c r="P2964" i="3"/>
  <c r="L2772" i="3"/>
  <c r="P1443" i="3"/>
  <c r="P971" i="3"/>
  <c r="O3284" i="3"/>
  <c r="P444" i="3"/>
  <c r="O940" i="3"/>
  <c r="O516" i="3"/>
  <c r="L2085" i="3"/>
  <c r="L409" i="3"/>
  <c r="P2293" i="3"/>
  <c r="P915" i="3"/>
  <c r="O1786" i="3"/>
  <c r="P875" i="3"/>
  <c r="O836" i="3"/>
  <c r="P2223" i="3"/>
  <c r="O1328" i="3"/>
  <c r="L412" i="3"/>
  <c r="N2981" i="3"/>
  <c r="P686" i="3"/>
  <c r="L2179" i="3"/>
  <c r="O798" i="3"/>
  <c r="O338" i="3"/>
  <c r="O3007" i="3"/>
  <c r="P2309" i="3"/>
  <c r="I869" i="3"/>
  <c r="N868" i="3"/>
  <c r="M868" i="3"/>
  <c r="L868" i="3"/>
  <c r="P868" i="3"/>
  <c r="O868" i="3"/>
  <c r="O799" i="3"/>
  <c r="I34" i="3"/>
  <c r="O33" i="3"/>
  <c r="N33" i="3"/>
  <c r="M33" i="3"/>
  <c r="L33" i="3"/>
  <c r="P33" i="3"/>
  <c r="N2730" i="3"/>
  <c r="O716" i="3"/>
  <c r="N2758" i="3"/>
  <c r="O201" i="3"/>
  <c r="P1412" i="3"/>
  <c r="O3158" i="3"/>
  <c r="P1714" i="3"/>
  <c r="O2837" i="3"/>
  <c r="O1988" i="3"/>
  <c r="O2132" i="3"/>
  <c r="O1396" i="3"/>
  <c r="L763" i="3"/>
  <c r="M2761" i="3"/>
  <c r="I2902" i="3"/>
  <c r="O2901" i="3"/>
  <c r="N2901" i="3"/>
  <c r="L2901" i="3"/>
  <c r="P2901" i="3"/>
  <c r="M2901" i="3"/>
  <c r="P2244" i="3"/>
  <c r="P2433" i="3"/>
  <c r="O958" i="3"/>
  <c r="P2913" i="3"/>
  <c r="L3369" i="3"/>
  <c r="P3010" i="3"/>
  <c r="O2170" i="3"/>
  <c r="O2451" i="3"/>
  <c r="P2886" i="3"/>
  <c r="I115" i="3"/>
  <c r="P114" i="3"/>
  <c r="O114" i="3"/>
  <c r="N114" i="3"/>
  <c r="L114" i="3"/>
  <c r="M114" i="3"/>
  <c r="O2354" i="3"/>
  <c r="I66" i="3"/>
  <c r="O65" i="3"/>
  <c r="N65" i="3"/>
  <c r="M65" i="3"/>
  <c r="L65" i="3"/>
  <c r="P65" i="3"/>
  <c r="O2485" i="3"/>
  <c r="P1429" i="3"/>
  <c r="P352" i="3"/>
  <c r="O352" i="3"/>
  <c r="N352" i="3"/>
  <c r="M352" i="3"/>
  <c r="L352" i="3"/>
  <c r="I353" i="3"/>
  <c r="I976" i="3"/>
  <c r="O975" i="3"/>
  <c r="N975" i="3"/>
  <c r="M975" i="3"/>
  <c r="L975" i="3"/>
  <c r="P975" i="3"/>
  <c r="L3215" i="3"/>
  <c r="P3192" i="3"/>
  <c r="P4" i="3"/>
  <c r="P1862" i="3"/>
  <c r="O1862" i="3"/>
  <c r="N1862" i="3"/>
  <c r="M1862" i="3"/>
  <c r="L1862" i="3"/>
  <c r="I1863" i="3"/>
  <c r="N1307" i="3"/>
  <c r="O2225" i="3"/>
  <c r="I2211" i="3"/>
  <c r="M2210" i="3"/>
  <c r="L2210" i="3"/>
  <c r="O2210" i="3"/>
  <c r="P2210" i="3"/>
  <c r="N2210" i="3"/>
  <c r="L3022" i="3"/>
  <c r="M272" i="3"/>
  <c r="N2389" i="3"/>
  <c r="P1960" i="3"/>
  <c r="O1321" i="3"/>
  <c r="P1277" i="3"/>
  <c r="O2182" i="3"/>
  <c r="P2689" i="3"/>
  <c r="P2417" i="3"/>
  <c r="O1712" i="3"/>
  <c r="M3205" i="3"/>
  <c r="P1304" i="3"/>
  <c r="P2260" i="3"/>
  <c r="P301" i="3"/>
  <c r="N3190" i="3"/>
  <c r="O863" i="3"/>
  <c r="O1909" i="3"/>
  <c r="P1845" i="3"/>
  <c r="P988" i="3"/>
  <c r="M3050" i="3"/>
  <c r="L285" i="3"/>
  <c r="O1273" i="3"/>
  <c r="P775" i="3"/>
  <c r="O1732" i="3"/>
  <c r="O1984" i="3"/>
  <c r="P1177" i="3"/>
  <c r="O2716" i="3"/>
  <c r="L270" i="3"/>
  <c r="O2207" i="3"/>
  <c r="O2498" i="3"/>
  <c r="P864" i="3"/>
  <c r="P1387" i="3"/>
  <c r="O542" i="3"/>
  <c r="M3190" i="3"/>
  <c r="O671" i="3"/>
  <c r="O742" i="3"/>
  <c r="M2814" i="3"/>
  <c r="P2552" i="3"/>
  <c r="N3283" i="3"/>
  <c r="M349" i="3"/>
  <c r="M2506" i="3"/>
  <c r="O848" i="3"/>
  <c r="O2579" i="3"/>
  <c r="P2052" i="3"/>
  <c r="O1777" i="3"/>
  <c r="M2836" i="3"/>
  <c r="O515" i="3"/>
  <c r="M395" i="3"/>
  <c r="M1924" i="3"/>
  <c r="P1601" i="3"/>
  <c r="O2524" i="3"/>
  <c r="M3159" i="3"/>
  <c r="O2186" i="3"/>
  <c r="I3288" i="3"/>
  <c r="O3287" i="3"/>
  <c r="N3287" i="3"/>
  <c r="M3287" i="3"/>
  <c r="L3287" i="3"/>
  <c r="P3287" i="3"/>
  <c r="O1733" i="3"/>
  <c r="P564" i="3"/>
  <c r="O2279" i="3"/>
  <c r="P1713" i="3"/>
  <c r="N3066" i="3"/>
  <c r="O390" i="3"/>
  <c r="I3126" i="3"/>
  <c r="M3125" i="3"/>
  <c r="L3125" i="3"/>
  <c r="P3125" i="3"/>
  <c r="O3125" i="3"/>
  <c r="N3125" i="3"/>
  <c r="P1458" i="3"/>
  <c r="O1274" i="3"/>
  <c r="O151" i="3"/>
  <c r="N2925" i="3"/>
  <c r="M2925" i="3"/>
  <c r="L1734" i="3"/>
  <c r="O959" i="3"/>
  <c r="P3102" i="3"/>
  <c r="O2351" i="3"/>
  <c r="N240" i="3"/>
  <c r="P741" i="3"/>
  <c r="L2926" i="3"/>
  <c r="I746" i="3"/>
  <c r="P745" i="3"/>
  <c r="O745" i="3"/>
  <c r="M745" i="3"/>
  <c r="L745" i="3"/>
  <c r="N745" i="3"/>
  <c r="I235" i="3"/>
  <c r="P234" i="3"/>
  <c r="O234" i="3"/>
  <c r="N234" i="3"/>
  <c r="L234" i="3"/>
  <c r="M234" i="3"/>
  <c r="O1057" i="3"/>
  <c r="M261" i="3"/>
  <c r="O2505" i="3"/>
  <c r="O1489" i="3"/>
  <c r="P2870" i="3"/>
  <c r="P1442" i="3"/>
  <c r="P2276" i="3"/>
  <c r="P2911" i="3"/>
  <c r="O902" i="3"/>
  <c r="O3267" i="3"/>
  <c r="P2759" i="3"/>
  <c r="P1398" i="3"/>
  <c r="I2952" i="3"/>
  <c r="M2951" i="3"/>
  <c r="L2951" i="3"/>
  <c r="O2951" i="3"/>
  <c r="N2951" i="3"/>
  <c r="P2951" i="3"/>
  <c r="O2466" i="3"/>
  <c r="P3231" i="3"/>
  <c r="O2226" i="3"/>
  <c r="P233" i="3"/>
  <c r="I2984" i="3"/>
  <c r="M2983" i="3"/>
  <c r="L2983" i="3"/>
  <c r="N2983" i="3"/>
  <c r="O2983" i="3"/>
  <c r="P2983" i="3"/>
  <c r="O2501" i="3"/>
  <c r="P2996" i="3"/>
  <c r="O987" i="3"/>
  <c r="P2743" i="3"/>
  <c r="M2831" i="3"/>
  <c r="I1781" i="3"/>
  <c r="L1780" i="3"/>
  <c r="P1780" i="3"/>
  <c r="O1780" i="3"/>
  <c r="M1780" i="3"/>
  <c r="N1780" i="3"/>
  <c r="O1102" i="3"/>
  <c r="P3052" i="3"/>
  <c r="O2675" i="3"/>
  <c r="O2000" i="3"/>
  <c r="M1006" i="3"/>
  <c r="P1526" i="3"/>
  <c r="O1398" i="3"/>
  <c r="P2073" i="3"/>
  <c r="I321" i="3"/>
  <c r="P320" i="3"/>
  <c r="O320" i="3"/>
  <c r="N320" i="3"/>
  <c r="M320" i="3"/>
  <c r="L320" i="3"/>
  <c r="P2837" i="3"/>
  <c r="P990" i="3"/>
  <c r="O2857" i="3"/>
  <c r="P5" i="3"/>
  <c r="O1846" i="3"/>
  <c r="M1908" i="3"/>
  <c r="I2915" i="3"/>
  <c r="N2914" i="3"/>
  <c r="M2914" i="3"/>
  <c r="L2914" i="3"/>
  <c r="P2914" i="3"/>
  <c r="O2914" i="3"/>
  <c r="M3010" i="3"/>
  <c r="I1544" i="3"/>
  <c r="P1543" i="3"/>
  <c r="N1543" i="3"/>
  <c r="L1543" i="3"/>
  <c r="O1543" i="3"/>
  <c r="M1543" i="3"/>
  <c r="L2886" i="3"/>
  <c r="N3146" i="3"/>
  <c r="P2354" i="3"/>
  <c r="P2594" i="3"/>
  <c r="I2487" i="3"/>
  <c r="N2486" i="3"/>
  <c r="M2486" i="3"/>
  <c r="L2486" i="3"/>
  <c r="P2486" i="3"/>
  <c r="O2486" i="3"/>
  <c r="M1704" i="3"/>
  <c r="O730" i="3"/>
  <c r="O2648" i="3"/>
  <c r="O674" i="3"/>
  <c r="P1642" i="3"/>
  <c r="L3192" i="3"/>
  <c r="O2338" i="3"/>
  <c r="O2119" i="3"/>
  <c r="M1329" i="3"/>
  <c r="O939" i="3"/>
  <c r="P1859" i="3"/>
  <c r="P2481" i="3"/>
  <c r="N2787" i="3"/>
  <c r="O32" i="3"/>
  <c r="P272" i="3"/>
  <c r="I1279" i="3"/>
  <c r="M1278" i="3"/>
  <c r="L1278" i="3"/>
  <c r="P1278" i="3"/>
  <c r="O1278" i="3"/>
  <c r="N1278" i="3"/>
  <c r="M2182" i="3"/>
  <c r="L2837" i="3"/>
  <c r="N2015" i="3"/>
  <c r="P742" i="3"/>
  <c r="O3310" i="3"/>
  <c r="M3354" i="3"/>
  <c r="P734" i="3"/>
  <c r="P2619" i="3"/>
  <c r="O819" i="3"/>
  <c r="O1346" i="3"/>
  <c r="L1692" i="3"/>
  <c r="N3266" i="3"/>
  <c r="N3063" i="3"/>
  <c r="P43" i="3"/>
  <c r="P268" i="3"/>
  <c r="O1683" i="3"/>
  <c r="N3213" i="3"/>
  <c r="O443" i="3"/>
  <c r="O1971" i="3"/>
  <c r="M397" i="3"/>
  <c r="N1910" i="3"/>
  <c r="L3380" i="3"/>
  <c r="O2499" i="3"/>
  <c r="P2922" i="3"/>
  <c r="P1250" i="3"/>
  <c r="P515" i="3"/>
  <c r="O3050" i="3"/>
  <c r="O2335" i="3"/>
  <c r="O1540" i="3"/>
  <c r="O2151" i="3"/>
  <c r="O2194" i="3"/>
  <c r="O2963" i="3"/>
  <c r="P848" i="3"/>
  <c r="P1273" i="3"/>
  <c r="M1570" i="3"/>
  <c r="P1712" i="3"/>
  <c r="O1936" i="3"/>
  <c r="P2618" i="3"/>
  <c r="P3143" i="3"/>
  <c r="P443" i="3"/>
  <c r="M2087" i="3"/>
  <c r="O1251" i="3"/>
  <c r="M2370" i="3"/>
  <c r="O2873" i="3"/>
  <c r="O731" i="3"/>
  <c r="N242" i="3"/>
  <c r="O1789" i="3"/>
  <c r="M2912" i="3"/>
  <c r="M1089" i="3"/>
  <c r="P2654" i="3"/>
  <c r="O1536" i="3"/>
  <c r="M3212" i="3"/>
  <c r="O3325" i="3"/>
  <c r="O2180" i="3"/>
  <c r="M396" i="3"/>
  <c r="I2265" i="3"/>
  <c r="P2264" i="3"/>
  <c r="M2264" i="3"/>
  <c r="L2264" i="3"/>
  <c r="O2264" i="3"/>
  <c r="N2264" i="3"/>
  <c r="O399" i="3"/>
  <c r="O662" i="3"/>
  <c r="O1874" i="3"/>
  <c r="P1023" i="3"/>
  <c r="L3078" i="3"/>
  <c r="O1490" i="3"/>
  <c r="O1149" i="3"/>
  <c r="P3008" i="3"/>
  <c r="N3050" i="3"/>
  <c r="P3229" i="3"/>
  <c r="P461" i="3"/>
  <c r="O1135" i="3"/>
  <c r="M411" i="3"/>
  <c r="L1911" i="3"/>
  <c r="O2136" i="3"/>
  <c r="I2528" i="3"/>
  <c r="P2527" i="3"/>
  <c r="O2527" i="3"/>
  <c r="N2527" i="3"/>
  <c r="M2527" i="3"/>
  <c r="L2527" i="3"/>
  <c r="M3052" i="3"/>
  <c r="O1377" i="3"/>
  <c r="N3080" i="3"/>
  <c r="I555" i="3"/>
  <c r="N554" i="3"/>
  <c r="M554" i="3"/>
  <c r="L554" i="3"/>
  <c r="P554" i="3"/>
  <c r="O554" i="3"/>
  <c r="P1460" i="3"/>
  <c r="I2651" i="3"/>
  <c r="M2650" i="3"/>
  <c r="L2650" i="3"/>
  <c r="O2650" i="3"/>
  <c r="N2650" i="3"/>
  <c r="P2650" i="3"/>
  <c r="M990" i="3"/>
  <c r="N2857" i="3"/>
  <c r="M242" i="3"/>
  <c r="M1733" i="3"/>
  <c r="P1924" i="3"/>
  <c r="P2193" i="3"/>
  <c r="M763" i="3"/>
  <c r="P891" i="3"/>
  <c r="P473" i="3"/>
  <c r="P2761" i="3"/>
  <c r="P2717" i="3"/>
  <c r="P649" i="3"/>
  <c r="I3082" i="3"/>
  <c r="P3081" i="3"/>
  <c r="N3081" i="3"/>
  <c r="M3081" i="3"/>
  <c r="O3081" i="3"/>
  <c r="L3081" i="3"/>
  <c r="M3248" i="3"/>
  <c r="O1330" i="3"/>
  <c r="O751" i="3"/>
  <c r="O128" i="3"/>
  <c r="L2941" i="3"/>
  <c r="L3214" i="3"/>
  <c r="M3191" i="3"/>
  <c r="I1990" i="3"/>
  <c r="O1989" i="3"/>
  <c r="N1989" i="3"/>
  <c r="M1989" i="3"/>
  <c r="L1989" i="3"/>
  <c r="P1989" i="3"/>
  <c r="P2501" i="3"/>
  <c r="O2120" i="3"/>
  <c r="O2418" i="3"/>
  <c r="M2294" i="3"/>
  <c r="O1460" i="3"/>
  <c r="O754" i="3"/>
  <c r="P382" i="3"/>
  <c r="I893" i="3"/>
  <c r="N892" i="3"/>
  <c r="M892" i="3"/>
  <c r="L892" i="3"/>
  <c r="P892" i="3"/>
  <c r="O892" i="3"/>
  <c r="P1848" i="3"/>
  <c r="I475" i="3"/>
  <c r="N474" i="3"/>
  <c r="M474" i="3"/>
  <c r="L474" i="3"/>
  <c r="P474" i="3"/>
  <c r="O474" i="3"/>
  <c r="O2188" i="3"/>
  <c r="L2761" i="3"/>
  <c r="N3052" i="3"/>
  <c r="I1819" i="3"/>
  <c r="N1818" i="3"/>
  <c r="L1818" i="3"/>
  <c r="M1818" i="3"/>
  <c r="O1818" i="3"/>
  <c r="P1818" i="3"/>
  <c r="O262" i="3"/>
  <c r="L1733" i="3"/>
  <c r="I651" i="3"/>
  <c r="N650" i="3"/>
  <c r="M650" i="3"/>
  <c r="L650" i="3"/>
  <c r="P650" i="3"/>
  <c r="O650" i="3"/>
  <c r="P1987" i="3"/>
  <c r="P2311" i="3"/>
  <c r="I1332" i="3"/>
  <c r="L1331" i="3"/>
  <c r="P1331" i="3"/>
  <c r="O1331" i="3"/>
  <c r="N1331" i="3"/>
  <c r="M1331" i="3"/>
  <c r="P2948" i="3"/>
  <c r="I2075" i="3"/>
  <c r="O2074" i="3"/>
  <c r="L2074" i="3"/>
  <c r="N2074" i="3"/>
  <c r="M2074" i="3"/>
  <c r="P2074" i="3"/>
  <c r="N2941" i="3"/>
  <c r="P730" i="3"/>
  <c r="O1671" i="3"/>
  <c r="L2263" i="3"/>
  <c r="L990" i="3"/>
  <c r="O3327" i="3"/>
  <c r="I2859" i="3"/>
  <c r="N2858" i="3"/>
  <c r="M2858" i="3"/>
  <c r="O2858" i="3"/>
  <c r="L2858" i="3"/>
  <c r="P2858" i="3"/>
  <c r="I7" i="3"/>
  <c r="N6" i="3"/>
  <c r="M6" i="3"/>
  <c r="L6" i="3"/>
  <c r="P6" i="3"/>
  <c r="O6" i="3"/>
  <c r="N808" i="3"/>
  <c r="L3341" i="3"/>
  <c r="P2729" i="3"/>
  <c r="N259" i="3"/>
  <c r="O2570" i="3"/>
  <c r="N2886" i="3"/>
  <c r="P3146" i="3"/>
  <c r="M2595" i="3"/>
  <c r="L2595" i="3"/>
  <c r="O2595" i="3"/>
  <c r="N2595" i="3"/>
  <c r="P2595" i="3"/>
  <c r="I2596" i="3"/>
  <c r="O1548" i="3"/>
  <c r="N1704" i="3"/>
  <c r="N3051" i="3"/>
  <c r="P674" i="3"/>
  <c r="N3192" i="3"/>
  <c r="I465" i="3"/>
  <c r="P464" i="3"/>
  <c r="O464" i="3"/>
  <c r="N464" i="3"/>
  <c r="M464" i="3"/>
  <c r="L464" i="3"/>
  <c r="P2338" i="3"/>
  <c r="L2016" i="3"/>
  <c r="P2278" i="3"/>
  <c r="P2898" i="3"/>
  <c r="N3049" i="3"/>
  <c r="P2186" i="3"/>
  <c r="O2654" i="3"/>
  <c r="P1034" i="3"/>
  <c r="P111" i="3"/>
  <c r="I274" i="3"/>
  <c r="O273" i="3"/>
  <c r="N273" i="3"/>
  <c r="M273" i="3"/>
  <c r="L273" i="3"/>
  <c r="P273" i="3"/>
  <c r="P2389" i="3"/>
  <c r="I1876" i="3"/>
  <c r="O1875" i="3"/>
  <c r="N1875" i="3"/>
  <c r="M1875" i="3"/>
  <c r="P1875" i="3"/>
  <c r="L1875" i="3"/>
  <c r="P1946" i="3"/>
  <c r="P242" i="3"/>
  <c r="P500" i="3"/>
  <c r="P2702" i="3"/>
  <c r="M3327" i="3"/>
  <c r="P2154" i="3"/>
  <c r="O534" i="3"/>
  <c r="O2117" i="3"/>
  <c r="O2605" i="3"/>
  <c r="P202" i="3"/>
  <c r="O3213" i="3"/>
  <c r="O683" i="3"/>
  <c r="N2276" i="3"/>
  <c r="O2432" i="3"/>
  <c r="P2152" i="3"/>
  <c r="O1570" i="3"/>
  <c r="P1133" i="3"/>
  <c r="L2842" i="3"/>
  <c r="O2506" i="3"/>
  <c r="P1318" i="3"/>
  <c r="P1570" i="3"/>
  <c r="O2996" i="3"/>
  <c r="P1923" i="3"/>
  <c r="O2801" i="3"/>
  <c r="P1076" i="3"/>
  <c r="O2014" i="3"/>
  <c r="P671" i="3"/>
  <c r="L2910" i="3"/>
  <c r="M2938" i="3"/>
  <c r="O1190" i="3"/>
  <c r="P1936" i="3"/>
  <c r="P211" i="3"/>
  <c r="O1055" i="3"/>
  <c r="P347" i="3"/>
  <c r="N3189" i="3"/>
  <c r="P1546" i="3"/>
  <c r="O2772" i="3"/>
  <c r="P1777" i="3"/>
  <c r="P396" i="3"/>
  <c r="L394" i="3"/>
  <c r="N2910" i="3"/>
  <c r="N2728" i="3"/>
  <c r="O1833" i="3"/>
  <c r="P627" i="3"/>
  <c r="M1572" i="3"/>
  <c r="O3177" i="3"/>
  <c r="O524" i="3"/>
  <c r="M3297" i="3"/>
  <c r="P3250" i="3"/>
  <c r="I1813" i="3"/>
  <c r="L1812" i="3"/>
  <c r="P1812" i="3"/>
  <c r="N1812" i="3"/>
  <c r="O1812" i="3"/>
  <c r="M1812" i="3"/>
  <c r="I2806" i="3"/>
  <c r="P2805" i="3"/>
  <c r="O2805" i="3"/>
  <c r="N2805" i="3"/>
  <c r="M2805" i="3"/>
  <c r="L2805" i="3"/>
  <c r="P2581" i="3"/>
  <c r="O2883" i="3"/>
  <c r="P2604" i="3"/>
  <c r="I1183" i="3"/>
  <c r="L1182" i="3"/>
  <c r="P1182" i="3"/>
  <c r="O1182" i="3"/>
  <c r="M1182" i="3"/>
  <c r="N1182" i="3"/>
  <c r="I1565" i="3"/>
  <c r="P1564" i="3"/>
  <c r="O1564" i="3"/>
  <c r="N1564" i="3"/>
  <c r="M1564" i="3"/>
  <c r="L1564" i="3"/>
  <c r="I1256" i="3"/>
  <c r="P1255" i="3"/>
  <c r="O1255" i="3"/>
  <c r="N1255" i="3"/>
  <c r="M1255" i="3"/>
  <c r="L1255" i="3"/>
  <c r="I2540" i="3"/>
  <c r="M2539" i="3"/>
  <c r="L2539" i="3"/>
  <c r="P2539" i="3"/>
  <c r="O2539" i="3"/>
  <c r="N2539" i="3"/>
  <c r="I2637" i="3"/>
  <c r="P2636" i="3"/>
  <c r="O2636" i="3"/>
  <c r="N2636" i="3"/>
  <c r="M2636" i="3"/>
  <c r="L2636" i="3"/>
  <c r="I720" i="3"/>
  <c r="M719" i="3"/>
  <c r="L719" i="3"/>
  <c r="O719" i="3"/>
  <c r="N719" i="3"/>
  <c r="P719" i="3"/>
  <c r="I2407" i="3"/>
  <c r="M2406" i="3"/>
  <c r="L2406" i="3"/>
  <c r="O2406" i="3"/>
  <c r="P2406" i="3"/>
  <c r="N2406" i="3"/>
  <c r="O451" i="3"/>
  <c r="O1827" i="3"/>
  <c r="M2262" i="3"/>
  <c r="L1007" i="3"/>
  <c r="O1872" i="3"/>
  <c r="M2553" i="3"/>
  <c r="N2898" i="3"/>
  <c r="O505" i="3"/>
  <c r="N2593" i="3"/>
  <c r="I1837" i="3"/>
  <c r="L1836" i="3"/>
  <c r="P1836" i="3"/>
  <c r="O1836" i="3"/>
  <c r="M1836" i="3"/>
  <c r="N1836" i="3"/>
  <c r="L2745" i="3"/>
  <c r="O231" i="3"/>
  <c r="P1815" i="3"/>
  <c r="P738" i="3"/>
  <c r="O3077" i="3"/>
  <c r="O1515" i="3"/>
  <c r="M2926" i="3"/>
  <c r="I530" i="3"/>
  <c r="P529" i="3"/>
  <c r="O529" i="3"/>
  <c r="M529" i="3"/>
  <c r="L529" i="3"/>
  <c r="N529" i="3"/>
  <c r="N2002" i="3"/>
  <c r="M2002" i="3"/>
  <c r="L2002" i="3"/>
  <c r="P2002" i="3"/>
  <c r="O2002" i="3"/>
  <c r="I2003" i="3"/>
  <c r="I1463" i="3"/>
  <c r="M1462" i="3"/>
  <c r="O1462" i="3"/>
  <c r="N1462" i="3"/>
  <c r="L1462" i="3"/>
  <c r="P1462" i="3"/>
  <c r="P3298" i="3"/>
  <c r="O3298" i="3"/>
  <c r="N3298" i="3"/>
  <c r="M3298" i="3"/>
  <c r="L3298" i="3"/>
  <c r="I3299" i="3"/>
  <c r="I578" i="3"/>
  <c r="P577" i="3"/>
  <c r="O577" i="3"/>
  <c r="M577" i="3"/>
  <c r="L577" i="3"/>
  <c r="N577" i="3"/>
  <c r="I430" i="3"/>
  <c r="O429" i="3"/>
  <c r="N429" i="3"/>
  <c r="M429" i="3"/>
  <c r="L429" i="3"/>
  <c r="P429" i="3"/>
  <c r="I1803" i="3"/>
  <c r="N1802" i="3"/>
  <c r="L1802" i="3"/>
  <c r="O1802" i="3"/>
  <c r="P1802" i="3"/>
  <c r="M1802" i="3"/>
  <c r="I1736" i="3"/>
  <c r="M1735" i="3"/>
  <c r="P1735" i="3"/>
  <c r="O1735" i="3"/>
  <c r="L1735" i="3"/>
  <c r="N1735" i="3"/>
  <c r="I1366" i="3"/>
  <c r="P1365" i="3"/>
  <c r="O1365" i="3"/>
  <c r="N1365" i="3"/>
  <c r="M1365" i="3"/>
  <c r="L1365" i="3"/>
  <c r="I3104" i="3"/>
  <c r="P3103" i="3"/>
  <c r="O3103" i="3"/>
  <c r="N3103" i="3"/>
  <c r="M3103" i="3"/>
  <c r="L3103" i="3"/>
  <c r="I226" i="3"/>
  <c r="O225" i="3"/>
  <c r="N225" i="3"/>
  <c r="M225" i="3"/>
  <c r="L225" i="3"/>
  <c r="P225" i="3"/>
  <c r="I2846" i="3"/>
  <c r="O2845" i="3"/>
  <c r="N2845" i="3"/>
  <c r="L2845" i="3"/>
  <c r="P2845" i="3"/>
  <c r="M2845" i="3"/>
  <c r="I2042" i="3"/>
  <c r="L2041" i="3"/>
  <c r="P2041" i="3"/>
  <c r="N2041" i="3"/>
  <c r="M2041" i="3"/>
  <c r="O2041" i="3"/>
  <c r="N989" i="3"/>
  <c r="O2057" i="3"/>
  <c r="N2998" i="3"/>
  <c r="P1116" i="3"/>
  <c r="O304" i="3"/>
  <c r="L2825" i="3"/>
  <c r="O3343" i="3"/>
  <c r="M1931" i="3"/>
  <c r="M1267" i="3"/>
  <c r="O480" i="3"/>
  <c r="O1304" i="3"/>
  <c r="O490" i="3"/>
  <c r="P2029" i="3"/>
  <c r="L2292" i="3"/>
  <c r="P2821" i="3"/>
  <c r="O915" i="3"/>
  <c r="I1829" i="3"/>
  <c r="L1828" i="3"/>
  <c r="P1828" i="3"/>
  <c r="O1828" i="3"/>
  <c r="N1828" i="3"/>
  <c r="M1828" i="3"/>
  <c r="M2508" i="3"/>
  <c r="M1007" i="3"/>
  <c r="L1489" i="3"/>
  <c r="P338" i="3"/>
  <c r="L2658" i="3"/>
  <c r="L2261" i="3"/>
  <c r="O545" i="3"/>
  <c r="O2746" i="3"/>
  <c r="N2746" i="3"/>
  <c r="M2746" i="3"/>
  <c r="L2746" i="3"/>
  <c r="P2746" i="3"/>
  <c r="I2747" i="3"/>
  <c r="O875" i="3"/>
  <c r="O405" i="3"/>
  <c r="N405" i="3"/>
  <c r="M405" i="3"/>
  <c r="L405" i="3"/>
  <c r="P405" i="3"/>
  <c r="I406" i="3"/>
  <c r="N1908" i="3"/>
  <c r="O1087" i="3"/>
  <c r="P488" i="3"/>
  <c r="M3366" i="3"/>
  <c r="O1669" i="3"/>
  <c r="P1180" i="3"/>
  <c r="I2968" i="3"/>
  <c r="M2967" i="3"/>
  <c r="L2967" i="3"/>
  <c r="P2967" i="3"/>
  <c r="O2967" i="3"/>
  <c r="N2967" i="3"/>
  <c r="I2943" i="3"/>
  <c r="P2942" i="3"/>
  <c r="O2942" i="3"/>
  <c r="N2942" i="3"/>
  <c r="M2942" i="3"/>
  <c r="L2942" i="3"/>
  <c r="I2198" i="3"/>
  <c r="N2197" i="3"/>
  <c r="M2197" i="3"/>
  <c r="L2197" i="3"/>
  <c r="P2197" i="3"/>
  <c r="O2197" i="3"/>
  <c r="I1618" i="3"/>
  <c r="L1617" i="3"/>
  <c r="O1617" i="3"/>
  <c r="M1617" i="3"/>
  <c r="P1617" i="3"/>
  <c r="N1617" i="3"/>
  <c r="I2356" i="3"/>
  <c r="L2355" i="3"/>
  <c r="N2355" i="3"/>
  <c r="P2355" i="3"/>
  <c r="O2355" i="3"/>
  <c r="M2355" i="3"/>
  <c r="I1494" i="3"/>
  <c r="P1493" i="3"/>
  <c r="O1493" i="3"/>
  <c r="N1493" i="3"/>
  <c r="M1493" i="3"/>
  <c r="L1493" i="3"/>
  <c r="P2776" i="3"/>
  <c r="O2776" i="3"/>
  <c r="N2776" i="3"/>
  <c r="M2776" i="3"/>
  <c r="L2776" i="3"/>
  <c r="I2777" i="3"/>
  <c r="I1431" i="3"/>
  <c r="M1430" i="3"/>
  <c r="P1430" i="3"/>
  <c r="O1430" i="3"/>
  <c r="L1430" i="3"/>
  <c r="N1430" i="3"/>
  <c r="I689" i="3"/>
  <c r="P688" i="3"/>
  <c r="O688" i="3"/>
  <c r="N688" i="3"/>
  <c r="M688" i="3"/>
  <c r="L688" i="3"/>
  <c r="I1962" i="3"/>
  <c r="P1961" i="3"/>
  <c r="O1961" i="3"/>
  <c r="M1961" i="3"/>
  <c r="L1961" i="3"/>
  <c r="N1961" i="3"/>
  <c r="P1947" i="3"/>
  <c r="O1947" i="3"/>
  <c r="N1947" i="3"/>
  <c r="L1947" i="3"/>
  <c r="M1947" i="3"/>
  <c r="I1948" i="3"/>
  <c r="I2691" i="3"/>
  <c r="O2690" i="3"/>
  <c r="N2690" i="3"/>
  <c r="M2690" i="3"/>
  <c r="L2690" i="3"/>
  <c r="P2690" i="3"/>
  <c r="I2156" i="3"/>
  <c r="P2155" i="3"/>
  <c r="O2155" i="3"/>
  <c r="M2155" i="3"/>
  <c r="N2155" i="3"/>
  <c r="L2155" i="3"/>
  <c r="I1603" i="3"/>
  <c r="N1602" i="3"/>
  <c r="M1602" i="3"/>
  <c r="L1602" i="3"/>
  <c r="O1602" i="3"/>
  <c r="P1602" i="3"/>
  <c r="N2874" i="3"/>
  <c r="M2874" i="3"/>
  <c r="P2874" i="3"/>
  <c r="O2874" i="3"/>
  <c r="L2874" i="3"/>
  <c r="I2875" i="3"/>
  <c r="I216" i="3"/>
  <c r="P215" i="3"/>
  <c r="O215" i="3"/>
  <c r="N215" i="3"/>
  <c r="M215" i="3"/>
  <c r="L215" i="3"/>
  <c r="I733" i="3"/>
  <c r="L732" i="3"/>
  <c r="P732" i="3"/>
  <c r="N732" i="3"/>
  <c r="M732" i="3"/>
  <c r="O732" i="3"/>
  <c r="I1674" i="3"/>
  <c r="O1673" i="3"/>
  <c r="N1673" i="3"/>
  <c r="L1673" i="3"/>
  <c r="M1673" i="3"/>
  <c r="P1673" i="3"/>
  <c r="I375" i="3"/>
  <c r="P374" i="3"/>
  <c r="O374" i="3"/>
  <c r="N374" i="3"/>
  <c r="L374" i="3"/>
  <c r="M374" i="3"/>
  <c r="I48" i="3"/>
  <c r="P47" i="3"/>
  <c r="O47" i="3"/>
  <c r="N47" i="3"/>
  <c r="M47" i="3"/>
  <c r="L47" i="3"/>
  <c r="I566" i="3"/>
  <c r="O565" i="3"/>
  <c r="N565" i="3"/>
  <c r="M565" i="3"/>
  <c r="L565" i="3"/>
  <c r="P565" i="3"/>
  <c r="I1091" i="3"/>
  <c r="P1090" i="3"/>
  <c r="O1090" i="3"/>
  <c r="N1090" i="3"/>
  <c r="M1090" i="3"/>
  <c r="L1090" i="3"/>
  <c r="I2281" i="3"/>
  <c r="P2280" i="3"/>
  <c r="M2280" i="3"/>
  <c r="L2280" i="3"/>
  <c r="O2280" i="3"/>
  <c r="N2280" i="3"/>
  <c r="I3179" i="3"/>
  <c r="M3178" i="3"/>
  <c r="L3178" i="3"/>
  <c r="P3178" i="3"/>
  <c r="O3178" i="3"/>
  <c r="N3178" i="3"/>
  <c r="I385" i="3"/>
  <c r="P384" i="3"/>
  <c r="O384" i="3"/>
  <c r="N384" i="3"/>
  <c r="M384" i="3"/>
  <c r="L384" i="3"/>
  <c r="I3040" i="3"/>
  <c r="M3039" i="3"/>
  <c r="L3039" i="3"/>
  <c r="P3039" i="3"/>
  <c r="O3039" i="3"/>
  <c r="N3039" i="3"/>
  <c r="I1885" i="3"/>
  <c r="L1884" i="3"/>
  <c r="O1884" i="3"/>
  <c r="N1884" i="3"/>
  <c r="M1884" i="3"/>
  <c r="P1884" i="3"/>
  <c r="I962" i="3"/>
  <c r="M961" i="3"/>
  <c r="L961" i="3"/>
  <c r="O961" i="3"/>
  <c r="N961" i="3"/>
  <c r="P961" i="3"/>
  <c r="I2321" i="3"/>
  <c r="P2320" i="3"/>
  <c r="M2320" i="3"/>
  <c r="O2320" i="3"/>
  <c r="L2320" i="3"/>
  <c r="N2320" i="3"/>
  <c r="I1721" i="3"/>
  <c r="P1720" i="3"/>
  <c r="N1720" i="3"/>
  <c r="L1720" i="3"/>
  <c r="O1720" i="3"/>
  <c r="M1720" i="3"/>
  <c r="N2947" i="3"/>
  <c r="L3312" i="3"/>
  <c r="P810" i="3"/>
  <c r="M3207" i="3"/>
  <c r="P1021" i="3"/>
  <c r="N3295" i="3"/>
  <c r="L3327" i="3"/>
  <c r="O1598" i="3"/>
  <c r="P1938" i="3"/>
  <c r="I78" i="3"/>
  <c r="P77" i="3"/>
  <c r="O77" i="3"/>
  <c r="M77" i="3"/>
  <c r="L77" i="3"/>
  <c r="N77" i="3"/>
  <c r="I1173" i="3"/>
  <c r="O1172" i="3"/>
  <c r="N1172" i="3"/>
  <c r="M1172" i="3"/>
  <c r="L1172" i="3"/>
  <c r="P1172" i="3"/>
  <c r="O3206" i="3"/>
  <c r="M1936" i="3"/>
  <c r="O3265" i="3"/>
  <c r="I342" i="3"/>
  <c r="O341" i="3"/>
  <c r="N341" i="3"/>
  <c r="M341" i="3"/>
  <c r="L341" i="3"/>
  <c r="P341" i="3"/>
  <c r="P1022" i="3"/>
  <c r="N2964" i="3"/>
  <c r="L1764" i="3"/>
  <c r="O152" i="3"/>
  <c r="O1094" i="3"/>
  <c r="P2057" i="3"/>
  <c r="I3000" i="3"/>
  <c r="M2999" i="3"/>
  <c r="L2999" i="3"/>
  <c r="P2999" i="3"/>
  <c r="O2999" i="3"/>
  <c r="N2999" i="3"/>
  <c r="M338" i="3"/>
  <c r="M2552" i="3"/>
  <c r="M304" i="3"/>
  <c r="M2825" i="3"/>
  <c r="L3023" i="3"/>
  <c r="I3345" i="3"/>
  <c r="P3344" i="3"/>
  <c r="O3344" i="3"/>
  <c r="N3344" i="3"/>
  <c r="M3344" i="3"/>
  <c r="L3344" i="3"/>
  <c r="N241" i="3"/>
  <c r="O1800" i="3"/>
  <c r="O2700" i="3"/>
  <c r="O3101" i="3"/>
  <c r="I1583" i="3"/>
  <c r="N1582" i="3"/>
  <c r="M1582" i="3"/>
  <c r="O1582" i="3"/>
  <c r="L1582" i="3"/>
  <c r="P1582" i="3"/>
  <c r="I1295" i="3"/>
  <c r="M1294" i="3"/>
  <c r="L1294" i="3"/>
  <c r="P1294" i="3"/>
  <c r="O1294" i="3"/>
  <c r="N1294" i="3"/>
  <c r="O929" i="3"/>
  <c r="O752" i="3"/>
  <c r="N2829" i="3"/>
  <c r="L2843" i="3"/>
  <c r="N3207" i="3"/>
  <c r="L1763" i="3"/>
  <c r="O179" i="3"/>
  <c r="N1007" i="3"/>
  <c r="O1897" i="3"/>
  <c r="M2373" i="3"/>
  <c r="P545" i="3"/>
  <c r="P949" i="3"/>
  <c r="O1908" i="3"/>
  <c r="O434" i="3"/>
  <c r="N3366" i="3"/>
  <c r="P951" i="3"/>
  <c r="O1937" i="3"/>
  <c r="N2926" i="3"/>
  <c r="I1633" i="3"/>
  <c r="P1632" i="3"/>
  <c r="O1632" i="3"/>
  <c r="M1632" i="3"/>
  <c r="N1632" i="3"/>
  <c r="L1632" i="3"/>
  <c r="I2840" i="3"/>
  <c r="M2839" i="3"/>
  <c r="L2839" i="3"/>
  <c r="P2839" i="3"/>
  <c r="O2839" i="3"/>
  <c r="N2839" i="3"/>
  <c r="I1026" i="3"/>
  <c r="M1025" i="3"/>
  <c r="L1025" i="3"/>
  <c r="O1025" i="3"/>
  <c r="N1025" i="3"/>
  <c r="P1025" i="3"/>
  <c r="I1401" i="3"/>
  <c r="N1400" i="3"/>
  <c r="M1400" i="3"/>
  <c r="L1400" i="3"/>
  <c r="P1400" i="3"/>
  <c r="O1400" i="3"/>
  <c r="I2584" i="3"/>
  <c r="P2583" i="3"/>
  <c r="O2583" i="3"/>
  <c r="N2583" i="3"/>
  <c r="M2583" i="3"/>
  <c r="L2583" i="3"/>
  <c r="I801" i="3"/>
  <c r="P800" i="3"/>
  <c r="O800" i="3"/>
  <c r="N800" i="3"/>
  <c r="M800" i="3"/>
  <c r="L800" i="3"/>
  <c r="I1792" i="3"/>
  <c r="M1791" i="3"/>
  <c r="P1791" i="3"/>
  <c r="O1791" i="3"/>
  <c r="L1791" i="3"/>
  <c r="N1791" i="3"/>
  <c r="I2144" i="3"/>
  <c r="L2143" i="3"/>
  <c r="N2143" i="3"/>
  <c r="P2143" i="3"/>
  <c r="O2143" i="3"/>
  <c r="M2143" i="3"/>
  <c r="I2852" i="3"/>
  <c r="P2851" i="3"/>
  <c r="N2851" i="3"/>
  <c r="O2851" i="3"/>
  <c r="M2851" i="3"/>
  <c r="L2851" i="3"/>
  <c r="I3210" i="3"/>
  <c r="P3209" i="3"/>
  <c r="O3209" i="3"/>
  <c r="N3209" i="3"/>
  <c r="M3209" i="3"/>
  <c r="L3209" i="3"/>
  <c r="I3026" i="3"/>
  <c r="O3025" i="3"/>
  <c r="P3025" i="3"/>
  <c r="N3025" i="3"/>
  <c r="M3025" i="3"/>
  <c r="L3025" i="3"/>
  <c r="I1766" i="3"/>
  <c r="O1765" i="3"/>
  <c r="L1765" i="3"/>
  <c r="N1765" i="3"/>
  <c r="P1765" i="3"/>
  <c r="M1765" i="3"/>
  <c r="I2032" i="3"/>
  <c r="N2031" i="3"/>
  <c r="P2031" i="3"/>
  <c r="O2031" i="3"/>
  <c r="M2031" i="3"/>
  <c r="L2031" i="3"/>
  <c r="P1912" i="3"/>
  <c r="O1267" i="3"/>
  <c r="P2634" i="3"/>
  <c r="M1763" i="3"/>
  <c r="P164" i="3"/>
  <c r="L810" i="3"/>
  <c r="M3312" i="3"/>
  <c r="L807" i="3"/>
  <c r="P499" i="3"/>
  <c r="O2508" i="3"/>
  <c r="O1007" i="3"/>
  <c r="P478" i="3"/>
  <c r="M2171" i="3"/>
  <c r="P1835" i="3"/>
  <c r="N2373" i="3"/>
  <c r="M1569" i="3"/>
  <c r="I547" i="3"/>
  <c r="N546" i="3"/>
  <c r="M546" i="3"/>
  <c r="L546" i="3"/>
  <c r="P546" i="3"/>
  <c r="O546" i="3"/>
  <c r="M1731" i="3"/>
  <c r="L2672" i="3"/>
  <c r="O404" i="3"/>
  <c r="O211" i="3"/>
  <c r="O717" i="3"/>
  <c r="O3366" i="3"/>
  <c r="N3101" i="3"/>
  <c r="P1005" i="3"/>
  <c r="O2926" i="3"/>
  <c r="I414" i="3"/>
  <c r="O413" i="3"/>
  <c r="N413" i="3"/>
  <c r="M413" i="3"/>
  <c r="L413" i="3"/>
  <c r="P413" i="3"/>
  <c r="I510" i="3"/>
  <c r="O509" i="3"/>
  <c r="N509" i="3"/>
  <c r="M509" i="3"/>
  <c r="L509" i="3"/>
  <c r="P509" i="3"/>
  <c r="I629" i="3"/>
  <c r="L628" i="3"/>
  <c r="P628" i="3"/>
  <c r="N628" i="3"/>
  <c r="M628" i="3"/>
  <c r="O628" i="3"/>
  <c r="I1508" i="3"/>
  <c r="M1507" i="3"/>
  <c r="L1507" i="3"/>
  <c r="O1507" i="3"/>
  <c r="P1507" i="3"/>
  <c r="N1507" i="3"/>
  <c r="I1138" i="3"/>
  <c r="N1137" i="3"/>
  <c r="M1137" i="3"/>
  <c r="L1137" i="3"/>
  <c r="P1137" i="3"/>
  <c r="O1137" i="3"/>
  <c r="I880" i="3"/>
  <c r="O879" i="3"/>
  <c r="N879" i="3"/>
  <c r="M879" i="3"/>
  <c r="L879" i="3"/>
  <c r="P879" i="3"/>
  <c r="I3374" i="3"/>
  <c r="P3373" i="3"/>
  <c r="O3373" i="3"/>
  <c r="N3373" i="3"/>
  <c r="M3373" i="3"/>
  <c r="L3373" i="3"/>
  <c r="I139" i="3"/>
  <c r="P138" i="3"/>
  <c r="O138" i="3"/>
  <c r="N138" i="3"/>
  <c r="L138" i="3"/>
  <c r="M138" i="3"/>
  <c r="I1645" i="3"/>
  <c r="L1644" i="3"/>
  <c r="N1644" i="3"/>
  <c r="M1644" i="3"/>
  <c r="P1644" i="3"/>
  <c r="O1644" i="3"/>
  <c r="I3068" i="3"/>
  <c r="O3067" i="3"/>
  <c r="N3067" i="3"/>
  <c r="L3067" i="3"/>
  <c r="M3067" i="3"/>
  <c r="P3067" i="3"/>
  <c r="I1128" i="3"/>
  <c r="P1127" i="3"/>
  <c r="O1127" i="3"/>
  <c r="N1127" i="3"/>
  <c r="M1127" i="3"/>
  <c r="L1127" i="3"/>
  <c r="I3252" i="3"/>
  <c r="P3251" i="3"/>
  <c r="O3251" i="3"/>
  <c r="N3251" i="3"/>
  <c r="M3251" i="3"/>
  <c r="L3251" i="3"/>
  <c r="I168" i="3"/>
  <c r="P167" i="3"/>
  <c r="O167" i="3"/>
  <c r="N167" i="3"/>
  <c r="M167" i="3"/>
  <c r="L167" i="3"/>
  <c r="I1518" i="3"/>
  <c r="P1517" i="3"/>
  <c r="O1517" i="3"/>
  <c r="N1517" i="3"/>
  <c r="M1517" i="3"/>
  <c r="L1517" i="3"/>
  <c r="I440" i="3"/>
  <c r="M439" i="3"/>
  <c r="L439" i="3"/>
  <c r="O439" i="3"/>
  <c r="N439" i="3"/>
  <c r="P439" i="3"/>
  <c r="I609" i="3"/>
  <c r="P608" i="3"/>
  <c r="O608" i="3"/>
  <c r="N608" i="3"/>
  <c r="M608" i="3"/>
  <c r="L608" i="3"/>
  <c r="O1612" i="3"/>
  <c r="P2816" i="3"/>
  <c r="L350" i="3"/>
  <c r="P304" i="3"/>
  <c r="O1064" i="3"/>
  <c r="I2827" i="3"/>
  <c r="N2826" i="3"/>
  <c r="M2826" i="3"/>
  <c r="P2826" i="3"/>
  <c r="O2826" i="3"/>
  <c r="L2826" i="3"/>
  <c r="O176" i="3"/>
  <c r="O633" i="3"/>
  <c r="N2849" i="3"/>
  <c r="O1931" i="3"/>
  <c r="P1267" i="3"/>
  <c r="O2897" i="3"/>
  <c r="O1808" i="3"/>
  <c r="O87" i="3"/>
  <c r="P2336" i="3"/>
  <c r="L2620" i="3"/>
  <c r="P2508" i="3"/>
  <c r="I1009" i="3"/>
  <c r="P1008" i="3"/>
  <c r="O1008" i="3"/>
  <c r="N1008" i="3"/>
  <c r="L1008" i="3"/>
  <c r="M1008" i="3"/>
  <c r="M2569" i="3"/>
  <c r="P715" i="3"/>
  <c r="L2072" i="3"/>
  <c r="L2373" i="3"/>
  <c r="M2745" i="3"/>
  <c r="P1505" i="3"/>
  <c r="P3023" i="3"/>
  <c r="P1327" i="3"/>
  <c r="P3366" i="3"/>
  <c r="I740" i="3"/>
  <c r="P739" i="3"/>
  <c r="O739" i="3"/>
  <c r="N739" i="3"/>
  <c r="M739" i="3"/>
  <c r="L739" i="3"/>
  <c r="P2814" i="3"/>
  <c r="P2884" i="3"/>
  <c r="P2926" i="3"/>
  <c r="I2246" i="3"/>
  <c r="N2245" i="3"/>
  <c r="M2245" i="3"/>
  <c r="L2245" i="3"/>
  <c r="P2245" i="3"/>
  <c r="O2245" i="3"/>
  <c r="I1559" i="3"/>
  <c r="N1558" i="3"/>
  <c r="M1558" i="3"/>
  <c r="O1558" i="3"/>
  <c r="P1558" i="3"/>
  <c r="L1558" i="3"/>
  <c r="I992" i="3"/>
  <c r="O991" i="3"/>
  <c r="N991" i="3"/>
  <c r="M991" i="3"/>
  <c r="L991" i="3"/>
  <c r="P991" i="3"/>
  <c r="I3012" i="3"/>
  <c r="P3011" i="3"/>
  <c r="O3011" i="3"/>
  <c r="M3011" i="3"/>
  <c r="N3011" i="3"/>
  <c r="L3011" i="3"/>
  <c r="I2572" i="3"/>
  <c r="M2571" i="3"/>
  <c r="L2571" i="3"/>
  <c r="N2571" i="3"/>
  <c r="P2571" i="3"/>
  <c r="O2571" i="3"/>
  <c r="O3216" i="3"/>
  <c r="N3216" i="3"/>
  <c r="M3216" i="3"/>
  <c r="L3216" i="3"/>
  <c r="P3216" i="3"/>
  <c r="I3217" i="3"/>
  <c r="I2340" i="3"/>
  <c r="L2339" i="3"/>
  <c r="N2339" i="3"/>
  <c r="O2339" i="3"/>
  <c r="M2339" i="3"/>
  <c r="P2339" i="3"/>
  <c r="I1392" i="3"/>
  <c r="N1391" i="3"/>
  <c r="P1391" i="3"/>
  <c r="O1391" i="3"/>
  <c r="M1391" i="3"/>
  <c r="L1391" i="3"/>
  <c r="P1573" i="3"/>
  <c r="N1573" i="3"/>
  <c r="O1573" i="3"/>
  <c r="M1573" i="3"/>
  <c r="L1573" i="3"/>
  <c r="I1574" i="3"/>
  <c r="I2469" i="3"/>
  <c r="P2468" i="3"/>
  <c r="O2468" i="3"/>
  <c r="N2468" i="3"/>
  <c r="M2468" i="3"/>
  <c r="L2468" i="3"/>
  <c r="O1537" i="3"/>
  <c r="N1537" i="3"/>
  <c r="L1537" i="3"/>
  <c r="P1537" i="3"/>
  <c r="M1537" i="3"/>
  <c r="I1538" i="3"/>
  <c r="I2516" i="3"/>
  <c r="M2515" i="3"/>
  <c r="L2515" i="3"/>
  <c r="O2515" i="3"/>
  <c r="P2515" i="3"/>
  <c r="N2515" i="3"/>
  <c r="I2175" i="3"/>
  <c r="P2174" i="3"/>
  <c r="N2174" i="3"/>
  <c r="L2174" i="3"/>
  <c r="O2174" i="3"/>
  <c r="M2174" i="3"/>
  <c r="I1352" i="3"/>
  <c r="P1351" i="3"/>
  <c r="O1351" i="3"/>
  <c r="N1351" i="3"/>
  <c r="M1351" i="3"/>
  <c r="L1351" i="3"/>
  <c r="P135" i="3"/>
  <c r="O2744" i="3"/>
  <c r="P2658" i="3"/>
  <c r="M987" i="3"/>
  <c r="P1711" i="3"/>
  <c r="O1834" i="3"/>
  <c r="P3144" i="3"/>
  <c r="L1004" i="3"/>
  <c r="O1362" i="3"/>
  <c r="P1872" i="3"/>
  <c r="P254" i="3"/>
  <c r="P2525" i="3"/>
  <c r="P1922" i="3"/>
  <c r="M2088" i="3"/>
  <c r="M2567" i="3"/>
  <c r="O514" i="3"/>
  <c r="P1413" i="3"/>
  <c r="O3098" i="3"/>
  <c r="L2824" i="3"/>
  <c r="P303" i="3"/>
  <c r="O2911" i="3"/>
  <c r="O2026" i="3"/>
  <c r="O75" i="3"/>
  <c r="L2567" i="3"/>
  <c r="P3249" i="3"/>
  <c r="P74" i="3"/>
  <c r="O112" i="3"/>
  <c r="P1846" i="3"/>
  <c r="L2897" i="3"/>
  <c r="L271" i="3"/>
  <c r="P2483" i="3"/>
  <c r="M135" i="3"/>
  <c r="L3313" i="3"/>
  <c r="I155" i="3"/>
  <c r="P154" i="3"/>
  <c r="O154" i="3"/>
  <c r="N154" i="3"/>
  <c r="L154" i="3"/>
  <c r="M154" i="3"/>
  <c r="L2828" i="3"/>
  <c r="N2828" i="3"/>
  <c r="O2142" i="3"/>
  <c r="P1561" i="3"/>
  <c r="M2963" i="3"/>
  <c r="I3163" i="3"/>
  <c r="M3162" i="3"/>
  <c r="L3162" i="3"/>
  <c r="P3162" i="3"/>
  <c r="O3162" i="3"/>
  <c r="N3162" i="3"/>
  <c r="M3342" i="3"/>
  <c r="N2552" i="3"/>
  <c r="P349" i="3"/>
  <c r="N2581" i="3"/>
  <c r="I483" i="3"/>
  <c r="N482" i="3"/>
  <c r="M482" i="3"/>
  <c r="L482" i="3"/>
  <c r="P482" i="3"/>
  <c r="O482" i="3"/>
  <c r="L585" i="3"/>
  <c r="P1349" i="3"/>
  <c r="P1826" i="3"/>
  <c r="P285" i="3"/>
  <c r="N2844" i="3"/>
  <c r="O811" i="3"/>
  <c r="P469" i="3"/>
  <c r="O2029" i="3"/>
  <c r="I619" i="3"/>
  <c r="N618" i="3"/>
  <c r="M618" i="3"/>
  <c r="L618" i="3"/>
  <c r="P618" i="3"/>
  <c r="O618" i="3"/>
  <c r="I1660" i="3"/>
  <c r="L1659" i="3"/>
  <c r="P1659" i="3"/>
  <c r="O1659" i="3"/>
  <c r="M1659" i="3"/>
  <c r="N1659" i="3"/>
  <c r="N2592" i="3"/>
  <c r="O2606" i="3"/>
  <c r="P448" i="3"/>
  <c r="O448" i="3"/>
  <c r="N448" i="3"/>
  <c r="M448" i="3"/>
  <c r="L448" i="3"/>
  <c r="I449" i="3"/>
  <c r="M2828" i="3"/>
  <c r="M3123" i="3"/>
  <c r="N3007" i="3"/>
  <c r="P2758" i="3"/>
  <c r="O700" i="3"/>
  <c r="N2922" i="3"/>
  <c r="P2843" i="3"/>
  <c r="P3207" i="3"/>
  <c r="P1254" i="3"/>
  <c r="P2981" i="3"/>
  <c r="O686" i="3"/>
  <c r="O2088" i="3"/>
  <c r="O1171" i="3"/>
  <c r="O3285" i="3"/>
  <c r="M1913" i="3"/>
  <c r="M340" i="3"/>
  <c r="L2581" i="3"/>
  <c r="N2635" i="3"/>
  <c r="M1858" i="3"/>
  <c r="I195" i="3"/>
  <c r="P194" i="3"/>
  <c r="O194" i="3"/>
  <c r="N194" i="3"/>
  <c r="L194" i="3"/>
  <c r="M194" i="3"/>
  <c r="P573" i="3"/>
  <c r="P2998" i="3"/>
  <c r="O1116" i="3"/>
  <c r="L304" i="3"/>
  <c r="P1064" i="3"/>
  <c r="N2899" i="3"/>
  <c r="P3343" i="3"/>
  <c r="O1074" i="3"/>
  <c r="O1581" i="3"/>
  <c r="P1515" i="3"/>
  <c r="P87" i="3"/>
  <c r="M2948" i="3"/>
  <c r="O1562" i="3"/>
  <c r="P1346" i="3"/>
  <c r="M2653" i="3"/>
  <c r="I2510" i="3"/>
  <c r="P2509" i="3"/>
  <c r="O2509" i="3"/>
  <c r="N2509" i="3"/>
  <c r="M2509" i="3"/>
  <c r="L2509" i="3"/>
  <c r="O150" i="3"/>
  <c r="O2373" i="3"/>
  <c r="O2947" i="3"/>
  <c r="N2745" i="3"/>
  <c r="O1063" i="3"/>
  <c r="M2180" i="3"/>
  <c r="P404" i="3"/>
  <c r="N1912" i="3"/>
  <c r="L1809" i="3"/>
  <c r="L3366" i="3"/>
  <c r="P1580" i="3"/>
  <c r="P73" i="3"/>
  <c r="I2928" i="3"/>
  <c r="M2927" i="3"/>
  <c r="L2927" i="3"/>
  <c r="P2927" i="3"/>
  <c r="O2927" i="3"/>
  <c r="N2927" i="3"/>
  <c r="I2819" i="3"/>
  <c r="O2818" i="3"/>
  <c r="N2818" i="3"/>
  <c r="M2818" i="3"/>
  <c r="L2818" i="3"/>
  <c r="P2818" i="3"/>
  <c r="I1698" i="3"/>
  <c r="N1697" i="3"/>
  <c r="M1697" i="3"/>
  <c r="O1697" i="3"/>
  <c r="L1697" i="3"/>
  <c r="P1697" i="3"/>
  <c r="I3270" i="3"/>
  <c r="P3269" i="3"/>
  <c r="O3269" i="3"/>
  <c r="N3269" i="3"/>
  <c r="M3269" i="3"/>
  <c r="L3269" i="3"/>
  <c r="O1715" i="3"/>
  <c r="N1715" i="3"/>
  <c r="L1715" i="3"/>
  <c r="P1715" i="3"/>
  <c r="M1715" i="3"/>
  <c r="I824" i="3"/>
  <c r="M823" i="3"/>
  <c r="L823" i="3"/>
  <c r="O823" i="3"/>
  <c r="N823" i="3"/>
  <c r="P823" i="3"/>
  <c r="I2678" i="3"/>
  <c r="P2677" i="3"/>
  <c r="O2677" i="3"/>
  <c r="N2677" i="3"/>
  <c r="M2677" i="3"/>
  <c r="L2677" i="3"/>
  <c r="I1941" i="3"/>
  <c r="L1940" i="3"/>
  <c r="O1940" i="3"/>
  <c r="N1940" i="3"/>
  <c r="M1940" i="3"/>
  <c r="P1940" i="3"/>
  <c r="I590" i="3"/>
  <c r="O589" i="3"/>
  <c r="N589" i="3"/>
  <c r="M589" i="3"/>
  <c r="L589" i="3"/>
  <c r="P589" i="3"/>
  <c r="I393" i="3"/>
  <c r="P392" i="3"/>
  <c r="O392" i="3"/>
  <c r="N392" i="3"/>
  <c r="M392" i="3"/>
  <c r="L392" i="3"/>
  <c r="I493" i="3"/>
  <c r="L492" i="3"/>
  <c r="P492" i="3"/>
  <c r="N492" i="3"/>
  <c r="M492" i="3"/>
  <c r="O492" i="3"/>
  <c r="I1751" i="3"/>
  <c r="N1750" i="3"/>
  <c r="M1750" i="3"/>
  <c r="P1750" i="3"/>
  <c r="L1750" i="3"/>
  <c r="O1750" i="3"/>
  <c r="O2686" i="3"/>
  <c r="L3311" i="3"/>
  <c r="O29" i="3"/>
  <c r="O1427" i="3"/>
  <c r="O1539" i="3"/>
  <c r="L1005" i="3"/>
  <c r="L2659" i="3"/>
  <c r="M3121" i="3"/>
  <c r="L3206" i="3"/>
  <c r="O3371" i="3"/>
  <c r="M3313" i="3"/>
  <c r="O462" i="3"/>
  <c r="L302" i="3"/>
  <c r="N2803" i="3"/>
  <c r="O1985" i="3"/>
  <c r="L2850" i="3"/>
  <c r="M3365" i="3"/>
  <c r="O2513" i="3"/>
  <c r="O1181" i="3"/>
  <c r="N1004" i="3"/>
  <c r="P2404" i="3"/>
  <c r="O2844" i="3"/>
  <c r="P811" i="3"/>
  <c r="P3208" i="3"/>
  <c r="P98" i="3"/>
  <c r="L349" i="3"/>
  <c r="O1816" i="3"/>
  <c r="P561" i="3"/>
  <c r="L2885" i="3"/>
  <c r="N2940" i="3"/>
  <c r="M3024" i="3"/>
  <c r="O2261" i="3"/>
  <c r="O2139" i="3"/>
  <c r="L3101" i="3"/>
  <c r="O1826" i="3"/>
  <c r="P317" i="3"/>
  <c r="N810" i="3"/>
  <c r="M3049" i="3"/>
  <c r="O2538" i="3"/>
  <c r="P1600" i="3"/>
  <c r="N2822" i="3"/>
  <c r="M1171" i="3"/>
  <c r="O1873" i="3"/>
  <c r="P3174" i="3"/>
  <c r="P2854" i="3"/>
  <c r="O269" i="3"/>
  <c r="N1913" i="3"/>
  <c r="L2714" i="3"/>
  <c r="O340" i="3"/>
  <c r="L284" i="3"/>
  <c r="L2635" i="3"/>
  <c r="M807" i="3"/>
  <c r="M1764" i="3"/>
  <c r="O1970" i="3"/>
  <c r="O1233" i="3"/>
  <c r="O2404" i="3"/>
  <c r="O2652" i="3"/>
  <c r="L2998" i="3"/>
  <c r="P1275" i="3"/>
  <c r="I1118" i="3"/>
  <c r="P1117" i="3"/>
  <c r="O1117" i="3"/>
  <c r="N1117" i="3"/>
  <c r="L1117" i="3"/>
  <c r="M1117" i="3"/>
  <c r="N2673" i="3"/>
  <c r="I306" i="3"/>
  <c r="O305" i="3"/>
  <c r="N305" i="3"/>
  <c r="M305" i="3"/>
  <c r="L305" i="3"/>
  <c r="P305" i="3"/>
  <c r="I1066" i="3"/>
  <c r="M1065" i="3"/>
  <c r="L1065" i="3"/>
  <c r="O1065" i="3"/>
  <c r="N1065" i="3"/>
  <c r="P1065" i="3"/>
  <c r="O1534" i="3"/>
  <c r="L3343" i="3"/>
  <c r="P1748" i="3"/>
  <c r="P1219" i="3"/>
  <c r="P339" i="3"/>
  <c r="O718" i="3"/>
  <c r="I1933" i="3"/>
  <c r="L1932" i="3"/>
  <c r="P1932" i="3"/>
  <c r="N1932" i="3"/>
  <c r="O1932" i="3"/>
  <c r="M1932" i="3"/>
  <c r="I1269" i="3"/>
  <c r="O1268" i="3"/>
  <c r="N1268" i="3"/>
  <c r="M1268" i="3"/>
  <c r="L1268" i="3"/>
  <c r="P1268" i="3"/>
  <c r="O1293" i="3"/>
  <c r="I89" i="3"/>
  <c r="L88" i="3"/>
  <c r="P88" i="3"/>
  <c r="N88" i="3"/>
  <c r="M88" i="3"/>
  <c r="O88" i="3"/>
  <c r="N3036" i="3"/>
  <c r="O2405" i="3"/>
  <c r="O3008" i="3"/>
  <c r="P1827" i="3"/>
  <c r="P2660" i="3"/>
  <c r="M3079" i="3"/>
  <c r="M2802" i="3"/>
  <c r="M3174" i="3"/>
  <c r="P1897" i="3"/>
  <c r="L1328" i="3"/>
  <c r="P2373" i="3"/>
  <c r="O2745" i="3"/>
  <c r="O3160" i="3"/>
  <c r="O1348" i="3"/>
  <c r="M2849" i="3"/>
  <c r="O339" i="3"/>
  <c r="I3368" i="3"/>
  <c r="O3367" i="3"/>
  <c r="N3367" i="3"/>
  <c r="M3367" i="3"/>
  <c r="L3367" i="3"/>
  <c r="P3367" i="3"/>
  <c r="L3158" i="3"/>
  <c r="O951" i="3"/>
  <c r="O2634" i="3"/>
  <c r="P192" i="3"/>
  <c r="I2122" i="3"/>
  <c r="O2121" i="3"/>
  <c r="L2121" i="3"/>
  <c r="N2121" i="3"/>
  <c r="M2121" i="3"/>
  <c r="P2121" i="3"/>
  <c r="P2832" i="3"/>
  <c r="O2832" i="3"/>
  <c r="N2832" i="3"/>
  <c r="M2832" i="3"/>
  <c r="L2832" i="3"/>
  <c r="I2833" i="3"/>
  <c r="N1060" i="3"/>
  <c r="M1060" i="3"/>
  <c r="L1060" i="3"/>
  <c r="P1060" i="3"/>
  <c r="O1060" i="3"/>
  <c r="I1237" i="3"/>
  <c r="O1236" i="3"/>
  <c r="N1236" i="3"/>
  <c r="M1236" i="3"/>
  <c r="L1236" i="3"/>
  <c r="P1236" i="3"/>
  <c r="I2190" i="3"/>
  <c r="N2189" i="3"/>
  <c r="M2189" i="3"/>
  <c r="P2189" i="3"/>
  <c r="O2189" i="3"/>
  <c r="L2189" i="3"/>
  <c r="I840" i="3"/>
  <c r="O839" i="3"/>
  <c r="N839" i="3"/>
  <c r="M839" i="3"/>
  <c r="L839" i="3"/>
  <c r="P839" i="3"/>
  <c r="I3330" i="3"/>
  <c r="M3329" i="3"/>
  <c r="L3329" i="3"/>
  <c r="P3329" i="3"/>
  <c r="O3329" i="3"/>
  <c r="N3329" i="3"/>
  <c r="I1447" i="3"/>
  <c r="M1446" i="3"/>
  <c r="L1446" i="3"/>
  <c r="O1446" i="3"/>
  <c r="P1446" i="3"/>
  <c r="N1446" i="3"/>
  <c r="I206" i="3"/>
  <c r="P205" i="3"/>
  <c r="O205" i="3"/>
  <c r="M205" i="3"/>
  <c r="L205" i="3"/>
  <c r="N205" i="3"/>
  <c r="I789" i="3"/>
  <c r="L788" i="3"/>
  <c r="P788" i="3"/>
  <c r="N788" i="3"/>
  <c r="M788" i="3"/>
  <c r="O788" i="3"/>
  <c r="I905" i="3"/>
  <c r="P904" i="3"/>
  <c r="O904" i="3"/>
  <c r="N904" i="3"/>
  <c r="L904" i="3"/>
  <c r="M904" i="3"/>
  <c r="I2705" i="3"/>
  <c r="P2704" i="3"/>
  <c r="O2704" i="3"/>
  <c r="N2704" i="3"/>
  <c r="M2704" i="3"/>
  <c r="L2704" i="3"/>
  <c r="I3194" i="3"/>
  <c r="P3193" i="3"/>
  <c r="O3193" i="3"/>
  <c r="N3193" i="3"/>
  <c r="L3193" i="3"/>
  <c r="M3193" i="3"/>
  <c r="I1080" i="3"/>
  <c r="P1079" i="3"/>
  <c r="O1079" i="3"/>
  <c r="N1079" i="3"/>
  <c r="L1079" i="3"/>
  <c r="M1079" i="3"/>
  <c r="I2663" i="3"/>
  <c r="P2662" i="3"/>
  <c r="N2662" i="3"/>
  <c r="O2662" i="3"/>
  <c r="M2662" i="3"/>
  <c r="L2662" i="3"/>
  <c r="I1209" i="3"/>
  <c r="P1208" i="3"/>
  <c r="O1208" i="3"/>
  <c r="N1208" i="3"/>
  <c r="M1208" i="3"/>
  <c r="L1208" i="3"/>
  <c r="I2436" i="3"/>
  <c r="M2435" i="3"/>
  <c r="L2435" i="3"/>
  <c r="O2435" i="3"/>
  <c r="P2435" i="3"/>
  <c r="N2435" i="3"/>
  <c r="I2657" i="3"/>
  <c r="O2656" i="3"/>
  <c r="N2656" i="3"/>
  <c r="L2656" i="3"/>
  <c r="P2656" i="3"/>
  <c r="M2656" i="3"/>
  <c r="I1380" i="3"/>
  <c r="O1379" i="3"/>
  <c r="P1379" i="3"/>
  <c r="N1379" i="3"/>
  <c r="M1379" i="3"/>
  <c r="L1379" i="3"/>
  <c r="I21" i="3"/>
  <c r="P20" i="3"/>
  <c r="O20" i="3"/>
  <c r="N20" i="3"/>
  <c r="M20" i="3"/>
  <c r="L20" i="3"/>
  <c r="I3234" i="3"/>
  <c r="P3233" i="3"/>
  <c r="O3233" i="3"/>
  <c r="N3233" i="3"/>
  <c r="L3233" i="3"/>
  <c r="M3233" i="3"/>
  <c r="I457" i="3"/>
  <c r="P456" i="3"/>
  <c r="O456" i="3"/>
  <c r="N456" i="3"/>
  <c r="M456" i="3"/>
  <c r="L456" i="3"/>
  <c r="I2297" i="3"/>
  <c r="P2296" i="3"/>
  <c r="M2296" i="3"/>
  <c r="O2296" i="3"/>
  <c r="N2296" i="3"/>
  <c r="L2296" i="3"/>
  <c r="I1310" i="3"/>
  <c r="P1309" i="3"/>
  <c r="O1309" i="3"/>
  <c r="N1309" i="3"/>
  <c r="M1309" i="3"/>
  <c r="L1309" i="3"/>
  <c r="I853" i="3"/>
  <c r="N852" i="3"/>
  <c r="M852" i="3"/>
  <c r="L852" i="3"/>
  <c r="P852" i="3"/>
  <c r="O852" i="3"/>
  <c r="I3315" i="3"/>
  <c r="P3314" i="3"/>
  <c r="O3314" i="3"/>
  <c r="N3314" i="3"/>
  <c r="M3314" i="3"/>
  <c r="L3314" i="3"/>
  <c r="I813" i="3"/>
  <c r="L812" i="3"/>
  <c r="P812" i="3"/>
  <c r="N812" i="3"/>
  <c r="M812" i="3"/>
  <c r="O812" i="3"/>
  <c r="L3208" i="3"/>
  <c r="L3207" i="3"/>
  <c r="P2039" i="3"/>
  <c r="O673" i="3"/>
  <c r="O2702" i="3"/>
  <c r="P2450" i="3"/>
  <c r="P1786" i="3"/>
  <c r="P607" i="3"/>
  <c r="N2788" i="3"/>
  <c r="O1505" i="3"/>
  <c r="L3024" i="3"/>
  <c r="L3247" i="3"/>
  <c r="O2729" i="3"/>
  <c r="P2829" i="3"/>
  <c r="P1190" i="3"/>
  <c r="P1599" i="3"/>
  <c r="O470" i="3"/>
  <c r="O2040" i="3"/>
  <c r="O202" i="3"/>
  <c r="O1157" i="3"/>
  <c r="P2538" i="3"/>
  <c r="N2912" i="3"/>
  <c r="O1320" i="3"/>
  <c r="N340" i="3"/>
  <c r="P480" i="3"/>
  <c r="P3101" i="3"/>
  <c r="M2635" i="3"/>
  <c r="O1764" i="3"/>
  <c r="N1809" i="3"/>
  <c r="O2030" i="3"/>
  <c r="P2277" i="3"/>
  <c r="N2843" i="3"/>
  <c r="L3176" i="3"/>
  <c r="N2259" i="3"/>
  <c r="L2884" i="3"/>
  <c r="M2998" i="3"/>
  <c r="O605" i="3"/>
  <c r="P3310" i="3"/>
  <c r="N3364" i="3"/>
  <c r="P2825" i="3"/>
  <c r="L2293" i="3"/>
  <c r="M3343" i="3"/>
  <c r="O1005" i="3"/>
  <c r="L2870" i="3"/>
  <c r="O1219" i="3"/>
  <c r="P718" i="3"/>
  <c r="O2317" i="3"/>
  <c r="O437" i="3"/>
  <c r="P1293" i="3"/>
  <c r="M2592" i="3"/>
  <c r="P2405" i="3"/>
  <c r="P902" i="3"/>
  <c r="O2166" i="3"/>
  <c r="P1007" i="3"/>
  <c r="L2757" i="3"/>
  <c r="N1898" i="3"/>
  <c r="L1898" i="3"/>
  <c r="O1898" i="3"/>
  <c r="M1898" i="3"/>
  <c r="P1898" i="3"/>
  <c r="I1899" i="3"/>
  <c r="O2292" i="3"/>
  <c r="O1835" i="3"/>
  <c r="I2375" i="3"/>
  <c r="M2374" i="3"/>
  <c r="L2374" i="3"/>
  <c r="O2374" i="3"/>
  <c r="P2374" i="3"/>
  <c r="N2374" i="3"/>
  <c r="P2745" i="3"/>
  <c r="L2899" i="3"/>
  <c r="L3342" i="3"/>
  <c r="O370" i="3"/>
  <c r="P191" i="3"/>
  <c r="P1266" i="3"/>
  <c r="O738" i="3"/>
  <c r="P2513" i="3"/>
  <c r="I953" i="3"/>
  <c r="P952" i="3"/>
  <c r="O952" i="3"/>
  <c r="N952" i="3"/>
  <c r="L952" i="3"/>
  <c r="M952" i="3"/>
  <c r="M2012" i="3"/>
  <c r="O2039" i="3"/>
  <c r="V2583" i="3" l="1"/>
  <c r="O1913" i="3"/>
  <c r="O1222" i="3"/>
  <c r="P1039" i="3"/>
  <c r="W2804" i="3"/>
  <c r="W3102" i="3"/>
  <c r="W2886" i="3"/>
  <c r="O255" i="3"/>
  <c r="W2942" i="3"/>
  <c r="W2649" i="3"/>
  <c r="W2746" i="3"/>
  <c r="W2571" i="3"/>
  <c r="W2662" i="3"/>
  <c r="W3161" i="3"/>
  <c r="W2582" i="3"/>
  <c r="V2570" i="3"/>
  <c r="V2999" i="3"/>
  <c r="W2817" i="3"/>
  <c r="V2649" i="3"/>
  <c r="V2873" i="3"/>
  <c r="V2844" i="3"/>
  <c r="W2607" i="3"/>
  <c r="V2732" i="3"/>
  <c r="W2732" i="3"/>
  <c r="W2555" i="3"/>
  <c r="V2650" i="3"/>
  <c r="W2731" i="3"/>
  <c r="W2965" i="3"/>
  <c r="V3189" i="3"/>
  <c r="V3064" i="3"/>
  <c r="V3050" i="3"/>
  <c r="V2568" i="3"/>
  <c r="W2632" i="3"/>
  <c r="L1913" i="3"/>
  <c r="W2851" i="3"/>
  <c r="V2901" i="3"/>
  <c r="V2571" i="3"/>
  <c r="W2927" i="3"/>
  <c r="V3067" i="3"/>
  <c r="V3161" i="3"/>
  <c r="V3024" i="3"/>
  <c r="W2656" i="3"/>
  <c r="W3297" i="3"/>
  <c r="W3343" i="3"/>
  <c r="W3066" i="3"/>
  <c r="W2539" i="3"/>
  <c r="W2650" i="3"/>
  <c r="V3147" i="3"/>
  <c r="W2654" i="3"/>
  <c r="W2830" i="3"/>
  <c r="V2593" i="3"/>
  <c r="V2661" i="3"/>
  <c r="V3208" i="3"/>
  <c r="W3038" i="3"/>
  <c r="W3383" i="3"/>
  <c r="W2887" i="3"/>
  <c r="W2901" i="3"/>
  <c r="V2554" i="3"/>
  <c r="W3286" i="3"/>
  <c r="V3192" i="3"/>
  <c r="W3067" i="3"/>
  <c r="W3356" i="3"/>
  <c r="V3080" i="3"/>
  <c r="V2656" i="3"/>
  <c r="W3177" i="3"/>
  <c r="V2676" i="3"/>
  <c r="W2676" i="3"/>
  <c r="W3373" i="3"/>
  <c r="W2913" i="3"/>
  <c r="V3081" i="3"/>
  <c r="W3312" i="3"/>
  <c r="W2660" i="3"/>
  <c r="W2569" i="3"/>
  <c r="W2757" i="3"/>
  <c r="W3035" i="3"/>
  <c r="V2964" i="3"/>
  <c r="W3010" i="3"/>
  <c r="V2887" i="3"/>
  <c r="V3193" i="3"/>
  <c r="V2703" i="3"/>
  <c r="V3297" i="3"/>
  <c r="W3192" i="3"/>
  <c r="V2635" i="3"/>
  <c r="W2621" i="3"/>
  <c r="V2838" i="3"/>
  <c r="V3251" i="3"/>
  <c r="V3373" i="3"/>
  <c r="W2595" i="3"/>
  <c r="W3052" i="3"/>
  <c r="W2677" i="3"/>
  <c r="W2606" i="3"/>
  <c r="V3023" i="3"/>
  <c r="V3231" i="3"/>
  <c r="V2647" i="3"/>
  <c r="W2847" i="3"/>
  <c r="V2729" i="3"/>
  <c r="V3102" i="3"/>
  <c r="V2655" i="3"/>
  <c r="V2762" i="3"/>
  <c r="W2655" i="3"/>
  <c r="V3177" i="3"/>
  <c r="V2775" i="3"/>
  <c r="W3024" i="3"/>
  <c r="V2690" i="3"/>
  <c r="V2621" i="3"/>
  <c r="W3178" i="3"/>
  <c r="V2790" i="3"/>
  <c r="V2654" i="3"/>
  <c r="V2648" i="3"/>
  <c r="V2803" i="3"/>
  <c r="W2949" i="3"/>
  <c r="V2552" i="3"/>
  <c r="W3143" i="3"/>
  <c r="W2743" i="3"/>
  <c r="V2786" i="3"/>
  <c r="V3380" i="3"/>
  <c r="W2538" i="3"/>
  <c r="V3268" i="3"/>
  <c r="W2718" i="3"/>
  <c r="W2826" i="3"/>
  <c r="W3209" i="3"/>
  <c r="V2776" i="3"/>
  <c r="W3208" i="3"/>
  <c r="W2839" i="3"/>
  <c r="V2733" i="3"/>
  <c r="V3328" i="3"/>
  <c r="W2745" i="3"/>
  <c r="V2925" i="3"/>
  <c r="V2940" i="3"/>
  <c r="W3023" i="3"/>
  <c r="W2802" i="3"/>
  <c r="W2980" i="3"/>
  <c r="V2551" i="3"/>
  <c r="V3209" i="3"/>
  <c r="V2805" i="3"/>
  <c r="V2839" i="3"/>
  <c r="W2733" i="3"/>
  <c r="W3215" i="3"/>
  <c r="V3146" i="3"/>
  <c r="V2789" i="3"/>
  <c r="V3344" i="3"/>
  <c r="V3287" i="3"/>
  <c r="V3267" i="3"/>
  <c r="V3313" i="3"/>
  <c r="W2845" i="3"/>
  <c r="W2803" i="3"/>
  <c r="W3247" i="3"/>
  <c r="V2898" i="3"/>
  <c r="V2923" i="3"/>
  <c r="V2941" i="3"/>
  <c r="V2746" i="3"/>
  <c r="W3233" i="3"/>
  <c r="W2761" i="3"/>
  <c r="W2583" i="3"/>
  <c r="W2789" i="3"/>
  <c r="V2662" i="3"/>
  <c r="W3080" i="3"/>
  <c r="V3343" i="3"/>
  <c r="W3146" i="3"/>
  <c r="W2636" i="3"/>
  <c r="W3287" i="3"/>
  <c r="W3125" i="3"/>
  <c r="V2983" i="3"/>
  <c r="V2831" i="3"/>
  <c r="W2661" i="3"/>
  <c r="W2648" i="3"/>
  <c r="W3009" i="3"/>
  <c r="W2688" i="3"/>
  <c r="W3191" i="3"/>
  <c r="W3063" i="3"/>
  <c r="W2801" i="3"/>
  <c r="V306" i="3"/>
  <c r="W306" i="3"/>
  <c r="V393" i="3"/>
  <c r="W393" i="3"/>
  <c r="V1792" i="3"/>
  <c r="W1792" i="3"/>
  <c r="V2528" i="3"/>
  <c r="W2528" i="3"/>
  <c r="V2091" i="3"/>
  <c r="W2091" i="3"/>
  <c r="V89" i="3"/>
  <c r="W89" i="3"/>
  <c r="V880" i="3"/>
  <c r="W880" i="3"/>
  <c r="V853" i="3"/>
  <c r="W853" i="3"/>
  <c r="V2144" i="3"/>
  <c r="W2144" i="3"/>
  <c r="V1401" i="3"/>
  <c r="W1401" i="3"/>
  <c r="V3374" i="3"/>
  <c r="W3374" i="3"/>
  <c r="W3179" i="3"/>
  <c r="V3179" i="3"/>
  <c r="V2691" i="3"/>
  <c r="W2691" i="3"/>
  <c r="V2596" i="3"/>
  <c r="W2596" i="3"/>
  <c r="V1863" i="3"/>
  <c r="W1863" i="3"/>
  <c r="W2554" i="3"/>
  <c r="W2900" i="3"/>
  <c r="V2607" i="3"/>
  <c r="W2999" i="3"/>
  <c r="W3193" i="3"/>
  <c r="V3356" i="3"/>
  <c r="V1039" i="3"/>
  <c r="W1039" i="3"/>
  <c r="N1039" i="3"/>
  <c r="M1039" i="3"/>
  <c r="I1040" i="3"/>
  <c r="L1039" i="3"/>
  <c r="V1975" i="3"/>
  <c r="W1975" i="3"/>
  <c r="M1975" i="3"/>
  <c r="I1976" i="3"/>
  <c r="L1975" i="3"/>
  <c r="N1975" i="3"/>
  <c r="V2927" i="3"/>
  <c r="W2805" i="3"/>
  <c r="V2761" i="3"/>
  <c r="W2703" i="3"/>
  <c r="V255" i="3"/>
  <c r="W255" i="3"/>
  <c r="I256" i="3"/>
  <c r="N255" i="3"/>
  <c r="M255" i="3"/>
  <c r="L255" i="3"/>
  <c r="V3250" i="3"/>
  <c r="V3215" i="3"/>
  <c r="W2873" i="3"/>
  <c r="W2838" i="3"/>
  <c r="V2966" i="3"/>
  <c r="W2690" i="3"/>
  <c r="V2582" i="3"/>
  <c r="W3344" i="3"/>
  <c r="W3251" i="3"/>
  <c r="V2555" i="3"/>
  <c r="V3125" i="3"/>
  <c r="W2704" i="3"/>
  <c r="V2886" i="3"/>
  <c r="W3103" i="3"/>
  <c r="W2818" i="3"/>
  <c r="V2595" i="3"/>
  <c r="V2719" i="3"/>
  <c r="W2874" i="3"/>
  <c r="W2858" i="3"/>
  <c r="V2594" i="3"/>
  <c r="W2689" i="3"/>
  <c r="W3162" i="3"/>
  <c r="V2622" i="3"/>
  <c r="V2825" i="3"/>
  <c r="W2941" i="3"/>
  <c r="V2788" i="3"/>
  <c r="W3101" i="3"/>
  <c r="V3296" i="3"/>
  <c r="V3160" i="3"/>
  <c r="W2856" i="3"/>
  <c r="V2872" i="3"/>
  <c r="V2899" i="3"/>
  <c r="W2824" i="3"/>
  <c r="W2634" i="3"/>
  <c r="W3285" i="3"/>
  <c r="V2821" i="3"/>
  <c r="V3341" i="3"/>
  <c r="V3294" i="3"/>
  <c r="W2938" i="3"/>
  <c r="W2836" i="3"/>
  <c r="V3340" i="3"/>
  <c r="W3310" i="3"/>
  <c r="W2659" i="3"/>
  <c r="V2842" i="3"/>
  <c r="W3189" i="3"/>
  <c r="V2633" i="3"/>
  <c r="W2551" i="3"/>
  <c r="V2715" i="3"/>
  <c r="W3325" i="3"/>
  <c r="W2922" i="3"/>
  <c r="W2842" i="3"/>
  <c r="W2568" i="3"/>
  <c r="W3266" i="3"/>
  <c r="W2835" i="3"/>
  <c r="V2652" i="3"/>
  <c r="W2652" i="3"/>
  <c r="W2773" i="3"/>
  <c r="V2591" i="3"/>
  <c r="W3100" i="3"/>
  <c r="W3363" i="3"/>
  <c r="V2884" i="3"/>
  <c r="V2828" i="3"/>
  <c r="W2701" i="3"/>
  <c r="V3175" i="3"/>
  <c r="V3121" i="3"/>
  <c r="V2963" i="3"/>
  <c r="V2003" i="3"/>
  <c r="W2003" i="3"/>
  <c r="V3148" i="3"/>
  <c r="W3148" i="3"/>
  <c r="W510" i="3"/>
  <c r="V510" i="3"/>
  <c r="V3368" i="3"/>
  <c r="W3368" i="3"/>
  <c r="V3270" i="3"/>
  <c r="W3270" i="3"/>
  <c r="V962" i="3"/>
  <c r="W962" i="3"/>
  <c r="V48" i="3"/>
  <c r="W48" i="3"/>
  <c r="W2042" i="3"/>
  <c r="V2042" i="3"/>
  <c r="W2637" i="3"/>
  <c r="V2637" i="3"/>
  <c r="V756" i="3"/>
  <c r="W756" i="3"/>
  <c r="V2623" i="3"/>
  <c r="W2623" i="3"/>
  <c r="V182" i="3"/>
  <c r="W182" i="3"/>
  <c r="V1528" i="3"/>
  <c r="W1528" i="3"/>
  <c r="W3315" i="3"/>
  <c r="V3315" i="3"/>
  <c r="W2657" i="3"/>
  <c r="V2657" i="3"/>
  <c r="V789" i="3"/>
  <c r="W789" i="3"/>
  <c r="V840" i="3"/>
  <c r="W840" i="3"/>
  <c r="V195" i="3"/>
  <c r="W195" i="3"/>
  <c r="V2827" i="3"/>
  <c r="W2827" i="3"/>
  <c r="V2032" i="3"/>
  <c r="W2032" i="3"/>
  <c r="V1948" i="3"/>
  <c r="W1948" i="3"/>
  <c r="V919" i="3"/>
  <c r="W919" i="3"/>
  <c r="V245" i="3"/>
  <c r="W245" i="3"/>
  <c r="V1097" i="3"/>
  <c r="W1097" i="3"/>
  <c r="V290" i="3"/>
  <c r="W290" i="3"/>
  <c r="V3054" i="3"/>
  <c r="W3054" i="3"/>
  <c r="W2832" i="3"/>
  <c r="V2704" i="3"/>
  <c r="V3052" i="3"/>
  <c r="W2850" i="3"/>
  <c r="V3382" i="3"/>
  <c r="V2850" i="3"/>
  <c r="V3162" i="3"/>
  <c r="W2622" i="3"/>
  <c r="W3382" i="3"/>
  <c r="W3124" i="3"/>
  <c r="W3365" i="3"/>
  <c r="W2537" i="3"/>
  <c r="V2581" i="3"/>
  <c r="W2981" i="3"/>
  <c r="V3249" i="3"/>
  <c r="W2581" i="3"/>
  <c r="V2965" i="3"/>
  <c r="V3214" i="3"/>
  <c r="W3160" i="3"/>
  <c r="V2816" i="3"/>
  <c r="W3327" i="3"/>
  <c r="V2885" i="3"/>
  <c r="V2688" i="3"/>
  <c r="V2849" i="3"/>
  <c r="W2728" i="3"/>
  <c r="W2800" i="3"/>
  <c r="V2980" i="3"/>
  <c r="V3190" i="3"/>
  <c r="V3230" i="3"/>
  <c r="W3121" i="3"/>
  <c r="W2579" i="3"/>
  <c r="W2536" i="3"/>
  <c r="W3341" i="3"/>
  <c r="V2653" i="3"/>
  <c r="W3213" i="3"/>
  <c r="W3190" i="3"/>
  <c r="W2605" i="3"/>
  <c r="V3143" i="3"/>
  <c r="W2674" i="3"/>
  <c r="V2672" i="3"/>
  <c r="V3212" i="3"/>
  <c r="W3370" i="3"/>
  <c r="W2923" i="3"/>
  <c r="W2855" i="3"/>
  <c r="W3008" i="3"/>
  <c r="V3007" i="3"/>
  <c r="V2687" i="3"/>
  <c r="W2828" i="3"/>
  <c r="W3036" i="3"/>
  <c r="V2772" i="3"/>
  <c r="W3369" i="3"/>
  <c r="W2786" i="3"/>
  <c r="W2884" i="3"/>
  <c r="V3379" i="3"/>
  <c r="W2729" i="3"/>
  <c r="V3022" i="3"/>
  <c r="V3036" i="3"/>
  <c r="V2815" i="3"/>
  <c r="W2714" i="3"/>
  <c r="V2823" i="3"/>
  <c r="W2705" i="3"/>
  <c r="V2705" i="3"/>
  <c r="V449" i="3"/>
  <c r="W449" i="3"/>
  <c r="W483" i="3"/>
  <c r="V483" i="3"/>
  <c r="V2516" i="3"/>
  <c r="W2516" i="3"/>
  <c r="W1885" i="3"/>
  <c r="V1885" i="3"/>
  <c r="V2281" i="3"/>
  <c r="W2281" i="3"/>
  <c r="V2198" i="3"/>
  <c r="W2198" i="3"/>
  <c r="V953" i="3"/>
  <c r="W953" i="3"/>
  <c r="V2175" i="3"/>
  <c r="W2175" i="3"/>
  <c r="V2572" i="3"/>
  <c r="W2572" i="3"/>
  <c r="V2246" i="3"/>
  <c r="W2246" i="3"/>
  <c r="W1518" i="3"/>
  <c r="V1518" i="3"/>
  <c r="V1128" i="3"/>
  <c r="W1128" i="3"/>
  <c r="W1431" i="3"/>
  <c r="V1431" i="3"/>
  <c r="W1618" i="3"/>
  <c r="V1618" i="3"/>
  <c r="W1990" i="3"/>
  <c r="V1990" i="3"/>
  <c r="V3345" i="3"/>
  <c r="W3345" i="3"/>
  <c r="V2875" i="3"/>
  <c r="W2875" i="3"/>
  <c r="W2777" i="3"/>
  <c r="V2777" i="3"/>
  <c r="W406" i="3"/>
  <c r="V406" i="3"/>
  <c r="W3299" i="3"/>
  <c r="V3299" i="3"/>
  <c r="V1559" i="3"/>
  <c r="W1559" i="3"/>
  <c r="V3252" i="3"/>
  <c r="W3252" i="3"/>
  <c r="V139" i="3"/>
  <c r="W139" i="3"/>
  <c r="V1508" i="3"/>
  <c r="W1508" i="3"/>
  <c r="V2321" i="3"/>
  <c r="W2321" i="3"/>
  <c r="V385" i="3"/>
  <c r="W385" i="3"/>
  <c r="W566" i="3"/>
  <c r="V566" i="3"/>
  <c r="V689" i="3"/>
  <c r="W689" i="3"/>
  <c r="W1829" i="3"/>
  <c r="V1829" i="3"/>
  <c r="V3104" i="3"/>
  <c r="W3104" i="3"/>
  <c r="W430" i="3"/>
  <c r="V430" i="3"/>
  <c r="W7" i="3"/>
  <c r="V7" i="3"/>
  <c r="V2265" i="3"/>
  <c r="W2265" i="3"/>
  <c r="V2984" i="3"/>
  <c r="W2984" i="3"/>
  <c r="W2902" i="3"/>
  <c r="V2902" i="3"/>
  <c r="V665" i="3"/>
  <c r="W665" i="3"/>
  <c r="V1104" i="3"/>
  <c r="W1104" i="3"/>
  <c r="V2136" i="3"/>
  <c r="W2136" i="3"/>
  <c r="N2136" i="3"/>
  <c r="L2136" i="3"/>
  <c r="I2137" i="3"/>
  <c r="M2136" i="3"/>
  <c r="V2832" i="3"/>
  <c r="W2608" i="3"/>
  <c r="V3372" i="3"/>
  <c r="W2594" i="3"/>
  <c r="W3372" i="3"/>
  <c r="V2926" i="3"/>
  <c r="V2913" i="3"/>
  <c r="W3357" i="3"/>
  <c r="W2967" i="3"/>
  <c r="V3010" i="3"/>
  <c r="W2570" i="3"/>
  <c r="V2606" i="3"/>
  <c r="W2593" i="3"/>
  <c r="V3312" i="3"/>
  <c r="V2731" i="3"/>
  <c r="V2830" i="3"/>
  <c r="W3355" i="3"/>
  <c r="V3327" i="3"/>
  <c r="W2717" i="3"/>
  <c r="V2553" i="3"/>
  <c r="V2949" i="3"/>
  <c r="V2660" i="3"/>
  <c r="W2760" i="3"/>
  <c r="W2899" i="3"/>
  <c r="W2553" i="3"/>
  <c r="W3381" i="3"/>
  <c r="V2760" i="3"/>
  <c r="V2569" i="3"/>
  <c r="V3176" i="3"/>
  <c r="V3191" i="3"/>
  <c r="V2871" i="3"/>
  <c r="V3353" i="3"/>
  <c r="V3021" i="3"/>
  <c r="W2759" i="3"/>
  <c r="W2700" i="3"/>
  <c r="W2841" i="3"/>
  <c r="W2535" i="3"/>
  <c r="V3229" i="3"/>
  <c r="V3265" i="3"/>
  <c r="W3099" i="3"/>
  <c r="V2673" i="3"/>
  <c r="V3159" i="3"/>
  <c r="W2658" i="3"/>
  <c r="W2716" i="3"/>
  <c r="V2759" i="3"/>
  <c r="V2659" i="3"/>
  <c r="W2742" i="3"/>
  <c r="W2633" i="3"/>
  <c r="V2938" i="3"/>
  <c r="W2686" i="3"/>
  <c r="W3354" i="3"/>
  <c r="W3284" i="3"/>
  <c r="W3174" i="3"/>
  <c r="V3008" i="3"/>
  <c r="V3282" i="3"/>
  <c r="W3144" i="3"/>
  <c r="W3021" i="3"/>
  <c r="V2800" i="3"/>
  <c r="W2897" i="3"/>
  <c r="V2870" i="3"/>
  <c r="W2815" i="3"/>
  <c r="V3098" i="3"/>
  <c r="V2758" i="3"/>
  <c r="V3099" i="3"/>
  <c r="V3248" i="3"/>
  <c r="W2552" i="3"/>
  <c r="V2787" i="3"/>
  <c r="W2814" i="3"/>
  <c r="V1209" i="3"/>
  <c r="W1209" i="3"/>
  <c r="V3026" i="3"/>
  <c r="W3026" i="3"/>
  <c r="V78" i="3"/>
  <c r="W78" i="3"/>
  <c r="V2915" i="3"/>
  <c r="W2915" i="3"/>
  <c r="V264" i="3"/>
  <c r="W264" i="3"/>
  <c r="V2420" i="3"/>
  <c r="W2420" i="3"/>
  <c r="W375" i="3"/>
  <c r="V375" i="3"/>
  <c r="W2846" i="3"/>
  <c r="V2846" i="3"/>
  <c r="V1736" i="3"/>
  <c r="W1736" i="3"/>
  <c r="V3194" i="3"/>
  <c r="W3194" i="3"/>
  <c r="V206" i="3"/>
  <c r="W206" i="3"/>
  <c r="V1066" i="3"/>
  <c r="W1066" i="3"/>
  <c r="V1583" i="3"/>
  <c r="W1583" i="3"/>
  <c r="V342" i="3"/>
  <c r="W342" i="3"/>
  <c r="V216" i="3"/>
  <c r="W216" i="3"/>
  <c r="V2747" i="3"/>
  <c r="W2747" i="3"/>
  <c r="V1366" i="3"/>
  <c r="W1366" i="3"/>
  <c r="W578" i="3"/>
  <c r="V578" i="3"/>
  <c r="W1941" i="3"/>
  <c r="V1941" i="3"/>
  <c r="W1633" i="3"/>
  <c r="V1633" i="3"/>
  <c r="W1295" i="3"/>
  <c r="V1295" i="3"/>
  <c r="W2806" i="3"/>
  <c r="V2806" i="3"/>
  <c r="V321" i="3"/>
  <c r="W321" i="3"/>
  <c r="V2928" i="3"/>
  <c r="W2928" i="3"/>
  <c r="V1660" i="3"/>
  <c r="W1660" i="3"/>
  <c r="V1352" i="3"/>
  <c r="W1352" i="3"/>
  <c r="W2469" i="3"/>
  <c r="V2469" i="3"/>
  <c r="V440" i="3"/>
  <c r="W440" i="3"/>
  <c r="V733" i="3"/>
  <c r="W733" i="3"/>
  <c r="V2156" i="3"/>
  <c r="W2156" i="3"/>
  <c r="V2356" i="3"/>
  <c r="W2356" i="3"/>
  <c r="V2968" i="3"/>
  <c r="W2968" i="3"/>
  <c r="V720" i="3"/>
  <c r="W720" i="3"/>
  <c r="W1565" i="3"/>
  <c r="V1565" i="3"/>
  <c r="V3288" i="3"/>
  <c r="W3288" i="3"/>
  <c r="V813" i="3"/>
  <c r="W813" i="3"/>
  <c r="V2297" i="3"/>
  <c r="W2297" i="3"/>
  <c r="V1380" i="3"/>
  <c r="W1380" i="3"/>
  <c r="V2663" i="3"/>
  <c r="W2663" i="3"/>
  <c r="V905" i="3"/>
  <c r="W905" i="3"/>
  <c r="V3330" i="3"/>
  <c r="W3330" i="3"/>
  <c r="W2833" i="3"/>
  <c r="V2833" i="3"/>
  <c r="W1933" i="3"/>
  <c r="V1933" i="3"/>
  <c r="V1751" i="3"/>
  <c r="W1751" i="3"/>
  <c r="W590" i="3"/>
  <c r="V590" i="3"/>
  <c r="V155" i="3"/>
  <c r="W155" i="3"/>
  <c r="W1574" i="3"/>
  <c r="V1574" i="3"/>
  <c r="W547" i="3"/>
  <c r="V547" i="3"/>
  <c r="V3210" i="3"/>
  <c r="W3210" i="3"/>
  <c r="V801" i="3"/>
  <c r="W801" i="3"/>
  <c r="V2840" i="3"/>
  <c r="W2840" i="3"/>
  <c r="V1332" i="3"/>
  <c r="W1332" i="3"/>
  <c r="V651" i="3"/>
  <c r="W651" i="3"/>
  <c r="V1819" i="3"/>
  <c r="W1819" i="3"/>
  <c r="V893" i="3"/>
  <c r="W893" i="3"/>
  <c r="V115" i="3"/>
  <c r="W115" i="3"/>
  <c r="W2734" i="3"/>
  <c r="V2734" i="3"/>
  <c r="V676" i="3"/>
  <c r="W676" i="3"/>
  <c r="V2556" i="3"/>
  <c r="W2556" i="3"/>
  <c r="V130" i="3"/>
  <c r="W130" i="3"/>
  <c r="W1478" i="3"/>
  <c r="V1478" i="3"/>
  <c r="V1162" i="3"/>
  <c r="W1162" i="3"/>
  <c r="W1850" i="3"/>
  <c r="V1850" i="3"/>
  <c r="V2503" i="3"/>
  <c r="W2503" i="3"/>
  <c r="V638" i="3"/>
  <c r="W638" i="3"/>
  <c r="V2228" i="3"/>
  <c r="W2228" i="3"/>
  <c r="V369" i="3"/>
  <c r="W369" i="3"/>
  <c r="V3286" i="3"/>
  <c r="V2851" i="3"/>
  <c r="V3233" i="3"/>
  <c r="W2762" i="3"/>
  <c r="W2950" i="3"/>
  <c r="W3025" i="3"/>
  <c r="V3039" i="3"/>
  <c r="W3216" i="3"/>
  <c r="V2817" i="3"/>
  <c r="V2950" i="3"/>
  <c r="V3066" i="3"/>
  <c r="W2635" i="3"/>
  <c r="W2775" i="3"/>
  <c r="V2636" i="3"/>
  <c r="W3298" i="3"/>
  <c r="V2914" i="3"/>
  <c r="W3329" i="3"/>
  <c r="W3053" i="3"/>
  <c r="V2608" i="3"/>
  <c r="W2057" i="3"/>
  <c r="V2057" i="3"/>
  <c r="I2058" i="3"/>
  <c r="L2057" i="3"/>
  <c r="N2057" i="3"/>
  <c r="M2057" i="3"/>
  <c r="W3011" i="3"/>
  <c r="W2951" i="3"/>
  <c r="W2831" i="3"/>
  <c r="W2825" i="3"/>
  <c r="V3357" i="3"/>
  <c r="V2967" i="3"/>
  <c r="W2788" i="3"/>
  <c r="V2774" i="3"/>
  <c r="V2997" i="3"/>
  <c r="W2675" i="3"/>
  <c r="W2912" i="3"/>
  <c r="W3296" i="3"/>
  <c r="V3285" i="3"/>
  <c r="V3123" i="3"/>
  <c r="V2620" i="3"/>
  <c r="W3037" i="3"/>
  <c r="W3065" i="3"/>
  <c r="V3009" i="3"/>
  <c r="W3145" i="3"/>
  <c r="V2702" i="3"/>
  <c r="W3206" i="3"/>
  <c r="W2672" i="3"/>
  <c r="W2647" i="3"/>
  <c r="V2847" i="3"/>
  <c r="V2674" i="3"/>
  <c r="W2673" i="3"/>
  <c r="W3078" i="3"/>
  <c r="V2883" i="3"/>
  <c r="V2579" i="3"/>
  <c r="V2567" i="3"/>
  <c r="W3050" i="3"/>
  <c r="V2716" i="3"/>
  <c r="V3370" i="3"/>
  <c r="W3295" i="3"/>
  <c r="W3311" i="3"/>
  <c r="W2567" i="3"/>
  <c r="V3310" i="3"/>
  <c r="V3266" i="3"/>
  <c r="W2619" i="3"/>
  <c r="V2910" i="3"/>
  <c r="V3049" i="3"/>
  <c r="W3122" i="3"/>
  <c r="V2911" i="3"/>
  <c r="W2580" i="3"/>
  <c r="V2996" i="3"/>
  <c r="V3158" i="3"/>
  <c r="V2730" i="3"/>
  <c r="V2375" i="3"/>
  <c r="W2375" i="3"/>
  <c r="V824" i="3"/>
  <c r="W824" i="3"/>
  <c r="W1837" i="3"/>
  <c r="V1837" i="3"/>
  <c r="V274" i="3"/>
  <c r="W274" i="3"/>
  <c r="V2651" i="3"/>
  <c r="W2651" i="3"/>
  <c r="V2211" i="3"/>
  <c r="W2211" i="3"/>
  <c r="V34" i="3"/>
  <c r="W34" i="3"/>
  <c r="V2106" i="3"/>
  <c r="W2106" i="3"/>
  <c r="W1550" i="3"/>
  <c r="V1550" i="3"/>
  <c r="V1392" i="3"/>
  <c r="W1392" i="3"/>
  <c r="V3012" i="3"/>
  <c r="W3012" i="3"/>
  <c r="V168" i="3"/>
  <c r="W168" i="3"/>
  <c r="V1876" i="3"/>
  <c r="W1876" i="3"/>
  <c r="V3234" i="3"/>
  <c r="W3234" i="3"/>
  <c r="V2436" i="3"/>
  <c r="W2436" i="3"/>
  <c r="V2190" i="3"/>
  <c r="W2190" i="3"/>
  <c r="W2678" i="3"/>
  <c r="V2678" i="3"/>
  <c r="W1766" i="3"/>
  <c r="V1766" i="3"/>
  <c r="V1899" i="3"/>
  <c r="W1899" i="3"/>
  <c r="V619" i="3"/>
  <c r="W619" i="3"/>
  <c r="W3163" i="3"/>
  <c r="V3163" i="3"/>
  <c r="V1009" i="3"/>
  <c r="W1009" i="3"/>
  <c r="V629" i="3"/>
  <c r="W629" i="3"/>
  <c r="W530" i="3"/>
  <c r="V530" i="3"/>
  <c r="W1183" i="3"/>
  <c r="V1183" i="3"/>
  <c r="V2859" i="3"/>
  <c r="W2859" i="3"/>
  <c r="W2609" i="3"/>
  <c r="V2609" i="3"/>
  <c r="V704" i="3"/>
  <c r="W704" i="3"/>
  <c r="W1594" i="3"/>
  <c r="V1594" i="3"/>
  <c r="V457" i="3"/>
  <c r="W457" i="3"/>
  <c r="V1080" i="3"/>
  <c r="W1080" i="3"/>
  <c r="V493" i="3"/>
  <c r="W493" i="3"/>
  <c r="V740" i="3"/>
  <c r="W740" i="3"/>
  <c r="V2852" i="3"/>
  <c r="W2852" i="3"/>
  <c r="V2584" i="3"/>
  <c r="W2584" i="3"/>
  <c r="V1118" i="3"/>
  <c r="W1118" i="3"/>
  <c r="V2819" i="3"/>
  <c r="W2819" i="3"/>
  <c r="W2510" i="3"/>
  <c r="V2510" i="3"/>
  <c r="V2340" i="3"/>
  <c r="W2340" i="3"/>
  <c r="V992" i="3"/>
  <c r="W992" i="3"/>
  <c r="V609" i="3"/>
  <c r="W609" i="3"/>
  <c r="W1645" i="3"/>
  <c r="V1645" i="3"/>
  <c r="V1138" i="3"/>
  <c r="W1138" i="3"/>
  <c r="W414" i="3"/>
  <c r="V414" i="3"/>
  <c r="V3000" i="3"/>
  <c r="W3000" i="3"/>
  <c r="W1721" i="3"/>
  <c r="V1721" i="3"/>
  <c r="V3040" i="3"/>
  <c r="W3040" i="3"/>
  <c r="V1091" i="3"/>
  <c r="W1091" i="3"/>
  <c r="W1674" i="3"/>
  <c r="V1674" i="3"/>
  <c r="V1603" i="3"/>
  <c r="W1603" i="3"/>
  <c r="W1962" i="3"/>
  <c r="V1962" i="3"/>
  <c r="W1494" i="3"/>
  <c r="V1494" i="3"/>
  <c r="V2943" i="3"/>
  <c r="W2943" i="3"/>
  <c r="V226" i="3"/>
  <c r="W226" i="3"/>
  <c r="V1803" i="3"/>
  <c r="W1803" i="3"/>
  <c r="W1463" i="3"/>
  <c r="V1463" i="3"/>
  <c r="V2407" i="3"/>
  <c r="W2407" i="3"/>
  <c r="V1256" i="3"/>
  <c r="W1256" i="3"/>
  <c r="V465" i="3"/>
  <c r="W465" i="3"/>
  <c r="V2075" i="3"/>
  <c r="W2075" i="3"/>
  <c r="W475" i="3"/>
  <c r="V475" i="3"/>
  <c r="W555" i="3"/>
  <c r="V555" i="3"/>
  <c r="V2487" i="3"/>
  <c r="W2487" i="3"/>
  <c r="V2952" i="3"/>
  <c r="W2952" i="3"/>
  <c r="V746" i="3"/>
  <c r="W746" i="3"/>
  <c r="V66" i="3"/>
  <c r="W66" i="3"/>
  <c r="V869" i="3"/>
  <c r="W869" i="3"/>
  <c r="W1323" i="3"/>
  <c r="V1323" i="3"/>
  <c r="W1706" i="3"/>
  <c r="V1706" i="3"/>
  <c r="V765" i="3"/>
  <c r="W765" i="3"/>
  <c r="V2169" i="3"/>
  <c r="W2169" i="3"/>
  <c r="W539" i="3"/>
  <c r="V539" i="3"/>
  <c r="V780" i="3"/>
  <c r="W780" i="3"/>
  <c r="V2391" i="3"/>
  <c r="W2391" i="3"/>
  <c r="V3366" i="3"/>
  <c r="V2826" i="3"/>
  <c r="V3383" i="3"/>
  <c r="V2942" i="3"/>
  <c r="W2776" i="3"/>
  <c r="W2998" i="3"/>
  <c r="W3268" i="3"/>
  <c r="V2718" i="3"/>
  <c r="W3366" i="3"/>
  <c r="V3025" i="3"/>
  <c r="W3039" i="3"/>
  <c r="V3216" i="3"/>
  <c r="V2998" i="3"/>
  <c r="W2966" i="3"/>
  <c r="W2844" i="3"/>
  <c r="W3250" i="3"/>
  <c r="W3328" i="3"/>
  <c r="W2857" i="3"/>
  <c r="W3232" i="3"/>
  <c r="V2689" i="3"/>
  <c r="V3298" i="3"/>
  <c r="W2914" i="3"/>
  <c r="V3329" i="3"/>
  <c r="V3053" i="3"/>
  <c r="W2983" i="3"/>
  <c r="V2745" i="3"/>
  <c r="W2926" i="3"/>
  <c r="V1222" i="3"/>
  <c r="W1222" i="3"/>
  <c r="L1222" i="3"/>
  <c r="N1222" i="3"/>
  <c r="M1222" i="3"/>
  <c r="I1223" i="3"/>
  <c r="V3011" i="3"/>
  <c r="V2951" i="3"/>
  <c r="W3313" i="3"/>
  <c r="V2982" i="3"/>
  <c r="V2845" i="3"/>
  <c r="V2677" i="3"/>
  <c r="W3081" i="3"/>
  <c r="W2774" i="3"/>
  <c r="V2981" i="3"/>
  <c r="W3249" i="3"/>
  <c r="V3079" i="3"/>
  <c r="V3355" i="3"/>
  <c r="W3214" i="3"/>
  <c r="V2837" i="3"/>
  <c r="W3079" i="3"/>
  <c r="W2816" i="3"/>
  <c r="W3342" i="3"/>
  <c r="V2675" i="3"/>
  <c r="V3101" i="3"/>
  <c r="V3342" i="3"/>
  <c r="V2634" i="3"/>
  <c r="W2885" i="3"/>
  <c r="V2843" i="3"/>
  <c r="W2702" i="3"/>
  <c r="V2836" i="3"/>
  <c r="V2995" i="3"/>
  <c r="W2715" i="3"/>
  <c r="V3206" i="3"/>
  <c r="V2686" i="3"/>
  <c r="V3247" i="3"/>
  <c r="W3229" i="3"/>
  <c r="W3077" i="3"/>
  <c r="W2871" i="3"/>
  <c r="V3311" i="3"/>
  <c r="V3213" i="3"/>
  <c r="V3205" i="3"/>
  <c r="W2939" i="3"/>
  <c r="V2947" i="3"/>
  <c r="W2870" i="3"/>
  <c r="W2898" i="3"/>
  <c r="V2632" i="3"/>
  <c r="V2922" i="3"/>
  <c r="V2618" i="3"/>
  <c r="W3212" i="3"/>
  <c r="V2814" i="3"/>
  <c r="V3326" i="3"/>
  <c r="V3354" i="3"/>
  <c r="V3284" i="3"/>
  <c r="V2701" i="3"/>
  <c r="W2823" i="3"/>
  <c r="W2821" i="3"/>
  <c r="W3364" i="3"/>
  <c r="W2979" i="3"/>
  <c r="V2604" i="3"/>
  <c r="V3369" i="3"/>
  <c r="V2804" i="3"/>
  <c r="W519" i="3"/>
  <c r="V519" i="3"/>
  <c r="M519" i="3"/>
  <c r="L519" i="3"/>
  <c r="N519" i="3"/>
  <c r="I520" i="3"/>
  <c r="W2947" i="3"/>
  <c r="W2896" i="3"/>
  <c r="W2911" i="3"/>
  <c r="V2742" i="3"/>
  <c r="W3248" i="3"/>
  <c r="W3049" i="3"/>
  <c r="W2995" i="3"/>
  <c r="V2835" i="3"/>
  <c r="V3363" i="3"/>
  <c r="V3100" i="3"/>
  <c r="V2801" i="3"/>
  <c r="W3282" i="3"/>
  <c r="W2948" i="3"/>
  <c r="V2979" i="3"/>
  <c r="W2618" i="3"/>
  <c r="V3038" i="3"/>
  <c r="V21" i="3"/>
  <c r="W21" i="3"/>
  <c r="V1237" i="3"/>
  <c r="W1237" i="3"/>
  <c r="V3082" i="3"/>
  <c r="W3082" i="3"/>
  <c r="W1698" i="3"/>
  <c r="V1698" i="3"/>
  <c r="V3068" i="3"/>
  <c r="W3068" i="3"/>
  <c r="V1544" i="3"/>
  <c r="W1544" i="3"/>
  <c r="V235" i="3"/>
  <c r="W235" i="3"/>
  <c r="V3126" i="3"/>
  <c r="W3126" i="3"/>
  <c r="V976" i="3"/>
  <c r="W976" i="3"/>
  <c r="V1050" i="3"/>
  <c r="W1050" i="3"/>
  <c r="V330" i="3"/>
  <c r="W330" i="3"/>
  <c r="V3384" i="3"/>
  <c r="W3384" i="3"/>
  <c r="V1416" i="3"/>
  <c r="W1416" i="3"/>
  <c r="W1195" i="3"/>
  <c r="V1195" i="3"/>
  <c r="V102" i="3"/>
  <c r="W102" i="3"/>
  <c r="V2184" i="3"/>
  <c r="W2184" i="3"/>
  <c r="W2018" i="3"/>
  <c r="V2018" i="3"/>
  <c r="V2888" i="3"/>
  <c r="W2888" i="3"/>
  <c r="V2720" i="3"/>
  <c r="W2720" i="3"/>
  <c r="V3178" i="3"/>
  <c r="W2790" i="3"/>
  <c r="W3147" i="3"/>
  <c r="V3124" i="3"/>
  <c r="W3314" i="3"/>
  <c r="W3269" i="3"/>
  <c r="W3267" i="3"/>
  <c r="V3207" i="3"/>
  <c r="W3051" i="3"/>
  <c r="V2744" i="3"/>
  <c r="W2940" i="3"/>
  <c r="V3365" i="3"/>
  <c r="W3207" i="3"/>
  <c r="W2872" i="3"/>
  <c r="W3123" i="3"/>
  <c r="W3176" i="3"/>
  <c r="V3381" i="3"/>
  <c r="V3371" i="3"/>
  <c r="V2824" i="3"/>
  <c r="W3231" i="3"/>
  <c r="V2841" i="3"/>
  <c r="V2848" i="3"/>
  <c r="V2658" i="3"/>
  <c r="V2714" i="3"/>
  <c r="W2910" i="3"/>
  <c r="V3364" i="3"/>
  <c r="V3295" i="3"/>
  <c r="W3064" i="3"/>
  <c r="V3174" i="3"/>
  <c r="V2802" i="3"/>
  <c r="W3159" i="3"/>
  <c r="W2646" i="3"/>
  <c r="W2687" i="3"/>
  <c r="W2964" i="3"/>
  <c r="W3379" i="3"/>
  <c r="V2646" i="3"/>
  <c r="V3325" i="3"/>
  <c r="W3326" i="3"/>
  <c r="W2772" i="3"/>
  <c r="V2773" i="3"/>
  <c r="V3283" i="3"/>
  <c r="W3022" i="3"/>
  <c r="V2854" i="3"/>
  <c r="W2591" i="3"/>
  <c r="W3205" i="3"/>
  <c r="W2996" i="3"/>
  <c r="W2829" i="3"/>
  <c r="V2619" i="3"/>
  <c r="W2924" i="3"/>
  <c r="W2883" i="3"/>
  <c r="W2848" i="3"/>
  <c r="W2854" i="3"/>
  <c r="W2592" i="3"/>
  <c r="V3367" i="3"/>
  <c r="V1310" i="3"/>
  <c r="W1310" i="3"/>
  <c r="W1447" i="3"/>
  <c r="V1447" i="3"/>
  <c r="V1269" i="3"/>
  <c r="W1269" i="3"/>
  <c r="V3217" i="3"/>
  <c r="W3217" i="3"/>
  <c r="V1026" i="3"/>
  <c r="W1026" i="3"/>
  <c r="V2122" i="3"/>
  <c r="W2122" i="3"/>
  <c r="V2540" i="3"/>
  <c r="W2540" i="3"/>
  <c r="W1538" i="3"/>
  <c r="V1538" i="3"/>
  <c r="V1173" i="3"/>
  <c r="W1173" i="3"/>
  <c r="W1813" i="3"/>
  <c r="V1813" i="3"/>
  <c r="W1279" i="3"/>
  <c r="V1279" i="3"/>
  <c r="W1781" i="3"/>
  <c r="V1781" i="3"/>
  <c r="V353" i="3"/>
  <c r="W353" i="3"/>
  <c r="V1688" i="3"/>
  <c r="W1688" i="3"/>
  <c r="V3358" i="3"/>
  <c r="W3358" i="3"/>
  <c r="V2791" i="3"/>
  <c r="W2791" i="3"/>
  <c r="V935" i="3"/>
  <c r="W935" i="3"/>
  <c r="W502" i="3"/>
  <c r="V502" i="3"/>
  <c r="V1153" i="3"/>
  <c r="W1153" i="3"/>
  <c r="V944" i="3"/>
  <c r="W944" i="3"/>
  <c r="W2453" i="3"/>
  <c r="V2453" i="3"/>
  <c r="V2313" i="3"/>
  <c r="W2313" i="3"/>
  <c r="V2763" i="3"/>
  <c r="W2763" i="3"/>
  <c r="W1913" i="3"/>
  <c r="V1913" i="3"/>
  <c r="I1914" i="3"/>
  <c r="W399" i="3"/>
  <c r="V399" i="3"/>
  <c r="N399" i="3"/>
  <c r="W2982" i="3"/>
  <c r="V2857" i="3"/>
  <c r="V3103" i="3"/>
  <c r="V2818" i="3"/>
  <c r="W2719" i="3"/>
  <c r="V2874" i="3"/>
  <c r="V2858" i="3"/>
  <c r="V3232" i="3"/>
  <c r="V3314" i="3"/>
  <c r="V3269" i="3"/>
  <c r="V2900" i="3"/>
  <c r="W3371" i="3"/>
  <c r="V3051" i="3"/>
  <c r="W2744" i="3"/>
  <c r="V3145" i="3"/>
  <c r="V2717" i="3"/>
  <c r="W2997" i="3"/>
  <c r="W2837" i="3"/>
  <c r="W2925" i="3"/>
  <c r="V2912" i="3"/>
  <c r="V2856" i="3"/>
  <c r="W2843" i="3"/>
  <c r="V3037" i="3"/>
  <c r="V3065" i="3"/>
  <c r="W2620" i="3"/>
  <c r="W2849" i="3"/>
  <c r="V2757" i="3"/>
  <c r="V2592" i="3"/>
  <c r="V3078" i="3"/>
  <c r="W3230" i="3"/>
  <c r="W3353" i="3"/>
  <c r="W2730" i="3"/>
  <c r="W3007" i="3"/>
  <c r="W2604" i="3"/>
  <c r="W2822" i="3"/>
  <c r="W3175" i="3"/>
  <c r="V2948" i="3"/>
  <c r="V2605" i="3"/>
  <c r="W2653" i="3"/>
  <c r="W3380" i="3"/>
  <c r="V3077" i="3"/>
  <c r="V2743" i="3"/>
  <c r="V2939" i="3"/>
  <c r="V2855" i="3"/>
  <c r="V2897" i="3"/>
  <c r="V3063" i="3"/>
  <c r="V3035" i="3"/>
  <c r="W3098" i="3"/>
  <c r="V2829" i="3"/>
  <c r="W3283" i="3"/>
  <c r="V2700" i="3"/>
  <c r="W2963" i="3"/>
  <c r="V3144" i="3"/>
  <c r="W2787" i="3"/>
  <c r="W3158" i="3"/>
  <c r="V2728" i="3"/>
  <c r="V3122" i="3"/>
  <c r="W2758" i="3"/>
  <c r="V2822" i="3"/>
  <c r="W3265" i="3"/>
  <c r="W3294" i="3"/>
  <c r="V2924" i="3"/>
  <c r="V2896" i="3"/>
  <c r="W3367" i="3"/>
  <c r="I1448" i="3"/>
  <c r="P1447" i="3"/>
  <c r="O1447" i="3"/>
  <c r="N1447" i="3"/>
  <c r="M1447" i="3"/>
  <c r="L1447" i="3"/>
  <c r="I2107" i="3"/>
  <c r="M2106" i="3"/>
  <c r="L2106" i="3"/>
  <c r="O2106" i="3"/>
  <c r="P2106" i="3"/>
  <c r="N2106" i="3"/>
  <c r="I2092" i="3"/>
  <c r="P2091" i="3"/>
  <c r="O2091" i="3"/>
  <c r="M2091" i="3"/>
  <c r="L2091" i="3"/>
  <c r="N2091" i="3"/>
  <c r="I3149" i="3"/>
  <c r="P3148" i="3"/>
  <c r="O3148" i="3"/>
  <c r="L3148" i="3"/>
  <c r="M3148" i="3"/>
  <c r="N3148" i="3"/>
  <c r="O2420" i="3"/>
  <c r="N2420" i="3"/>
  <c r="M2420" i="3"/>
  <c r="L2420" i="3"/>
  <c r="P2420" i="3"/>
  <c r="I2421" i="3"/>
  <c r="I1551" i="3"/>
  <c r="N1550" i="3"/>
  <c r="M1550" i="3"/>
  <c r="O1550" i="3"/>
  <c r="P1550" i="3"/>
  <c r="L1550" i="3"/>
  <c r="I450" i="3"/>
  <c r="P449" i="3"/>
  <c r="O449" i="3"/>
  <c r="M449" i="3"/>
  <c r="N449" i="3"/>
  <c r="L449" i="3"/>
  <c r="I2123" i="3"/>
  <c r="M2122" i="3"/>
  <c r="L2122" i="3"/>
  <c r="O2122" i="3"/>
  <c r="P2122" i="3"/>
  <c r="N2122" i="3"/>
  <c r="I90" i="3"/>
  <c r="O89" i="3"/>
  <c r="N89" i="3"/>
  <c r="M89" i="3"/>
  <c r="L89" i="3"/>
  <c r="P89" i="3"/>
  <c r="N1698" i="3"/>
  <c r="O1698" i="3"/>
  <c r="P1698" i="3"/>
  <c r="L1698" i="3"/>
  <c r="M1698" i="3"/>
  <c r="I1699" i="3"/>
  <c r="I484" i="3"/>
  <c r="P483" i="3"/>
  <c r="O483" i="3"/>
  <c r="N483" i="3"/>
  <c r="M483" i="3"/>
  <c r="L483" i="3"/>
  <c r="I2517" i="3"/>
  <c r="P2516" i="3"/>
  <c r="O2516" i="3"/>
  <c r="N2516" i="3"/>
  <c r="M2516" i="3"/>
  <c r="L2516" i="3"/>
  <c r="I1393" i="3"/>
  <c r="N1392" i="3"/>
  <c r="L1392" i="3"/>
  <c r="P1392" i="3"/>
  <c r="O1392" i="3"/>
  <c r="M1392" i="3"/>
  <c r="I3013" i="3"/>
  <c r="L3012" i="3"/>
  <c r="P3012" i="3"/>
  <c r="O3012" i="3"/>
  <c r="N3012" i="3"/>
  <c r="M3012" i="3"/>
  <c r="I169" i="3"/>
  <c r="L168" i="3"/>
  <c r="P168" i="3"/>
  <c r="N168" i="3"/>
  <c r="M168" i="3"/>
  <c r="O168" i="3"/>
  <c r="I3069" i="3"/>
  <c r="O3068" i="3"/>
  <c r="N3068" i="3"/>
  <c r="P3068" i="3"/>
  <c r="M3068" i="3"/>
  <c r="L3068" i="3"/>
  <c r="I881" i="3"/>
  <c r="P880" i="3"/>
  <c r="O880" i="3"/>
  <c r="N880" i="3"/>
  <c r="L880" i="3"/>
  <c r="M880" i="3"/>
  <c r="I511" i="3"/>
  <c r="P510" i="3"/>
  <c r="O510" i="3"/>
  <c r="N510" i="3"/>
  <c r="L510" i="3"/>
  <c r="M510" i="3"/>
  <c r="I1886" i="3"/>
  <c r="O1885" i="3"/>
  <c r="M1885" i="3"/>
  <c r="L1885" i="3"/>
  <c r="P1885" i="3"/>
  <c r="N1885" i="3"/>
  <c r="I2282" i="3"/>
  <c r="N2281" i="3"/>
  <c r="M2281" i="3"/>
  <c r="L2281" i="3"/>
  <c r="P2281" i="3"/>
  <c r="O2281" i="3"/>
  <c r="I376" i="3"/>
  <c r="M375" i="3"/>
  <c r="L375" i="3"/>
  <c r="O375" i="3"/>
  <c r="N375" i="3"/>
  <c r="P375" i="3"/>
  <c r="P2198" i="3"/>
  <c r="O2198" i="3"/>
  <c r="N2198" i="3"/>
  <c r="M2198" i="3"/>
  <c r="L2198" i="3"/>
  <c r="I2199" i="3"/>
  <c r="O2846" i="3"/>
  <c r="P2846" i="3"/>
  <c r="N2846" i="3"/>
  <c r="M2846" i="3"/>
  <c r="L2846" i="3"/>
  <c r="I1737" i="3"/>
  <c r="P1736" i="3"/>
  <c r="O1736" i="3"/>
  <c r="M1736" i="3"/>
  <c r="N1736" i="3"/>
  <c r="L1736" i="3"/>
  <c r="I2541" i="3"/>
  <c r="P2540" i="3"/>
  <c r="O2540" i="3"/>
  <c r="N2540" i="3"/>
  <c r="M2540" i="3"/>
  <c r="L2540" i="3"/>
  <c r="L1876" i="3"/>
  <c r="P1876" i="3"/>
  <c r="O1876" i="3"/>
  <c r="N1876" i="3"/>
  <c r="M1876" i="3"/>
  <c r="I1877" i="3"/>
  <c r="L1544" i="3"/>
  <c r="M1544" i="3"/>
  <c r="P1544" i="3"/>
  <c r="O1544" i="3"/>
  <c r="N1544" i="3"/>
  <c r="I236" i="3"/>
  <c r="M235" i="3"/>
  <c r="L235" i="3"/>
  <c r="O235" i="3"/>
  <c r="N235" i="3"/>
  <c r="P235" i="3"/>
  <c r="I3127" i="3"/>
  <c r="P3126" i="3"/>
  <c r="O3126" i="3"/>
  <c r="M3126" i="3"/>
  <c r="L3126" i="3"/>
  <c r="N3126" i="3"/>
  <c r="I977" i="3"/>
  <c r="P976" i="3"/>
  <c r="O976" i="3"/>
  <c r="N976" i="3"/>
  <c r="L976" i="3"/>
  <c r="M976" i="3"/>
  <c r="I1051" i="3"/>
  <c r="P1050" i="3"/>
  <c r="O1050" i="3"/>
  <c r="N1050" i="3"/>
  <c r="M1050" i="3"/>
  <c r="L1050" i="3"/>
  <c r="I331" i="3"/>
  <c r="N330" i="3"/>
  <c r="M330" i="3"/>
  <c r="L330" i="3"/>
  <c r="P330" i="3"/>
  <c r="O330" i="3"/>
  <c r="P3384" i="3"/>
  <c r="O3384" i="3"/>
  <c r="N3384" i="3"/>
  <c r="M3384" i="3"/>
  <c r="L3384" i="3"/>
  <c r="I3385" i="3"/>
  <c r="I1417" i="3"/>
  <c r="O1416" i="3"/>
  <c r="N1416" i="3"/>
  <c r="M1416" i="3"/>
  <c r="L1416" i="3"/>
  <c r="P1416" i="3"/>
  <c r="I1196" i="3"/>
  <c r="P1195" i="3"/>
  <c r="O1195" i="3"/>
  <c r="N1195" i="3"/>
  <c r="L1195" i="3"/>
  <c r="M1195" i="3"/>
  <c r="I103" i="3"/>
  <c r="N102" i="3"/>
  <c r="M102" i="3"/>
  <c r="L102" i="3"/>
  <c r="P102" i="3"/>
  <c r="O102" i="3"/>
  <c r="O2184" i="3"/>
  <c r="N2184" i="3"/>
  <c r="L2184" i="3"/>
  <c r="P2184" i="3"/>
  <c r="M2184" i="3"/>
  <c r="I2019" i="3"/>
  <c r="O2018" i="3"/>
  <c r="P2018" i="3"/>
  <c r="N2018" i="3"/>
  <c r="M2018" i="3"/>
  <c r="L2018" i="3"/>
  <c r="I2889" i="3"/>
  <c r="P2888" i="3"/>
  <c r="O2888" i="3"/>
  <c r="M2888" i="3"/>
  <c r="N2888" i="3"/>
  <c r="L2888" i="3"/>
  <c r="P2720" i="3"/>
  <c r="O2720" i="3"/>
  <c r="N2720" i="3"/>
  <c r="M2720" i="3"/>
  <c r="L2720" i="3"/>
  <c r="I2721" i="3"/>
  <c r="I35" i="3"/>
  <c r="P34" i="3"/>
  <c r="O34" i="3"/>
  <c r="N34" i="3"/>
  <c r="L34" i="3"/>
  <c r="M34" i="3"/>
  <c r="I265" i="3"/>
  <c r="L264" i="3"/>
  <c r="P264" i="3"/>
  <c r="N264" i="3"/>
  <c r="M264" i="3"/>
  <c r="O264" i="3"/>
  <c r="I954" i="3"/>
  <c r="M953" i="3"/>
  <c r="L953" i="3"/>
  <c r="O953" i="3"/>
  <c r="N953" i="3"/>
  <c r="P953" i="3"/>
  <c r="I854" i="3"/>
  <c r="P853" i="3"/>
  <c r="O853" i="3"/>
  <c r="N853" i="3"/>
  <c r="M853" i="3"/>
  <c r="L853" i="3"/>
  <c r="I3235" i="3"/>
  <c r="M3234" i="3"/>
  <c r="L3234" i="3"/>
  <c r="P3234" i="3"/>
  <c r="O3234" i="3"/>
  <c r="N3234" i="3"/>
  <c r="I2437" i="3"/>
  <c r="P2436" i="3"/>
  <c r="O2436" i="3"/>
  <c r="M2436" i="3"/>
  <c r="L2436" i="3"/>
  <c r="N2436" i="3"/>
  <c r="M3194" i="3"/>
  <c r="L3194" i="3"/>
  <c r="O3194" i="3"/>
  <c r="N3194" i="3"/>
  <c r="P3194" i="3"/>
  <c r="I3195" i="3"/>
  <c r="I207" i="3"/>
  <c r="N206" i="3"/>
  <c r="M206" i="3"/>
  <c r="L206" i="3"/>
  <c r="P206" i="3"/>
  <c r="O206" i="3"/>
  <c r="I2191" i="3"/>
  <c r="P2190" i="3"/>
  <c r="O2190" i="3"/>
  <c r="N2190" i="3"/>
  <c r="L2190" i="3"/>
  <c r="M2190" i="3"/>
  <c r="I1067" i="3"/>
  <c r="P1066" i="3"/>
  <c r="O1066" i="3"/>
  <c r="N1066" i="3"/>
  <c r="M1066" i="3"/>
  <c r="L1066" i="3"/>
  <c r="I2679" i="3"/>
  <c r="P2678" i="3"/>
  <c r="O2678" i="3"/>
  <c r="N2678" i="3"/>
  <c r="M2678" i="3"/>
  <c r="L2678" i="3"/>
  <c r="L1538" i="3"/>
  <c r="P1538" i="3"/>
  <c r="N1538" i="3"/>
  <c r="O1538" i="3"/>
  <c r="M1538" i="3"/>
  <c r="I1767" i="3"/>
  <c r="P1766" i="3"/>
  <c r="O1766" i="3"/>
  <c r="M1766" i="3"/>
  <c r="N1766" i="3"/>
  <c r="L1766" i="3"/>
  <c r="I2145" i="3"/>
  <c r="O2144" i="3"/>
  <c r="N2144" i="3"/>
  <c r="L2144" i="3"/>
  <c r="P2144" i="3"/>
  <c r="M2144" i="3"/>
  <c r="I1402" i="3"/>
  <c r="P1401" i="3"/>
  <c r="O1401" i="3"/>
  <c r="L1401" i="3"/>
  <c r="N1401" i="3"/>
  <c r="M1401" i="3"/>
  <c r="I1584" i="3"/>
  <c r="P1583" i="3"/>
  <c r="L1583" i="3"/>
  <c r="O1583" i="3"/>
  <c r="N1583" i="3"/>
  <c r="M1583" i="3"/>
  <c r="I1174" i="3"/>
  <c r="P1173" i="3"/>
  <c r="O1173" i="3"/>
  <c r="N1173" i="3"/>
  <c r="L1173" i="3"/>
  <c r="M1173" i="3"/>
  <c r="O1813" i="3"/>
  <c r="M1813" i="3"/>
  <c r="P1813" i="3"/>
  <c r="L1813" i="3"/>
  <c r="N1813" i="3"/>
  <c r="I1280" i="3"/>
  <c r="P1279" i="3"/>
  <c r="O1279" i="3"/>
  <c r="N1279" i="3"/>
  <c r="M1279" i="3"/>
  <c r="L1279" i="3"/>
  <c r="O1781" i="3"/>
  <c r="N1781" i="3"/>
  <c r="M1781" i="3"/>
  <c r="P1781" i="3"/>
  <c r="L1781" i="3"/>
  <c r="I1782" i="3"/>
  <c r="I354" i="3"/>
  <c r="P353" i="3"/>
  <c r="O353" i="3"/>
  <c r="M353" i="3"/>
  <c r="N353" i="3"/>
  <c r="L353" i="3"/>
  <c r="I1689" i="3"/>
  <c r="P1688" i="3"/>
  <c r="M1688" i="3"/>
  <c r="L1688" i="3"/>
  <c r="O1688" i="3"/>
  <c r="N1688" i="3"/>
  <c r="I3359" i="3"/>
  <c r="L3358" i="3"/>
  <c r="P3358" i="3"/>
  <c r="O3358" i="3"/>
  <c r="N3358" i="3"/>
  <c r="M3358" i="3"/>
  <c r="I2792" i="3"/>
  <c r="N2791" i="3"/>
  <c r="M2791" i="3"/>
  <c r="L2791" i="3"/>
  <c r="P2791" i="3"/>
  <c r="O2791" i="3"/>
  <c r="I936" i="3"/>
  <c r="O935" i="3"/>
  <c r="N935" i="3"/>
  <c r="M935" i="3"/>
  <c r="L935" i="3"/>
  <c r="P935" i="3"/>
  <c r="I503" i="3"/>
  <c r="P502" i="3"/>
  <c r="O502" i="3"/>
  <c r="N502" i="3"/>
  <c r="L502" i="3"/>
  <c r="M502" i="3"/>
  <c r="I1154" i="3"/>
  <c r="N1153" i="3"/>
  <c r="M1153" i="3"/>
  <c r="L1153" i="3"/>
  <c r="P1153" i="3"/>
  <c r="O1153" i="3"/>
  <c r="I945" i="3"/>
  <c r="P944" i="3"/>
  <c r="O944" i="3"/>
  <c r="N944" i="3"/>
  <c r="L944" i="3"/>
  <c r="M944" i="3"/>
  <c r="I2454" i="3"/>
  <c r="P2453" i="3"/>
  <c r="O2453" i="3"/>
  <c r="N2453" i="3"/>
  <c r="M2453" i="3"/>
  <c r="L2453" i="3"/>
  <c r="I2314" i="3"/>
  <c r="N2313" i="3"/>
  <c r="M2313" i="3"/>
  <c r="L2313" i="3"/>
  <c r="P2313" i="3"/>
  <c r="O2313" i="3"/>
  <c r="I2764" i="3"/>
  <c r="P2763" i="3"/>
  <c r="O2763" i="3"/>
  <c r="N2763" i="3"/>
  <c r="M2763" i="3"/>
  <c r="L2763" i="3"/>
  <c r="I1311" i="3"/>
  <c r="M1310" i="3"/>
  <c r="L1310" i="3"/>
  <c r="P1310" i="3"/>
  <c r="O1310" i="3"/>
  <c r="N1310" i="3"/>
  <c r="I3027" i="3"/>
  <c r="N3026" i="3"/>
  <c r="M3026" i="3"/>
  <c r="L3026" i="3"/>
  <c r="P3026" i="3"/>
  <c r="O3026" i="3"/>
  <c r="I3083" i="3"/>
  <c r="L3082" i="3"/>
  <c r="P3082" i="3"/>
  <c r="O3082" i="3"/>
  <c r="N3082" i="3"/>
  <c r="M3082" i="3"/>
  <c r="I1900" i="3"/>
  <c r="O1899" i="3"/>
  <c r="N1899" i="3"/>
  <c r="P1899" i="3"/>
  <c r="M1899" i="3"/>
  <c r="L1899" i="3"/>
  <c r="P3368" i="3"/>
  <c r="O3368" i="3"/>
  <c r="N3368" i="3"/>
  <c r="M3368" i="3"/>
  <c r="L3368" i="3"/>
  <c r="I3271" i="3"/>
  <c r="L3270" i="3"/>
  <c r="P3270" i="3"/>
  <c r="O3270" i="3"/>
  <c r="N3270" i="3"/>
  <c r="M3270" i="3"/>
  <c r="I620" i="3"/>
  <c r="P619" i="3"/>
  <c r="O619" i="3"/>
  <c r="N619" i="3"/>
  <c r="M619" i="3"/>
  <c r="L619" i="3"/>
  <c r="I3164" i="3"/>
  <c r="P3163" i="3"/>
  <c r="O3163" i="3"/>
  <c r="N3163" i="3"/>
  <c r="M3163" i="3"/>
  <c r="L3163" i="3"/>
  <c r="I2176" i="3"/>
  <c r="L2175" i="3"/>
  <c r="N2175" i="3"/>
  <c r="P2175" i="3"/>
  <c r="O2175" i="3"/>
  <c r="M2175" i="3"/>
  <c r="I2573" i="3"/>
  <c r="P2572" i="3"/>
  <c r="O2572" i="3"/>
  <c r="N2572" i="3"/>
  <c r="M2572" i="3"/>
  <c r="L2572" i="3"/>
  <c r="I2247" i="3"/>
  <c r="P2246" i="3"/>
  <c r="O2246" i="3"/>
  <c r="N2246" i="3"/>
  <c r="M2246" i="3"/>
  <c r="L2246" i="3"/>
  <c r="I1010" i="3"/>
  <c r="M1009" i="3"/>
  <c r="L1009" i="3"/>
  <c r="O1009" i="3"/>
  <c r="N1009" i="3"/>
  <c r="P1009" i="3"/>
  <c r="I1519" i="3"/>
  <c r="N1518" i="3"/>
  <c r="M1518" i="3"/>
  <c r="O1518" i="3"/>
  <c r="L1518" i="3"/>
  <c r="P1518" i="3"/>
  <c r="I1129" i="3"/>
  <c r="P1128" i="3"/>
  <c r="O1128" i="3"/>
  <c r="M1128" i="3"/>
  <c r="L1128" i="3"/>
  <c r="N1128" i="3"/>
  <c r="I3375" i="3"/>
  <c r="L3374" i="3"/>
  <c r="P3374" i="3"/>
  <c r="O3374" i="3"/>
  <c r="N3374" i="3"/>
  <c r="M3374" i="3"/>
  <c r="I630" i="3"/>
  <c r="O629" i="3"/>
  <c r="N629" i="3"/>
  <c r="M629" i="3"/>
  <c r="L629" i="3"/>
  <c r="P629" i="3"/>
  <c r="I343" i="3"/>
  <c r="P342" i="3"/>
  <c r="O342" i="3"/>
  <c r="N342" i="3"/>
  <c r="L342" i="3"/>
  <c r="M342" i="3"/>
  <c r="I963" i="3"/>
  <c r="P962" i="3"/>
  <c r="O962" i="3"/>
  <c r="N962" i="3"/>
  <c r="M962" i="3"/>
  <c r="L962" i="3"/>
  <c r="I3180" i="3"/>
  <c r="P3179" i="3"/>
  <c r="O3179" i="3"/>
  <c r="N3179" i="3"/>
  <c r="M3179" i="3"/>
  <c r="L3179" i="3"/>
  <c r="I49" i="3"/>
  <c r="L48" i="3"/>
  <c r="P48" i="3"/>
  <c r="N48" i="3"/>
  <c r="M48" i="3"/>
  <c r="O48" i="3"/>
  <c r="I217" i="3"/>
  <c r="L216" i="3"/>
  <c r="P216" i="3"/>
  <c r="N216" i="3"/>
  <c r="M216" i="3"/>
  <c r="O216" i="3"/>
  <c r="I2692" i="3"/>
  <c r="P2691" i="3"/>
  <c r="O2691" i="3"/>
  <c r="N2691" i="3"/>
  <c r="M2691" i="3"/>
  <c r="L2691" i="3"/>
  <c r="I1432" i="3"/>
  <c r="P1431" i="3"/>
  <c r="M1431" i="3"/>
  <c r="L1431" i="3"/>
  <c r="O1431" i="3"/>
  <c r="N1431" i="3"/>
  <c r="I1619" i="3"/>
  <c r="N1618" i="3"/>
  <c r="P1618" i="3"/>
  <c r="O1618" i="3"/>
  <c r="L1618" i="3"/>
  <c r="M1618" i="3"/>
  <c r="I2748" i="3"/>
  <c r="P2747" i="3"/>
  <c r="O2747" i="3"/>
  <c r="N2747" i="3"/>
  <c r="L2747" i="3"/>
  <c r="M2747" i="3"/>
  <c r="I2043" i="3"/>
  <c r="O2042" i="3"/>
  <c r="P2042" i="3"/>
  <c r="N2042" i="3"/>
  <c r="M2042" i="3"/>
  <c r="L2042" i="3"/>
  <c r="I1367" i="3"/>
  <c r="M1366" i="3"/>
  <c r="L1366" i="3"/>
  <c r="P1366" i="3"/>
  <c r="O1366" i="3"/>
  <c r="N1366" i="3"/>
  <c r="I579" i="3"/>
  <c r="N578" i="3"/>
  <c r="M578" i="3"/>
  <c r="L578" i="3"/>
  <c r="P578" i="3"/>
  <c r="O578" i="3"/>
  <c r="I531" i="3"/>
  <c r="N530" i="3"/>
  <c r="M530" i="3"/>
  <c r="L530" i="3"/>
  <c r="P530" i="3"/>
  <c r="O530" i="3"/>
  <c r="I2638" i="3"/>
  <c r="N2637" i="3"/>
  <c r="M2637" i="3"/>
  <c r="P2637" i="3"/>
  <c r="O2637" i="3"/>
  <c r="L2637" i="3"/>
  <c r="I1184" i="3"/>
  <c r="O1183" i="3"/>
  <c r="N1183" i="3"/>
  <c r="M1183" i="3"/>
  <c r="L1183" i="3"/>
  <c r="P1183" i="3"/>
  <c r="P2596" i="3"/>
  <c r="O2596" i="3"/>
  <c r="N2596" i="3"/>
  <c r="M2596" i="3"/>
  <c r="L2596" i="3"/>
  <c r="I2597" i="3"/>
  <c r="I2860" i="3"/>
  <c r="P2859" i="3"/>
  <c r="N2859" i="3"/>
  <c r="O2859" i="3"/>
  <c r="M2859" i="3"/>
  <c r="L2859" i="3"/>
  <c r="I1991" i="3"/>
  <c r="P1990" i="3"/>
  <c r="O1990" i="3"/>
  <c r="N1990" i="3"/>
  <c r="L1990" i="3"/>
  <c r="M1990" i="3"/>
  <c r="I1864" i="3"/>
  <c r="M1863" i="3"/>
  <c r="L1863" i="3"/>
  <c r="P1863" i="3"/>
  <c r="O1863" i="3"/>
  <c r="N1863" i="3"/>
  <c r="I2610" i="3"/>
  <c r="O2609" i="3"/>
  <c r="N2609" i="3"/>
  <c r="M2609" i="3"/>
  <c r="L2609" i="3"/>
  <c r="P2609" i="3"/>
  <c r="I757" i="3"/>
  <c r="L756" i="3"/>
  <c r="P756" i="3"/>
  <c r="N756" i="3"/>
  <c r="M756" i="3"/>
  <c r="O756" i="3"/>
  <c r="I2624" i="3"/>
  <c r="P2623" i="3"/>
  <c r="O2623" i="3"/>
  <c r="N2623" i="3"/>
  <c r="M2623" i="3"/>
  <c r="L2623" i="3"/>
  <c r="I705" i="3"/>
  <c r="P704" i="3"/>
  <c r="O704" i="3"/>
  <c r="N704" i="3"/>
  <c r="M704" i="3"/>
  <c r="L704" i="3"/>
  <c r="I183" i="3"/>
  <c r="N182" i="3"/>
  <c r="M182" i="3"/>
  <c r="L182" i="3"/>
  <c r="P182" i="3"/>
  <c r="O182" i="3"/>
  <c r="I1595" i="3"/>
  <c r="O1594" i="3"/>
  <c r="P1594" i="3"/>
  <c r="N1594" i="3"/>
  <c r="M1594" i="3"/>
  <c r="L1594" i="3"/>
  <c r="I1529" i="3"/>
  <c r="L1528" i="3"/>
  <c r="O1528" i="3"/>
  <c r="M1528" i="3"/>
  <c r="P1528" i="3"/>
  <c r="N1528" i="3"/>
  <c r="P21" i="3"/>
  <c r="O21" i="3"/>
  <c r="M21" i="3"/>
  <c r="L21" i="3"/>
  <c r="N21" i="3"/>
  <c r="I22" i="3"/>
  <c r="I1210" i="3"/>
  <c r="M1209" i="3"/>
  <c r="L1209" i="3"/>
  <c r="P1209" i="3"/>
  <c r="N1209" i="3"/>
  <c r="O1209" i="3"/>
  <c r="I2706" i="3"/>
  <c r="L2705" i="3"/>
  <c r="P2705" i="3"/>
  <c r="N2705" i="3"/>
  <c r="O2705" i="3"/>
  <c r="M2705" i="3"/>
  <c r="I307" i="3"/>
  <c r="P306" i="3"/>
  <c r="O306" i="3"/>
  <c r="N306" i="3"/>
  <c r="L306" i="3"/>
  <c r="M306" i="3"/>
  <c r="P393" i="3"/>
  <c r="O393" i="3"/>
  <c r="M393" i="3"/>
  <c r="N393" i="3"/>
  <c r="L393" i="3"/>
  <c r="I1793" i="3"/>
  <c r="P1792" i="3"/>
  <c r="N1792" i="3"/>
  <c r="O1792" i="3"/>
  <c r="M1792" i="3"/>
  <c r="L1792" i="3"/>
  <c r="I1027" i="3"/>
  <c r="P1026" i="3"/>
  <c r="O1026" i="3"/>
  <c r="N1026" i="3"/>
  <c r="M1026" i="3"/>
  <c r="L1026" i="3"/>
  <c r="I275" i="3"/>
  <c r="P274" i="3"/>
  <c r="O274" i="3"/>
  <c r="N274" i="3"/>
  <c r="L274" i="3"/>
  <c r="M274" i="3"/>
  <c r="I2529" i="3"/>
  <c r="L2528" i="3"/>
  <c r="P2528" i="3"/>
  <c r="N2528" i="3"/>
  <c r="O2528" i="3"/>
  <c r="M2528" i="3"/>
  <c r="I2212" i="3"/>
  <c r="P2211" i="3"/>
  <c r="O2211" i="3"/>
  <c r="N2211" i="3"/>
  <c r="M2211" i="3"/>
  <c r="L2211" i="3"/>
  <c r="I3316" i="3"/>
  <c r="P3315" i="3"/>
  <c r="O3315" i="3"/>
  <c r="N3315" i="3"/>
  <c r="M3315" i="3"/>
  <c r="L3315" i="3"/>
  <c r="I458" i="3"/>
  <c r="P457" i="3"/>
  <c r="O457" i="3"/>
  <c r="M457" i="3"/>
  <c r="N457" i="3"/>
  <c r="L457" i="3"/>
  <c r="O2657" i="3"/>
  <c r="L2657" i="3"/>
  <c r="M2657" i="3"/>
  <c r="P2657" i="3"/>
  <c r="N2657" i="3"/>
  <c r="I1081" i="3"/>
  <c r="M1080" i="3"/>
  <c r="P1080" i="3"/>
  <c r="O1080" i="3"/>
  <c r="N1080" i="3"/>
  <c r="L1080" i="3"/>
  <c r="I790" i="3"/>
  <c r="O789" i="3"/>
  <c r="N789" i="3"/>
  <c r="M789" i="3"/>
  <c r="L789" i="3"/>
  <c r="P789" i="3"/>
  <c r="I841" i="3"/>
  <c r="P840" i="3"/>
  <c r="O840" i="3"/>
  <c r="N840" i="3"/>
  <c r="L840" i="3"/>
  <c r="M840" i="3"/>
  <c r="I494" i="3"/>
  <c r="O493" i="3"/>
  <c r="N493" i="3"/>
  <c r="M493" i="3"/>
  <c r="L493" i="3"/>
  <c r="P493" i="3"/>
  <c r="O1941" i="3"/>
  <c r="N1941" i="3"/>
  <c r="M1941" i="3"/>
  <c r="L1941" i="3"/>
  <c r="P1941" i="3"/>
  <c r="I196" i="3"/>
  <c r="M195" i="3"/>
  <c r="L195" i="3"/>
  <c r="O195" i="3"/>
  <c r="N195" i="3"/>
  <c r="P195" i="3"/>
  <c r="L740" i="3"/>
  <c r="P740" i="3"/>
  <c r="N740" i="3"/>
  <c r="M740" i="3"/>
  <c r="O740" i="3"/>
  <c r="P2827" i="3"/>
  <c r="N2827" i="3"/>
  <c r="M2827" i="3"/>
  <c r="L2827" i="3"/>
  <c r="O2827" i="3"/>
  <c r="I2033" i="3"/>
  <c r="P2032" i="3"/>
  <c r="N2032" i="3"/>
  <c r="M2032" i="3"/>
  <c r="L2032" i="3"/>
  <c r="O2032" i="3"/>
  <c r="I2853" i="3"/>
  <c r="L2852" i="3"/>
  <c r="P2852" i="3"/>
  <c r="O2852" i="3"/>
  <c r="N2852" i="3"/>
  <c r="M2852" i="3"/>
  <c r="I2585" i="3"/>
  <c r="L2584" i="3"/>
  <c r="P2584" i="3"/>
  <c r="M2584" i="3"/>
  <c r="O2584" i="3"/>
  <c r="N2584" i="3"/>
  <c r="I1634" i="3"/>
  <c r="N1633" i="3"/>
  <c r="M1633" i="3"/>
  <c r="P1633" i="3"/>
  <c r="O1633" i="3"/>
  <c r="L1633" i="3"/>
  <c r="I1296" i="3"/>
  <c r="P1295" i="3"/>
  <c r="O1295" i="3"/>
  <c r="N1295" i="3"/>
  <c r="M1295" i="3"/>
  <c r="L1295" i="3"/>
  <c r="I3346" i="3"/>
  <c r="M3345" i="3"/>
  <c r="L3345" i="3"/>
  <c r="P3345" i="3"/>
  <c r="O3345" i="3"/>
  <c r="N3345" i="3"/>
  <c r="I2876" i="3"/>
  <c r="P2875" i="3"/>
  <c r="N2875" i="3"/>
  <c r="O2875" i="3"/>
  <c r="M2875" i="3"/>
  <c r="L2875" i="3"/>
  <c r="I1949" i="3"/>
  <c r="L1948" i="3"/>
  <c r="P1948" i="3"/>
  <c r="N1948" i="3"/>
  <c r="M1948" i="3"/>
  <c r="O1948" i="3"/>
  <c r="I2778" i="3"/>
  <c r="L2777" i="3"/>
  <c r="P2777" i="3"/>
  <c r="M2777" i="3"/>
  <c r="O2777" i="3"/>
  <c r="N2777" i="3"/>
  <c r="I407" i="3"/>
  <c r="P406" i="3"/>
  <c r="O406" i="3"/>
  <c r="N406" i="3"/>
  <c r="L406" i="3"/>
  <c r="M406" i="3"/>
  <c r="I3300" i="3"/>
  <c r="P3299" i="3"/>
  <c r="O3299" i="3"/>
  <c r="N3299" i="3"/>
  <c r="M3299" i="3"/>
  <c r="L3299" i="3"/>
  <c r="I2807" i="3"/>
  <c r="P2806" i="3"/>
  <c r="O2806" i="3"/>
  <c r="N2806" i="3"/>
  <c r="M2806" i="3"/>
  <c r="L2806" i="3"/>
  <c r="I322" i="3"/>
  <c r="P321" i="3"/>
  <c r="O321" i="3"/>
  <c r="M321" i="3"/>
  <c r="N321" i="3"/>
  <c r="L321" i="3"/>
  <c r="I920" i="3"/>
  <c r="O919" i="3"/>
  <c r="N919" i="3"/>
  <c r="M919" i="3"/>
  <c r="L919" i="3"/>
  <c r="P919" i="3"/>
  <c r="I246" i="3"/>
  <c r="P245" i="3"/>
  <c r="O245" i="3"/>
  <c r="M245" i="3"/>
  <c r="L245" i="3"/>
  <c r="N245" i="3"/>
  <c r="I1098" i="3"/>
  <c r="N1097" i="3"/>
  <c r="M1097" i="3"/>
  <c r="L1097" i="3"/>
  <c r="P1097" i="3"/>
  <c r="O1097" i="3"/>
  <c r="I291" i="3"/>
  <c r="P290" i="3"/>
  <c r="O290" i="3"/>
  <c r="N290" i="3"/>
  <c r="L290" i="3"/>
  <c r="M290" i="3"/>
  <c r="I3055" i="3"/>
  <c r="P3054" i="3"/>
  <c r="O3054" i="3"/>
  <c r="M3054" i="3"/>
  <c r="L3054" i="3"/>
  <c r="N3054" i="3"/>
  <c r="I2376" i="3"/>
  <c r="P2375" i="3"/>
  <c r="O2375" i="3"/>
  <c r="N2375" i="3"/>
  <c r="M2375" i="3"/>
  <c r="L2375" i="3"/>
  <c r="I1238" i="3"/>
  <c r="P1237" i="3"/>
  <c r="O1237" i="3"/>
  <c r="N1237" i="3"/>
  <c r="M1237" i="3"/>
  <c r="L1237" i="3"/>
  <c r="P2928" i="3"/>
  <c r="O2928" i="3"/>
  <c r="N2928" i="3"/>
  <c r="M2928" i="3"/>
  <c r="L2928" i="3"/>
  <c r="I2929" i="3"/>
  <c r="I1661" i="3"/>
  <c r="L1660" i="3"/>
  <c r="P1660" i="3"/>
  <c r="O1660" i="3"/>
  <c r="M1660" i="3"/>
  <c r="N1660" i="3"/>
  <c r="I1353" i="3"/>
  <c r="P1352" i="3"/>
  <c r="O1352" i="3"/>
  <c r="N1352" i="3"/>
  <c r="M1352" i="3"/>
  <c r="L1352" i="3"/>
  <c r="I2470" i="3"/>
  <c r="P2469" i="3"/>
  <c r="O2469" i="3"/>
  <c r="L2469" i="3"/>
  <c r="N2469" i="3"/>
  <c r="M2469" i="3"/>
  <c r="P1559" i="3"/>
  <c r="L1559" i="3"/>
  <c r="O1559" i="3"/>
  <c r="N1559" i="3"/>
  <c r="M1559" i="3"/>
  <c r="P440" i="3"/>
  <c r="O440" i="3"/>
  <c r="N440" i="3"/>
  <c r="M440" i="3"/>
  <c r="L440" i="3"/>
  <c r="I441" i="3"/>
  <c r="I3253" i="3"/>
  <c r="N3252" i="3"/>
  <c r="M3252" i="3"/>
  <c r="L3252" i="3"/>
  <c r="P3252" i="3"/>
  <c r="O3252" i="3"/>
  <c r="I140" i="3"/>
  <c r="M139" i="3"/>
  <c r="L139" i="3"/>
  <c r="O139" i="3"/>
  <c r="N139" i="3"/>
  <c r="P139" i="3"/>
  <c r="I1509" i="3"/>
  <c r="P1508" i="3"/>
  <c r="O1508" i="3"/>
  <c r="N1508" i="3"/>
  <c r="M1508" i="3"/>
  <c r="L1508" i="3"/>
  <c r="I2322" i="3"/>
  <c r="N2321" i="3"/>
  <c r="M2321" i="3"/>
  <c r="L2321" i="3"/>
  <c r="P2321" i="3"/>
  <c r="O2321" i="3"/>
  <c r="I386" i="3"/>
  <c r="P385" i="3"/>
  <c r="O385" i="3"/>
  <c r="M385" i="3"/>
  <c r="N385" i="3"/>
  <c r="L385" i="3"/>
  <c r="I567" i="3"/>
  <c r="P566" i="3"/>
  <c r="O566" i="3"/>
  <c r="N566" i="3"/>
  <c r="L566" i="3"/>
  <c r="M566" i="3"/>
  <c r="O733" i="3"/>
  <c r="N733" i="3"/>
  <c r="M733" i="3"/>
  <c r="L733" i="3"/>
  <c r="P733" i="3"/>
  <c r="I2157" i="3"/>
  <c r="P2156" i="3"/>
  <c r="M2156" i="3"/>
  <c r="O2156" i="3"/>
  <c r="N2156" i="3"/>
  <c r="L2156" i="3"/>
  <c r="I690" i="3"/>
  <c r="P689" i="3"/>
  <c r="O689" i="3"/>
  <c r="M689" i="3"/>
  <c r="L689" i="3"/>
  <c r="N689" i="3"/>
  <c r="O2356" i="3"/>
  <c r="N2356" i="3"/>
  <c r="M2356" i="3"/>
  <c r="L2356" i="3"/>
  <c r="P2356" i="3"/>
  <c r="I2357" i="3"/>
  <c r="I2969" i="3"/>
  <c r="P2968" i="3"/>
  <c r="O2968" i="3"/>
  <c r="N2968" i="3"/>
  <c r="M2968" i="3"/>
  <c r="L2968" i="3"/>
  <c r="I1830" i="3"/>
  <c r="O1829" i="3"/>
  <c r="M1829" i="3"/>
  <c r="P1829" i="3"/>
  <c r="N1829" i="3"/>
  <c r="L1829" i="3"/>
  <c r="N3104" i="3"/>
  <c r="M3104" i="3"/>
  <c r="P3104" i="3"/>
  <c r="L3104" i="3"/>
  <c r="O3104" i="3"/>
  <c r="I3105" i="3"/>
  <c r="I431" i="3"/>
  <c r="P430" i="3"/>
  <c r="O430" i="3"/>
  <c r="N430" i="3"/>
  <c r="L430" i="3"/>
  <c r="M430" i="3"/>
  <c r="I721" i="3"/>
  <c r="P720" i="3"/>
  <c r="O720" i="3"/>
  <c r="N720" i="3"/>
  <c r="M720" i="3"/>
  <c r="L720" i="3"/>
  <c r="I1566" i="3"/>
  <c r="N1565" i="3"/>
  <c r="L1565" i="3"/>
  <c r="P1565" i="3"/>
  <c r="O1565" i="3"/>
  <c r="M1565" i="3"/>
  <c r="I8" i="3"/>
  <c r="P7" i="3"/>
  <c r="O7" i="3"/>
  <c r="N7" i="3"/>
  <c r="M7" i="3"/>
  <c r="L7" i="3"/>
  <c r="I2266" i="3"/>
  <c r="N2265" i="3"/>
  <c r="M2265" i="3"/>
  <c r="L2265" i="3"/>
  <c r="P2265" i="3"/>
  <c r="O2265" i="3"/>
  <c r="P2984" i="3"/>
  <c r="O2984" i="3"/>
  <c r="L2984" i="3"/>
  <c r="N2984" i="3"/>
  <c r="M2984" i="3"/>
  <c r="I2985" i="3"/>
  <c r="I3289" i="3"/>
  <c r="P3288" i="3"/>
  <c r="O3288" i="3"/>
  <c r="N3288" i="3"/>
  <c r="M3288" i="3"/>
  <c r="L3288" i="3"/>
  <c r="I2903" i="3"/>
  <c r="O2902" i="3"/>
  <c r="L2902" i="3"/>
  <c r="N2902" i="3"/>
  <c r="M2902" i="3"/>
  <c r="P2902" i="3"/>
  <c r="I666" i="3"/>
  <c r="P665" i="3"/>
  <c r="O665" i="3"/>
  <c r="M665" i="3"/>
  <c r="L665" i="3"/>
  <c r="N665" i="3"/>
  <c r="I1105" i="3"/>
  <c r="P1104" i="3"/>
  <c r="O1104" i="3"/>
  <c r="M1104" i="3"/>
  <c r="L1104" i="3"/>
  <c r="N1104" i="3"/>
  <c r="I3218" i="3"/>
  <c r="P3217" i="3"/>
  <c r="O3217" i="3"/>
  <c r="N3217" i="3"/>
  <c r="M3217" i="3"/>
  <c r="L3217" i="3"/>
  <c r="I79" i="3"/>
  <c r="N78" i="3"/>
  <c r="M78" i="3"/>
  <c r="L78" i="3"/>
  <c r="P78" i="3"/>
  <c r="O78" i="3"/>
  <c r="I1838" i="3"/>
  <c r="O1837" i="3"/>
  <c r="M1837" i="3"/>
  <c r="N1837" i="3"/>
  <c r="L1837" i="3"/>
  <c r="P1837" i="3"/>
  <c r="P2651" i="3"/>
  <c r="O2651" i="3"/>
  <c r="M2651" i="3"/>
  <c r="N2651" i="3"/>
  <c r="L2651" i="3"/>
  <c r="I814" i="3"/>
  <c r="O813" i="3"/>
  <c r="N813" i="3"/>
  <c r="M813" i="3"/>
  <c r="L813" i="3"/>
  <c r="P813" i="3"/>
  <c r="I2298" i="3"/>
  <c r="N2297" i="3"/>
  <c r="M2297" i="3"/>
  <c r="L2297" i="3"/>
  <c r="P2297" i="3"/>
  <c r="O2297" i="3"/>
  <c r="I1381" i="3"/>
  <c r="L1380" i="3"/>
  <c r="P1380" i="3"/>
  <c r="O1380" i="3"/>
  <c r="N1380" i="3"/>
  <c r="M1380" i="3"/>
  <c r="I2664" i="3"/>
  <c r="L2663" i="3"/>
  <c r="N2663" i="3"/>
  <c r="M2663" i="3"/>
  <c r="O2663" i="3"/>
  <c r="P2663" i="3"/>
  <c r="I906" i="3"/>
  <c r="M905" i="3"/>
  <c r="L905" i="3"/>
  <c r="O905" i="3"/>
  <c r="N905" i="3"/>
  <c r="P905" i="3"/>
  <c r="I3331" i="3"/>
  <c r="P3330" i="3"/>
  <c r="O3330" i="3"/>
  <c r="N3330" i="3"/>
  <c r="M3330" i="3"/>
  <c r="L3330" i="3"/>
  <c r="I2834" i="3"/>
  <c r="P2833" i="3"/>
  <c r="O2833" i="3"/>
  <c r="N2833" i="3"/>
  <c r="M2833" i="3"/>
  <c r="L2833" i="3"/>
  <c r="I1934" i="3"/>
  <c r="O1933" i="3"/>
  <c r="N1933" i="3"/>
  <c r="M1933" i="3"/>
  <c r="L1933" i="3"/>
  <c r="P1933" i="3"/>
  <c r="I1752" i="3"/>
  <c r="M1751" i="3"/>
  <c r="O1751" i="3"/>
  <c r="P1751" i="3"/>
  <c r="N1751" i="3"/>
  <c r="L1751" i="3"/>
  <c r="I591" i="3"/>
  <c r="P590" i="3"/>
  <c r="O590" i="3"/>
  <c r="N590" i="3"/>
  <c r="L590" i="3"/>
  <c r="M590" i="3"/>
  <c r="I156" i="3"/>
  <c r="M155" i="3"/>
  <c r="L155" i="3"/>
  <c r="O155" i="3"/>
  <c r="N155" i="3"/>
  <c r="P155" i="3"/>
  <c r="I1575" i="3"/>
  <c r="N1574" i="3"/>
  <c r="M1574" i="3"/>
  <c r="O1574" i="3"/>
  <c r="P1574" i="3"/>
  <c r="L1574" i="3"/>
  <c r="I548" i="3"/>
  <c r="P547" i="3"/>
  <c r="O547" i="3"/>
  <c r="N547" i="3"/>
  <c r="M547" i="3"/>
  <c r="L547" i="3"/>
  <c r="I3211" i="3"/>
  <c r="M3210" i="3"/>
  <c r="L3210" i="3"/>
  <c r="P3210" i="3"/>
  <c r="O3210" i="3"/>
  <c r="N3210" i="3"/>
  <c r="I802" i="3"/>
  <c r="P801" i="3"/>
  <c r="O801" i="3"/>
  <c r="M801" i="3"/>
  <c r="L801" i="3"/>
  <c r="N801" i="3"/>
  <c r="P2840" i="3"/>
  <c r="O2840" i="3"/>
  <c r="M2840" i="3"/>
  <c r="N2840" i="3"/>
  <c r="L2840" i="3"/>
  <c r="I1333" i="3"/>
  <c r="O1332" i="3"/>
  <c r="N1332" i="3"/>
  <c r="M1332" i="3"/>
  <c r="L1332" i="3"/>
  <c r="P1332" i="3"/>
  <c r="I652" i="3"/>
  <c r="P651" i="3"/>
  <c r="O651" i="3"/>
  <c r="N651" i="3"/>
  <c r="M651" i="3"/>
  <c r="L651" i="3"/>
  <c r="I1820" i="3"/>
  <c r="O1819" i="3"/>
  <c r="P1819" i="3"/>
  <c r="N1819" i="3"/>
  <c r="L1819" i="3"/>
  <c r="M1819" i="3"/>
  <c r="I894" i="3"/>
  <c r="P893" i="3"/>
  <c r="O893" i="3"/>
  <c r="N893" i="3"/>
  <c r="M893" i="3"/>
  <c r="L893" i="3"/>
  <c r="I116" i="3"/>
  <c r="M115" i="3"/>
  <c r="L115" i="3"/>
  <c r="O115" i="3"/>
  <c r="N115" i="3"/>
  <c r="P115" i="3"/>
  <c r="I2735" i="3"/>
  <c r="P2734" i="3"/>
  <c r="O2734" i="3"/>
  <c r="M2734" i="3"/>
  <c r="L2734" i="3"/>
  <c r="N2734" i="3"/>
  <c r="I677" i="3"/>
  <c r="L676" i="3"/>
  <c r="P676" i="3"/>
  <c r="N676" i="3"/>
  <c r="M676" i="3"/>
  <c r="O676" i="3"/>
  <c r="I2557" i="3"/>
  <c r="P2556" i="3"/>
  <c r="O2556" i="3"/>
  <c r="N2556" i="3"/>
  <c r="M2556" i="3"/>
  <c r="L2556" i="3"/>
  <c r="I131" i="3"/>
  <c r="P130" i="3"/>
  <c r="O130" i="3"/>
  <c r="N130" i="3"/>
  <c r="L130" i="3"/>
  <c r="M130" i="3"/>
  <c r="I1479" i="3"/>
  <c r="N1478" i="3"/>
  <c r="M1478" i="3"/>
  <c r="P1478" i="3"/>
  <c r="O1478" i="3"/>
  <c r="L1478" i="3"/>
  <c r="P1162" i="3"/>
  <c r="O1162" i="3"/>
  <c r="N1162" i="3"/>
  <c r="M1162" i="3"/>
  <c r="L1162" i="3"/>
  <c r="I1163" i="3"/>
  <c r="I1851" i="3"/>
  <c r="N1850" i="3"/>
  <c r="L1850" i="3"/>
  <c r="M1850" i="3"/>
  <c r="P1850" i="3"/>
  <c r="O1850" i="3"/>
  <c r="I2504" i="3"/>
  <c r="P2503" i="3"/>
  <c r="O2503" i="3"/>
  <c r="N2503" i="3"/>
  <c r="M2503" i="3"/>
  <c r="L2503" i="3"/>
  <c r="I639" i="3"/>
  <c r="P638" i="3"/>
  <c r="O638" i="3"/>
  <c r="N638" i="3"/>
  <c r="L638" i="3"/>
  <c r="M638" i="3"/>
  <c r="P2228" i="3"/>
  <c r="M2228" i="3"/>
  <c r="N2228" i="3"/>
  <c r="L2228" i="3"/>
  <c r="O2228" i="3"/>
  <c r="I2229" i="3"/>
  <c r="P369" i="3"/>
  <c r="O369" i="3"/>
  <c r="M369" i="3"/>
  <c r="L369" i="3"/>
  <c r="N369" i="3"/>
  <c r="I1270" i="3"/>
  <c r="P1269" i="3"/>
  <c r="O1269" i="3"/>
  <c r="N1269" i="3"/>
  <c r="M1269" i="3"/>
  <c r="L1269" i="3"/>
  <c r="I825" i="3"/>
  <c r="P824" i="3"/>
  <c r="O824" i="3"/>
  <c r="N824" i="3"/>
  <c r="M824" i="3"/>
  <c r="L824" i="3"/>
  <c r="P2003" i="3"/>
  <c r="O2003" i="3"/>
  <c r="N2003" i="3"/>
  <c r="M2003" i="3"/>
  <c r="L2003" i="3"/>
  <c r="I2004" i="3"/>
  <c r="I2916" i="3"/>
  <c r="P2915" i="3"/>
  <c r="O2915" i="3"/>
  <c r="N2915" i="3"/>
  <c r="M2915" i="3"/>
  <c r="L2915" i="3"/>
  <c r="I1119" i="3"/>
  <c r="M1118" i="3"/>
  <c r="L1118" i="3"/>
  <c r="O1118" i="3"/>
  <c r="N1118" i="3"/>
  <c r="P1118" i="3"/>
  <c r="I2820" i="3"/>
  <c r="P2819" i="3"/>
  <c r="O2819" i="3"/>
  <c r="N2819" i="3"/>
  <c r="M2819" i="3"/>
  <c r="L2819" i="3"/>
  <c r="N2510" i="3"/>
  <c r="M2510" i="3"/>
  <c r="L2510" i="3"/>
  <c r="O2510" i="3"/>
  <c r="P2510" i="3"/>
  <c r="I2341" i="3"/>
  <c r="O2340" i="3"/>
  <c r="N2340" i="3"/>
  <c r="M2340" i="3"/>
  <c r="L2340" i="3"/>
  <c r="P2340" i="3"/>
  <c r="I993" i="3"/>
  <c r="P992" i="3"/>
  <c r="O992" i="3"/>
  <c r="N992" i="3"/>
  <c r="L992" i="3"/>
  <c r="M992" i="3"/>
  <c r="I610" i="3"/>
  <c r="P609" i="3"/>
  <c r="O609" i="3"/>
  <c r="M609" i="3"/>
  <c r="L609" i="3"/>
  <c r="N609" i="3"/>
  <c r="I1646" i="3"/>
  <c r="O1645" i="3"/>
  <c r="N1645" i="3"/>
  <c r="M1645" i="3"/>
  <c r="P1645" i="3"/>
  <c r="L1645" i="3"/>
  <c r="I1139" i="3"/>
  <c r="P1138" i="3"/>
  <c r="O1138" i="3"/>
  <c r="N1138" i="3"/>
  <c r="M1138" i="3"/>
  <c r="L1138" i="3"/>
  <c r="I415" i="3"/>
  <c r="P414" i="3"/>
  <c r="O414" i="3"/>
  <c r="N414" i="3"/>
  <c r="L414" i="3"/>
  <c r="M414" i="3"/>
  <c r="I3001" i="3"/>
  <c r="P3000" i="3"/>
  <c r="O3000" i="3"/>
  <c r="L3000" i="3"/>
  <c r="N3000" i="3"/>
  <c r="M3000" i="3"/>
  <c r="I1722" i="3"/>
  <c r="M1721" i="3"/>
  <c r="L1721" i="3"/>
  <c r="O1721" i="3"/>
  <c r="P1721" i="3"/>
  <c r="N1721" i="3"/>
  <c r="P3040" i="3"/>
  <c r="O3040" i="3"/>
  <c r="N3040" i="3"/>
  <c r="L3040" i="3"/>
  <c r="M3040" i="3"/>
  <c r="I3041" i="3"/>
  <c r="L1091" i="3"/>
  <c r="P1091" i="3"/>
  <c r="N1091" i="3"/>
  <c r="M1091" i="3"/>
  <c r="O1091" i="3"/>
  <c r="I1675" i="3"/>
  <c r="N1674" i="3"/>
  <c r="P1674" i="3"/>
  <c r="O1674" i="3"/>
  <c r="L1674" i="3"/>
  <c r="M1674" i="3"/>
  <c r="I1604" i="3"/>
  <c r="P1603" i="3"/>
  <c r="L1603" i="3"/>
  <c r="N1603" i="3"/>
  <c r="O1603" i="3"/>
  <c r="M1603" i="3"/>
  <c r="N1962" i="3"/>
  <c r="M1962" i="3"/>
  <c r="L1962" i="3"/>
  <c r="P1962" i="3"/>
  <c r="O1962" i="3"/>
  <c r="I1963" i="3"/>
  <c r="I1495" i="3"/>
  <c r="N1494" i="3"/>
  <c r="M1494" i="3"/>
  <c r="L1494" i="3"/>
  <c r="P1494" i="3"/>
  <c r="O1494" i="3"/>
  <c r="I2944" i="3"/>
  <c r="M2943" i="3"/>
  <c r="L2943" i="3"/>
  <c r="P2943" i="3"/>
  <c r="O2943" i="3"/>
  <c r="N2943" i="3"/>
  <c r="I227" i="3"/>
  <c r="P226" i="3"/>
  <c r="O226" i="3"/>
  <c r="N226" i="3"/>
  <c r="L226" i="3"/>
  <c r="M226" i="3"/>
  <c r="I1804" i="3"/>
  <c r="O1803" i="3"/>
  <c r="M1803" i="3"/>
  <c r="L1803" i="3"/>
  <c r="P1803" i="3"/>
  <c r="N1803" i="3"/>
  <c r="I1464" i="3"/>
  <c r="P1463" i="3"/>
  <c r="O1463" i="3"/>
  <c r="N1463" i="3"/>
  <c r="L1463" i="3"/>
  <c r="M1463" i="3"/>
  <c r="I2408" i="3"/>
  <c r="P2407" i="3"/>
  <c r="O2407" i="3"/>
  <c r="N2407" i="3"/>
  <c r="M2407" i="3"/>
  <c r="L2407" i="3"/>
  <c r="I1257" i="3"/>
  <c r="P1256" i="3"/>
  <c r="O1256" i="3"/>
  <c r="N1256" i="3"/>
  <c r="M1256" i="3"/>
  <c r="L1256" i="3"/>
  <c r="I466" i="3"/>
  <c r="P465" i="3"/>
  <c r="O465" i="3"/>
  <c r="M465" i="3"/>
  <c r="L465" i="3"/>
  <c r="N465" i="3"/>
  <c r="I2076" i="3"/>
  <c r="O2075" i="3"/>
  <c r="N2075" i="3"/>
  <c r="M2075" i="3"/>
  <c r="L2075" i="3"/>
  <c r="P2075" i="3"/>
  <c r="I476" i="3"/>
  <c r="P475" i="3"/>
  <c r="O475" i="3"/>
  <c r="N475" i="3"/>
  <c r="M475" i="3"/>
  <c r="L475" i="3"/>
  <c r="I556" i="3"/>
  <c r="P555" i="3"/>
  <c r="O555" i="3"/>
  <c r="N555" i="3"/>
  <c r="M555" i="3"/>
  <c r="L555" i="3"/>
  <c r="I2488" i="3"/>
  <c r="P2487" i="3"/>
  <c r="O2487" i="3"/>
  <c r="N2487" i="3"/>
  <c r="M2487" i="3"/>
  <c r="L2487" i="3"/>
  <c r="P2952" i="3"/>
  <c r="O2952" i="3"/>
  <c r="N2952" i="3"/>
  <c r="M2952" i="3"/>
  <c r="L2952" i="3"/>
  <c r="I2953" i="3"/>
  <c r="I747" i="3"/>
  <c r="N746" i="3"/>
  <c r="M746" i="3"/>
  <c r="L746" i="3"/>
  <c r="P746" i="3"/>
  <c r="O746" i="3"/>
  <c r="I67" i="3"/>
  <c r="P66" i="3"/>
  <c r="O66" i="3"/>
  <c r="N66" i="3"/>
  <c r="L66" i="3"/>
  <c r="M66" i="3"/>
  <c r="I870" i="3"/>
  <c r="P869" i="3"/>
  <c r="O869" i="3"/>
  <c r="N869" i="3"/>
  <c r="M869" i="3"/>
  <c r="L869" i="3"/>
  <c r="I1324" i="3"/>
  <c r="L1323" i="3"/>
  <c r="P1323" i="3"/>
  <c r="O1323" i="3"/>
  <c r="N1323" i="3"/>
  <c r="M1323" i="3"/>
  <c r="I1707" i="3"/>
  <c r="N1706" i="3"/>
  <c r="O1706" i="3"/>
  <c r="M1706" i="3"/>
  <c r="P1706" i="3"/>
  <c r="L1706" i="3"/>
  <c r="I766" i="3"/>
  <c r="O765" i="3"/>
  <c r="N765" i="3"/>
  <c r="M765" i="3"/>
  <c r="L765" i="3"/>
  <c r="P765" i="3"/>
  <c r="O2169" i="3"/>
  <c r="L2169" i="3"/>
  <c r="N2169" i="3"/>
  <c r="M2169" i="3"/>
  <c r="P2169" i="3"/>
  <c r="I540" i="3"/>
  <c r="P539" i="3"/>
  <c r="O539" i="3"/>
  <c r="N539" i="3"/>
  <c r="M539" i="3"/>
  <c r="L539" i="3"/>
  <c r="I781" i="3"/>
  <c r="L780" i="3"/>
  <c r="P780" i="3"/>
  <c r="N780" i="3"/>
  <c r="M780" i="3"/>
  <c r="O780" i="3"/>
  <c r="I2392" i="3"/>
  <c r="P2391" i="3"/>
  <c r="O2391" i="3"/>
  <c r="N2391" i="3"/>
  <c r="M2391" i="3"/>
  <c r="L2391" i="3"/>
  <c r="V116" i="3" l="1"/>
  <c r="W116" i="3"/>
  <c r="W1886" i="3"/>
  <c r="V1886" i="3"/>
  <c r="V766" i="3"/>
  <c r="W766" i="3"/>
  <c r="V227" i="3"/>
  <c r="W227" i="3"/>
  <c r="V1604" i="3"/>
  <c r="W1604" i="3"/>
  <c r="V1119" i="3"/>
  <c r="W1119" i="3"/>
  <c r="V1270" i="3"/>
  <c r="W1270" i="3"/>
  <c r="V802" i="3"/>
  <c r="W802" i="3"/>
  <c r="V156" i="3"/>
  <c r="W156" i="3"/>
  <c r="W2834" i="3"/>
  <c r="V2834" i="3"/>
  <c r="V3105" i="3"/>
  <c r="W3105" i="3"/>
  <c r="W2929" i="3"/>
  <c r="V2929" i="3"/>
  <c r="W2778" i="3"/>
  <c r="V2778" i="3"/>
  <c r="V1296" i="3"/>
  <c r="W1296" i="3"/>
  <c r="W2033" i="3"/>
  <c r="V2033" i="3"/>
  <c r="V196" i="3"/>
  <c r="W196" i="3"/>
  <c r="W458" i="3"/>
  <c r="V458" i="3"/>
  <c r="V275" i="3"/>
  <c r="W275" i="3"/>
  <c r="W1311" i="3"/>
  <c r="V1311" i="3"/>
  <c r="V945" i="3"/>
  <c r="W945" i="3"/>
  <c r="V2792" i="3"/>
  <c r="W2792" i="3"/>
  <c r="V1067" i="3"/>
  <c r="W1067" i="3"/>
  <c r="W2437" i="3"/>
  <c r="V2437" i="3"/>
  <c r="V265" i="3"/>
  <c r="W265" i="3"/>
  <c r="V2019" i="3"/>
  <c r="W2019" i="3"/>
  <c r="V3385" i="3"/>
  <c r="W3385" i="3"/>
  <c r="V2199" i="3"/>
  <c r="W2199" i="3"/>
  <c r="V1699" i="3"/>
  <c r="W1699" i="3"/>
  <c r="V256" i="3"/>
  <c r="W256" i="3"/>
  <c r="I257" i="3"/>
  <c r="N256" i="3"/>
  <c r="M256" i="3"/>
  <c r="P256" i="3"/>
  <c r="O256" i="3"/>
  <c r="L256" i="3"/>
  <c r="V1010" i="3"/>
  <c r="W1010" i="3"/>
  <c r="V1584" i="3"/>
  <c r="W1584" i="3"/>
  <c r="W2721" i="3"/>
  <c r="V2721" i="3"/>
  <c r="V1417" i="3"/>
  <c r="W1417" i="3"/>
  <c r="V977" i="3"/>
  <c r="W977" i="3"/>
  <c r="V169" i="3"/>
  <c r="W169" i="3"/>
  <c r="V484" i="3"/>
  <c r="W484" i="3"/>
  <c r="W450" i="3"/>
  <c r="V450" i="3"/>
  <c r="V2092" i="3"/>
  <c r="W2092" i="3"/>
  <c r="W1914" i="3"/>
  <c r="V1914" i="3"/>
  <c r="N1914" i="3"/>
  <c r="P1914" i="3"/>
  <c r="O1914" i="3"/>
  <c r="L1914" i="3"/>
  <c r="M1914" i="3"/>
  <c r="I1915" i="3"/>
  <c r="V67" i="3"/>
  <c r="W67" i="3"/>
  <c r="V556" i="3"/>
  <c r="W556" i="3"/>
  <c r="V1257" i="3"/>
  <c r="W1257" i="3"/>
  <c r="V1381" i="3"/>
  <c r="W1381" i="3"/>
  <c r="V2392" i="3"/>
  <c r="W2392" i="3"/>
  <c r="V1139" i="3"/>
  <c r="W1139" i="3"/>
  <c r="V993" i="3"/>
  <c r="W993" i="3"/>
  <c r="V639" i="3"/>
  <c r="W639" i="3"/>
  <c r="V1479" i="3"/>
  <c r="W1479" i="3"/>
  <c r="V2735" i="3"/>
  <c r="W2735" i="3"/>
  <c r="V652" i="3"/>
  <c r="W652" i="3"/>
  <c r="V1105" i="3"/>
  <c r="W1105" i="3"/>
  <c r="V721" i="3"/>
  <c r="W721" i="3"/>
  <c r="W2969" i="3"/>
  <c r="V2969" i="3"/>
  <c r="V1353" i="3"/>
  <c r="W1353" i="3"/>
  <c r="V2376" i="3"/>
  <c r="W2376" i="3"/>
  <c r="V246" i="3"/>
  <c r="W246" i="3"/>
  <c r="V841" i="3"/>
  <c r="W841" i="3"/>
  <c r="V1210" i="3"/>
  <c r="W1210" i="3"/>
  <c r="V183" i="3"/>
  <c r="W183" i="3"/>
  <c r="V757" i="3"/>
  <c r="W757" i="3"/>
  <c r="V2860" i="3"/>
  <c r="W2860" i="3"/>
  <c r="W531" i="3"/>
  <c r="V531" i="3"/>
  <c r="V2748" i="3"/>
  <c r="W2748" i="3"/>
  <c r="V217" i="3"/>
  <c r="W217" i="3"/>
  <c r="V343" i="3"/>
  <c r="W343" i="3"/>
  <c r="V1519" i="3"/>
  <c r="W1519" i="3"/>
  <c r="V2176" i="3"/>
  <c r="W2176" i="3"/>
  <c r="V1174" i="3"/>
  <c r="W1174" i="3"/>
  <c r="V1767" i="3"/>
  <c r="W1767" i="3"/>
  <c r="V1196" i="3"/>
  <c r="W1196" i="3"/>
  <c r="V1051" i="3"/>
  <c r="W1051" i="3"/>
  <c r="W1877" i="3"/>
  <c r="V1877" i="3"/>
  <c r="V2282" i="3"/>
  <c r="W2282" i="3"/>
  <c r="V3069" i="3"/>
  <c r="W3069" i="3"/>
  <c r="W2517" i="3"/>
  <c r="V2517" i="3"/>
  <c r="V2123" i="3"/>
  <c r="W2123" i="3"/>
  <c r="V3149" i="3"/>
  <c r="W3149" i="3"/>
  <c r="W2058" i="3"/>
  <c r="V2058" i="3"/>
  <c r="I2059" i="3"/>
  <c r="O2058" i="3"/>
  <c r="M2058" i="3"/>
  <c r="P2058" i="3"/>
  <c r="N2058" i="3"/>
  <c r="L2058" i="3"/>
  <c r="V1976" i="3"/>
  <c r="W1976" i="3"/>
  <c r="M1976" i="3"/>
  <c r="O1976" i="3"/>
  <c r="L1976" i="3"/>
  <c r="I1977" i="3"/>
  <c r="P1976" i="3"/>
  <c r="N1976" i="3"/>
  <c r="W1661" i="3"/>
  <c r="V1661" i="3"/>
  <c r="W3055" i="3"/>
  <c r="V3055" i="3"/>
  <c r="V920" i="3"/>
  <c r="W920" i="3"/>
  <c r="V2488" i="3"/>
  <c r="W2488" i="3"/>
  <c r="V2357" i="3"/>
  <c r="W2357" i="3"/>
  <c r="V2322" i="3"/>
  <c r="W2322" i="3"/>
  <c r="W407" i="3"/>
  <c r="V407" i="3"/>
  <c r="V22" i="3"/>
  <c r="W22" i="3"/>
  <c r="V954" i="3"/>
  <c r="W954" i="3"/>
  <c r="W2889" i="3"/>
  <c r="V2889" i="3"/>
  <c r="W1737" i="3"/>
  <c r="V1737" i="3"/>
  <c r="W1223" i="3"/>
  <c r="V1223" i="3"/>
  <c r="O1223" i="3"/>
  <c r="N1223" i="3"/>
  <c r="L1223" i="3"/>
  <c r="P1223" i="3"/>
  <c r="M1223" i="3"/>
  <c r="I1224" i="3"/>
  <c r="V2137" i="3"/>
  <c r="W2137" i="3"/>
  <c r="L2137" i="3"/>
  <c r="P2137" i="3"/>
  <c r="M2137" i="3"/>
  <c r="I2138" i="3"/>
  <c r="O2137" i="3"/>
  <c r="N2137" i="3"/>
  <c r="V2341" i="3"/>
  <c r="W2341" i="3"/>
  <c r="V2004" i="3"/>
  <c r="W2004" i="3"/>
  <c r="V49" i="3"/>
  <c r="W49" i="3"/>
  <c r="V630" i="3"/>
  <c r="W630" i="3"/>
  <c r="V1804" i="3"/>
  <c r="W1804" i="3"/>
  <c r="V2820" i="3"/>
  <c r="W2820" i="3"/>
  <c r="V3346" i="3"/>
  <c r="W3346" i="3"/>
  <c r="W2853" i="3"/>
  <c r="V2853" i="3"/>
  <c r="W3027" i="3"/>
  <c r="V3027" i="3"/>
  <c r="W2454" i="3"/>
  <c r="V2454" i="3"/>
  <c r="V1820" i="3"/>
  <c r="W1820" i="3"/>
  <c r="V3289" i="3"/>
  <c r="W3289" i="3"/>
  <c r="W1830" i="3"/>
  <c r="V1830" i="3"/>
  <c r="V322" i="3"/>
  <c r="W322" i="3"/>
  <c r="W494" i="3"/>
  <c r="V494" i="3"/>
  <c r="W2706" i="3"/>
  <c r="V2706" i="3"/>
  <c r="V1991" i="3"/>
  <c r="W1991" i="3"/>
  <c r="V2043" i="3"/>
  <c r="W2043" i="3"/>
  <c r="W2573" i="3"/>
  <c r="V2573" i="3"/>
  <c r="V103" i="3"/>
  <c r="W103" i="3"/>
  <c r="V881" i="3"/>
  <c r="W881" i="3"/>
  <c r="W1722" i="3"/>
  <c r="V1722" i="3"/>
  <c r="W1646" i="3"/>
  <c r="V1646" i="3"/>
  <c r="V3253" i="3"/>
  <c r="W3253" i="3"/>
  <c r="W2597" i="3"/>
  <c r="V2597" i="3"/>
  <c r="V936" i="3"/>
  <c r="W936" i="3"/>
  <c r="V963" i="3"/>
  <c r="W963" i="3"/>
  <c r="V2145" i="3"/>
  <c r="W2145" i="3"/>
  <c r="V331" i="3"/>
  <c r="W331" i="3"/>
  <c r="V236" i="3"/>
  <c r="W236" i="3"/>
  <c r="V90" i="3"/>
  <c r="W90" i="3"/>
  <c r="V1448" i="3"/>
  <c r="W1448" i="3"/>
  <c r="V1324" i="3"/>
  <c r="W1324" i="3"/>
  <c r="V2076" i="3"/>
  <c r="W2076" i="3"/>
  <c r="V1495" i="3"/>
  <c r="W1495" i="3"/>
  <c r="V3041" i="3"/>
  <c r="W3041" i="3"/>
  <c r="V548" i="3"/>
  <c r="W548" i="3"/>
  <c r="V1752" i="3"/>
  <c r="W1752" i="3"/>
  <c r="V906" i="3"/>
  <c r="W906" i="3"/>
  <c r="V814" i="3"/>
  <c r="W814" i="3"/>
  <c r="W2985" i="3"/>
  <c r="V2985" i="3"/>
  <c r="W386" i="3"/>
  <c r="V386" i="3"/>
  <c r="V140" i="3"/>
  <c r="W140" i="3"/>
  <c r="V3300" i="3"/>
  <c r="W3300" i="3"/>
  <c r="V2876" i="3"/>
  <c r="W2876" i="3"/>
  <c r="W2585" i="3"/>
  <c r="V2585" i="3"/>
  <c r="V2212" i="3"/>
  <c r="W2212" i="3"/>
  <c r="W1793" i="3"/>
  <c r="V1793" i="3"/>
  <c r="W3083" i="3"/>
  <c r="V3083" i="3"/>
  <c r="V2314" i="3"/>
  <c r="W2314" i="3"/>
  <c r="W503" i="3"/>
  <c r="V503" i="3"/>
  <c r="W1689" i="3"/>
  <c r="V1689" i="3"/>
  <c r="V2679" i="3"/>
  <c r="W2679" i="3"/>
  <c r="V207" i="3"/>
  <c r="W207" i="3"/>
  <c r="V854" i="3"/>
  <c r="W854" i="3"/>
  <c r="W2541" i="3"/>
  <c r="V2541" i="3"/>
  <c r="V520" i="3"/>
  <c r="W520" i="3"/>
  <c r="I521" i="3"/>
  <c r="P520" i="3"/>
  <c r="O520" i="3"/>
  <c r="N520" i="3"/>
  <c r="M520" i="3"/>
  <c r="L520" i="3"/>
  <c r="W2953" i="3"/>
  <c r="V2953" i="3"/>
  <c r="V1333" i="3"/>
  <c r="W1333" i="3"/>
  <c r="W1838" i="3"/>
  <c r="V1838" i="3"/>
  <c r="V666" i="3"/>
  <c r="W666" i="3"/>
  <c r="V2266" i="3"/>
  <c r="W2266" i="3"/>
  <c r="W431" i="3"/>
  <c r="V431" i="3"/>
  <c r="W2610" i="3"/>
  <c r="V2610" i="3"/>
  <c r="V1619" i="3"/>
  <c r="W1619" i="3"/>
  <c r="W466" i="3"/>
  <c r="V466" i="3"/>
  <c r="W1934" i="3"/>
  <c r="V1934" i="3"/>
  <c r="W610" i="3"/>
  <c r="V610" i="3"/>
  <c r="V677" i="3"/>
  <c r="W677" i="3"/>
  <c r="W1566" i="3"/>
  <c r="V1566" i="3"/>
  <c r="V1238" i="3"/>
  <c r="W1238" i="3"/>
  <c r="V1098" i="3"/>
  <c r="W1098" i="3"/>
  <c r="V1595" i="3"/>
  <c r="W1595" i="3"/>
  <c r="V2692" i="3"/>
  <c r="W2692" i="3"/>
  <c r="V1129" i="3"/>
  <c r="W1129" i="3"/>
  <c r="W3271" i="3"/>
  <c r="V3271" i="3"/>
  <c r="V376" i="3"/>
  <c r="W376" i="3"/>
  <c r="V1393" i="3"/>
  <c r="W1393" i="3"/>
  <c r="V1464" i="3"/>
  <c r="W1464" i="3"/>
  <c r="V540" i="3"/>
  <c r="W540" i="3"/>
  <c r="V1963" i="3"/>
  <c r="W1963" i="3"/>
  <c r="W3001" i="3"/>
  <c r="V3001" i="3"/>
  <c r="V1851" i="3"/>
  <c r="W1851" i="3"/>
  <c r="W2557" i="3"/>
  <c r="V2557" i="3"/>
  <c r="V894" i="3"/>
  <c r="W894" i="3"/>
  <c r="V79" i="3"/>
  <c r="W79" i="3"/>
  <c r="V2903" i="3"/>
  <c r="W2903" i="3"/>
  <c r="V8" i="3"/>
  <c r="W8" i="3"/>
  <c r="V690" i="3"/>
  <c r="W690" i="3"/>
  <c r="V291" i="3"/>
  <c r="W291" i="3"/>
  <c r="V1081" i="3"/>
  <c r="W1081" i="3"/>
  <c r="V307" i="3"/>
  <c r="W307" i="3"/>
  <c r="W1529" i="3"/>
  <c r="V1529" i="3"/>
  <c r="V705" i="3"/>
  <c r="W705" i="3"/>
  <c r="V1864" i="3"/>
  <c r="W1864" i="3"/>
  <c r="V1184" i="3"/>
  <c r="W1184" i="3"/>
  <c r="W1367" i="3"/>
  <c r="V1367" i="3"/>
  <c r="V1432" i="3"/>
  <c r="W1432" i="3"/>
  <c r="V3180" i="3"/>
  <c r="W3180" i="3"/>
  <c r="W3375" i="3"/>
  <c r="V3375" i="3"/>
  <c r="V2247" i="3"/>
  <c r="W2247" i="3"/>
  <c r="V620" i="3"/>
  <c r="W620" i="3"/>
  <c r="V1402" i="3"/>
  <c r="W1402" i="3"/>
  <c r="W3195" i="3"/>
  <c r="V3195" i="3"/>
  <c r="W3127" i="3"/>
  <c r="V3127" i="3"/>
  <c r="W511" i="3"/>
  <c r="V511" i="3"/>
  <c r="V3013" i="3"/>
  <c r="W3013" i="3"/>
  <c r="V1551" i="3"/>
  <c r="W1551" i="3"/>
  <c r="V2107" i="3"/>
  <c r="W2107" i="3"/>
  <c r="V781" i="3"/>
  <c r="W781" i="3"/>
  <c r="V2504" i="3"/>
  <c r="W2504" i="3"/>
  <c r="V131" i="3"/>
  <c r="W131" i="3"/>
  <c r="V790" i="3"/>
  <c r="W790" i="3"/>
  <c r="W579" i="3"/>
  <c r="V579" i="3"/>
  <c r="V3164" i="3"/>
  <c r="W3164" i="3"/>
  <c r="V870" i="3"/>
  <c r="W870" i="3"/>
  <c r="V825" i="3"/>
  <c r="W825" i="3"/>
  <c r="V1575" i="3"/>
  <c r="W1575" i="3"/>
  <c r="V2664" i="3"/>
  <c r="W2664" i="3"/>
  <c r="W2529" i="3"/>
  <c r="V2529" i="3"/>
  <c r="V354" i="3"/>
  <c r="W354" i="3"/>
  <c r="W415" i="3"/>
  <c r="V415" i="3"/>
  <c r="V3218" i="3"/>
  <c r="W3218" i="3"/>
  <c r="V2157" i="3"/>
  <c r="W2157" i="3"/>
  <c r="V441" i="3"/>
  <c r="W441" i="3"/>
  <c r="W2470" i="3"/>
  <c r="V2470" i="3"/>
  <c r="V2624" i="3"/>
  <c r="W2624" i="3"/>
  <c r="W2638" i="3"/>
  <c r="V2638" i="3"/>
  <c r="W1782" i="3"/>
  <c r="V1782" i="3"/>
  <c r="V1707" i="3"/>
  <c r="W1707" i="3"/>
  <c r="V747" i="3"/>
  <c r="W747" i="3"/>
  <c r="V476" i="3"/>
  <c r="W476" i="3"/>
  <c r="V2408" i="3"/>
  <c r="W2408" i="3"/>
  <c r="V2944" i="3"/>
  <c r="W2944" i="3"/>
  <c r="V1675" i="3"/>
  <c r="W1675" i="3"/>
  <c r="V2916" i="3"/>
  <c r="W2916" i="3"/>
  <c r="V2229" i="3"/>
  <c r="W2229" i="3"/>
  <c r="V1163" i="3"/>
  <c r="W1163" i="3"/>
  <c r="W3211" i="3"/>
  <c r="V3211" i="3"/>
  <c r="W591" i="3"/>
  <c r="V591" i="3"/>
  <c r="W3331" i="3"/>
  <c r="V3331" i="3"/>
  <c r="V2298" i="3"/>
  <c r="W2298" i="3"/>
  <c r="W567" i="3"/>
  <c r="V567" i="3"/>
  <c r="W1509" i="3"/>
  <c r="V1509" i="3"/>
  <c r="V2807" i="3"/>
  <c r="W2807" i="3"/>
  <c r="W1949" i="3"/>
  <c r="V1949" i="3"/>
  <c r="W1634" i="3"/>
  <c r="V1634" i="3"/>
  <c r="V3316" i="3"/>
  <c r="W3316" i="3"/>
  <c r="V1027" i="3"/>
  <c r="W1027" i="3"/>
  <c r="V1900" i="3"/>
  <c r="W1900" i="3"/>
  <c r="V2764" i="3"/>
  <c r="W2764" i="3"/>
  <c r="V1154" i="3"/>
  <c r="W1154" i="3"/>
  <c r="W3359" i="3"/>
  <c r="V3359" i="3"/>
  <c r="V1280" i="3"/>
  <c r="W1280" i="3"/>
  <c r="V2191" i="3"/>
  <c r="W2191" i="3"/>
  <c r="W3235" i="3"/>
  <c r="V3235" i="3"/>
  <c r="V35" i="3"/>
  <c r="W35" i="3"/>
  <c r="W2421" i="3"/>
  <c r="V2421" i="3"/>
  <c r="V1040" i="3"/>
  <c r="W1040" i="3"/>
  <c r="P1040" i="3"/>
  <c r="O1040" i="3"/>
  <c r="L1040" i="3"/>
  <c r="M1040" i="3"/>
  <c r="I1041" i="3"/>
  <c r="N1040" i="3"/>
  <c r="I1325" i="3"/>
  <c r="O1324" i="3"/>
  <c r="N1324" i="3"/>
  <c r="M1324" i="3"/>
  <c r="L1324" i="3"/>
  <c r="P1324" i="3"/>
  <c r="I549" i="3"/>
  <c r="L548" i="3"/>
  <c r="P548" i="3"/>
  <c r="N548" i="3"/>
  <c r="M548" i="3"/>
  <c r="O548" i="3"/>
  <c r="I1753" i="3"/>
  <c r="P1752" i="3"/>
  <c r="M1752" i="3"/>
  <c r="L1752" i="3"/>
  <c r="N1752" i="3"/>
  <c r="O1752" i="3"/>
  <c r="I907" i="3"/>
  <c r="P906" i="3"/>
  <c r="O906" i="3"/>
  <c r="N906" i="3"/>
  <c r="M906" i="3"/>
  <c r="L906" i="3"/>
  <c r="I815" i="3"/>
  <c r="P814" i="3"/>
  <c r="O814" i="3"/>
  <c r="N814" i="3"/>
  <c r="L814" i="3"/>
  <c r="M814" i="3"/>
  <c r="I2986" i="3"/>
  <c r="O2985" i="3"/>
  <c r="P2985" i="3"/>
  <c r="N2985" i="3"/>
  <c r="M2985" i="3"/>
  <c r="L2985" i="3"/>
  <c r="I387" i="3"/>
  <c r="N386" i="3"/>
  <c r="M386" i="3"/>
  <c r="L386" i="3"/>
  <c r="P386" i="3"/>
  <c r="O386" i="3"/>
  <c r="I141" i="3"/>
  <c r="P140" i="3"/>
  <c r="O140" i="3"/>
  <c r="N140" i="3"/>
  <c r="M140" i="3"/>
  <c r="L140" i="3"/>
  <c r="I3301" i="3"/>
  <c r="N3300" i="3"/>
  <c r="M3300" i="3"/>
  <c r="L3300" i="3"/>
  <c r="P3300" i="3"/>
  <c r="O3300" i="3"/>
  <c r="I2877" i="3"/>
  <c r="L2876" i="3"/>
  <c r="N2876" i="3"/>
  <c r="M2876" i="3"/>
  <c r="P2876" i="3"/>
  <c r="O2876" i="3"/>
  <c r="I2586" i="3"/>
  <c r="O2585" i="3"/>
  <c r="N2585" i="3"/>
  <c r="M2585" i="3"/>
  <c r="L2585" i="3"/>
  <c r="P2585" i="3"/>
  <c r="I2213" i="3"/>
  <c r="P2212" i="3"/>
  <c r="M2212" i="3"/>
  <c r="N2212" i="3"/>
  <c r="L2212" i="3"/>
  <c r="O2212" i="3"/>
  <c r="I1794" i="3"/>
  <c r="P1793" i="3"/>
  <c r="N1793" i="3"/>
  <c r="M1793" i="3"/>
  <c r="L1793" i="3"/>
  <c r="O1793" i="3"/>
  <c r="I3084" i="3"/>
  <c r="O3083" i="3"/>
  <c r="N3083" i="3"/>
  <c r="L3083" i="3"/>
  <c r="M3083" i="3"/>
  <c r="P3083" i="3"/>
  <c r="P2314" i="3"/>
  <c r="O2314" i="3"/>
  <c r="N2314" i="3"/>
  <c r="L2314" i="3"/>
  <c r="M2314" i="3"/>
  <c r="I504" i="3"/>
  <c r="M503" i="3"/>
  <c r="L503" i="3"/>
  <c r="O503" i="3"/>
  <c r="N503" i="3"/>
  <c r="P503" i="3"/>
  <c r="I1690" i="3"/>
  <c r="P1689" i="3"/>
  <c r="N1689" i="3"/>
  <c r="M1689" i="3"/>
  <c r="O1689" i="3"/>
  <c r="L1689" i="3"/>
  <c r="I2680" i="3"/>
  <c r="N2679" i="3"/>
  <c r="M2679" i="3"/>
  <c r="L2679" i="3"/>
  <c r="P2679" i="3"/>
  <c r="O2679" i="3"/>
  <c r="I208" i="3"/>
  <c r="P207" i="3"/>
  <c r="O207" i="3"/>
  <c r="N207" i="3"/>
  <c r="M207" i="3"/>
  <c r="L207" i="3"/>
  <c r="I855" i="3"/>
  <c r="L854" i="3"/>
  <c r="P854" i="3"/>
  <c r="N854" i="3"/>
  <c r="M854" i="3"/>
  <c r="O854" i="3"/>
  <c r="I2542" i="3"/>
  <c r="P2541" i="3"/>
  <c r="O2541" i="3"/>
  <c r="M2541" i="3"/>
  <c r="N2541" i="3"/>
  <c r="L2541" i="3"/>
  <c r="I2077" i="3"/>
  <c r="M2076" i="3"/>
  <c r="P2076" i="3"/>
  <c r="O2076" i="3"/>
  <c r="N2076" i="3"/>
  <c r="L2076" i="3"/>
  <c r="I541" i="3"/>
  <c r="L540" i="3"/>
  <c r="P540" i="3"/>
  <c r="N540" i="3"/>
  <c r="M540" i="3"/>
  <c r="O540" i="3"/>
  <c r="I2904" i="3"/>
  <c r="M2903" i="3"/>
  <c r="L2903" i="3"/>
  <c r="P2903" i="3"/>
  <c r="O2903" i="3"/>
  <c r="N2903" i="3"/>
  <c r="I9" i="3"/>
  <c r="L8" i="3"/>
  <c r="P8" i="3"/>
  <c r="N8" i="3"/>
  <c r="M8" i="3"/>
  <c r="O8" i="3"/>
  <c r="I691" i="3"/>
  <c r="N690" i="3"/>
  <c r="M690" i="3"/>
  <c r="L690" i="3"/>
  <c r="P690" i="3"/>
  <c r="O690" i="3"/>
  <c r="I292" i="3"/>
  <c r="M291" i="3"/>
  <c r="L291" i="3"/>
  <c r="O291" i="3"/>
  <c r="N291" i="3"/>
  <c r="P291" i="3"/>
  <c r="I1082" i="3"/>
  <c r="N1081" i="3"/>
  <c r="M1081" i="3"/>
  <c r="P1081" i="3"/>
  <c r="O1081" i="3"/>
  <c r="L1081" i="3"/>
  <c r="I308" i="3"/>
  <c r="M307" i="3"/>
  <c r="L307" i="3"/>
  <c r="O307" i="3"/>
  <c r="N307" i="3"/>
  <c r="P307" i="3"/>
  <c r="I1530" i="3"/>
  <c r="O1529" i="3"/>
  <c r="N1529" i="3"/>
  <c r="P1529" i="3"/>
  <c r="M1529" i="3"/>
  <c r="L1529" i="3"/>
  <c r="I706" i="3"/>
  <c r="P705" i="3"/>
  <c r="O705" i="3"/>
  <c r="M705" i="3"/>
  <c r="L705" i="3"/>
  <c r="N705" i="3"/>
  <c r="I1865" i="3"/>
  <c r="P1864" i="3"/>
  <c r="N1864" i="3"/>
  <c r="O1864" i="3"/>
  <c r="M1864" i="3"/>
  <c r="L1864" i="3"/>
  <c r="I1185" i="3"/>
  <c r="P1184" i="3"/>
  <c r="O1184" i="3"/>
  <c r="N1184" i="3"/>
  <c r="M1184" i="3"/>
  <c r="L1184" i="3"/>
  <c r="I1368" i="3"/>
  <c r="P1367" i="3"/>
  <c r="O1367" i="3"/>
  <c r="N1367" i="3"/>
  <c r="M1367" i="3"/>
  <c r="L1367" i="3"/>
  <c r="I1433" i="3"/>
  <c r="P1432" i="3"/>
  <c r="O1432" i="3"/>
  <c r="N1432" i="3"/>
  <c r="L1432" i="3"/>
  <c r="M1432" i="3"/>
  <c r="I3181" i="3"/>
  <c r="P3180" i="3"/>
  <c r="O3180" i="3"/>
  <c r="M3180" i="3"/>
  <c r="L3180" i="3"/>
  <c r="N3180" i="3"/>
  <c r="I3376" i="3"/>
  <c r="O3375" i="3"/>
  <c r="N3375" i="3"/>
  <c r="M3375" i="3"/>
  <c r="L3375" i="3"/>
  <c r="P3375" i="3"/>
  <c r="I2248" i="3"/>
  <c r="L2247" i="3"/>
  <c r="N2247" i="3"/>
  <c r="P2247" i="3"/>
  <c r="O2247" i="3"/>
  <c r="M2247" i="3"/>
  <c r="I621" i="3"/>
  <c r="L620" i="3"/>
  <c r="P620" i="3"/>
  <c r="N620" i="3"/>
  <c r="M620" i="3"/>
  <c r="O620" i="3"/>
  <c r="I1403" i="3"/>
  <c r="L1402" i="3"/>
  <c r="O1402" i="3"/>
  <c r="P1402" i="3"/>
  <c r="N1402" i="3"/>
  <c r="M1402" i="3"/>
  <c r="I3196" i="3"/>
  <c r="P3195" i="3"/>
  <c r="O3195" i="3"/>
  <c r="N3195" i="3"/>
  <c r="M3195" i="3"/>
  <c r="L3195" i="3"/>
  <c r="I3128" i="3"/>
  <c r="P3127" i="3"/>
  <c r="O3127" i="3"/>
  <c r="N3127" i="3"/>
  <c r="M3127" i="3"/>
  <c r="L3127" i="3"/>
  <c r="I512" i="3"/>
  <c r="M511" i="3"/>
  <c r="L511" i="3"/>
  <c r="O511" i="3"/>
  <c r="N511" i="3"/>
  <c r="P511" i="3"/>
  <c r="I3014" i="3"/>
  <c r="O3013" i="3"/>
  <c r="N3013" i="3"/>
  <c r="M3013" i="3"/>
  <c r="P3013" i="3"/>
  <c r="L3013" i="3"/>
  <c r="I1552" i="3"/>
  <c r="P1551" i="3"/>
  <c r="N1551" i="3"/>
  <c r="M1551" i="3"/>
  <c r="L1551" i="3"/>
  <c r="O1551" i="3"/>
  <c r="P2107" i="3"/>
  <c r="O2107" i="3"/>
  <c r="M2107" i="3"/>
  <c r="N2107" i="3"/>
  <c r="L2107" i="3"/>
  <c r="I2108" i="3"/>
  <c r="I1465" i="3"/>
  <c r="N1464" i="3"/>
  <c r="M1464" i="3"/>
  <c r="L1464" i="3"/>
  <c r="P1464" i="3"/>
  <c r="O1464" i="3"/>
  <c r="I3042" i="3"/>
  <c r="O3041" i="3"/>
  <c r="P3041" i="3"/>
  <c r="L3041" i="3"/>
  <c r="N3041" i="3"/>
  <c r="M3041" i="3"/>
  <c r="I1708" i="3"/>
  <c r="O1707" i="3"/>
  <c r="P1707" i="3"/>
  <c r="N1707" i="3"/>
  <c r="L1707" i="3"/>
  <c r="M1707" i="3"/>
  <c r="I748" i="3"/>
  <c r="P747" i="3"/>
  <c r="O747" i="3"/>
  <c r="N747" i="3"/>
  <c r="M747" i="3"/>
  <c r="L747" i="3"/>
  <c r="I477" i="3"/>
  <c r="L476" i="3"/>
  <c r="P476" i="3"/>
  <c r="N476" i="3"/>
  <c r="O476" i="3"/>
  <c r="M476" i="3"/>
  <c r="I2409" i="3"/>
  <c r="P2408" i="3"/>
  <c r="M2408" i="3"/>
  <c r="L2408" i="3"/>
  <c r="O2408" i="3"/>
  <c r="N2408" i="3"/>
  <c r="P2944" i="3"/>
  <c r="O2944" i="3"/>
  <c r="N2944" i="3"/>
  <c r="M2944" i="3"/>
  <c r="L2944" i="3"/>
  <c r="I2945" i="3"/>
  <c r="I1676" i="3"/>
  <c r="N1675" i="3"/>
  <c r="M1675" i="3"/>
  <c r="P1675" i="3"/>
  <c r="O1675" i="3"/>
  <c r="L1675" i="3"/>
  <c r="I2917" i="3"/>
  <c r="L2916" i="3"/>
  <c r="P2916" i="3"/>
  <c r="O2916" i="3"/>
  <c r="N2916" i="3"/>
  <c r="M2916" i="3"/>
  <c r="I2230" i="3"/>
  <c r="N2229" i="3"/>
  <c r="M2229" i="3"/>
  <c r="L2229" i="3"/>
  <c r="P2229" i="3"/>
  <c r="O2229" i="3"/>
  <c r="I1164" i="3"/>
  <c r="L1163" i="3"/>
  <c r="P1163" i="3"/>
  <c r="N1163" i="3"/>
  <c r="M1163" i="3"/>
  <c r="O1163" i="3"/>
  <c r="P3211" i="3"/>
  <c r="O3211" i="3"/>
  <c r="N3211" i="3"/>
  <c r="M3211" i="3"/>
  <c r="L3211" i="3"/>
  <c r="I592" i="3"/>
  <c r="M591" i="3"/>
  <c r="L591" i="3"/>
  <c r="O591" i="3"/>
  <c r="N591" i="3"/>
  <c r="P591" i="3"/>
  <c r="I3332" i="3"/>
  <c r="P3331" i="3"/>
  <c r="O3331" i="3"/>
  <c r="N3331" i="3"/>
  <c r="M3331" i="3"/>
  <c r="L3331" i="3"/>
  <c r="I2299" i="3"/>
  <c r="P2298" i="3"/>
  <c r="O2298" i="3"/>
  <c r="N2298" i="3"/>
  <c r="L2298" i="3"/>
  <c r="M2298" i="3"/>
  <c r="I568" i="3"/>
  <c r="M567" i="3"/>
  <c r="L567" i="3"/>
  <c r="O567" i="3"/>
  <c r="N567" i="3"/>
  <c r="P567" i="3"/>
  <c r="I1510" i="3"/>
  <c r="M1509" i="3"/>
  <c r="L1509" i="3"/>
  <c r="O1509" i="3"/>
  <c r="P1509" i="3"/>
  <c r="N1509" i="3"/>
  <c r="I2808" i="3"/>
  <c r="N2807" i="3"/>
  <c r="M2807" i="3"/>
  <c r="L2807" i="3"/>
  <c r="P2807" i="3"/>
  <c r="O2807" i="3"/>
  <c r="I1950" i="3"/>
  <c r="O1949" i="3"/>
  <c r="N1949" i="3"/>
  <c r="M1949" i="3"/>
  <c r="L1949" i="3"/>
  <c r="P1949" i="3"/>
  <c r="I1635" i="3"/>
  <c r="N1634" i="3"/>
  <c r="O1634" i="3"/>
  <c r="M1634" i="3"/>
  <c r="L1634" i="3"/>
  <c r="P1634" i="3"/>
  <c r="I3317" i="3"/>
  <c r="N3316" i="3"/>
  <c r="M3316" i="3"/>
  <c r="L3316" i="3"/>
  <c r="P3316" i="3"/>
  <c r="O3316" i="3"/>
  <c r="I1028" i="3"/>
  <c r="P1027" i="3"/>
  <c r="O1027" i="3"/>
  <c r="M1027" i="3"/>
  <c r="L1027" i="3"/>
  <c r="N1027" i="3"/>
  <c r="I1901" i="3"/>
  <c r="L1900" i="3"/>
  <c r="M1900" i="3"/>
  <c r="P1900" i="3"/>
  <c r="N1900" i="3"/>
  <c r="O1900" i="3"/>
  <c r="I2765" i="3"/>
  <c r="M2764" i="3"/>
  <c r="L2764" i="3"/>
  <c r="N2764" i="3"/>
  <c r="P2764" i="3"/>
  <c r="O2764" i="3"/>
  <c r="I1155" i="3"/>
  <c r="P1154" i="3"/>
  <c r="O1154" i="3"/>
  <c r="N1154" i="3"/>
  <c r="M1154" i="3"/>
  <c r="L1154" i="3"/>
  <c r="I3360" i="3"/>
  <c r="O3359" i="3"/>
  <c r="N3359" i="3"/>
  <c r="M3359" i="3"/>
  <c r="L3359" i="3"/>
  <c r="P3359" i="3"/>
  <c r="I1281" i="3"/>
  <c r="P1280" i="3"/>
  <c r="O1280" i="3"/>
  <c r="N1280" i="3"/>
  <c r="M1280" i="3"/>
  <c r="L1280" i="3"/>
  <c r="I2192" i="3"/>
  <c r="L2191" i="3"/>
  <c r="N2191" i="3"/>
  <c r="P2191" i="3"/>
  <c r="O2191" i="3"/>
  <c r="M2191" i="3"/>
  <c r="I3236" i="3"/>
  <c r="P3235" i="3"/>
  <c r="O3235" i="3"/>
  <c r="N3235" i="3"/>
  <c r="M3235" i="3"/>
  <c r="L3235" i="3"/>
  <c r="I36" i="3"/>
  <c r="M35" i="3"/>
  <c r="L35" i="3"/>
  <c r="O35" i="3"/>
  <c r="N35" i="3"/>
  <c r="P35" i="3"/>
  <c r="I2422" i="3"/>
  <c r="P2421" i="3"/>
  <c r="O2421" i="3"/>
  <c r="L2421" i="3"/>
  <c r="N2421" i="3"/>
  <c r="M2421" i="3"/>
  <c r="P1963" i="3"/>
  <c r="O1963" i="3"/>
  <c r="N1963" i="3"/>
  <c r="L1963" i="3"/>
  <c r="M1963" i="3"/>
  <c r="I1964" i="3"/>
  <c r="I3002" i="3"/>
  <c r="O3001" i="3"/>
  <c r="M3001" i="3"/>
  <c r="L3001" i="3"/>
  <c r="P3001" i="3"/>
  <c r="N3001" i="3"/>
  <c r="I2558" i="3"/>
  <c r="P2557" i="3"/>
  <c r="O2557" i="3"/>
  <c r="M2557" i="3"/>
  <c r="L2557" i="3"/>
  <c r="N2557" i="3"/>
  <c r="I80" i="3"/>
  <c r="P79" i="3"/>
  <c r="O79" i="3"/>
  <c r="N79" i="3"/>
  <c r="M79" i="3"/>
  <c r="L79" i="3"/>
  <c r="I782" i="3"/>
  <c r="O781" i="3"/>
  <c r="N781" i="3"/>
  <c r="M781" i="3"/>
  <c r="L781" i="3"/>
  <c r="P781" i="3"/>
  <c r="I2954" i="3"/>
  <c r="P2953" i="3"/>
  <c r="O2953" i="3"/>
  <c r="N2953" i="3"/>
  <c r="M2953" i="3"/>
  <c r="L2953" i="3"/>
  <c r="I1723" i="3"/>
  <c r="N1722" i="3"/>
  <c r="P1722" i="3"/>
  <c r="M1722" i="3"/>
  <c r="O1722" i="3"/>
  <c r="L1722" i="3"/>
  <c r="I1647" i="3"/>
  <c r="M1646" i="3"/>
  <c r="L1646" i="3"/>
  <c r="P1646" i="3"/>
  <c r="N1646" i="3"/>
  <c r="O1646" i="3"/>
  <c r="I2342" i="3"/>
  <c r="P2341" i="3"/>
  <c r="O2341" i="3"/>
  <c r="L2341" i="3"/>
  <c r="N2341" i="3"/>
  <c r="M2341" i="3"/>
  <c r="I2005" i="3"/>
  <c r="L2004" i="3"/>
  <c r="O2004" i="3"/>
  <c r="N2004" i="3"/>
  <c r="M2004" i="3"/>
  <c r="P2004" i="3"/>
  <c r="L2504" i="3"/>
  <c r="P2504" i="3"/>
  <c r="O2504" i="3"/>
  <c r="N2504" i="3"/>
  <c r="M2504" i="3"/>
  <c r="I132" i="3"/>
  <c r="M131" i="3"/>
  <c r="L131" i="3"/>
  <c r="O131" i="3"/>
  <c r="N131" i="3"/>
  <c r="P131" i="3"/>
  <c r="P116" i="3"/>
  <c r="O116" i="3"/>
  <c r="N116" i="3"/>
  <c r="M116" i="3"/>
  <c r="L116" i="3"/>
  <c r="I117" i="3"/>
  <c r="I1334" i="3"/>
  <c r="P1333" i="3"/>
  <c r="O1333" i="3"/>
  <c r="N1333" i="3"/>
  <c r="M1333" i="3"/>
  <c r="L1333" i="3"/>
  <c r="I1839" i="3"/>
  <c r="P1838" i="3"/>
  <c r="O1838" i="3"/>
  <c r="M1838" i="3"/>
  <c r="L1838" i="3"/>
  <c r="N1838" i="3"/>
  <c r="I667" i="3"/>
  <c r="N666" i="3"/>
  <c r="M666" i="3"/>
  <c r="L666" i="3"/>
  <c r="P666" i="3"/>
  <c r="O666" i="3"/>
  <c r="I2267" i="3"/>
  <c r="P2266" i="3"/>
  <c r="O2266" i="3"/>
  <c r="N2266" i="3"/>
  <c r="M2266" i="3"/>
  <c r="L2266" i="3"/>
  <c r="I432" i="3"/>
  <c r="M431" i="3"/>
  <c r="L431" i="3"/>
  <c r="O431" i="3"/>
  <c r="P431" i="3"/>
  <c r="N431" i="3"/>
  <c r="I1662" i="3"/>
  <c r="O1661" i="3"/>
  <c r="N1661" i="3"/>
  <c r="L1661" i="3"/>
  <c r="P1661" i="3"/>
  <c r="M1661" i="3"/>
  <c r="I3056" i="3"/>
  <c r="P3055" i="3"/>
  <c r="O3055" i="3"/>
  <c r="N3055" i="3"/>
  <c r="M3055" i="3"/>
  <c r="L3055" i="3"/>
  <c r="I921" i="3"/>
  <c r="P920" i="3"/>
  <c r="O920" i="3"/>
  <c r="N920" i="3"/>
  <c r="L920" i="3"/>
  <c r="M920" i="3"/>
  <c r="I791" i="3"/>
  <c r="P790" i="3"/>
  <c r="O790" i="3"/>
  <c r="N790" i="3"/>
  <c r="L790" i="3"/>
  <c r="M790" i="3"/>
  <c r="I2611" i="3"/>
  <c r="P2610" i="3"/>
  <c r="O2610" i="3"/>
  <c r="N2610" i="3"/>
  <c r="M2610" i="3"/>
  <c r="L2610" i="3"/>
  <c r="I580" i="3"/>
  <c r="P579" i="3"/>
  <c r="O579" i="3"/>
  <c r="N579" i="3"/>
  <c r="M579" i="3"/>
  <c r="L579" i="3"/>
  <c r="I1620" i="3"/>
  <c r="P1619" i="3"/>
  <c r="N1619" i="3"/>
  <c r="L1619" i="3"/>
  <c r="M1619" i="3"/>
  <c r="O1619" i="3"/>
  <c r="I50" i="3"/>
  <c r="O49" i="3"/>
  <c r="N49" i="3"/>
  <c r="M49" i="3"/>
  <c r="L49" i="3"/>
  <c r="P49" i="3"/>
  <c r="I631" i="3"/>
  <c r="P630" i="3"/>
  <c r="O630" i="3"/>
  <c r="N630" i="3"/>
  <c r="L630" i="3"/>
  <c r="M630" i="3"/>
  <c r="I1011" i="3"/>
  <c r="P1010" i="3"/>
  <c r="O1010" i="3"/>
  <c r="N1010" i="3"/>
  <c r="M1010" i="3"/>
  <c r="L1010" i="3"/>
  <c r="I3165" i="3"/>
  <c r="P3164" i="3"/>
  <c r="O3164" i="3"/>
  <c r="N3164" i="3"/>
  <c r="M3164" i="3"/>
  <c r="L3164" i="3"/>
  <c r="I1585" i="3"/>
  <c r="L1584" i="3"/>
  <c r="O1584" i="3"/>
  <c r="M1584" i="3"/>
  <c r="P1584" i="3"/>
  <c r="N1584" i="3"/>
  <c r="I2722" i="3"/>
  <c r="L2721" i="3"/>
  <c r="P2721" i="3"/>
  <c r="N2721" i="3"/>
  <c r="M2721" i="3"/>
  <c r="O2721" i="3"/>
  <c r="I1418" i="3"/>
  <c r="N1417" i="3"/>
  <c r="P1417" i="3"/>
  <c r="M1417" i="3"/>
  <c r="O1417" i="3"/>
  <c r="L1417" i="3"/>
  <c r="I978" i="3"/>
  <c r="M977" i="3"/>
  <c r="L977" i="3"/>
  <c r="O977" i="3"/>
  <c r="N977" i="3"/>
  <c r="P977" i="3"/>
  <c r="I1887" i="3"/>
  <c r="P1886" i="3"/>
  <c r="O1886" i="3"/>
  <c r="N1886" i="3"/>
  <c r="M1886" i="3"/>
  <c r="L1886" i="3"/>
  <c r="I170" i="3"/>
  <c r="O169" i="3"/>
  <c r="N169" i="3"/>
  <c r="M169" i="3"/>
  <c r="L169" i="3"/>
  <c r="P169" i="3"/>
  <c r="L484" i="3"/>
  <c r="P484" i="3"/>
  <c r="N484" i="3"/>
  <c r="M484" i="3"/>
  <c r="O484" i="3"/>
  <c r="I485" i="3"/>
  <c r="N450" i="3"/>
  <c r="M450" i="3"/>
  <c r="L450" i="3"/>
  <c r="P450" i="3"/>
  <c r="O450" i="3"/>
  <c r="I2093" i="3"/>
  <c r="P2092" i="3"/>
  <c r="O2092" i="3"/>
  <c r="N2092" i="3"/>
  <c r="M2092" i="3"/>
  <c r="L2092" i="3"/>
  <c r="I1496" i="3"/>
  <c r="P1495" i="3"/>
  <c r="O1495" i="3"/>
  <c r="N1495" i="3"/>
  <c r="M1495" i="3"/>
  <c r="L1495" i="3"/>
  <c r="I1852" i="3"/>
  <c r="O1851" i="3"/>
  <c r="P1851" i="3"/>
  <c r="N1851" i="3"/>
  <c r="L1851" i="3"/>
  <c r="M1851" i="3"/>
  <c r="I767" i="3"/>
  <c r="P766" i="3"/>
  <c r="O766" i="3"/>
  <c r="N766" i="3"/>
  <c r="L766" i="3"/>
  <c r="M766" i="3"/>
  <c r="I68" i="3"/>
  <c r="M67" i="3"/>
  <c r="L67" i="3"/>
  <c r="O67" i="3"/>
  <c r="N67" i="3"/>
  <c r="P67" i="3"/>
  <c r="I557" i="3"/>
  <c r="L556" i="3"/>
  <c r="P556" i="3"/>
  <c r="N556" i="3"/>
  <c r="M556" i="3"/>
  <c r="O556" i="3"/>
  <c r="I1258" i="3"/>
  <c r="N1257" i="3"/>
  <c r="M1257" i="3"/>
  <c r="L1257" i="3"/>
  <c r="P1257" i="3"/>
  <c r="O1257" i="3"/>
  <c r="I228" i="3"/>
  <c r="M227" i="3"/>
  <c r="L227" i="3"/>
  <c r="O227" i="3"/>
  <c r="N227" i="3"/>
  <c r="P227" i="3"/>
  <c r="I1605" i="3"/>
  <c r="L1604" i="3"/>
  <c r="M1604" i="3"/>
  <c r="P1604" i="3"/>
  <c r="N1604" i="3"/>
  <c r="O1604" i="3"/>
  <c r="I1120" i="3"/>
  <c r="P1119" i="3"/>
  <c r="O1119" i="3"/>
  <c r="N1119" i="3"/>
  <c r="M1119" i="3"/>
  <c r="L1119" i="3"/>
  <c r="I1271" i="3"/>
  <c r="M1270" i="3"/>
  <c r="L1270" i="3"/>
  <c r="P1270" i="3"/>
  <c r="O1270" i="3"/>
  <c r="N1270" i="3"/>
  <c r="I803" i="3"/>
  <c r="N802" i="3"/>
  <c r="M802" i="3"/>
  <c r="L802" i="3"/>
  <c r="P802" i="3"/>
  <c r="O802" i="3"/>
  <c r="P156" i="3"/>
  <c r="O156" i="3"/>
  <c r="N156" i="3"/>
  <c r="M156" i="3"/>
  <c r="L156" i="3"/>
  <c r="I157" i="3"/>
  <c r="N2834" i="3"/>
  <c r="M2834" i="3"/>
  <c r="P2834" i="3"/>
  <c r="O2834" i="3"/>
  <c r="L2834" i="3"/>
  <c r="I1382" i="3"/>
  <c r="M1381" i="3"/>
  <c r="P1381" i="3"/>
  <c r="O1381" i="3"/>
  <c r="N1381" i="3"/>
  <c r="L1381" i="3"/>
  <c r="I3106" i="3"/>
  <c r="P3105" i="3"/>
  <c r="N3105" i="3"/>
  <c r="M3105" i="3"/>
  <c r="O3105" i="3"/>
  <c r="L3105" i="3"/>
  <c r="I2930" i="3"/>
  <c r="P2929" i="3"/>
  <c r="O2929" i="3"/>
  <c r="L2929" i="3"/>
  <c r="M2929" i="3"/>
  <c r="N2929" i="3"/>
  <c r="O2778" i="3"/>
  <c r="N2778" i="3"/>
  <c r="M2778" i="3"/>
  <c r="L2778" i="3"/>
  <c r="P2778" i="3"/>
  <c r="I2779" i="3"/>
  <c r="I1297" i="3"/>
  <c r="P1296" i="3"/>
  <c r="O1296" i="3"/>
  <c r="N1296" i="3"/>
  <c r="M1296" i="3"/>
  <c r="L1296" i="3"/>
  <c r="I2034" i="3"/>
  <c r="L2033" i="3"/>
  <c r="O2033" i="3"/>
  <c r="N2033" i="3"/>
  <c r="M2033" i="3"/>
  <c r="P2033" i="3"/>
  <c r="I197" i="3"/>
  <c r="P196" i="3"/>
  <c r="O196" i="3"/>
  <c r="N196" i="3"/>
  <c r="M196" i="3"/>
  <c r="L196" i="3"/>
  <c r="I459" i="3"/>
  <c r="N458" i="3"/>
  <c r="M458" i="3"/>
  <c r="L458" i="3"/>
  <c r="P458" i="3"/>
  <c r="O458" i="3"/>
  <c r="I276" i="3"/>
  <c r="M275" i="3"/>
  <c r="L275" i="3"/>
  <c r="O275" i="3"/>
  <c r="N275" i="3"/>
  <c r="P275" i="3"/>
  <c r="I1312" i="3"/>
  <c r="P1311" i="3"/>
  <c r="O1311" i="3"/>
  <c r="N1311" i="3"/>
  <c r="M1311" i="3"/>
  <c r="L1311" i="3"/>
  <c r="I946" i="3"/>
  <c r="M945" i="3"/>
  <c r="L945" i="3"/>
  <c r="O945" i="3"/>
  <c r="N945" i="3"/>
  <c r="P945" i="3"/>
  <c r="I2793" i="3"/>
  <c r="P2792" i="3"/>
  <c r="O2792" i="3"/>
  <c r="N2792" i="3"/>
  <c r="M2792" i="3"/>
  <c r="L2792" i="3"/>
  <c r="I1068" i="3"/>
  <c r="P1067" i="3"/>
  <c r="O1067" i="3"/>
  <c r="M1067" i="3"/>
  <c r="L1067" i="3"/>
  <c r="N1067" i="3"/>
  <c r="I2438" i="3"/>
  <c r="P2437" i="3"/>
  <c r="O2437" i="3"/>
  <c r="N2437" i="3"/>
  <c r="M2437" i="3"/>
  <c r="L2437" i="3"/>
  <c r="I266" i="3"/>
  <c r="O265" i="3"/>
  <c r="N265" i="3"/>
  <c r="M265" i="3"/>
  <c r="L265" i="3"/>
  <c r="P265" i="3"/>
  <c r="I2020" i="3"/>
  <c r="L2019" i="3"/>
  <c r="P2019" i="3"/>
  <c r="N2019" i="3"/>
  <c r="M2019" i="3"/>
  <c r="O2019" i="3"/>
  <c r="M3385" i="3"/>
  <c r="L3385" i="3"/>
  <c r="P3385" i="3"/>
  <c r="O3385" i="3"/>
  <c r="N3385" i="3"/>
  <c r="I3386" i="3"/>
  <c r="I2200" i="3"/>
  <c r="L2199" i="3"/>
  <c r="N2199" i="3"/>
  <c r="M2199" i="3"/>
  <c r="P2199" i="3"/>
  <c r="O2199" i="3"/>
  <c r="I1700" i="3"/>
  <c r="M1699" i="3"/>
  <c r="L1699" i="3"/>
  <c r="O1699" i="3"/>
  <c r="N1699" i="3"/>
  <c r="P1699" i="3"/>
  <c r="I895" i="3"/>
  <c r="L894" i="3"/>
  <c r="P894" i="3"/>
  <c r="N894" i="3"/>
  <c r="M894" i="3"/>
  <c r="O894" i="3"/>
  <c r="I2393" i="3"/>
  <c r="P2392" i="3"/>
  <c r="M2392" i="3"/>
  <c r="L2392" i="3"/>
  <c r="O2392" i="3"/>
  <c r="N2392" i="3"/>
  <c r="I1140" i="3"/>
  <c r="L1139" i="3"/>
  <c r="P1139" i="3"/>
  <c r="N1139" i="3"/>
  <c r="M1139" i="3"/>
  <c r="O1139" i="3"/>
  <c r="I994" i="3"/>
  <c r="M993" i="3"/>
  <c r="L993" i="3"/>
  <c r="O993" i="3"/>
  <c r="N993" i="3"/>
  <c r="P993" i="3"/>
  <c r="I640" i="3"/>
  <c r="M639" i="3"/>
  <c r="L639" i="3"/>
  <c r="O639" i="3"/>
  <c r="N639" i="3"/>
  <c r="P639" i="3"/>
  <c r="I1480" i="3"/>
  <c r="P1479" i="3"/>
  <c r="M1479" i="3"/>
  <c r="L1479" i="3"/>
  <c r="O1479" i="3"/>
  <c r="N1479" i="3"/>
  <c r="I2736" i="3"/>
  <c r="N2735" i="3"/>
  <c r="M2735" i="3"/>
  <c r="L2735" i="3"/>
  <c r="O2735" i="3"/>
  <c r="P2735" i="3"/>
  <c r="I653" i="3"/>
  <c r="L652" i="3"/>
  <c r="P652" i="3"/>
  <c r="N652" i="3"/>
  <c r="M652" i="3"/>
  <c r="O652" i="3"/>
  <c r="I1106" i="3"/>
  <c r="N1105" i="3"/>
  <c r="M1105" i="3"/>
  <c r="L1105" i="3"/>
  <c r="P1105" i="3"/>
  <c r="O1105" i="3"/>
  <c r="I722" i="3"/>
  <c r="P721" i="3"/>
  <c r="O721" i="3"/>
  <c r="M721" i="3"/>
  <c r="L721" i="3"/>
  <c r="N721" i="3"/>
  <c r="I2970" i="3"/>
  <c r="P2969" i="3"/>
  <c r="O2969" i="3"/>
  <c r="N2969" i="3"/>
  <c r="M2969" i="3"/>
  <c r="L2969" i="3"/>
  <c r="I1354" i="3"/>
  <c r="N1353" i="3"/>
  <c r="M1353" i="3"/>
  <c r="L1353" i="3"/>
  <c r="P1353" i="3"/>
  <c r="O1353" i="3"/>
  <c r="I2377" i="3"/>
  <c r="P2376" i="3"/>
  <c r="M2376" i="3"/>
  <c r="O2376" i="3"/>
  <c r="N2376" i="3"/>
  <c r="L2376" i="3"/>
  <c r="I247" i="3"/>
  <c r="N246" i="3"/>
  <c r="M246" i="3"/>
  <c r="L246" i="3"/>
  <c r="P246" i="3"/>
  <c r="O246" i="3"/>
  <c r="I842" i="3"/>
  <c r="M841" i="3"/>
  <c r="L841" i="3"/>
  <c r="O841" i="3"/>
  <c r="N841" i="3"/>
  <c r="P841" i="3"/>
  <c r="I1211" i="3"/>
  <c r="P1210" i="3"/>
  <c r="O1210" i="3"/>
  <c r="N1210" i="3"/>
  <c r="M1210" i="3"/>
  <c r="L1210" i="3"/>
  <c r="I184" i="3"/>
  <c r="P183" i="3"/>
  <c r="O183" i="3"/>
  <c r="N183" i="3"/>
  <c r="M183" i="3"/>
  <c r="L183" i="3"/>
  <c r="I758" i="3"/>
  <c r="O757" i="3"/>
  <c r="N757" i="3"/>
  <c r="M757" i="3"/>
  <c r="L757" i="3"/>
  <c r="P757" i="3"/>
  <c r="I2861" i="3"/>
  <c r="L2860" i="3"/>
  <c r="P2860" i="3"/>
  <c r="O2860" i="3"/>
  <c r="N2860" i="3"/>
  <c r="M2860" i="3"/>
  <c r="I532" i="3"/>
  <c r="P531" i="3"/>
  <c r="O531" i="3"/>
  <c r="N531" i="3"/>
  <c r="M531" i="3"/>
  <c r="L531" i="3"/>
  <c r="I2749" i="3"/>
  <c r="M2748" i="3"/>
  <c r="L2748" i="3"/>
  <c r="N2748" i="3"/>
  <c r="P2748" i="3"/>
  <c r="O2748" i="3"/>
  <c r="I218" i="3"/>
  <c r="O217" i="3"/>
  <c r="N217" i="3"/>
  <c r="M217" i="3"/>
  <c r="L217" i="3"/>
  <c r="P217" i="3"/>
  <c r="I344" i="3"/>
  <c r="M343" i="3"/>
  <c r="L343" i="3"/>
  <c r="O343" i="3"/>
  <c r="N343" i="3"/>
  <c r="P343" i="3"/>
  <c r="I1520" i="3"/>
  <c r="P1519" i="3"/>
  <c r="O1519" i="3"/>
  <c r="N1519" i="3"/>
  <c r="L1519" i="3"/>
  <c r="M1519" i="3"/>
  <c r="I2177" i="3"/>
  <c r="O2176" i="3"/>
  <c r="N2176" i="3"/>
  <c r="L2176" i="3"/>
  <c r="M2176" i="3"/>
  <c r="P2176" i="3"/>
  <c r="I1175" i="3"/>
  <c r="M1174" i="3"/>
  <c r="L1174" i="3"/>
  <c r="O1174" i="3"/>
  <c r="N1174" i="3"/>
  <c r="P1174" i="3"/>
  <c r="I1768" i="3"/>
  <c r="M1767" i="3"/>
  <c r="L1767" i="3"/>
  <c r="O1767" i="3"/>
  <c r="N1767" i="3"/>
  <c r="P1767" i="3"/>
  <c r="I1197" i="3"/>
  <c r="N1196" i="3"/>
  <c r="M1196" i="3"/>
  <c r="L1196" i="3"/>
  <c r="O1196" i="3"/>
  <c r="P1196" i="3"/>
  <c r="I1052" i="3"/>
  <c r="P1051" i="3"/>
  <c r="O1051" i="3"/>
  <c r="M1051" i="3"/>
  <c r="L1051" i="3"/>
  <c r="N1051" i="3"/>
  <c r="O1877" i="3"/>
  <c r="M1877" i="3"/>
  <c r="L1877" i="3"/>
  <c r="P1877" i="3"/>
  <c r="N1877" i="3"/>
  <c r="I1878" i="3"/>
  <c r="I2283" i="3"/>
  <c r="P2282" i="3"/>
  <c r="O2282" i="3"/>
  <c r="N2282" i="3"/>
  <c r="M2282" i="3"/>
  <c r="L2282" i="3"/>
  <c r="I3070" i="3"/>
  <c r="M3069" i="3"/>
  <c r="L3069" i="3"/>
  <c r="P3069" i="3"/>
  <c r="O3069" i="3"/>
  <c r="N3069" i="3"/>
  <c r="I2518" i="3"/>
  <c r="P2517" i="3"/>
  <c r="O2517" i="3"/>
  <c r="N2517" i="3"/>
  <c r="M2517" i="3"/>
  <c r="L2517" i="3"/>
  <c r="I2124" i="3"/>
  <c r="P2123" i="3"/>
  <c r="O2123" i="3"/>
  <c r="M2123" i="3"/>
  <c r="N2123" i="3"/>
  <c r="L2123" i="3"/>
  <c r="I3150" i="3"/>
  <c r="N3149" i="3"/>
  <c r="M3149" i="3"/>
  <c r="L3149" i="3"/>
  <c r="P3149" i="3"/>
  <c r="O3149" i="3"/>
  <c r="I871" i="3"/>
  <c r="L870" i="3"/>
  <c r="P870" i="3"/>
  <c r="N870" i="3"/>
  <c r="M870" i="3"/>
  <c r="O870" i="3"/>
  <c r="I2489" i="3"/>
  <c r="L2488" i="3"/>
  <c r="P2488" i="3"/>
  <c r="O2488" i="3"/>
  <c r="N2488" i="3"/>
  <c r="M2488" i="3"/>
  <c r="I467" i="3"/>
  <c r="N466" i="3"/>
  <c r="M466" i="3"/>
  <c r="L466" i="3"/>
  <c r="P466" i="3"/>
  <c r="O466" i="3"/>
  <c r="I1805" i="3"/>
  <c r="L1804" i="3"/>
  <c r="O1804" i="3"/>
  <c r="N1804" i="3"/>
  <c r="M1804" i="3"/>
  <c r="P1804" i="3"/>
  <c r="M2820" i="3"/>
  <c r="L2820" i="3"/>
  <c r="O2820" i="3"/>
  <c r="P2820" i="3"/>
  <c r="N2820" i="3"/>
  <c r="I826" i="3"/>
  <c r="P825" i="3"/>
  <c r="O825" i="3"/>
  <c r="M825" i="3"/>
  <c r="L825" i="3"/>
  <c r="N825" i="3"/>
  <c r="I1576" i="3"/>
  <c r="P1575" i="3"/>
  <c r="N1575" i="3"/>
  <c r="M1575" i="3"/>
  <c r="O1575" i="3"/>
  <c r="L1575" i="3"/>
  <c r="I1935" i="3"/>
  <c r="P1934" i="3"/>
  <c r="O1934" i="3"/>
  <c r="M1934" i="3"/>
  <c r="L1934" i="3"/>
  <c r="N1934" i="3"/>
  <c r="I2665" i="3"/>
  <c r="O2664" i="3"/>
  <c r="N2664" i="3"/>
  <c r="L2664" i="3"/>
  <c r="P2664" i="3"/>
  <c r="M2664" i="3"/>
  <c r="I2358" i="3"/>
  <c r="P2357" i="3"/>
  <c r="O2357" i="3"/>
  <c r="L2357" i="3"/>
  <c r="N2357" i="3"/>
  <c r="M2357" i="3"/>
  <c r="I2323" i="3"/>
  <c r="P2322" i="3"/>
  <c r="O2322" i="3"/>
  <c r="N2322" i="3"/>
  <c r="M2322" i="3"/>
  <c r="L2322" i="3"/>
  <c r="I3254" i="3"/>
  <c r="P3253" i="3"/>
  <c r="O3253" i="3"/>
  <c r="N3253" i="3"/>
  <c r="M3253" i="3"/>
  <c r="L3253" i="3"/>
  <c r="I408" i="3"/>
  <c r="M407" i="3"/>
  <c r="L407" i="3"/>
  <c r="O407" i="3"/>
  <c r="N407" i="3"/>
  <c r="P407" i="3"/>
  <c r="I3347" i="3"/>
  <c r="P3346" i="3"/>
  <c r="O3346" i="3"/>
  <c r="N3346" i="3"/>
  <c r="M3346" i="3"/>
  <c r="L3346" i="3"/>
  <c r="O2853" i="3"/>
  <c r="N2853" i="3"/>
  <c r="L2853" i="3"/>
  <c r="M2853" i="3"/>
  <c r="P2853" i="3"/>
  <c r="I2530" i="3"/>
  <c r="O2529" i="3"/>
  <c r="N2529" i="3"/>
  <c r="M2529" i="3"/>
  <c r="L2529" i="3"/>
  <c r="P2529" i="3"/>
  <c r="I23" i="3"/>
  <c r="N22" i="3"/>
  <c r="M22" i="3"/>
  <c r="L22" i="3"/>
  <c r="P22" i="3"/>
  <c r="O22" i="3"/>
  <c r="I2598" i="3"/>
  <c r="P2597" i="3"/>
  <c r="O2597" i="3"/>
  <c r="L2597" i="3"/>
  <c r="N2597" i="3"/>
  <c r="M2597" i="3"/>
  <c r="I3028" i="3"/>
  <c r="P3027" i="3"/>
  <c r="O3027" i="3"/>
  <c r="M3027" i="3"/>
  <c r="N3027" i="3"/>
  <c r="L3027" i="3"/>
  <c r="I2455" i="3"/>
  <c r="N2454" i="3"/>
  <c r="M2454" i="3"/>
  <c r="L2454" i="3"/>
  <c r="P2454" i="3"/>
  <c r="O2454" i="3"/>
  <c r="I937" i="3"/>
  <c r="P936" i="3"/>
  <c r="O936" i="3"/>
  <c r="N936" i="3"/>
  <c r="L936" i="3"/>
  <c r="M936" i="3"/>
  <c r="I355" i="3"/>
  <c r="N354" i="3"/>
  <c r="M354" i="3"/>
  <c r="L354" i="3"/>
  <c r="P354" i="3"/>
  <c r="O354" i="3"/>
  <c r="P954" i="3"/>
  <c r="O954" i="3"/>
  <c r="N954" i="3"/>
  <c r="M954" i="3"/>
  <c r="L954" i="3"/>
  <c r="I955" i="3"/>
  <c r="I2890" i="3"/>
  <c r="P2889" i="3"/>
  <c r="M2889" i="3"/>
  <c r="L2889" i="3"/>
  <c r="N2889" i="3"/>
  <c r="O2889" i="3"/>
  <c r="I1738" i="3"/>
  <c r="O1737" i="3"/>
  <c r="N1737" i="3"/>
  <c r="L1737" i="3"/>
  <c r="P1737" i="3"/>
  <c r="M1737" i="3"/>
  <c r="I416" i="3"/>
  <c r="M415" i="3"/>
  <c r="L415" i="3"/>
  <c r="O415" i="3"/>
  <c r="N415" i="3"/>
  <c r="P415" i="3"/>
  <c r="I611" i="3"/>
  <c r="N610" i="3"/>
  <c r="M610" i="3"/>
  <c r="L610" i="3"/>
  <c r="P610" i="3"/>
  <c r="O610" i="3"/>
  <c r="I678" i="3"/>
  <c r="O677" i="3"/>
  <c r="N677" i="3"/>
  <c r="M677" i="3"/>
  <c r="L677" i="3"/>
  <c r="P677" i="3"/>
  <c r="I1821" i="3"/>
  <c r="L1820" i="3"/>
  <c r="N1820" i="3"/>
  <c r="M1820" i="3"/>
  <c r="P1820" i="3"/>
  <c r="O1820" i="3"/>
  <c r="M3218" i="3"/>
  <c r="L3218" i="3"/>
  <c r="P3218" i="3"/>
  <c r="O3218" i="3"/>
  <c r="N3218" i="3"/>
  <c r="I3219" i="3"/>
  <c r="I3290" i="3"/>
  <c r="M3289" i="3"/>
  <c r="L3289" i="3"/>
  <c r="P3289" i="3"/>
  <c r="O3289" i="3"/>
  <c r="N3289" i="3"/>
  <c r="I1567" i="3"/>
  <c r="N1566" i="3"/>
  <c r="M1566" i="3"/>
  <c r="O1566" i="3"/>
  <c r="L1566" i="3"/>
  <c r="P1566" i="3"/>
  <c r="I1831" i="3"/>
  <c r="P1830" i="3"/>
  <c r="O1830" i="3"/>
  <c r="N1830" i="3"/>
  <c r="M1830" i="3"/>
  <c r="L1830" i="3"/>
  <c r="I2158" i="3"/>
  <c r="N2157" i="3"/>
  <c r="M2157" i="3"/>
  <c r="P2157" i="3"/>
  <c r="L2157" i="3"/>
  <c r="O2157" i="3"/>
  <c r="I442" i="3"/>
  <c r="P441" i="3"/>
  <c r="O441" i="3"/>
  <c r="M441" i="3"/>
  <c r="L441" i="3"/>
  <c r="N441" i="3"/>
  <c r="I2471" i="3"/>
  <c r="N2470" i="3"/>
  <c r="M2470" i="3"/>
  <c r="L2470" i="3"/>
  <c r="P2470" i="3"/>
  <c r="O2470" i="3"/>
  <c r="I1239" i="3"/>
  <c r="M1238" i="3"/>
  <c r="L1238" i="3"/>
  <c r="P1238" i="3"/>
  <c r="O1238" i="3"/>
  <c r="N1238" i="3"/>
  <c r="P1098" i="3"/>
  <c r="O1098" i="3"/>
  <c r="N1098" i="3"/>
  <c r="M1098" i="3"/>
  <c r="L1098" i="3"/>
  <c r="I323" i="3"/>
  <c r="N322" i="3"/>
  <c r="M322" i="3"/>
  <c r="L322" i="3"/>
  <c r="P322" i="3"/>
  <c r="O322" i="3"/>
  <c r="I495" i="3"/>
  <c r="P494" i="3"/>
  <c r="O494" i="3"/>
  <c r="N494" i="3"/>
  <c r="L494" i="3"/>
  <c r="M494" i="3"/>
  <c r="I2707" i="3"/>
  <c r="O2706" i="3"/>
  <c r="N2706" i="3"/>
  <c r="M2706" i="3"/>
  <c r="L2706" i="3"/>
  <c r="P2706" i="3"/>
  <c r="I1596" i="3"/>
  <c r="M1595" i="3"/>
  <c r="L1595" i="3"/>
  <c r="P1595" i="3"/>
  <c r="N1595" i="3"/>
  <c r="O1595" i="3"/>
  <c r="I2625" i="3"/>
  <c r="L2624" i="3"/>
  <c r="P2624" i="3"/>
  <c r="O2624" i="3"/>
  <c r="N2624" i="3"/>
  <c r="M2624" i="3"/>
  <c r="I1992" i="3"/>
  <c r="M1991" i="3"/>
  <c r="L1991" i="3"/>
  <c r="P1991" i="3"/>
  <c r="O1991" i="3"/>
  <c r="N1991" i="3"/>
  <c r="I2639" i="3"/>
  <c r="P2638" i="3"/>
  <c r="O2638" i="3"/>
  <c r="N2638" i="3"/>
  <c r="M2638" i="3"/>
  <c r="L2638" i="3"/>
  <c r="P2043" i="3"/>
  <c r="N2043" i="3"/>
  <c r="M2043" i="3"/>
  <c r="L2043" i="3"/>
  <c r="O2043" i="3"/>
  <c r="I2044" i="3"/>
  <c r="I2693" i="3"/>
  <c r="M2692" i="3"/>
  <c r="L2692" i="3"/>
  <c r="O2692" i="3"/>
  <c r="P2692" i="3"/>
  <c r="N2692" i="3"/>
  <c r="I964" i="3"/>
  <c r="P963" i="3"/>
  <c r="O963" i="3"/>
  <c r="M963" i="3"/>
  <c r="L963" i="3"/>
  <c r="N963" i="3"/>
  <c r="I1130" i="3"/>
  <c r="N1129" i="3"/>
  <c r="M1129" i="3"/>
  <c r="L1129" i="3"/>
  <c r="P1129" i="3"/>
  <c r="O1129" i="3"/>
  <c r="I2574" i="3"/>
  <c r="P2573" i="3"/>
  <c r="O2573" i="3"/>
  <c r="N2573" i="3"/>
  <c r="M2573" i="3"/>
  <c r="L2573" i="3"/>
  <c r="I3272" i="3"/>
  <c r="O3271" i="3"/>
  <c r="N3271" i="3"/>
  <c r="M3271" i="3"/>
  <c r="L3271" i="3"/>
  <c r="P3271" i="3"/>
  <c r="O1782" i="3"/>
  <c r="P1782" i="3"/>
  <c r="N1782" i="3"/>
  <c r="M1782" i="3"/>
  <c r="L1782" i="3"/>
  <c r="I1783" i="3"/>
  <c r="I2146" i="3"/>
  <c r="O2145" i="3"/>
  <c r="L2145" i="3"/>
  <c r="M2145" i="3"/>
  <c r="N2145" i="3"/>
  <c r="P2145" i="3"/>
  <c r="I104" i="3"/>
  <c r="P103" i="3"/>
  <c r="O103" i="3"/>
  <c r="N103" i="3"/>
  <c r="M103" i="3"/>
  <c r="L103" i="3"/>
  <c r="I332" i="3"/>
  <c r="P331" i="3"/>
  <c r="O331" i="3"/>
  <c r="N331" i="3"/>
  <c r="M331" i="3"/>
  <c r="L331" i="3"/>
  <c r="P236" i="3"/>
  <c r="O236" i="3"/>
  <c r="N236" i="3"/>
  <c r="M236" i="3"/>
  <c r="L236" i="3"/>
  <c r="I237" i="3"/>
  <c r="I377" i="3"/>
  <c r="P376" i="3"/>
  <c r="O376" i="3"/>
  <c r="N376" i="3"/>
  <c r="M376" i="3"/>
  <c r="L376" i="3"/>
  <c r="I882" i="3"/>
  <c r="M881" i="3"/>
  <c r="L881" i="3"/>
  <c r="O881" i="3"/>
  <c r="N881" i="3"/>
  <c r="P881" i="3"/>
  <c r="I1394" i="3"/>
  <c r="O1393" i="3"/>
  <c r="L1393" i="3"/>
  <c r="M1393" i="3"/>
  <c r="P1393" i="3"/>
  <c r="N1393" i="3"/>
  <c r="I91" i="3"/>
  <c r="P90" i="3"/>
  <c r="O90" i="3"/>
  <c r="N90" i="3"/>
  <c r="L90" i="3"/>
  <c r="M90" i="3"/>
  <c r="I1449" i="3"/>
  <c r="L1448" i="3"/>
  <c r="P1448" i="3"/>
  <c r="N1448" i="3"/>
  <c r="O1448" i="3"/>
  <c r="M1448" i="3"/>
  <c r="V937" i="3" l="1"/>
  <c r="W937" i="3"/>
  <c r="V758" i="3"/>
  <c r="W758" i="3"/>
  <c r="V1887" i="3"/>
  <c r="W1887" i="3"/>
  <c r="V132" i="3"/>
  <c r="W132" i="3"/>
  <c r="V1394" i="3"/>
  <c r="W1394" i="3"/>
  <c r="W2625" i="3"/>
  <c r="V2625" i="3"/>
  <c r="V323" i="3"/>
  <c r="W323" i="3"/>
  <c r="W1175" i="3"/>
  <c r="V1175" i="3"/>
  <c r="V247" i="3"/>
  <c r="W247" i="3"/>
  <c r="W2393" i="3"/>
  <c r="V2393" i="3"/>
  <c r="V276" i="3"/>
  <c r="W276" i="3"/>
  <c r="V1297" i="3"/>
  <c r="W1297" i="3"/>
  <c r="W1585" i="3"/>
  <c r="V1585" i="3"/>
  <c r="V1433" i="3"/>
  <c r="W1433" i="3"/>
  <c r="V855" i="3"/>
  <c r="W855" i="3"/>
  <c r="V2044" i="3"/>
  <c r="W2044" i="3"/>
  <c r="V2471" i="3"/>
  <c r="W2471" i="3"/>
  <c r="V1567" i="3"/>
  <c r="W1567" i="3"/>
  <c r="V678" i="3"/>
  <c r="W678" i="3"/>
  <c r="W2890" i="3"/>
  <c r="V2890" i="3"/>
  <c r="W3347" i="3"/>
  <c r="V3347" i="3"/>
  <c r="V2358" i="3"/>
  <c r="W2358" i="3"/>
  <c r="V826" i="3"/>
  <c r="W826" i="3"/>
  <c r="V2779" i="3"/>
  <c r="W2779" i="3"/>
  <c r="W1605" i="3"/>
  <c r="V1605" i="3"/>
  <c r="V68" i="3"/>
  <c r="W68" i="3"/>
  <c r="V2093" i="3"/>
  <c r="W2093" i="3"/>
  <c r="V2342" i="3"/>
  <c r="W2342" i="3"/>
  <c r="V782" i="3"/>
  <c r="W782" i="3"/>
  <c r="V2192" i="3"/>
  <c r="W2192" i="3"/>
  <c r="W2765" i="3"/>
  <c r="V2765" i="3"/>
  <c r="V1635" i="3"/>
  <c r="W1635" i="3"/>
  <c r="V568" i="3"/>
  <c r="W568" i="3"/>
  <c r="W2945" i="3"/>
  <c r="V2945" i="3"/>
  <c r="V2108" i="3"/>
  <c r="W2108" i="3"/>
  <c r="W1794" i="3"/>
  <c r="V1794" i="3"/>
  <c r="V3301" i="3"/>
  <c r="W3301" i="3"/>
  <c r="V815" i="3"/>
  <c r="W815" i="3"/>
  <c r="V1325" i="3"/>
  <c r="W1325" i="3"/>
  <c r="V521" i="3"/>
  <c r="W521" i="3"/>
  <c r="I522" i="3"/>
  <c r="P521" i="3"/>
  <c r="M521" i="3"/>
  <c r="O521" i="3"/>
  <c r="N521" i="3"/>
  <c r="L521" i="3"/>
  <c r="V218" i="3"/>
  <c r="W218" i="3"/>
  <c r="V50" i="3"/>
  <c r="W50" i="3"/>
  <c r="V512" i="3"/>
  <c r="W512" i="3"/>
  <c r="V91" i="3"/>
  <c r="W91" i="3"/>
  <c r="V964" i="3"/>
  <c r="W964" i="3"/>
  <c r="V1992" i="3"/>
  <c r="W1992" i="3"/>
  <c r="W495" i="3"/>
  <c r="V495" i="3"/>
  <c r="V955" i="3"/>
  <c r="W955" i="3"/>
  <c r="V355" i="3"/>
  <c r="W355" i="3"/>
  <c r="W2598" i="3"/>
  <c r="V2598" i="3"/>
  <c r="W467" i="3"/>
  <c r="V467" i="3"/>
  <c r="V3150" i="3"/>
  <c r="W3150" i="3"/>
  <c r="V2283" i="3"/>
  <c r="W2283" i="3"/>
  <c r="V1768" i="3"/>
  <c r="W1768" i="3"/>
  <c r="V344" i="3"/>
  <c r="W344" i="3"/>
  <c r="W2861" i="3"/>
  <c r="V2861" i="3"/>
  <c r="V842" i="3"/>
  <c r="W842" i="3"/>
  <c r="W2970" i="3"/>
  <c r="V2970" i="3"/>
  <c r="V2736" i="3"/>
  <c r="W2736" i="3"/>
  <c r="V1140" i="3"/>
  <c r="W1140" i="3"/>
  <c r="V2200" i="3"/>
  <c r="W2200" i="3"/>
  <c r="W2438" i="3"/>
  <c r="V2438" i="3"/>
  <c r="V1312" i="3"/>
  <c r="W1312" i="3"/>
  <c r="W2034" i="3"/>
  <c r="V2034" i="3"/>
  <c r="V170" i="3"/>
  <c r="W170" i="3"/>
  <c r="W2722" i="3"/>
  <c r="V2722" i="3"/>
  <c r="V631" i="3"/>
  <c r="W631" i="3"/>
  <c r="V2611" i="3"/>
  <c r="W2611" i="3"/>
  <c r="V921" i="3"/>
  <c r="W921" i="3"/>
  <c r="V2267" i="3"/>
  <c r="W2267" i="3"/>
  <c r="W2917" i="3"/>
  <c r="V2917" i="3"/>
  <c r="V477" i="3"/>
  <c r="W477" i="3"/>
  <c r="V3042" i="3"/>
  <c r="W3042" i="3"/>
  <c r="V3014" i="3"/>
  <c r="W3014" i="3"/>
  <c r="W1403" i="3"/>
  <c r="V1403" i="3"/>
  <c r="V3181" i="3"/>
  <c r="W3181" i="3"/>
  <c r="W1865" i="3"/>
  <c r="V1865" i="3"/>
  <c r="V1082" i="3"/>
  <c r="W1082" i="3"/>
  <c r="W9" i="3"/>
  <c r="V9" i="3"/>
  <c r="W2542" i="3"/>
  <c r="V2542" i="3"/>
  <c r="W1690" i="3"/>
  <c r="V1690" i="3"/>
  <c r="W442" i="3"/>
  <c r="V442" i="3"/>
  <c r="V1480" i="3"/>
  <c r="W1480" i="3"/>
  <c r="V3056" i="3"/>
  <c r="W3056" i="3"/>
  <c r="V667" i="3"/>
  <c r="W667" i="3"/>
  <c r="V1676" i="3"/>
  <c r="W1676" i="3"/>
  <c r="W1239" i="3"/>
  <c r="V1239" i="3"/>
  <c r="V1831" i="3"/>
  <c r="W1831" i="3"/>
  <c r="W1821" i="3"/>
  <c r="V1821" i="3"/>
  <c r="W1738" i="3"/>
  <c r="V1738" i="3"/>
  <c r="V2323" i="3"/>
  <c r="W2323" i="3"/>
  <c r="V1576" i="3"/>
  <c r="W1576" i="3"/>
  <c r="W1878" i="3"/>
  <c r="V1878" i="3"/>
  <c r="V3386" i="3"/>
  <c r="W3386" i="3"/>
  <c r="W3340" i="3" s="1"/>
  <c r="V1120" i="3"/>
  <c r="W1120" i="3"/>
  <c r="V557" i="3"/>
  <c r="W557" i="3"/>
  <c r="V1496" i="3"/>
  <c r="W1496" i="3"/>
  <c r="W2005" i="3"/>
  <c r="V2005" i="3"/>
  <c r="W2954" i="3"/>
  <c r="V2954" i="3"/>
  <c r="W3002" i="3"/>
  <c r="V3002" i="3"/>
  <c r="V3236" i="3"/>
  <c r="W3236" i="3"/>
  <c r="V1155" i="3"/>
  <c r="W1155" i="3"/>
  <c r="V3317" i="3"/>
  <c r="W3317" i="3"/>
  <c r="W1510" i="3"/>
  <c r="V1510" i="3"/>
  <c r="V592" i="3"/>
  <c r="W592" i="3"/>
  <c r="V3084" i="3"/>
  <c r="W3084" i="3"/>
  <c r="W2877" i="3"/>
  <c r="V2877" i="3"/>
  <c r="W2986" i="3"/>
  <c r="V2986" i="3"/>
  <c r="V549" i="3"/>
  <c r="W549" i="3"/>
  <c r="V1041" i="3"/>
  <c r="W1041" i="3"/>
  <c r="M1041" i="3"/>
  <c r="L1041" i="3"/>
  <c r="N1041" i="3"/>
  <c r="O1041" i="3"/>
  <c r="I1042" i="3"/>
  <c r="P1041" i="3"/>
  <c r="W2665" i="3"/>
  <c r="V2665" i="3"/>
  <c r="W3219" i="3"/>
  <c r="V3219" i="3"/>
  <c r="V23" i="3"/>
  <c r="W23" i="3"/>
  <c r="V3106" i="3"/>
  <c r="W3106" i="3"/>
  <c r="V748" i="3"/>
  <c r="W748" i="3"/>
  <c r="V1465" i="3"/>
  <c r="W1465" i="3"/>
  <c r="V621" i="3"/>
  <c r="W621" i="3"/>
  <c r="V706" i="3"/>
  <c r="W706" i="3"/>
  <c r="V2904" i="3"/>
  <c r="W2904" i="3"/>
  <c r="V504" i="3"/>
  <c r="W504" i="3"/>
  <c r="V1449" i="3"/>
  <c r="W1449" i="3"/>
  <c r="V377" i="3"/>
  <c r="W377" i="3"/>
  <c r="V2146" i="3"/>
  <c r="W2146" i="3"/>
  <c r="V1130" i="3"/>
  <c r="W1130" i="3"/>
  <c r="V2639" i="3"/>
  <c r="W2639" i="3"/>
  <c r="V2707" i="3"/>
  <c r="W2707" i="3"/>
  <c r="V3028" i="3"/>
  <c r="W3028" i="3"/>
  <c r="W1805" i="3"/>
  <c r="V1805" i="3"/>
  <c r="V3070" i="3"/>
  <c r="W3070" i="3"/>
  <c r="V1197" i="3"/>
  <c r="W1197" i="3"/>
  <c r="V1520" i="3"/>
  <c r="W1520" i="3"/>
  <c r="V532" i="3"/>
  <c r="W532" i="3"/>
  <c r="W1211" i="3"/>
  <c r="V1211" i="3"/>
  <c r="V1354" i="3"/>
  <c r="W1354" i="3"/>
  <c r="V653" i="3"/>
  <c r="W653" i="3"/>
  <c r="V994" i="3"/>
  <c r="W994" i="3"/>
  <c r="V1700" i="3"/>
  <c r="W1700" i="3"/>
  <c r="V266" i="3"/>
  <c r="W266" i="3"/>
  <c r="V946" i="3"/>
  <c r="W946" i="3"/>
  <c r="V197" i="3"/>
  <c r="W197" i="3"/>
  <c r="W2930" i="3"/>
  <c r="V2930" i="3"/>
  <c r="V157" i="3"/>
  <c r="W157" i="3"/>
  <c r="V1418" i="3"/>
  <c r="W1418" i="3"/>
  <c r="V1011" i="3"/>
  <c r="W1011" i="3"/>
  <c r="V580" i="3"/>
  <c r="W580" i="3"/>
  <c r="V791" i="3"/>
  <c r="W791" i="3"/>
  <c r="V432" i="3"/>
  <c r="W432" i="3"/>
  <c r="V1334" i="3"/>
  <c r="W1334" i="3"/>
  <c r="V1964" i="3"/>
  <c r="W1964" i="3"/>
  <c r="V2230" i="3"/>
  <c r="W2230" i="3"/>
  <c r="W2409" i="3"/>
  <c r="V2409" i="3"/>
  <c r="V1552" i="3"/>
  <c r="W1552" i="3"/>
  <c r="V3196" i="3"/>
  <c r="W3196" i="3"/>
  <c r="V3376" i="3"/>
  <c r="W3376" i="3"/>
  <c r="V1185" i="3"/>
  <c r="W1185" i="3"/>
  <c r="V308" i="3"/>
  <c r="W308" i="3"/>
  <c r="V691" i="3"/>
  <c r="W691" i="3"/>
  <c r="V2077" i="3"/>
  <c r="W2077" i="3"/>
  <c r="V2680" i="3"/>
  <c r="W2680" i="3"/>
  <c r="V1224" i="3"/>
  <c r="W1224" i="3"/>
  <c r="I1225" i="3"/>
  <c r="P1224" i="3"/>
  <c r="O1224" i="3"/>
  <c r="N1224" i="3"/>
  <c r="M1224" i="3"/>
  <c r="L1224" i="3"/>
  <c r="W1977" i="3"/>
  <c r="V1977" i="3"/>
  <c r="I1978" i="3"/>
  <c r="P1977" i="3"/>
  <c r="M1977" i="3"/>
  <c r="O1977" i="3"/>
  <c r="N1977" i="3"/>
  <c r="L1977" i="3"/>
  <c r="V2158" i="3"/>
  <c r="W2158" i="3"/>
  <c r="V416" i="3"/>
  <c r="W416" i="3"/>
  <c r="V3254" i="3"/>
  <c r="W3254" i="3"/>
  <c r="V1935" i="3"/>
  <c r="W1935" i="3"/>
  <c r="W1271" i="3"/>
  <c r="V1271" i="3"/>
  <c r="V1258" i="3"/>
  <c r="W1258" i="3"/>
  <c r="V1852" i="3"/>
  <c r="W1852" i="3"/>
  <c r="V117" i="3"/>
  <c r="W117" i="3"/>
  <c r="V1723" i="3"/>
  <c r="W1723" i="3"/>
  <c r="W2558" i="3"/>
  <c r="V2558" i="3"/>
  <c r="V36" i="3"/>
  <c r="W36" i="3"/>
  <c r="V3360" i="3"/>
  <c r="W3360" i="3"/>
  <c r="V1028" i="3"/>
  <c r="W1028" i="3"/>
  <c r="V2808" i="3"/>
  <c r="W2808" i="3"/>
  <c r="V3332" i="3"/>
  <c r="W3332" i="3"/>
  <c r="W2586" i="3"/>
  <c r="V2586" i="3"/>
  <c r="W387" i="3"/>
  <c r="V387" i="3"/>
  <c r="W1753" i="3"/>
  <c r="V1753" i="3"/>
  <c r="V257" i="3"/>
  <c r="W257" i="3"/>
  <c r="L257" i="3"/>
  <c r="P257" i="3"/>
  <c r="I258" i="3"/>
  <c r="O257" i="3"/>
  <c r="M257" i="3"/>
  <c r="N257" i="3"/>
  <c r="V332" i="3"/>
  <c r="W332" i="3"/>
  <c r="V3272" i="3"/>
  <c r="W3272" i="3"/>
  <c r="W2693" i="3"/>
  <c r="V2693" i="3"/>
  <c r="W2489" i="3"/>
  <c r="V2489" i="3"/>
  <c r="V2124" i="3"/>
  <c r="W2124" i="3"/>
  <c r="V722" i="3"/>
  <c r="W722" i="3"/>
  <c r="V1068" i="3"/>
  <c r="W1068" i="3"/>
  <c r="V237" i="3"/>
  <c r="W237" i="3"/>
  <c r="V1783" i="3"/>
  <c r="W1783" i="3"/>
  <c r="V882" i="3"/>
  <c r="W882" i="3"/>
  <c r="V104" i="3"/>
  <c r="W104" i="3"/>
  <c r="W2574" i="3"/>
  <c r="V2574" i="3"/>
  <c r="V1596" i="3"/>
  <c r="W1596" i="3"/>
  <c r="V2455" i="3"/>
  <c r="W2455" i="3"/>
  <c r="W2530" i="3"/>
  <c r="V2530" i="3"/>
  <c r="V871" i="3"/>
  <c r="W871" i="3"/>
  <c r="W2518" i="3"/>
  <c r="V2518" i="3"/>
  <c r="V1052" i="3"/>
  <c r="W1052" i="3"/>
  <c r="V2177" i="3"/>
  <c r="W2177" i="3"/>
  <c r="W2749" i="3"/>
  <c r="V2749" i="3"/>
  <c r="V184" i="3"/>
  <c r="W184" i="3"/>
  <c r="W2377" i="3"/>
  <c r="V2377" i="3"/>
  <c r="V1106" i="3"/>
  <c r="W1106" i="3"/>
  <c r="V640" i="3"/>
  <c r="W640" i="3"/>
  <c r="V895" i="3"/>
  <c r="W895" i="3"/>
  <c r="V2020" i="3"/>
  <c r="W2020" i="3"/>
  <c r="W2793" i="3"/>
  <c r="V2793" i="3"/>
  <c r="W459" i="3"/>
  <c r="V459" i="3"/>
  <c r="V1382" i="3"/>
  <c r="W1382" i="3"/>
  <c r="V978" i="3"/>
  <c r="W978" i="3"/>
  <c r="V3165" i="3"/>
  <c r="W3165" i="3"/>
  <c r="V1620" i="3"/>
  <c r="W1620" i="3"/>
  <c r="W1662" i="3"/>
  <c r="V1662" i="3"/>
  <c r="V1839" i="3"/>
  <c r="W1839" i="3"/>
  <c r="V1164" i="3"/>
  <c r="W1164" i="3"/>
  <c r="V1708" i="3"/>
  <c r="W1708" i="3"/>
  <c r="V3128" i="3"/>
  <c r="W3128" i="3"/>
  <c r="V2248" i="3"/>
  <c r="W2248" i="3"/>
  <c r="V1368" i="3"/>
  <c r="W1368" i="3"/>
  <c r="W1530" i="3"/>
  <c r="V1530" i="3"/>
  <c r="V292" i="3"/>
  <c r="W292" i="3"/>
  <c r="V541" i="3"/>
  <c r="W541" i="3"/>
  <c r="V208" i="3"/>
  <c r="W208" i="3"/>
  <c r="V2138" i="3"/>
  <c r="W2138" i="3"/>
  <c r="O2138" i="3"/>
  <c r="P2138" i="3"/>
  <c r="N2138" i="3"/>
  <c r="L2138" i="3"/>
  <c r="M2138" i="3"/>
  <c r="V1915" i="3"/>
  <c r="W1915" i="3"/>
  <c r="N1915" i="3"/>
  <c r="M1915" i="3"/>
  <c r="L1915" i="3"/>
  <c r="P1915" i="3"/>
  <c r="I1916" i="3"/>
  <c r="O1915" i="3"/>
  <c r="V3290" i="3"/>
  <c r="W3290" i="3"/>
  <c r="W611" i="3"/>
  <c r="V611" i="3"/>
  <c r="V408" i="3"/>
  <c r="W408" i="3"/>
  <c r="V803" i="3"/>
  <c r="W803" i="3"/>
  <c r="V228" i="3"/>
  <c r="W228" i="3"/>
  <c r="V767" i="3"/>
  <c r="W767" i="3"/>
  <c r="V485" i="3"/>
  <c r="W485" i="3"/>
  <c r="V1647" i="3"/>
  <c r="W1647" i="3"/>
  <c r="V80" i="3"/>
  <c r="W80" i="3"/>
  <c r="W2422" i="3"/>
  <c r="V2422" i="3"/>
  <c r="V1281" i="3"/>
  <c r="W1281" i="3"/>
  <c r="W1901" i="3"/>
  <c r="V1901" i="3"/>
  <c r="W1950" i="3"/>
  <c r="V1950" i="3"/>
  <c r="V2299" i="3"/>
  <c r="W2299" i="3"/>
  <c r="V2213" i="3"/>
  <c r="W2213" i="3"/>
  <c r="V141" i="3"/>
  <c r="W141" i="3"/>
  <c r="V907" i="3"/>
  <c r="W907" i="3"/>
  <c r="V2059" i="3"/>
  <c r="W2059" i="3"/>
  <c r="M2059" i="3"/>
  <c r="L2059" i="3"/>
  <c r="O2059" i="3"/>
  <c r="P2059" i="3"/>
  <c r="N2059" i="3"/>
  <c r="I2060" i="3"/>
  <c r="I378" i="3"/>
  <c r="P377" i="3"/>
  <c r="O377" i="3"/>
  <c r="M377" i="3"/>
  <c r="L377" i="3"/>
  <c r="N377" i="3"/>
  <c r="I2147" i="3"/>
  <c r="M2146" i="3"/>
  <c r="L2146" i="3"/>
  <c r="O2146" i="3"/>
  <c r="P2146" i="3"/>
  <c r="N2146" i="3"/>
  <c r="I1131" i="3"/>
  <c r="P1130" i="3"/>
  <c r="O1130" i="3"/>
  <c r="N1130" i="3"/>
  <c r="M1130" i="3"/>
  <c r="L1130" i="3"/>
  <c r="O1805" i="3"/>
  <c r="M1805" i="3"/>
  <c r="N1805" i="3"/>
  <c r="L1805" i="3"/>
  <c r="P1805" i="3"/>
  <c r="I1806" i="3"/>
  <c r="I1198" i="3"/>
  <c r="P1197" i="3"/>
  <c r="O1197" i="3"/>
  <c r="N1197" i="3"/>
  <c r="M1197" i="3"/>
  <c r="L1197" i="3"/>
  <c r="I1521" i="3"/>
  <c r="L1520" i="3"/>
  <c r="M1520" i="3"/>
  <c r="P1520" i="3"/>
  <c r="O1520" i="3"/>
  <c r="N1520" i="3"/>
  <c r="I654" i="3"/>
  <c r="O653" i="3"/>
  <c r="N653" i="3"/>
  <c r="M653" i="3"/>
  <c r="L653" i="3"/>
  <c r="P653" i="3"/>
  <c r="N1418" i="3"/>
  <c r="M1418" i="3"/>
  <c r="L1418" i="3"/>
  <c r="O1418" i="3"/>
  <c r="P1418" i="3"/>
  <c r="I1419" i="3"/>
  <c r="I1012" i="3"/>
  <c r="P1011" i="3"/>
  <c r="O1011" i="3"/>
  <c r="M1011" i="3"/>
  <c r="L1011" i="3"/>
  <c r="N1011" i="3"/>
  <c r="I2681" i="3"/>
  <c r="P2680" i="3"/>
  <c r="O2680" i="3"/>
  <c r="N2680" i="3"/>
  <c r="M2680" i="3"/>
  <c r="L2680" i="3"/>
  <c r="I92" i="3"/>
  <c r="M91" i="3"/>
  <c r="L91" i="3"/>
  <c r="O91" i="3"/>
  <c r="N91" i="3"/>
  <c r="P91" i="3"/>
  <c r="I965" i="3"/>
  <c r="N964" i="3"/>
  <c r="M964" i="3"/>
  <c r="L964" i="3"/>
  <c r="P964" i="3"/>
  <c r="O964" i="3"/>
  <c r="I1993" i="3"/>
  <c r="P1992" i="3"/>
  <c r="O1992" i="3"/>
  <c r="N1992" i="3"/>
  <c r="M1992" i="3"/>
  <c r="L1992" i="3"/>
  <c r="M495" i="3"/>
  <c r="L495" i="3"/>
  <c r="O495" i="3"/>
  <c r="P495" i="3"/>
  <c r="N495" i="3"/>
  <c r="I956" i="3"/>
  <c r="P955" i="3"/>
  <c r="O955" i="3"/>
  <c r="M955" i="3"/>
  <c r="L955" i="3"/>
  <c r="N955" i="3"/>
  <c r="I356" i="3"/>
  <c r="P355" i="3"/>
  <c r="O355" i="3"/>
  <c r="N355" i="3"/>
  <c r="M355" i="3"/>
  <c r="L355" i="3"/>
  <c r="I2599" i="3"/>
  <c r="N2598" i="3"/>
  <c r="M2598" i="3"/>
  <c r="L2598" i="3"/>
  <c r="P2598" i="3"/>
  <c r="O2598" i="3"/>
  <c r="I468" i="3"/>
  <c r="P467" i="3"/>
  <c r="O467" i="3"/>
  <c r="N467" i="3"/>
  <c r="M467" i="3"/>
  <c r="L467" i="3"/>
  <c r="I3151" i="3"/>
  <c r="P3150" i="3"/>
  <c r="O3150" i="3"/>
  <c r="N3150" i="3"/>
  <c r="M3150" i="3"/>
  <c r="L3150" i="3"/>
  <c r="I2284" i="3"/>
  <c r="L2283" i="3"/>
  <c r="N2283" i="3"/>
  <c r="P2283" i="3"/>
  <c r="O2283" i="3"/>
  <c r="M2283" i="3"/>
  <c r="I1769" i="3"/>
  <c r="P1768" i="3"/>
  <c r="O1768" i="3"/>
  <c r="N1768" i="3"/>
  <c r="L1768" i="3"/>
  <c r="M1768" i="3"/>
  <c r="I345" i="3"/>
  <c r="P344" i="3"/>
  <c r="O344" i="3"/>
  <c r="N344" i="3"/>
  <c r="M344" i="3"/>
  <c r="L344" i="3"/>
  <c r="I2862" i="3"/>
  <c r="O2861" i="3"/>
  <c r="N2861" i="3"/>
  <c r="L2861" i="3"/>
  <c r="P2861" i="3"/>
  <c r="M2861" i="3"/>
  <c r="I843" i="3"/>
  <c r="P842" i="3"/>
  <c r="O842" i="3"/>
  <c r="N842" i="3"/>
  <c r="M842" i="3"/>
  <c r="L842" i="3"/>
  <c r="I2971" i="3"/>
  <c r="N2970" i="3"/>
  <c r="M2970" i="3"/>
  <c r="L2970" i="3"/>
  <c r="P2970" i="3"/>
  <c r="O2970" i="3"/>
  <c r="I2737" i="3"/>
  <c r="P2736" i="3"/>
  <c r="O2736" i="3"/>
  <c r="N2736" i="3"/>
  <c r="M2736" i="3"/>
  <c r="L2736" i="3"/>
  <c r="I1141" i="3"/>
  <c r="O1140" i="3"/>
  <c r="N1140" i="3"/>
  <c r="M1140" i="3"/>
  <c r="L1140" i="3"/>
  <c r="P1140" i="3"/>
  <c r="I2201" i="3"/>
  <c r="O2200" i="3"/>
  <c r="N2200" i="3"/>
  <c r="M2200" i="3"/>
  <c r="L2200" i="3"/>
  <c r="P2200" i="3"/>
  <c r="I2439" i="3"/>
  <c r="N2438" i="3"/>
  <c r="M2438" i="3"/>
  <c r="L2438" i="3"/>
  <c r="P2438" i="3"/>
  <c r="O2438" i="3"/>
  <c r="I1313" i="3"/>
  <c r="P1312" i="3"/>
  <c r="O1312" i="3"/>
  <c r="N1312" i="3"/>
  <c r="M1312" i="3"/>
  <c r="L1312" i="3"/>
  <c r="I2035" i="3"/>
  <c r="O2034" i="3"/>
  <c r="P2034" i="3"/>
  <c r="N2034" i="3"/>
  <c r="L2034" i="3"/>
  <c r="M2034" i="3"/>
  <c r="I171" i="3"/>
  <c r="P170" i="3"/>
  <c r="O170" i="3"/>
  <c r="N170" i="3"/>
  <c r="L170" i="3"/>
  <c r="M170" i="3"/>
  <c r="I2723" i="3"/>
  <c r="O2722" i="3"/>
  <c r="N2722" i="3"/>
  <c r="M2722" i="3"/>
  <c r="L2722" i="3"/>
  <c r="P2722" i="3"/>
  <c r="I632" i="3"/>
  <c r="M631" i="3"/>
  <c r="L631" i="3"/>
  <c r="O631" i="3"/>
  <c r="N631" i="3"/>
  <c r="P631" i="3"/>
  <c r="I2612" i="3"/>
  <c r="M2611" i="3"/>
  <c r="L2611" i="3"/>
  <c r="P2611" i="3"/>
  <c r="O2611" i="3"/>
  <c r="N2611" i="3"/>
  <c r="I922" i="3"/>
  <c r="M921" i="3"/>
  <c r="L921" i="3"/>
  <c r="O921" i="3"/>
  <c r="N921" i="3"/>
  <c r="P921" i="3"/>
  <c r="I2268" i="3"/>
  <c r="L2267" i="3"/>
  <c r="N2267" i="3"/>
  <c r="M2267" i="3"/>
  <c r="P2267" i="3"/>
  <c r="O2267" i="3"/>
  <c r="I2918" i="3"/>
  <c r="O2917" i="3"/>
  <c r="N2917" i="3"/>
  <c r="M2917" i="3"/>
  <c r="L2917" i="3"/>
  <c r="P2917" i="3"/>
  <c r="O477" i="3"/>
  <c r="N477" i="3"/>
  <c r="M477" i="3"/>
  <c r="L477" i="3"/>
  <c r="P477" i="3"/>
  <c r="I3043" i="3"/>
  <c r="N3042" i="3"/>
  <c r="M3042" i="3"/>
  <c r="L3042" i="3"/>
  <c r="P3042" i="3"/>
  <c r="O3042" i="3"/>
  <c r="I3015" i="3"/>
  <c r="P3014" i="3"/>
  <c r="N3014" i="3"/>
  <c r="O3014" i="3"/>
  <c r="M3014" i="3"/>
  <c r="L3014" i="3"/>
  <c r="I1404" i="3"/>
  <c r="O1403" i="3"/>
  <c r="N1403" i="3"/>
  <c r="M1403" i="3"/>
  <c r="P1403" i="3"/>
  <c r="L1403" i="3"/>
  <c r="I3182" i="3"/>
  <c r="N3181" i="3"/>
  <c r="M3181" i="3"/>
  <c r="L3181" i="3"/>
  <c r="P3181" i="3"/>
  <c r="O3181" i="3"/>
  <c r="I1866" i="3"/>
  <c r="M1865" i="3"/>
  <c r="L1865" i="3"/>
  <c r="P1865" i="3"/>
  <c r="O1865" i="3"/>
  <c r="N1865" i="3"/>
  <c r="I1083" i="3"/>
  <c r="P1082" i="3"/>
  <c r="O1082" i="3"/>
  <c r="N1082" i="3"/>
  <c r="L1082" i="3"/>
  <c r="M1082" i="3"/>
  <c r="I10" i="3"/>
  <c r="O9" i="3"/>
  <c r="N9" i="3"/>
  <c r="M9" i="3"/>
  <c r="L9" i="3"/>
  <c r="P9" i="3"/>
  <c r="I2543" i="3"/>
  <c r="N2542" i="3"/>
  <c r="M2542" i="3"/>
  <c r="L2542" i="3"/>
  <c r="P2542" i="3"/>
  <c r="O2542" i="3"/>
  <c r="I1691" i="3"/>
  <c r="N1690" i="3"/>
  <c r="L1690" i="3"/>
  <c r="P1690" i="3"/>
  <c r="O1690" i="3"/>
  <c r="M1690" i="3"/>
  <c r="I1450" i="3"/>
  <c r="N1449" i="3"/>
  <c r="P1449" i="3"/>
  <c r="O1449" i="3"/>
  <c r="M1449" i="3"/>
  <c r="L1449" i="3"/>
  <c r="M1334" i="3"/>
  <c r="L1334" i="3"/>
  <c r="P1334" i="3"/>
  <c r="O1334" i="3"/>
  <c r="N1334" i="3"/>
  <c r="I1335" i="3"/>
  <c r="I1240" i="3"/>
  <c r="P1239" i="3"/>
  <c r="O1239" i="3"/>
  <c r="N1239" i="3"/>
  <c r="M1239" i="3"/>
  <c r="L1239" i="3"/>
  <c r="M1831" i="3"/>
  <c r="L1831" i="3"/>
  <c r="P1831" i="3"/>
  <c r="O1831" i="3"/>
  <c r="N1831" i="3"/>
  <c r="I1822" i="3"/>
  <c r="O1821" i="3"/>
  <c r="M1821" i="3"/>
  <c r="P1821" i="3"/>
  <c r="L1821" i="3"/>
  <c r="N1821" i="3"/>
  <c r="I1739" i="3"/>
  <c r="N1738" i="3"/>
  <c r="P1738" i="3"/>
  <c r="M1738" i="3"/>
  <c r="L1738" i="3"/>
  <c r="O1738" i="3"/>
  <c r="I2324" i="3"/>
  <c r="L2323" i="3"/>
  <c r="N2323" i="3"/>
  <c r="O2323" i="3"/>
  <c r="M2323" i="3"/>
  <c r="P2323" i="3"/>
  <c r="I1577" i="3"/>
  <c r="L1576" i="3"/>
  <c r="O1576" i="3"/>
  <c r="M1576" i="3"/>
  <c r="P1576" i="3"/>
  <c r="N1576" i="3"/>
  <c r="P1878" i="3"/>
  <c r="O1878" i="3"/>
  <c r="N1878" i="3"/>
  <c r="L1878" i="3"/>
  <c r="M1878" i="3"/>
  <c r="I1879" i="3"/>
  <c r="P3386" i="3"/>
  <c r="O3386" i="3"/>
  <c r="N3386" i="3"/>
  <c r="M3386" i="3"/>
  <c r="L3386" i="3"/>
  <c r="I1121" i="3"/>
  <c r="P1120" i="3"/>
  <c r="O1120" i="3"/>
  <c r="M1120" i="3"/>
  <c r="L1120" i="3"/>
  <c r="N1120" i="3"/>
  <c r="I558" i="3"/>
  <c r="O557" i="3"/>
  <c r="N557" i="3"/>
  <c r="M557" i="3"/>
  <c r="L557" i="3"/>
  <c r="P557" i="3"/>
  <c r="I1497" i="3"/>
  <c r="L1496" i="3"/>
  <c r="N1496" i="3"/>
  <c r="M1496" i="3"/>
  <c r="P1496" i="3"/>
  <c r="O1496" i="3"/>
  <c r="I2006" i="3"/>
  <c r="O2005" i="3"/>
  <c r="N2005" i="3"/>
  <c r="M2005" i="3"/>
  <c r="L2005" i="3"/>
  <c r="P2005" i="3"/>
  <c r="N2954" i="3"/>
  <c r="M2954" i="3"/>
  <c r="L2954" i="3"/>
  <c r="O2954" i="3"/>
  <c r="P2954" i="3"/>
  <c r="I2955" i="3"/>
  <c r="I3003" i="3"/>
  <c r="N3002" i="3"/>
  <c r="M3002" i="3"/>
  <c r="P3002" i="3"/>
  <c r="O3002" i="3"/>
  <c r="L3002" i="3"/>
  <c r="I3237" i="3"/>
  <c r="P3236" i="3"/>
  <c r="O3236" i="3"/>
  <c r="N3236" i="3"/>
  <c r="M3236" i="3"/>
  <c r="L3236" i="3"/>
  <c r="I1156" i="3"/>
  <c r="L1155" i="3"/>
  <c r="P1155" i="3"/>
  <c r="N1155" i="3"/>
  <c r="M1155" i="3"/>
  <c r="O1155" i="3"/>
  <c r="I3318" i="3"/>
  <c r="P3317" i="3"/>
  <c r="O3317" i="3"/>
  <c r="N3317" i="3"/>
  <c r="M3317" i="3"/>
  <c r="L3317" i="3"/>
  <c r="I1511" i="3"/>
  <c r="N1510" i="3"/>
  <c r="M1510" i="3"/>
  <c r="P1510" i="3"/>
  <c r="O1510" i="3"/>
  <c r="L1510" i="3"/>
  <c r="I593" i="3"/>
  <c r="P592" i="3"/>
  <c r="O592" i="3"/>
  <c r="N592" i="3"/>
  <c r="M592" i="3"/>
  <c r="L592" i="3"/>
  <c r="I3085" i="3"/>
  <c r="O3084" i="3"/>
  <c r="N3084" i="3"/>
  <c r="P3084" i="3"/>
  <c r="M3084" i="3"/>
  <c r="L3084" i="3"/>
  <c r="I2878" i="3"/>
  <c r="O2877" i="3"/>
  <c r="N2877" i="3"/>
  <c r="L2877" i="3"/>
  <c r="P2877" i="3"/>
  <c r="M2877" i="3"/>
  <c r="I2987" i="3"/>
  <c r="N2986" i="3"/>
  <c r="M2986" i="3"/>
  <c r="P2986" i="3"/>
  <c r="O2986" i="3"/>
  <c r="L2986" i="3"/>
  <c r="O549" i="3"/>
  <c r="N549" i="3"/>
  <c r="M549" i="3"/>
  <c r="L549" i="3"/>
  <c r="P549" i="3"/>
  <c r="I947" i="3"/>
  <c r="P946" i="3"/>
  <c r="O946" i="3"/>
  <c r="N946" i="3"/>
  <c r="M946" i="3"/>
  <c r="L946" i="3"/>
  <c r="I3377" i="3"/>
  <c r="P3376" i="3"/>
  <c r="O3376" i="3"/>
  <c r="N3376" i="3"/>
  <c r="M3376" i="3"/>
  <c r="L3376" i="3"/>
  <c r="I692" i="3"/>
  <c r="P691" i="3"/>
  <c r="O691" i="3"/>
  <c r="N691" i="3"/>
  <c r="M691" i="3"/>
  <c r="L691" i="3"/>
  <c r="I238" i="3"/>
  <c r="P237" i="3"/>
  <c r="O237" i="3"/>
  <c r="M237" i="3"/>
  <c r="L237" i="3"/>
  <c r="N237" i="3"/>
  <c r="I1784" i="3"/>
  <c r="M1783" i="3"/>
  <c r="N1783" i="3"/>
  <c r="L1783" i="3"/>
  <c r="P1783" i="3"/>
  <c r="O1783" i="3"/>
  <c r="P2158" i="3"/>
  <c r="N2158" i="3"/>
  <c r="L2158" i="3"/>
  <c r="O2158" i="3"/>
  <c r="M2158" i="3"/>
  <c r="I2159" i="3"/>
  <c r="I417" i="3"/>
  <c r="P416" i="3"/>
  <c r="O416" i="3"/>
  <c r="N416" i="3"/>
  <c r="M416" i="3"/>
  <c r="L416" i="3"/>
  <c r="I3255" i="3"/>
  <c r="L3254" i="3"/>
  <c r="P3254" i="3"/>
  <c r="O3254" i="3"/>
  <c r="N3254" i="3"/>
  <c r="M3254" i="3"/>
  <c r="M1935" i="3"/>
  <c r="L1935" i="3"/>
  <c r="O1935" i="3"/>
  <c r="N1935" i="3"/>
  <c r="P1935" i="3"/>
  <c r="I1272" i="3"/>
  <c r="P1271" i="3"/>
  <c r="O1271" i="3"/>
  <c r="N1271" i="3"/>
  <c r="M1271" i="3"/>
  <c r="L1271" i="3"/>
  <c r="I1259" i="3"/>
  <c r="P1258" i="3"/>
  <c r="O1258" i="3"/>
  <c r="N1258" i="3"/>
  <c r="M1258" i="3"/>
  <c r="L1258" i="3"/>
  <c r="I1853" i="3"/>
  <c r="L1852" i="3"/>
  <c r="N1852" i="3"/>
  <c r="M1852" i="3"/>
  <c r="O1852" i="3"/>
  <c r="P1852" i="3"/>
  <c r="I118" i="3"/>
  <c r="P117" i="3"/>
  <c r="O117" i="3"/>
  <c r="M117" i="3"/>
  <c r="L117" i="3"/>
  <c r="N117" i="3"/>
  <c r="I1724" i="3"/>
  <c r="L1723" i="3"/>
  <c r="M1723" i="3"/>
  <c r="P1723" i="3"/>
  <c r="O1723" i="3"/>
  <c r="N1723" i="3"/>
  <c r="I2559" i="3"/>
  <c r="N2558" i="3"/>
  <c r="M2558" i="3"/>
  <c r="L2558" i="3"/>
  <c r="O2558" i="3"/>
  <c r="P2558" i="3"/>
  <c r="I37" i="3"/>
  <c r="P36" i="3"/>
  <c r="O36" i="3"/>
  <c r="N36" i="3"/>
  <c r="M36" i="3"/>
  <c r="L36" i="3"/>
  <c r="I3361" i="3"/>
  <c r="P3360" i="3"/>
  <c r="O3360" i="3"/>
  <c r="N3360" i="3"/>
  <c r="M3360" i="3"/>
  <c r="L3360" i="3"/>
  <c r="I1029" i="3"/>
  <c r="N1028" i="3"/>
  <c r="M1028" i="3"/>
  <c r="L1028" i="3"/>
  <c r="P1028" i="3"/>
  <c r="O1028" i="3"/>
  <c r="I2809" i="3"/>
  <c r="P2808" i="3"/>
  <c r="O2808" i="3"/>
  <c r="N2808" i="3"/>
  <c r="M2808" i="3"/>
  <c r="L2808" i="3"/>
  <c r="I3333" i="3"/>
  <c r="N3332" i="3"/>
  <c r="M3332" i="3"/>
  <c r="L3332" i="3"/>
  <c r="P3332" i="3"/>
  <c r="O3332" i="3"/>
  <c r="I2587" i="3"/>
  <c r="P2586" i="3"/>
  <c r="O2586" i="3"/>
  <c r="N2586" i="3"/>
  <c r="M2586" i="3"/>
  <c r="L2586" i="3"/>
  <c r="P387" i="3"/>
  <c r="O387" i="3"/>
  <c r="N387" i="3"/>
  <c r="M387" i="3"/>
  <c r="L387" i="3"/>
  <c r="I1754" i="3"/>
  <c r="P1753" i="3"/>
  <c r="N1753" i="3"/>
  <c r="O1753" i="3"/>
  <c r="M1753" i="3"/>
  <c r="L1753" i="3"/>
  <c r="I581" i="3"/>
  <c r="L580" i="3"/>
  <c r="P580" i="3"/>
  <c r="N580" i="3"/>
  <c r="M580" i="3"/>
  <c r="O580" i="3"/>
  <c r="I1965" i="3"/>
  <c r="L1964" i="3"/>
  <c r="P1964" i="3"/>
  <c r="N1964" i="3"/>
  <c r="O1964" i="3"/>
  <c r="M1964" i="3"/>
  <c r="I883" i="3"/>
  <c r="P882" i="3"/>
  <c r="O882" i="3"/>
  <c r="N882" i="3"/>
  <c r="M882" i="3"/>
  <c r="L882" i="3"/>
  <c r="I105" i="3"/>
  <c r="L104" i="3"/>
  <c r="P104" i="3"/>
  <c r="N104" i="3"/>
  <c r="M104" i="3"/>
  <c r="O104" i="3"/>
  <c r="I2575" i="3"/>
  <c r="N2574" i="3"/>
  <c r="M2574" i="3"/>
  <c r="L2574" i="3"/>
  <c r="O2574" i="3"/>
  <c r="P2574" i="3"/>
  <c r="P1596" i="3"/>
  <c r="O1596" i="3"/>
  <c r="N1596" i="3"/>
  <c r="L1596" i="3"/>
  <c r="M1596" i="3"/>
  <c r="I2456" i="3"/>
  <c r="P2455" i="3"/>
  <c r="O2455" i="3"/>
  <c r="N2455" i="3"/>
  <c r="M2455" i="3"/>
  <c r="L2455" i="3"/>
  <c r="I2531" i="3"/>
  <c r="P2530" i="3"/>
  <c r="O2530" i="3"/>
  <c r="N2530" i="3"/>
  <c r="M2530" i="3"/>
  <c r="L2530" i="3"/>
  <c r="I872" i="3"/>
  <c r="O871" i="3"/>
  <c r="N871" i="3"/>
  <c r="M871" i="3"/>
  <c r="L871" i="3"/>
  <c r="P871" i="3"/>
  <c r="I2519" i="3"/>
  <c r="N2518" i="3"/>
  <c r="M2518" i="3"/>
  <c r="L2518" i="3"/>
  <c r="P2518" i="3"/>
  <c r="O2518" i="3"/>
  <c r="I1053" i="3"/>
  <c r="N1052" i="3"/>
  <c r="M1052" i="3"/>
  <c r="L1052" i="3"/>
  <c r="P1052" i="3"/>
  <c r="O1052" i="3"/>
  <c r="I2178" i="3"/>
  <c r="O2177" i="3"/>
  <c r="L2177" i="3"/>
  <c r="M2177" i="3"/>
  <c r="N2177" i="3"/>
  <c r="P2177" i="3"/>
  <c r="I2750" i="3"/>
  <c r="P2749" i="3"/>
  <c r="O2749" i="3"/>
  <c r="N2749" i="3"/>
  <c r="M2749" i="3"/>
  <c r="L2749" i="3"/>
  <c r="I185" i="3"/>
  <c r="L184" i="3"/>
  <c r="P184" i="3"/>
  <c r="N184" i="3"/>
  <c r="M184" i="3"/>
  <c r="O184" i="3"/>
  <c r="I2378" i="3"/>
  <c r="N2377" i="3"/>
  <c r="M2377" i="3"/>
  <c r="L2377" i="3"/>
  <c r="P2377" i="3"/>
  <c r="O2377" i="3"/>
  <c r="I1107" i="3"/>
  <c r="P1106" i="3"/>
  <c r="O1106" i="3"/>
  <c r="N1106" i="3"/>
  <c r="M1106" i="3"/>
  <c r="L1106" i="3"/>
  <c r="I641" i="3"/>
  <c r="P640" i="3"/>
  <c r="O640" i="3"/>
  <c r="N640" i="3"/>
  <c r="M640" i="3"/>
  <c r="L640" i="3"/>
  <c r="I896" i="3"/>
  <c r="O895" i="3"/>
  <c r="N895" i="3"/>
  <c r="M895" i="3"/>
  <c r="L895" i="3"/>
  <c r="P895" i="3"/>
  <c r="I2021" i="3"/>
  <c r="M2020" i="3"/>
  <c r="P2020" i="3"/>
  <c r="O2020" i="3"/>
  <c r="N2020" i="3"/>
  <c r="L2020" i="3"/>
  <c r="I2794" i="3"/>
  <c r="L2793" i="3"/>
  <c r="P2793" i="3"/>
  <c r="O2793" i="3"/>
  <c r="N2793" i="3"/>
  <c r="M2793" i="3"/>
  <c r="P459" i="3"/>
  <c r="O459" i="3"/>
  <c r="N459" i="3"/>
  <c r="M459" i="3"/>
  <c r="L459" i="3"/>
  <c r="I1383" i="3"/>
  <c r="P1382" i="3"/>
  <c r="L1382" i="3"/>
  <c r="O1382" i="3"/>
  <c r="N1382" i="3"/>
  <c r="M1382" i="3"/>
  <c r="I979" i="3"/>
  <c r="P978" i="3"/>
  <c r="O978" i="3"/>
  <c r="N978" i="3"/>
  <c r="M978" i="3"/>
  <c r="L978" i="3"/>
  <c r="I3166" i="3"/>
  <c r="N3165" i="3"/>
  <c r="M3165" i="3"/>
  <c r="L3165" i="3"/>
  <c r="P3165" i="3"/>
  <c r="O3165" i="3"/>
  <c r="I1621" i="3"/>
  <c r="L1620" i="3"/>
  <c r="O1620" i="3"/>
  <c r="N1620" i="3"/>
  <c r="P1620" i="3"/>
  <c r="M1620" i="3"/>
  <c r="O1662" i="3"/>
  <c r="N1662" i="3"/>
  <c r="L1662" i="3"/>
  <c r="M1662" i="3"/>
  <c r="P1662" i="3"/>
  <c r="I1663" i="3"/>
  <c r="I1840" i="3"/>
  <c r="M1839" i="3"/>
  <c r="O1839" i="3"/>
  <c r="N1839" i="3"/>
  <c r="L1839" i="3"/>
  <c r="P1839" i="3"/>
  <c r="I1165" i="3"/>
  <c r="O1164" i="3"/>
  <c r="N1164" i="3"/>
  <c r="M1164" i="3"/>
  <c r="L1164" i="3"/>
  <c r="P1164" i="3"/>
  <c r="I1709" i="3"/>
  <c r="L1708" i="3"/>
  <c r="N1708" i="3"/>
  <c r="M1708" i="3"/>
  <c r="O1708" i="3"/>
  <c r="P1708" i="3"/>
  <c r="I3129" i="3"/>
  <c r="N3128" i="3"/>
  <c r="M3128" i="3"/>
  <c r="L3128" i="3"/>
  <c r="P3128" i="3"/>
  <c r="O3128" i="3"/>
  <c r="I2249" i="3"/>
  <c r="O2248" i="3"/>
  <c r="N2248" i="3"/>
  <c r="M2248" i="3"/>
  <c r="L2248" i="3"/>
  <c r="P2248" i="3"/>
  <c r="I1369" i="3"/>
  <c r="P1368" i="3"/>
  <c r="O1368" i="3"/>
  <c r="N1368" i="3"/>
  <c r="M1368" i="3"/>
  <c r="L1368" i="3"/>
  <c r="I1531" i="3"/>
  <c r="O1530" i="3"/>
  <c r="N1530" i="3"/>
  <c r="M1530" i="3"/>
  <c r="L1530" i="3"/>
  <c r="P1530" i="3"/>
  <c r="P292" i="3"/>
  <c r="O292" i="3"/>
  <c r="N292" i="3"/>
  <c r="M292" i="3"/>
  <c r="L292" i="3"/>
  <c r="I293" i="3"/>
  <c r="O541" i="3"/>
  <c r="N541" i="3"/>
  <c r="M541" i="3"/>
  <c r="L541" i="3"/>
  <c r="P541" i="3"/>
  <c r="I209" i="3"/>
  <c r="L208" i="3"/>
  <c r="P208" i="3"/>
  <c r="N208" i="3"/>
  <c r="M208" i="3"/>
  <c r="O208" i="3"/>
  <c r="I3029" i="3"/>
  <c r="L3028" i="3"/>
  <c r="P3028" i="3"/>
  <c r="M3028" i="3"/>
  <c r="O3028" i="3"/>
  <c r="N3028" i="3"/>
  <c r="I3071" i="3"/>
  <c r="P3070" i="3"/>
  <c r="O3070" i="3"/>
  <c r="M3070" i="3"/>
  <c r="L3070" i="3"/>
  <c r="N3070" i="3"/>
  <c r="I995" i="3"/>
  <c r="P994" i="3"/>
  <c r="O994" i="3"/>
  <c r="N994" i="3"/>
  <c r="M994" i="3"/>
  <c r="L994" i="3"/>
  <c r="P2230" i="3"/>
  <c r="O2230" i="3"/>
  <c r="N2230" i="3"/>
  <c r="M2230" i="3"/>
  <c r="L2230" i="3"/>
  <c r="I2231" i="3"/>
  <c r="I2410" i="3"/>
  <c r="N2409" i="3"/>
  <c r="M2409" i="3"/>
  <c r="L2409" i="3"/>
  <c r="P2409" i="3"/>
  <c r="O2409" i="3"/>
  <c r="I3197" i="3"/>
  <c r="P3196" i="3"/>
  <c r="O3196" i="3"/>
  <c r="N3196" i="3"/>
  <c r="M3196" i="3"/>
  <c r="L3196" i="3"/>
  <c r="I309" i="3"/>
  <c r="P308" i="3"/>
  <c r="O308" i="3"/>
  <c r="N308" i="3"/>
  <c r="M308" i="3"/>
  <c r="L308" i="3"/>
  <c r="N442" i="3"/>
  <c r="M442" i="3"/>
  <c r="L442" i="3"/>
  <c r="P442" i="3"/>
  <c r="O442" i="3"/>
  <c r="I3291" i="3"/>
  <c r="P3290" i="3"/>
  <c r="O3290" i="3"/>
  <c r="N3290" i="3"/>
  <c r="M3290" i="3"/>
  <c r="L3290" i="3"/>
  <c r="I612" i="3"/>
  <c r="P611" i="3"/>
  <c r="O611" i="3"/>
  <c r="N611" i="3"/>
  <c r="M611" i="3"/>
  <c r="L611" i="3"/>
  <c r="P408" i="3"/>
  <c r="O408" i="3"/>
  <c r="N408" i="3"/>
  <c r="M408" i="3"/>
  <c r="L408" i="3"/>
  <c r="I2666" i="3"/>
  <c r="P2665" i="3"/>
  <c r="O2665" i="3"/>
  <c r="L2665" i="3"/>
  <c r="N2665" i="3"/>
  <c r="M2665" i="3"/>
  <c r="I804" i="3"/>
  <c r="P803" i="3"/>
  <c r="O803" i="3"/>
  <c r="N803" i="3"/>
  <c r="M803" i="3"/>
  <c r="L803" i="3"/>
  <c r="I229" i="3"/>
  <c r="P228" i="3"/>
  <c r="O228" i="3"/>
  <c r="N228" i="3"/>
  <c r="M228" i="3"/>
  <c r="L228" i="3"/>
  <c r="I768" i="3"/>
  <c r="M767" i="3"/>
  <c r="L767" i="3"/>
  <c r="O767" i="3"/>
  <c r="N767" i="3"/>
  <c r="P767" i="3"/>
  <c r="I486" i="3"/>
  <c r="O485" i="3"/>
  <c r="N485" i="3"/>
  <c r="M485" i="3"/>
  <c r="L485" i="3"/>
  <c r="P485" i="3"/>
  <c r="I1648" i="3"/>
  <c r="M1647" i="3"/>
  <c r="P1647" i="3"/>
  <c r="N1647" i="3"/>
  <c r="O1647" i="3"/>
  <c r="L1647" i="3"/>
  <c r="I81" i="3"/>
  <c r="L80" i="3"/>
  <c r="P80" i="3"/>
  <c r="N80" i="3"/>
  <c r="M80" i="3"/>
  <c r="O80" i="3"/>
  <c r="I2423" i="3"/>
  <c r="N2422" i="3"/>
  <c r="M2422" i="3"/>
  <c r="L2422" i="3"/>
  <c r="P2422" i="3"/>
  <c r="O2422" i="3"/>
  <c r="I1282" i="3"/>
  <c r="N1281" i="3"/>
  <c r="M1281" i="3"/>
  <c r="L1281" i="3"/>
  <c r="P1281" i="3"/>
  <c r="O1281" i="3"/>
  <c r="I1902" i="3"/>
  <c r="O1901" i="3"/>
  <c r="M1901" i="3"/>
  <c r="L1901" i="3"/>
  <c r="P1901" i="3"/>
  <c r="N1901" i="3"/>
  <c r="I1951" i="3"/>
  <c r="P1950" i="3"/>
  <c r="O1950" i="3"/>
  <c r="M1950" i="3"/>
  <c r="L1950" i="3"/>
  <c r="N1950" i="3"/>
  <c r="I2300" i="3"/>
  <c r="L2299" i="3"/>
  <c r="N2299" i="3"/>
  <c r="P2299" i="3"/>
  <c r="O2299" i="3"/>
  <c r="M2299" i="3"/>
  <c r="I2214" i="3"/>
  <c r="N2213" i="3"/>
  <c r="M2213" i="3"/>
  <c r="L2213" i="3"/>
  <c r="P2213" i="3"/>
  <c r="O2213" i="3"/>
  <c r="I142" i="3"/>
  <c r="P141" i="3"/>
  <c r="O141" i="3"/>
  <c r="M141" i="3"/>
  <c r="L141" i="3"/>
  <c r="N141" i="3"/>
  <c r="I908" i="3"/>
  <c r="P907" i="3"/>
  <c r="O907" i="3"/>
  <c r="M907" i="3"/>
  <c r="L907" i="3"/>
  <c r="N907" i="3"/>
  <c r="I2640" i="3"/>
  <c r="L2639" i="3"/>
  <c r="M2639" i="3"/>
  <c r="N2639" i="3"/>
  <c r="P2639" i="3"/>
  <c r="O2639" i="3"/>
  <c r="I2708" i="3"/>
  <c r="P2707" i="3"/>
  <c r="O2707" i="3"/>
  <c r="N2707" i="3"/>
  <c r="M2707" i="3"/>
  <c r="L2707" i="3"/>
  <c r="L532" i="3"/>
  <c r="P532" i="3"/>
  <c r="N532" i="3"/>
  <c r="M532" i="3"/>
  <c r="O532" i="3"/>
  <c r="I1212" i="3"/>
  <c r="P1211" i="3"/>
  <c r="O1211" i="3"/>
  <c r="N1211" i="3"/>
  <c r="M1211" i="3"/>
  <c r="L1211" i="3"/>
  <c r="I1355" i="3"/>
  <c r="P1354" i="3"/>
  <c r="O1354" i="3"/>
  <c r="N1354" i="3"/>
  <c r="M1354" i="3"/>
  <c r="L1354" i="3"/>
  <c r="L1700" i="3"/>
  <c r="P1700" i="3"/>
  <c r="N1700" i="3"/>
  <c r="O1700" i="3"/>
  <c r="M1700" i="3"/>
  <c r="I267" i="3"/>
  <c r="P266" i="3"/>
  <c r="O266" i="3"/>
  <c r="N266" i="3"/>
  <c r="L266" i="3"/>
  <c r="M266" i="3"/>
  <c r="I158" i="3"/>
  <c r="P157" i="3"/>
  <c r="O157" i="3"/>
  <c r="M157" i="3"/>
  <c r="L157" i="3"/>
  <c r="N157" i="3"/>
  <c r="I433" i="3"/>
  <c r="P432" i="3"/>
  <c r="O432" i="3"/>
  <c r="N432" i="3"/>
  <c r="M432" i="3"/>
  <c r="L432" i="3"/>
  <c r="I1395" i="3"/>
  <c r="L1394" i="3"/>
  <c r="O1394" i="3"/>
  <c r="P1394" i="3"/>
  <c r="N1394" i="3"/>
  <c r="M1394" i="3"/>
  <c r="I333" i="3"/>
  <c r="L332" i="3"/>
  <c r="P332" i="3"/>
  <c r="N332" i="3"/>
  <c r="M332" i="3"/>
  <c r="O332" i="3"/>
  <c r="I3273" i="3"/>
  <c r="P3272" i="3"/>
  <c r="O3272" i="3"/>
  <c r="N3272" i="3"/>
  <c r="M3272" i="3"/>
  <c r="L3272" i="3"/>
  <c r="I2694" i="3"/>
  <c r="P2693" i="3"/>
  <c r="O2693" i="3"/>
  <c r="N2693" i="3"/>
  <c r="M2693" i="3"/>
  <c r="L2693" i="3"/>
  <c r="I2626" i="3"/>
  <c r="O2625" i="3"/>
  <c r="N2625" i="3"/>
  <c r="M2625" i="3"/>
  <c r="L2625" i="3"/>
  <c r="P2625" i="3"/>
  <c r="I324" i="3"/>
  <c r="P323" i="3"/>
  <c r="O323" i="3"/>
  <c r="N323" i="3"/>
  <c r="M323" i="3"/>
  <c r="L323" i="3"/>
  <c r="I3220" i="3"/>
  <c r="P3219" i="3"/>
  <c r="O3219" i="3"/>
  <c r="N3219" i="3"/>
  <c r="M3219" i="3"/>
  <c r="L3219" i="3"/>
  <c r="M937" i="3"/>
  <c r="L937" i="3"/>
  <c r="O937" i="3"/>
  <c r="N937" i="3"/>
  <c r="P937" i="3"/>
  <c r="I24" i="3"/>
  <c r="P23" i="3"/>
  <c r="O23" i="3"/>
  <c r="N23" i="3"/>
  <c r="M23" i="3"/>
  <c r="L23" i="3"/>
  <c r="I2490" i="3"/>
  <c r="O2489" i="3"/>
  <c r="N2489" i="3"/>
  <c r="M2489" i="3"/>
  <c r="L2489" i="3"/>
  <c r="P2489" i="3"/>
  <c r="I2125" i="3"/>
  <c r="P2124" i="3"/>
  <c r="M2124" i="3"/>
  <c r="O2124" i="3"/>
  <c r="N2124" i="3"/>
  <c r="L2124" i="3"/>
  <c r="I1176" i="3"/>
  <c r="P1175" i="3"/>
  <c r="O1175" i="3"/>
  <c r="N1175" i="3"/>
  <c r="M1175" i="3"/>
  <c r="L1175" i="3"/>
  <c r="I219" i="3"/>
  <c r="P218" i="3"/>
  <c r="O218" i="3"/>
  <c r="N218" i="3"/>
  <c r="L218" i="3"/>
  <c r="M218" i="3"/>
  <c r="P758" i="3"/>
  <c r="O758" i="3"/>
  <c r="N758" i="3"/>
  <c r="L758" i="3"/>
  <c r="M758" i="3"/>
  <c r="I248" i="3"/>
  <c r="P247" i="3"/>
  <c r="O247" i="3"/>
  <c r="N247" i="3"/>
  <c r="M247" i="3"/>
  <c r="L247" i="3"/>
  <c r="I723" i="3"/>
  <c r="N722" i="3"/>
  <c r="M722" i="3"/>
  <c r="L722" i="3"/>
  <c r="P722" i="3"/>
  <c r="O722" i="3"/>
  <c r="I1481" i="3"/>
  <c r="L1480" i="3"/>
  <c r="P1480" i="3"/>
  <c r="O1480" i="3"/>
  <c r="N1480" i="3"/>
  <c r="M1480" i="3"/>
  <c r="I2394" i="3"/>
  <c r="N2393" i="3"/>
  <c r="M2393" i="3"/>
  <c r="L2393" i="3"/>
  <c r="P2393" i="3"/>
  <c r="O2393" i="3"/>
  <c r="I1069" i="3"/>
  <c r="N1068" i="3"/>
  <c r="M1068" i="3"/>
  <c r="L1068" i="3"/>
  <c r="P1068" i="3"/>
  <c r="O1068" i="3"/>
  <c r="P276" i="3"/>
  <c r="O276" i="3"/>
  <c r="N276" i="3"/>
  <c r="M276" i="3"/>
  <c r="L276" i="3"/>
  <c r="I277" i="3"/>
  <c r="I1298" i="3"/>
  <c r="N1297" i="3"/>
  <c r="M1297" i="3"/>
  <c r="L1297" i="3"/>
  <c r="P1297" i="3"/>
  <c r="O1297" i="3"/>
  <c r="I3107" i="3"/>
  <c r="L3106" i="3"/>
  <c r="P3106" i="3"/>
  <c r="O3106" i="3"/>
  <c r="N3106" i="3"/>
  <c r="M3106" i="3"/>
  <c r="I1888" i="3"/>
  <c r="M1887" i="3"/>
  <c r="N1887" i="3"/>
  <c r="L1887" i="3"/>
  <c r="P1887" i="3"/>
  <c r="O1887" i="3"/>
  <c r="I1586" i="3"/>
  <c r="O1585" i="3"/>
  <c r="N1585" i="3"/>
  <c r="L1585" i="3"/>
  <c r="P1585" i="3"/>
  <c r="M1585" i="3"/>
  <c r="I51" i="3"/>
  <c r="P50" i="3"/>
  <c r="O50" i="3"/>
  <c r="N50" i="3"/>
  <c r="L50" i="3"/>
  <c r="M50" i="3"/>
  <c r="I3057" i="3"/>
  <c r="N3056" i="3"/>
  <c r="M3056" i="3"/>
  <c r="P3056" i="3"/>
  <c r="L3056" i="3"/>
  <c r="O3056" i="3"/>
  <c r="I668" i="3"/>
  <c r="P667" i="3"/>
  <c r="O667" i="3"/>
  <c r="N667" i="3"/>
  <c r="M667" i="3"/>
  <c r="L667" i="3"/>
  <c r="P132" i="3"/>
  <c r="O132" i="3"/>
  <c r="N132" i="3"/>
  <c r="M132" i="3"/>
  <c r="L132" i="3"/>
  <c r="I133" i="3"/>
  <c r="I1677" i="3"/>
  <c r="L1676" i="3"/>
  <c r="O1676" i="3"/>
  <c r="M1676" i="3"/>
  <c r="P1676" i="3"/>
  <c r="N1676" i="3"/>
  <c r="I749" i="3"/>
  <c r="L748" i="3"/>
  <c r="P748" i="3"/>
  <c r="N748" i="3"/>
  <c r="M748" i="3"/>
  <c r="O748" i="3"/>
  <c r="I1466" i="3"/>
  <c r="N1465" i="3"/>
  <c r="P1465" i="3"/>
  <c r="O1465" i="3"/>
  <c r="M1465" i="3"/>
  <c r="L1465" i="3"/>
  <c r="I513" i="3"/>
  <c r="P512" i="3"/>
  <c r="O512" i="3"/>
  <c r="N512" i="3"/>
  <c r="M512" i="3"/>
  <c r="L512" i="3"/>
  <c r="I622" i="3"/>
  <c r="O621" i="3"/>
  <c r="N621" i="3"/>
  <c r="M621" i="3"/>
  <c r="L621" i="3"/>
  <c r="P621" i="3"/>
  <c r="I1434" i="3"/>
  <c r="N1433" i="3"/>
  <c r="L1433" i="3"/>
  <c r="P1433" i="3"/>
  <c r="M1433" i="3"/>
  <c r="O1433" i="3"/>
  <c r="I707" i="3"/>
  <c r="N706" i="3"/>
  <c r="M706" i="3"/>
  <c r="L706" i="3"/>
  <c r="P706" i="3"/>
  <c r="O706" i="3"/>
  <c r="I2905" i="3"/>
  <c r="P2904" i="3"/>
  <c r="O2904" i="3"/>
  <c r="M2904" i="3"/>
  <c r="N2904" i="3"/>
  <c r="L2904" i="3"/>
  <c r="I856" i="3"/>
  <c r="O855" i="3"/>
  <c r="N855" i="3"/>
  <c r="M855" i="3"/>
  <c r="L855" i="3"/>
  <c r="P855" i="3"/>
  <c r="P504" i="3"/>
  <c r="O504" i="3"/>
  <c r="N504" i="3"/>
  <c r="M504" i="3"/>
  <c r="L504" i="3"/>
  <c r="I198" i="3"/>
  <c r="P197" i="3"/>
  <c r="O197" i="3"/>
  <c r="M197" i="3"/>
  <c r="L197" i="3"/>
  <c r="N197" i="3"/>
  <c r="I2931" i="3"/>
  <c r="N2930" i="3"/>
  <c r="M2930" i="3"/>
  <c r="L2930" i="3"/>
  <c r="P2930" i="3"/>
  <c r="O2930" i="3"/>
  <c r="I792" i="3"/>
  <c r="M791" i="3"/>
  <c r="L791" i="3"/>
  <c r="O791" i="3"/>
  <c r="N791" i="3"/>
  <c r="P791" i="3"/>
  <c r="I1553" i="3"/>
  <c r="L1552" i="3"/>
  <c r="O1552" i="3"/>
  <c r="M1552" i="3"/>
  <c r="N1552" i="3"/>
  <c r="P1552" i="3"/>
  <c r="I1186" i="3"/>
  <c r="M1185" i="3"/>
  <c r="L1185" i="3"/>
  <c r="P1185" i="3"/>
  <c r="O1185" i="3"/>
  <c r="N1185" i="3"/>
  <c r="I2078" i="3"/>
  <c r="P2077" i="3"/>
  <c r="M2077" i="3"/>
  <c r="L2077" i="3"/>
  <c r="O2077" i="3"/>
  <c r="N2077" i="3"/>
  <c r="M2044" i="3"/>
  <c r="O2044" i="3"/>
  <c r="N2044" i="3"/>
  <c r="L2044" i="3"/>
  <c r="P2044" i="3"/>
  <c r="I2045" i="3"/>
  <c r="I2472" i="3"/>
  <c r="P2471" i="3"/>
  <c r="O2471" i="3"/>
  <c r="N2471" i="3"/>
  <c r="M2471" i="3"/>
  <c r="L2471" i="3"/>
  <c r="I1568" i="3"/>
  <c r="P1567" i="3"/>
  <c r="N1567" i="3"/>
  <c r="L1567" i="3"/>
  <c r="O1567" i="3"/>
  <c r="M1567" i="3"/>
  <c r="I679" i="3"/>
  <c r="P678" i="3"/>
  <c r="O678" i="3"/>
  <c r="N678" i="3"/>
  <c r="L678" i="3"/>
  <c r="M678" i="3"/>
  <c r="I2891" i="3"/>
  <c r="N2890" i="3"/>
  <c r="M2890" i="3"/>
  <c r="P2890" i="3"/>
  <c r="O2890" i="3"/>
  <c r="L2890" i="3"/>
  <c r="I3348" i="3"/>
  <c r="P3347" i="3"/>
  <c r="O3347" i="3"/>
  <c r="N3347" i="3"/>
  <c r="M3347" i="3"/>
  <c r="L3347" i="3"/>
  <c r="I2359" i="3"/>
  <c r="M2358" i="3"/>
  <c r="L2358" i="3"/>
  <c r="O2358" i="3"/>
  <c r="P2358" i="3"/>
  <c r="N2358" i="3"/>
  <c r="I827" i="3"/>
  <c r="P826" i="3"/>
  <c r="O826" i="3"/>
  <c r="N826" i="3"/>
  <c r="M826" i="3"/>
  <c r="L826" i="3"/>
  <c r="I2780" i="3"/>
  <c r="P2779" i="3"/>
  <c r="O2779" i="3"/>
  <c r="N2779" i="3"/>
  <c r="M2779" i="3"/>
  <c r="L2779" i="3"/>
  <c r="I1606" i="3"/>
  <c r="O1605" i="3"/>
  <c r="P1605" i="3"/>
  <c r="M1605" i="3"/>
  <c r="N1605" i="3"/>
  <c r="L1605" i="3"/>
  <c r="I69" i="3"/>
  <c r="P68" i="3"/>
  <c r="O68" i="3"/>
  <c r="N68" i="3"/>
  <c r="M68" i="3"/>
  <c r="L68" i="3"/>
  <c r="I2094" i="3"/>
  <c r="N2093" i="3"/>
  <c r="M2093" i="3"/>
  <c r="P2093" i="3"/>
  <c r="O2093" i="3"/>
  <c r="L2093" i="3"/>
  <c r="I2343" i="3"/>
  <c r="M2342" i="3"/>
  <c r="L2342" i="3"/>
  <c r="O2342" i="3"/>
  <c r="P2342" i="3"/>
  <c r="N2342" i="3"/>
  <c r="P782" i="3"/>
  <c r="O782" i="3"/>
  <c r="N782" i="3"/>
  <c r="L782" i="3"/>
  <c r="M782" i="3"/>
  <c r="O2192" i="3"/>
  <c r="N2192" i="3"/>
  <c r="M2192" i="3"/>
  <c r="L2192" i="3"/>
  <c r="P2192" i="3"/>
  <c r="I2766" i="3"/>
  <c r="P2765" i="3"/>
  <c r="O2765" i="3"/>
  <c r="N2765" i="3"/>
  <c r="M2765" i="3"/>
  <c r="L2765" i="3"/>
  <c r="I1636" i="3"/>
  <c r="M1635" i="3"/>
  <c r="L1635" i="3"/>
  <c r="N1635" i="3"/>
  <c r="O1635" i="3"/>
  <c r="P1635" i="3"/>
  <c r="I569" i="3"/>
  <c r="P568" i="3"/>
  <c r="O568" i="3"/>
  <c r="N568" i="3"/>
  <c r="M568" i="3"/>
  <c r="L568" i="3"/>
  <c r="I2946" i="3"/>
  <c r="P2945" i="3"/>
  <c r="O2945" i="3"/>
  <c r="M2945" i="3"/>
  <c r="N2945" i="3"/>
  <c r="L2945" i="3"/>
  <c r="I2109" i="3"/>
  <c r="P2108" i="3"/>
  <c r="M2108" i="3"/>
  <c r="O2108" i="3"/>
  <c r="N2108" i="3"/>
  <c r="L2108" i="3"/>
  <c r="I1795" i="3"/>
  <c r="N1794" i="3"/>
  <c r="L1794" i="3"/>
  <c r="P1794" i="3"/>
  <c r="O1794" i="3"/>
  <c r="M1794" i="3"/>
  <c r="I3302" i="3"/>
  <c r="P3301" i="3"/>
  <c r="O3301" i="3"/>
  <c r="N3301" i="3"/>
  <c r="M3301" i="3"/>
  <c r="L3301" i="3"/>
  <c r="I816" i="3"/>
  <c r="M815" i="3"/>
  <c r="L815" i="3"/>
  <c r="O815" i="3"/>
  <c r="N815" i="3"/>
  <c r="P815" i="3"/>
  <c r="I1326" i="3"/>
  <c r="P1325" i="3"/>
  <c r="O1325" i="3"/>
  <c r="N1325" i="3"/>
  <c r="M1325" i="3"/>
  <c r="L1325" i="3"/>
  <c r="V2300" i="3" l="1"/>
  <c r="W2300" i="3"/>
  <c r="V2423" i="3"/>
  <c r="W2423" i="3"/>
  <c r="V768" i="3"/>
  <c r="W768" i="3"/>
  <c r="V209" i="3"/>
  <c r="W209" i="3"/>
  <c r="V896" i="3"/>
  <c r="W896" i="3"/>
  <c r="W2809" i="3"/>
  <c r="V2809" i="3"/>
  <c r="V2559" i="3"/>
  <c r="W2559" i="3"/>
  <c r="W1259" i="3"/>
  <c r="V1259" i="3"/>
  <c r="V2159" i="3"/>
  <c r="W2159" i="3"/>
  <c r="V593" i="3"/>
  <c r="W593" i="3"/>
  <c r="V3237" i="3"/>
  <c r="W3237" i="3"/>
  <c r="W1497" i="3"/>
  <c r="V1497" i="3"/>
  <c r="W10" i="3"/>
  <c r="V10" i="3"/>
  <c r="V1404" i="3"/>
  <c r="W1404" i="3"/>
  <c r="V965" i="3"/>
  <c r="W965" i="3"/>
  <c r="V2640" i="3"/>
  <c r="W2640" i="3"/>
  <c r="V185" i="3"/>
  <c r="W185" i="3"/>
  <c r="V2519" i="3"/>
  <c r="W2519" i="3"/>
  <c r="W2045" i="3"/>
  <c r="V2045" i="3"/>
  <c r="V513" i="3"/>
  <c r="W513" i="3"/>
  <c r="V51" i="3"/>
  <c r="W51" i="3"/>
  <c r="V1298" i="3"/>
  <c r="W1298" i="3"/>
  <c r="W1481" i="3"/>
  <c r="V1481" i="3"/>
  <c r="V324" i="3"/>
  <c r="W324" i="3"/>
  <c r="V333" i="3"/>
  <c r="W333" i="3"/>
  <c r="V267" i="3"/>
  <c r="W267" i="3"/>
  <c r="V1531" i="3"/>
  <c r="W1531" i="3"/>
  <c r="W1709" i="3"/>
  <c r="V1709" i="3"/>
  <c r="W1383" i="3"/>
  <c r="V1383" i="3"/>
  <c r="V883" i="3"/>
  <c r="W883" i="3"/>
  <c r="W1754" i="3"/>
  <c r="V1754" i="3"/>
  <c r="W3255" i="3"/>
  <c r="V3255" i="3"/>
  <c r="V238" i="3"/>
  <c r="W238" i="3"/>
  <c r="V1739" i="3"/>
  <c r="W1739" i="3"/>
  <c r="V2612" i="3"/>
  <c r="W2612" i="3"/>
  <c r="V2201" i="3"/>
  <c r="W2201" i="3"/>
  <c r="V843" i="3"/>
  <c r="W843" i="3"/>
  <c r="V2284" i="3"/>
  <c r="W2284" i="3"/>
  <c r="V356" i="3"/>
  <c r="W356" i="3"/>
  <c r="V1042" i="3"/>
  <c r="W1042" i="3"/>
  <c r="P1042" i="3"/>
  <c r="O1042" i="3"/>
  <c r="N1042" i="3"/>
  <c r="M1042" i="3"/>
  <c r="L1042" i="3"/>
  <c r="I1043" i="3"/>
  <c r="W1606" i="3"/>
  <c r="V1606" i="3"/>
  <c r="V569" i="3"/>
  <c r="W569" i="3"/>
  <c r="V2214" i="3"/>
  <c r="W2214" i="3"/>
  <c r="W2021" i="3"/>
  <c r="V2021" i="3"/>
  <c r="W2006" i="3"/>
  <c r="V2006" i="3"/>
  <c r="V1240" i="3"/>
  <c r="W1240" i="3"/>
  <c r="W1993" i="3"/>
  <c r="V1993" i="3"/>
  <c r="W2905" i="3"/>
  <c r="V2905" i="3"/>
  <c r="V622" i="3"/>
  <c r="W622" i="3"/>
  <c r="W1677" i="3"/>
  <c r="V1677" i="3"/>
  <c r="W3107" i="3"/>
  <c r="V3107" i="3"/>
  <c r="W2394" i="3"/>
  <c r="V2394" i="3"/>
  <c r="V3220" i="3"/>
  <c r="W3220" i="3"/>
  <c r="V3273" i="3"/>
  <c r="W3273" i="3"/>
  <c r="V158" i="3"/>
  <c r="W158" i="3"/>
  <c r="W3291" i="3"/>
  <c r="V3291" i="3"/>
  <c r="V2231" i="3"/>
  <c r="W2231" i="3"/>
  <c r="V3129" i="3"/>
  <c r="W3129" i="3"/>
  <c r="V979" i="3"/>
  <c r="W979" i="3"/>
  <c r="V105" i="3"/>
  <c r="W105" i="3"/>
  <c r="V581" i="3"/>
  <c r="W581" i="3"/>
  <c r="V1784" i="3"/>
  <c r="W1784" i="3"/>
  <c r="V947" i="3"/>
  <c r="W947" i="3"/>
  <c r="V2324" i="3"/>
  <c r="W2324" i="3"/>
  <c r="W1335" i="3"/>
  <c r="V1335" i="3"/>
  <c r="V922" i="3"/>
  <c r="W922" i="3"/>
  <c r="V171" i="3"/>
  <c r="W171" i="3"/>
  <c r="V2439" i="3"/>
  <c r="W2439" i="3"/>
  <c r="V2971" i="3"/>
  <c r="W2971" i="3"/>
  <c r="W1769" i="3"/>
  <c r="V1769" i="3"/>
  <c r="V2599" i="3"/>
  <c r="W2599" i="3"/>
  <c r="W1419" i="3"/>
  <c r="V1419" i="3"/>
  <c r="W1806" i="3"/>
  <c r="V1806" i="3"/>
  <c r="V2060" i="3"/>
  <c r="W2060" i="3"/>
  <c r="I2061" i="3"/>
  <c r="M2060" i="3"/>
  <c r="P2060" i="3"/>
  <c r="O2060" i="3"/>
  <c r="N2060" i="3"/>
  <c r="L2060" i="3"/>
  <c r="W1978" i="3"/>
  <c r="V1978" i="3"/>
  <c r="O1978" i="3"/>
  <c r="I1979" i="3"/>
  <c r="P1978" i="3"/>
  <c r="N1978" i="3"/>
  <c r="M1978" i="3"/>
  <c r="L1978" i="3"/>
  <c r="V1225" i="3"/>
  <c r="W1225" i="3"/>
  <c r="N1225" i="3"/>
  <c r="M1225" i="3"/>
  <c r="L1225" i="3"/>
  <c r="P1225" i="3"/>
  <c r="O1225" i="3"/>
  <c r="I1226" i="3"/>
  <c r="V1636" i="3"/>
  <c r="W1636" i="3"/>
  <c r="V24" i="3"/>
  <c r="W24" i="3"/>
  <c r="V3302" i="3"/>
  <c r="W3302" i="3"/>
  <c r="V2359" i="3"/>
  <c r="W2359" i="3"/>
  <c r="V198" i="3"/>
  <c r="W198" i="3"/>
  <c r="V1212" i="3"/>
  <c r="W1212" i="3"/>
  <c r="W2666" i="3"/>
  <c r="V2666" i="3"/>
  <c r="V3029" i="3"/>
  <c r="W3029" i="3"/>
  <c r="W2378" i="3"/>
  <c r="V2378" i="3"/>
  <c r="V3333" i="3"/>
  <c r="W3333" i="3"/>
  <c r="V1012" i="3"/>
  <c r="W1012" i="3"/>
  <c r="V816" i="3"/>
  <c r="W816" i="3"/>
  <c r="W2946" i="3"/>
  <c r="V2946" i="3"/>
  <c r="V2094" i="3"/>
  <c r="W2094" i="3"/>
  <c r="V827" i="3"/>
  <c r="W827" i="3"/>
  <c r="V679" i="3"/>
  <c r="W679" i="3"/>
  <c r="V2078" i="3"/>
  <c r="W2078" i="3"/>
  <c r="V2931" i="3"/>
  <c r="W2931" i="3"/>
  <c r="V133" i="3"/>
  <c r="W133" i="3"/>
  <c r="V2125" i="3"/>
  <c r="W2125" i="3"/>
  <c r="W1355" i="3"/>
  <c r="V1355" i="3"/>
  <c r="V142" i="3"/>
  <c r="W142" i="3"/>
  <c r="W1902" i="3"/>
  <c r="V1902" i="3"/>
  <c r="V1648" i="3"/>
  <c r="W1648" i="3"/>
  <c r="V804" i="3"/>
  <c r="W804" i="3"/>
  <c r="V3197" i="3"/>
  <c r="W3197" i="3"/>
  <c r="W3071" i="3"/>
  <c r="V3071" i="3"/>
  <c r="W2794" i="3"/>
  <c r="V2794" i="3"/>
  <c r="V1107" i="3"/>
  <c r="W1107" i="3"/>
  <c r="V2178" i="3"/>
  <c r="W2178" i="3"/>
  <c r="V2531" i="3"/>
  <c r="W2531" i="3"/>
  <c r="V2587" i="3"/>
  <c r="W2587" i="3"/>
  <c r="V3361" i="3"/>
  <c r="W3361" i="3"/>
  <c r="V118" i="3"/>
  <c r="W118" i="3"/>
  <c r="W2878" i="3"/>
  <c r="V2878" i="3"/>
  <c r="V3318" i="3"/>
  <c r="W3318" i="3"/>
  <c r="V1121" i="3"/>
  <c r="W1121" i="3"/>
  <c r="V1691" i="3"/>
  <c r="W1691" i="3"/>
  <c r="W1866" i="3"/>
  <c r="V1866" i="3"/>
  <c r="W3043" i="3"/>
  <c r="V3043" i="3"/>
  <c r="W2681" i="3"/>
  <c r="V2681" i="3"/>
  <c r="W1521" i="3"/>
  <c r="V1521" i="3"/>
  <c r="V2147" i="3"/>
  <c r="W2147" i="3"/>
  <c r="V3348" i="3"/>
  <c r="W3348" i="3"/>
  <c r="V2472" i="3"/>
  <c r="W2472" i="3"/>
  <c r="V69" i="3"/>
  <c r="W69" i="3"/>
  <c r="V277" i="3"/>
  <c r="W277" i="3"/>
  <c r="W2490" i="3"/>
  <c r="V2490" i="3"/>
  <c r="V2708" i="3"/>
  <c r="W2708" i="3"/>
  <c r="W486" i="3"/>
  <c r="V486" i="3"/>
  <c r="V1053" i="3"/>
  <c r="W1053" i="3"/>
  <c r="V1156" i="3"/>
  <c r="W1156" i="3"/>
  <c r="V2543" i="3"/>
  <c r="W2543" i="3"/>
  <c r="V3182" i="3"/>
  <c r="W3182" i="3"/>
  <c r="V856" i="3"/>
  <c r="W856" i="3"/>
  <c r="V1434" i="3"/>
  <c r="W1434" i="3"/>
  <c r="V749" i="3"/>
  <c r="W749" i="3"/>
  <c r="V3057" i="3"/>
  <c r="W3057" i="3"/>
  <c r="V1888" i="3"/>
  <c r="W1888" i="3"/>
  <c r="V1069" i="3"/>
  <c r="W1069" i="3"/>
  <c r="V248" i="3"/>
  <c r="W248" i="3"/>
  <c r="W2694" i="3"/>
  <c r="V2694" i="3"/>
  <c r="V433" i="3"/>
  <c r="W433" i="3"/>
  <c r="V612" i="3"/>
  <c r="W612" i="3"/>
  <c r="V2249" i="3"/>
  <c r="W2249" i="3"/>
  <c r="V1840" i="3"/>
  <c r="W1840" i="3"/>
  <c r="V3166" i="3"/>
  <c r="W3166" i="3"/>
  <c r="V2575" i="3"/>
  <c r="W2575" i="3"/>
  <c r="W1965" i="3"/>
  <c r="V1965" i="3"/>
  <c r="V3377" i="3"/>
  <c r="W3377" i="3"/>
  <c r="W1577" i="3"/>
  <c r="V1577" i="3"/>
  <c r="V2268" i="3"/>
  <c r="W2268" i="3"/>
  <c r="V2723" i="3"/>
  <c r="W2723" i="3"/>
  <c r="V1313" i="3"/>
  <c r="W1313" i="3"/>
  <c r="W2737" i="3"/>
  <c r="V2737" i="3"/>
  <c r="V345" i="3"/>
  <c r="W345" i="3"/>
  <c r="V468" i="3"/>
  <c r="W468" i="3"/>
  <c r="V258" i="3"/>
  <c r="W258" i="3"/>
  <c r="P258" i="3"/>
  <c r="O258" i="3"/>
  <c r="N258" i="3"/>
  <c r="M258" i="3"/>
  <c r="L258" i="3"/>
  <c r="V1795" i="3"/>
  <c r="W1795" i="3"/>
  <c r="V1568" i="3"/>
  <c r="W1568" i="3"/>
  <c r="V1186" i="3"/>
  <c r="W1186" i="3"/>
  <c r="W2410" i="3"/>
  <c r="V2410" i="3"/>
  <c r="V2456" i="3"/>
  <c r="W2456" i="3"/>
  <c r="V1879" i="3"/>
  <c r="W1879" i="3"/>
  <c r="V1198" i="3"/>
  <c r="W1198" i="3"/>
  <c r="V1326" i="3"/>
  <c r="W1326" i="3"/>
  <c r="V2109" i="3"/>
  <c r="W2109" i="3"/>
  <c r="W2766" i="3"/>
  <c r="V2766" i="3"/>
  <c r="V2343" i="3"/>
  <c r="W2343" i="3"/>
  <c r="V2780" i="3"/>
  <c r="W2780" i="3"/>
  <c r="V2891" i="3"/>
  <c r="W2891" i="3"/>
  <c r="V792" i="3"/>
  <c r="W792" i="3"/>
  <c r="V1176" i="3"/>
  <c r="W1176" i="3"/>
  <c r="V908" i="3"/>
  <c r="W908" i="3"/>
  <c r="V1951" i="3"/>
  <c r="W1951" i="3"/>
  <c r="V81" i="3"/>
  <c r="W81" i="3"/>
  <c r="V229" i="3"/>
  <c r="W229" i="3"/>
  <c r="V309" i="3"/>
  <c r="W309" i="3"/>
  <c r="V995" i="3"/>
  <c r="W995" i="3"/>
  <c r="V293" i="3"/>
  <c r="W293" i="3"/>
  <c r="V1663" i="3"/>
  <c r="W1663" i="3"/>
  <c r="V641" i="3"/>
  <c r="W641" i="3"/>
  <c r="W2750" i="3"/>
  <c r="V2750" i="3"/>
  <c r="V872" i="3"/>
  <c r="W872" i="3"/>
  <c r="V1029" i="3"/>
  <c r="W1029" i="3"/>
  <c r="V1724" i="3"/>
  <c r="W1724" i="3"/>
  <c r="V1272" i="3"/>
  <c r="W1272" i="3"/>
  <c r="V2987" i="3"/>
  <c r="W2987" i="3"/>
  <c r="V1511" i="3"/>
  <c r="W1511" i="3"/>
  <c r="V3003" i="3"/>
  <c r="W3003" i="3"/>
  <c r="W558" i="3"/>
  <c r="V558" i="3"/>
  <c r="V1450" i="3"/>
  <c r="W1450" i="3"/>
  <c r="V1083" i="3"/>
  <c r="W1083" i="3"/>
  <c r="V3015" i="3"/>
  <c r="W3015" i="3"/>
  <c r="V92" i="3"/>
  <c r="W92" i="3"/>
  <c r="V654" i="3"/>
  <c r="W654" i="3"/>
  <c r="V1131" i="3"/>
  <c r="W1131" i="3"/>
  <c r="V1916" i="3"/>
  <c r="W1916" i="3"/>
  <c r="N1916" i="3"/>
  <c r="O1916" i="3"/>
  <c r="M1916" i="3"/>
  <c r="P1916" i="3"/>
  <c r="I1917" i="3"/>
  <c r="L1916" i="3"/>
  <c r="W1553" i="3"/>
  <c r="V1553" i="3"/>
  <c r="V219" i="3"/>
  <c r="W219" i="3"/>
  <c r="V1282" i="3"/>
  <c r="W1282" i="3"/>
  <c r="V37" i="3"/>
  <c r="W37" i="3"/>
  <c r="W1853" i="3"/>
  <c r="V1853" i="3"/>
  <c r="V3085" i="3"/>
  <c r="W3085" i="3"/>
  <c r="W378" i="3"/>
  <c r="V378" i="3"/>
  <c r="V707" i="3"/>
  <c r="W707" i="3"/>
  <c r="V1466" i="3"/>
  <c r="W1466" i="3"/>
  <c r="V668" i="3"/>
  <c r="W668" i="3"/>
  <c r="W1586" i="3"/>
  <c r="V1586" i="3"/>
  <c r="V723" i="3"/>
  <c r="W723" i="3"/>
  <c r="W2626" i="3"/>
  <c r="V2626" i="3"/>
  <c r="W1395" i="3"/>
  <c r="V1395" i="3"/>
  <c r="V1369" i="3"/>
  <c r="W1369" i="3"/>
  <c r="V1165" i="3"/>
  <c r="W1165" i="3"/>
  <c r="W1621" i="3"/>
  <c r="V1621" i="3"/>
  <c r="V417" i="3"/>
  <c r="W417" i="3"/>
  <c r="V692" i="3"/>
  <c r="W692" i="3"/>
  <c r="V2955" i="3"/>
  <c r="W2955" i="3"/>
  <c r="W1822" i="3"/>
  <c r="V1822" i="3"/>
  <c r="W2918" i="3"/>
  <c r="V2918" i="3"/>
  <c r="V632" i="3"/>
  <c r="W632" i="3"/>
  <c r="V2035" i="3"/>
  <c r="W2035" i="3"/>
  <c r="V1141" i="3"/>
  <c r="W1141" i="3"/>
  <c r="W2862" i="3"/>
  <c r="V2862" i="3"/>
  <c r="W3151" i="3"/>
  <c r="V3151" i="3"/>
  <c r="V956" i="3"/>
  <c r="W956" i="3"/>
  <c r="W522" i="3"/>
  <c r="V522" i="3"/>
  <c r="O522" i="3"/>
  <c r="P522" i="3"/>
  <c r="I523" i="3"/>
  <c r="N522" i="3"/>
  <c r="M522" i="3"/>
  <c r="L522" i="3"/>
  <c r="I1435" i="3"/>
  <c r="P1434" i="3"/>
  <c r="O1434" i="3"/>
  <c r="N1434" i="3"/>
  <c r="M1434" i="3"/>
  <c r="L1434" i="3"/>
  <c r="O749" i="3"/>
  <c r="N749" i="3"/>
  <c r="M749" i="3"/>
  <c r="L749" i="3"/>
  <c r="P749" i="3"/>
  <c r="I2695" i="3"/>
  <c r="P2694" i="3"/>
  <c r="O2694" i="3"/>
  <c r="N2694" i="3"/>
  <c r="M2694" i="3"/>
  <c r="L2694" i="3"/>
  <c r="I3378" i="3"/>
  <c r="M3377" i="3"/>
  <c r="L3377" i="3"/>
  <c r="P3377" i="3"/>
  <c r="O3377" i="3"/>
  <c r="N3377" i="3"/>
  <c r="I2906" i="3"/>
  <c r="P2905" i="3"/>
  <c r="O2905" i="3"/>
  <c r="L2905" i="3"/>
  <c r="N2905" i="3"/>
  <c r="M2905" i="3"/>
  <c r="I623" i="3"/>
  <c r="P622" i="3"/>
  <c r="O622" i="3"/>
  <c r="N622" i="3"/>
  <c r="L622" i="3"/>
  <c r="M622" i="3"/>
  <c r="I1678" i="3"/>
  <c r="O1677" i="3"/>
  <c r="M1677" i="3"/>
  <c r="L1677" i="3"/>
  <c r="P1677" i="3"/>
  <c r="N1677" i="3"/>
  <c r="I3108" i="3"/>
  <c r="O3107" i="3"/>
  <c r="N3107" i="3"/>
  <c r="L3107" i="3"/>
  <c r="M3107" i="3"/>
  <c r="P3107" i="3"/>
  <c r="I2395" i="3"/>
  <c r="P2394" i="3"/>
  <c r="O2394" i="3"/>
  <c r="N2394" i="3"/>
  <c r="M2394" i="3"/>
  <c r="L2394" i="3"/>
  <c r="I3221" i="3"/>
  <c r="P3220" i="3"/>
  <c r="O3220" i="3"/>
  <c r="M3220" i="3"/>
  <c r="L3220" i="3"/>
  <c r="N3220" i="3"/>
  <c r="I3274" i="3"/>
  <c r="M3273" i="3"/>
  <c r="L3273" i="3"/>
  <c r="P3273" i="3"/>
  <c r="O3273" i="3"/>
  <c r="N3273" i="3"/>
  <c r="I159" i="3"/>
  <c r="N158" i="3"/>
  <c r="M158" i="3"/>
  <c r="L158" i="3"/>
  <c r="P158" i="3"/>
  <c r="O158" i="3"/>
  <c r="I3292" i="3"/>
  <c r="P3291" i="3"/>
  <c r="O3291" i="3"/>
  <c r="N3291" i="3"/>
  <c r="M3291" i="3"/>
  <c r="L3291" i="3"/>
  <c r="I2232" i="3"/>
  <c r="L2231" i="3"/>
  <c r="N2231" i="3"/>
  <c r="M2231" i="3"/>
  <c r="P2231" i="3"/>
  <c r="O2231" i="3"/>
  <c r="I3130" i="3"/>
  <c r="P3129" i="3"/>
  <c r="N3129" i="3"/>
  <c r="M3129" i="3"/>
  <c r="O3129" i="3"/>
  <c r="L3129" i="3"/>
  <c r="I980" i="3"/>
  <c r="P979" i="3"/>
  <c r="O979" i="3"/>
  <c r="M979" i="3"/>
  <c r="L979" i="3"/>
  <c r="N979" i="3"/>
  <c r="I106" i="3"/>
  <c r="O105" i="3"/>
  <c r="N105" i="3"/>
  <c r="M105" i="3"/>
  <c r="L105" i="3"/>
  <c r="P105" i="3"/>
  <c r="I582" i="3"/>
  <c r="O581" i="3"/>
  <c r="N581" i="3"/>
  <c r="M581" i="3"/>
  <c r="L581" i="3"/>
  <c r="P581" i="3"/>
  <c r="I1785" i="3"/>
  <c r="P1784" i="3"/>
  <c r="N1784" i="3"/>
  <c r="M1784" i="3"/>
  <c r="L1784" i="3"/>
  <c r="O1784" i="3"/>
  <c r="P947" i="3"/>
  <c r="O947" i="3"/>
  <c r="M947" i="3"/>
  <c r="L947" i="3"/>
  <c r="N947" i="3"/>
  <c r="I2325" i="3"/>
  <c r="O2324" i="3"/>
  <c r="N2324" i="3"/>
  <c r="M2324" i="3"/>
  <c r="L2324" i="3"/>
  <c r="P2324" i="3"/>
  <c r="I1336" i="3"/>
  <c r="P1335" i="3"/>
  <c r="O1335" i="3"/>
  <c r="N1335" i="3"/>
  <c r="M1335" i="3"/>
  <c r="L1335" i="3"/>
  <c r="I923" i="3"/>
  <c r="P922" i="3"/>
  <c r="O922" i="3"/>
  <c r="N922" i="3"/>
  <c r="M922" i="3"/>
  <c r="L922" i="3"/>
  <c r="I172" i="3"/>
  <c r="M171" i="3"/>
  <c r="L171" i="3"/>
  <c r="O171" i="3"/>
  <c r="N171" i="3"/>
  <c r="P171" i="3"/>
  <c r="I2440" i="3"/>
  <c r="P2439" i="3"/>
  <c r="N2439" i="3"/>
  <c r="M2439" i="3"/>
  <c r="O2439" i="3"/>
  <c r="L2439" i="3"/>
  <c r="I2972" i="3"/>
  <c r="P2971" i="3"/>
  <c r="O2971" i="3"/>
  <c r="N2971" i="3"/>
  <c r="M2971" i="3"/>
  <c r="L2971" i="3"/>
  <c r="I1770" i="3"/>
  <c r="P1769" i="3"/>
  <c r="O1769" i="3"/>
  <c r="N1769" i="3"/>
  <c r="M1769" i="3"/>
  <c r="L1769" i="3"/>
  <c r="I2600" i="3"/>
  <c r="P2599" i="3"/>
  <c r="O2599" i="3"/>
  <c r="N2599" i="3"/>
  <c r="M2599" i="3"/>
  <c r="L2599" i="3"/>
  <c r="I1420" i="3"/>
  <c r="L1419" i="3"/>
  <c r="P1419" i="3"/>
  <c r="O1419" i="3"/>
  <c r="M1419" i="3"/>
  <c r="N1419" i="3"/>
  <c r="P1806" i="3"/>
  <c r="O1806" i="3"/>
  <c r="N1806" i="3"/>
  <c r="M1806" i="3"/>
  <c r="L1806" i="3"/>
  <c r="I1807" i="3"/>
  <c r="I3058" i="3"/>
  <c r="P3057" i="3"/>
  <c r="N3057" i="3"/>
  <c r="M3057" i="3"/>
  <c r="O3057" i="3"/>
  <c r="L3057" i="3"/>
  <c r="I1889" i="3"/>
  <c r="P1888" i="3"/>
  <c r="N1888" i="3"/>
  <c r="M1888" i="3"/>
  <c r="L1888" i="3"/>
  <c r="O1888" i="3"/>
  <c r="O1577" i="3"/>
  <c r="N1577" i="3"/>
  <c r="P1577" i="3"/>
  <c r="M1577" i="3"/>
  <c r="L1577" i="3"/>
  <c r="I2269" i="3"/>
  <c r="O2268" i="3"/>
  <c r="N2268" i="3"/>
  <c r="M2268" i="3"/>
  <c r="L2268" i="3"/>
  <c r="P2268" i="3"/>
  <c r="I346" i="3"/>
  <c r="P345" i="3"/>
  <c r="O345" i="3"/>
  <c r="M345" i="3"/>
  <c r="L345" i="3"/>
  <c r="N345" i="3"/>
  <c r="I1796" i="3"/>
  <c r="O1795" i="3"/>
  <c r="P1795" i="3"/>
  <c r="M1795" i="3"/>
  <c r="N1795" i="3"/>
  <c r="L1795" i="3"/>
  <c r="I817" i="3"/>
  <c r="P816" i="3"/>
  <c r="O816" i="3"/>
  <c r="N816" i="3"/>
  <c r="M816" i="3"/>
  <c r="L816" i="3"/>
  <c r="N2946" i="3"/>
  <c r="M2946" i="3"/>
  <c r="L2946" i="3"/>
  <c r="P2946" i="3"/>
  <c r="O2946" i="3"/>
  <c r="I2095" i="3"/>
  <c r="P2094" i="3"/>
  <c r="N2094" i="3"/>
  <c r="O2094" i="3"/>
  <c r="M2094" i="3"/>
  <c r="L2094" i="3"/>
  <c r="P827" i="3"/>
  <c r="O827" i="3"/>
  <c r="M827" i="3"/>
  <c r="L827" i="3"/>
  <c r="N827" i="3"/>
  <c r="I828" i="3"/>
  <c r="I680" i="3"/>
  <c r="M679" i="3"/>
  <c r="L679" i="3"/>
  <c r="O679" i="3"/>
  <c r="N679" i="3"/>
  <c r="P679" i="3"/>
  <c r="I2079" i="3"/>
  <c r="P2078" i="3"/>
  <c r="O2078" i="3"/>
  <c r="N2078" i="3"/>
  <c r="M2078" i="3"/>
  <c r="L2078" i="3"/>
  <c r="I2932" i="3"/>
  <c r="P2931" i="3"/>
  <c r="O2931" i="3"/>
  <c r="N2931" i="3"/>
  <c r="M2931" i="3"/>
  <c r="L2931" i="3"/>
  <c r="P133" i="3"/>
  <c r="O133" i="3"/>
  <c r="M133" i="3"/>
  <c r="L133" i="3"/>
  <c r="N133" i="3"/>
  <c r="N2125" i="3"/>
  <c r="M2125" i="3"/>
  <c r="P2125" i="3"/>
  <c r="L2125" i="3"/>
  <c r="O2125" i="3"/>
  <c r="I2126" i="3"/>
  <c r="L1355" i="3"/>
  <c r="P1355" i="3"/>
  <c r="O1355" i="3"/>
  <c r="N1355" i="3"/>
  <c r="M1355" i="3"/>
  <c r="I1356" i="3"/>
  <c r="I143" i="3"/>
  <c r="N142" i="3"/>
  <c r="M142" i="3"/>
  <c r="L142" i="3"/>
  <c r="P142" i="3"/>
  <c r="O142" i="3"/>
  <c r="I1903" i="3"/>
  <c r="P1902" i="3"/>
  <c r="O1902" i="3"/>
  <c r="N1902" i="3"/>
  <c r="M1902" i="3"/>
  <c r="L1902" i="3"/>
  <c r="I1649" i="3"/>
  <c r="P1648" i="3"/>
  <c r="L1648" i="3"/>
  <c r="N1648" i="3"/>
  <c r="M1648" i="3"/>
  <c r="O1648" i="3"/>
  <c r="I805" i="3"/>
  <c r="L804" i="3"/>
  <c r="P804" i="3"/>
  <c r="N804" i="3"/>
  <c r="M804" i="3"/>
  <c r="O804" i="3"/>
  <c r="I3198" i="3"/>
  <c r="N3197" i="3"/>
  <c r="M3197" i="3"/>
  <c r="L3197" i="3"/>
  <c r="O3197" i="3"/>
  <c r="P3197" i="3"/>
  <c r="I3072" i="3"/>
  <c r="P3071" i="3"/>
  <c r="O3071" i="3"/>
  <c r="N3071" i="3"/>
  <c r="M3071" i="3"/>
  <c r="L3071" i="3"/>
  <c r="I2795" i="3"/>
  <c r="O2794" i="3"/>
  <c r="N2794" i="3"/>
  <c r="M2794" i="3"/>
  <c r="L2794" i="3"/>
  <c r="P2794" i="3"/>
  <c r="I1108" i="3"/>
  <c r="L1107" i="3"/>
  <c r="P1107" i="3"/>
  <c r="N1107" i="3"/>
  <c r="M1107" i="3"/>
  <c r="O1107" i="3"/>
  <c r="M2178" i="3"/>
  <c r="L2178" i="3"/>
  <c r="O2178" i="3"/>
  <c r="P2178" i="3"/>
  <c r="N2178" i="3"/>
  <c r="I2532" i="3"/>
  <c r="M2531" i="3"/>
  <c r="L2531" i="3"/>
  <c r="O2531" i="3"/>
  <c r="N2531" i="3"/>
  <c r="P2531" i="3"/>
  <c r="I2588" i="3"/>
  <c r="M2587" i="3"/>
  <c r="L2587" i="3"/>
  <c r="N2587" i="3"/>
  <c r="P2587" i="3"/>
  <c r="O2587" i="3"/>
  <c r="I3362" i="3"/>
  <c r="M3361" i="3"/>
  <c r="L3361" i="3"/>
  <c r="P3361" i="3"/>
  <c r="O3361" i="3"/>
  <c r="N3361" i="3"/>
  <c r="I119" i="3"/>
  <c r="N118" i="3"/>
  <c r="M118" i="3"/>
  <c r="L118" i="3"/>
  <c r="P118" i="3"/>
  <c r="O118" i="3"/>
  <c r="I2879" i="3"/>
  <c r="O2878" i="3"/>
  <c r="P2878" i="3"/>
  <c r="N2878" i="3"/>
  <c r="M2878" i="3"/>
  <c r="L2878" i="3"/>
  <c r="I3319" i="3"/>
  <c r="L3318" i="3"/>
  <c r="P3318" i="3"/>
  <c r="O3318" i="3"/>
  <c r="N3318" i="3"/>
  <c r="M3318" i="3"/>
  <c r="I1122" i="3"/>
  <c r="N1121" i="3"/>
  <c r="M1121" i="3"/>
  <c r="L1121" i="3"/>
  <c r="P1121" i="3"/>
  <c r="O1121" i="3"/>
  <c r="P1691" i="3"/>
  <c r="O1691" i="3"/>
  <c r="M1691" i="3"/>
  <c r="N1691" i="3"/>
  <c r="L1691" i="3"/>
  <c r="I1867" i="3"/>
  <c r="N1866" i="3"/>
  <c r="L1866" i="3"/>
  <c r="P1866" i="3"/>
  <c r="O1866" i="3"/>
  <c r="M1866" i="3"/>
  <c r="I3044" i="3"/>
  <c r="P3043" i="3"/>
  <c r="O3043" i="3"/>
  <c r="M3043" i="3"/>
  <c r="N3043" i="3"/>
  <c r="L3043" i="3"/>
  <c r="I2682" i="3"/>
  <c r="L2681" i="3"/>
  <c r="P2681" i="3"/>
  <c r="O2681" i="3"/>
  <c r="N2681" i="3"/>
  <c r="M2681" i="3"/>
  <c r="I1522" i="3"/>
  <c r="O1521" i="3"/>
  <c r="N1521" i="3"/>
  <c r="M1521" i="3"/>
  <c r="P1521" i="3"/>
  <c r="L1521" i="3"/>
  <c r="I2148" i="3"/>
  <c r="P2147" i="3"/>
  <c r="O2147" i="3"/>
  <c r="M2147" i="3"/>
  <c r="L2147" i="3"/>
  <c r="N2147" i="3"/>
  <c r="I613" i="3"/>
  <c r="L612" i="3"/>
  <c r="P612" i="3"/>
  <c r="N612" i="3"/>
  <c r="M612" i="3"/>
  <c r="O612" i="3"/>
  <c r="M1326" i="3"/>
  <c r="L1326" i="3"/>
  <c r="P1326" i="3"/>
  <c r="O1326" i="3"/>
  <c r="N1326" i="3"/>
  <c r="I2110" i="3"/>
  <c r="N2109" i="3"/>
  <c r="M2109" i="3"/>
  <c r="P2109" i="3"/>
  <c r="O2109" i="3"/>
  <c r="L2109" i="3"/>
  <c r="I2767" i="3"/>
  <c r="P2766" i="3"/>
  <c r="O2766" i="3"/>
  <c r="N2766" i="3"/>
  <c r="M2766" i="3"/>
  <c r="L2766" i="3"/>
  <c r="I2344" i="3"/>
  <c r="P2343" i="3"/>
  <c r="O2343" i="3"/>
  <c r="N2343" i="3"/>
  <c r="M2343" i="3"/>
  <c r="L2343" i="3"/>
  <c r="I2781" i="3"/>
  <c r="M2780" i="3"/>
  <c r="L2780" i="3"/>
  <c r="P2780" i="3"/>
  <c r="O2780" i="3"/>
  <c r="N2780" i="3"/>
  <c r="I2892" i="3"/>
  <c r="P2891" i="3"/>
  <c r="N2891" i="3"/>
  <c r="O2891" i="3"/>
  <c r="M2891" i="3"/>
  <c r="L2891" i="3"/>
  <c r="I793" i="3"/>
  <c r="P792" i="3"/>
  <c r="O792" i="3"/>
  <c r="N792" i="3"/>
  <c r="M792" i="3"/>
  <c r="L792" i="3"/>
  <c r="P1176" i="3"/>
  <c r="O1176" i="3"/>
  <c r="M1176" i="3"/>
  <c r="L1176" i="3"/>
  <c r="N1176" i="3"/>
  <c r="I909" i="3"/>
  <c r="N908" i="3"/>
  <c r="M908" i="3"/>
  <c r="L908" i="3"/>
  <c r="P908" i="3"/>
  <c r="O908" i="3"/>
  <c r="I1952" i="3"/>
  <c r="M1951" i="3"/>
  <c r="L1951" i="3"/>
  <c r="O1951" i="3"/>
  <c r="P1951" i="3"/>
  <c r="N1951" i="3"/>
  <c r="I82" i="3"/>
  <c r="O81" i="3"/>
  <c r="N81" i="3"/>
  <c r="M81" i="3"/>
  <c r="L81" i="3"/>
  <c r="P81" i="3"/>
  <c r="P229" i="3"/>
  <c r="O229" i="3"/>
  <c r="M229" i="3"/>
  <c r="L229" i="3"/>
  <c r="N229" i="3"/>
  <c r="I310" i="3"/>
  <c r="P309" i="3"/>
  <c r="O309" i="3"/>
  <c r="M309" i="3"/>
  <c r="L309" i="3"/>
  <c r="N309" i="3"/>
  <c r="I996" i="3"/>
  <c r="P995" i="3"/>
  <c r="O995" i="3"/>
  <c r="M995" i="3"/>
  <c r="L995" i="3"/>
  <c r="N995" i="3"/>
  <c r="I294" i="3"/>
  <c r="P293" i="3"/>
  <c r="O293" i="3"/>
  <c r="M293" i="3"/>
  <c r="L293" i="3"/>
  <c r="N293" i="3"/>
  <c r="I1664" i="3"/>
  <c r="M1663" i="3"/>
  <c r="P1663" i="3"/>
  <c r="O1663" i="3"/>
  <c r="L1663" i="3"/>
  <c r="N1663" i="3"/>
  <c r="I642" i="3"/>
  <c r="P641" i="3"/>
  <c r="O641" i="3"/>
  <c r="M641" i="3"/>
  <c r="L641" i="3"/>
  <c r="N641" i="3"/>
  <c r="I2751" i="3"/>
  <c r="P2750" i="3"/>
  <c r="O2750" i="3"/>
  <c r="N2750" i="3"/>
  <c r="M2750" i="3"/>
  <c r="L2750" i="3"/>
  <c r="I873" i="3"/>
  <c r="P872" i="3"/>
  <c r="O872" i="3"/>
  <c r="N872" i="3"/>
  <c r="L872" i="3"/>
  <c r="M872" i="3"/>
  <c r="I1030" i="3"/>
  <c r="P1029" i="3"/>
  <c r="O1029" i="3"/>
  <c r="N1029" i="3"/>
  <c r="M1029" i="3"/>
  <c r="L1029" i="3"/>
  <c r="I1725" i="3"/>
  <c r="L1724" i="3"/>
  <c r="P1724" i="3"/>
  <c r="O1724" i="3"/>
  <c r="M1724" i="3"/>
  <c r="N1724" i="3"/>
  <c r="P1272" i="3"/>
  <c r="O1272" i="3"/>
  <c r="N1272" i="3"/>
  <c r="M1272" i="3"/>
  <c r="L1272" i="3"/>
  <c r="I2988" i="3"/>
  <c r="P2987" i="3"/>
  <c r="M2987" i="3"/>
  <c r="O2987" i="3"/>
  <c r="N2987" i="3"/>
  <c r="L2987" i="3"/>
  <c r="I1512" i="3"/>
  <c r="P1511" i="3"/>
  <c r="M1511" i="3"/>
  <c r="L1511" i="3"/>
  <c r="O1511" i="3"/>
  <c r="N1511" i="3"/>
  <c r="I3004" i="3"/>
  <c r="P3003" i="3"/>
  <c r="M3003" i="3"/>
  <c r="O3003" i="3"/>
  <c r="N3003" i="3"/>
  <c r="L3003" i="3"/>
  <c r="I559" i="3"/>
  <c r="P558" i="3"/>
  <c r="O558" i="3"/>
  <c r="N558" i="3"/>
  <c r="L558" i="3"/>
  <c r="M558" i="3"/>
  <c r="I1451" i="3"/>
  <c r="P1450" i="3"/>
  <c r="O1450" i="3"/>
  <c r="M1450" i="3"/>
  <c r="L1450" i="3"/>
  <c r="N1450" i="3"/>
  <c r="I1084" i="3"/>
  <c r="L1083" i="3"/>
  <c r="N1083" i="3"/>
  <c r="M1083" i="3"/>
  <c r="P1083" i="3"/>
  <c r="O1083" i="3"/>
  <c r="I3016" i="3"/>
  <c r="M3015" i="3"/>
  <c r="L3015" i="3"/>
  <c r="P3015" i="3"/>
  <c r="O3015" i="3"/>
  <c r="N3015" i="3"/>
  <c r="I93" i="3"/>
  <c r="P92" i="3"/>
  <c r="O92" i="3"/>
  <c r="N92" i="3"/>
  <c r="M92" i="3"/>
  <c r="L92" i="3"/>
  <c r="I655" i="3"/>
  <c r="P654" i="3"/>
  <c r="O654" i="3"/>
  <c r="N654" i="3"/>
  <c r="L654" i="3"/>
  <c r="M654" i="3"/>
  <c r="I1132" i="3"/>
  <c r="L1131" i="3"/>
  <c r="P1131" i="3"/>
  <c r="N1131" i="3"/>
  <c r="M1131" i="3"/>
  <c r="O1131" i="3"/>
  <c r="I3167" i="3"/>
  <c r="P3166" i="3"/>
  <c r="O3166" i="3"/>
  <c r="N3166" i="3"/>
  <c r="M3166" i="3"/>
  <c r="L3166" i="3"/>
  <c r="I2576" i="3"/>
  <c r="P2575" i="3"/>
  <c r="O2575" i="3"/>
  <c r="N2575" i="3"/>
  <c r="M2575" i="3"/>
  <c r="L2575" i="3"/>
  <c r="I2738" i="3"/>
  <c r="L2737" i="3"/>
  <c r="P2737" i="3"/>
  <c r="O2737" i="3"/>
  <c r="N2737" i="3"/>
  <c r="M2737" i="3"/>
  <c r="I708" i="3"/>
  <c r="P707" i="3"/>
  <c r="O707" i="3"/>
  <c r="N707" i="3"/>
  <c r="M707" i="3"/>
  <c r="L707" i="3"/>
  <c r="I1467" i="3"/>
  <c r="M1466" i="3"/>
  <c r="L1466" i="3"/>
  <c r="O1466" i="3"/>
  <c r="P1466" i="3"/>
  <c r="N1466" i="3"/>
  <c r="I669" i="3"/>
  <c r="L668" i="3"/>
  <c r="P668" i="3"/>
  <c r="N668" i="3"/>
  <c r="M668" i="3"/>
  <c r="O668" i="3"/>
  <c r="I1587" i="3"/>
  <c r="O1586" i="3"/>
  <c r="M1586" i="3"/>
  <c r="P1586" i="3"/>
  <c r="N1586" i="3"/>
  <c r="L1586" i="3"/>
  <c r="I724" i="3"/>
  <c r="P723" i="3"/>
  <c r="O723" i="3"/>
  <c r="N723" i="3"/>
  <c r="M723" i="3"/>
  <c r="L723" i="3"/>
  <c r="I2627" i="3"/>
  <c r="P2626" i="3"/>
  <c r="O2626" i="3"/>
  <c r="N2626" i="3"/>
  <c r="M2626" i="3"/>
  <c r="L2626" i="3"/>
  <c r="O1395" i="3"/>
  <c r="M1395" i="3"/>
  <c r="P1395" i="3"/>
  <c r="N1395" i="3"/>
  <c r="L1395" i="3"/>
  <c r="I1370" i="3"/>
  <c r="N1369" i="3"/>
  <c r="M1369" i="3"/>
  <c r="L1369" i="3"/>
  <c r="P1369" i="3"/>
  <c r="O1369" i="3"/>
  <c r="I1166" i="3"/>
  <c r="P1165" i="3"/>
  <c r="O1165" i="3"/>
  <c r="N1165" i="3"/>
  <c r="L1165" i="3"/>
  <c r="M1165" i="3"/>
  <c r="I1622" i="3"/>
  <c r="O1621" i="3"/>
  <c r="P1621" i="3"/>
  <c r="M1621" i="3"/>
  <c r="N1621" i="3"/>
  <c r="L1621" i="3"/>
  <c r="I418" i="3"/>
  <c r="P417" i="3"/>
  <c r="O417" i="3"/>
  <c r="M417" i="3"/>
  <c r="N417" i="3"/>
  <c r="L417" i="3"/>
  <c r="I693" i="3"/>
  <c r="L692" i="3"/>
  <c r="P692" i="3"/>
  <c r="N692" i="3"/>
  <c r="M692" i="3"/>
  <c r="O692" i="3"/>
  <c r="I2956" i="3"/>
  <c r="P2955" i="3"/>
  <c r="O2955" i="3"/>
  <c r="N2955" i="3"/>
  <c r="M2955" i="3"/>
  <c r="L2955" i="3"/>
  <c r="I1823" i="3"/>
  <c r="P1822" i="3"/>
  <c r="N1822" i="3"/>
  <c r="M1822" i="3"/>
  <c r="L1822" i="3"/>
  <c r="O1822" i="3"/>
  <c r="I2919" i="3"/>
  <c r="P2918" i="3"/>
  <c r="O2918" i="3"/>
  <c r="N2918" i="3"/>
  <c r="M2918" i="3"/>
  <c r="L2918" i="3"/>
  <c r="P632" i="3"/>
  <c r="O632" i="3"/>
  <c r="N632" i="3"/>
  <c r="M632" i="3"/>
  <c r="L632" i="3"/>
  <c r="N2035" i="3"/>
  <c r="M2035" i="3"/>
  <c r="L2035" i="3"/>
  <c r="P2035" i="3"/>
  <c r="O2035" i="3"/>
  <c r="I1142" i="3"/>
  <c r="P1141" i="3"/>
  <c r="O1141" i="3"/>
  <c r="N1141" i="3"/>
  <c r="L1141" i="3"/>
  <c r="M1141" i="3"/>
  <c r="I2863" i="3"/>
  <c r="O2862" i="3"/>
  <c r="P2862" i="3"/>
  <c r="N2862" i="3"/>
  <c r="M2862" i="3"/>
  <c r="L2862" i="3"/>
  <c r="I3152" i="3"/>
  <c r="L3151" i="3"/>
  <c r="P3151" i="3"/>
  <c r="O3151" i="3"/>
  <c r="N3151" i="3"/>
  <c r="M3151" i="3"/>
  <c r="N956" i="3"/>
  <c r="M956" i="3"/>
  <c r="L956" i="3"/>
  <c r="P956" i="3"/>
  <c r="O956" i="3"/>
  <c r="P433" i="3"/>
  <c r="O433" i="3"/>
  <c r="M433" i="3"/>
  <c r="L433" i="3"/>
  <c r="N433" i="3"/>
  <c r="I1314" i="3"/>
  <c r="N1313" i="3"/>
  <c r="M1313" i="3"/>
  <c r="L1313" i="3"/>
  <c r="P1313" i="3"/>
  <c r="O1313" i="3"/>
  <c r="I1637" i="3"/>
  <c r="L1636" i="3"/>
  <c r="P1636" i="3"/>
  <c r="N1636" i="3"/>
  <c r="O1636" i="3"/>
  <c r="M1636" i="3"/>
  <c r="I1607" i="3"/>
  <c r="L1606" i="3"/>
  <c r="O1606" i="3"/>
  <c r="N1606" i="3"/>
  <c r="M1606" i="3"/>
  <c r="P1606" i="3"/>
  <c r="I3349" i="3"/>
  <c r="N3348" i="3"/>
  <c r="M3348" i="3"/>
  <c r="L3348" i="3"/>
  <c r="P3348" i="3"/>
  <c r="O3348" i="3"/>
  <c r="I2473" i="3"/>
  <c r="L2472" i="3"/>
  <c r="P2472" i="3"/>
  <c r="M2472" i="3"/>
  <c r="O2472" i="3"/>
  <c r="N2472" i="3"/>
  <c r="O1553" i="3"/>
  <c r="N1553" i="3"/>
  <c r="P1553" i="3"/>
  <c r="M1553" i="3"/>
  <c r="L1553" i="3"/>
  <c r="M219" i="3"/>
  <c r="L219" i="3"/>
  <c r="O219" i="3"/>
  <c r="N219" i="3"/>
  <c r="P219" i="3"/>
  <c r="I25" i="3"/>
  <c r="L24" i="3"/>
  <c r="P24" i="3"/>
  <c r="N24" i="3"/>
  <c r="M24" i="3"/>
  <c r="O24" i="3"/>
  <c r="I2641" i="3"/>
  <c r="O2640" i="3"/>
  <c r="N2640" i="3"/>
  <c r="P2640" i="3"/>
  <c r="M2640" i="3"/>
  <c r="L2640" i="3"/>
  <c r="I2301" i="3"/>
  <c r="O2300" i="3"/>
  <c r="N2300" i="3"/>
  <c r="M2300" i="3"/>
  <c r="L2300" i="3"/>
  <c r="P2300" i="3"/>
  <c r="I2424" i="3"/>
  <c r="P2423" i="3"/>
  <c r="N2423" i="3"/>
  <c r="M2423" i="3"/>
  <c r="O2423" i="3"/>
  <c r="L2423" i="3"/>
  <c r="I769" i="3"/>
  <c r="P768" i="3"/>
  <c r="O768" i="3"/>
  <c r="N768" i="3"/>
  <c r="M768" i="3"/>
  <c r="L768" i="3"/>
  <c r="O209" i="3"/>
  <c r="N209" i="3"/>
  <c r="M209" i="3"/>
  <c r="L209" i="3"/>
  <c r="P209" i="3"/>
  <c r="I897" i="3"/>
  <c r="P896" i="3"/>
  <c r="O896" i="3"/>
  <c r="N896" i="3"/>
  <c r="L896" i="3"/>
  <c r="M896" i="3"/>
  <c r="I186" i="3"/>
  <c r="O185" i="3"/>
  <c r="N185" i="3"/>
  <c r="M185" i="3"/>
  <c r="L185" i="3"/>
  <c r="P185" i="3"/>
  <c r="I2520" i="3"/>
  <c r="P2519" i="3"/>
  <c r="O2519" i="3"/>
  <c r="N2519" i="3"/>
  <c r="M2519" i="3"/>
  <c r="L2519" i="3"/>
  <c r="I2810" i="3"/>
  <c r="L2809" i="3"/>
  <c r="P2809" i="3"/>
  <c r="O2809" i="3"/>
  <c r="N2809" i="3"/>
  <c r="M2809" i="3"/>
  <c r="I2560" i="3"/>
  <c r="P2559" i="3"/>
  <c r="O2559" i="3"/>
  <c r="N2559" i="3"/>
  <c r="M2559" i="3"/>
  <c r="L2559" i="3"/>
  <c r="I1260" i="3"/>
  <c r="L1259" i="3"/>
  <c r="P1259" i="3"/>
  <c r="O1259" i="3"/>
  <c r="N1259" i="3"/>
  <c r="M1259" i="3"/>
  <c r="I2160" i="3"/>
  <c r="L2159" i="3"/>
  <c r="N2159" i="3"/>
  <c r="P2159" i="3"/>
  <c r="O2159" i="3"/>
  <c r="M2159" i="3"/>
  <c r="I594" i="3"/>
  <c r="P593" i="3"/>
  <c r="O593" i="3"/>
  <c r="M593" i="3"/>
  <c r="L593" i="3"/>
  <c r="N593" i="3"/>
  <c r="I3238" i="3"/>
  <c r="N3237" i="3"/>
  <c r="M3237" i="3"/>
  <c r="L3237" i="3"/>
  <c r="O3237" i="3"/>
  <c r="P3237" i="3"/>
  <c r="I1498" i="3"/>
  <c r="O1497" i="3"/>
  <c r="N1497" i="3"/>
  <c r="P1497" i="3"/>
  <c r="M1497" i="3"/>
  <c r="L1497" i="3"/>
  <c r="I11" i="3"/>
  <c r="P10" i="3"/>
  <c r="O10" i="3"/>
  <c r="N10" i="3"/>
  <c r="L10" i="3"/>
  <c r="M10" i="3"/>
  <c r="I1405" i="3"/>
  <c r="P1404" i="3"/>
  <c r="O1404" i="3"/>
  <c r="M1404" i="3"/>
  <c r="N1404" i="3"/>
  <c r="L1404" i="3"/>
  <c r="I966" i="3"/>
  <c r="P965" i="3"/>
  <c r="O965" i="3"/>
  <c r="N965" i="3"/>
  <c r="M965" i="3"/>
  <c r="L965" i="3"/>
  <c r="I857" i="3"/>
  <c r="P856" i="3"/>
  <c r="O856" i="3"/>
  <c r="N856" i="3"/>
  <c r="L856" i="3"/>
  <c r="M856" i="3"/>
  <c r="I2046" i="3"/>
  <c r="P2045" i="3"/>
  <c r="O2045" i="3"/>
  <c r="N2045" i="3"/>
  <c r="L2045" i="3"/>
  <c r="M2045" i="3"/>
  <c r="P513" i="3"/>
  <c r="O513" i="3"/>
  <c r="M513" i="3"/>
  <c r="N513" i="3"/>
  <c r="L513" i="3"/>
  <c r="I52" i="3"/>
  <c r="M51" i="3"/>
  <c r="L51" i="3"/>
  <c r="O51" i="3"/>
  <c r="N51" i="3"/>
  <c r="P51" i="3"/>
  <c r="I1299" i="3"/>
  <c r="P1298" i="3"/>
  <c r="O1298" i="3"/>
  <c r="N1298" i="3"/>
  <c r="M1298" i="3"/>
  <c r="L1298" i="3"/>
  <c r="I1482" i="3"/>
  <c r="O1481" i="3"/>
  <c r="N1481" i="3"/>
  <c r="M1481" i="3"/>
  <c r="L1481" i="3"/>
  <c r="P1481" i="3"/>
  <c r="L324" i="3"/>
  <c r="P324" i="3"/>
  <c r="N324" i="3"/>
  <c r="M324" i="3"/>
  <c r="O324" i="3"/>
  <c r="I334" i="3"/>
  <c r="O333" i="3"/>
  <c r="N333" i="3"/>
  <c r="M333" i="3"/>
  <c r="L333" i="3"/>
  <c r="P333" i="3"/>
  <c r="M267" i="3"/>
  <c r="L267" i="3"/>
  <c r="O267" i="3"/>
  <c r="N267" i="3"/>
  <c r="P267" i="3"/>
  <c r="I1532" i="3"/>
  <c r="M1531" i="3"/>
  <c r="L1531" i="3"/>
  <c r="P1531" i="3"/>
  <c r="N1531" i="3"/>
  <c r="O1531" i="3"/>
  <c r="O1709" i="3"/>
  <c r="N1709" i="3"/>
  <c r="P1709" i="3"/>
  <c r="L1709" i="3"/>
  <c r="M1709" i="3"/>
  <c r="I1384" i="3"/>
  <c r="N1383" i="3"/>
  <c r="P1383" i="3"/>
  <c r="O1383" i="3"/>
  <c r="M1383" i="3"/>
  <c r="L1383" i="3"/>
  <c r="I884" i="3"/>
  <c r="P883" i="3"/>
  <c r="O883" i="3"/>
  <c r="M883" i="3"/>
  <c r="L883" i="3"/>
  <c r="N883" i="3"/>
  <c r="I1755" i="3"/>
  <c r="N1754" i="3"/>
  <c r="L1754" i="3"/>
  <c r="P1754" i="3"/>
  <c r="O1754" i="3"/>
  <c r="M1754" i="3"/>
  <c r="I3256" i="3"/>
  <c r="O3255" i="3"/>
  <c r="N3255" i="3"/>
  <c r="M3255" i="3"/>
  <c r="L3255" i="3"/>
  <c r="P3255" i="3"/>
  <c r="I239" i="3"/>
  <c r="N238" i="3"/>
  <c r="M238" i="3"/>
  <c r="L238" i="3"/>
  <c r="P238" i="3"/>
  <c r="O238" i="3"/>
  <c r="P751" i="3"/>
  <c r="O96" i="3"/>
  <c r="I1740" i="3"/>
  <c r="N1739" i="3"/>
  <c r="M1739" i="3"/>
  <c r="P1739" i="3"/>
  <c r="L1739" i="3"/>
  <c r="O1739" i="3"/>
  <c r="I2613" i="3"/>
  <c r="P2612" i="3"/>
  <c r="O2612" i="3"/>
  <c r="N2612" i="3"/>
  <c r="M2612" i="3"/>
  <c r="L2612" i="3"/>
  <c r="I2202" i="3"/>
  <c r="P2201" i="3"/>
  <c r="O2201" i="3"/>
  <c r="L2201" i="3"/>
  <c r="M2201" i="3"/>
  <c r="N2201" i="3"/>
  <c r="I844" i="3"/>
  <c r="P843" i="3"/>
  <c r="O843" i="3"/>
  <c r="M843" i="3"/>
  <c r="L843" i="3"/>
  <c r="N843" i="3"/>
  <c r="I2285" i="3"/>
  <c r="O2284" i="3"/>
  <c r="N2284" i="3"/>
  <c r="M2284" i="3"/>
  <c r="L2284" i="3"/>
  <c r="P2284" i="3"/>
  <c r="I357" i="3"/>
  <c r="L356" i="3"/>
  <c r="P356" i="3"/>
  <c r="N356" i="3"/>
  <c r="M356" i="3"/>
  <c r="O356" i="3"/>
  <c r="I1070" i="3"/>
  <c r="P1069" i="3"/>
  <c r="O1069" i="3"/>
  <c r="N1069" i="3"/>
  <c r="M1069" i="3"/>
  <c r="L1069" i="3"/>
  <c r="I249" i="3"/>
  <c r="L248" i="3"/>
  <c r="P248" i="3"/>
  <c r="N248" i="3"/>
  <c r="M248" i="3"/>
  <c r="O248" i="3"/>
  <c r="I2250" i="3"/>
  <c r="P2249" i="3"/>
  <c r="O2249" i="3"/>
  <c r="L2249" i="3"/>
  <c r="N2249" i="3"/>
  <c r="M2249" i="3"/>
  <c r="I1841" i="3"/>
  <c r="P1840" i="3"/>
  <c r="N1840" i="3"/>
  <c r="M1840" i="3"/>
  <c r="O1840" i="3"/>
  <c r="L1840" i="3"/>
  <c r="I1966" i="3"/>
  <c r="O1965" i="3"/>
  <c r="N1965" i="3"/>
  <c r="M1965" i="3"/>
  <c r="L1965" i="3"/>
  <c r="P1965" i="3"/>
  <c r="I2724" i="3"/>
  <c r="P2723" i="3"/>
  <c r="O2723" i="3"/>
  <c r="N2723" i="3"/>
  <c r="M2723" i="3"/>
  <c r="L2723" i="3"/>
  <c r="L468" i="3"/>
  <c r="P468" i="3"/>
  <c r="N468" i="3"/>
  <c r="O468" i="3"/>
  <c r="M468" i="3"/>
  <c r="I3303" i="3"/>
  <c r="L3302" i="3"/>
  <c r="P3302" i="3"/>
  <c r="O3302" i="3"/>
  <c r="N3302" i="3"/>
  <c r="M3302" i="3"/>
  <c r="I570" i="3"/>
  <c r="P569" i="3"/>
  <c r="O569" i="3"/>
  <c r="M569" i="3"/>
  <c r="L569" i="3"/>
  <c r="N569" i="3"/>
  <c r="I70" i="3"/>
  <c r="P69" i="3"/>
  <c r="O69" i="3"/>
  <c r="M69" i="3"/>
  <c r="L69" i="3"/>
  <c r="N69" i="3"/>
  <c r="I2360" i="3"/>
  <c r="P2359" i="3"/>
  <c r="O2359" i="3"/>
  <c r="N2359" i="3"/>
  <c r="M2359" i="3"/>
  <c r="L2359" i="3"/>
  <c r="L1568" i="3"/>
  <c r="O1568" i="3"/>
  <c r="N1568" i="3"/>
  <c r="M1568" i="3"/>
  <c r="P1568" i="3"/>
  <c r="I1187" i="3"/>
  <c r="P1186" i="3"/>
  <c r="O1186" i="3"/>
  <c r="N1186" i="3"/>
  <c r="M1186" i="3"/>
  <c r="L1186" i="3"/>
  <c r="I199" i="3"/>
  <c r="N198" i="3"/>
  <c r="M198" i="3"/>
  <c r="L198" i="3"/>
  <c r="P198" i="3"/>
  <c r="O198" i="3"/>
  <c r="I278" i="3"/>
  <c r="P277" i="3"/>
  <c r="O277" i="3"/>
  <c r="M277" i="3"/>
  <c r="L277" i="3"/>
  <c r="N277" i="3"/>
  <c r="I2491" i="3"/>
  <c r="P2490" i="3"/>
  <c r="O2490" i="3"/>
  <c r="N2490" i="3"/>
  <c r="L2490" i="3"/>
  <c r="M2490" i="3"/>
  <c r="I1213" i="3"/>
  <c r="N1212" i="3"/>
  <c r="M1212" i="3"/>
  <c r="L1212" i="3"/>
  <c r="P1212" i="3"/>
  <c r="O1212" i="3"/>
  <c r="I2709" i="3"/>
  <c r="M2708" i="3"/>
  <c r="L2708" i="3"/>
  <c r="O2708" i="3"/>
  <c r="N2708" i="3"/>
  <c r="P2708" i="3"/>
  <c r="I2215" i="3"/>
  <c r="P2214" i="3"/>
  <c r="O2214" i="3"/>
  <c r="N2214" i="3"/>
  <c r="L2214" i="3"/>
  <c r="M2214" i="3"/>
  <c r="I1283" i="3"/>
  <c r="P1282" i="3"/>
  <c r="O1282" i="3"/>
  <c r="N1282" i="3"/>
  <c r="M1282" i="3"/>
  <c r="L1282" i="3"/>
  <c r="P486" i="3"/>
  <c r="O486" i="3"/>
  <c r="N486" i="3"/>
  <c r="L486" i="3"/>
  <c r="M486" i="3"/>
  <c r="I2667" i="3"/>
  <c r="M2666" i="3"/>
  <c r="L2666" i="3"/>
  <c r="O2666" i="3"/>
  <c r="P2666" i="3"/>
  <c r="N2666" i="3"/>
  <c r="I2411" i="3"/>
  <c r="P2410" i="3"/>
  <c r="O2410" i="3"/>
  <c r="N2410" i="3"/>
  <c r="M2410" i="3"/>
  <c r="L2410" i="3"/>
  <c r="I3030" i="3"/>
  <c r="O3029" i="3"/>
  <c r="N3029" i="3"/>
  <c r="M3029" i="3"/>
  <c r="P3029" i="3"/>
  <c r="L3029" i="3"/>
  <c r="I2022" i="3"/>
  <c r="P2021" i="3"/>
  <c r="N2021" i="3"/>
  <c r="M2021" i="3"/>
  <c r="L2021" i="3"/>
  <c r="O2021" i="3"/>
  <c r="I2379" i="3"/>
  <c r="P2378" i="3"/>
  <c r="O2378" i="3"/>
  <c r="N2378" i="3"/>
  <c r="L2378" i="3"/>
  <c r="M2378" i="3"/>
  <c r="I1054" i="3"/>
  <c r="P1053" i="3"/>
  <c r="O1053" i="3"/>
  <c r="N1053" i="3"/>
  <c r="M1053" i="3"/>
  <c r="L1053" i="3"/>
  <c r="I2457" i="3"/>
  <c r="L2456" i="3"/>
  <c r="P2456" i="3"/>
  <c r="M2456" i="3"/>
  <c r="N2456" i="3"/>
  <c r="O2456" i="3"/>
  <c r="I3334" i="3"/>
  <c r="P3333" i="3"/>
  <c r="O3333" i="3"/>
  <c r="N3333" i="3"/>
  <c r="M3333" i="3"/>
  <c r="L3333" i="3"/>
  <c r="I38" i="3"/>
  <c r="P37" i="3"/>
  <c r="O37" i="3"/>
  <c r="M37" i="3"/>
  <c r="L37" i="3"/>
  <c r="N37" i="3"/>
  <c r="I1854" i="3"/>
  <c r="O1853" i="3"/>
  <c r="M1853" i="3"/>
  <c r="P1853" i="3"/>
  <c r="L1853" i="3"/>
  <c r="N1853" i="3"/>
  <c r="I3086" i="3"/>
  <c r="M3085" i="3"/>
  <c r="L3085" i="3"/>
  <c r="P3085" i="3"/>
  <c r="O3085" i="3"/>
  <c r="N3085" i="3"/>
  <c r="O1156" i="3"/>
  <c r="N1156" i="3"/>
  <c r="M1156" i="3"/>
  <c r="L1156" i="3"/>
  <c r="P1156" i="3"/>
  <c r="I2007" i="3"/>
  <c r="P2006" i="3"/>
  <c r="O2006" i="3"/>
  <c r="N2006" i="3"/>
  <c r="L2006" i="3"/>
  <c r="M2006" i="3"/>
  <c r="M1879" i="3"/>
  <c r="O1879" i="3"/>
  <c r="N1879" i="3"/>
  <c r="L1879" i="3"/>
  <c r="P1879" i="3"/>
  <c r="I1241" i="3"/>
  <c r="P1240" i="3"/>
  <c r="O1240" i="3"/>
  <c r="N1240" i="3"/>
  <c r="M1240" i="3"/>
  <c r="L1240" i="3"/>
  <c r="I2544" i="3"/>
  <c r="P2543" i="3"/>
  <c r="O2543" i="3"/>
  <c r="N2543" i="3"/>
  <c r="M2543" i="3"/>
  <c r="L2543" i="3"/>
  <c r="I3183" i="3"/>
  <c r="P3182" i="3"/>
  <c r="O3182" i="3"/>
  <c r="N3182" i="3"/>
  <c r="M3182" i="3"/>
  <c r="L3182" i="3"/>
  <c r="I1994" i="3"/>
  <c r="P1993" i="3"/>
  <c r="O1993" i="3"/>
  <c r="M1993" i="3"/>
  <c r="L1993" i="3"/>
  <c r="N1993" i="3"/>
  <c r="I1013" i="3"/>
  <c r="N1012" i="3"/>
  <c r="M1012" i="3"/>
  <c r="L1012" i="3"/>
  <c r="P1012" i="3"/>
  <c r="O1012" i="3"/>
  <c r="I1199" i="3"/>
  <c r="L1198" i="3"/>
  <c r="P1198" i="3"/>
  <c r="O1198" i="3"/>
  <c r="N1198" i="3"/>
  <c r="M1198" i="3"/>
  <c r="N378" i="3"/>
  <c r="M378" i="3"/>
  <c r="L378" i="3"/>
  <c r="P378" i="3"/>
  <c r="O378" i="3"/>
  <c r="V3086" i="3" l="1"/>
  <c r="W3086" i="3"/>
  <c r="W2709" i="3"/>
  <c r="V2709" i="3"/>
  <c r="V199" i="3"/>
  <c r="W199" i="3"/>
  <c r="V2250" i="3"/>
  <c r="W2250" i="3"/>
  <c r="V2285" i="3"/>
  <c r="W2285" i="3"/>
  <c r="W2613" i="3"/>
  <c r="V2613" i="3"/>
  <c r="V884" i="3"/>
  <c r="W884" i="3"/>
  <c r="V857" i="3"/>
  <c r="W857" i="3"/>
  <c r="W1498" i="3"/>
  <c r="V1498" i="3"/>
  <c r="V1260" i="3"/>
  <c r="W1260" i="3"/>
  <c r="V186" i="3"/>
  <c r="W186" i="3"/>
  <c r="V2627" i="3"/>
  <c r="W2627" i="3"/>
  <c r="W1467" i="3"/>
  <c r="V1467" i="3"/>
  <c r="W3167" i="3"/>
  <c r="V3167" i="3"/>
  <c r="V3016" i="3"/>
  <c r="W3016" i="3"/>
  <c r="V3004" i="3"/>
  <c r="W3004" i="3"/>
  <c r="V1952" i="3"/>
  <c r="W1952" i="3"/>
  <c r="V2148" i="3"/>
  <c r="W2148" i="3"/>
  <c r="V1867" i="3"/>
  <c r="W1867" i="3"/>
  <c r="V2795" i="3"/>
  <c r="W2795" i="3"/>
  <c r="W1649" i="3"/>
  <c r="V1649" i="3"/>
  <c r="V828" i="3"/>
  <c r="W828" i="3"/>
  <c r="V2269" i="3"/>
  <c r="W2269" i="3"/>
  <c r="W1785" i="3"/>
  <c r="V1785" i="3"/>
  <c r="V3130" i="3"/>
  <c r="W3130" i="3"/>
  <c r="V3274" i="3"/>
  <c r="W3274" i="3"/>
  <c r="W1435" i="3"/>
  <c r="V1435" i="3"/>
  <c r="V1226" i="3"/>
  <c r="W1226" i="3"/>
  <c r="O1226" i="3"/>
  <c r="N1226" i="3"/>
  <c r="M1226" i="3"/>
  <c r="P1226" i="3"/>
  <c r="L1226" i="3"/>
  <c r="I1227" i="3"/>
  <c r="V3030" i="3"/>
  <c r="W3030" i="3"/>
  <c r="V239" i="3"/>
  <c r="W239" i="3"/>
  <c r="V1384" i="3"/>
  <c r="W1384" i="3"/>
  <c r="V2544" i="3"/>
  <c r="W2544" i="3"/>
  <c r="V38" i="3"/>
  <c r="W38" i="3"/>
  <c r="V2379" i="3"/>
  <c r="W2379" i="3"/>
  <c r="V2667" i="3"/>
  <c r="W2667" i="3"/>
  <c r="V2360" i="3"/>
  <c r="W2360" i="3"/>
  <c r="V52" i="3"/>
  <c r="W52" i="3"/>
  <c r="V769" i="3"/>
  <c r="W769" i="3"/>
  <c r="V25" i="3"/>
  <c r="W25" i="3"/>
  <c r="W2473" i="3"/>
  <c r="V2473" i="3"/>
  <c r="V1314" i="3"/>
  <c r="W1314" i="3"/>
  <c r="V3152" i="3"/>
  <c r="W3152" i="3"/>
  <c r="V2956" i="3"/>
  <c r="W2956" i="3"/>
  <c r="W1622" i="3"/>
  <c r="V1622" i="3"/>
  <c r="V2751" i="3"/>
  <c r="W2751" i="3"/>
  <c r="V996" i="3"/>
  <c r="W996" i="3"/>
  <c r="V793" i="3"/>
  <c r="W793" i="3"/>
  <c r="V2767" i="3"/>
  <c r="W2767" i="3"/>
  <c r="W3319" i="3"/>
  <c r="V3319" i="3"/>
  <c r="V2588" i="3"/>
  <c r="W2588" i="3"/>
  <c r="V2079" i="3"/>
  <c r="W2079" i="3"/>
  <c r="V3058" i="3"/>
  <c r="W3058" i="3"/>
  <c r="W1770" i="3"/>
  <c r="V1770" i="3"/>
  <c r="V923" i="3"/>
  <c r="W923" i="3"/>
  <c r="W2906" i="3"/>
  <c r="V2906" i="3"/>
  <c r="V1213" i="3"/>
  <c r="W1213" i="3"/>
  <c r="W1187" i="3"/>
  <c r="V1187" i="3"/>
  <c r="V966" i="3"/>
  <c r="W966" i="3"/>
  <c r="V3238" i="3"/>
  <c r="W3238" i="3"/>
  <c r="W1199" i="3"/>
  <c r="V1199" i="3"/>
  <c r="V2007" i="3"/>
  <c r="W2007" i="3"/>
  <c r="V2215" i="3"/>
  <c r="W2215" i="3"/>
  <c r="V278" i="3"/>
  <c r="W278" i="3"/>
  <c r="W1841" i="3"/>
  <c r="V1841" i="3"/>
  <c r="V357" i="3"/>
  <c r="W357" i="3"/>
  <c r="V1755" i="3"/>
  <c r="W1755" i="3"/>
  <c r="V334" i="3"/>
  <c r="W334" i="3"/>
  <c r="W2046" i="3"/>
  <c r="V2046" i="3"/>
  <c r="W11" i="3"/>
  <c r="V11" i="3"/>
  <c r="V2160" i="3"/>
  <c r="W2160" i="3"/>
  <c r="V2520" i="3"/>
  <c r="W2520" i="3"/>
  <c r="V669" i="3"/>
  <c r="W669" i="3"/>
  <c r="V2576" i="3"/>
  <c r="W2576" i="3"/>
  <c r="V93" i="3"/>
  <c r="W93" i="3"/>
  <c r="W559" i="3"/>
  <c r="V559" i="3"/>
  <c r="V82" i="3"/>
  <c r="W82" i="3"/>
  <c r="V613" i="3"/>
  <c r="W613" i="3"/>
  <c r="V3044" i="3"/>
  <c r="W3044" i="3"/>
  <c r="V1108" i="3"/>
  <c r="W1108" i="3"/>
  <c r="V805" i="3"/>
  <c r="W805" i="3"/>
  <c r="V346" i="3"/>
  <c r="W346" i="3"/>
  <c r="V1807" i="3"/>
  <c r="W1807" i="3"/>
  <c r="V980" i="3"/>
  <c r="W980" i="3"/>
  <c r="V159" i="3"/>
  <c r="W159" i="3"/>
  <c r="V3108" i="3"/>
  <c r="W3108" i="3"/>
  <c r="W1917" i="3"/>
  <c r="V1917" i="3"/>
  <c r="M1917" i="3"/>
  <c r="L1917" i="3"/>
  <c r="P1917" i="3"/>
  <c r="N1917" i="3"/>
  <c r="I1918" i="3"/>
  <c r="O1917" i="3"/>
  <c r="V1043" i="3"/>
  <c r="W1043" i="3"/>
  <c r="L1043" i="3"/>
  <c r="N1043" i="3"/>
  <c r="M1043" i="3"/>
  <c r="P1043" i="3"/>
  <c r="I1044" i="3"/>
  <c r="O1043" i="3"/>
  <c r="V2724" i="3"/>
  <c r="W2724" i="3"/>
  <c r="V2560" i="3"/>
  <c r="W2560" i="3"/>
  <c r="W3183" i="3"/>
  <c r="V3183" i="3"/>
  <c r="W1854" i="3"/>
  <c r="V1854" i="3"/>
  <c r="V1054" i="3"/>
  <c r="W1054" i="3"/>
  <c r="V2411" i="3"/>
  <c r="W2411" i="3"/>
  <c r="W3303" i="3"/>
  <c r="V3303" i="3"/>
  <c r="W1299" i="3"/>
  <c r="V1299" i="3"/>
  <c r="W2641" i="3"/>
  <c r="V2641" i="3"/>
  <c r="W1637" i="3"/>
  <c r="V1637" i="3"/>
  <c r="V1823" i="3"/>
  <c r="W1823" i="3"/>
  <c r="V873" i="3"/>
  <c r="W873" i="3"/>
  <c r="V294" i="3"/>
  <c r="W294" i="3"/>
  <c r="V2344" i="3"/>
  <c r="W2344" i="3"/>
  <c r="V1122" i="3"/>
  <c r="W1122" i="3"/>
  <c r="V3362" i="3"/>
  <c r="W3362" i="3"/>
  <c r="V2126" i="3"/>
  <c r="W2126" i="3"/>
  <c r="V2932" i="3"/>
  <c r="W2932" i="3"/>
  <c r="V2095" i="3"/>
  <c r="W2095" i="3"/>
  <c r="W1889" i="3"/>
  <c r="V1889" i="3"/>
  <c r="V2600" i="3"/>
  <c r="W2600" i="3"/>
  <c r="V172" i="3"/>
  <c r="W172" i="3"/>
  <c r="V623" i="3"/>
  <c r="W623" i="3"/>
  <c r="V897" i="3"/>
  <c r="W897" i="3"/>
  <c r="W1283" i="3"/>
  <c r="V1283" i="3"/>
  <c r="V2491" i="3"/>
  <c r="W2491" i="3"/>
  <c r="W1966" i="3"/>
  <c r="V1966" i="3"/>
  <c r="V1070" i="3"/>
  <c r="W1070" i="3"/>
  <c r="V2202" i="3"/>
  <c r="W2202" i="3"/>
  <c r="V3256" i="3"/>
  <c r="W3256" i="3"/>
  <c r="V1405" i="3"/>
  <c r="W1405" i="3"/>
  <c r="W594" i="3"/>
  <c r="V594" i="3"/>
  <c r="W2810" i="3"/>
  <c r="V2810" i="3"/>
  <c r="V1587" i="3"/>
  <c r="W1587" i="3"/>
  <c r="W2738" i="3"/>
  <c r="V2738" i="3"/>
  <c r="V655" i="3"/>
  <c r="W655" i="3"/>
  <c r="W1451" i="3"/>
  <c r="V1451" i="3"/>
  <c r="V2988" i="3"/>
  <c r="W2988" i="3"/>
  <c r="W2682" i="3"/>
  <c r="V2682" i="3"/>
  <c r="V3198" i="3"/>
  <c r="W3198" i="3"/>
  <c r="V143" i="3"/>
  <c r="W143" i="3"/>
  <c r="V1796" i="3"/>
  <c r="W1796" i="3"/>
  <c r="V106" i="3"/>
  <c r="W106" i="3"/>
  <c r="V3292" i="3"/>
  <c r="W3292" i="3"/>
  <c r="V2395" i="3"/>
  <c r="W2395" i="3"/>
  <c r="W523" i="3"/>
  <c r="V523" i="3"/>
  <c r="N523" i="3"/>
  <c r="P523" i="3"/>
  <c r="O523" i="3"/>
  <c r="M523" i="3"/>
  <c r="L523" i="3"/>
  <c r="V1979" i="3"/>
  <c r="W1979" i="3"/>
  <c r="I1980" i="3"/>
  <c r="P1979" i="3"/>
  <c r="O1979" i="3"/>
  <c r="M1979" i="3"/>
  <c r="N1979" i="3"/>
  <c r="L1979" i="3"/>
  <c r="W2457" i="3"/>
  <c r="V2457" i="3"/>
  <c r="W570" i="3"/>
  <c r="V570" i="3"/>
  <c r="W1482" i="3"/>
  <c r="V1482" i="3"/>
  <c r="V2301" i="3"/>
  <c r="W2301" i="3"/>
  <c r="V1607" i="3"/>
  <c r="W1607" i="3"/>
  <c r="V1142" i="3"/>
  <c r="W1142" i="3"/>
  <c r="V2919" i="3"/>
  <c r="W2919" i="3"/>
  <c r="W418" i="3"/>
  <c r="V418" i="3"/>
  <c r="V1370" i="3"/>
  <c r="W1370" i="3"/>
  <c r="V1030" i="3"/>
  <c r="W1030" i="3"/>
  <c r="V1664" i="3"/>
  <c r="W1664" i="3"/>
  <c r="W2781" i="3"/>
  <c r="V2781" i="3"/>
  <c r="V119" i="3"/>
  <c r="W119" i="3"/>
  <c r="V1356" i="3"/>
  <c r="W1356" i="3"/>
  <c r="V1420" i="3"/>
  <c r="W1420" i="3"/>
  <c r="V2440" i="3"/>
  <c r="W2440" i="3"/>
  <c r="V2325" i="3"/>
  <c r="W2325" i="3"/>
  <c r="W1678" i="3"/>
  <c r="V1678" i="3"/>
  <c r="V2695" i="3"/>
  <c r="W2695" i="3"/>
  <c r="W2061" i="3"/>
  <c r="V2061" i="3"/>
  <c r="L2061" i="3"/>
  <c r="O2061" i="3"/>
  <c r="N2061" i="3"/>
  <c r="M2061" i="3"/>
  <c r="I2062" i="3"/>
  <c r="P2061" i="3"/>
  <c r="V724" i="3"/>
  <c r="W724" i="3"/>
  <c r="V708" i="3"/>
  <c r="W708" i="3"/>
  <c r="V1132" i="3"/>
  <c r="W1132" i="3"/>
  <c r="V1084" i="3"/>
  <c r="W1084" i="3"/>
  <c r="V1512" i="3"/>
  <c r="W1512" i="3"/>
  <c r="V909" i="3"/>
  <c r="W909" i="3"/>
  <c r="W1522" i="3"/>
  <c r="V1522" i="3"/>
  <c r="V3072" i="3"/>
  <c r="W3072" i="3"/>
  <c r="V1903" i="3"/>
  <c r="W1903" i="3"/>
  <c r="V817" i="3"/>
  <c r="W817" i="3"/>
  <c r="W582" i="3"/>
  <c r="V582" i="3"/>
  <c r="V2232" i="3"/>
  <c r="W2232" i="3"/>
  <c r="V3221" i="3"/>
  <c r="W3221" i="3"/>
  <c r="W1994" i="3"/>
  <c r="V1994" i="3"/>
  <c r="V249" i="3"/>
  <c r="W249" i="3"/>
  <c r="V844" i="3"/>
  <c r="W844" i="3"/>
  <c r="V1740" i="3"/>
  <c r="W1740" i="3"/>
  <c r="V1013" i="3"/>
  <c r="W1013" i="3"/>
  <c r="V1241" i="3"/>
  <c r="W1241" i="3"/>
  <c r="V3334" i="3"/>
  <c r="W3334" i="3"/>
  <c r="W2022" i="3"/>
  <c r="V2022" i="3"/>
  <c r="V70" i="3"/>
  <c r="W70" i="3"/>
  <c r="V1532" i="3"/>
  <c r="W1532" i="3"/>
  <c r="V2424" i="3"/>
  <c r="W2424" i="3"/>
  <c r="V3349" i="3"/>
  <c r="W3349" i="3"/>
  <c r="V2863" i="3"/>
  <c r="W2863" i="3"/>
  <c r="V693" i="3"/>
  <c r="W693" i="3"/>
  <c r="V1166" i="3"/>
  <c r="W1166" i="3"/>
  <c r="W1725" i="3"/>
  <c r="V1725" i="3"/>
  <c r="V642" i="3"/>
  <c r="W642" i="3"/>
  <c r="V310" i="3"/>
  <c r="W310" i="3"/>
  <c r="V2892" i="3"/>
  <c r="W2892" i="3"/>
  <c r="V2110" i="3"/>
  <c r="W2110" i="3"/>
  <c r="V2879" i="3"/>
  <c r="W2879" i="3"/>
  <c r="V2532" i="3"/>
  <c r="W2532" i="3"/>
  <c r="V680" i="3"/>
  <c r="W680" i="3"/>
  <c r="V2972" i="3"/>
  <c r="W2972" i="3"/>
  <c r="V1336" i="3"/>
  <c r="W1336" i="3"/>
  <c r="V3378" i="3"/>
  <c r="W3378" i="3"/>
  <c r="I1200" i="3"/>
  <c r="O1199" i="3"/>
  <c r="N1199" i="3"/>
  <c r="M1199" i="3"/>
  <c r="L1199" i="3"/>
  <c r="P1199" i="3"/>
  <c r="I2545" i="3"/>
  <c r="L2544" i="3"/>
  <c r="P2544" i="3"/>
  <c r="N2544" i="3"/>
  <c r="M2544" i="3"/>
  <c r="O2544" i="3"/>
  <c r="I39" i="3"/>
  <c r="N38" i="3"/>
  <c r="M38" i="3"/>
  <c r="L38" i="3"/>
  <c r="P38" i="3"/>
  <c r="O38" i="3"/>
  <c r="I2380" i="3"/>
  <c r="L2379" i="3"/>
  <c r="N2379" i="3"/>
  <c r="M2379" i="3"/>
  <c r="P2379" i="3"/>
  <c r="O2379" i="3"/>
  <c r="I2668" i="3"/>
  <c r="P2667" i="3"/>
  <c r="O2667" i="3"/>
  <c r="N2667" i="3"/>
  <c r="M2667" i="3"/>
  <c r="L2667" i="3"/>
  <c r="I2361" i="3"/>
  <c r="P2360" i="3"/>
  <c r="M2360" i="3"/>
  <c r="O2360" i="3"/>
  <c r="N2360" i="3"/>
  <c r="L2360" i="3"/>
  <c r="I53" i="3"/>
  <c r="P52" i="3"/>
  <c r="O52" i="3"/>
  <c r="N52" i="3"/>
  <c r="M52" i="3"/>
  <c r="L52" i="3"/>
  <c r="I770" i="3"/>
  <c r="P769" i="3"/>
  <c r="O769" i="3"/>
  <c r="M769" i="3"/>
  <c r="L769" i="3"/>
  <c r="N769" i="3"/>
  <c r="I26" i="3"/>
  <c r="O25" i="3"/>
  <c r="N25" i="3"/>
  <c r="M25" i="3"/>
  <c r="L25" i="3"/>
  <c r="P25" i="3"/>
  <c r="O2473" i="3"/>
  <c r="N2473" i="3"/>
  <c r="M2473" i="3"/>
  <c r="L2473" i="3"/>
  <c r="P2473" i="3"/>
  <c r="I2474" i="3"/>
  <c r="I1315" i="3"/>
  <c r="P1314" i="3"/>
  <c r="O1314" i="3"/>
  <c r="N1314" i="3"/>
  <c r="M1314" i="3"/>
  <c r="L1314" i="3"/>
  <c r="O3152" i="3"/>
  <c r="N3152" i="3"/>
  <c r="M3152" i="3"/>
  <c r="L3152" i="3"/>
  <c r="P3152" i="3"/>
  <c r="I3153" i="3"/>
  <c r="I2957" i="3"/>
  <c r="L2956" i="3"/>
  <c r="P2956" i="3"/>
  <c r="O2956" i="3"/>
  <c r="N2956" i="3"/>
  <c r="M2956" i="3"/>
  <c r="I1623" i="3"/>
  <c r="N1622" i="3"/>
  <c r="M1622" i="3"/>
  <c r="O1622" i="3"/>
  <c r="L1622" i="3"/>
  <c r="P1622" i="3"/>
  <c r="I2752" i="3"/>
  <c r="N2751" i="3"/>
  <c r="M2751" i="3"/>
  <c r="L2751" i="3"/>
  <c r="O2751" i="3"/>
  <c r="P2751" i="3"/>
  <c r="I997" i="3"/>
  <c r="N996" i="3"/>
  <c r="M996" i="3"/>
  <c r="L996" i="3"/>
  <c r="P996" i="3"/>
  <c r="O996" i="3"/>
  <c r="I794" i="3"/>
  <c r="P793" i="3"/>
  <c r="O793" i="3"/>
  <c r="M793" i="3"/>
  <c r="L793" i="3"/>
  <c r="N793" i="3"/>
  <c r="I2768" i="3"/>
  <c r="N2767" i="3"/>
  <c r="M2767" i="3"/>
  <c r="L2767" i="3"/>
  <c r="P2767" i="3"/>
  <c r="O2767" i="3"/>
  <c r="I3320" i="3"/>
  <c r="O3319" i="3"/>
  <c r="N3319" i="3"/>
  <c r="M3319" i="3"/>
  <c r="L3319" i="3"/>
  <c r="P3319" i="3"/>
  <c r="I2589" i="3"/>
  <c r="P2588" i="3"/>
  <c r="O2588" i="3"/>
  <c r="N2588" i="3"/>
  <c r="M2588" i="3"/>
  <c r="L2588" i="3"/>
  <c r="I2080" i="3"/>
  <c r="N2079" i="3"/>
  <c r="O2079" i="3"/>
  <c r="M2079" i="3"/>
  <c r="L2079" i="3"/>
  <c r="P2079" i="3"/>
  <c r="I3059" i="3"/>
  <c r="L3058" i="3"/>
  <c r="P3058" i="3"/>
  <c r="O3058" i="3"/>
  <c r="N3058" i="3"/>
  <c r="M3058" i="3"/>
  <c r="I1771" i="3"/>
  <c r="N1770" i="3"/>
  <c r="O1770" i="3"/>
  <c r="M1770" i="3"/>
  <c r="P1770" i="3"/>
  <c r="L1770" i="3"/>
  <c r="I924" i="3"/>
  <c r="P923" i="3"/>
  <c r="O923" i="3"/>
  <c r="M923" i="3"/>
  <c r="L923" i="3"/>
  <c r="N923" i="3"/>
  <c r="I2907" i="3"/>
  <c r="N2906" i="3"/>
  <c r="M2906" i="3"/>
  <c r="P2906" i="3"/>
  <c r="O2906" i="3"/>
  <c r="L2906" i="3"/>
  <c r="I1995" i="3"/>
  <c r="N1994" i="3"/>
  <c r="M1994" i="3"/>
  <c r="L1994" i="3"/>
  <c r="P1994" i="3"/>
  <c r="O1994" i="3"/>
  <c r="I571" i="3"/>
  <c r="N570" i="3"/>
  <c r="M570" i="3"/>
  <c r="L570" i="3"/>
  <c r="P570" i="3"/>
  <c r="O570" i="3"/>
  <c r="I1188" i="3"/>
  <c r="P1187" i="3"/>
  <c r="O1187" i="3"/>
  <c r="N1187" i="3"/>
  <c r="M1187" i="3"/>
  <c r="L1187" i="3"/>
  <c r="I2008" i="3"/>
  <c r="M2007" i="3"/>
  <c r="L2007" i="3"/>
  <c r="P2007" i="3"/>
  <c r="O2007" i="3"/>
  <c r="N2007" i="3"/>
  <c r="I2216" i="3"/>
  <c r="L2215" i="3"/>
  <c r="N2215" i="3"/>
  <c r="O2215" i="3"/>
  <c r="P2215" i="3"/>
  <c r="M2215" i="3"/>
  <c r="I279" i="3"/>
  <c r="N278" i="3"/>
  <c r="M278" i="3"/>
  <c r="L278" i="3"/>
  <c r="P278" i="3"/>
  <c r="O278" i="3"/>
  <c r="I1842" i="3"/>
  <c r="O1841" i="3"/>
  <c r="N1841" i="3"/>
  <c r="M1841" i="3"/>
  <c r="L1841" i="3"/>
  <c r="P1841" i="3"/>
  <c r="I358" i="3"/>
  <c r="O357" i="3"/>
  <c r="N357" i="3"/>
  <c r="M357" i="3"/>
  <c r="L357" i="3"/>
  <c r="P357" i="3"/>
  <c r="I1756" i="3"/>
  <c r="P1755" i="3"/>
  <c r="O1755" i="3"/>
  <c r="M1755" i="3"/>
  <c r="L1755" i="3"/>
  <c r="N1755" i="3"/>
  <c r="I335" i="3"/>
  <c r="P334" i="3"/>
  <c r="O334" i="3"/>
  <c r="N334" i="3"/>
  <c r="L334" i="3"/>
  <c r="M334" i="3"/>
  <c r="I2047" i="3"/>
  <c r="N2046" i="3"/>
  <c r="M2046" i="3"/>
  <c r="L2046" i="3"/>
  <c r="P2046" i="3"/>
  <c r="O2046" i="3"/>
  <c r="I12" i="3"/>
  <c r="M11" i="3"/>
  <c r="L11" i="3"/>
  <c r="O11" i="3"/>
  <c r="N11" i="3"/>
  <c r="P11" i="3"/>
  <c r="I2161" i="3"/>
  <c r="O2160" i="3"/>
  <c r="N2160" i="3"/>
  <c r="L2160" i="3"/>
  <c r="P2160" i="3"/>
  <c r="M2160" i="3"/>
  <c r="I2521" i="3"/>
  <c r="L2520" i="3"/>
  <c r="P2520" i="3"/>
  <c r="M2520" i="3"/>
  <c r="O2520" i="3"/>
  <c r="N2520" i="3"/>
  <c r="I670" i="3"/>
  <c r="O669" i="3"/>
  <c r="N669" i="3"/>
  <c r="M669" i="3"/>
  <c r="L669" i="3"/>
  <c r="P669" i="3"/>
  <c r="I2577" i="3"/>
  <c r="L2576" i="3"/>
  <c r="P2576" i="3"/>
  <c r="O2576" i="3"/>
  <c r="N2576" i="3"/>
  <c r="M2576" i="3"/>
  <c r="I94" i="3"/>
  <c r="P93" i="3"/>
  <c r="O93" i="3"/>
  <c r="M93" i="3"/>
  <c r="L93" i="3"/>
  <c r="N93" i="3"/>
  <c r="I560" i="3"/>
  <c r="M559" i="3"/>
  <c r="L559" i="3"/>
  <c r="O559" i="3"/>
  <c r="N559" i="3"/>
  <c r="P559" i="3"/>
  <c r="I83" i="3"/>
  <c r="P82" i="3"/>
  <c r="O82" i="3"/>
  <c r="N82" i="3"/>
  <c r="L82" i="3"/>
  <c r="M82" i="3"/>
  <c r="O613" i="3"/>
  <c r="N613" i="3"/>
  <c r="M613" i="3"/>
  <c r="L613" i="3"/>
  <c r="P613" i="3"/>
  <c r="I3045" i="3"/>
  <c r="L3044" i="3"/>
  <c r="P3044" i="3"/>
  <c r="O3044" i="3"/>
  <c r="N3044" i="3"/>
  <c r="M3044" i="3"/>
  <c r="I1109" i="3"/>
  <c r="O1108" i="3"/>
  <c r="N1108" i="3"/>
  <c r="M1108" i="3"/>
  <c r="L1108" i="3"/>
  <c r="P1108" i="3"/>
  <c r="I806" i="3"/>
  <c r="O805" i="3"/>
  <c r="N805" i="3"/>
  <c r="M805" i="3"/>
  <c r="L805" i="3"/>
  <c r="P805" i="3"/>
  <c r="N346" i="3"/>
  <c r="M346" i="3"/>
  <c r="L346" i="3"/>
  <c r="P346" i="3"/>
  <c r="O346" i="3"/>
  <c r="M1807" i="3"/>
  <c r="O1807" i="3"/>
  <c r="N1807" i="3"/>
  <c r="L1807" i="3"/>
  <c r="P1807" i="3"/>
  <c r="I981" i="3"/>
  <c r="N980" i="3"/>
  <c r="M980" i="3"/>
  <c r="L980" i="3"/>
  <c r="P980" i="3"/>
  <c r="O980" i="3"/>
  <c r="I160" i="3"/>
  <c r="P159" i="3"/>
  <c r="O159" i="3"/>
  <c r="N159" i="3"/>
  <c r="M159" i="3"/>
  <c r="L159" i="3"/>
  <c r="I3109" i="3"/>
  <c r="O3108" i="3"/>
  <c r="N3108" i="3"/>
  <c r="P3108" i="3"/>
  <c r="M3108" i="3"/>
  <c r="L3108" i="3"/>
  <c r="I3184" i="3"/>
  <c r="L3183" i="3"/>
  <c r="P3183" i="3"/>
  <c r="O3183" i="3"/>
  <c r="N3183" i="3"/>
  <c r="M3183" i="3"/>
  <c r="I1855" i="3"/>
  <c r="P1854" i="3"/>
  <c r="N1854" i="3"/>
  <c r="M1854" i="3"/>
  <c r="L1854" i="3"/>
  <c r="O1854" i="3"/>
  <c r="L1054" i="3"/>
  <c r="P1054" i="3"/>
  <c r="N1054" i="3"/>
  <c r="M1054" i="3"/>
  <c r="O1054" i="3"/>
  <c r="I2412" i="3"/>
  <c r="L2411" i="3"/>
  <c r="N2411" i="3"/>
  <c r="P2411" i="3"/>
  <c r="O2411" i="3"/>
  <c r="M2411" i="3"/>
  <c r="I3304" i="3"/>
  <c r="O3303" i="3"/>
  <c r="N3303" i="3"/>
  <c r="M3303" i="3"/>
  <c r="L3303" i="3"/>
  <c r="P3303" i="3"/>
  <c r="I1300" i="3"/>
  <c r="L1299" i="3"/>
  <c r="P1299" i="3"/>
  <c r="O1299" i="3"/>
  <c r="N1299" i="3"/>
  <c r="M1299" i="3"/>
  <c r="I2642" i="3"/>
  <c r="M2641" i="3"/>
  <c r="L2641" i="3"/>
  <c r="P2641" i="3"/>
  <c r="O2641" i="3"/>
  <c r="N2641" i="3"/>
  <c r="I1638" i="3"/>
  <c r="O1637" i="3"/>
  <c r="L1637" i="3"/>
  <c r="N1637" i="3"/>
  <c r="P1637" i="3"/>
  <c r="M1637" i="3"/>
  <c r="M1823" i="3"/>
  <c r="P1823" i="3"/>
  <c r="N1823" i="3"/>
  <c r="O1823" i="3"/>
  <c r="L1823" i="3"/>
  <c r="I874" i="3"/>
  <c r="M873" i="3"/>
  <c r="L873" i="3"/>
  <c r="O873" i="3"/>
  <c r="N873" i="3"/>
  <c r="P873" i="3"/>
  <c r="I295" i="3"/>
  <c r="N294" i="3"/>
  <c r="M294" i="3"/>
  <c r="L294" i="3"/>
  <c r="P294" i="3"/>
  <c r="O294" i="3"/>
  <c r="I2345" i="3"/>
  <c r="P2344" i="3"/>
  <c r="M2344" i="3"/>
  <c r="L2344" i="3"/>
  <c r="O2344" i="3"/>
  <c r="N2344" i="3"/>
  <c r="P1122" i="3"/>
  <c r="O1122" i="3"/>
  <c r="N1122" i="3"/>
  <c r="M1122" i="3"/>
  <c r="L1122" i="3"/>
  <c r="P3362" i="3"/>
  <c r="O3362" i="3"/>
  <c r="N3362" i="3"/>
  <c r="M3362" i="3"/>
  <c r="L3362" i="3"/>
  <c r="I2127" i="3"/>
  <c r="P2126" i="3"/>
  <c r="N2126" i="3"/>
  <c r="L2126" i="3"/>
  <c r="M2126" i="3"/>
  <c r="O2126" i="3"/>
  <c r="I2933" i="3"/>
  <c r="L2932" i="3"/>
  <c r="P2932" i="3"/>
  <c r="O2932" i="3"/>
  <c r="N2932" i="3"/>
  <c r="M2932" i="3"/>
  <c r="I2096" i="3"/>
  <c r="L2095" i="3"/>
  <c r="N2095" i="3"/>
  <c r="M2095" i="3"/>
  <c r="P2095" i="3"/>
  <c r="O2095" i="3"/>
  <c r="I1890" i="3"/>
  <c r="P1889" i="3"/>
  <c r="O1889" i="3"/>
  <c r="N1889" i="3"/>
  <c r="M1889" i="3"/>
  <c r="L1889" i="3"/>
  <c r="I2601" i="3"/>
  <c r="L2600" i="3"/>
  <c r="P2600" i="3"/>
  <c r="M2600" i="3"/>
  <c r="O2600" i="3"/>
  <c r="N2600" i="3"/>
  <c r="I173" i="3"/>
  <c r="P172" i="3"/>
  <c r="O172" i="3"/>
  <c r="N172" i="3"/>
  <c r="M172" i="3"/>
  <c r="L172" i="3"/>
  <c r="M623" i="3"/>
  <c r="L623" i="3"/>
  <c r="O623" i="3"/>
  <c r="N623" i="3"/>
  <c r="P623" i="3"/>
  <c r="I1214" i="3"/>
  <c r="P1213" i="3"/>
  <c r="O1213" i="3"/>
  <c r="N1213" i="3"/>
  <c r="M1213" i="3"/>
  <c r="L1213" i="3"/>
  <c r="I1284" i="3"/>
  <c r="L1283" i="3"/>
  <c r="P1283" i="3"/>
  <c r="O1283" i="3"/>
  <c r="N1283" i="3"/>
  <c r="M1283" i="3"/>
  <c r="I2492" i="3"/>
  <c r="M2491" i="3"/>
  <c r="L2491" i="3"/>
  <c r="P2491" i="3"/>
  <c r="O2491" i="3"/>
  <c r="N2491" i="3"/>
  <c r="I1967" i="3"/>
  <c r="P1966" i="3"/>
  <c r="O1966" i="3"/>
  <c r="M1966" i="3"/>
  <c r="L1966" i="3"/>
  <c r="N1966" i="3"/>
  <c r="I1071" i="3"/>
  <c r="L1070" i="3"/>
  <c r="P1070" i="3"/>
  <c r="N1070" i="3"/>
  <c r="M1070" i="3"/>
  <c r="O1070" i="3"/>
  <c r="I2203" i="3"/>
  <c r="M2202" i="3"/>
  <c r="L2202" i="3"/>
  <c r="O2202" i="3"/>
  <c r="P2202" i="3"/>
  <c r="N2202" i="3"/>
  <c r="I3257" i="3"/>
  <c r="P3256" i="3"/>
  <c r="O3256" i="3"/>
  <c r="N3256" i="3"/>
  <c r="M3256" i="3"/>
  <c r="L3256" i="3"/>
  <c r="I1406" i="3"/>
  <c r="M1405" i="3"/>
  <c r="L1405" i="3"/>
  <c r="P1405" i="3"/>
  <c r="N1405" i="3"/>
  <c r="O1405" i="3"/>
  <c r="I595" i="3"/>
  <c r="N594" i="3"/>
  <c r="M594" i="3"/>
  <c r="L594" i="3"/>
  <c r="P594" i="3"/>
  <c r="O594" i="3"/>
  <c r="O2810" i="3"/>
  <c r="N2810" i="3"/>
  <c r="M2810" i="3"/>
  <c r="L2810" i="3"/>
  <c r="P2810" i="3"/>
  <c r="I2811" i="3"/>
  <c r="I1588" i="3"/>
  <c r="M1587" i="3"/>
  <c r="L1587" i="3"/>
  <c r="N1587" i="3"/>
  <c r="P1587" i="3"/>
  <c r="O1587" i="3"/>
  <c r="I2739" i="3"/>
  <c r="O2738" i="3"/>
  <c r="N2738" i="3"/>
  <c r="M2738" i="3"/>
  <c r="L2738" i="3"/>
  <c r="P2738" i="3"/>
  <c r="I656" i="3"/>
  <c r="M655" i="3"/>
  <c r="L655" i="3"/>
  <c r="O655" i="3"/>
  <c r="N655" i="3"/>
  <c r="P655" i="3"/>
  <c r="I1452" i="3"/>
  <c r="L1451" i="3"/>
  <c r="O1451" i="3"/>
  <c r="N1451" i="3"/>
  <c r="M1451" i="3"/>
  <c r="P1451" i="3"/>
  <c r="I2989" i="3"/>
  <c r="L2988" i="3"/>
  <c r="P2988" i="3"/>
  <c r="N2988" i="3"/>
  <c r="M2988" i="3"/>
  <c r="O2988" i="3"/>
  <c r="I2683" i="3"/>
  <c r="O2682" i="3"/>
  <c r="N2682" i="3"/>
  <c r="M2682" i="3"/>
  <c r="L2682" i="3"/>
  <c r="P2682" i="3"/>
  <c r="I3199" i="3"/>
  <c r="P3198" i="3"/>
  <c r="O3198" i="3"/>
  <c r="N3198" i="3"/>
  <c r="M3198" i="3"/>
  <c r="L3198" i="3"/>
  <c r="I144" i="3"/>
  <c r="P143" i="3"/>
  <c r="O143" i="3"/>
  <c r="N143" i="3"/>
  <c r="M143" i="3"/>
  <c r="L143" i="3"/>
  <c r="I1797" i="3"/>
  <c r="L1796" i="3"/>
  <c r="P1796" i="3"/>
  <c r="O1796" i="3"/>
  <c r="M1796" i="3"/>
  <c r="N1796" i="3"/>
  <c r="I107" i="3"/>
  <c r="P106" i="3"/>
  <c r="O106" i="3"/>
  <c r="N106" i="3"/>
  <c r="L106" i="3"/>
  <c r="M106" i="3"/>
  <c r="I3293" i="3"/>
  <c r="N3292" i="3"/>
  <c r="M3292" i="3"/>
  <c r="L3292" i="3"/>
  <c r="P3292" i="3"/>
  <c r="O3292" i="3"/>
  <c r="I2396" i="3"/>
  <c r="L2395" i="3"/>
  <c r="N2395" i="3"/>
  <c r="M2395" i="3"/>
  <c r="P2395" i="3"/>
  <c r="O2395" i="3"/>
  <c r="I3087" i="3"/>
  <c r="P3086" i="3"/>
  <c r="O3086" i="3"/>
  <c r="M3086" i="3"/>
  <c r="L3086" i="3"/>
  <c r="N3086" i="3"/>
  <c r="I3031" i="3"/>
  <c r="P3030" i="3"/>
  <c r="N3030" i="3"/>
  <c r="O3030" i="3"/>
  <c r="M3030" i="3"/>
  <c r="L3030" i="3"/>
  <c r="I1483" i="3"/>
  <c r="P1482" i="3"/>
  <c r="O1482" i="3"/>
  <c r="N1482" i="3"/>
  <c r="L1482" i="3"/>
  <c r="M1482" i="3"/>
  <c r="I2302" i="3"/>
  <c r="P2301" i="3"/>
  <c r="O2301" i="3"/>
  <c r="L2301" i="3"/>
  <c r="M2301" i="3"/>
  <c r="N2301" i="3"/>
  <c r="I1608" i="3"/>
  <c r="M1607" i="3"/>
  <c r="P1607" i="3"/>
  <c r="O1607" i="3"/>
  <c r="L1607" i="3"/>
  <c r="N1607" i="3"/>
  <c r="I1143" i="3"/>
  <c r="M1142" i="3"/>
  <c r="L1142" i="3"/>
  <c r="O1142" i="3"/>
  <c r="N1142" i="3"/>
  <c r="P1142" i="3"/>
  <c r="I2920" i="3"/>
  <c r="M2919" i="3"/>
  <c r="L2919" i="3"/>
  <c r="O2919" i="3"/>
  <c r="P2919" i="3"/>
  <c r="N2919" i="3"/>
  <c r="I419" i="3"/>
  <c r="N418" i="3"/>
  <c r="M418" i="3"/>
  <c r="L418" i="3"/>
  <c r="P418" i="3"/>
  <c r="O418" i="3"/>
  <c r="I1371" i="3"/>
  <c r="P1370" i="3"/>
  <c r="O1370" i="3"/>
  <c r="N1370" i="3"/>
  <c r="M1370" i="3"/>
  <c r="L1370" i="3"/>
  <c r="I1031" i="3"/>
  <c r="L1030" i="3"/>
  <c r="P1030" i="3"/>
  <c r="N1030" i="3"/>
  <c r="M1030" i="3"/>
  <c r="O1030" i="3"/>
  <c r="I1665" i="3"/>
  <c r="P1664" i="3"/>
  <c r="N1664" i="3"/>
  <c r="M1664" i="3"/>
  <c r="O1664" i="3"/>
  <c r="L1664" i="3"/>
  <c r="I2782" i="3"/>
  <c r="P2781" i="3"/>
  <c r="O2781" i="3"/>
  <c r="N2781" i="3"/>
  <c r="M2781" i="3"/>
  <c r="L2781" i="3"/>
  <c r="I120" i="3"/>
  <c r="P119" i="3"/>
  <c r="O119" i="3"/>
  <c r="N119" i="3"/>
  <c r="M119" i="3"/>
  <c r="L119" i="3"/>
  <c r="I1357" i="3"/>
  <c r="O1356" i="3"/>
  <c r="N1356" i="3"/>
  <c r="M1356" i="3"/>
  <c r="L1356" i="3"/>
  <c r="P1356" i="3"/>
  <c r="I1421" i="3"/>
  <c r="O1420" i="3"/>
  <c r="M1420" i="3"/>
  <c r="L1420" i="3"/>
  <c r="P1420" i="3"/>
  <c r="N1420" i="3"/>
  <c r="I2441" i="3"/>
  <c r="L2440" i="3"/>
  <c r="P2440" i="3"/>
  <c r="O2440" i="3"/>
  <c r="N2440" i="3"/>
  <c r="M2440" i="3"/>
  <c r="I2326" i="3"/>
  <c r="P2325" i="3"/>
  <c r="O2325" i="3"/>
  <c r="L2325" i="3"/>
  <c r="N2325" i="3"/>
  <c r="M2325" i="3"/>
  <c r="I1679" i="3"/>
  <c r="P1678" i="3"/>
  <c r="N1678" i="3"/>
  <c r="O1678" i="3"/>
  <c r="M1678" i="3"/>
  <c r="L1678" i="3"/>
  <c r="I2696" i="3"/>
  <c r="N2695" i="3"/>
  <c r="M2695" i="3"/>
  <c r="L2695" i="3"/>
  <c r="P2695" i="3"/>
  <c r="O2695" i="3"/>
  <c r="O2457" i="3"/>
  <c r="N2457" i="3"/>
  <c r="M2457" i="3"/>
  <c r="L2457" i="3"/>
  <c r="P2457" i="3"/>
  <c r="I2458" i="3"/>
  <c r="I2725" i="3"/>
  <c r="M2724" i="3"/>
  <c r="L2724" i="3"/>
  <c r="P2724" i="3"/>
  <c r="O2724" i="3"/>
  <c r="N2724" i="3"/>
  <c r="O249" i="3"/>
  <c r="N249" i="3"/>
  <c r="M249" i="3"/>
  <c r="L249" i="3"/>
  <c r="P249" i="3"/>
  <c r="I845" i="3"/>
  <c r="N844" i="3"/>
  <c r="M844" i="3"/>
  <c r="L844" i="3"/>
  <c r="P844" i="3"/>
  <c r="O844" i="3"/>
  <c r="I1741" i="3"/>
  <c r="L1740" i="3"/>
  <c r="O1740" i="3"/>
  <c r="N1740" i="3"/>
  <c r="M1740" i="3"/>
  <c r="P1740" i="3"/>
  <c r="P239" i="3"/>
  <c r="O239" i="3"/>
  <c r="N239" i="3"/>
  <c r="M239" i="3"/>
  <c r="L239" i="3"/>
  <c r="I1385" i="3"/>
  <c r="N1384" i="3"/>
  <c r="L1384" i="3"/>
  <c r="P1384" i="3"/>
  <c r="O1384" i="3"/>
  <c r="M1384" i="3"/>
  <c r="I967" i="3"/>
  <c r="L966" i="3"/>
  <c r="P966" i="3"/>
  <c r="N966" i="3"/>
  <c r="M966" i="3"/>
  <c r="O966" i="3"/>
  <c r="I3239" i="3"/>
  <c r="P3238" i="3"/>
  <c r="O3238" i="3"/>
  <c r="N3238" i="3"/>
  <c r="M3238" i="3"/>
  <c r="L3238" i="3"/>
  <c r="I2561" i="3"/>
  <c r="L2560" i="3"/>
  <c r="P2560" i="3"/>
  <c r="O2560" i="3"/>
  <c r="N2560" i="3"/>
  <c r="M2560" i="3"/>
  <c r="I898" i="3"/>
  <c r="M897" i="3"/>
  <c r="L897" i="3"/>
  <c r="O897" i="3"/>
  <c r="N897" i="3"/>
  <c r="P897" i="3"/>
  <c r="I725" i="3"/>
  <c r="L724" i="3"/>
  <c r="P724" i="3"/>
  <c r="N724" i="3"/>
  <c r="M724" i="3"/>
  <c r="O724" i="3"/>
  <c r="I709" i="3"/>
  <c r="L708" i="3"/>
  <c r="P708" i="3"/>
  <c r="N708" i="3"/>
  <c r="M708" i="3"/>
  <c r="O708" i="3"/>
  <c r="O1132" i="3"/>
  <c r="N1132" i="3"/>
  <c r="M1132" i="3"/>
  <c r="L1132" i="3"/>
  <c r="P1132" i="3"/>
  <c r="I1085" i="3"/>
  <c r="O1084" i="3"/>
  <c r="N1084" i="3"/>
  <c r="P1084" i="3"/>
  <c r="L1084" i="3"/>
  <c r="M1084" i="3"/>
  <c r="L1512" i="3"/>
  <c r="P1512" i="3"/>
  <c r="O1512" i="3"/>
  <c r="N1512" i="3"/>
  <c r="M1512" i="3"/>
  <c r="I910" i="3"/>
  <c r="P909" i="3"/>
  <c r="O909" i="3"/>
  <c r="N909" i="3"/>
  <c r="M909" i="3"/>
  <c r="L909" i="3"/>
  <c r="M1522" i="3"/>
  <c r="P1522" i="3"/>
  <c r="O1522" i="3"/>
  <c r="N1522" i="3"/>
  <c r="L1522" i="3"/>
  <c r="I3073" i="3"/>
  <c r="N3072" i="3"/>
  <c r="M3072" i="3"/>
  <c r="P3072" i="3"/>
  <c r="L3072" i="3"/>
  <c r="O3072" i="3"/>
  <c r="I1904" i="3"/>
  <c r="M1903" i="3"/>
  <c r="O1903" i="3"/>
  <c r="N1903" i="3"/>
  <c r="L1903" i="3"/>
  <c r="P1903" i="3"/>
  <c r="I818" i="3"/>
  <c r="P817" i="3"/>
  <c r="O817" i="3"/>
  <c r="M817" i="3"/>
  <c r="L817" i="3"/>
  <c r="N817" i="3"/>
  <c r="I583" i="3"/>
  <c r="P582" i="3"/>
  <c r="O582" i="3"/>
  <c r="N582" i="3"/>
  <c r="L582" i="3"/>
  <c r="M582" i="3"/>
  <c r="I2233" i="3"/>
  <c r="O2232" i="3"/>
  <c r="N2232" i="3"/>
  <c r="M2232" i="3"/>
  <c r="L2232" i="3"/>
  <c r="P2232" i="3"/>
  <c r="I3222" i="3"/>
  <c r="N3221" i="3"/>
  <c r="M3221" i="3"/>
  <c r="L3221" i="3"/>
  <c r="P3221" i="3"/>
  <c r="O3221" i="3"/>
  <c r="I1014" i="3"/>
  <c r="P1013" i="3"/>
  <c r="O1013" i="3"/>
  <c r="N1013" i="3"/>
  <c r="M1013" i="3"/>
  <c r="L1013" i="3"/>
  <c r="I1242" i="3"/>
  <c r="N1241" i="3"/>
  <c r="M1241" i="3"/>
  <c r="L1241" i="3"/>
  <c r="P1241" i="3"/>
  <c r="O1241" i="3"/>
  <c r="I3335" i="3"/>
  <c r="L3334" i="3"/>
  <c r="P3334" i="3"/>
  <c r="O3334" i="3"/>
  <c r="N3334" i="3"/>
  <c r="M3334" i="3"/>
  <c r="I2023" i="3"/>
  <c r="O2022" i="3"/>
  <c r="N2022" i="3"/>
  <c r="M2022" i="3"/>
  <c r="L2022" i="3"/>
  <c r="P2022" i="3"/>
  <c r="I71" i="3"/>
  <c r="N70" i="3"/>
  <c r="M70" i="3"/>
  <c r="L70" i="3"/>
  <c r="P70" i="3"/>
  <c r="O70" i="3"/>
  <c r="P1532" i="3"/>
  <c r="O1532" i="3"/>
  <c r="N1532" i="3"/>
  <c r="M1532" i="3"/>
  <c r="L1532" i="3"/>
  <c r="I2425" i="3"/>
  <c r="L2424" i="3"/>
  <c r="P2424" i="3"/>
  <c r="O2424" i="3"/>
  <c r="N2424" i="3"/>
  <c r="M2424" i="3"/>
  <c r="I3350" i="3"/>
  <c r="P3349" i="3"/>
  <c r="O3349" i="3"/>
  <c r="N3349" i="3"/>
  <c r="M3349" i="3"/>
  <c r="L3349" i="3"/>
  <c r="I2864" i="3"/>
  <c r="M2863" i="3"/>
  <c r="L2863" i="3"/>
  <c r="O2863" i="3"/>
  <c r="N2863" i="3"/>
  <c r="P2863" i="3"/>
  <c r="I694" i="3"/>
  <c r="O693" i="3"/>
  <c r="N693" i="3"/>
  <c r="M693" i="3"/>
  <c r="L693" i="3"/>
  <c r="P693" i="3"/>
  <c r="M1166" i="3"/>
  <c r="L1166" i="3"/>
  <c r="O1166" i="3"/>
  <c r="N1166" i="3"/>
  <c r="P1166" i="3"/>
  <c r="I1726" i="3"/>
  <c r="O1725" i="3"/>
  <c r="P1725" i="3"/>
  <c r="N1725" i="3"/>
  <c r="M1725" i="3"/>
  <c r="L1725" i="3"/>
  <c r="I643" i="3"/>
  <c r="N642" i="3"/>
  <c r="M642" i="3"/>
  <c r="L642" i="3"/>
  <c r="P642" i="3"/>
  <c r="O642" i="3"/>
  <c r="I311" i="3"/>
  <c r="N310" i="3"/>
  <c r="M310" i="3"/>
  <c r="L310" i="3"/>
  <c r="P310" i="3"/>
  <c r="O310" i="3"/>
  <c r="I2893" i="3"/>
  <c r="L2892" i="3"/>
  <c r="P2892" i="3"/>
  <c r="O2892" i="3"/>
  <c r="N2892" i="3"/>
  <c r="M2892" i="3"/>
  <c r="I2111" i="3"/>
  <c r="P2110" i="3"/>
  <c r="N2110" i="3"/>
  <c r="L2110" i="3"/>
  <c r="O2110" i="3"/>
  <c r="M2110" i="3"/>
  <c r="I2880" i="3"/>
  <c r="M2879" i="3"/>
  <c r="L2879" i="3"/>
  <c r="P2879" i="3"/>
  <c r="O2879" i="3"/>
  <c r="N2879" i="3"/>
  <c r="I2533" i="3"/>
  <c r="P2532" i="3"/>
  <c r="O2532" i="3"/>
  <c r="N2532" i="3"/>
  <c r="M2532" i="3"/>
  <c r="L2532" i="3"/>
  <c r="I681" i="3"/>
  <c r="P680" i="3"/>
  <c r="O680" i="3"/>
  <c r="N680" i="3"/>
  <c r="M680" i="3"/>
  <c r="L680" i="3"/>
  <c r="I2973" i="3"/>
  <c r="L2972" i="3"/>
  <c r="P2972" i="3"/>
  <c r="O2972" i="3"/>
  <c r="N2972" i="3"/>
  <c r="M2972" i="3"/>
  <c r="I1337" i="3"/>
  <c r="P1336" i="3"/>
  <c r="O1336" i="3"/>
  <c r="N1336" i="3"/>
  <c r="M1336" i="3"/>
  <c r="L1336" i="3"/>
  <c r="P3378" i="3"/>
  <c r="O3378" i="3"/>
  <c r="N3378" i="3"/>
  <c r="M3378" i="3"/>
  <c r="L3378" i="3"/>
  <c r="I2710" i="3"/>
  <c r="P2709" i="3"/>
  <c r="O2709" i="3"/>
  <c r="N2709" i="3"/>
  <c r="M2709" i="3"/>
  <c r="L2709" i="3"/>
  <c r="I200" i="3"/>
  <c r="P199" i="3"/>
  <c r="O199" i="3"/>
  <c r="N199" i="3"/>
  <c r="M199" i="3"/>
  <c r="L199" i="3"/>
  <c r="M2250" i="3"/>
  <c r="L2250" i="3"/>
  <c r="O2250" i="3"/>
  <c r="P2250" i="3"/>
  <c r="N2250" i="3"/>
  <c r="I2251" i="3"/>
  <c r="I2286" i="3"/>
  <c r="P2285" i="3"/>
  <c r="O2285" i="3"/>
  <c r="L2285" i="3"/>
  <c r="M2285" i="3"/>
  <c r="N2285" i="3"/>
  <c r="I2614" i="3"/>
  <c r="P2613" i="3"/>
  <c r="O2613" i="3"/>
  <c r="L2613" i="3"/>
  <c r="N2613" i="3"/>
  <c r="M2613" i="3"/>
  <c r="I885" i="3"/>
  <c r="N884" i="3"/>
  <c r="M884" i="3"/>
  <c r="L884" i="3"/>
  <c r="P884" i="3"/>
  <c r="O884" i="3"/>
  <c r="I858" i="3"/>
  <c r="M857" i="3"/>
  <c r="L857" i="3"/>
  <c r="O857" i="3"/>
  <c r="N857" i="3"/>
  <c r="P857" i="3"/>
  <c r="I1499" i="3"/>
  <c r="N1498" i="3"/>
  <c r="M1498" i="3"/>
  <c r="L1498" i="3"/>
  <c r="P1498" i="3"/>
  <c r="O1498" i="3"/>
  <c r="I1261" i="3"/>
  <c r="O1260" i="3"/>
  <c r="N1260" i="3"/>
  <c r="M1260" i="3"/>
  <c r="L1260" i="3"/>
  <c r="P1260" i="3"/>
  <c r="I187" i="3"/>
  <c r="P186" i="3"/>
  <c r="O186" i="3"/>
  <c r="N186" i="3"/>
  <c r="L186" i="3"/>
  <c r="M186" i="3"/>
  <c r="I2628" i="3"/>
  <c r="M2627" i="3"/>
  <c r="L2627" i="3"/>
  <c r="P2627" i="3"/>
  <c r="N2627" i="3"/>
  <c r="O2627" i="3"/>
  <c r="I1468" i="3"/>
  <c r="L1467" i="3"/>
  <c r="P1467" i="3"/>
  <c r="O1467" i="3"/>
  <c r="N1467" i="3"/>
  <c r="M1467" i="3"/>
  <c r="I3168" i="3"/>
  <c r="L3167" i="3"/>
  <c r="P3167" i="3"/>
  <c r="N3167" i="3"/>
  <c r="M3167" i="3"/>
  <c r="O3167" i="3"/>
  <c r="P3016" i="3"/>
  <c r="O3016" i="3"/>
  <c r="N3016" i="3"/>
  <c r="L3016" i="3"/>
  <c r="M3016" i="3"/>
  <c r="I3017" i="3"/>
  <c r="I3005" i="3"/>
  <c r="L3004" i="3"/>
  <c r="P3004" i="3"/>
  <c r="O3004" i="3"/>
  <c r="N3004" i="3"/>
  <c r="M3004" i="3"/>
  <c r="I1953" i="3"/>
  <c r="P1952" i="3"/>
  <c r="O1952" i="3"/>
  <c r="N1952" i="3"/>
  <c r="M1952" i="3"/>
  <c r="L1952" i="3"/>
  <c r="I2149" i="3"/>
  <c r="P2148" i="3"/>
  <c r="M2148" i="3"/>
  <c r="N2148" i="3"/>
  <c r="O2148" i="3"/>
  <c r="L2148" i="3"/>
  <c r="I1868" i="3"/>
  <c r="O1867" i="3"/>
  <c r="M1867" i="3"/>
  <c r="L1867" i="3"/>
  <c r="P1867" i="3"/>
  <c r="N1867" i="3"/>
  <c r="I2796" i="3"/>
  <c r="P2795" i="3"/>
  <c r="O2795" i="3"/>
  <c r="N2795" i="3"/>
  <c r="L2795" i="3"/>
  <c r="M2795" i="3"/>
  <c r="I1650" i="3"/>
  <c r="P1649" i="3"/>
  <c r="O1649" i="3"/>
  <c r="M1649" i="3"/>
  <c r="L1649" i="3"/>
  <c r="N1649" i="3"/>
  <c r="N828" i="3"/>
  <c r="M828" i="3"/>
  <c r="L828" i="3"/>
  <c r="P828" i="3"/>
  <c r="O828" i="3"/>
  <c r="I829" i="3"/>
  <c r="I2270" i="3"/>
  <c r="P2269" i="3"/>
  <c r="O2269" i="3"/>
  <c r="L2269" i="3"/>
  <c r="N2269" i="3"/>
  <c r="M2269" i="3"/>
  <c r="M1785" i="3"/>
  <c r="L1785" i="3"/>
  <c r="P1785" i="3"/>
  <c r="N1785" i="3"/>
  <c r="O1785" i="3"/>
  <c r="I3131" i="3"/>
  <c r="L3130" i="3"/>
  <c r="P3130" i="3"/>
  <c r="O3130" i="3"/>
  <c r="N3130" i="3"/>
  <c r="M3130" i="3"/>
  <c r="I3275" i="3"/>
  <c r="P3274" i="3"/>
  <c r="O3274" i="3"/>
  <c r="N3274" i="3"/>
  <c r="M3274" i="3"/>
  <c r="L3274" i="3"/>
  <c r="I1436" i="3"/>
  <c r="L1435" i="3"/>
  <c r="O1435" i="3"/>
  <c r="P1435" i="3"/>
  <c r="N1435" i="3"/>
  <c r="M1435" i="3"/>
  <c r="W2782" i="3" l="1"/>
  <c r="V2782" i="3"/>
  <c r="W419" i="3"/>
  <c r="V419" i="3"/>
  <c r="V1452" i="3"/>
  <c r="W1452" i="3"/>
  <c r="W2533" i="3"/>
  <c r="V2533" i="3"/>
  <c r="V311" i="3"/>
  <c r="W311" i="3"/>
  <c r="W3335" i="3"/>
  <c r="V3335" i="3"/>
  <c r="V2233" i="3"/>
  <c r="W2233" i="3"/>
  <c r="V3073" i="3"/>
  <c r="W3073" i="3"/>
  <c r="W1741" i="3"/>
  <c r="V1741" i="3"/>
  <c r="W1890" i="3"/>
  <c r="V1890" i="3"/>
  <c r="V295" i="3"/>
  <c r="W295" i="3"/>
  <c r="V3184" i="3"/>
  <c r="W3184" i="3"/>
  <c r="V1109" i="3"/>
  <c r="W1109" i="3"/>
  <c r="V1044" i="3"/>
  <c r="W1044" i="3"/>
  <c r="N1044" i="3"/>
  <c r="M1044" i="3"/>
  <c r="L1044" i="3"/>
  <c r="P1044" i="3"/>
  <c r="O1044" i="3"/>
  <c r="W1918" i="3"/>
  <c r="V1918" i="3"/>
  <c r="L1918" i="3"/>
  <c r="N1918" i="3"/>
  <c r="I1919" i="3"/>
  <c r="M1918" i="3"/>
  <c r="P1918" i="3"/>
  <c r="O1918" i="3"/>
  <c r="V694" i="3"/>
  <c r="W694" i="3"/>
  <c r="V725" i="3"/>
  <c r="W725" i="3"/>
  <c r="W2441" i="3"/>
  <c r="V2441" i="3"/>
  <c r="V560" i="3"/>
  <c r="W560" i="3"/>
  <c r="W2521" i="3"/>
  <c r="V2521" i="3"/>
  <c r="V335" i="3"/>
  <c r="W335" i="3"/>
  <c r="W1842" i="3"/>
  <c r="V1842" i="3"/>
  <c r="W1650" i="3"/>
  <c r="V1650" i="3"/>
  <c r="W1953" i="3"/>
  <c r="V1953" i="3"/>
  <c r="V1468" i="3"/>
  <c r="W1468" i="3"/>
  <c r="V1499" i="3"/>
  <c r="W1499" i="3"/>
  <c r="V2286" i="3"/>
  <c r="W2286" i="3"/>
  <c r="W2425" i="3"/>
  <c r="V2425" i="3"/>
  <c r="V709" i="3"/>
  <c r="W709" i="3"/>
  <c r="W3239" i="3"/>
  <c r="V3239" i="3"/>
  <c r="W2725" i="3"/>
  <c r="V2725" i="3"/>
  <c r="V2326" i="3"/>
  <c r="W2326" i="3"/>
  <c r="V120" i="3"/>
  <c r="W120" i="3"/>
  <c r="W1371" i="3"/>
  <c r="V1371" i="3"/>
  <c r="V1608" i="3"/>
  <c r="W1608" i="3"/>
  <c r="W3087" i="3"/>
  <c r="V3087" i="3"/>
  <c r="W1797" i="3"/>
  <c r="V1797" i="3"/>
  <c r="W2989" i="3"/>
  <c r="V2989" i="3"/>
  <c r="V1588" i="3"/>
  <c r="W1588" i="3"/>
  <c r="V1071" i="3"/>
  <c r="W1071" i="3"/>
  <c r="V1214" i="3"/>
  <c r="W1214" i="3"/>
  <c r="V3304" i="3"/>
  <c r="W3304" i="3"/>
  <c r="V83" i="3"/>
  <c r="W83" i="3"/>
  <c r="V670" i="3"/>
  <c r="W670" i="3"/>
  <c r="V2047" i="3"/>
  <c r="W2047" i="3"/>
  <c r="W358" i="3"/>
  <c r="V358" i="3"/>
  <c r="V2008" i="3"/>
  <c r="W2008" i="3"/>
  <c r="V2907" i="3"/>
  <c r="W2907" i="3"/>
  <c r="V2080" i="3"/>
  <c r="W2080" i="3"/>
  <c r="V794" i="3"/>
  <c r="W794" i="3"/>
  <c r="W2957" i="3"/>
  <c r="V2957" i="3"/>
  <c r="V26" i="3"/>
  <c r="W26" i="3"/>
  <c r="V2668" i="3"/>
  <c r="W2668" i="3"/>
  <c r="V1200" i="3"/>
  <c r="W1200" i="3"/>
  <c r="W2062" i="3"/>
  <c r="V2062" i="3"/>
  <c r="L2062" i="3"/>
  <c r="I2063" i="3"/>
  <c r="P2062" i="3"/>
  <c r="O2062" i="3"/>
  <c r="N2062" i="3"/>
  <c r="M2062" i="3"/>
  <c r="W1227" i="3"/>
  <c r="V1227" i="3"/>
  <c r="M1227" i="3"/>
  <c r="I1228" i="3"/>
  <c r="L1227" i="3"/>
  <c r="P1227" i="3"/>
  <c r="O1227" i="3"/>
  <c r="N1227" i="3"/>
  <c r="V2628" i="3"/>
  <c r="W2628" i="3"/>
  <c r="W1638" i="3"/>
  <c r="V1638" i="3"/>
  <c r="V997" i="3"/>
  <c r="W997" i="3"/>
  <c r="V2251" i="3"/>
  <c r="W2251" i="3"/>
  <c r="V681" i="3"/>
  <c r="W681" i="3"/>
  <c r="W2893" i="3"/>
  <c r="V2893" i="3"/>
  <c r="V2023" i="3"/>
  <c r="W2023" i="3"/>
  <c r="V3222" i="3"/>
  <c r="W3222" i="3"/>
  <c r="V1904" i="3"/>
  <c r="W1904" i="3"/>
  <c r="W2458" i="3"/>
  <c r="V2458" i="3"/>
  <c r="V2811" i="3"/>
  <c r="W2811" i="3"/>
  <c r="W2601" i="3"/>
  <c r="V2601" i="3"/>
  <c r="V2127" i="3"/>
  <c r="W2127" i="3"/>
  <c r="V2345" i="3"/>
  <c r="W2345" i="3"/>
  <c r="V1855" i="3"/>
  <c r="W1855" i="3"/>
  <c r="V981" i="3"/>
  <c r="W981" i="3"/>
  <c r="V806" i="3"/>
  <c r="W806" i="3"/>
  <c r="V3153" i="3"/>
  <c r="W3153" i="3"/>
  <c r="V2796" i="3"/>
  <c r="W2796" i="3"/>
  <c r="W3005" i="3"/>
  <c r="V3005" i="3"/>
  <c r="V2412" i="3"/>
  <c r="W2412" i="3"/>
  <c r="V1188" i="3"/>
  <c r="W1188" i="3"/>
  <c r="V924" i="3"/>
  <c r="W924" i="3"/>
  <c r="W3131" i="3"/>
  <c r="V3131" i="3"/>
  <c r="V2149" i="3"/>
  <c r="W2149" i="3"/>
  <c r="V3168" i="3"/>
  <c r="W3168" i="3"/>
  <c r="V1261" i="3"/>
  <c r="W1261" i="3"/>
  <c r="W2614" i="3"/>
  <c r="V2614" i="3"/>
  <c r="W2710" i="3"/>
  <c r="V2710" i="3"/>
  <c r="V3350" i="3"/>
  <c r="W3350" i="3"/>
  <c r="V910" i="3"/>
  <c r="W910" i="3"/>
  <c r="W2561" i="3"/>
  <c r="V2561" i="3"/>
  <c r="V1679" i="3"/>
  <c r="W1679" i="3"/>
  <c r="V1357" i="3"/>
  <c r="W1357" i="3"/>
  <c r="V1031" i="3"/>
  <c r="W1031" i="3"/>
  <c r="V1143" i="3"/>
  <c r="W1143" i="3"/>
  <c r="W3031" i="3"/>
  <c r="V3031" i="3"/>
  <c r="V107" i="3"/>
  <c r="W107" i="3"/>
  <c r="V2683" i="3"/>
  <c r="W2683" i="3"/>
  <c r="V2739" i="3"/>
  <c r="W2739" i="3"/>
  <c r="V1406" i="3"/>
  <c r="W1406" i="3"/>
  <c r="V2203" i="3"/>
  <c r="W2203" i="3"/>
  <c r="V1284" i="3"/>
  <c r="W1284" i="3"/>
  <c r="V1300" i="3"/>
  <c r="W1300" i="3"/>
  <c r="W2577" i="3"/>
  <c r="V2577" i="3"/>
  <c r="V12" i="3"/>
  <c r="W12" i="3"/>
  <c r="V2216" i="3"/>
  <c r="W2216" i="3"/>
  <c r="V1995" i="3"/>
  <c r="W1995" i="3"/>
  <c r="W3059" i="3"/>
  <c r="V3059" i="3"/>
  <c r="V2768" i="3"/>
  <c r="W2768" i="3"/>
  <c r="V1623" i="3"/>
  <c r="W1623" i="3"/>
  <c r="V2361" i="3"/>
  <c r="W2361" i="3"/>
  <c r="W2545" i="3"/>
  <c r="V2545" i="3"/>
  <c r="V1980" i="3"/>
  <c r="W1980" i="3"/>
  <c r="M1980" i="3"/>
  <c r="O1980" i="3"/>
  <c r="I1981" i="3"/>
  <c r="L1980" i="3"/>
  <c r="P1980" i="3"/>
  <c r="N1980" i="3"/>
  <c r="V967" i="3"/>
  <c r="W967" i="3"/>
  <c r="V2302" i="3"/>
  <c r="W2302" i="3"/>
  <c r="V2396" i="3"/>
  <c r="W2396" i="3"/>
  <c r="V3017" i="3"/>
  <c r="W3017" i="3"/>
  <c r="W3275" i="3"/>
  <c r="V3275" i="3"/>
  <c r="W2973" i="3"/>
  <c r="V2973" i="3"/>
  <c r="V2111" i="3"/>
  <c r="W2111" i="3"/>
  <c r="W1726" i="3"/>
  <c r="V1726" i="3"/>
  <c r="V71" i="3"/>
  <c r="W71" i="3"/>
  <c r="V1014" i="3"/>
  <c r="W1014" i="3"/>
  <c r="V818" i="3"/>
  <c r="W818" i="3"/>
  <c r="V173" i="3"/>
  <c r="W173" i="3"/>
  <c r="W2933" i="3"/>
  <c r="V2933" i="3"/>
  <c r="V160" i="3"/>
  <c r="W160" i="3"/>
  <c r="V144" i="3"/>
  <c r="W144" i="3"/>
  <c r="W2589" i="3"/>
  <c r="V2589" i="3"/>
  <c r="V770" i="3"/>
  <c r="W770" i="3"/>
  <c r="V2380" i="3"/>
  <c r="W2380" i="3"/>
  <c r="V2270" i="3"/>
  <c r="W2270" i="3"/>
  <c r="V1868" i="3"/>
  <c r="W1868" i="3"/>
  <c r="V187" i="3"/>
  <c r="W187" i="3"/>
  <c r="V885" i="3"/>
  <c r="W885" i="3"/>
  <c r="V200" i="3"/>
  <c r="W200" i="3"/>
  <c r="V2864" i="3"/>
  <c r="W2864" i="3"/>
  <c r="V898" i="3"/>
  <c r="W898" i="3"/>
  <c r="V1385" i="3"/>
  <c r="W1385" i="3"/>
  <c r="V2696" i="3"/>
  <c r="W2696" i="3"/>
  <c r="V1421" i="3"/>
  <c r="W1421" i="3"/>
  <c r="W1665" i="3"/>
  <c r="V1665" i="3"/>
  <c r="V2920" i="3"/>
  <c r="W2920" i="3"/>
  <c r="V1483" i="3"/>
  <c r="W1483" i="3"/>
  <c r="V3293" i="3"/>
  <c r="W3293" i="3"/>
  <c r="W3199" i="3"/>
  <c r="V3199" i="3"/>
  <c r="V656" i="3"/>
  <c r="W656" i="3"/>
  <c r="W595" i="3"/>
  <c r="V595" i="3"/>
  <c r="V3257" i="3"/>
  <c r="W3257" i="3"/>
  <c r="V2492" i="3"/>
  <c r="W2492" i="3"/>
  <c r="W2642" i="3"/>
  <c r="V2642" i="3"/>
  <c r="V94" i="3"/>
  <c r="W94" i="3"/>
  <c r="V2161" i="3"/>
  <c r="W2161" i="3"/>
  <c r="V1756" i="3"/>
  <c r="W1756" i="3"/>
  <c r="V279" i="3"/>
  <c r="W279" i="3"/>
  <c r="W571" i="3"/>
  <c r="V571" i="3"/>
  <c r="V1771" i="3"/>
  <c r="W1771" i="3"/>
  <c r="V3320" i="3"/>
  <c r="W3320" i="3"/>
  <c r="V2752" i="3"/>
  <c r="W2752" i="3"/>
  <c r="W1315" i="3"/>
  <c r="V1315" i="3"/>
  <c r="V53" i="3"/>
  <c r="W53" i="3"/>
  <c r="V39" i="3"/>
  <c r="W39" i="3"/>
  <c r="V858" i="3"/>
  <c r="W858" i="3"/>
  <c r="V1967" i="3"/>
  <c r="W1967" i="3"/>
  <c r="V1436" i="3"/>
  <c r="W1436" i="3"/>
  <c r="V829" i="3"/>
  <c r="W829" i="3"/>
  <c r="V1337" i="3"/>
  <c r="W1337" i="3"/>
  <c r="V2880" i="3"/>
  <c r="W2880" i="3"/>
  <c r="V643" i="3"/>
  <c r="W643" i="3"/>
  <c r="V1242" i="3"/>
  <c r="W1242" i="3"/>
  <c r="W583" i="3"/>
  <c r="V583" i="3"/>
  <c r="V1085" i="3"/>
  <c r="W1085" i="3"/>
  <c r="V845" i="3"/>
  <c r="W845" i="3"/>
  <c r="V2096" i="3"/>
  <c r="W2096" i="3"/>
  <c r="V874" i="3"/>
  <c r="W874" i="3"/>
  <c r="V3109" i="3"/>
  <c r="W3109" i="3"/>
  <c r="V3045" i="3"/>
  <c r="W3045" i="3"/>
  <c r="W2474" i="3"/>
  <c r="V2474" i="3"/>
  <c r="I2974" i="3"/>
  <c r="O2973" i="3"/>
  <c r="N2973" i="3"/>
  <c r="M2973" i="3"/>
  <c r="L2973" i="3"/>
  <c r="P2973" i="3"/>
  <c r="I174" i="3"/>
  <c r="P173" i="3"/>
  <c r="O173" i="3"/>
  <c r="M173" i="3"/>
  <c r="L173" i="3"/>
  <c r="N173" i="3"/>
  <c r="I3132" i="3"/>
  <c r="O3131" i="3"/>
  <c r="N3131" i="3"/>
  <c r="L3131" i="3"/>
  <c r="M3131" i="3"/>
  <c r="P3131" i="3"/>
  <c r="I2252" i="3"/>
  <c r="P2251" i="3"/>
  <c r="O2251" i="3"/>
  <c r="N2251" i="3"/>
  <c r="M2251" i="3"/>
  <c r="L2251" i="3"/>
  <c r="I682" i="3"/>
  <c r="P681" i="3"/>
  <c r="O681" i="3"/>
  <c r="M681" i="3"/>
  <c r="L681" i="3"/>
  <c r="N681" i="3"/>
  <c r="I2894" i="3"/>
  <c r="O2893" i="3"/>
  <c r="N2893" i="3"/>
  <c r="L2893" i="3"/>
  <c r="P2893" i="3"/>
  <c r="M2893" i="3"/>
  <c r="I2024" i="3"/>
  <c r="N2023" i="3"/>
  <c r="P2023" i="3"/>
  <c r="O2023" i="3"/>
  <c r="L2023" i="3"/>
  <c r="M2023" i="3"/>
  <c r="I3223" i="3"/>
  <c r="P3222" i="3"/>
  <c r="O3222" i="3"/>
  <c r="N3222" i="3"/>
  <c r="M3222" i="3"/>
  <c r="L3222" i="3"/>
  <c r="I1905" i="3"/>
  <c r="P1904" i="3"/>
  <c r="N1904" i="3"/>
  <c r="M1904" i="3"/>
  <c r="O1904" i="3"/>
  <c r="L1904" i="3"/>
  <c r="I2459" i="3"/>
  <c r="P2458" i="3"/>
  <c r="O2458" i="3"/>
  <c r="N2458" i="3"/>
  <c r="M2458" i="3"/>
  <c r="L2458" i="3"/>
  <c r="I2812" i="3"/>
  <c r="P2811" i="3"/>
  <c r="O2811" i="3"/>
  <c r="N2811" i="3"/>
  <c r="L2811" i="3"/>
  <c r="M2811" i="3"/>
  <c r="I2602" i="3"/>
  <c r="O2601" i="3"/>
  <c r="N2601" i="3"/>
  <c r="M2601" i="3"/>
  <c r="L2601" i="3"/>
  <c r="P2601" i="3"/>
  <c r="I2128" i="3"/>
  <c r="L2127" i="3"/>
  <c r="N2127" i="3"/>
  <c r="P2127" i="3"/>
  <c r="O2127" i="3"/>
  <c r="M2127" i="3"/>
  <c r="I2346" i="3"/>
  <c r="N2345" i="3"/>
  <c r="M2345" i="3"/>
  <c r="L2345" i="3"/>
  <c r="P2345" i="3"/>
  <c r="O2345" i="3"/>
  <c r="I1856" i="3"/>
  <c r="M1855" i="3"/>
  <c r="P1855" i="3"/>
  <c r="N1855" i="3"/>
  <c r="L1855" i="3"/>
  <c r="O1855" i="3"/>
  <c r="I982" i="3"/>
  <c r="P981" i="3"/>
  <c r="O981" i="3"/>
  <c r="N981" i="3"/>
  <c r="M981" i="3"/>
  <c r="L981" i="3"/>
  <c r="P806" i="3"/>
  <c r="O806" i="3"/>
  <c r="N806" i="3"/>
  <c r="L806" i="3"/>
  <c r="M806" i="3"/>
  <c r="I3154" i="3"/>
  <c r="P3153" i="3"/>
  <c r="O3153" i="3"/>
  <c r="N3153" i="3"/>
  <c r="M3153" i="3"/>
  <c r="L3153" i="3"/>
  <c r="N2149" i="3"/>
  <c r="M2149" i="3"/>
  <c r="P2149" i="3"/>
  <c r="O2149" i="3"/>
  <c r="L2149" i="3"/>
  <c r="I2150" i="3"/>
  <c r="I3169" i="3"/>
  <c r="O3168" i="3"/>
  <c r="N3168" i="3"/>
  <c r="M3168" i="3"/>
  <c r="L3168" i="3"/>
  <c r="P3168" i="3"/>
  <c r="I1262" i="3"/>
  <c r="P1261" i="3"/>
  <c r="O1261" i="3"/>
  <c r="N1261" i="3"/>
  <c r="M1261" i="3"/>
  <c r="L1261" i="3"/>
  <c r="I2615" i="3"/>
  <c r="N2614" i="3"/>
  <c r="M2614" i="3"/>
  <c r="L2614" i="3"/>
  <c r="P2614" i="3"/>
  <c r="O2614" i="3"/>
  <c r="I2711" i="3"/>
  <c r="P2710" i="3"/>
  <c r="O2710" i="3"/>
  <c r="L2710" i="3"/>
  <c r="M2710" i="3"/>
  <c r="N2710" i="3"/>
  <c r="I3351" i="3"/>
  <c r="L3350" i="3"/>
  <c r="P3350" i="3"/>
  <c r="O3350" i="3"/>
  <c r="N3350" i="3"/>
  <c r="M3350" i="3"/>
  <c r="I911" i="3"/>
  <c r="L910" i="3"/>
  <c r="P910" i="3"/>
  <c r="N910" i="3"/>
  <c r="M910" i="3"/>
  <c r="O910" i="3"/>
  <c r="I2562" i="3"/>
  <c r="O2561" i="3"/>
  <c r="N2561" i="3"/>
  <c r="M2561" i="3"/>
  <c r="L2561" i="3"/>
  <c r="P2561" i="3"/>
  <c r="I1680" i="3"/>
  <c r="M1679" i="3"/>
  <c r="L1679" i="3"/>
  <c r="N1679" i="3"/>
  <c r="P1679" i="3"/>
  <c r="O1679" i="3"/>
  <c r="I1358" i="3"/>
  <c r="P1357" i="3"/>
  <c r="O1357" i="3"/>
  <c r="N1357" i="3"/>
  <c r="M1357" i="3"/>
  <c r="L1357" i="3"/>
  <c r="I1032" i="3"/>
  <c r="O1031" i="3"/>
  <c r="N1031" i="3"/>
  <c r="M1031" i="3"/>
  <c r="L1031" i="3"/>
  <c r="P1031" i="3"/>
  <c r="I1144" i="3"/>
  <c r="P1143" i="3"/>
  <c r="O1143" i="3"/>
  <c r="N1143" i="3"/>
  <c r="M1143" i="3"/>
  <c r="L1143" i="3"/>
  <c r="I3032" i="3"/>
  <c r="M3031" i="3"/>
  <c r="L3031" i="3"/>
  <c r="P3031" i="3"/>
  <c r="O3031" i="3"/>
  <c r="N3031" i="3"/>
  <c r="I108" i="3"/>
  <c r="M107" i="3"/>
  <c r="L107" i="3"/>
  <c r="O107" i="3"/>
  <c r="N107" i="3"/>
  <c r="P107" i="3"/>
  <c r="I2684" i="3"/>
  <c r="P2683" i="3"/>
  <c r="O2683" i="3"/>
  <c r="N2683" i="3"/>
  <c r="L2683" i="3"/>
  <c r="M2683" i="3"/>
  <c r="I2740" i="3"/>
  <c r="P2739" i="3"/>
  <c r="O2739" i="3"/>
  <c r="N2739" i="3"/>
  <c r="M2739" i="3"/>
  <c r="L2739" i="3"/>
  <c r="I1407" i="3"/>
  <c r="P1406" i="3"/>
  <c r="O1406" i="3"/>
  <c r="N1406" i="3"/>
  <c r="M1406" i="3"/>
  <c r="L1406" i="3"/>
  <c r="I2204" i="3"/>
  <c r="P2203" i="3"/>
  <c r="O2203" i="3"/>
  <c r="N2203" i="3"/>
  <c r="M2203" i="3"/>
  <c r="L2203" i="3"/>
  <c r="I1285" i="3"/>
  <c r="O1284" i="3"/>
  <c r="N1284" i="3"/>
  <c r="M1284" i="3"/>
  <c r="L1284" i="3"/>
  <c r="P1284" i="3"/>
  <c r="I1301" i="3"/>
  <c r="O1300" i="3"/>
  <c r="N1300" i="3"/>
  <c r="M1300" i="3"/>
  <c r="L1300" i="3"/>
  <c r="P1300" i="3"/>
  <c r="I2578" i="3"/>
  <c r="O2577" i="3"/>
  <c r="N2577" i="3"/>
  <c r="M2577" i="3"/>
  <c r="L2577" i="3"/>
  <c r="P2577" i="3"/>
  <c r="I13" i="3"/>
  <c r="P12" i="3"/>
  <c r="O12" i="3"/>
  <c r="N12" i="3"/>
  <c r="M12" i="3"/>
  <c r="L12" i="3"/>
  <c r="I2217" i="3"/>
  <c r="O2216" i="3"/>
  <c r="N2216" i="3"/>
  <c r="M2216" i="3"/>
  <c r="L2216" i="3"/>
  <c r="P2216" i="3"/>
  <c r="I1996" i="3"/>
  <c r="P1995" i="3"/>
  <c r="O1995" i="3"/>
  <c r="N1995" i="3"/>
  <c r="L1995" i="3"/>
  <c r="M1995" i="3"/>
  <c r="I3060" i="3"/>
  <c r="O3059" i="3"/>
  <c r="N3059" i="3"/>
  <c r="L3059" i="3"/>
  <c r="M3059" i="3"/>
  <c r="P3059" i="3"/>
  <c r="P2768" i="3"/>
  <c r="O2768" i="3"/>
  <c r="N2768" i="3"/>
  <c r="M2768" i="3"/>
  <c r="L2768" i="3"/>
  <c r="I2769" i="3"/>
  <c r="I1624" i="3"/>
  <c r="M1623" i="3"/>
  <c r="O1623" i="3"/>
  <c r="P1623" i="3"/>
  <c r="L1623" i="3"/>
  <c r="N1623" i="3"/>
  <c r="I2362" i="3"/>
  <c r="N2361" i="3"/>
  <c r="M2361" i="3"/>
  <c r="L2361" i="3"/>
  <c r="P2361" i="3"/>
  <c r="O2361" i="3"/>
  <c r="I2546" i="3"/>
  <c r="O2545" i="3"/>
  <c r="N2545" i="3"/>
  <c r="M2545" i="3"/>
  <c r="L2545" i="3"/>
  <c r="P2545" i="3"/>
  <c r="I3276" i="3"/>
  <c r="P3275" i="3"/>
  <c r="O3275" i="3"/>
  <c r="N3275" i="3"/>
  <c r="M3275" i="3"/>
  <c r="L3275" i="3"/>
  <c r="P71" i="3"/>
  <c r="O71" i="3"/>
  <c r="N71" i="3"/>
  <c r="M71" i="3"/>
  <c r="L71" i="3"/>
  <c r="I2271" i="3"/>
  <c r="M2270" i="3"/>
  <c r="L2270" i="3"/>
  <c r="O2270" i="3"/>
  <c r="P2270" i="3"/>
  <c r="N2270" i="3"/>
  <c r="I1869" i="3"/>
  <c r="L1868" i="3"/>
  <c r="P1868" i="3"/>
  <c r="O1868" i="3"/>
  <c r="M1868" i="3"/>
  <c r="N1868" i="3"/>
  <c r="I188" i="3"/>
  <c r="M187" i="3"/>
  <c r="L187" i="3"/>
  <c r="O187" i="3"/>
  <c r="N187" i="3"/>
  <c r="P187" i="3"/>
  <c r="I886" i="3"/>
  <c r="P885" i="3"/>
  <c r="O885" i="3"/>
  <c r="N885" i="3"/>
  <c r="M885" i="3"/>
  <c r="L885" i="3"/>
  <c r="L200" i="3"/>
  <c r="P200" i="3"/>
  <c r="N200" i="3"/>
  <c r="M200" i="3"/>
  <c r="O200" i="3"/>
  <c r="I2865" i="3"/>
  <c r="P2864" i="3"/>
  <c r="O2864" i="3"/>
  <c r="M2864" i="3"/>
  <c r="N2864" i="3"/>
  <c r="L2864" i="3"/>
  <c r="I899" i="3"/>
  <c r="P898" i="3"/>
  <c r="O898" i="3"/>
  <c r="N898" i="3"/>
  <c r="M898" i="3"/>
  <c r="L898" i="3"/>
  <c r="I1386" i="3"/>
  <c r="L1385" i="3"/>
  <c r="P1385" i="3"/>
  <c r="O1385" i="3"/>
  <c r="N1385" i="3"/>
  <c r="M1385" i="3"/>
  <c r="I2697" i="3"/>
  <c r="P2696" i="3"/>
  <c r="O2696" i="3"/>
  <c r="N2696" i="3"/>
  <c r="M2696" i="3"/>
  <c r="L2696" i="3"/>
  <c r="I1422" i="3"/>
  <c r="P1421" i="3"/>
  <c r="O1421" i="3"/>
  <c r="N1421" i="3"/>
  <c r="L1421" i="3"/>
  <c r="M1421" i="3"/>
  <c r="I1666" i="3"/>
  <c r="O1665" i="3"/>
  <c r="P1665" i="3"/>
  <c r="N1665" i="3"/>
  <c r="M1665" i="3"/>
  <c r="L1665" i="3"/>
  <c r="I2921" i="3"/>
  <c r="P2920" i="3"/>
  <c r="O2920" i="3"/>
  <c r="N2920" i="3"/>
  <c r="M2920" i="3"/>
  <c r="L2920" i="3"/>
  <c r="I1484" i="3"/>
  <c r="M1483" i="3"/>
  <c r="L1483" i="3"/>
  <c r="O1483" i="3"/>
  <c r="N1483" i="3"/>
  <c r="P1483" i="3"/>
  <c r="P3293" i="3"/>
  <c r="O3293" i="3"/>
  <c r="N3293" i="3"/>
  <c r="M3293" i="3"/>
  <c r="L3293" i="3"/>
  <c r="I3200" i="3"/>
  <c r="L3199" i="3"/>
  <c r="P3199" i="3"/>
  <c r="M3199" i="3"/>
  <c r="O3199" i="3"/>
  <c r="N3199" i="3"/>
  <c r="I657" i="3"/>
  <c r="P656" i="3"/>
  <c r="O656" i="3"/>
  <c r="N656" i="3"/>
  <c r="M656" i="3"/>
  <c r="L656" i="3"/>
  <c r="I596" i="3"/>
  <c r="P595" i="3"/>
  <c r="O595" i="3"/>
  <c r="N595" i="3"/>
  <c r="M595" i="3"/>
  <c r="L595" i="3"/>
  <c r="I3258" i="3"/>
  <c r="M3257" i="3"/>
  <c r="L3257" i="3"/>
  <c r="P3257" i="3"/>
  <c r="O3257" i="3"/>
  <c r="N3257" i="3"/>
  <c r="I2493" i="3"/>
  <c r="P2492" i="3"/>
  <c r="O2492" i="3"/>
  <c r="N2492" i="3"/>
  <c r="M2492" i="3"/>
  <c r="L2492" i="3"/>
  <c r="I2643" i="3"/>
  <c r="M2642" i="3"/>
  <c r="L2642" i="3"/>
  <c r="O2642" i="3"/>
  <c r="P2642" i="3"/>
  <c r="N2642" i="3"/>
  <c r="I95" i="3"/>
  <c r="N94" i="3"/>
  <c r="M94" i="3"/>
  <c r="L94" i="3"/>
  <c r="P94" i="3"/>
  <c r="O94" i="3"/>
  <c r="O2161" i="3"/>
  <c r="L2161" i="3"/>
  <c r="M2161" i="3"/>
  <c r="P2161" i="3"/>
  <c r="N2161" i="3"/>
  <c r="I2162" i="3"/>
  <c r="I1757" i="3"/>
  <c r="L1756" i="3"/>
  <c r="O1756" i="3"/>
  <c r="P1756" i="3"/>
  <c r="M1756" i="3"/>
  <c r="N1756" i="3"/>
  <c r="I280" i="3"/>
  <c r="P279" i="3"/>
  <c r="O279" i="3"/>
  <c r="N279" i="3"/>
  <c r="M279" i="3"/>
  <c r="L279" i="3"/>
  <c r="I572" i="3"/>
  <c r="P571" i="3"/>
  <c r="O571" i="3"/>
  <c r="N571" i="3"/>
  <c r="M571" i="3"/>
  <c r="L571" i="3"/>
  <c r="O1771" i="3"/>
  <c r="P1771" i="3"/>
  <c r="M1771" i="3"/>
  <c r="N1771" i="3"/>
  <c r="L1771" i="3"/>
  <c r="I1772" i="3"/>
  <c r="I3321" i="3"/>
  <c r="P3320" i="3"/>
  <c r="O3320" i="3"/>
  <c r="N3320" i="3"/>
  <c r="M3320" i="3"/>
  <c r="L3320" i="3"/>
  <c r="I2753" i="3"/>
  <c r="P2752" i="3"/>
  <c r="O2752" i="3"/>
  <c r="N2752" i="3"/>
  <c r="M2752" i="3"/>
  <c r="L2752" i="3"/>
  <c r="I1316" i="3"/>
  <c r="L1315" i="3"/>
  <c r="P1315" i="3"/>
  <c r="O1315" i="3"/>
  <c r="N1315" i="3"/>
  <c r="M1315" i="3"/>
  <c r="I54" i="3"/>
  <c r="P53" i="3"/>
  <c r="O53" i="3"/>
  <c r="M53" i="3"/>
  <c r="L53" i="3"/>
  <c r="N53" i="3"/>
  <c r="I40" i="3"/>
  <c r="P39" i="3"/>
  <c r="O39" i="3"/>
  <c r="N39" i="3"/>
  <c r="M39" i="3"/>
  <c r="L39" i="3"/>
  <c r="I2112" i="3"/>
  <c r="L2111" i="3"/>
  <c r="N2111" i="3"/>
  <c r="P2111" i="3"/>
  <c r="O2111" i="3"/>
  <c r="M2111" i="3"/>
  <c r="I830" i="3"/>
  <c r="P829" i="3"/>
  <c r="O829" i="3"/>
  <c r="N829" i="3"/>
  <c r="M829" i="3"/>
  <c r="L829" i="3"/>
  <c r="I1338" i="3"/>
  <c r="N1337" i="3"/>
  <c r="M1337" i="3"/>
  <c r="L1337" i="3"/>
  <c r="P1337" i="3"/>
  <c r="O1337" i="3"/>
  <c r="I2881" i="3"/>
  <c r="P2880" i="3"/>
  <c r="O2880" i="3"/>
  <c r="M2880" i="3"/>
  <c r="N2880" i="3"/>
  <c r="L2880" i="3"/>
  <c r="I644" i="3"/>
  <c r="P643" i="3"/>
  <c r="O643" i="3"/>
  <c r="N643" i="3"/>
  <c r="M643" i="3"/>
  <c r="L643" i="3"/>
  <c r="I1243" i="3"/>
  <c r="P1242" i="3"/>
  <c r="O1242" i="3"/>
  <c r="N1242" i="3"/>
  <c r="M1242" i="3"/>
  <c r="L1242" i="3"/>
  <c r="I584" i="3"/>
  <c r="M583" i="3"/>
  <c r="L583" i="3"/>
  <c r="O583" i="3"/>
  <c r="N583" i="3"/>
  <c r="P583" i="3"/>
  <c r="P1085" i="3"/>
  <c r="L1085" i="3"/>
  <c r="O1085" i="3"/>
  <c r="M1085" i="3"/>
  <c r="N1085" i="3"/>
  <c r="I846" i="3"/>
  <c r="P845" i="3"/>
  <c r="O845" i="3"/>
  <c r="N845" i="3"/>
  <c r="M845" i="3"/>
  <c r="L845" i="3"/>
  <c r="I2097" i="3"/>
  <c r="O2096" i="3"/>
  <c r="N2096" i="3"/>
  <c r="L2096" i="3"/>
  <c r="M2096" i="3"/>
  <c r="P2096" i="3"/>
  <c r="P874" i="3"/>
  <c r="O874" i="3"/>
  <c r="N874" i="3"/>
  <c r="M874" i="3"/>
  <c r="L874" i="3"/>
  <c r="I3110" i="3"/>
  <c r="M3109" i="3"/>
  <c r="L3109" i="3"/>
  <c r="P3109" i="3"/>
  <c r="O3109" i="3"/>
  <c r="N3109" i="3"/>
  <c r="I3046" i="3"/>
  <c r="O3045" i="3"/>
  <c r="N3045" i="3"/>
  <c r="M3045" i="3"/>
  <c r="P3045" i="3"/>
  <c r="L3045" i="3"/>
  <c r="I2475" i="3"/>
  <c r="P2474" i="3"/>
  <c r="O2474" i="3"/>
  <c r="N2474" i="3"/>
  <c r="M2474" i="3"/>
  <c r="L2474" i="3"/>
  <c r="I1437" i="3"/>
  <c r="O1436" i="3"/>
  <c r="P1436" i="3"/>
  <c r="N1436" i="3"/>
  <c r="M1436" i="3"/>
  <c r="L1436" i="3"/>
  <c r="I2797" i="3"/>
  <c r="M2796" i="3"/>
  <c r="L2796" i="3"/>
  <c r="P2796" i="3"/>
  <c r="O2796" i="3"/>
  <c r="N2796" i="3"/>
  <c r="I3006" i="3"/>
  <c r="O3005" i="3"/>
  <c r="N3005" i="3"/>
  <c r="P3005" i="3"/>
  <c r="M3005" i="3"/>
  <c r="L3005" i="3"/>
  <c r="I2629" i="3"/>
  <c r="P2628" i="3"/>
  <c r="O2628" i="3"/>
  <c r="N2628" i="3"/>
  <c r="M2628" i="3"/>
  <c r="L2628" i="3"/>
  <c r="I859" i="3"/>
  <c r="P858" i="3"/>
  <c r="O858" i="3"/>
  <c r="N858" i="3"/>
  <c r="M858" i="3"/>
  <c r="L858" i="3"/>
  <c r="I695" i="3"/>
  <c r="P694" i="3"/>
  <c r="O694" i="3"/>
  <c r="N694" i="3"/>
  <c r="L694" i="3"/>
  <c r="M694" i="3"/>
  <c r="I726" i="3"/>
  <c r="O725" i="3"/>
  <c r="N725" i="3"/>
  <c r="M725" i="3"/>
  <c r="L725" i="3"/>
  <c r="P725" i="3"/>
  <c r="I968" i="3"/>
  <c r="O967" i="3"/>
  <c r="N967" i="3"/>
  <c r="M967" i="3"/>
  <c r="L967" i="3"/>
  <c r="P967" i="3"/>
  <c r="I2442" i="3"/>
  <c r="O2441" i="3"/>
  <c r="N2441" i="3"/>
  <c r="L2441" i="3"/>
  <c r="M2441" i="3"/>
  <c r="P2441" i="3"/>
  <c r="I2783" i="3"/>
  <c r="P2782" i="3"/>
  <c r="O2782" i="3"/>
  <c r="M2782" i="3"/>
  <c r="N2782" i="3"/>
  <c r="L2782" i="3"/>
  <c r="I420" i="3"/>
  <c r="P419" i="3"/>
  <c r="O419" i="3"/>
  <c r="N419" i="3"/>
  <c r="M419" i="3"/>
  <c r="L419" i="3"/>
  <c r="I2303" i="3"/>
  <c r="M2302" i="3"/>
  <c r="L2302" i="3"/>
  <c r="O2302" i="3"/>
  <c r="N2302" i="3"/>
  <c r="P2302" i="3"/>
  <c r="I2397" i="3"/>
  <c r="O2396" i="3"/>
  <c r="N2396" i="3"/>
  <c r="M2396" i="3"/>
  <c r="L2396" i="3"/>
  <c r="P2396" i="3"/>
  <c r="I145" i="3"/>
  <c r="L144" i="3"/>
  <c r="P144" i="3"/>
  <c r="N144" i="3"/>
  <c r="M144" i="3"/>
  <c r="O144" i="3"/>
  <c r="I1453" i="3"/>
  <c r="O1452" i="3"/>
  <c r="P1452" i="3"/>
  <c r="N1452" i="3"/>
  <c r="L1452" i="3"/>
  <c r="M1452" i="3"/>
  <c r="I1968" i="3"/>
  <c r="M1967" i="3"/>
  <c r="L1967" i="3"/>
  <c r="O1967" i="3"/>
  <c r="N1967" i="3"/>
  <c r="P1967" i="3"/>
  <c r="P1638" i="3"/>
  <c r="O1638" i="3"/>
  <c r="M1638" i="3"/>
  <c r="L1638" i="3"/>
  <c r="N1638" i="3"/>
  <c r="I2413" i="3"/>
  <c r="O2412" i="3"/>
  <c r="N2412" i="3"/>
  <c r="M2412" i="3"/>
  <c r="L2412" i="3"/>
  <c r="P2412" i="3"/>
  <c r="P560" i="3"/>
  <c r="O560" i="3"/>
  <c r="N560" i="3"/>
  <c r="M560" i="3"/>
  <c r="L560" i="3"/>
  <c r="I2522" i="3"/>
  <c r="O2521" i="3"/>
  <c r="N2521" i="3"/>
  <c r="M2521" i="3"/>
  <c r="L2521" i="3"/>
  <c r="P2521" i="3"/>
  <c r="M335" i="3"/>
  <c r="L335" i="3"/>
  <c r="O335" i="3"/>
  <c r="P335" i="3"/>
  <c r="N335" i="3"/>
  <c r="I1843" i="3"/>
  <c r="N1842" i="3"/>
  <c r="L1842" i="3"/>
  <c r="O1842" i="3"/>
  <c r="M1842" i="3"/>
  <c r="P1842" i="3"/>
  <c r="I1189" i="3"/>
  <c r="N1188" i="3"/>
  <c r="M1188" i="3"/>
  <c r="L1188" i="3"/>
  <c r="O1188" i="3"/>
  <c r="P1188" i="3"/>
  <c r="I925" i="3"/>
  <c r="N924" i="3"/>
  <c r="M924" i="3"/>
  <c r="L924" i="3"/>
  <c r="P924" i="3"/>
  <c r="O924" i="3"/>
  <c r="I2590" i="3"/>
  <c r="P2589" i="3"/>
  <c r="O2589" i="3"/>
  <c r="N2589" i="3"/>
  <c r="M2589" i="3"/>
  <c r="L2589" i="3"/>
  <c r="I998" i="3"/>
  <c r="P997" i="3"/>
  <c r="O997" i="3"/>
  <c r="N997" i="3"/>
  <c r="M997" i="3"/>
  <c r="L997" i="3"/>
  <c r="I771" i="3"/>
  <c r="N770" i="3"/>
  <c r="M770" i="3"/>
  <c r="L770" i="3"/>
  <c r="P770" i="3"/>
  <c r="O770" i="3"/>
  <c r="I2381" i="3"/>
  <c r="O2380" i="3"/>
  <c r="N2380" i="3"/>
  <c r="M2380" i="3"/>
  <c r="L2380" i="3"/>
  <c r="P2380" i="3"/>
  <c r="I1727" i="3"/>
  <c r="O1726" i="3"/>
  <c r="N1726" i="3"/>
  <c r="L1726" i="3"/>
  <c r="P1726" i="3"/>
  <c r="M1726" i="3"/>
  <c r="N818" i="3"/>
  <c r="M818" i="3"/>
  <c r="L818" i="3"/>
  <c r="P818" i="3"/>
  <c r="O818" i="3"/>
  <c r="I2934" i="3"/>
  <c r="O2933" i="3"/>
  <c r="N2933" i="3"/>
  <c r="M2933" i="3"/>
  <c r="L2933" i="3"/>
  <c r="P2933" i="3"/>
  <c r="I161" i="3"/>
  <c r="L160" i="3"/>
  <c r="P160" i="3"/>
  <c r="N160" i="3"/>
  <c r="M160" i="3"/>
  <c r="O160" i="3"/>
  <c r="I3018" i="3"/>
  <c r="O3017" i="3"/>
  <c r="P3017" i="3"/>
  <c r="N3017" i="3"/>
  <c r="M3017" i="3"/>
  <c r="L3017" i="3"/>
  <c r="I2534" i="3"/>
  <c r="P2533" i="3"/>
  <c r="O2533" i="3"/>
  <c r="L2533" i="3"/>
  <c r="M2533" i="3"/>
  <c r="N2533" i="3"/>
  <c r="I312" i="3"/>
  <c r="P311" i="3"/>
  <c r="O311" i="3"/>
  <c r="N311" i="3"/>
  <c r="M311" i="3"/>
  <c r="L311" i="3"/>
  <c r="I3336" i="3"/>
  <c r="O3335" i="3"/>
  <c r="N3335" i="3"/>
  <c r="M3335" i="3"/>
  <c r="L3335" i="3"/>
  <c r="P3335" i="3"/>
  <c r="I2234" i="3"/>
  <c r="P2233" i="3"/>
  <c r="O2233" i="3"/>
  <c r="L2233" i="3"/>
  <c r="M2233" i="3"/>
  <c r="N2233" i="3"/>
  <c r="I3074" i="3"/>
  <c r="P3073" i="3"/>
  <c r="N3073" i="3"/>
  <c r="M3073" i="3"/>
  <c r="O3073" i="3"/>
  <c r="L3073" i="3"/>
  <c r="I1742" i="3"/>
  <c r="O1741" i="3"/>
  <c r="M1741" i="3"/>
  <c r="L1741" i="3"/>
  <c r="P1741" i="3"/>
  <c r="N1741" i="3"/>
  <c r="I1891" i="3"/>
  <c r="N1890" i="3"/>
  <c r="L1890" i="3"/>
  <c r="P1890" i="3"/>
  <c r="M1890" i="3"/>
  <c r="O1890" i="3"/>
  <c r="I296" i="3"/>
  <c r="P295" i="3"/>
  <c r="O295" i="3"/>
  <c r="N295" i="3"/>
  <c r="M295" i="3"/>
  <c r="L295" i="3"/>
  <c r="I3185" i="3"/>
  <c r="O3184" i="3"/>
  <c r="N3184" i="3"/>
  <c r="M3184" i="3"/>
  <c r="L3184" i="3"/>
  <c r="P3184" i="3"/>
  <c r="I1110" i="3"/>
  <c r="P1109" i="3"/>
  <c r="O1109" i="3"/>
  <c r="N1109" i="3"/>
  <c r="L1109" i="3"/>
  <c r="M1109" i="3"/>
  <c r="I1015" i="3"/>
  <c r="L1014" i="3"/>
  <c r="P1014" i="3"/>
  <c r="N1014" i="3"/>
  <c r="M1014" i="3"/>
  <c r="O1014" i="3"/>
  <c r="I1651" i="3"/>
  <c r="N1650" i="3"/>
  <c r="L1650" i="3"/>
  <c r="P1650" i="3"/>
  <c r="O1650" i="3"/>
  <c r="M1650" i="3"/>
  <c r="I1954" i="3"/>
  <c r="P1953" i="3"/>
  <c r="N1953" i="3"/>
  <c r="M1953" i="3"/>
  <c r="L1953" i="3"/>
  <c r="O1953" i="3"/>
  <c r="I1469" i="3"/>
  <c r="O1468" i="3"/>
  <c r="L1468" i="3"/>
  <c r="N1468" i="3"/>
  <c r="P1468" i="3"/>
  <c r="M1468" i="3"/>
  <c r="I1500" i="3"/>
  <c r="M1499" i="3"/>
  <c r="L1499" i="3"/>
  <c r="P1499" i="3"/>
  <c r="O1499" i="3"/>
  <c r="N1499" i="3"/>
  <c r="I2287" i="3"/>
  <c r="M2286" i="3"/>
  <c r="L2286" i="3"/>
  <c r="O2286" i="3"/>
  <c r="P2286" i="3"/>
  <c r="N2286" i="3"/>
  <c r="I2426" i="3"/>
  <c r="O2425" i="3"/>
  <c r="N2425" i="3"/>
  <c r="L2425" i="3"/>
  <c r="M2425" i="3"/>
  <c r="P2425" i="3"/>
  <c r="I710" i="3"/>
  <c r="O709" i="3"/>
  <c r="N709" i="3"/>
  <c r="M709" i="3"/>
  <c r="L709" i="3"/>
  <c r="P709" i="3"/>
  <c r="I3240" i="3"/>
  <c r="L3239" i="3"/>
  <c r="P3239" i="3"/>
  <c r="O3239" i="3"/>
  <c r="N3239" i="3"/>
  <c r="M3239" i="3"/>
  <c r="I2726" i="3"/>
  <c r="P2725" i="3"/>
  <c r="O2725" i="3"/>
  <c r="N2725" i="3"/>
  <c r="M2725" i="3"/>
  <c r="L2725" i="3"/>
  <c r="I2327" i="3"/>
  <c r="M2326" i="3"/>
  <c r="L2326" i="3"/>
  <c r="O2326" i="3"/>
  <c r="P2326" i="3"/>
  <c r="N2326" i="3"/>
  <c r="I121" i="3"/>
  <c r="L120" i="3"/>
  <c r="P120" i="3"/>
  <c r="N120" i="3"/>
  <c r="M120" i="3"/>
  <c r="O120" i="3"/>
  <c r="I1372" i="3"/>
  <c r="L1371" i="3"/>
  <c r="P1371" i="3"/>
  <c r="O1371" i="3"/>
  <c r="N1371" i="3"/>
  <c r="M1371" i="3"/>
  <c r="I1609" i="3"/>
  <c r="P1608" i="3"/>
  <c r="L1608" i="3"/>
  <c r="O1608" i="3"/>
  <c r="N1608" i="3"/>
  <c r="M1608" i="3"/>
  <c r="I3088" i="3"/>
  <c r="P3087" i="3"/>
  <c r="O3087" i="3"/>
  <c r="N3087" i="3"/>
  <c r="M3087" i="3"/>
  <c r="L3087" i="3"/>
  <c r="O1797" i="3"/>
  <c r="M1797" i="3"/>
  <c r="L1797" i="3"/>
  <c r="P1797" i="3"/>
  <c r="N1797" i="3"/>
  <c r="I2990" i="3"/>
  <c r="O2989" i="3"/>
  <c r="N2989" i="3"/>
  <c r="P2989" i="3"/>
  <c r="M2989" i="3"/>
  <c r="L2989" i="3"/>
  <c r="P1588" i="3"/>
  <c r="O1588" i="3"/>
  <c r="M1588" i="3"/>
  <c r="L1588" i="3"/>
  <c r="N1588" i="3"/>
  <c r="I1072" i="3"/>
  <c r="O1071" i="3"/>
  <c r="N1071" i="3"/>
  <c r="M1071" i="3"/>
  <c r="L1071" i="3"/>
  <c r="P1071" i="3"/>
  <c r="I1215" i="3"/>
  <c r="L1214" i="3"/>
  <c r="P1214" i="3"/>
  <c r="O1214" i="3"/>
  <c r="M1214" i="3"/>
  <c r="N1214" i="3"/>
  <c r="I3305" i="3"/>
  <c r="P3304" i="3"/>
  <c r="O3304" i="3"/>
  <c r="N3304" i="3"/>
  <c r="M3304" i="3"/>
  <c r="L3304" i="3"/>
  <c r="M83" i="3"/>
  <c r="L83" i="3"/>
  <c r="O83" i="3"/>
  <c r="N83" i="3"/>
  <c r="P83" i="3"/>
  <c r="P670" i="3"/>
  <c r="O670" i="3"/>
  <c r="N670" i="3"/>
  <c r="L670" i="3"/>
  <c r="M670" i="3"/>
  <c r="I2048" i="3"/>
  <c r="N2047" i="3"/>
  <c r="P2047" i="3"/>
  <c r="O2047" i="3"/>
  <c r="L2047" i="3"/>
  <c r="M2047" i="3"/>
  <c r="I359" i="3"/>
  <c r="P358" i="3"/>
  <c r="O358" i="3"/>
  <c r="N358" i="3"/>
  <c r="L358" i="3"/>
  <c r="M358" i="3"/>
  <c r="I2009" i="3"/>
  <c r="P2008" i="3"/>
  <c r="O2008" i="3"/>
  <c r="N2008" i="3"/>
  <c r="M2008" i="3"/>
  <c r="L2008" i="3"/>
  <c r="I2908" i="3"/>
  <c r="P2907" i="3"/>
  <c r="N2907" i="3"/>
  <c r="L2907" i="3"/>
  <c r="O2907" i="3"/>
  <c r="M2907" i="3"/>
  <c r="I2081" i="3"/>
  <c r="N2080" i="3"/>
  <c r="M2080" i="3"/>
  <c r="O2080" i="3"/>
  <c r="L2080" i="3"/>
  <c r="P2080" i="3"/>
  <c r="N794" i="3"/>
  <c r="M794" i="3"/>
  <c r="L794" i="3"/>
  <c r="P794" i="3"/>
  <c r="O794" i="3"/>
  <c r="I2958" i="3"/>
  <c r="O2957" i="3"/>
  <c r="N2957" i="3"/>
  <c r="M2957" i="3"/>
  <c r="L2957" i="3"/>
  <c r="P2957" i="3"/>
  <c r="I27" i="3"/>
  <c r="P26" i="3"/>
  <c r="O26" i="3"/>
  <c r="N26" i="3"/>
  <c r="L26" i="3"/>
  <c r="M26" i="3"/>
  <c r="I2669" i="3"/>
  <c r="P2668" i="3"/>
  <c r="M2668" i="3"/>
  <c r="O2668" i="3"/>
  <c r="N2668" i="3"/>
  <c r="L2668" i="3"/>
  <c r="I1201" i="3"/>
  <c r="P1200" i="3"/>
  <c r="O1200" i="3"/>
  <c r="N1200" i="3"/>
  <c r="M1200" i="3"/>
  <c r="L1200" i="3"/>
  <c r="V3200" i="3" l="1"/>
  <c r="W3200" i="3"/>
  <c r="V1856" i="3"/>
  <c r="W1856" i="3"/>
  <c r="V2812" i="3"/>
  <c r="W2812" i="3"/>
  <c r="V1189" i="3"/>
  <c r="W1189" i="3"/>
  <c r="V2908" i="3"/>
  <c r="W2908" i="3"/>
  <c r="W1609" i="3"/>
  <c r="V1609" i="3"/>
  <c r="W2534" i="3"/>
  <c r="V2534" i="3"/>
  <c r="V2162" i="3"/>
  <c r="W2162" i="3"/>
  <c r="W2921" i="3"/>
  <c r="V2921" i="3"/>
  <c r="V1386" i="3"/>
  <c r="W1386" i="3"/>
  <c r="V1996" i="3"/>
  <c r="W1996" i="3"/>
  <c r="V3032" i="3"/>
  <c r="W3032" i="3"/>
  <c r="V2081" i="3"/>
  <c r="W2081" i="3"/>
  <c r="V2048" i="3"/>
  <c r="W2048" i="3"/>
  <c r="V3305" i="3"/>
  <c r="W3305" i="3"/>
  <c r="V3088" i="3"/>
  <c r="W3088" i="3"/>
  <c r="V2327" i="3"/>
  <c r="W2327" i="3"/>
  <c r="W2426" i="3"/>
  <c r="V2426" i="3"/>
  <c r="W1954" i="3"/>
  <c r="V1954" i="3"/>
  <c r="V1110" i="3"/>
  <c r="W1110" i="3"/>
  <c r="W1742" i="3"/>
  <c r="V1742" i="3"/>
  <c r="V312" i="3"/>
  <c r="W312" i="3"/>
  <c r="W2934" i="3"/>
  <c r="V2934" i="3"/>
  <c r="W2522" i="3"/>
  <c r="V2522" i="3"/>
  <c r="V145" i="3"/>
  <c r="W145" i="3"/>
  <c r="V2783" i="3"/>
  <c r="W2783" i="3"/>
  <c r="V695" i="3"/>
  <c r="W695" i="3"/>
  <c r="W2797" i="3"/>
  <c r="V2797" i="3"/>
  <c r="V3110" i="3"/>
  <c r="W3110" i="3"/>
  <c r="V644" i="3"/>
  <c r="W644" i="3"/>
  <c r="V2112" i="3"/>
  <c r="W2112" i="3"/>
  <c r="W2753" i="3"/>
  <c r="V2753" i="3"/>
  <c r="V280" i="3"/>
  <c r="W280" i="3"/>
  <c r="V2643" i="3"/>
  <c r="W2643" i="3"/>
  <c r="V657" i="3"/>
  <c r="W657" i="3"/>
  <c r="V2271" i="3"/>
  <c r="W2271" i="3"/>
  <c r="V982" i="3"/>
  <c r="W982" i="3"/>
  <c r="W2602" i="3"/>
  <c r="V2602" i="3"/>
  <c r="W3223" i="3"/>
  <c r="V3223" i="3"/>
  <c r="V2252" i="3"/>
  <c r="W2252" i="3"/>
  <c r="W1981" i="3"/>
  <c r="V1981" i="3"/>
  <c r="I1982" i="3"/>
  <c r="O1981" i="3"/>
  <c r="N1981" i="3"/>
  <c r="M1981" i="3"/>
  <c r="L1981" i="3"/>
  <c r="P1981" i="3"/>
  <c r="V1919" i="3"/>
  <c r="W1919" i="3"/>
  <c r="N1919" i="3"/>
  <c r="L1919" i="3"/>
  <c r="I1920" i="3"/>
  <c r="M1919" i="3"/>
  <c r="P1919" i="3"/>
  <c r="O1919" i="3"/>
  <c r="V2287" i="3"/>
  <c r="W2287" i="3"/>
  <c r="V3074" i="3"/>
  <c r="W3074" i="3"/>
  <c r="V886" i="3"/>
  <c r="W886" i="3"/>
  <c r="W2669" i="3"/>
  <c r="V2669" i="3"/>
  <c r="W2381" i="3"/>
  <c r="V2381" i="3"/>
  <c r="V925" i="3"/>
  <c r="W925" i="3"/>
  <c r="V846" i="3"/>
  <c r="W846" i="3"/>
  <c r="V1484" i="3"/>
  <c r="W1484" i="3"/>
  <c r="W2697" i="3"/>
  <c r="V2697" i="3"/>
  <c r="W2546" i="3"/>
  <c r="V2546" i="3"/>
  <c r="V3060" i="3"/>
  <c r="W3060" i="3"/>
  <c r="W13" i="3"/>
  <c r="V13" i="3"/>
  <c r="V2204" i="3"/>
  <c r="W2204" i="3"/>
  <c r="V108" i="3"/>
  <c r="W108" i="3"/>
  <c r="V1358" i="3"/>
  <c r="W1358" i="3"/>
  <c r="W3351" i="3"/>
  <c r="V3351" i="3"/>
  <c r="V3169" i="3"/>
  <c r="W3169" i="3"/>
  <c r="W2726" i="3"/>
  <c r="V2726" i="3"/>
  <c r="W2442" i="3"/>
  <c r="V2442" i="3"/>
  <c r="V859" i="3"/>
  <c r="W859" i="3"/>
  <c r="V771" i="3"/>
  <c r="W771" i="3"/>
  <c r="W1407" i="3"/>
  <c r="V1407" i="3"/>
  <c r="V1680" i="3"/>
  <c r="W1680" i="3"/>
  <c r="V2711" i="3"/>
  <c r="W2711" i="3"/>
  <c r="V359" i="3"/>
  <c r="W359" i="3"/>
  <c r="V121" i="3"/>
  <c r="W121" i="3"/>
  <c r="V710" i="3"/>
  <c r="W710" i="3"/>
  <c r="W1469" i="3"/>
  <c r="V1469" i="3"/>
  <c r="V1015" i="3"/>
  <c r="W1015" i="3"/>
  <c r="V1891" i="3"/>
  <c r="W1891" i="3"/>
  <c r="V3336" i="3"/>
  <c r="W3336" i="3"/>
  <c r="V161" i="3"/>
  <c r="W161" i="3"/>
  <c r="V1453" i="3"/>
  <c r="W1453" i="3"/>
  <c r="V420" i="3"/>
  <c r="W420" i="3"/>
  <c r="V726" i="3"/>
  <c r="W726" i="3"/>
  <c r="V3006" i="3"/>
  <c r="W3006" i="3"/>
  <c r="V3046" i="3"/>
  <c r="W3046" i="3"/>
  <c r="W1243" i="3"/>
  <c r="V1243" i="3"/>
  <c r="V830" i="3"/>
  <c r="W830" i="3"/>
  <c r="V1316" i="3"/>
  <c r="W1316" i="3"/>
  <c r="V572" i="3"/>
  <c r="W572" i="3"/>
  <c r="V95" i="3"/>
  <c r="W95" i="3"/>
  <c r="V596" i="3"/>
  <c r="W596" i="3"/>
  <c r="W1869" i="3"/>
  <c r="V1869" i="3"/>
  <c r="V2150" i="3"/>
  <c r="W2150" i="3"/>
  <c r="V2128" i="3"/>
  <c r="W2128" i="3"/>
  <c r="W1905" i="3"/>
  <c r="V1905" i="3"/>
  <c r="V682" i="3"/>
  <c r="W682" i="3"/>
  <c r="W2974" i="3"/>
  <c r="V2974" i="3"/>
  <c r="V1968" i="3"/>
  <c r="W1968" i="3"/>
  <c r="W2397" i="3"/>
  <c r="V2397" i="3"/>
  <c r="V1437" i="3"/>
  <c r="W1437" i="3"/>
  <c r="W2881" i="3"/>
  <c r="V2881" i="3"/>
  <c r="V40" i="3"/>
  <c r="W40" i="3"/>
  <c r="V27" i="3"/>
  <c r="W27" i="3"/>
  <c r="V1772" i="3"/>
  <c r="W1772" i="3"/>
  <c r="W2578" i="3"/>
  <c r="V2578" i="3"/>
  <c r="V1201" i="3"/>
  <c r="W1201" i="3"/>
  <c r="V1727" i="3"/>
  <c r="W1727" i="3"/>
  <c r="W2590" i="3"/>
  <c r="V2590" i="3"/>
  <c r="W2413" i="3"/>
  <c r="V2413" i="3"/>
  <c r="V2097" i="3"/>
  <c r="W2097" i="3"/>
  <c r="V1422" i="3"/>
  <c r="W1422" i="3"/>
  <c r="W2865" i="3"/>
  <c r="V2865" i="3"/>
  <c r="V3276" i="3"/>
  <c r="W3276" i="3"/>
  <c r="V1285" i="3"/>
  <c r="W1285" i="3"/>
  <c r="V2684" i="3"/>
  <c r="W2684" i="3"/>
  <c r="V1032" i="3"/>
  <c r="W1032" i="3"/>
  <c r="V911" i="3"/>
  <c r="W911" i="3"/>
  <c r="V1262" i="3"/>
  <c r="W1262" i="3"/>
  <c r="V1228" i="3"/>
  <c r="W1228" i="3"/>
  <c r="M1228" i="3"/>
  <c r="L1228" i="3"/>
  <c r="P1228" i="3"/>
  <c r="N1228" i="3"/>
  <c r="I1229" i="3"/>
  <c r="O1228" i="3"/>
  <c r="V2063" i="3"/>
  <c r="W2063" i="3"/>
  <c r="N2063" i="3"/>
  <c r="P2063" i="3"/>
  <c r="M2063" i="3"/>
  <c r="I2064" i="3"/>
  <c r="L2063" i="3"/>
  <c r="O2063" i="3"/>
  <c r="V1651" i="3"/>
  <c r="W1651" i="3"/>
  <c r="V3185" i="3"/>
  <c r="W3185" i="3"/>
  <c r="V3321" i="3"/>
  <c r="W3321" i="3"/>
  <c r="W1757" i="3"/>
  <c r="V1757" i="3"/>
  <c r="W2493" i="3"/>
  <c r="V2493" i="3"/>
  <c r="W2769" i="3"/>
  <c r="V2769" i="3"/>
  <c r="V3132" i="3"/>
  <c r="W3132" i="3"/>
  <c r="V2362" i="3"/>
  <c r="W2362" i="3"/>
  <c r="W2009" i="3"/>
  <c r="V2009" i="3"/>
  <c r="V1072" i="3"/>
  <c r="W1072" i="3"/>
  <c r="V1372" i="3"/>
  <c r="W1372" i="3"/>
  <c r="V3240" i="3"/>
  <c r="W3240" i="3"/>
  <c r="V1500" i="3"/>
  <c r="W1500" i="3"/>
  <c r="V296" i="3"/>
  <c r="W296" i="3"/>
  <c r="V2234" i="3"/>
  <c r="W2234" i="3"/>
  <c r="V3018" i="3"/>
  <c r="W3018" i="3"/>
  <c r="V2303" i="3"/>
  <c r="W2303" i="3"/>
  <c r="V968" i="3"/>
  <c r="W968" i="3"/>
  <c r="W2629" i="3"/>
  <c r="V2629" i="3"/>
  <c r="V2475" i="3"/>
  <c r="W2475" i="3"/>
  <c r="V584" i="3"/>
  <c r="W584" i="3"/>
  <c r="V1338" i="3"/>
  <c r="W1338" i="3"/>
  <c r="V54" i="3"/>
  <c r="W54" i="3"/>
  <c r="V3258" i="3"/>
  <c r="W3258" i="3"/>
  <c r="V188" i="3"/>
  <c r="W188" i="3"/>
  <c r="V2346" i="3"/>
  <c r="W2346" i="3"/>
  <c r="V2459" i="3"/>
  <c r="W2459" i="3"/>
  <c r="W2894" i="3"/>
  <c r="V2894" i="3"/>
  <c r="V174" i="3"/>
  <c r="W174" i="3"/>
  <c r="W1215" i="3"/>
  <c r="V1215" i="3"/>
  <c r="V2024" i="3"/>
  <c r="W2024" i="3"/>
  <c r="W2958" i="3"/>
  <c r="V2958" i="3"/>
  <c r="W2990" i="3"/>
  <c r="V2990" i="3"/>
  <c r="V998" i="3"/>
  <c r="W998" i="3"/>
  <c r="V1843" i="3"/>
  <c r="W1843" i="3"/>
  <c r="W1666" i="3"/>
  <c r="V1666" i="3"/>
  <c r="V899" i="3"/>
  <c r="W899" i="3"/>
  <c r="V1624" i="3"/>
  <c r="W1624" i="3"/>
  <c r="V2217" i="3"/>
  <c r="W2217" i="3"/>
  <c r="V1301" i="3"/>
  <c r="W1301" i="3"/>
  <c r="V2740" i="3"/>
  <c r="W2740" i="3"/>
  <c r="V1144" i="3"/>
  <c r="W1144" i="3"/>
  <c r="W2562" i="3"/>
  <c r="V2562" i="3"/>
  <c r="V2615" i="3"/>
  <c r="W2615" i="3"/>
  <c r="V3154" i="3"/>
  <c r="W3154" i="3"/>
  <c r="I1667" i="3"/>
  <c r="N1666" i="3"/>
  <c r="M1666" i="3"/>
  <c r="L1666" i="3"/>
  <c r="P1666" i="3"/>
  <c r="O1666" i="3"/>
  <c r="I1728" i="3"/>
  <c r="M1727" i="3"/>
  <c r="P1727" i="3"/>
  <c r="N1727" i="3"/>
  <c r="O1727" i="3"/>
  <c r="L1727" i="3"/>
  <c r="N2590" i="3"/>
  <c r="M2590" i="3"/>
  <c r="L2590" i="3"/>
  <c r="P2590" i="3"/>
  <c r="O2590" i="3"/>
  <c r="P2413" i="3"/>
  <c r="O2413" i="3"/>
  <c r="L2413" i="3"/>
  <c r="M2413" i="3"/>
  <c r="N2413" i="3"/>
  <c r="I2098" i="3"/>
  <c r="O2097" i="3"/>
  <c r="P2097" i="3"/>
  <c r="N2097" i="3"/>
  <c r="M2097" i="3"/>
  <c r="L2097" i="3"/>
  <c r="I1423" i="3"/>
  <c r="M1422" i="3"/>
  <c r="L1422" i="3"/>
  <c r="P1422" i="3"/>
  <c r="O1422" i="3"/>
  <c r="N1422" i="3"/>
  <c r="I2866" i="3"/>
  <c r="P2865" i="3"/>
  <c r="O2865" i="3"/>
  <c r="N2865" i="3"/>
  <c r="M2865" i="3"/>
  <c r="L2865" i="3"/>
  <c r="I3277" i="3"/>
  <c r="N3276" i="3"/>
  <c r="M3276" i="3"/>
  <c r="L3276" i="3"/>
  <c r="P3276" i="3"/>
  <c r="O3276" i="3"/>
  <c r="I1286" i="3"/>
  <c r="P1285" i="3"/>
  <c r="O1285" i="3"/>
  <c r="N1285" i="3"/>
  <c r="M1285" i="3"/>
  <c r="L1285" i="3"/>
  <c r="I2685" i="3"/>
  <c r="M2684" i="3"/>
  <c r="L2684" i="3"/>
  <c r="N2684" i="3"/>
  <c r="O2684" i="3"/>
  <c r="P2684" i="3"/>
  <c r="I1033" i="3"/>
  <c r="P1032" i="3"/>
  <c r="O1032" i="3"/>
  <c r="N1032" i="3"/>
  <c r="L1032" i="3"/>
  <c r="M1032" i="3"/>
  <c r="I912" i="3"/>
  <c r="O911" i="3"/>
  <c r="N911" i="3"/>
  <c r="M911" i="3"/>
  <c r="L911" i="3"/>
  <c r="P911" i="3"/>
  <c r="I1263" i="3"/>
  <c r="M1262" i="3"/>
  <c r="L1262" i="3"/>
  <c r="P1262" i="3"/>
  <c r="O1262" i="3"/>
  <c r="N1262" i="3"/>
  <c r="I1202" i="3"/>
  <c r="M1201" i="3"/>
  <c r="L1201" i="3"/>
  <c r="P1201" i="3"/>
  <c r="N1201" i="3"/>
  <c r="O1201" i="3"/>
  <c r="I2010" i="3"/>
  <c r="P2009" i="3"/>
  <c r="O2009" i="3"/>
  <c r="M2009" i="3"/>
  <c r="N2009" i="3"/>
  <c r="L2009" i="3"/>
  <c r="P1072" i="3"/>
  <c r="O1072" i="3"/>
  <c r="N1072" i="3"/>
  <c r="L1072" i="3"/>
  <c r="M1072" i="3"/>
  <c r="I1373" i="3"/>
  <c r="O1372" i="3"/>
  <c r="N1372" i="3"/>
  <c r="M1372" i="3"/>
  <c r="L1372" i="3"/>
  <c r="P1372" i="3"/>
  <c r="I3241" i="3"/>
  <c r="O3240" i="3"/>
  <c r="N3240" i="3"/>
  <c r="M3240" i="3"/>
  <c r="L3240" i="3"/>
  <c r="P3240" i="3"/>
  <c r="I1501" i="3"/>
  <c r="P1500" i="3"/>
  <c r="O1500" i="3"/>
  <c r="N1500" i="3"/>
  <c r="M1500" i="3"/>
  <c r="L1500" i="3"/>
  <c r="I297" i="3"/>
  <c r="L296" i="3"/>
  <c r="P296" i="3"/>
  <c r="N296" i="3"/>
  <c r="M296" i="3"/>
  <c r="O296" i="3"/>
  <c r="I2235" i="3"/>
  <c r="M2234" i="3"/>
  <c r="L2234" i="3"/>
  <c r="O2234" i="3"/>
  <c r="P2234" i="3"/>
  <c r="N2234" i="3"/>
  <c r="I3019" i="3"/>
  <c r="N3018" i="3"/>
  <c r="M3018" i="3"/>
  <c r="L3018" i="3"/>
  <c r="P3018" i="3"/>
  <c r="O3018" i="3"/>
  <c r="I2304" i="3"/>
  <c r="P2303" i="3"/>
  <c r="O2303" i="3"/>
  <c r="N2303" i="3"/>
  <c r="M2303" i="3"/>
  <c r="L2303" i="3"/>
  <c r="I969" i="3"/>
  <c r="P968" i="3"/>
  <c r="O968" i="3"/>
  <c r="N968" i="3"/>
  <c r="L968" i="3"/>
  <c r="M968" i="3"/>
  <c r="I2630" i="3"/>
  <c r="P2629" i="3"/>
  <c r="O2629" i="3"/>
  <c r="N2629" i="3"/>
  <c r="M2629" i="3"/>
  <c r="L2629" i="3"/>
  <c r="I2476" i="3"/>
  <c r="M2475" i="3"/>
  <c r="L2475" i="3"/>
  <c r="P2475" i="3"/>
  <c r="O2475" i="3"/>
  <c r="N2475" i="3"/>
  <c r="P584" i="3"/>
  <c r="O584" i="3"/>
  <c r="N584" i="3"/>
  <c r="M584" i="3"/>
  <c r="L584" i="3"/>
  <c r="I1339" i="3"/>
  <c r="P1338" i="3"/>
  <c r="O1338" i="3"/>
  <c r="N1338" i="3"/>
  <c r="M1338" i="3"/>
  <c r="L1338" i="3"/>
  <c r="I55" i="3"/>
  <c r="N54" i="3"/>
  <c r="M54" i="3"/>
  <c r="L54" i="3"/>
  <c r="P54" i="3"/>
  <c r="O54" i="3"/>
  <c r="I3259" i="3"/>
  <c r="P3258" i="3"/>
  <c r="O3258" i="3"/>
  <c r="N3258" i="3"/>
  <c r="M3258" i="3"/>
  <c r="L3258" i="3"/>
  <c r="I189" i="3"/>
  <c r="P188" i="3"/>
  <c r="O188" i="3"/>
  <c r="N188" i="3"/>
  <c r="M188" i="3"/>
  <c r="L188" i="3"/>
  <c r="I2347" i="3"/>
  <c r="P2346" i="3"/>
  <c r="O2346" i="3"/>
  <c r="N2346" i="3"/>
  <c r="M2346" i="3"/>
  <c r="L2346" i="3"/>
  <c r="M2459" i="3"/>
  <c r="L2459" i="3"/>
  <c r="N2459" i="3"/>
  <c r="P2459" i="3"/>
  <c r="O2459" i="3"/>
  <c r="I2460" i="3"/>
  <c r="I2895" i="3"/>
  <c r="O2894" i="3"/>
  <c r="M2894" i="3"/>
  <c r="L2894" i="3"/>
  <c r="P2894" i="3"/>
  <c r="N2894" i="3"/>
  <c r="I175" i="3"/>
  <c r="N174" i="3"/>
  <c r="M174" i="3"/>
  <c r="L174" i="3"/>
  <c r="P174" i="3"/>
  <c r="O174" i="3"/>
  <c r="I999" i="3"/>
  <c r="L998" i="3"/>
  <c r="P998" i="3"/>
  <c r="N998" i="3"/>
  <c r="M998" i="3"/>
  <c r="O998" i="3"/>
  <c r="I1844" i="3"/>
  <c r="O1843" i="3"/>
  <c r="P1843" i="3"/>
  <c r="N1843" i="3"/>
  <c r="M1843" i="3"/>
  <c r="L1843" i="3"/>
  <c r="P899" i="3"/>
  <c r="O899" i="3"/>
  <c r="M899" i="3"/>
  <c r="L899" i="3"/>
  <c r="N899" i="3"/>
  <c r="I1625" i="3"/>
  <c r="P1624" i="3"/>
  <c r="M1624" i="3"/>
  <c r="L1624" i="3"/>
  <c r="N1624" i="3"/>
  <c r="O1624" i="3"/>
  <c r="I2218" i="3"/>
  <c r="P2217" i="3"/>
  <c r="O2217" i="3"/>
  <c r="L2217" i="3"/>
  <c r="N2217" i="3"/>
  <c r="M2217" i="3"/>
  <c r="I1302" i="3"/>
  <c r="P1301" i="3"/>
  <c r="O1301" i="3"/>
  <c r="N1301" i="3"/>
  <c r="M1301" i="3"/>
  <c r="L1301" i="3"/>
  <c r="I2909" i="3"/>
  <c r="L2908" i="3"/>
  <c r="P2908" i="3"/>
  <c r="O2908" i="3"/>
  <c r="N2908" i="3"/>
  <c r="M2908" i="3"/>
  <c r="I1216" i="3"/>
  <c r="O1215" i="3"/>
  <c r="N1215" i="3"/>
  <c r="M1215" i="3"/>
  <c r="L1215" i="3"/>
  <c r="P1215" i="3"/>
  <c r="I1610" i="3"/>
  <c r="O1609" i="3"/>
  <c r="N1609" i="3"/>
  <c r="P1609" i="3"/>
  <c r="L1609" i="3"/>
  <c r="M1609" i="3"/>
  <c r="I2727" i="3"/>
  <c r="P2726" i="3"/>
  <c r="O2726" i="3"/>
  <c r="L2726" i="3"/>
  <c r="N2726" i="3"/>
  <c r="M2726" i="3"/>
  <c r="I2288" i="3"/>
  <c r="P2287" i="3"/>
  <c r="O2287" i="3"/>
  <c r="N2287" i="3"/>
  <c r="M2287" i="3"/>
  <c r="L2287" i="3"/>
  <c r="I1652" i="3"/>
  <c r="O1651" i="3"/>
  <c r="N1651" i="3"/>
  <c r="L1651" i="3"/>
  <c r="M1651" i="3"/>
  <c r="P1651" i="3"/>
  <c r="I3186" i="3"/>
  <c r="P3185" i="3"/>
  <c r="O3185" i="3"/>
  <c r="N3185" i="3"/>
  <c r="M3185" i="3"/>
  <c r="L3185" i="3"/>
  <c r="I3075" i="3"/>
  <c r="L3074" i="3"/>
  <c r="P3074" i="3"/>
  <c r="N3074" i="3"/>
  <c r="M3074" i="3"/>
  <c r="O3074" i="3"/>
  <c r="N2534" i="3"/>
  <c r="M2534" i="3"/>
  <c r="L2534" i="3"/>
  <c r="P2534" i="3"/>
  <c r="O2534" i="3"/>
  <c r="I1969" i="3"/>
  <c r="P1968" i="3"/>
  <c r="O1968" i="3"/>
  <c r="N1968" i="3"/>
  <c r="M1968" i="3"/>
  <c r="L1968" i="3"/>
  <c r="I2398" i="3"/>
  <c r="P2397" i="3"/>
  <c r="O2397" i="3"/>
  <c r="L2397" i="3"/>
  <c r="N2397" i="3"/>
  <c r="M2397" i="3"/>
  <c r="I2443" i="3"/>
  <c r="O2442" i="3"/>
  <c r="N2442" i="3"/>
  <c r="L2442" i="3"/>
  <c r="P2442" i="3"/>
  <c r="M2442" i="3"/>
  <c r="I860" i="3"/>
  <c r="P859" i="3"/>
  <c r="O859" i="3"/>
  <c r="M859" i="3"/>
  <c r="L859" i="3"/>
  <c r="N859" i="3"/>
  <c r="I1438" i="3"/>
  <c r="P1437" i="3"/>
  <c r="N1437" i="3"/>
  <c r="O1437" i="3"/>
  <c r="M1437" i="3"/>
  <c r="L1437" i="3"/>
  <c r="I2882" i="3"/>
  <c r="P2881" i="3"/>
  <c r="N2881" i="3"/>
  <c r="M2881" i="3"/>
  <c r="L2881" i="3"/>
  <c r="O2881" i="3"/>
  <c r="I41" i="3"/>
  <c r="L40" i="3"/>
  <c r="P40" i="3"/>
  <c r="N40" i="3"/>
  <c r="M40" i="3"/>
  <c r="O40" i="3"/>
  <c r="I3322" i="3"/>
  <c r="M3321" i="3"/>
  <c r="L3321" i="3"/>
  <c r="P3321" i="3"/>
  <c r="O3321" i="3"/>
  <c r="N3321" i="3"/>
  <c r="I1758" i="3"/>
  <c r="O1757" i="3"/>
  <c r="P1757" i="3"/>
  <c r="N1757" i="3"/>
  <c r="L1757" i="3"/>
  <c r="M1757" i="3"/>
  <c r="I2494" i="3"/>
  <c r="P2493" i="3"/>
  <c r="O2493" i="3"/>
  <c r="M2493" i="3"/>
  <c r="L2493" i="3"/>
  <c r="N2493" i="3"/>
  <c r="I3201" i="3"/>
  <c r="O3200" i="3"/>
  <c r="N3200" i="3"/>
  <c r="M3200" i="3"/>
  <c r="L3200" i="3"/>
  <c r="P3200" i="3"/>
  <c r="L886" i="3"/>
  <c r="P886" i="3"/>
  <c r="N886" i="3"/>
  <c r="M886" i="3"/>
  <c r="O886" i="3"/>
  <c r="I2770" i="3"/>
  <c r="L2769" i="3"/>
  <c r="P2769" i="3"/>
  <c r="N2769" i="3"/>
  <c r="O2769" i="3"/>
  <c r="M2769" i="3"/>
  <c r="I1857" i="3"/>
  <c r="P1856" i="3"/>
  <c r="N1856" i="3"/>
  <c r="O1856" i="3"/>
  <c r="M1856" i="3"/>
  <c r="L1856" i="3"/>
  <c r="I2813" i="3"/>
  <c r="M2812" i="3"/>
  <c r="L2812" i="3"/>
  <c r="N2812" i="3"/>
  <c r="P2812" i="3"/>
  <c r="O2812" i="3"/>
  <c r="I2025" i="3"/>
  <c r="N2024" i="3"/>
  <c r="M2024" i="3"/>
  <c r="L2024" i="3"/>
  <c r="P2024" i="3"/>
  <c r="O2024" i="3"/>
  <c r="I3133" i="3"/>
  <c r="P3132" i="3"/>
  <c r="O3132" i="3"/>
  <c r="N3132" i="3"/>
  <c r="M3132" i="3"/>
  <c r="L3132" i="3"/>
  <c r="I2991" i="3"/>
  <c r="N2990" i="3"/>
  <c r="P2990" i="3"/>
  <c r="O2990" i="3"/>
  <c r="M2990" i="3"/>
  <c r="L2990" i="3"/>
  <c r="I1145" i="3"/>
  <c r="P1144" i="3"/>
  <c r="O1144" i="3"/>
  <c r="M1144" i="3"/>
  <c r="L1144" i="3"/>
  <c r="N1144" i="3"/>
  <c r="I772" i="3"/>
  <c r="P771" i="3"/>
  <c r="O771" i="3"/>
  <c r="N771" i="3"/>
  <c r="M771" i="3"/>
  <c r="L771" i="3"/>
  <c r="P1189" i="3"/>
  <c r="O1189" i="3"/>
  <c r="N1189" i="3"/>
  <c r="M1189" i="3"/>
  <c r="L1189" i="3"/>
  <c r="I1773" i="3"/>
  <c r="L1772" i="3"/>
  <c r="N1772" i="3"/>
  <c r="M1772" i="3"/>
  <c r="P1772" i="3"/>
  <c r="O1772" i="3"/>
  <c r="I2163" i="3"/>
  <c r="M2162" i="3"/>
  <c r="L2162" i="3"/>
  <c r="O2162" i="3"/>
  <c r="P2162" i="3"/>
  <c r="N2162" i="3"/>
  <c r="P2921" i="3"/>
  <c r="O2921" i="3"/>
  <c r="N2921" i="3"/>
  <c r="M2921" i="3"/>
  <c r="L2921" i="3"/>
  <c r="L1386" i="3"/>
  <c r="O1386" i="3"/>
  <c r="M1386" i="3"/>
  <c r="P1386" i="3"/>
  <c r="N1386" i="3"/>
  <c r="I2363" i="3"/>
  <c r="P2362" i="3"/>
  <c r="O2362" i="3"/>
  <c r="N2362" i="3"/>
  <c r="L2362" i="3"/>
  <c r="M2362" i="3"/>
  <c r="I1997" i="3"/>
  <c r="L1996" i="3"/>
  <c r="P1996" i="3"/>
  <c r="N1996" i="3"/>
  <c r="O1996" i="3"/>
  <c r="M1996" i="3"/>
  <c r="P2578" i="3"/>
  <c r="O2578" i="3"/>
  <c r="N2578" i="3"/>
  <c r="M2578" i="3"/>
  <c r="L2578" i="3"/>
  <c r="I1408" i="3"/>
  <c r="P1407" i="3"/>
  <c r="N1407" i="3"/>
  <c r="O1407" i="3"/>
  <c r="M1407" i="3"/>
  <c r="L1407" i="3"/>
  <c r="I3033" i="3"/>
  <c r="P3032" i="3"/>
  <c r="O3032" i="3"/>
  <c r="N3032" i="3"/>
  <c r="L3032" i="3"/>
  <c r="M3032" i="3"/>
  <c r="I1681" i="3"/>
  <c r="P1680" i="3"/>
  <c r="O1680" i="3"/>
  <c r="M1680" i="3"/>
  <c r="N1680" i="3"/>
  <c r="L1680" i="3"/>
  <c r="I2712" i="3"/>
  <c r="N2711" i="3"/>
  <c r="M2711" i="3"/>
  <c r="L2711" i="3"/>
  <c r="P2711" i="3"/>
  <c r="O2711" i="3"/>
  <c r="I2959" i="3"/>
  <c r="P2958" i="3"/>
  <c r="O2958" i="3"/>
  <c r="N2958" i="3"/>
  <c r="M2958" i="3"/>
  <c r="L2958" i="3"/>
  <c r="I2741" i="3"/>
  <c r="M2740" i="3"/>
  <c r="L2740" i="3"/>
  <c r="P2740" i="3"/>
  <c r="O2740" i="3"/>
  <c r="N2740" i="3"/>
  <c r="I2616" i="3"/>
  <c r="P2615" i="3"/>
  <c r="O2615" i="3"/>
  <c r="N2615" i="3"/>
  <c r="M2615" i="3"/>
  <c r="L2615" i="3"/>
  <c r="M3154" i="3"/>
  <c r="L3154" i="3"/>
  <c r="O3154" i="3"/>
  <c r="N3154" i="3"/>
  <c r="P3154" i="3"/>
  <c r="I3155" i="3"/>
  <c r="I28" i="3"/>
  <c r="M27" i="3"/>
  <c r="L27" i="3"/>
  <c r="O27" i="3"/>
  <c r="N27" i="3"/>
  <c r="P27" i="3"/>
  <c r="I2082" i="3"/>
  <c r="L2081" i="3"/>
  <c r="P2081" i="3"/>
  <c r="O2081" i="3"/>
  <c r="N2081" i="3"/>
  <c r="M2081" i="3"/>
  <c r="I2049" i="3"/>
  <c r="M2048" i="3"/>
  <c r="L2048" i="3"/>
  <c r="O2048" i="3"/>
  <c r="N2048" i="3"/>
  <c r="P2048" i="3"/>
  <c r="I3306" i="3"/>
  <c r="M3305" i="3"/>
  <c r="L3305" i="3"/>
  <c r="P3305" i="3"/>
  <c r="O3305" i="3"/>
  <c r="N3305" i="3"/>
  <c r="I3089" i="3"/>
  <c r="N3088" i="3"/>
  <c r="M3088" i="3"/>
  <c r="P3088" i="3"/>
  <c r="L3088" i="3"/>
  <c r="O3088" i="3"/>
  <c r="I2328" i="3"/>
  <c r="P2327" i="3"/>
  <c r="O2327" i="3"/>
  <c r="N2327" i="3"/>
  <c r="M2327" i="3"/>
  <c r="L2327" i="3"/>
  <c r="I2427" i="3"/>
  <c r="O2426" i="3"/>
  <c r="N2426" i="3"/>
  <c r="L2426" i="3"/>
  <c r="P2426" i="3"/>
  <c r="M2426" i="3"/>
  <c r="I1955" i="3"/>
  <c r="N1954" i="3"/>
  <c r="M1954" i="3"/>
  <c r="L1954" i="3"/>
  <c r="P1954" i="3"/>
  <c r="O1954" i="3"/>
  <c r="I1111" i="3"/>
  <c r="M1110" i="3"/>
  <c r="L1110" i="3"/>
  <c r="O1110" i="3"/>
  <c r="N1110" i="3"/>
  <c r="P1110" i="3"/>
  <c r="I1743" i="3"/>
  <c r="P1742" i="3"/>
  <c r="N1742" i="3"/>
  <c r="O1742" i="3"/>
  <c r="L1742" i="3"/>
  <c r="M1742" i="3"/>
  <c r="I313" i="3"/>
  <c r="L312" i="3"/>
  <c r="P312" i="3"/>
  <c r="N312" i="3"/>
  <c r="M312" i="3"/>
  <c r="O312" i="3"/>
  <c r="I2935" i="3"/>
  <c r="P2934" i="3"/>
  <c r="O2934" i="3"/>
  <c r="N2934" i="3"/>
  <c r="M2934" i="3"/>
  <c r="L2934" i="3"/>
  <c r="P2522" i="3"/>
  <c r="O2522" i="3"/>
  <c r="N2522" i="3"/>
  <c r="M2522" i="3"/>
  <c r="L2522" i="3"/>
  <c r="I146" i="3"/>
  <c r="O145" i="3"/>
  <c r="N145" i="3"/>
  <c r="M145" i="3"/>
  <c r="L145" i="3"/>
  <c r="P145" i="3"/>
  <c r="I2784" i="3"/>
  <c r="N2783" i="3"/>
  <c r="M2783" i="3"/>
  <c r="L2783" i="3"/>
  <c r="P2783" i="3"/>
  <c r="O2783" i="3"/>
  <c r="I696" i="3"/>
  <c r="M695" i="3"/>
  <c r="L695" i="3"/>
  <c r="O695" i="3"/>
  <c r="N695" i="3"/>
  <c r="P695" i="3"/>
  <c r="I2798" i="3"/>
  <c r="P2797" i="3"/>
  <c r="O2797" i="3"/>
  <c r="N2797" i="3"/>
  <c r="M2797" i="3"/>
  <c r="L2797" i="3"/>
  <c r="I3111" i="3"/>
  <c r="P3110" i="3"/>
  <c r="O3110" i="3"/>
  <c r="M3110" i="3"/>
  <c r="L3110" i="3"/>
  <c r="N3110" i="3"/>
  <c r="I645" i="3"/>
  <c r="L644" i="3"/>
  <c r="P644" i="3"/>
  <c r="N644" i="3"/>
  <c r="M644" i="3"/>
  <c r="O644" i="3"/>
  <c r="I2113" i="3"/>
  <c r="O2112" i="3"/>
  <c r="N2112" i="3"/>
  <c r="L2112" i="3"/>
  <c r="P2112" i="3"/>
  <c r="M2112" i="3"/>
  <c r="I2754" i="3"/>
  <c r="L2753" i="3"/>
  <c r="P2753" i="3"/>
  <c r="O2753" i="3"/>
  <c r="M2753" i="3"/>
  <c r="N2753" i="3"/>
  <c r="I281" i="3"/>
  <c r="L280" i="3"/>
  <c r="P280" i="3"/>
  <c r="N280" i="3"/>
  <c r="M280" i="3"/>
  <c r="O280" i="3"/>
  <c r="I2644" i="3"/>
  <c r="P2643" i="3"/>
  <c r="O2643" i="3"/>
  <c r="M2643" i="3"/>
  <c r="N2643" i="3"/>
  <c r="L2643" i="3"/>
  <c r="I658" i="3"/>
  <c r="P657" i="3"/>
  <c r="O657" i="3"/>
  <c r="M657" i="3"/>
  <c r="L657" i="3"/>
  <c r="N657" i="3"/>
  <c r="I2272" i="3"/>
  <c r="P2271" i="3"/>
  <c r="O2271" i="3"/>
  <c r="N2271" i="3"/>
  <c r="M2271" i="3"/>
  <c r="L2271" i="3"/>
  <c r="I983" i="3"/>
  <c r="L982" i="3"/>
  <c r="P982" i="3"/>
  <c r="N982" i="3"/>
  <c r="M982" i="3"/>
  <c r="O982" i="3"/>
  <c r="I2603" i="3"/>
  <c r="P2602" i="3"/>
  <c r="O2602" i="3"/>
  <c r="N2602" i="3"/>
  <c r="M2602" i="3"/>
  <c r="L2602" i="3"/>
  <c r="I3224" i="3"/>
  <c r="L3223" i="3"/>
  <c r="P3223" i="3"/>
  <c r="O3223" i="3"/>
  <c r="N3223" i="3"/>
  <c r="M3223" i="3"/>
  <c r="P2252" i="3"/>
  <c r="M2252" i="3"/>
  <c r="N2252" i="3"/>
  <c r="L2252" i="3"/>
  <c r="O2252" i="3"/>
  <c r="I2253" i="3"/>
  <c r="I2563" i="3"/>
  <c r="P2562" i="3"/>
  <c r="O2562" i="3"/>
  <c r="N2562" i="3"/>
  <c r="M2562" i="3"/>
  <c r="L2562" i="3"/>
  <c r="I2382" i="3"/>
  <c r="P2381" i="3"/>
  <c r="O2381" i="3"/>
  <c r="L2381" i="3"/>
  <c r="N2381" i="3"/>
  <c r="M2381" i="3"/>
  <c r="I926" i="3"/>
  <c r="P925" i="3"/>
  <c r="O925" i="3"/>
  <c r="N925" i="3"/>
  <c r="M925" i="3"/>
  <c r="L925" i="3"/>
  <c r="I847" i="3"/>
  <c r="L846" i="3"/>
  <c r="P846" i="3"/>
  <c r="N846" i="3"/>
  <c r="M846" i="3"/>
  <c r="O846" i="3"/>
  <c r="I1485" i="3"/>
  <c r="P1484" i="3"/>
  <c r="O1484" i="3"/>
  <c r="N1484" i="3"/>
  <c r="L1484" i="3"/>
  <c r="M1484" i="3"/>
  <c r="I2698" i="3"/>
  <c r="L2697" i="3"/>
  <c r="P2697" i="3"/>
  <c r="M2697" i="3"/>
  <c r="O2697" i="3"/>
  <c r="N2697" i="3"/>
  <c r="I2547" i="3"/>
  <c r="P2546" i="3"/>
  <c r="O2546" i="3"/>
  <c r="N2546" i="3"/>
  <c r="M2546" i="3"/>
  <c r="L2546" i="3"/>
  <c r="I3061" i="3"/>
  <c r="O3060" i="3"/>
  <c r="N3060" i="3"/>
  <c r="P3060" i="3"/>
  <c r="M3060" i="3"/>
  <c r="L3060" i="3"/>
  <c r="I14" i="3"/>
  <c r="P13" i="3"/>
  <c r="O13" i="3"/>
  <c r="M13" i="3"/>
  <c r="L13" i="3"/>
  <c r="N13" i="3"/>
  <c r="I2205" i="3"/>
  <c r="P2204" i="3"/>
  <c r="M2204" i="3"/>
  <c r="O2204" i="3"/>
  <c r="N2204" i="3"/>
  <c r="L2204" i="3"/>
  <c r="I109" i="3"/>
  <c r="P108" i="3"/>
  <c r="O108" i="3"/>
  <c r="N108" i="3"/>
  <c r="M108" i="3"/>
  <c r="L108" i="3"/>
  <c r="I1359" i="3"/>
  <c r="M1358" i="3"/>
  <c r="L1358" i="3"/>
  <c r="P1358" i="3"/>
  <c r="O1358" i="3"/>
  <c r="N1358" i="3"/>
  <c r="I3352" i="3"/>
  <c r="O3351" i="3"/>
  <c r="N3351" i="3"/>
  <c r="M3351" i="3"/>
  <c r="L3351" i="3"/>
  <c r="P3351" i="3"/>
  <c r="I3170" i="3"/>
  <c r="P3169" i="3"/>
  <c r="O3169" i="3"/>
  <c r="N3169" i="3"/>
  <c r="L3169" i="3"/>
  <c r="M3169" i="3"/>
  <c r="I2670" i="3"/>
  <c r="N2669" i="3"/>
  <c r="M2669" i="3"/>
  <c r="L2669" i="3"/>
  <c r="P2669" i="3"/>
  <c r="O2669" i="3"/>
  <c r="I360" i="3"/>
  <c r="M359" i="3"/>
  <c r="L359" i="3"/>
  <c r="O359" i="3"/>
  <c r="P359" i="3"/>
  <c r="N359" i="3"/>
  <c r="I122" i="3"/>
  <c r="O121" i="3"/>
  <c r="N121" i="3"/>
  <c r="M121" i="3"/>
  <c r="L121" i="3"/>
  <c r="P121" i="3"/>
  <c r="I711" i="3"/>
  <c r="P710" i="3"/>
  <c r="O710" i="3"/>
  <c r="N710" i="3"/>
  <c r="L710" i="3"/>
  <c r="M710" i="3"/>
  <c r="I1470" i="3"/>
  <c r="P1469" i="3"/>
  <c r="O1469" i="3"/>
  <c r="N1469" i="3"/>
  <c r="M1469" i="3"/>
  <c r="L1469" i="3"/>
  <c r="I1016" i="3"/>
  <c r="O1015" i="3"/>
  <c r="N1015" i="3"/>
  <c r="M1015" i="3"/>
  <c r="L1015" i="3"/>
  <c r="P1015" i="3"/>
  <c r="I1892" i="3"/>
  <c r="O1891" i="3"/>
  <c r="N1891" i="3"/>
  <c r="P1891" i="3"/>
  <c r="M1891" i="3"/>
  <c r="L1891" i="3"/>
  <c r="I3337" i="3"/>
  <c r="P3336" i="3"/>
  <c r="O3336" i="3"/>
  <c r="N3336" i="3"/>
  <c r="M3336" i="3"/>
  <c r="L3336" i="3"/>
  <c r="I162" i="3"/>
  <c r="O161" i="3"/>
  <c r="N161" i="3"/>
  <c r="M161" i="3"/>
  <c r="L161" i="3"/>
  <c r="P161" i="3"/>
  <c r="I1454" i="3"/>
  <c r="N1453" i="3"/>
  <c r="M1453" i="3"/>
  <c r="L1453" i="3"/>
  <c r="P1453" i="3"/>
  <c r="O1453" i="3"/>
  <c r="I421" i="3"/>
  <c r="L420" i="3"/>
  <c r="P420" i="3"/>
  <c r="N420" i="3"/>
  <c r="M420" i="3"/>
  <c r="O420" i="3"/>
  <c r="I727" i="3"/>
  <c r="P726" i="3"/>
  <c r="O726" i="3"/>
  <c r="N726" i="3"/>
  <c r="L726" i="3"/>
  <c r="M726" i="3"/>
  <c r="N3006" i="3"/>
  <c r="M3006" i="3"/>
  <c r="L3006" i="3"/>
  <c r="P3006" i="3"/>
  <c r="O3006" i="3"/>
  <c r="I3047" i="3"/>
  <c r="P3046" i="3"/>
  <c r="O3046" i="3"/>
  <c r="N3046" i="3"/>
  <c r="M3046" i="3"/>
  <c r="L3046" i="3"/>
  <c r="I1244" i="3"/>
  <c r="L1243" i="3"/>
  <c r="P1243" i="3"/>
  <c r="O1243" i="3"/>
  <c r="N1243" i="3"/>
  <c r="M1243" i="3"/>
  <c r="I831" i="3"/>
  <c r="L830" i="3"/>
  <c r="P830" i="3"/>
  <c r="N830" i="3"/>
  <c r="M830" i="3"/>
  <c r="O830" i="3"/>
  <c r="I1317" i="3"/>
  <c r="O1316" i="3"/>
  <c r="N1316" i="3"/>
  <c r="M1316" i="3"/>
  <c r="L1316" i="3"/>
  <c r="P1316" i="3"/>
  <c r="L572" i="3"/>
  <c r="P572" i="3"/>
  <c r="N572" i="3"/>
  <c r="M572" i="3"/>
  <c r="O572" i="3"/>
  <c r="P95" i="3"/>
  <c r="O95" i="3"/>
  <c r="N95" i="3"/>
  <c r="M95" i="3"/>
  <c r="L95" i="3"/>
  <c r="I597" i="3"/>
  <c r="L596" i="3"/>
  <c r="P596" i="3"/>
  <c r="N596" i="3"/>
  <c r="M596" i="3"/>
  <c r="O596" i="3"/>
  <c r="I1870" i="3"/>
  <c r="O1869" i="3"/>
  <c r="M1869" i="3"/>
  <c r="N1869" i="3"/>
  <c r="L1869" i="3"/>
  <c r="P1869" i="3"/>
  <c r="P2150" i="3"/>
  <c r="N2150" i="3"/>
  <c r="M2150" i="3"/>
  <c r="L2150" i="3"/>
  <c r="O2150" i="3"/>
  <c r="I2129" i="3"/>
  <c r="O2128" i="3"/>
  <c r="N2128" i="3"/>
  <c r="L2128" i="3"/>
  <c r="P2128" i="3"/>
  <c r="M2128" i="3"/>
  <c r="I1906" i="3"/>
  <c r="P1905" i="3"/>
  <c r="M1905" i="3"/>
  <c r="L1905" i="3"/>
  <c r="O1905" i="3"/>
  <c r="N1905" i="3"/>
  <c r="N682" i="3"/>
  <c r="M682" i="3"/>
  <c r="L682" i="3"/>
  <c r="P682" i="3"/>
  <c r="O682" i="3"/>
  <c r="I2975" i="3"/>
  <c r="P2974" i="3"/>
  <c r="O2974" i="3"/>
  <c r="N2974" i="3"/>
  <c r="M2974" i="3"/>
  <c r="L2974" i="3"/>
  <c r="V1111" i="3" l="1"/>
  <c r="W1111" i="3"/>
  <c r="V3089" i="3"/>
  <c r="W3089" i="3"/>
  <c r="V28" i="3"/>
  <c r="W28" i="3"/>
  <c r="V2959" i="3"/>
  <c r="W2959" i="3"/>
  <c r="V1408" i="3"/>
  <c r="W1408" i="3"/>
  <c r="V1145" i="3"/>
  <c r="W1145" i="3"/>
  <c r="W2813" i="3"/>
  <c r="V2813" i="3"/>
  <c r="V2288" i="3"/>
  <c r="W2288" i="3"/>
  <c r="W2909" i="3"/>
  <c r="V2909" i="3"/>
  <c r="V2460" i="3"/>
  <c r="W2460" i="3"/>
  <c r="V2304" i="3"/>
  <c r="W2304" i="3"/>
  <c r="V297" i="3"/>
  <c r="W297" i="3"/>
  <c r="V1202" i="3"/>
  <c r="W1202" i="3"/>
  <c r="W2685" i="3"/>
  <c r="V2685" i="3"/>
  <c r="V2129" i="3"/>
  <c r="W2129" i="3"/>
  <c r="V162" i="3"/>
  <c r="W162" i="3"/>
  <c r="W1470" i="3"/>
  <c r="V1470" i="3"/>
  <c r="V360" i="3"/>
  <c r="W360" i="3"/>
  <c r="W1359" i="3"/>
  <c r="V1359" i="3"/>
  <c r="V3061" i="3"/>
  <c r="W3061" i="3"/>
  <c r="V847" i="3"/>
  <c r="W847" i="3"/>
  <c r="V2272" i="3"/>
  <c r="W2272" i="3"/>
  <c r="W2754" i="3"/>
  <c r="V2754" i="3"/>
  <c r="W2798" i="3"/>
  <c r="V2798" i="3"/>
  <c r="W3155" i="3"/>
  <c r="V3155" i="3"/>
  <c r="V2363" i="3"/>
  <c r="W2363" i="3"/>
  <c r="V2163" i="3"/>
  <c r="W2163" i="3"/>
  <c r="V3322" i="3"/>
  <c r="W3322" i="3"/>
  <c r="V860" i="3"/>
  <c r="W860" i="3"/>
  <c r="V175" i="3"/>
  <c r="W175" i="3"/>
  <c r="V189" i="3"/>
  <c r="W189" i="3"/>
  <c r="V3241" i="3"/>
  <c r="W3241" i="3"/>
  <c r="V3277" i="3"/>
  <c r="W3277" i="3"/>
  <c r="V1667" i="3"/>
  <c r="W1667" i="3"/>
  <c r="V831" i="3"/>
  <c r="W831" i="3"/>
  <c r="V1317" i="3"/>
  <c r="W1317" i="3"/>
  <c r="V1743" i="3"/>
  <c r="W1743" i="3"/>
  <c r="V2328" i="3"/>
  <c r="W2328" i="3"/>
  <c r="V2082" i="3"/>
  <c r="W2082" i="3"/>
  <c r="W2741" i="3"/>
  <c r="V2741" i="3"/>
  <c r="V3033" i="3"/>
  <c r="W3033" i="3"/>
  <c r="V772" i="3"/>
  <c r="W772" i="3"/>
  <c r="W2025" i="3"/>
  <c r="V2025" i="3"/>
  <c r="V1652" i="3"/>
  <c r="W1652" i="3"/>
  <c r="V1216" i="3"/>
  <c r="W1216" i="3"/>
  <c r="W1625" i="3"/>
  <c r="V1625" i="3"/>
  <c r="V969" i="3"/>
  <c r="W969" i="3"/>
  <c r="V2235" i="3"/>
  <c r="W2235" i="3"/>
  <c r="W2010" i="3"/>
  <c r="V2010" i="3"/>
  <c r="V1033" i="3"/>
  <c r="W1033" i="3"/>
  <c r="V2975" i="3"/>
  <c r="W2975" i="3"/>
  <c r="V597" i="3"/>
  <c r="W597" i="3"/>
  <c r="W1906" i="3"/>
  <c r="V1906" i="3"/>
  <c r="V1454" i="3"/>
  <c r="W1454" i="3"/>
  <c r="V1016" i="3"/>
  <c r="W1016" i="3"/>
  <c r="V3352" i="3"/>
  <c r="W3352" i="3"/>
  <c r="W14" i="3"/>
  <c r="V14" i="3"/>
  <c r="W1485" i="3"/>
  <c r="V1485" i="3"/>
  <c r="V2563" i="3"/>
  <c r="W2563" i="3"/>
  <c r="V983" i="3"/>
  <c r="W983" i="3"/>
  <c r="V281" i="3"/>
  <c r="W281" i="3"/>
  <c r="W3111" i="3"/>
  <c r="V3111" i="3"/>
  <c r="V146" i="3"/>
  <c r="W146" i="3"/>
  <c r="W1997" i="3"/>
  <c r="V1997" i="3"/>
  <c r="W1758" i="3"/>
  <c r="V1758" i="3"/>
  <c r="V1438" i="3"/>
  <c r="W1438" i="3"/>
  <c r="W1969" i="3"/>
  <c r="V1969" i="3"/>
  <c r="V999" i="3"/>
  <c r="W999" i="3"/>
  <c r="V2347" i="3"/>
  <c r="W2347" i="3"/>
  <c r="W1339" i="3"/>
  <c r="V1339" i="3"/>
  <c r="W1501" i="3"/>
  <c r="V1501" i="3"/>
  <c r="V2098" i="3"/>
  <c r="W2098" i="3"/>
  <c r="V1728" i="3"/>
  <c r="W1728" i="3"/>
  <c r="V1920" i="3"/>
  <c r="W1920" i="3"/>
  <c r="O1920" i="3"/>
  <c r="I1921" i="3"/>
  <c r="P1920" i="3"/>
  <c r="N1920" i="3"/>
  <c r="L1920" i="3"/>
  <c r="M1920" i="3"/>
  <c r="V313" i="3"/>
  <c r="W313" i="3"/>
  <c r="V2427" i="3"/>
  <c r="W2427" i="3"/>
  <c r="W2049" i="3"/>
  <c r="V2049" i="3"/>
  <c r="V2616" i="3"/>
  <c r="W2616" i="3"/>
  <c r="W1681" i="3"/>
  <c r="V1681" i="3"/>
  <c r="V3133" i="3"/>
  <c r="W3133" i="3"/>
  <c r="W2770" i="3"/>
  <c r="V2770" i="3"/>
  <c r="V3186" i="3"/>
  <c r="W3186" i="3"/>
  <c r="W1610" i="3"/>
  <c r="V1610" i="3"/>
  <c r="V2218" i="3"/>
  <c r="W2218" i="3"/>
  <c r="W2630" i="3"/>
  <c r="V2630" i="3"/>
  <c r="V3019" i="3"/>
  <c r="W3019" i="3"/>
  <c r="V912" i="3"/>
  <c r="W912" i="3"/>
  <c r="V2253" i="3"/>
  <c r="W2253" i="3"/>
  <c r="V421" i="3"/>
  <c r="W421" i="3"/>
  <c r="V1892" i="3"/>
  <c r="W1892" i="3"/>
  <c r="V122" i="3"/>
  <c r="W122" i="3"/>
  <c r="V3170" i="3"/>
  <c r="W3170" i="3"/>
  <c r="V2205" i="3"/>
  <c r="W2205" i="3"/>
  <c r="W2698" i="3"/>
  <c r="V2698" i="3"/>
  <c r="W2382" i="3"/>
  <c r="V2382" i="3"/>
  <c r="V2603" i="3"/>
  <c r="W2603" i="3"/>
  <c r="V2644" i="3"/>
  <c r="W2644" i="3"/>
  <c r="V645" i="3"/>
  <c r="W645" i="3"/>
  <c r="V2784" i="3"/>
  <c r="W2784" i="3"/>
  <c r="W2494" i="3"/>
  <c r="V2494" i="3"/>
  <c r="W2882" i="3"/>
  <c r="V2882" i="3"/>
  <c r="W2398" i="3"/>
  <c r="V2398" i="3"/>
  <c r="V1844" i="3"/>
  <c r="W1844" i="3"/>
  <c r="V55" i="3"/>
  <c r="W55" i="3"/>
  <c r="W1423" i="3"/>
  <c r="V1423" i="3"/>
  <c r="V1229" i="3"/>
  <c r="W1229" i="3"/>
  <c r="L1229" i="3"/>
  <c r="M1229" i="3"/>
  <c r="I1230" i="3"/>
  <c r="P1229" i="3"/>
  <c r="N1229" i="3"/>
  <c r="O1229" i="3"/>
  <c r="W1982" i="3"/>
  <c r="V1982" i="3"/>
  <c r="I1983" i="3"/>
  <c r="P1982" i="3"/>
  <c r="O1982" i="3"/>
  <c r="M1982" i="3"/>
  <c r="L1982" i="3"/>
  <c r="N1982" i="3"/>
  <c r="V1244" i="3"/>
  <c r="W1244" i="3"/>
  <c r="V2935" i="3"/>
  <c r="W2935" i="3"/>
  <c r="V1955" i="3"/>
  <c r="W1955" i="3"/>
  <c r="V3306" i="3"/>
  <c r="W3306" i="3"/>
  <c r="V2712" i="3"/>
  <c r="W2712" i="3"/>
  <c r="W2991" i="3"/>
  <c r="V2991" i="3"/>
  <c r="W1857" i="3"/>
  <c r="V1857" i="3"/>
  <c r="W3075" i="3"/>
  <c r="V3075" i="3"/>
  <c r="V2727" i="3"/>
  <c r="W2727" i="3"/>
  <c r="V1302" i="3"/>
  <c r="W1302" i="3"/>
  <c r="V2476" i="3"/>
  <c r="W2476" i="3"/>
  <c r="W1263" i="3"/>
  <c r="V1263" i="3"/>
  <c r="V1286" i="3"/>
  <c r="W1286" i="3"/>
  <c r="V2064" i="3"/>
  <c r="W2064" i="3"/>
  <c r="P2064" i="3"/>
  <c r="I2065" i="3"/>
  <c r="O2064" i="3"/>
  <c r="N2064" i="3"/>
  <c r="M2064" i="3"/>
  <c r="L2064" i="3"/>
  <c r="W1870" i="3"/>
  <c r="V1870" i="3"/>
  <c r="W3047" i="3"/>
  <c r="V3047" i="3"/>
  <c r="V727" i="3"/>
  <c r="W727" i="3"/>
  <c r="V3337" i="3"/>
  <c r="W3337" i="3"/>
  <c r="V711" i="3"/>
  <c r="W711" i="3"/>
  <c r="W2670" i="3"/>
  <c r="V2670" i="3"/>
  <c r="V109" i="3"/>
  <c r="W109" i="3"/>
  <c r="V2547" i="3"/>
  <c r="W2547" i="3"/>
  <c r="V926" i="3"/>
  <c r="W926" i="3"/>
  <c r="V3224" i="3"/>
  <c r="W3224" i="3"/>
  <c r="V658" i="3"/>
  <c r="W658" i="3"/>
  <c r="V2113" i="3"/>
  <c r="W2113" i="3"/>
  <c r="V696" i="3"/>
  <c r="W696" i="3"/>
  <c r="W1773" i="3"/>
  <c r="V1773" i="3"/>
  <c r="V3201" i="3"/>
  <c r="W3201" i="3"/>
  <c r="V41" i="3"/>
  <c r="W41" i="3"/>
  <c r="V2443" i="3"/>
  <c r="W2443" i="3"/>
  <c r="V2895" i="3"/>
  <c r="W2895" i="3"/>
  <c r="W3259" i="3"/>
  <c r="V3259" i="3"/>
  <c r="V1373" i="3"/>
  <c r="W1373" i="3"/>
  <c r="W2866" i="3"/>
  <c r="V2866" i="3"/>
  <c r="I2617" i="3"/>
  <c r="L2616" i="3"/>
  <c r="P2616" i="3"/>
  <c r="O2616" i="3"/>
  <c r="N2616" i="3"/>
  <c r="M2616" i="3"/>
  <c r="I598" i="3"/>
  <c r="O597" i="3"/>
  <c r="N597" i="3"/>
  <c r="M597" i="3"/>
  <c r="L597" i="3"/>
  <c r="P597" i="3"/>
  <c r="P1317" i="3"/>
  <c r="O1317" i="3"/>
  <c r="N1317" i="3"/>
  <c r="M1317" i="3"/>
  <c r="L1317" i="3"/>
  <c r="I1744" i="3"/>
  <c r="M1743" i="3"/>
  <c r="L1743" i="3"/>
  <c r="O1743" i="3"/>
  <c r="N1743" i="3"/>
  <c r="P1743" i="3"/>
  <c r="I2329" i="3"/>
  <c r="P2328" i="3"/>
  <c r="M2328" i="3"/>
  <c r="L2328" i="3"/>
  <c r="N2328" i="3"/>
  <c r="O2328" i="3"/>
  <c r="I2083" i="3"/>
  <c r="O2082" i="3"/>
  <c r="L2082" i="3"/>
  <c r="M2082" i="3"/>
  <c r="P2082" i="3"/>
  <c r="N2082" i="3"/>
  <c r="P2741" i="3"/>
  <c r="O2741" i="3"/>
  <c r="N2741" i="3"/>
  <c r="M2741" i="3"/>
  <c r="L2741" i="3"/>
  <c r="I3034" i="3"/>
  <c r="O3033" i="3"/>
  <c r="P3033" i="3"/>
  <c r="N3033" i="3"/>
  <c r="M3033" i="3"/>
  <c r="L3033" i="3"/>
  <c r="I773" i="3"/>
  <c r="L772" i="3"/>
  <c r="P772" i="3"/>
  <c r="N772" i="3"/>
  <c r="M772" i="3"/>
  <c r="O772" i="3"/>
  <c r="L2025" i="3"/>
  <c r="P2025" i="3"/>
  <c r="O2025" i="3"/>
  <c r="M2025" i="3"/>
  <c r="N2025" i="3"/>
  <c r="I1653" i="3"/>
  <c r="L1652" i="3"/>
  <c r="P1652" i="3"/>
  <c r="O1652" i="3"/>
  <c r="M1652" i="3"/>
  <c r="N1652" i="3"/>
  <c r="P1216" i="3"/>
  <c r="O1216" i="3"/>
  <c r="N1216" i="3"/>
  <c r="M1216" i="3"/>
  <c r="L1216" i="3"/>
  <c r="I1626" i="3"/>
  <c r="P1625" i="3"/>
  <c r="L1625" i="3"/>
  <c r="O1625" i="3"/>
  <c r="N1625" i="3"/>
  <c r="M1625" i="3"/>
  <c r="M969" i="3"/>
  <c r="L969" i="3"/>
  <c r="O969" i="3"/>
  <c r="N969" i="3"/>
  <c r="P969" i="3"/>
  <c r="I2236" i="3"/>
  <c r="P2235" i="3"/>
  <c r="O2235" i="3"/>
  <c r="N2235" i="3"/>
  <c r="M2235" i="3"/>
  <c r="L2235" i="3"/>
  <c r="I2011" i="3"/>
  <c r="N2010" i="3"/>
  <c r="M2010" i="3"/>
  <c r="L2010" i="3"/>
  <c r="P2010" i="3"/>
  <c r="O2010" i="3"/>
  <c r="M1033" i="3"/>
  <c r="L1033" i="3"/>
  <c r="O1033" i="3"/>
  <c r="N1033" i="3"/>
  <c r="P1033" i="3"/>
  <c r="I1611" i="3"/>
  <c r="N1610" i="3"/>
  <c r="M1610" i="3"/>
  <c r="O1610" i="3"/>
  <c r="L1610" i="3"/>
  <c r="P1610" i="3"/>
  <c r="I3020" i="3"/>
  <c r="P3019" i="3"/>
  <c r="O3019" i="3"/>
  <c r="M3019" i="3"/>
  <c r="N3019" i="3"/>
  <c r="L3019" i="3"/>
  <c r="I1907" i="3"/>
  <c r="N1906" i="3"/>
  <c r="L1906" i="3"/>
  <c r="P1906" i="3"/>
  <c r="M1906" i="3"/>
  <c r="O1906" i="3"/>
  <c r="I1455" i="3"/>
  <c r="M1454" i="3"/>
  <c r="P1454" i="3"/>
  <c r="O1454" i="3"/>
  <c r="N1454" i="3"/>
  <c r="L1454" i="3"/>
  <c r="I1017" i="3"/>
  <c r="P1016" i="3"/>
  <c r="O1016" i="3"/>
  <c r="N1016" i="3"/>
  <c r="L1016" i="3"/>
  <c r="M1016" i="3"/>
  <c r="P3352" i="3"/>
  <c r="O3352" i="3"/>
  <c r="N3352" i="3"/>
  <c r="M3352" i="3"/>
  <c r="L3352" i="3"/>
  <c r="N14" i="3"/>
  <c r="M14" i="3"/>
  <c r="L14" i="3"/>
  <c r="P14" i="3"/>
  <c r="O14" i="3"/>
  <c r="I1486" i="3"/>
  <c r="O1485" i="3"/>
  <c r="N1485" i="3"/>
  <c r="M1485" i="3"/>
  <c r="L1485" i="3"/>
  <c r="P1485" i="3"/>
  <c r="I2564" i="3"/>
  <c r="M2563" i="3"/>
  <c r="L2563" i="3"/>
  <c r="P2563" i="3"/>
  <c r="O2563" i="3"/>
  <c r="N2563" i="3"/>
  <c r="I984" i="3"/>
  <c r="O983" i="3"/>
  <c r="N983" i="3"/>
  <c r="M983" i="3"/>
  <c r="L983" i="3"/>
  <c r="P983" i="3"/>
  <c r="I282" i="3"/>
  <c r="O281" i="3"/>
  <c r="N281" i="3"/>
  <c r="M281" i="3"/>
  <c r="L281" i="3"/>
  <c r="P281" i="3"/>
  <c r="I3112" i="3"/>
  <c r="P3111" i="3"/>
  <c r="O3111" i="3"/>
  <c r="N3111" i="3"/>
  <c r="M3111" i="3"/>
  <c r="L3111" i="3"/>
  <c r="I147" i="3"/>
  <c r="P146" i="3"/>
  <c r="O146" i="3"/>
  <c r="N146" i="3"/>
  <c r="L146" i="3"/>
  <c r="M146" i="3"/>
  <c r="O1997" i="3"/>
  <c r="N1997" i="3"/>
  <c r="M1997" i="3"/>
  <c r="L1997" i="3"/>
  <c r="P1997" i="3"/>
  <c r="I1759" i="3"/>
  <c r="P1758" i="3"/>
  <c r="M1758" i="3"/>
  <c r="L1758" i="3"/>
  <c r="O1758" i="3"/>
  <c r="N1758" i="3"/>
  <c r="I1439" i="3"/>
  <c r="M1438" i="3"/>
  <c r="O1438" i="3"/>
  <c r="N1438" i="3"/>
  <c r="L1438" i="3"/>
  <c r="P1438" i="3"/>
  <c r="P1969" i="3"/>
  <c r="N1969" i="3"/>
  <c r="M1969" i="3"/>
  <c r="L1969" i="3"/>
  <c r="O1969" i="3"/>
  <c r="I1000" i="3"/>
  <c r="O999" i="3"/>
  <c r="N999" i="3"/>
  <c r="M999" i="3"/>
  <c r="L999" i="3"/>
  <c r="P999" i="3"/>
  <c r="I2348" i="3"/>
  <c r="L2347" i="3"/>
  <c r="N2347" i="3"/>
  <c r="P2347" i="3"/>
  <c r="O2347" i="3"/>
  <c r="M2347" i="3"/>
  <c r="I1340" i="3"/>
  <c r="L1339" i="3"/>
  <c r="P1339" i="3"/>
  <c r="O1339" i="3"/>
  <c r="N1339" i="3"/>
  <c r="M1339" i="3"/>
  <c r="I1502" i="3"/>
  <c r="P1501" i="3"/>
  <c r="O1501" i="3"/>
  <c r="M1501" i="3"/>
  <c r="N1501" i="3"/>
  <c r="L1501" i="3"/>
  <c r="I2099" i="3"/>
  <c r="M2098" i="3"/>
  <c r="L2098" i="3"/>
  <c r="P2098" i="3"/>
  <c r="O2098" i="3"/>
  <c r="N2098" i="3"/>
  <c r="I1729" i="3"/>
  <c r="P1728" i="3"/>
  <c r="N1728" i="3"/>
  <c r="M1728" i="3"/>
  <c r="O1728" i="3"/>
  <c r="L1728" i="3"/>
  <c r="I2254" i="3"/>
  <c r="N2253" i="3"/>
  <c r="M2253" i="3"/>
  <c r="L2253" i="3"/>
  <c r="P2253" i="3"/>
  <c r="O2253" i="3"/>
  <c r="I314" i="3"/>
  <c r="O313" i="3"/>
  <c r="N313" i="3"/>
  <c r="M313" i="3"/>
  <c r="L313" i="3"/>
  <c r="P313" i="3"/>
  <c r="I2428" i="3"/>
  <c r="M2427" i="3"/>
  <c r="L2427" i="3"/>
  <c r="P2427" i="3"/>
  <c r="O2427" i="3"/>
  <c r="N2427" i="3"/>
  <c r="I1682" i="3"/>
  <c r="L1681" i="3"/>
  <c r="P1681" i="3"/>
  <c r="O1681" i="3"/>
  <c r="N1681" i="3"/>
  <c r="M1681" i="3"/>
  <c r="I3187" i="3"/>
  <c r="M3186" i="3"/>
  <c r="L3186" i="3"/>
  <c r="N3186" i="3"/>
  <c r="P3186" i="3"/>
  <c r="O3186" i="3"/>
  <c r="I422" i="3"/>
  <c r="O421" i="3"/>
  <c r="N421" i="3"/>
  <c r="M421" i="3"/>
  <c r="L421" i="3"/>
  <c r="P421" i="3"/>
  <c r="I1893" i="3"/>
  <c r="L1892" i="3"/>
  <c r="N1892" i="3"/>
  <c r="M1892" i="3"/>
  <c r="P1892" i="3"/>
  <c r="O1892" i="3"/>
  <c r="I123" i="3"/>
  <c r="P122" i="3"/>
  <c r="O122" i="3"/>
  <c r="N122" i="3"/>
  <c r="L122" i="3"/>
  <c r="M122" i="3"/>
  <c r="M3170" i="3"/>
  <c r="L3170" i="3"/>
  <c r="P3170" i="3"/>
  <c r="O3170" i="3"/>
  <c r="N3170" i="3"/>
  <c r="I3171" i="3"/>
  <c r="N2205" i="3"/>
  <c r="M2205" i="3"/>
  <c r="L2205" i="3"/>
  <c r="P2205" i="3"/>
  <c r="O2205" i="3"/>
  <c r="I2699" i="3"/>
  <c r="O2698" i="3"/>
  <c r="N2698" i="3"/>
  <c r="M2698" i="3"/>
  <c r="L2698" i="3"/>
  <c r="P2698" i="3"/>
  <c r="I2383" i="3"/>
  <c r="M2382" i="3"/>
  <c r="L2382" i="3"/>
  <c r="O2382" i="3"/>
  <c r="N2382" i="3"/>
  <c r="P2382" i="3"/>
  <c r="M2603" i="3"/>
  <c r="L2603" i="3"/>
  <c r="P2603" i="3"/>
  <c r="O2603" i="3"/>
  <c r="N2603" i="3"/>
  <c r="I2645" i="3"/>
  <c r="P2644" i="3"/>
  <c r="M2644" i="3"/>
  <c r="L2644" i="3"/>
  <c r="O2644" i="3"/>
  <c r="N2644" i="3"/>
  <c r="O645" i="3"/>
  <c r="N645" i="3"/>
  <c r="M645" i="3"/>
  <c r="L645" i="3"/>
  <c r="P645" i="3"/>
  <c r="I2785" i="3"/>
  <c r="P2784" i="3"/>
  <c r="O2784" i="3"/>
  <c r="N2784" i="3"/>
  <c r="M2784" i="3"/>
  <c r="L2784" i="3"/>
  <c r="I2495" i="3"/>
  <c r="N2494" i="3"/>
  <c r="M2494" i="3"/>
  <c r="L2494" i="3"/>
  <c r="O2494" i="3"/>
  <c r="P2494" i="3"/>
  <c r="N2882" i="3"/>
  <c r="M2882" i="3"/>
  <c r="P2882" i="3"/>
  <c r="L2882" i="3"/>
  <c r="O2882" i="3"/>
  <c r="I2399" i="3"/>
  <c r="M2398" i="3"/>
  <c r="L2398" i="3"/>
  <c r="O2398" i="3"/>
  <c r="P2398" i="3"/>
  <c r="N2398" i="3"/>
  <c r="L1844" i="3"/>
  <c r="O1844" i="3"/>
  <c r="P1844" i="3"/>
  <c r="M1844" i="3"/>
  <c r="N1844" i="3"/>
  <c r="I56" i="3"/>
  <c r="P55" i="3"/>
  <c r="O55" i="3"/>
  <c r="N55" i="3"/>
  <c r="M55" i="3"/>
  <c r="L55" i="3"/>
  <c r="I1424" i="3"/>
  <c r="P1423" i="3"/>
  <c r="O1423" i="3"/>
  <c r="N1423" i="3"/>
  <c r="M1423" i="3"/>
  <c r="L1423" i="3"/>
  <c r="I1245" i="3"/>
  <c r="O1244" i="3"/>
  <c r="N1244" i="3"/>
  <c r="M1244" i="3"/>
  <c r="L1244" i="3"/>
  <c r="P1244" i="3"/>
  <c r="I2936" i="3"/>
  <c r="M2935" i="3"/>
  <c r="L2935" i="3"/>
  <c r="N2935" i="3"/>
  <c r="P2935" i="3"/>
  <c r="O2935" i="3"/>
  <c r="P1955" i="3"/>
  <c r="O1955" i="3"/>
  <c r="N1955" i="3"/>
  <c r="M1955" i="3"/>
  <c r="L1955" i="3"/>
  <c r="P3306" i="3"/>
  <c r="O3306" i="3"/>
  <c r="N3306" i="3"/>
  <c r="M3306" i="3"/>
  <c r="L3306" i="3"/>
  <c r="I3307" i="3"/>
  <c r="I2713" i="3"/>
  <c r="P2712" i="3"/>
  <c r="O2712" i="3"/>
  <c r="N2712" i="3"/>
  <c r="M2712" i="3"/>
  <c r="L2712" i="3"/>
  <c r="I2992" i="3"/>
  <c r="M2991" i="3"/>
  <c r="L2991" i="3"/>
  <c r="P2991" i="3"/>
  <c r="O2991" i="3"/>
  <c r="N2991" i="3"/>
  <c r="P1857" i="3"/>
  <c r="N1857" i="3"/>
  <c r="O1857" i="3"/>
  <c r="M1857" i="3"/>
  <c r="L1857" i="3"/>
  <c r="I3076" i="3"/>
  <c r="O3075" i="3"/>
  <c r="N3075" i="3"/>
  <c r="L3075" i="3"/>
  <c r="M3075" i="3"/>
  <c r="P3075" i="3"/>
  <c r="N2727" i="3"/>
  <c r="M2727" i="3"/>
  <c r="L2727" i="3"/>
  <c r="P2727" i="3"/>
  <c r="O2727" i="3"/>
  <c r="I1303" i="3"/>
  <c r="M1302" i="3"/>
  <c r="L1302" i="3"/>
  <c r="P1302" i="3"/>
  <c r="O1302" i="3"/>
  <c r="N1302" i="3"/>
  <c r="I2477" i="3"/>
  <c r="P2476" i="3"/>
  <c r="O2476" i="3"/>
  <c r="N2476" i="3"/>
  <c r="M2476" i="3"/>
  <c r="L2476" i="3"/>
  <c r="P1263" i="3"/>
  <c r="O1263" i="3"/>
  <c r="N1263" i="3"/>
  <c r="M1263" i="3"/>
  <c r="L1263" i="3"/>
  <c r="I1287" i="3"/>
  <c r="M1286" i="3"/>
  <c r="L1286" i="3"/>
  <c r="P1286" i="3"/>
  <c r="O1286" i="3"/>
  <c r="N1286" i="3"/>
  <c r="P1870" i="3"/>
  <c r="O1870" i="3"/>
  <c r="M1870" i="3"/>
  <c r="N1870" i="3"/>
  <c r="L1870" i="3"/>
  <c r="I3134" i="3"/>
  <c r="N3133" i="3"/>
  <c r="M3133" i="3"/>
  <c r="L3133" i="3"/>
  <c r="O3133" i="3"/>
  <c r="P3133" i="3"/>
  <c r="I2771" i="3"/>
  <c r="O2770" i="3"/>
  <c r="N2770" i="3"/>
  <c r="M2770" i="3"/>
  <c r="L2770" i="3"/>
  <c r="P2770" i="3"/>
  <c r="M727" i="3"/>
  <c r="L727" i="3"/>
  <c r="O727" i="3"/>
  <c r="N727" i="3"/>
  <c r="P727" i="3"/>
  <c r="I3338" i="3"/>
  <c r="M3337" i="3"/>
  <c r="L3337" i="3"/>
  <c r="P3337" i="3"/>
  <c r="O3337" i="3"/>
  <c r="N3337" i="3"/>
  <c r="I712" i="3"/>
  <c r="M711" i="3"/>
  <c r="L711" i="3"/>
  <c r="O711" i="3"/>
  <c r="N711" i="3"/>
  <c r="P711" i="3"/>
  <c r="I2671" i="3"/>
  <c r="P2670" i="3"/>
  <c r="O2670" i="3"/>
  <c r="N2670" i="3"/>
  <c r="M2670" i="3"/>
  <c r="L2670" i="3"/>
  <c r="P109" i="3"/>
  <c r="O109" i="3"/>
  <c r="M109" i="3"/>
  <c r="L109" i="3"/>
  <c r="N109" i="3"/>
  <c r="I2548" i="3"/>
  <c r="M2547" i="3"/>
  <c r="L2547" i="3"/>
  <c r="P2547" i="3"/>
  <c r="O2547" i="3"/>
  <c r="N2547" i="3"/>
  <c r="I927" i="3"/>
  <c r="L926" i="3"/>
  <c r="P926" i="3"/>
  <c r="N926" i="3"/>
  <c r="M926" i="3"/>
  <c r="O926" i="3"/>
  <c r="I3225" i="3"/>
  <c r="O3224" i="3"/>
  <c r="N3224" i="3"/>
  <c r="M3224" i="3"/>
  <c r="L3224" i="3"/>
  <c r="P3224" i="3"/>
  <c r="N658" i="3"/>
  <c r="M658" i="3"/>
  <c r="L658" i="3"/>
  <c r="P658" i="3"/>
  <c r="O658" i="3"/>
  <c r="I2114" i="3"/>
  <c r="O2113" i="3"/>
  <c r="L2113" i="3"/>
  <c r="M2113" i="3"/>
  <c r="P2113" i="3"/>
  <c r="N2113" i="3"/>
  <c r="I697" i="3"/>
  <c r="P696" i="3"/>
  <c r="O696" i="3"/>
  <c r="N696" i="3"/>
  <c r="M696" i="3"/>
  <c r="L696" i="3"/>
  <c r="I1774" i="3"/>
  <c r="O1773" i="3"/>
  <c r="N1773" i="3"/>
  <c r="M1773" i="3"/>
  <c r="L1773" i="3"/>
  <c r="P1773" i="3"/>
  <c r="I3202" i="3"/>
  <c r="P3201" i="3"/>
  <c r="O3201" i="3"/>
  <c r="N3201" i="3"/>
  <c r="M3201" i="3"/>
  <c r="L3201" i="3"/>
  <c r="I42" i="3"/>
  <c r="O41" i="3"/>
  <c r="N41" i="3"/>
  <c r="M41" i="3"/>
  <c r="L41" i="3"/>
  <c r="P41" i="3"/>
  <c r="I2444" i="3"/>
  <c r="M2443" i="3"/>
  <c r="L2443" i="3"/>
  <c r="P2443" i="3"/>
  <c r="O2443" i="3"/>
  <c r="N2443" i="3"/>
  <c r="M2895" i="3"/>
  <c r="L2895" i="3"/>
  <c r="P2895" i="3"/>
  <c r="O2895" i="3"/>
  <c r="N2895" i="3"/>
  <c r="I3260" i="3"/>
  <c r="P3259" i="3"/>
  <c r="O3259" i="3"/>
  <c r="N3259" i="3"/>
  <c r="M3259" i="3"/>
  <c r="L3259" i="3"/>
  <c r="I1374" i="3"/>
  <c r="M1373" i="3"/>
  <c r="P1373" i="3"/>
  <c r="O1373" i="3"/>
  <c r="N1373" i="3"/>
  <c r="L1373" i="3"/>
  <c r="I2867" i="3"/>
  <c r="N2866" i="3"/>
  <c r="M2866" i="3"/>
  <c r="L2866" i="3"/>
  <c r="P2866" i="3"/>
  <c r="O2866" i="3"/>
  <c r="I3048" i="3"/>
  <c r="P3047" i="3"/>
  <c r="O3047" i="3"/>
  <c r="N3047" i="3"/>
  <c r="M3047" i="3"/>
  <c r="L3047" i="3"/>
  <c r="I2050" i="3"/>
  <c r="L2049" i="3"/>
  <c r="P2049" i="3"/>
  <c r="O2049" i="3"/>
  <c r="N2049" i="3"/>
  <c r="M2049" i="3"/>
  <c r="I2219" i="3"/>
  <c r="M2218" i="3"/>
  <c r="L2218" i="3"/>
  <c r="O2218" i="3"/>
  <c r="N2218" i="3"/>
  <c r="P2218" i="3"/>
  <c r="I832" i="3"/>
  <c r="O831" i="3"/>
  <c r="N831" i="3"/>
  <c r="M831" i="3"/>
  <c r="L831" i="3"/>
  <c r="P831" i="3"/>
  <c r="I1112" i="3"/>
  <c r="P1111" i="3"/>
  <c r="O1111" i="3"/>
  <c r="N1111" i="3"/>
  <c r="M1111" i="3"/>
  <c r="L1111" i="3"/>
  <c r="I3090" i="3"/>
  <c r="P3089" i="3"/>
  <c r="N3089" i="3"/>
  <c r="M3089" i="3"/>
  <c r="O3089" i="3"/>
  <c r="L3089" i="3"/>
  <c r="P28" i="3"/>
  <c r="O28" i="3"/>
  <c r="N28" i="3"/>
  <c r="M28" i="3"/>
  <c r="L28" i="3"/>
  <c r="I2960" i="3"/>
  <c r="M2959" i="3"/>
  <c r="L2959" i="3"/>
  <c r="P2959" i="3"/>
  <c r="O2959" i="3"/>
  <c r="N2959" i="3"/>
  <c r="I1409" i="3"/>
  <c r="N1408" i="3"/>
  <c r="M1408" i="3"/>
  <c r="L1408" i="3"/>
  <c r="P1408" i="3"/>
  <c r="O1408" i="3"/>
  <c r="I1146" i="3"/>
  <c r="N1145" i="3"/>
  <c r="M1145" i="3"/>
  <c r="L1145" i="3"/>
  <c r="P1145" i="3"/>
  <c r="O1145" i="3"/>
  <c r="P2813" i="3"/>
  <c r="O2813" i="3"/>
  <c r="N2813" i="3"/>
  <c r="M2813" i="3"/>
  <c r="L2813" i="3"/>
  <c r="I2289" i="3"/>
  <c r="P2288" i="3"/>
  <c r="M2288" i="3"/>
  <c r="N2288" i="3"/>
  <c r="L2288" i="3"/>
  <c r="O2288" i="3"/>
  <c r="O2909" i="3"/>
  <c r="N2909" i="3"/>
  <c r="L2909" i="3"/>
  <c r="P2909" i="3"/>
  <c r="M2909" i="3"/>
  <c r="I2461" i="3"/>
  <c r="P2460" i="3"/>
  <c r="O2460" i="3"/>
  <c r="N2460" i="3"/>
  <c r="M2460" i="3"/>
  <c r="L2460" i="3"/>
  <c r="I2305" i="3"/>
  <c r="P2304" i="3"/>
  <c r="M2304" i="3"/>
  <c r="O2304" i="3"/>
  <c r="N2304" i="3"/>
  <c r="L2304" i="3"/>
  <c r="I298" i="3"/>
  <c r="O297" i="3"/>
  <c r="N297" i="3"/>
  <c r="M297" i="3"/>
  <c r="L297" i="3"/>
  <c r="P297" i="3"/>
  <c r="I1203" i="3"/>
  <c r="P1202" i="3"/>
  <c r="O1202" i="3"/>
  <c r="N1202" i="3"/>
  <c r="M1202" i="3"/>
  <c r="L1202" i="3"/>
  <c r="P2685" i="3"/>
  <c r="O2685" i="3"/>
  <c r="N2685" i="3"/>
  <c r="M2685" i="3"/>
  <c r="L2685" i="3"/>
  <c r="I2631" i="3"/>
  <c r="N2630" i="3"/>
  <c r="M2630" i="3"/>
  <c r="L2630" i="3"/>
  <c r="P2630" i="3"/>
  <c r="O2630" i="3"/>
  <c r="I913" i="3"/>
  <c r="P912" i="3"/>
  <c r="O912" i="3"/>
  <c r="N912" i="3"/>
  <c r="L912" i="3"/>
  <c r="M912" i="3"/>
  <c r="I2976" i="3"/>
  <c r="M2975" i="3"/>
  <c r="L2975" i="3"/>
  <c r="O2975" i="3"/>
  <c r="N2975" i="3"/>
  <c r="P2975" i="3"/>
  <c r="I2130" i="3"/>
  <c r="O2129" i="3"/>
  <c r="L2129" i="3"/>
  <c r="M2129" i="3"/>
  <c r="P2129" i="3"/>
  <c r="N2129" i="3"/>
  <c r="P162" i="3"/>
  <c r="O162" i="3"/>
  <c r="N162" i="3"/>
  <c r="L162" i="3"/>
  <c r="M162" i="3"/>
  <c r="I1471" i="3"/>
  <c r="M1470" i="3"/>
  <c r="P1470" i="3"/>
  <c r="N1470" i="3"/>
  <c r="O1470" i="3"/>
  <c r="L1470" i="3"/>
  <c r="I361" i="3"/>
  <c r="P360" i="3"/>
  <c r="O360" i="3"/>
  <c r="N360" i="3"/>
  <c r="M360" i="3"/>
  <c r="L360" i="3"/>
  <c r="P1359" i="3"/>
  <c r="O1359" i="3"/>
  <c r="N1359" i="3"/>
  <c r="M1359" i="3"/>
  <c r="L1359" i="3"/>
  <c r="I3062" i="3"/>
  <c r="M3061" i="3"/>
  <c r="L3061" i="3"/>
  <c r="P3061" i="3"/>
  <c r="O3061" i="3"/>
  <c r="N3061" i="3"/>
  <c r="O847" i="3"/>
  <c r="N847" i="3"/>
  <c r="M847" i="3"/>
  <c r="L847" i="3"/>
  <c r="P847" i="3"/>
  <c r="I2273" i="3"/>
  <c r="P2272" i="3"/>
  <c r="M2272" i="3"/>
  <c r="N2272" i="3"/>
  <c r="O2272" i="3"/>
  <c r="L2272" i="3"/>
  <c r="I2755" i="3"/>
  <c r="O2754" i="3"/>
  <c r="N2754" i="3"/>
  <c r="M2754" i="3"/>
  <c r="L2754" i="3"/>
  <c r="P2754" i="3"/>
  <c r="I2799" i="3"/>
  <c r="P2798" i="3"/>
  <c r="O2798" i="3"/>
  <c r="M2798" i="3"/>
  <c r="L2798" i="3"/>
  <c r="N2798" i="3"/>
  <c r="I3156" i="3"/>
  <c r="P3155" i="3"/>
  <c r="O3155" i="3"/>
  <c r="N3155" i="3"/>
  <c r="M3155" i="3"/>
  <c r="L3155" i="3"/>
  <c r="I2364" i="3"/>
  <c r="L2363" i="3"/>
  <c r="N2363" i="3"/>
  <c r="P2363" i="3"/>
  <c r="O2363" i="3"/>
  <c r="M2363" i="3"/>
  <c r="P2163" i="3"/>
  <c r="O2163" i="3"/>
  <c r="M2163" i="3"/>
  <c r="L2163" i="3"/>
  <c r="N2163" i="3"/>
  <c r="I3323" i="3"/>
  <c r="P3322" i="3"/>
  <c r="O3322" i="3"/>
  <c r="N3322" i="3"/>
  <c r="M3322" i="3"/>
  <c r="L3322" i="3"/>
  <c r="I861" i="3"/>
  <c r="N860" i="3"/>
  <c r="M860" i="3"/>
  <c r="L860" i="3"/>
  <c r="P860" i="3"/>
  <c r="O860" i="3"/>
  <c r="P175" i="3"/>
  <c r="O175" i="3"/>
  <c r="N175" i="3"/>
  <c r="M175" i="3"/>
  <c r="L175" i="3"/>
  <c r="P189" i="3"/>
  <c r="O189" i="3"/>
  <c r="M189" i="3"/>
  <c r="L189" i="3"/>
  <c r="N189" i="3"/>
  <c r="I3242" i="3"/>
  <c r="P3241" i="3"/>
  <c r="O3241" i="3"/>
  <c r="N3241" i="3"/>
  <c r="M3241" i="3"/>
  <c r="L3241" i="3"/>
  <c r="I3278" i="3"/>
  <c r="P3277" i="3"/>
  <c r="O3277" i="3"/>
  <c r="N3277" i="3"/>
  <c r="M3277" i="3"/>
  <c r="L3277" i="3"/>
  <c r="I1668" i="3"/>
  <c r="P1667" i="3"/>
  <c r="N1667" i="3"/>
  <c r="M1667" i="3"/>
  <c r="L1667" i="3"/>
  <c r="O1667" i="3"/>
  <c r="V2273" i="3" l="1"/>
  <c r="W2273" i="3"/>
  <c r="V3242" i="3"/>
  <c r="W3242" i="3"/>
  <c r="V861" i="3"/>
  <c r="W861" i="3"/>
  <c r="V2130" i="3"/>
  <c r="W2130" i="3"/>
  <c r="V832" i="3"/>
  <c r="W832" i="3"/>
  <c r="V2867" i="3"/>
  <c r="W2867" i="3"/>
  <c r="V3225" i="3"/>
  <c r="W3225" i="3"/>
  <c r="W2477" i="3"/>
  <c r="V2477" i="3"/>
  <c r="V2399" i="3"/>
  <c r="W2399" i="3"/>
  <c r="W3187" i="3"/>
  <c r="V3187" i="3"/>
  <c r="V2254" i="3"/>
  <c r="W2254" i="3"/>
  <c r="V1340" i="3"/>
  <c r="W1340" i="3"/>
  <c r="V147" i="3"/>
  <c r="W147" i="3"/>
  <c r="V2564" i="3"/>
  <c r="W2564" i="3"/>
  <c r="W1774" i="3"/>
  <c r="V1774" i="3"/>
  <c r="V3076" i="3"/>
  <c r="W3076" i="3"/>
  <c r="V1245" i="3"/>
  <c r="W1245" i="3"/>
  <c r="W2785" i="3"/>
  <c r="V2785" i="3"/>
  <c r="W1455" i="3"/>
  <c r="V1455" i="3"/>
  <c r="V2305" i="3"/>
  <c r="W2305" i="3"/>
  <c r="V3278" i="3"/>
  <c r="W3278" i="3"/>
  <c r="V2631" i="3"/>
  <c r="W2631" i="3"/>
  <c r="V2289" i="3"/>
  <c r="W2289" i="3"/>
  <c r="V1112" i="3"/>
  <c r="W1112" i="3"/>
  <c r="V3048" i="3"/>
  <c r="W3048" i="3"/>
  <c r="W2713" i="3"/>
  <c r="V2713" i="3"/>
  <c r="W422" i="3"/>
  <c r="V422" i="3"/>
  <c r="V314" i="3"/>
  <c r="W314" i="3"/>
  <c r="W1502" i="3"/>
  <c r="V1502" i="3"/>
  <c r="V984" i="3"/>
  <c r="W984" i="3"/>
  <c r="W1653" i="3"/>
  <c r="V1653" i="3"/>
  <c r="V1744" i="3"/>
  <c r="W1744" i="3"/>
  <c r="W2065" i="3"/>
  <c r="V2065" i="3"/>
  <c r="I2066" i="3"/>
  <c r="L2065" i="3"/>
  <c r="P2065" i="3"/>
  <c r="N2065" i="3"/>
  <c r="M2065" i="3"/>
  <c r="O2065" i="3"/>
  <c r="W1921" i="3"/>
  <c r="V1921" i="3"/>
  <c r="M1921" i="3"/>
  <c r="P1921" i="3"/>
  <c r="N1921" i="3"/>
  <c r="O1921" i="3"/>
  <c r="L1921" i="3"/>
  <c r="V2960" i="3"/>
  <c r="W2960" i="3"/>
  <c r="V2755" i="3"/>
  <c r="W2755" i="3"/>
  <c r="V298" i="3"/>
  <c r="W298" i="3"/>
  <c r="V1409" i="3"/>
  <c r="W1409" i="3"/>
  <c r="V3202" i="3"/>
  <c r="W3202" i="3"/>
  <c r="V3338" i="3"/>
  <c r="W3338" i="3"/>
  <c r="W3307" i="3"/>
  <c r="V3307" i="3"/>
  <c r="V2936" i="3"/>
  <c r="W2936" i="3"/>
  <c r="V2495" i="3"/>
  <c r="W2495" i="3"/>
  <c r="W3171" i="3"/>
  <c r="V3171" i="3"/>
  <c r="V1017" i="3"/>
  <c r="W1017" i="3"/>
  <c r="V1611" i="3"/>
  <c r="W1611" i="3"/>
  <c r="V3034" i="3"/>
  <c r="W3034" i="3"/>
  <c r="W2617" i="3"/>
  <c r="V2617" i="3"/>
  <c r="V1230" i="3"/>
  <c r="W1230" i="3"/>
  <c r="O1230" i="3"/>
  <c r="N1230" i="3"/>
  <c r="I1231" i="3"/>
  <c r="M1230" i="3"/>
  <c r="P1230" i="3"/>
  <c r="L1230" i="3"/>
  <c r="V1668" i="3"/>
  <c r="W1668" i="3"/>
  <c r="V3062" i="3"/>
  <c r="W3062" i="3"/>
  <c r="V913" i="3"/>
  <c r="W913" i="3"/>
  <c r="V3090" i="3"/>
  <c r="W3090" i="3"/>
  <c r="W2050" i="3"/>
  <c r="V2050" i="3"/>
  <c r="V3260" i="3"/>
  <c r="W3260" i="3"/>
  <c r="V2548" i="3"/>
  <c r="W2548" i="3"/>
  <c r="V3134" i="3"/>
  <c r="W3134" i="3"/>
  <c r="V2992" i="3"/>
  <c r="W2992" i="3"/>
  <c r="W2645" i="3"/>
  <c r="V2645" i="3"/>
  <c r="W1893" i="3"/>
  <c r="V1893" i="3"/>
  <c r="V2428" i="3"/>
  <c r="W2428" i="3"/>
  <c r="V2099" i="3"/>
  <c r="W2099" i="3"/>
  <c r="V1000" i="3"/>
  <c r="W1000" i="3"/>
  <c r="V282" i="3"/>
  <c r="W282" i="3"/>
  <c r="V2236" i="3"/>
  <c r="W2236" i="3"/>
  <c r="V2329" i="3"/>
  <c r="W2329" i="3"/>
  <c r="V1471" i="3"/>
  <c r="W1471" i="3"/>
  <c r="W1203" i="3"/>
  <c r="V1203" i="3"/>
  <c r="V1146" i="3"/>
  <c r="W1146" i="3"/>
  <c r="V42" i="3"/>
  <c r="W42" i="3"/>
  <c r="V2114" i="3"/>
  <c r="W2114" i="3"/>
  <c r="V712" i="3"/>
  <c r="W712" i="3"/>
  <c r="V56" i="3"/>
  <c r="W56" i="3"/>
  <c r="V2699" i="3"/>
  <c r="W2699" i="3"/>
  <c r="V1759" i="3"/>
  <c r="W1759" i="3"/>
  <c r="V3020" i="3"/>
  <c r="W3020" i="3"/>
  <c r="V773" i="3"/>
  <c r="W773" i="3"/>
  <c r="W598" i="3"/>
  <c r="V598" i="3"/>
  <c r="V1983" i="3"/>
  <c r="W1983" i="3"/>
  <c r="M1983" i="3"/>
  <c r="L1983" i="3"/>
  <c r="O1983" i="3"/>
  <c r="P1983" i="3"/>
  <c r="N1983" i="3"/>
  <c r="V2364" i="3"/>
  <c r="W2364" i="3"/>
  <c r="V2799" i="3"/>
  <c r="W2799" i="3"/>
  <c r="W3323" i="3"/>
  <c r="V3323" i="3"/>
  <c r="V2976" i="3"/>
  <c r="W2976" i="3"/>
  <c r="V2219" i="3"/>
  <c r="W2219" i="3"/>
  <c r="V1374" i="3"/>
  <c r="W1374" i="3"/>
  <c r="V927" i="3"/>
  <c r="W927" i="3"/>
  <c r="V2771" i="3"/>
  <c r="W2771" i="3"/>
  <c r="W1303" i="3"/>
  <c r="V1303" i="3"/>
  <c r="V123" i="3"/>
  <c r="W123" i="3"/>
  <c r="W1682" i="3"/>
  <c r="V1682" i="3"/>
  <c r="W1729" i="3"/>
  <c r="V1729" i="3"/>
  <c r="V2348" i="3"/>
  <c r="W2348" i="3"/>
  <c r="V3112" i="3"/>
  <c r="W3112" i="3"/>
  <c r="W1486" i="3"/>
  <c r="V1486" i="3"/>
  <c r="V2011" i="3"/>
  <c r="W2011" i="3"/>
  <c r="V2083" i="3"/>
  <c r="W2083" i="3"/>
  <c r="V3156" i="3"/>
  <c r="W3156" i="3"/>
  <c r="V361" i="3"/>
  <c r="W361" i="3"/>
  <c r="W2461" i="3"/>
  <c r="V2461" i="3"/>
  <c r="V2444" i="3"/>
  <c r="W2444" i="3"/>
  <c r="V697" i="3"/>
  <c r="W697" i="3"/>
  <c r="V2671" i="3"/>
  <c r="W2671" i="3"/>
  <c r="W1287" i="3"/>
  <c r="V1287" i="3"/>
  <c r="V1424" i="3"/>
  <c r="W1424" i="3"/>
  <c r="V2383" i="3"/>
  <c r="W2383" i="3"/>
  <c r="W1439" i="3"/>
  <c r="V1439" i="3"/>
  <c r="V1907" i="3"/>
  <c r="W1907" i="3"/>
  <c r="W1626" i="3"/>
  <c r="V1626" i="3"/>
  <c r="L1668" i="3"/>
  <c r="M1668" i="3"/>
  <c r="P1668" i="3"/>
  <c r="N1668" i="3"/>
  <c r="O1668" i="3"/>
  <c r="P3062" i="3"/>
  <c r="O3062" i="3"/>
  <c r="M3062" i="3"/>
  <c r="L3062" i="3"/>
  <c r="N3062" i="3"/>
  <c r="M913" i="3"/>
  <c r="L913" i="3"/>
  <c r="O913" i="3"/>
  <c r="N913" i="3"/>
  <c r="P913" i="3"/>
  <c r="I3091" i="3"/>
  <c r="L3090" i="3"/>
  <c r="P3090" i="3"/>
  <c r="O3090" i="3"/>
  <c r="N3090" i="3"/>
  <c r="M3090" i="3"/>
  <c r="I2051" i="3"/>
  <c r="O2050" i="3"/>
  <c r="L2050" i="3"/>
  <c r="P2050" i="3"/>
  <c r="N2050" i="3"/>
  <c r="M2050" i="3"/>
  <c r="I3261" i="3"/>
  <c r="N3260" i="3"/>
  <c r="M3260" i="3"/>
  <c r="L3260" i="3"/>
  <c r="P3260" i="3"/>
  <c r="O3260" i="3"/>
  <c r="I2549" i="3"/>
  <c r="P2548" i="3"/>
  <c r="O2548" i="3"/>
  <c r="N2548" i="3"/>
  <c r="M2548" i="3"/>
  <c r="L2548" i="3"/>
  <c r="I3135" i="3"/>
  <c r="P3134" i="3"/>
  <c r="O3134" i="3"/>
  <c r="N3134" i="3"/>
  <c r="M3134" i="3"/>
  <c r="L3134" i="3"/>
  <c r="I2993" i="3"/>
  <c r="P2992" i="3"/>
  <c r="O2992" i="3"/>
  <c r="L2992" i="3"/>
  <c r="N2992" i="3"/>
  <c r="M2992" i="3"/>
  <c r="N2645" i="3"/>
  <c r="M2645" i="3"/>
  <c r="P2645" i="3"/>
  <c r="O2645" i="3"/>
  <c r="L2645" i="3"/>
  <c r="O1893" i="3"/>
  <c r="M1893" i="3"/>
  <c r="L1893" i="3"/>
  <c r="N1893" i="3"/>
  <c r="P1893" i="3"/>
  <c r="I2429" i="3"/>
  <c r="P2428" i="3"/>
  <c r="O2428" i="3"/>
  <c r="M2428" i="3"/>
  <c r="L2428" i="3"/>
  <c r="N2428" i="3"/>
  <c r="I2100" i="3"/>
  <c r="P2099" i="3"/>
  <c r="O2099" i="3"/>
  <c r="M2099" i="3"/>
  <c r="N2099" i="3"/>
  <c r="L2099" i="3"/>
  <c r="I1001" i="3"/>
  <c r="P1000" i="3"/>
  <c r="O1000" i="3"/>
  <c r="N1000" i="3"/>
  <c r="L1000" i="3"/>
  <c r="M1000" i="3"/>
  <c r="I283" i="3"/>
  <c r="P282" i="3"/>
  <c r="O282" i="3"/>
  <c r="N282" i="3"/>
  <c r="L282" i="3"/>
  <c r="M282" i="3"/>
  <c r="I2237" i="3"/>
  <c r="P2236" i="3"/>
  <c r="M2236" i="3"/>
  <c r="O2236" i="3"/>
  <c r="N2236" i="3"/>
  <c r="L2236" i="3"/>
  <c r="I2330" i="3"/>
  <c r="N2329" i="3"/>
  <c r="M2329" i="3"/>
  <c r="L2329" i="3"/>
  <c r="P2329" i="3"/>
  <c r="O2329" i="3"/>
  <c r="P2771" i="3"/>
  <c r="O2771" i="3"/>
  <c r="N2771" i="3"/>
  <c r="M2771" i="3"/>
  <c r="L2771" i="3"/>
  <c r="I2349" i="3"/>
  <c r="O2348" i="3"/>
  <c r="N2348" i="3"/>
  <c r="M2348" i="3"/>
  <c r="L2348" i="3"/>
  <c r="P2348" i="3"/>
  <c r="I1487" i="3"/>
  <c r="N1486" i="3"/>
  <c r="M1486" i="3"/>
  <c r="P1486" i="3"/>
  <c r="L1486" i="3"/>
  <c r="O1486" i="3"/>
  <c r="N2799" i="3"/>
  <c r="M2799" i="3"/>
  <c r="L2799" i="3"/>
  <c r="O2799" i="3"/>
  <c r="P2799" i="3"/>
  <c r="I1472" i="3"/>
  <c r="P1471" i="3"/>
  <c r="O1471" i="3"/>
  <c r="N1471" i="3"/>
  <c r="M1471" i="3"/>
  <c r="L1471" i="3"/>
  <c r="P1203" i="3"/>
  <c r="O1203" i="3"/>
  <c r="N1203" i="3"/>
  <c r="L1203" i="3"/>
  <c r="M1203" i="3"/>
  <c r="I1147" i="3"/>
  <c r="P1146" i="3"/>
  <c r="O1146" i="3"/>
  <c r="N1146" i="3"/>
  <c r="M1146" i="3"/>
  <c r="L1146" i="3"/>
  <c r="P42" i="3"/>
  <c r="O42" i="3"/>
  <c r="N42" i="3"/>
  <c r="L42" i="3"/>
  <c r="M42" i="3"/>
  <c r="I2115" i="3"/>
  <c r="M2114" i="3"/>
  <c r="L2114" i="3"/>
  <c r="O2114" i="3"/>
  <c r="P2114" i="3"/>
  <c r="N2114" i="3"/>
  <c r="I713" i="3"/>
  <c r="P712" i="3"/>
  <c r="O712" i="3"/>
  <c r="N712" i="3"/>
  <c r="M712" i="3"/>
  <c r="L712" i="3"/>
  <c r="I57" i="3"/>
  <c r="L56" i="3"/>
  <c r="P56" i="3"/>
  <c r="N56" i="3"/>
  <c r="M56" i="3"/>
  <c r="O56" i="3"/>
  <c r="P2699" i="3"/>
  <c r="O2699" i="3"/>
  <c r="N2699" i="3"/>
  <c r="M2699" i="3"/>
  <c r="L2699" i="3"/>
  <c r="I1760" i="3"/>
  <c r="M1759" i="3"/>
  <c r="O1759" i="3"/>
  <c r="N1759" i="3"/>
  <c r="P1759" i="3"/>
  <c r="L1759" i="3"/>
  <c r="L3020" i="3"/>
  <c r="P3020" i="3"/>
  <c r="O3020" i="3"/>
  <c r="N3020" i="3"/>
  <c r="M3020" i="3"/>
  <c r="I774" i="3"/>
  <c r="O773" i="3"/>
  <c r="N773" i="3"/>
  <c r="M773" i="3"/>
  <c r="L773" i="3"/>
  <c r="P773" i="3"/>
  <c r="I599" i="3"/>
  <c r="P598" i="3"/>
  <c r="O598" i="3"/>
  <c r="N598" i="3"/>
  <c r="L598" i="3"/>
  <c r="M598" i="3"/>
  <c r="I3324" i="3"/>
  <c r="P3323" i="3"/>
  <c r="O3323" i="3"/>
  <c r="N3323" i="3"/>
  <c r="M3323" i="3"/>
  <c r="L3323" i="3"/>
  <c r="P2976" i="3"/>
  <c r="O2976" i="3"/>
  <c r="L2976" i="3"/>
  <c r="N2976" i="3"/>
  <c r="M2976" i="3"/>
  <c r="I2977" i="3"/>
  <c r="N1682" i="3"/>
  <c r="P1682" i="3"/>
  <c r="O1682" i="3"/>
  <c r="L1682" i="3"/>
  <c r="M1682" i="3"/>
  <c r="I1730" i="3"/>
  <c r="O1729" i="3"/>
  <c r="L1729" i="3"/>
  <c r="P1729" i="3"/>
  <c r="N1729" i="3"/>
  <c r="M1729" i="3"/>
  <c r="I3157" i="3"/>
  <c r="P3156" i="3"/>
  <c r="O3156" i="3"/>
  <c r="M3156" i="3"/>
  <c r="L3156" i="3"/>
  <c r="N3156" i="3"/>
  <c r="I362" i="3"/>
  <c r="P361" i="3"/>
  <c r="O361" i="3"/>
  <c r="M361" i="3"/>
  <c r="N361" i="3"/>
  <c r="L361" i="3"/>
  <c r="I2462" i="3"/>
  <c r="P2461" i="3"/>
  <c r="O2461" i="3"/>
  <c r="N2461" i="3"/>
  <c r="M2461" i="3"/>
  <c r="L2461" i="3"/>
  <c r="I2445" i="3"/>
  <c r="P2444" i="3"/>
  <c r="O2444" i="3"/>
  <c r="M2444" i="3"/>
  <c r="L2444" i="3"/>
  <c r="N2444" i="3"/>
  <c r="I698" i="3"/>
  <c r="P697" i="3"/>
  <c r="O697" i="3"/>
  <c r="M697" i="3"/>
  <c r="L697" i="3"/>
  <c r="N697" i="3"/>
  <c r="L2671" i="3"/>
  <c r="N2671" i="3"/>
  <c r="M2671" i="3"/>
  <c r="P2671" i="3"/>
  <c r="O2671" i="3"/>
  <c r="I1288" i="3"/>
  <c r="P1287" i="3"/>
  <c r="O1287" i="3"/>
  <c r="N1287" i="3"/>
  <c r="M1287" i="3"/>
  <c r="L1287" i="3"/>
  <c r="I1425" i="3"/>
  <c r="L1424" i="3"/>
  <c r="O1424" i="3"/>
  <c r="P1424" i="3"/>
  <c r="N1424" i="3"/>
  <c r="M1424" i="3"/>
  <c r="I2384" i="3"/>
  <c r="P2383" i="3"/>
  <c r="O2383" i="3"/>
  <c r="N2383" i="3"/>
  <c r="M2383" i="3"/>
  <c r="L2383" i="3"/>
  <c r="I1440" i="3"/>
  <c r="P1439" i="3"/>
  <c r="O1439" i="3"/>
  <c r="M1439" i="3"/>
  <c r="N1439" i="3"/>
  <c r="L1439" i="3"/>
  <c r="O1907" i="3"/>
  <c r="N1907" i="3"/>
  <c r="P1907" i="3"/>
  <c r="M1907" i="3"/>
  <c r="L1907" i="3"/>
  <c r="N1626" i="3"/>
  <c r="L1626" i="3"/>
  <c r="P1626" i="3"/>
  <c r="M1626" i="3"/>
  <c r="O1626" i="3"/>
  <c r="M123" i="3"/>
  <c r="L123" i="3"/>
  <c r="O123" i="3"/>
  <c r="N123" i="3"/>
  <c r="P123" i="3"/>
  <c r="P2011" i="3"/>
  <c r="O2011" i="3"/>
  <c r="N2011" i="3"/>
  <c r="L2011" i="3"/>
  <c r="M2011" i="3"/>
  <c r="I2084" i="3"/>
  <c r="O2083" i="3"/>
  <c r="N2083" i="3"/>
  <c r="P2083" i="3"/>
  <c r="L2083" i="3"/>
  <c r="M2083" i="3"/>
  <c r="I3243" i="3"/>
  <c r="M3242" i="3"/>
  <c r="L3242" i="3"/>
  <c r="O3242" i="3"/>
  <c r="N3242" i="3"/>
  <c r="P3242" i="3"/>
  <c r="I862" i="3"/>
  <c r="P861" i="3"/>
  <c r="O861" i="3"/>
  <c r="N861" i="3"/>
  <c r="M861" i="3"/>
  <c r="L861" i="3"/>
  <c r="M2130" i="3"/>
  <c r="L2130" i="3"/>
  <c r="O2130" i="3"/>
  <c r="P2130" i="3"/>
  <c r="N2130" i="3"/>
  <c r="I833" i="3"/>
  <c r="P832" i="3"/>
  <c r="O832" i="3"/>
  <c r="N832" i="3"/>
  <c r="L832" i="3"/>
  <c r="M832" i="3"/>
  <c r="I2868" i="3"/>
  <c r="P2867" i="3"/>
  <c r="N2867" i="3"/>
  <c r="O2867" i="3"/>
  <c r="M2867" i="3"/>
  <c r="L2867" i="3"/>
  <c r="I3226" i="3"/>
  <c r="P3225" i="3"/>
  <c r="O3225" i="3"/>
  <c r="N3225" i="3"/>
  <c r="M3225" i="3"/>
  <c r="L3225" i="3"/>
  <c r="I2478" i="3"/>
  <c r="P2477" i="3"/>
  <c r="O2477" i="3"/>
  <c r="M2477" i="3"/>
  <c r="L2477" i="3"/>
  <c r="N2477" i="3"/>
  <c r="I2400" i="3"/>
  <c r="P2399" i="3"/>
  <c r="O2399" i="3"/>
  <c r="N2399" i="3"/>
  <c r="M2399" i="3"/>
  <c r="L2399" i="3"/>
  <c r="I3188" i="3"/>
  <c r="P3187" i="3"/>
  <c r="O3187" i="3"/>
  <c r="N3187" i="3"/>
  <c r="M3187" i="3"/>
  <c r="L3187" i="3"/>
  <c r="I2255" i="3"/>
  <c r="P2254" i="3"/>
  <c r="O2254" i="3"/>
  <c r="N2254" i="3"/>
  <c r="L2254" i="3"/>
  <c r="M2254" i="3"/>
  <c r="I1341" i="3"/>
  <c r="O1340" i="3"/>
  <c r="N1340" i="3"/>
  <c r="M1340" i="3"/>
  <c r="L1340" i="3"/>
  <c r="P1340" i="3"/>
  <c r="I148" i="3"/>
  <c r="M147" i="3"/>
  <c r="L147" i="3"/>
  <c r="O147" i="3"/>
  <c r="N147" i="3"/>
  <c r="P147" i="3"/>
  <c r="I2565" i="3"/>
  <c r="P2564" i="3"/>
  <c r="O2564" i="3"/>
  <c r="N2564" i="3"/>
  <c r="M2564" i="3"/>
  <c r="L2564" i="3"/>
  <c r="I3113" i="3"/>
  <c r="N3112" i="3"/>
  <c r="M3112" i="3"/>
  <c r="L3112" i="3"/>
  <c r="O3112" i="3"/>
  <c r="P3112" i="3"/>
  <c r="I2365" i="3"/>
  <c r="O2364" i="3"/>
  <c r="N2364" i="3"/>
  <c r="M2364" i="3"/>
  <c r="L2364" i="3"/>
  <c r="P2364" i="3"/>
  <c r="I2274" i="3"/>
  <c r="N2273" i="3"/>
  <c r="M2273" i="3"/>
  <c r="L2273" i="3"/>
  <c r="P2273" i="3"/>
  <c r="O2273" i="3"/>
  <c r="I2306" i="3"/>
  <c r="N2305" i="3"/>
  <c r="M2305" i="3"/>
  <c r="L2305" i="3"/>
  <c r="P2305" i="3"/>
  <c r="O2305" i="3"/>
  <c r="I2961" i="3"/>
  <c r="P2960" i="3"/>
  <c r="O2960" i="3"/>
  <c r="N2960" i="3"/>
  <c r="M2960" i="3"/>
  <c r="L2960" i="3"/>
  <c r="I1775" i="3"/>
  <c r="M1774" i="3"/>
  <c r="L1774" i="3"/>
  <c r="P1774" i="3"/>
  <c r="N1774" i="3"/>
  <c r="O1774" i="3"/>
  <c r="O3076" i="3"/>
  <c r="N3076" i="3"/>
  <c r="P3076" i="3"/>
  <c r="M3076" i="3"/>
  <c r="L3076" i="3"/>
  <c r="I1246" i="3"/>
  <c r="P1245" i="3"/>
  <c r="O1245" i="3"/>
  <c r="N1245" i="3"/>
  <c r="M1245" i="3"/>
  <c r="L1245" i="3"/>
  <c r="L2785" i="3"/>
  <c r="P2785" i="3"/>
  <c r="N2785" i="3"/>
  <c r="M2785" i="3"/>
  <c r="O2785" i="3"/>
  <c r="I1456" i="3"/>
  <c r="P1455" i="3"/>
  <c r="M1455" i="3"/>
  <c r="L1455" i="3"/>
  <c r="O1455" i="3"/>
  <c r="N1455" i="3"/>
  <c r="I3279" i="3"/>
  <c r="L3278" i="3"/>
  <c r="P3278" i="3"/>
  <c r="O3278" i="3"/>
  <c r="N3278" i="3"/>
  <c r="M3278" i="3"/>
  <c r="P2631" i="3"/>
  <c r="O2631" i="3"/>
  <c r="N2631" i="3"/>
  <c r="M2631" i="3"/>
  <c r="L2631" i="3"/>
  <c r="I2290" i="3"/>
  <c r="N2289" i="3"/>
  <c r="M2289" i="3"/>
  <c r="L2289" i="3"/>
  <c r="P2289" i="3"/>
  <c r="O2289" i="3"/>
  <c r="P1112" i="3"/>
  <c r="O1112" i="3"/>
  <c r="M1112" i="3"/>
  <c r="L1112" i="3"/>
  <c r="N1112" i="3"/>
  <c r="N3048" i="3"/>
  <c r="M3048" i="3"/>
  <c r="L3048" i="3"/>
  <c r="P3048" i="3"/>
  <c r="O3048" i="3"/>
  <c r="L2713" i="3"/>
  <c r="P2713" i="3"/>
  <c r="M2713" i="3"/>
  <c r="O2713" i="3"/>
  <c r="N2713" i="3"/>
  <c r="I423" i="3"/>
  <c r="P422" i="3"/>
  <c r="O422" i="3"/>
  <c r="N422" i="3"/>
  <c r="L422" i="3"/>
  <c r="M422" i="3"/>
  <c r="I315" i="3"/>
  <c r="N314" i="3"/>
  <c r="M314" i="3"/>
  <c r="P314" i="3"/>
  <c r="L314" i="3"/>
  <c r="O314" i="3"/>
  <c r="N1502" i="3"/>
  <c r="M1502" i="3"/>
  <c r="P1502" i="3"/>
  <c r="O1502" i="3"/>
  <c r="L1502" i="3"/>
  <c r="I985" i="3"/>
  <c r="P984" i="3"/>
  <c r="O984" i="3"/>
  <c r="N984" i="3"/>
  <c r="L984" i="3"/>
  <c r="M984" i="3"/>
  <c r="I1654" i="3"/>
  <c r="O1653" i="3"/>
  <c r="N1653" i="3"/>
  <c r="M1653" i="3"/>
  <c r="L1653" i="3"/>
  <c r="P1653" i="3"/>
  <c r="I1745" i="3"/>
  <c r="P1744" i="3"/>
  <c r="O1744" i="3"/>
  <c r="M1744" i="3"/>
  <c r="L1744" i="3"/>
  <c r="N1744" i="3"/>
  <c r="I2220" i="3"/>
  <c r="P2219" i="3"/>
  <c r="O2219" i="3"/>
  <c r="N2219" i="3"/>
  <c r="M2219" i="3"/>
  <c r="L2219" i="3"/>
  <c r="P1374" i="3"/>
  <c r="N1374" i="3"/>
  <c r="M1374" i="3"/>
  <c r="L1374" i="3"/>
  <c r="O1374" i="3"/>
  <c r="I928" i="3"/>
  <c r="O927" i="3"/>
  <c r="N927" i="3"/>
  <c r="M927" i="3"/>
  <c r="L927" i="3"/>
  <c r="P927" i="3"/>
  <c r="P1303" i="3"/>
  <c r="O1303" i="3"/>
  <c r="N1303" i="3"/>
  <c r="M1303" i="3"/>
  <c r="L1303" i="3"/>
  <c r="I2756" i="3"/>
  <c r="P2755" i="3"/>
  <c r="O2755" i="3"/>
  <c r="N2755" i="3"/>
  <c r="M2755" i="3"/>
  <c r="L2755" i="3"/>
  <c r="I299" i="3"/>
  <c r="P298" i="3"/>
  <c r="O298" i="3"/>
  <c r="N298" i="3"/>
  <c r="L298" i="3"/>
  <c r="M298" i="3"/>
  <c r="I1410" i="3"/>
  <c r="P1409" i="3"/>
  <c r="O1409" i="3"/>
  <c r="N1409" i="3"/>
  <c r="L1409" i="3"/>
  <c r="M1409" i="3"/>
  <c r="I3203" i="3"/>
  <c r="M3202" i="3"/>
  <c r="L3202" i="3"/>
  <c r="P3202" i="3"/>
  <c r="O3202" i="3"/>
  <c r="N3202" i="3"/>
  <c r="I3339" i="3"/>
  <c r="P3338" i="3"/>
  <c r="O3338" i="3"/>
  <c r="N3338" i="3"/>
  <c r="M3338" i="3"/>
  <c r="L3338" i="3"/>
  <c r="I3308" i="3"/>
  <c r="P3307" i="3"/>
  <c r="O3307" i="3"/>
  <c r="N3307" i="3"/>
  <c r="M3307" i="3"/>
  <c r="L3307" i="3"/>
  <c r="I2937" i="3"/>
  <c r="P2936" i="3"/>
  <c r="O2936" i="3"/>
  <c r="N2936" i="3"/>
  <c r="M2936" i="3"/>
  <c r="L2936" i="3"/>
  <c r="I2496" i="3"/>
  <c r="P2495" i="3"/>
  <c r="O2495" i="3"/>
  <c r="N2495" i="3"/>
  <c r="M2495" i="3"/>
  <c r="L2495" i="3"/>
  <c r="I3172" i="3"/>
  <c r="P3171" i="3"/>
  <c r="O3171" i="3"/>
  <c r="N3171" i="3"/>
  <c r="M3171" i="3"/>
  <c r="L3171" i="3"/>
  <c r="I1018" i="3"/>
  <c r="M1017" i="3"/>
  <c r="L1017" i="3"/>
  <c r="O1017" i="3"/>
  <c r="N1017" i="3"/>
  <c r="P1017" i="3"/>
  <c r="N1611" i="3"/>
  <c r="M1611" i="3"/>
  <c r="O1611" i="3"/>
  <c r="L1611" i="3"/>
  <c r="P1611" i="3"/>
  <c r="N3034" i="3"/>
  <c r="M3034" i="3"/>
  <c r="L3034" i="3"/>
  <c r="P3034" i="3"/>
  <c r="O3034" i="3"/>
  <c r="O2617" i="3"/>
  <c r="N2617" i="3"/>
  <c r="M2617" i="3"/>
  <c r="L2617" i="3"/>
  <c r="P2617" i="3"/>
  <c r="W3339" i="3" l="1"/>
  <c r="V3339" i="3"/>
  <c r="V2756" i="3"/>
  <c r="W2756" i="3"/>
  <c r="V1246" i="3"/>
  <c r="W1246" i="3"/>
  <c r="V1018" i="3"/>
  <c r="W1018" i="3"/>
  <c r="W2937" i="3"/>
  <c r="V2937" i="3"/>
  <c r="V1410" i="3"/>
  <c r="W1410" i="3"/>
  <c r="W1745" i="3"/>
  <c r="V1745" i="3"/>
  <c r="V2290" i="3"/>
  <c r="W2290" i="3"/>
  <c r="V2084" i="3"/>
  <c r="W2084" i="3"/>
  <c r="V2384" i="3"/>
  <c r="W2384" i="3"/>
  <c r="V57" i="3"/>
  <c r="W57" i="3"/>
  <c r="V1001" i="3"/>
  <c r="W1001" i="3"/>
  <c r="W2549" i="3"/>
  <c r="V2549" i="3"/>
  <c r="W1231" i="3"/>
  <c r="V1231" i="3"/>
  <c r="P1231" i="3"/>
  <c r="O1231" i="3"/>
  <c r="N1231" i="3"/>
  <c r="M1231" i="3"/>
  <c r="L1231" i="3"/>
  <c r="V1456" i="3"/>
  <c r="W1456" i="3"/>
  <c r="V2274" i="3"/>
  <c r="W2274" i="3"/>
  <c r="V148" i="3"/>
  <c r="W148" i="3"/>
  <c r="V2400" i="3"/>
  <c r="W2400" i="3"/>
  <c r="V833" i="3"/>
  <c r="W833" i="3"/>
  <c r="W362" i="3"/>
  <c r="V362" i="3"/>
  <c r="V2496" i="3"/>
  <c r="W2496" i="3"/>
  <c r="W3203" i="3"/>
  <c r="V3203" i="3"/>
  <c r="V2220" i="3"/>
  <c r="W2220" i="3"/>
  <c r="W3243" i="3"/>
  <c r="V3243" i="3"/>
  <c r="V1440" i="3"/>
  <c r="W1440" i="3"/>
  <c r="V774" i="3"/>
  <c r="W774" i="3"/>
  <c r="V1472" i="3"/>
  <c r="W1472" i="3"/>
  <c r="V283" i="3"/>
  <c r="W283" i="3"/>
  <c r="W3135" i="3"/>
  <c r="V3135" i="3"/>
  <c r="W3091" i="3"/>
  <c r="V3091" i="3"/>
  <c r="W3279" i="3"/>
  <c r="V3279" i="3"/>
  <c r="V2306" i="3"/>
  <c r="W2306" i="3"/>
  <c r="W2565" i="3"/>
  <c r="V2565" i="3"/>
  <c r="V3188" i="3"/>
  <c r="W3188" i="3"/>
  <c r="V2868" i="3"/>
  <c r="W2868" i="3"/>
  <c r="W2462" i="3"/>
  <c r="V2462" i="3"/>
  <c r="W2977" i="3"/>
  <c r="V2977" i="3"/>
  <c r="V2349" i="3"/>
  <c r="W2349" i="3"/>
  <c r="V862" i="3"/>
  <c r="W862" i="3"/>
  <c r="V1288" i="3"/>
  <c r="W1288" i="3"/>
  <c r="W599" i="3"/>
  <c r="V599" i="3"/>
  <c r="V2115" i="3"/>
  <c r="W2115" i="3"/>
  <c r="V2237" i="3"/>
  <c r="W2237" i="3"/>
  <c r="W2429" i="3"/>
  <c r="V2429" i="3"/>
  <c r="W2993" i="3"/>
  <c r="V2993" i="3"/>
  <c r="V2051" i="3"/>
  <c r="W2051" i="3"/>
  <c r="V985" i="3"/>
  <c r="W985" i="3"/>
  <c r="W423" i="3"/>
  <c r="V423" i="3"/>
  <c r="W2961" i="3"/>
  <c r="V2961" i="3"/>
  <c r="V3113" i="3"/>
  <c r="W3113" i="3"/>
  <c r="V2255" i="3"/>
  <c r="W2255" i="3"/>
  <c r="V3226" i="3"/>
  <c r="W3226" i="3"/>
  <c r="W2445" i="3"/>
  <c r="V2445" i="3"/>
  <c r="W1730" i="3"/>
  <c r="V1730" i="3"/>
  <c r="V1760" i="3"/>
  <c r="W1760" i="3"/>
  <c r="V1487" i="3"/>
  <c r="W1487" i="3"/>
  <c r="W2066" i="3"/>
  <c r="V2066" i="3"/>
  <c r="P2066" i="3"/>
  <c r="N2066" i="3"/>
  <c r="M2066" i="3"/>
  <c r="I2067" i="3"/>
  <c r="O2066" i="3"/>
  <c r="L2066" i="3"/>
  <c r="V299" i="3"/>
  <c r="W299" i="3"/>
  <c r="W1654" i="3"/>
  <c r="V1654" i="3"/>
  <c r="V1425" i="3"/>
  <c r="W1425" i="3"/>
  <c r="V3324" i="3"/>
  <c r="W3324" i="3"/>
  <c r="V713" i="3"/>
  <c r="W713" i="3"/>
  <c r="V2330" i="3"/>
  <c r="W2330" i="3"/>
  <c r="V2100" i="3"/>
  <c r="W2100" i="3"/>
  <c r="V3261" i="3"/>
  <c r="W3261" i="3"/>
  <c r="V3172" i="3"/>
  <c r="W3172" i="3"/>
  <c r="V3308" i="3"/>
  <c r="W3308" i="3"/>
  <c r="V928" i="3"/>
  <c r="W928" i="3"/>
  <c r="V315" i="3"/>
  <c r="W315" i="3"/>
  <c r="V1775" i="3"/>
  <c r="W1775" i="3"/>
  <c r="V2365" i="3"/>
  <c r="W2365" i="3"/>
  <c r="V1341" i="3"/>
  <c r="W1341" i="3"/>
  <c r="W2478" i="3"/>
  <c r="V2478" i="3"/>
  <c r="V698" i="3"/>
  <c r="W698" i="3"/>
  <c r="V3157" i="3"/>
  <c r="W3157" i="3"/>
  <c r="V1147" i="3"/>
  <c r="W1147" i="3"/>
  <c r="I3173" i="3"/>
  <c r="P3172" i="3"/>
  <c r="O3172" i="3"/>
  <c r="N3172" i="3"/>
  <c r="L3172" i="3"/>
  <c r="M3172" i="3"/>
  <c r="M985" i="3"/>
  <c r="L985" i="3"/>
  <c r="O985" i="3"/>
  <c r="N985" i="3"/>
  <c r="P985" i="3"/>
  <c r="L2496" i="3"/>
  <c r="P2496" i="3"/>
  <c r="O2496" i="3"/>
  <c r="N2496" i="3"/>
  <c r="M2496" i="3"/>
  <c r="I3204" i="3"/>
  <c r="P3203" i="3"/>
  <c r="O3203" i="3"/>
  <c r="N3203" i="3"/>
  <c r="M3203" i="3"/>
  <c r="L3203" i="3"/>
  <c r="I2221" i="3"/>
  <c r="P2220" i="3"/>
  <c r="M2220" i="3"/>
  <c r="L2220" i="3"/>
  <c r="O2220" i="3"/>
  <c r="N2220" i="3"/>
  <c r="I3244" i="3"/>
  <c r="P3243" i="3"/>
  <c r="O3243" i="3"/>
  <c r="N3243" i="3"/>
  <c r="M3243" i="3"/>
  <c r="L3243" i="3"/>
  <c r="I1441" i="3"/>
  <c r="N1440" i="3"/>
  <c r="M1440" i="3"/>
  <c r="L1440" i="3"/>
  <c r="P1440" i="3"/>
  <c r="O1440" i="3"/>
  <c r="P774" i="3"/>
  <c r="O774" i="3"/>
  <c r="N774" i="3"/>
  <c r="L774" i="3"/>
  <c r="M774" i="3"/>
  <c r="P1472" i="3"/>
  <c r="O1472" i="3"/>
  <c r="M1472" i="3"/>
  <c r="L1472" i="3"/>
  <c r="N1472" i="3"/>
  <c r="M283" i="3"/>
  <c r="L283" i="3"/>
  <c r="O283" i="3"/>
  <c r="N283" i="3"/>
  <c r="P283" i="3"/>
  <c r="I3136" i="3"/>
  <c r="L3135" i="3"/>
  <c r="P3135" i="3"/>
  <c r="M3135" i="3"/>
  <c r="O3135" i="3"/>
  <c r="N3135" i="3"/>
  <c r="I3092" i="3"/>
  <c r="O3091" i="3"/>
  <c r="N3091" i="3"/>
  <c r="L3091" i="3"/>
  <c r="M3091" i="3"/>
  <c r="P3091" i="3"/>
  <c r="P3339" i="3"/>
  <c r="O3339" i="3"/>
  <c r="N3339" i="3"/>
  <c r="M3339" i="3"/>
  <c r="L3339" i="3"/>
  <c r="I1247" i="3"/>
  <c r="M1246" i="3"/>
  <c r="L1246" i="3"/>
  <c r="P1246" i="3"/>
  <c r="O1246" i="3"/>
  <c r="N1246" i="3"/>
  <c r="I3280" i="3"/>
  <c r="O3279" i="3"/>
  <c r="N3279" i="3"/>
  <c r="M3279" i="3"/>
  <c r="L3279" i="3"/>
  <c r="P3279" i="3"/>
  <c r="I2307" i="3"/>
  <c r="P2306" i="3"/>
  <c r="O2306" i="3"/>
  <c r="N2306" i="3"/>
  <c r="M2306" i="3"/>
  <c r="L2306" i="3"/>
  <c r="I2566" i="3"/>
  <c r="P2565" i="3"/>
  <c r="O2565" i="3"/>
  <c r="N2565" i="3"/>
  <c r="M2565" i="3"/>
  <c r="L2565" i="3"/>
  <c r="P3188" i="3"/>
  <c r="O3188" i="3"/>
  <c r="N3188" i="3"/>
  <c r="M3188" i="3"/>
  <c r="L3188" i="3"/>
  <c r="I2869" i="3"/>
  <c r="L2868" i="3"/>
  <c r="O2868" i="3"/>
  <c r="N2868" i="3"/>
  <c r="M2868" i="3"/>
  <c r="P2868" i="3"/>
  <c r="I2463" i="3"/>
  <c r="N2462" i="3"/>
  <c r="M2462" i="3"/>
  <c r="L2462" i="3"/>
  <c r="P2462" i="3"/>
  <c r="O2462" i="3"/>
  <c r="I2978" i="3"/>
  <c r="O2977" i="3"/>
  <c r="P2977" i="3"/>
  <c r="N2977" i="3"/>
  <c r="M2977" i="3"/>
  <c r="L2977" i="3"/>
  <c r="I2350" i="3"/>
  <c r="P2349" i="3"/>
  <c r="O2349" i="3"/>
  <c r="L2349" i="3"/>
  <c r="M2349" i="3"/>
  <c r="N2349" i="3"/>
  <c r="I600" i="3"/>
  <c r="M599" i="3"/>
  <c r="L599" i="3"/>
  <c r="O599" i="3"/>
  <c r="N599" i="3"/>
  <c r="P599" i="3"/>
  <c r="I2430" i="3"/>
  <c r="P2429" i="3"/>
  <c r="O2429" i="3"/>
  <c r="M2429" i="3"/>
  <c r="N2429" i="3"/>
  <c r="L2429" i="3"/>
  <c r="P2051" i="3"/>
  <c r="O2051" i="3"/>
  <c r="N2051" i="3"/>
  <c r="M2051" i="3"/>
  <c r="L2051" i="3"/>
  <c r="I424" i="3"/>
  <c r="M423" i="3"/>
  <c r="L423" i="3"/>
  <c r="O423" i="3"/>
  <c r="P423" i="3"/>
  <c r="N423" i="3"/>
  <c r="I2962" i="3"/>
  <c r="P2961" i="3"/>
  <c r="O2961" i="3"/>
  <c r="L2961" i="3"/>
  <c r="N2961" i="3"/>
  <c r="M2961" i="3"/>
  <c r="I3114" i="3"/>
  <c r="P3113" i="3"/>
  <c r="N3113" i="3"/>
  <c r="M3113" i="3"/>
  <c r="O3113" i="3"/>
  <c r="L3113" i="3"/>
  <c r="I2256" i="3"/>
  <c r="P2255" i="3"/>
  <c r="O2255" i="3"/>
  <c r="L2255" i="3"/>
  <c r="N2255" i="3"/>
  <c r="M2255" i="3"/>
  <c r="M3226" i="3"/>
  <c r="L3226" i="3"/>
  <c r="P3226" i="3"/>
  <c r="O3226" i="3"/>
  <c r="N3226" i="3"/>
  <c r="I3227" i="3"/>
  <c r="I2446" i="3"/>
  <c r="P2445" i="3"/>
  <c r="O2445" i="3"/>
  <c r="M2445" i="3"/>
  <c r="L2445" i="3"/>
  <c r="N2445" i="3"/>
  <c r="N1730" i="3"/>
  <c r="M1730" i="3"/>
  <c r="L1730" i="3"/>
  <c r="O1730" i="3"/>
  <c r="P1730" i="3"/>
  <c r="P1760" i="3"/>
  <c r="O1760" i="3"/>
  <c r="N1760" i="3"/>
  <c r="M1760" i="3"/>
  <c r="L1760" i="3"/>
  <c r="P1487" i="3"/>
  <c r="O1487" i="3"/>
  <c r="N1487" i="3"/>
  <c r="M1487" i="3"/>
  <c r="L1487" i="3"/>
  <c r="I2238" i="3"/>
  <c r="N2237" i="3"/>
  <c r="M2237" i="3"/>
  <c r="L2237" i="3"/>
  <c r="P2237" i="3"/>
  <c r="O2237" i="3"/>
  <c r="I2994" i="3"/>
  <c r="O2993" i="3"/>
  <c r="N2993" i="3"/>
  <c r="M2993" i="3"/>
  <c r="L2993" i="3"/>
  <c r="P2993" i="3"/>
  <c r="I1019" i="3"/>
  <c r="P1018" i="3"/>
  <c r="O1018" i="3"/>
  <c r="N1018" i="3"/>
  <c r="M1018" i="3"/>
  <c r="L1018" i="3"/>
  <c r="I3309" i="3"/>
  <c r="N3308" i="3"/>
  <c r="M3308" i="3"/>
  <c r="L3308" i="3"/>
  <c r="P3308" i="3"/>
  <c r="O3308" i="3"/>
  <c r="I300" i="3"/>
  <c r="M299" i="3"/>
  <c r="L299" i="3"/>
  <c r="O299" i="3"/>
  <c r="N299" i="3"/>
  <c r="P299" i="3"/>
  <c r="O1654" i="3"/>
  <c r="P1654" i="3"/>
  <c r="M1654" i="3"/>
  <c r="L1654" i="3"/>
  <c r="N1654" i="3"/>
  <c r="N1425" i="3"/>
  <c r="P1425" i="3"/>
  <c r="O1425" i="3"/>
  <c r="M1425" i="3"/>
  <c r="L1425" i="3"/>
  <c r="N3324" i="3"/>
  <c r="M3324" i="3"/>
  <c r="L3324" i="3"/>
  <c r="P3324" i="3"/>
  <c r="O3324" i="3"/>
  <c r="I714" i="3"/>
  <c r="P713" i="3"/>
  <c r="O713" i="3"/>
  <c r="M713" i="3"/>
  <c r="L713" i="3"/>
  <c r="N713" i="3"/>
  <c r="I2331" i="3"/>
  <c r="P2330" i="3"/>
  <c r="O2330" i="3"/>
  <c r="N2330" i="3"/>
  <c r="M2330" i="3"/>
  <c r="L2330" i="3"/>
  <c r="P2100" i="3"/>
  <c r="N2100" i="3"/>
  <c r="M2100" i="3"/>
  <c r="O2100" i="3"/>
  <c r="L2100" i="3"/>
  <c r="I3262" i="3"/>
  <c r="P3261" i="3"/>
  <c r="O3261" i="3"/>
  <c r="N3261" i="3"/>
  <c r="M3261" i="3"/>
  <c r="L3261" i="3"/>
  <c r="L862" i="3"/>
  <c r="P862" i="3"/>
  <c r="N862" i="3"/>
  <c r="M862" i="3"/>
  <c r="O862" i="3"/>
  <c r="P928" i="3"/>
  <c r="O928" i="3"/>
  <c r="N928" i="3"/>
  <c r="L928" i="3"/>
  <c r="M928" i="3"/>
  <c r="P315" i="3"/>
  <c r="N315" i="3"/>
  <c r="M315" i="3"/>
  <c r="O315" i="3"/>
  <c r="L315" i="3"/>
  <c r="M1775" i="3"/>
  <c r="P1775" i="3"/>
  <c r="N1775" i="3"/>
  <c r="O1775" i="3"/>
  <c r="L1775" i="3"/>
  <c r="I2366" i="3"/>
  <c r="P2365" i="3"/>
  <c r="O2365" i="3"/>
  <c r="L2365" i="3"/>
  <c r="M2365" i="3"/>
  <c r="N2365" i="3"/>
  <c r="I1342" i="3"/>
  <c r="P1341" i="3"/>
  <c r="O1341" i="3"/>
  <c r="N1341" i="3"/>
  <c r="M1341" i="3"/>
  <c r="L1341" i="3"/>
  <c r="I2479" i="3"/>
  <c r="N2478" i="3"/>
  <c r="M2478" i="3"/>
  <c r="L2478" i="3"/>
  <c r="P2478" i="3"/>
  <c r="O2478" i="3"/>
  <c r="N698" i="3"/>
  <c r="M698" i="3"/>
  <c r="L698" i="3"/>
  <c r="P698" i="3"/>
  <c r="O698" i="3"/>
  <c r="N3157" i="3"/>
  <c r="M3157" i="3"/>
  <c r="L3157" i="3"/>
  <c r="P3157" i="3"/>
  <c r="O3157" i="3"/>
  <c r="L1147" i="3"/>
  <c r="P1147" i="3"/>
  <c r="N1147" i="3"/>
  <c r="M1147" i="3"/>
  <c r="O1147" i="3"/>
  <c r="I1289" i="3"/>
  <c r="P1288" i="3"/>
  <c r="O1288" i="3"/>
  <c r="N1288" i="3"/>
  <c r="M1288" i="3"/>
  <c r="L1288" i="3"/>
  <c r="P2937" i="3"/>
  <c r="O2937" i="3"/>
  <c r="N2937" i="3"/>
  <c r="M2937" i="3"/>
  <c r="L2937" i="3"/>
  <c r="L1410" i="3"/>
  <c r="O1410" i="3"/>
  <c r="P1410" i="3"/>
  <c r="N1410" i="3"/>
  <c r="M1410" i="3"/>
  <c r="L1745" i="3"/>
  <c r="P1745" i="3"/>
  <c r="O1745" i="3"/>
  <c r="M1745" i="3"/>
  <c r="N1745" i="3"/>
  <c r="I2291" i="3"/>
  <c r="P2290" i="3"/>
  <c r="O2290" i="3"/>
  <c r="N2290" i="3"/>
  <c r="M2290" i="3"/>
  <c r="L2290" i="3"/>
  <c r="M2084" i="3"/>
  <c r="O2084" i="3"/>
  <c r="N2084" i="3"/>
  <c r="L2084" i="3"/>
  <c r="P2084" i="3"/>
  <c r="I2385" i="3"/>
  <c r="P2384" i="3"/>
  <c r="M2384" i="3"/>
  <c r="O2384" i="3"/>
  <c r="L2384" i="3"/>
  <c r="N2384" i="3"/>
  <c r="I58" i="3"/>
  <c r="O57" i="3"/>
  <c r="N57" i="3"/>
  <c r="M57" i="3"/>
  <c r="L57" i="3"/>
  <c r="P57" i="3"/>
  <c r="I1002" i="3"/>
  <c r="M1001" i="3"/>
  <c r="L1001" i="3"/>
  <c r="O1001" i="3"/>
  <c r="N1001" i="3"/>
  <c r="P1001" i="3"/>
  <c r="I2550" i="3"/>
  <c r="P2549" i="3"/>
  <c r="O2549" i="3"/>
  <c r="L2549" i="3"/>
  <c r="N2549" i="3"/>
  <c r="M2549" i="3"/>
  <c r="M2756" i="3"/>
  <c r="L2756" i="3"/>
  <c r="O2756" i="3"/>
  <c r="P2756" i="3"/>
  <c r="N2756" i="3"/>
  <c r="I2116" i="3"/>
  <c r="P2115" i="3"/>
  <c r="O2115" i="3"/>
  <c r="M2115" i="3"/>
  <c r="L2115" i="3"/>
  <c r="N2115" i="3"/>
  <c r="I1457" i="3"/>
  <c r="P1456" i="3"/>
  <c r="O1456" i="3"/>
  <c r="N1456" i="3"/>
  <c r="M1456" i="3"/>
  <c r="L1456" i="3"/>
  <c r="I2275" i="3"/>
  <c r="P2274" i="3"/>
  <c r="O2274" i="3"/>
  <c r="N2274" i="3"/>
  <c r="M2274" i="3"/>
  <c r="L2274" i="3"/>
  <c r="I149" i="3"/>
  <c r="P148" i="3"/>
  <c r="O148" i="3"/>
  <c r="N148" i="3"/>
  <c r="M148" i="3"/>
  <c r="L148" i="3"/>
  <c r="I2401" i="3"/>
  <c r="P2400" i="3"/>
  <c r="M2400" i="3"/>
  <c r="N2400" i="3"/>
  <c r="O2400" i="3"/>
  <c r="L2400" i="3"/>
  <c r="M833" i="3"/>
  <c r="L833" i="3"/>
  <c r="O833" i="3"/>
  <c r="N833" i="3"/>
  <c r="P833" i="3"/>
  <c r="N362" i="3"/>
  <c r="M362" i="3"/>
  <c r="L362" i="3"/>
  <c r="P362" i="3"/>
  <c r="O362" i="3"/>
  <c r="V2331" i="3" l="1"/>
  <c r="W2331" i="3"/>
  <c r="W2446" i="3"/>
  <c r="V2446" i="3"/>
  <c r="W2962" i="3"/>
  <c r="V2962" i="3"/>
  <c r="V2307" i="3"/>
  <c r="W2307" i="3"/>
  <c r="V3244" i="3"/>
  <c r="W3244" i="3"/>
  <c r="V2291" i="3"/>
  <c r="W2291" i="3"/>
  <c r="V1002" i="3"/>
  <c r="W1002" i="3"/>
  <c r="V3309" i="3"/>
  <c r="W3309" i="3"/>
  <c r="W3227" i="3"/>
  <c r="V3227" i="3"/>
  <c r="W2430" i="3"/>
  <c r="V2430" i="3"/>
  <c r="V2463" i="3"/>
  <c r="W2463" i="3"/>
  <c r="V1289" i="3"/>
  <c r="W1289" i="3"/>
  <c r="V3114" i="3"/>
  <c r="W3114" i="3"/>
  <c r="W2566" i="3"/>
  <c r="V2566" i="3"/>
  <c r="V1441" i="3"/>
  <c r="W1441" i="3"/>
  <c r="V1457" i="3"/>
  <c r="W1457" i="3"/>
  <c r="W2550" i="3"/>
  <c r="V2550" i="3"/>
  <c r="V2366" i="3"/>
  <c r="W2366" i="3"/>
  <c r="V300" i="3"/>
  <c r="W300" i="3"/>
  <c r="V2238" i="3"/>
  <c r="W2238" i="3"/>
  <c r="W2978" i="3"/>
  <c r="V2978" i="3"/>
  <c r="V2275" i="3"/>
  <c r="W2275" i="3"/>
  <c r="V2256" i="3"/>
  <c r="W2256" i="3"/>
  <c r="W1247" i="3"/>
  <c r="V1247" i="3"/>
  <c r="V3204" i="3"/>
  <c r="W3204" i="3"/>
  <c r="V3173" i="3"/>
  <c r="W3173" i="3"/>
  <c r="W2401" i="3"/>
  <c r="V2401" i="3"/>
  <c r="V2116" i="3"/>
  <c r="W2116" i="3"/>
  <c r="W2385" i="3"/>
  <c r="V2385" i="3"/>
  <c r="V1342" i="3"/>
  <c r="W1342" i="3"/>
  <c r="V3262" i="3"/>
  <c r="W3262" i="3"/>
  <c r="W2994" i="3"/>
  <c r="V2994" i="3"/>
  <c r="V2350" i="3"/>
  <c r="W2350" i="3"/>
  <c r="V3136" i="3"/>
  <c r="W3136" i="3"/>
  <c r="V2067" i="3"/>
  <c r="W2067" i="3"/>
  <c r="O2067" i="3"/>
  <c r="N2067" i="3"/>
  <c r="M2067" i="3"/>
  <c r="P2067" i="3"/>
  <c r="L2067" i="3"/>
  <c r="I2068" i="3"/>
  <c r="V149" i="3"/>
  <c r="W149" i="3"/>
  <c r="V714" i="3"/>
  <c r="W714" i="3"/>
  <c r="V424" i="3"/>
  <c r="W424" i="3"/>
  <c r="V3280" i="3"/>
  <c r="W3280" i="3"/>
  <c r="V2221" i="3"/>
  <c r="W2221" i="3"/>
  <c r="V58" i="3"/>
  <c r="W58" i="3"/>
  <c r="V2479" i="3"/>
  <c r="W2479" i="3"/>
  <c r="V1019" i="3"/>
  <c r="W1019" i="3"/>
  <c r="V600" i="3"/>
  <c r="W600" i="3"/>
  <c r="W2869" i="3"/>
  <c r="V2869" i="3"/>
  <c r="V3092" i="3"/>
  <c r="W3092" i="3"/>
  <c r="I3263" i="3"/>
  <c r="L3262" i="3"/>
  <c r="P3262" i="3"/>
  <c r="O3262" i="3"/>
  <c r="N3262" i="3"/>
  <c r="M3262" i="3"/>
  <c r="N2994" i="3"/>
  <c r="M2994" i="3"/>
  <c r="P2994" i="3"/>
  <c r="O2994" i="3"/>
  <c r="L2994" i="3"/>
  <c r="M2350" i="3"/>
  <c r="L2350" i="3"/>
  <c r="O2350" i="3"/>
  <c r="P2350" i="3"/>
  <c r="N2350" i="3"/>
  <c r="I3137" i="3"/>
  <c r="O3136" i="3"/>
  <c r="N3136" i="3"/>
  <c r="M3136" i="3"/>
  <c r="L3136" i="3"/>
  <c r="P3136" i="3"/>
  <c r="N2385" i="3"/>
  <c r="M2385" i="3"/>
  <c r="L2385" i="3"/>
  <c r="P2385" i="3"/>
  <c r="O2385" i="3"/>
  <c r="P149" i="3"/>
  <c r="O149" i="3"/>
  <c r="M149" i="3"/>
  <c r="L149" i="3"/>
  <c r="N149" i="3"/>
  <c r="N714" i="3"/>
  <c r="M714" i="3"/>
  <c r="L714" i="3"/>
  <c r="P714" i="3"/>
  <c r="O714" i="3"/>
  <c r="P424" i="3"/>
  <c r="O424" i="3"/>
  <c r="N424" i="3"/>
  <c r="M424" i="3"/>
  <c r="L424" i="3"/>
  <c r="I3281" i="3"/>
  <c r="P3280" i="3"/>
  <c r="O3280" i="3"/>
  <c r="N3280" i="3"/>
  <c r="M3280" i="3"/>
  <c r="L3280" i="3"/>
  <c r="I2222" i="3"/>
  <c r="N2221" i="3"/>
  <c r="M2221" i="3"/>
  <c r="L2221" i="3"/>
  <c r="P2221" i="3"/>
  <c r="O2221" i="3"/>
  <c r="I59" i="3"/>
  <c r="P58" i="3"/>
  <c r="O58" i="3"/>
  <c r="N58" i="3"/>
  <c r="L58" i="3"/>
  <c r="M58" i="3"/>
  <c r="I2480" i="3"/>
  <c r="P2479" i="3"/>
  <c r="O2479" i="3"/>
  <c r="N2479" i="3"/>
  <c r="M2479" i="3"/>
  <c r="L2479" i="3"/>
  <c r="P1019" i="3"/>
  <c r="O1019" i="3"/>
  <c r="M1019" i="3"/>
  <c r="L1019" i="3"/>
  <c r="N1019" i="3"/>
  <c r="I601" i="3"/>
  <c r="P600" i="3"/>
  <c r="O600" i="3"/>
  <c r="N600" i="3"/>
  <c r="M600" i="3"/>
  <c r="L600" i="3"/>
  <c r="O2869" i="3"/>
  <c r="N2869" i="3"/>
  <c r="L2869" i="3"/>
  <c r="P2869" i="3"/>
  <c r="M2869" i="3"/>
  <c r="I3093" i="3"/>
  <c r="O3092" i="3"/>
  <c r="N3092" i="3"/>
  <c r="P3092" i="3"/>
  <c r="M3092" i="3"/>
  <c r="L3092" i="3"/>
  <c r="I1343" i="3"/>
  <c r="M1342" i="3"/>
  <c r="L1342" i="3"/>
  <c r="P1342" i="3"/>
  <c r="O1342" i="3"/>
  <c r="N1342" i="3"/>
  <c r="N2401" i="3"/>
  <c r="M2401" i="3"/>
  <c r="L2401" i="3"/>
  <c r="P2401" i="3"/>
  <c r="O2401" i="3"/>
  <c r="P2116" i="3"/>
  <c r="M2116" i="3"/>
  <c r="N2116" i="3"/>
  <c r="L2116" i="3"/>
  <c r="O2116" i="3"/>
  <c r="L2291" i="3"/>
  <c r="N2291" i="3"/>
  <c r="P2291" i="3"/>
  <c r="O2291" i="3"/>
  <c r="M2291" i="3"/>
  <c r="I2332" i="3"/>
  <c r="L2331" i="3"/>
  <c r="N2331" i="3"/>
  <c r="M2331" i="3"/>
  <c r="P2331" i="3"/>
  <c r="O2331" i="3"/>
  <c r="I2447" i="3"/>
  <c r="N2446" i="3"/>
  <c r="M2446" i="3"/>
  <c r="P2446" i="3"/>
  <c r="O2446" i="3"/>
  <c r="L2446" i="3"/>
  <c r="N2962" i="3"/>
  <c r="M2962" i="3"/>
  <c r="L2962" i="3"/>
  <c r="P2962" i="3"/>
  <c r="O2962" i="3"/>
  <c r="L2307" i="3"/>
  <c r="N2307" i="3"/>
  <c r="P2307" i="3"/>
  <c r="O2307" i="3"/>
  <c r="M2307" i="3"/>
  <c r="I3245" i="3"/>
  <c r="P3244" i="3"/>
  <c r="O3244" i="3"/>
  <c r="N3244" i="3"/>
  <c r="M3244" i="3"/>
  <c r="L3244" i="3"/>
  <c r="I1003" i="3"/>
  <c r="P1002" i="3"/>
  <c r="O1002" i="3"/>
  <c r="N1002" i="3"/>
  <c r="M1002" i="3"/>
  <c r="L1002" i="3"/>
  <c r="P3309" i="3"/>
  <c r="O3309" i="3"/>
  <c r="N3309" i="3"/>
  <c r="M3309" i="3"/>
  <c r="L3309" i="3"/>
  <c r="I3228" i="3"/>
  <c r="P3227" i="3"/>
  <c r="O3227" i="3"/>
  <c r="N3227" i="3"/>
  <c r="M3227" i="3"/>
  <c r="L3227" i="3"/>
  <c r="N2430" i="3"/>
  <c r="M2430" i="3"/>
  <c r="P2430" i="3"/>
  <c r="O2430" i="3"/>
  <c r="L2430" i="3"/>
  <c r="P2463" i="3"/>
  <c r="O2463" i="3"/>
  <c r="N2463" i="3"/>
  <c r="M2463" i="3"/>
  <c r="L2463" i="3"/>
  <c r="N1457" i="3"/>
  <c r="L1457" i="3"/>
  <c r="O1457" i="3"/>
  <c r="M1457" i="3"/>
  <c r="P1457" i="3"/>
  <c r="N1289" i="3"/>
  <c r="M1289" i="3"/>
  <c r="L1289" i="3"/>
  <c r="P1289" i="3"/>
  <c r="O1289" i="3"/>
  <c r="I3115" i="3"/>
  <c r="L3114" i="3"/>
  <c r="P3114" i="3"/>
  <c r="O3114" i="3"/>
  <c r="N3114" i="3"/>
  <c r="M3114" i="3"/>
  <c r="N2566" i="3"/>
  <c r="M2566" i="3"/>
  <c r="L2566" i="3"/>
  <c r="P2566" i="3"/>
  <c r="O2566" i="3"/>
  <c r="N1441" i="3"/>
  <c r="P1441" i="3"/>
  <c r="O1441" i="3"/>
  <c r="L1441" i="3"/>
  <c r="M1441" i="3"/>
  <c r="N2550" i="3"/>
  <c r="M2550" i="3"/>
  <c r="L2550" i="3"/>
  <c r="P2550" i="3"/>
  <c r="O2550" i="3"/>
  <c r="I2367" i="3"/>
  <c r="M2366" i="3"/>
  <c r="L2366" i="3"/>
  <c r="O2366" i="3"/>
  <c r="N2366" i="3"/>
  <c r="P2366" i="3"/>
  <c r="P300" i="3"/>
  <c r="O300" i="3"/>
  <c r="N300" i="3"/>
  <c r="M300" i="3"/>
  <c r="L300" i="3"/>
  <c r="I2239" i="3"/>
  <c r="P2238" i="3"/>
  <c r="O2238" i="3"/>
  <c r="N2238" i="3"/>
  <c r="M2238" i="3"/>
  <c r="L2238" i="3"/>
  <c r="N2978" i="3"/>
  <c r="M2978" i="3"/>
  <c r="L2978" i="3"/>
  <c r="P2978" i="3"/>
  <c r="O2978" i="3"/>
  <c r="L2275" i="3"/>
  <c r="N2275" i="3"/>
  <c r="O2275" i="3"/>
  <c r="M2275" i="3"/>
  <c r="P2275" i="3"/>
  <c r="I2257" i="3"/>
  <c r="P2256" i="3"/>
  <c r="M2256" i="3"/>
  <c r="O2256" i="3"/>
  <c r="N2256" i="3"/>
  <c r="L2256" i="3"/>
  <c r="I1248" i="3"/>
  <c r="P1247" i="3"/>
  <c r="O1247" i="3"/>
  <c r="N1247" i="3"/>
  <c r="M1247" i="3"/>
  <c r="L1247" i="3"/>
  <c r="P3204" i="3"/>
  <c r="O3204" i="3"/>
  <c r="N3204" i="3"/>
  <c r="L3204" i="3"/>
  <c r="M3204" i="3"/>
  <c r="N3173" i="3"/>
  <c r="M3173" i="3"/>
  <c r="L3173" i="3"/>
  <c r="O3173" i="3"/>
  <c r="P3173" i="3"/>
  <c r="V2332" i="3" l="1"/>
  <c r="W2332" i="3"/>
  <c r="V3245" i="3"/>
  <c r="W3245" i="3"/>
  <c r="V1248" i="3"/>
  <c r="W1248" i="3"/>
  <c r="V3228" i="3"/>
  <c r="W3228" i="3"/>
  <c r="V2480" i="3"/>
  <c r="W2480" i="3"/>
  <c r="V2367" i="3"/>
  <c r="W2367" i="3"/>
  <c r="V2447" i="3"/>
  <c r="W2447" i="3"/>
  <c r="V3093" i="3"/>
  <c r="W3093" i="3"/>
  <c r="V3281" i="3"/>
  <c r="W3281" i="3"/>
  <c r="V1003" i="3"/>
  <c r="W1003" i="3"/>
  <c r="V2068" i="3"/>
  <c r="W2068" i="3"/>
  <c r="M2068" i="3"/>
  <c r="P2068" i="3"/>
  <c r="O2068" i="3"/>
  <c r="N2068" i="3"/>
  <c r="L2068" i="3"/>
  <c r="W1343" i="3"/>
  <c r="V1343" i="3"/>
  <c r="V2222" i="3"/>
  <c r="W2222" i="3"/>
  <c r="V3137" i="3"/>
  <c r="W3137" i="3"/>
  <c r="W3263" i="3"/>
  <c r="V3263" i="3"/>
  <c r="V601" i="3"/>
  <c r="W601" i="3"/>
  <c r="V2257" i="3"/>
  <c r="W2257" i="3"/>
  <c r="V2239" i="3"/>
  <c r="W2239" i="3"/>
  <c r="W3115" i="3"/>
  <c r="V3115" i="3"/>
  <c r="V59" i="3"/>
  <c r="W59" i="3"/>
  <c r="I602" i="3"/>
  <c r="P601" i="3"/>
  <c r="O601" i="3"/>
  <c r="M601" i="3"/>
  <c r="L601" i="3"/>
  <c r="N601" i="3"/>
  <c r="I2258" i="3"/>
  <c r="N2257" i="3"/>
  <c r="M2257" i="3"/>
  <c r="L2257" i="3"/>
  <c r="P2257" i="3"/>
  <c r="O2257" i="3"/>
  <c r="L2239" i="3"/>
  <c r="N2239" i="3"/>
  <c r="O2239" i="3"/>
  <c r="M2239" i="3"/>
  <c r="P2239" i="3"/>
  <c r="I3116" i="3"/>
  <c r="O3115" i="3"/>
  <c r="N3115" i="3"/>
  <c r="L3115" i="3"/>
  <c r="M3115" i="3"/>
  <c r="P3115" i="3"/>
  <c r="M59" i="3"/>
  <c r="L59" i="3"/>
  <c r="O59" i="3"/>
  <c r="N59" i="3"/>
  <c r="P59" i="3"/>
  <c r="P1248" i="3"/>
  <c r="O1248" i="3"/>
  <c r="N1248" i="3"/>
  <c r="M1248" i="3"/>
  <c r="L1248" i="3"/>
  <c r="P3228" i="3"/>
  <c r="O3228" i="3"/>
  <c r="N3228" i="3"/>
  <c r="M3228" i="3"/>
  <c r="L3228" i="3"/>
  <c r="L2480" i="3"/>
  <c r="P2480" i="3"/>
  <c r="N2480" i="3"/>
  <c r="M2480" i="3"/>
  <c r="O2480" i="3"/>
  <c r="I2368" i="3"/>
  <c r="P2367" i="3"/>
  <c r="O2367" i="3"/>
  <c r="N2367" i="3"/>
  <c r="M2367" i="3"/>
  <c r="L2367" i="3"/>
  <c r="I3246" i="3"/>
  <c r="N3245" i="3"/>
  <c r="M3245" i="3"/>
  <c r="L3245" i="3"/>
  <c r="P3245" i="3"/>
  <c r="O3245" i="3"/>
  <c r="P2447" i="3"/>
  <c r="N2447" i="3"/>
  <c r="M2447" i="3"/>
  <c r="O2447" i="3"/>
  <c r="L2447" i="3"/>
  <c r="I3094" i="3"/>
  <c r="M3093" i="3"/>
  <c r="L3093" i="3"/>
  <c r="P3093" i="3"/>
  <c r="O3093" i="3"/>
  <c r="N3093" i="3"/>
  <c r="M3281" i="3"/>
  <c r="L3281" i="3"/>
  <c r="P3281" i="3"/>
  <c r="O3281" i="3"/>
  <c r="N3281" i="3"/>
  <c r="P1003" i="3"/>
  <c r="O1003" i="3"/>
  <c r="M1003" i="3"/>
  <c r="L1003" i="3"/>
  <c r="N1003" i="3"/>
  <c r="I2333" i="3"/>
  <c r="O2332" i="3"/>
  <c r="N2332" i="3"/>
  <c r="M2332" i="3"/>
  <c r="L2332" i="3"/>
  <c r="P2332" i="3"/>
  <c r="I1344" i="3"/>
  <c r="P1343" i="3"/>
  <c r="O1343" i="3"/>
  <c r="N1343" i="3"/>
  <c r="M1343" i="3"/>
  <c r="L1343" i="3"/>
  <c r="P2222" i="3"/>
  <c r="O2222" i="3"/>
  <c r="N2222" i="3"/>
  <c r="M2222" i="3"/>
  <c r="L2222" i="3"/>
  <c r="I3138" i="3"/>
  <c r="P3137" i="3"/>
  <c r="O3137" i="3"/>
  <c r="N3137" i="3"/>
  <c r="M3137" i="3"/>
  <c r="L3137" i="3"/>
  <c r="I3264" i="3"/>
  <c r="O3263" i="3"/>
  <c r="N3263" i="3"/>
  <c r="M3263" i="3"/>
  <c r="L3263" i="3"/>
  <c r="P3263" i="3"/>
  <c r="V1344" i="3" l="1"/>
  <c r="W1344" i="3"/>
  <c r="V3246" i="3"/>
  <c r="W3246" i="3"/>
  <c r="V3116" i="3"/>
  <c r="W3116" i="3"/>
  <c r="W602" i="3"/>
  <c r="V602" i="3"/>
  <c r="V2258" i="3"/>
  <c r="W2258" i="3"/>
  <c r="V3138" i="3"/>
  <c r="W3138" i="3"/>
  <c r="V2333" i="3"/>
  <c r="W2333" i="3"/>
  <c r="V3094" i="3"/>
  <c r="W3094" i="3"/>
  <c r="V3264" i="3"/>
  <c r="W3264" i="3"/>
  <c r="W2368" i="3"/>
  <c r="V2368" i="3"/>
  <c r="P2258" i="3"/>
  <c r="O2258" i="3"/>
  <c r="N2258" i="3"/>
  <c r="M2258" i="3"/>
  <c r="L2258" i="3"/>
  <c r="P2333" i="3"/>
  <c r="O2333" i="3"/>
  <c r="L2333" i="3"/>
  <c r="N2333" i="3"/>
  <c r="M2333" i="3"/>
  <c r="I3095" i="3"/>
  <c r="P3094" i="3"/>
  <c r="O3094" i="3"/>
  <c r="M3094" i="3"/>
  <c r="L3094" i="3"/>
  <c r="N3094" i="3"/>
  <c r="I3139" i="3"/>
  <c r="M3138" i="3"/>
  <c r="L3138" i="3"/>
  <c r="P3138" i="3"/>
  <c r="O3138" i="3"/>
  <c r="N3138" i="3"/>
  <c r="P3264" i="3"/>
  <c r="O3264" i="3"/>
  <c r="N3264" i="3"/>
  <c r="M3264" i="3"/>
  <c r="L3264" i="3"/>
  <c r="I2369" i="3"/>
  <c r="P2368" i="3"/>
  <c r="M2368" i="3"/>
  <c r="O2368" i="3"/>
  <c r="N2368" i="3"/>
  <c r="L2368" i="3"/>
  <c r="I1345" i="3"/>
  <c r="P1344" i="3"/>
  <c r="O1344" i="3"/>
  <c r="N1344" i="3"/>
  <c r="M1344" i="3"/>
  <c r="L1344" i="3"/>
  <c r="P3246" i="3"/>
  <c r="O3246" i="3"/>
  <c r="N3246" i="3"/>
  <c r="M3246" i="3"/>
  <c r="L3246" i="3"/>
  <c r="I3117" i="3"/>
  <c r="O3116" i="3"/>
  <c r="N3116" i="3"/>
  <c r="P3116" i="3"/>
  <c r="M3116" i="3"/>
  <c r="L3116" i="3"/>
  <c r="N602" i="3"/>
  <c r="M602" i="3"/>
  <c r="L602" i="3"/>
  <c r="P602" i="3"/>
  <c r="O602" i="3"/>
  <c r="V2369" i="3" l="1"/>
  <c r="W2369" i="3"/>
  <c r="W3095" i="3"/>
  <c r="V3095" i="3"/>
  <c r="V1345" i="3"/>
  <c r="W1345" i="3"/>
  <c r="W3139" i="3"/>
  <c r="V3139" i="3"/>
  <c r="V3117" i="3"/>
  <c r="W3117" i="3"/>
  <c r="I3118" i="3"/>
  <c r="M3117" i="3"/>
  <c r="L3117" i="3"/>
  <c r="P3117" i="3"/>
  <c r="O3117" i="3"/>
  <c r="N3117" i="3"/>
  <c r="N2369" i="3"/>
  <c r="M2369" i="3"/>
  <c r="L2369" i="3"/>
  <c r="P2369" i="3"/>
  <c r="O2369" i="3"/>
  <c r="I3096" i="3"/>
  <c r="P3095" i="3"/>
  <c r="O3095" i="3"/>
  <c r="N3095" i="3"/>
  <c r="M3095" i="3"/>
  <c r="L3095" i="3"/>
  <c r="N1345" i="3"/>
  <c r="M1345" i="3"/>
  <c r="L1345" i="3"/>
  <c r="P1345" i="3"/>
  <c r="O1345" i="3"/>
  <c r="I3140" i="3"/>
  <c r="P3139" i="3"/>
  <c r="O3139" i="3"/>
  <c r="N3139" i="3"/>
  <c r="M3139" i="3"/>
  <c r="L3139" i="3"/>
  <c r="V3140" i="3" l="1"/>
  <c r="W3140" i="3"/>
  <c r="V3096" i="3"/>
  <c r="W3096" i="3"/>
  <c r="V3118" i="3"/>
  <c r="W3118" i="3"/>
  <c r="I3119" i="3"/>
  <c r="P3118" i="3"/>
  <c r="O3118" i="3"/>
  <c r="M3118" i="3"/>
  <c r="L3118" i="3"/>
  <c r="N3118" i="3"/>
  <c r="I3141" i="3"/>
  <c r="P3140" i="3"/>
  <c r="O3140" i="3"/>
  <c r="N3140" i="3"/>
  <c r="M3140" i="3"/>
  <c r="L3140" i="3"/>
  <c r="I3097" i="3"/>
  <c r="N3096" i="3"/>
  <c r="M3096" i="3"/>
  <c r="L3096" i="3"/>
  <c r="P3096" i="3"/>
  <c r="O3096" i="3"/>
  <c r="W3119" i="3" l="1"/>
  <c r="V3119" i="3"/>
  <c r="V3141" i="3"/>
  <c r="W3141" i="3"/>
  <c r="V3097" i="3"/>
  <c r="W3097" i="3"/>
  <c r="I3142" i="3"/>
  <c r="N3141" i="3"/>
  <c r="M3141" i="3"/>
  <c r="L3141" i="3"/>
  <c r="P3141" i="3"/>
  <c r="O3141" i="3"/>
  <c r="P3097" i="3"/>
  <c r="N3097" i="3"/>
  <c r="M3097" i="3"/>
  <c r="O3097" i="3"/>
  <c r="L3097" i="3"/>
  <c r="I3120" i="3"/>
  <c r="P3119" i="3"/>
  <c r="O3119" i="3"/>
  <c r="N3119" i="3"/>
  <c r="M3119" i="3"/>
  <c r="L3119" i="3"/>
  <c r="V3120" i="3" l="1"/>
  <c r="W3120" i="3"/>
  <c r="V3142" i="3"/>
  <c r="W3142" i="3"/>
  <c r="P3142" i="3"/>
  <c r="O3142" i="3"/>
  <c r="N3142" i="3"/>
  <c r="M3142" i="3"/>
  <c r="L3142" i="3"/>
  <c r="N3120" i="3"/>
  <c r="M3120" i="3"/>
  <c r="P3120" i="3"/>
  <c r="L3120" i="3"/>
  <c r="O3120" i="3"/>
</calcChain>
</file>

<file path=xl/sharedStrings.xml><?xml version="1.0" encoding="utf-8"?>
<sst xmlns="http://schemas.openxmlformats.org/spreadsheetml/2006/main" count="40129" uniqueCount="10240">
  <si>
    <t>Windjammers</t>
  </si>
  <si>
    <t>4a2efa043cd2553ff7039cb18a1dba8b41493be7</t>
  </si>
  <si>
    <t>f362c271</t>
  </si>
  <si>
    <t>0x200000</t>
  </si>
  <si>
    <t>0x000001</t>
  </si>
  <si>
    <t>316.c2</t>
  </si>
  <si>
    <t>load16_byte</t>
  </si>
  <si>
    <t>85649c199b32db7553012cb5a058a92bbbb7355a</t>
  </si>
  <si>
    <t>cdd6600f</t>
  </si>
  <si>
    <t>0x000000</t>
  </si>
  <si>
    <t>316.c1</t>
  </si>
  <si>
    <t>0x400000</t>
  </si>
  <si>
    <t>sprites</t>
  </si>
  <si>
    <t>30d7f2e16c6d602cebce5e9b4b8a5b2bde20af58</t>
  </si>
  <si>
    <t>84b62c5d</t>
  </si>
  <si>
    <t>0x100000</t>
  </si>
  <si>
    <t>316.v3</t>
  </si>
  <si>
    <t>50c28858304e51cdc60f425483a1d1d2bbfb2f8d</t>
  </si>
  <si>
    <t>1b264559</t>
  </si>
  <si>
    <t>316.v2</t>
  </si>
  <si>
    <t>c51328a92dc7c612fd6c2f3841caee4fbd120f36</t>
  </si>
  <si>
    <t>15c7f9e6</t>
  </si>
  <si>
    <t>316.v1</t>
  </si>
  <si>
    <t>0x500000</t>
  </si>
  <si>
    <t>ymsnd:adpcma</t>
  </si>
  <si>
    <t>d55495f3d8bb5568c8f2322763278a86ba5297b3</t>
  </si>
  <si>
    <t>18b23ace</t>
  </si>
  <si>
    <t>0x020000</t>
  </si>
  <si>
    <t>316.m1</t>
  </si>
  <si>
    <t>audiocpu</t>
  </si>
  <si>
    <t>0ab2120e462086be942efcf6ffb37f58ea966ca3</t>
  </si>
  <si>
    <t>0a3fee41</t>
  </si>
  <si>
    <t>316.s1</t>
  </si>
  <si>
    <t>0x040000</t>
  </si>
  <si>
    <t>fixed</t>
  </si>
  <si>
    <t>AES</t>
  </si>
  <si>
    <t>compatibility</t>
  </si>
  <si>
    <t>88d5f4fe56516aa36496cafd2508f6864118f1e2</t>
  </si>
  <si>
    <t>99604539</t>
  </si>
  <si>
    <t>316.p1</t>
  </si>
  <si>
    <t>load16_word_swap</t>
  </si>
  <si>
    <t>big</t>
  </si>
  <si>
    <t>16</t>
  </si>
  <si>
    <t>maincpu</t>
  </si>
  <si>
    <t>neo_cart</t>
  </si>
  <si>
    <t>cart</t>
  </si>
  <si>
    <t>release</t>
  </si>
  <si>
    <t>Face / NCI</t>
  </si>
  <si>
    <t>2010</t>
  </si>
  <si>
    <t>Treasures of The Caribbean</t>
  </si>
  <si>
    <t>totc</t>
  </si>
  <si>
    <t>19a2a73c825687e0cb9fd62bde00db91b5409529</t>
  </si>
  <si>
    <t>8486ad9e</t>
  </si>
  <si>
    <t>0x800001</t>
  </si>
  <si>
    <t>NGDT-300-C4.bin</t>
  </si>
  <si>
    <t>0350aaef480c5fa12e68e540a4c974dbf5870add</t>
  </si>
  <si>
    <t>50cc21cf</t>
  </si>
  <si>
    <t>0x800000</t>
  </si>
  <si>
    <t>NGDT-300-C3.bin</t>
  </si>
  <si>
    <t>d8ff2f43686bfc8c2f7ead3ef445e51c15dfbf16</t>
  </si>
  <si>
    <t>f9b15ab3</t>
  </si>
  <si>
    <t>NGDT-300-C2.bin</t>
  </si>
  <si>
    <t>a8f1fe546403b609e12f0df211c05d7ac479d98d</t>
  </si>
  <si>
    <t>53ef41b5</t>
  </si>
  <si>
    <t>NGDT-300-C1.bin</t>
  </si>
  <si>
    <t>0x1000000</t>
  </si>
  <si>
    <t>4ba74836e3d0421a28af47d3d8341ac16af1d7d7</t>
  </si>
  <si>
    <t>6d5107e2</t>
  </si>
  <si>
    <t>NGDT-300-V3.bin</t>
  </si>
  <si>
    <t>09e70d5e1c6e172a33f48feb3e442515c34a8f3d</t>
  </si>
  <si>
    <t>9fd0d559</t>
  </si>
  <si>
    <t>NGDT-300-V2.bin</t>
  </si>
  <si>
    <t>b2048c44089bf250c8dcfabb27c7981e9ee5002a</t>
  </si>
  <si>
    <t>b765bafe</t>
  </si>
  <si>
    <t>NGDT-300-V1.bin</t>
  </si>
  <si>
    <t>0x600000</t>
  </si>
  <si>
    <t>854425eb4be0d7fa088a6c3bf6078fdd011707f5</t>
  </si>
  <si>
    <t>113c870f</t>
  </si>
  <si>
    <t>NGDT-300-M1.bin</t>
  </si>
  <si>
    <t>c87d1ea8731ac1e63ab960b8182dd1043bcc10bb</t>
  </si>
  <si>
    <t>0c0ff9e6</t>
  </si>
  <si>
    <t>0x010000</t>
  </si>
  <si>
    <t>NGDT-300-S1.bin</t>
  </si>
  <si>
    <t>ea8b669da06d7c6b5ff7fa97a195f56a9253a7a1</t>
  </si>
  <si>
    <t>3776a88f</t>
  </si>
  <si>
    <t>NGDT-300-P1.bin</t>
  </si>
  <si>
    <t>NG:DEV.TEAM</t>
  </si>
  <si>
    <t>2005</t>
  </si>
  <si>
    <t>Last Hope</t>
  </si>
  <si>
    <t>lasthope</t>
  </si>
  <si>
    <t>83711c4286fb1d9f3f91414ac6e5fed36618033e</t>
  </si>
  <si>
    <t>3e632161</t>
  </si>
  <si>
    <t>0x080000</t>
  </si>
  <si>
    <t>dig-c2.bin</t>
  </si>
  <si>
    <t>6214faa883d97ea05809b6af7e0c85a236a18a28</t>
  </si>
  <si>
    <t>3db0a4ed</t>
  </si>
  <si>
    <t>dig-c1.bin</t>
  </si>
  <si>
    <t>fe2206728e6efd02d6302869a98b196eb19a17df</t>
  </si>
  <si>
    <t>ee15bda4</t>
  </si>
  <si>
    <t>dig-v1.bin</t>
  </si>
  <si>
    <t>9f3974ac07859337bc0203f903c40ae3f60dc1fb</t>
  </si>
  <si>
    <t>e777a234</t>
  </si>
  <si>
    <t>dig-m1.bin</t>
  </si>
  <si>
    <t>9be8c625686a1482f7399e5a856cfe2fef25ec52</t>
  </si>
  <si>
    <t>9b3168f0</t>
  </si>
  <si>
    <t>dig-s1.bin</t>
  </si>
  <si>
    <t>MVS</t>
  </si>
  <si>
    <t>abb14c66777ab0fe4ac76a402e253a49df7178d8</t>
  </si>
  <si>
    <t>eda433d7</t>
  </si>
  <si>
    <t>dig-p1.bin</t>
  </si>
  <si>
    <t>Missing Title Screen</t>
  </si>
  <si>
    <t>compat_note</t>
  </si>
  <si>
    <t>Kyle Hodgetts</t>
  </si>
  <si>
    <t>2000</t>
  </si>
  <si>
    <t>Digger Man (prototype)</t>
  </si>
  <si>
    <t>diggerma</t>
  </si>
  <si>
    <t>3b1e5be673f7cbb04199a805b0e0de93dad8cb8c</t>
  </si>
  <si>
    <t>a3a1c0df</t>
  </si>
  <si>
    <t>001-003-04b.u4</t>
  </si>
  <si>
    <t>9e773eb9aae5ee767213bd17348ff8a312e9cb16</t>
  </si>
  <si>
    <t>44791317</t>
  </si>
  <si>
    <t>001-003-03b.u3</t>
  </si>
  <si>
    <t>badc9510ae243ef2a7877977eb36efa81b1489fe</t>
  </si>
  <si>
    <t>08c339a5</t>
  </si>
  <si>
    <t>001-003-13a.u13</t>
  </si>
  <si>
    <t>52eec88550781d45f84efbf9b905d7e7912e96fa</t>
  </si>
  <si>
    <t>c96723b9</t>
  </si>
  <si>
    <t>001-003-12a.u12</t>
  </si>
  <si>
    <t>15b6af7f9fbd0f1f6a1ecd912200ca8d0af2da2a</t>
  </si>
  <si>
    <t>7b1f86f7</t>
  </si>
  <si>
    <t>001-003-01b.u1</t>
  </si>
  <si>
    <t>ignore</t>
  </si>
  <si>
    <t>1acb446704ab56d0a33df7c48855aa8d00fd5a3c</t>
  </si>
  <si>
    <t>2fd04b2a</t>
  </si>
  <si>
    <t>001-003-02b.u2</t>
  </si>
  <si>
    <t>0x20000</t>
  </si>
  <si>
    <t>no</t>
  </si>
  <si>
    <t>boot_sbp</t>
  </si>
  <si>
    <t>slot</t>
  </si>
  <si>
    <t>d1b4bc626d000e0679def0545940fa75035921ab</t>
  </si>
  <si>
    <t>d054d264</t>
  </si>
  <si>
    <t>001-003-02a.u2</t>
  </si>
  <si>
    <t>Vektorlogic</t>
  </si>
  <si>
    <t>2004</t>
  </si>
  <si>
    <t>Super Bubble Pop (MVS)</t>
  </si>
  <si>
    <t>sbp</t>
  </si>
  <si>
    <t>deb5f7ec5a090e419b9d1a6a74877bee081198e2</t>
  </si>
  <si>
    <t>20ec4fdc</t>
  </si>
  <si>
    <t>0x3000001</t>
  </si>
  <si>
    <t>271-c8c.c8</t>
  </si>
  <si>
    <t>7152195a57ad36b28290810fe87ed8c206262ba9</t>
  </si>
  <si>
    <t>189aba7f</t>
  </si>
  <si>
    <t>0x3000000</t>
  </si>
  <si>
    <t>271-c7c.c7</t>
  </si>
  <si>
    <t>c9843b37612a16fc95f6851793b1cfb5d49d811d</t>
  </si>
  <si>
    <t>20a1164c</t>
  </si>
  <si>
    <t>0x2000001</t>
  </si>
  <si>
    <t>271-c6c.c6</t>
  </si>
  <si>
    <t>e75b80422f0d72eac826f8ffadf79efeccaab124</t>
  </si>
  <si>
    <t>704ea371</t>
  </si>
  <si>
    <t>0x2000000</t>
  </si>
  <si>
    <t>271-c5c.c5</t>
  </si>
  <si>
    <t>b72a8e7d9124ce859b5149bb4381ba481c161ea5</t>
  </si>
  <si>
    <t>87b19a0c</t>
  </si>
  <si>
    <t>0x1000001</t>
  </si>
  <si>
    <t>271-c4c.c4</t>
  </si>
  <si>
    <t>9fe30d36ba98d00fda010832ff2f27783dd577c1</t>
  </si>
  <si>
    <t>0a1fbeab</t>
  </si>
  <si>
    <t>271-c3c.c3</t>
  </si>
  <si>
    <t>66db36522dc09106388c707252df9fe1c88b4856</t>
  </si>
  <si>
    <t>d5362437</t>
  </si>
  <si>
    <t>271-c2c.c2</t>
  </si>
  <si>
    <t>50adc3c60d5b4b3abd10a49db2267306c6dbd772</t>
  </si>
  <si>
    <t>b1dc25d0</t>
  </si>
  <si>
    <t>271-c1c.c1</t>
  </si>
  <si>
    <t>0x4000000</t>
  </si>
  <si>
    <t>1bf999705eda80ba1e7b0d6bdd010d9bfb18bd76</t>
  </si>
  <si>
    <t>5382c7d1</t>
  </si>
  <si>
    <t>271-v2c.v2</t>
  </si>
  <si>
    <t>7cf4a933973ca23b7f87c81151d8659e6ec4bd20</t>
  </si>
  <si>
    <t>ffa3f8c7</t>
  </si>
  <si>
    <t>271-v1c.v1</t>
  </si>
  <si>
    <t>2fc107a023a82053a8df63025829bcf12cee9610</t>
  </si>
  <si>
    <t>3a4969ff</t>
  </si>
  <si>
    <t>2k3-m1.bin</t>
  </si>
  <si>
    <t>5649446d3b0b1bd138b5a8b40b96a6d0f892f4d8</t>
  </si>
  <si>
    <t>e5708c0c</t>
  </si>
  <si>
    <t>2k3-s1up.bin</t>
  </si>
  <si>
    <t>kof2003</t>
  </si>
  <si>
    <t>boot_kf2k3upl</t>
  </si>
  <si>
    <t>21420415a6b2ba1b43ecc1934270dc085d6bd7d9</t>
  </si>
  <si>
    <t>87294c01</t>
  </si>
  <si>
    <t>2k3-p1up.bin</t>
  </si>
  <si>
    <t>Ultra Plus text remains on screen during gameplay</t>
  </si>
  <si>
    <t>bootleg</t>
  </si>
  <si>
    <t>2003</t>
  </si>
  <si>
    <t>The King of Fighters 2004 Ultra Plus (The King of Fighters 2003 bootleg)</t>
  </si>
  <si>
    <t>kf2k3upl</t>
  </si>
  <si>
    <t>7483dbe2d74a1bd1b4dc501e99e48a683416d08e</t>
  </si>
  <si>
    <t>ad548a36</t>
  </si>
  <si>
    <t>2k3-s1pl.bin</t>
  </si>
  <si>
    <t>f41b53c79e4209373ec68276fa5941c91424bb15</t>
  </si>
  <si>
    <t>9c04fc52</t>
  </si>
  <si>
    <t>2k3-p2bl.bin</t>
  </si>
  <si>
    <t>e72544de1c5e2e4f7478fc003caba9e33a306c19</t>
  </si>
  <si>
    <t>370acbff</t>
  </si>
  <si>
    <t>2k3-p3bl.bin</t>
  </si>
  <si>
    <t>boot_kf2k3pl</t>
  </si>
  <si>
    <t>0b085a928a39ff9c0745a58bfa4ce6106b5f474a</t>
  </si>
  <si>
    <t>07b84112</t>
  </si>
  <si>
    <t>2k3-p1pl.bin</t>
  </si>
  <si>
    <t>0x700000</t>
  </si>
  <si>
    <t>Plus text remains on screen during gameplay</t>
  </si>
  <si>
    <t>The King of Fighters 2004 Plus / Hero (The King of Fighters 2003 bootleg)</t>
  </si>
  <si>
    <t>kf2k3pl</t>
  </si>
  <si>
    <t>27e2f5295a9a838e112be28dafc111893a388a16</t>
  </si>
  <si>
    <t>482c48a5</t>
  </si>
  <si>
    <t>2k3-s1.bin</t>
  </si>
  <si>
    <t>MVS,AES</t>
  </si>
  <si>
    <t>c242c9709c20a8cde3ad562adbe640a5dd5abcf1</t>
  </si>
  <si>
    <t>4ea414dd</t>
  </si>
  <si>
    <t>2k3-p1bl.bin</t>
  </si>
  <si>
    <t>The King of Fighters 2003 (bootleg, set 2)</t>
  </si>
  <si>
    <t>kf2k3bla</t>
  </si>
  <si>
    <t>continue</t>
  </si>
  <si>
    <t>7f2341f14ca12ff5721eb038b3496228a1f34b60</t>
  </si>
  <si>
    <t>5d3d8bb3</t>
  </si>
  <si>
    <t>2k3-p2.bin</t>
  </si>
  <si>
    <t>boot_kf2k3bl</t>
  </si>
  <si>
    <t>5e7e21eb40dfcc453ba73808760d5ddedd49c58a</t>
  </si>
  <si>
    <t>92ed6ee3</t>
  </si>
  <si>
    <t>2k3-p1.bin</t>
  </si>
  <si>
    <t>The King of Fighters 2003 (bootleg, set 1)</t>
  </si>
  <si>
    <t>kf2k3bl</t>
  </si>
  <si>
    <t>30594c30a167e75463670249df7744755e39e75b</t>
  </si>
  <si>
    <t>75722430</t>
  </si>
  <si>
    <t>ssv-c4.bin</t>
  </si>
  <si>
    <t>6296c879aa0bbd22383ceeeac0326805cbc8b4ec</t>
  </si>
  <si>
    <t>029f9bb5</t>
  </si>
  <si>
    <t>ssv-c3.bin</t>
  </si>
  <si>
    <t>a8b626de74cf57bbd8c222e8e24c953c9e8680f4</t>
  </si>
  <si>
    <t>4b73b8da</t>
  </si>
  <si>
    <t>0x0000001</t>
  </si>
  <si>
    <t>ssv-c2.bin</t>
  </si>
  <si>
    <t>99dc8900fd8f56ae04fff72b34ddcaa8abe4c1be</t>
  </si>
  <si>
    <t>9c564a01</t>
  </si>
  <si>
    <t>0x0000000</t>
  </si>
  <si>
    <t>ssv-c1.bin</t>
  </si>
  <si>
    <t>bd1e68d1b0a47b0e2b365159e210048f8b22823a</t>
  </si>
  <si>
    <t>5020c055</t>
  </si>
  <si>
    <t>0xc00000</t>
  </si>
  <si>
    <t>ssv-v4.bin</t>
  </si>
  <si>
    <t>8015df3d788cb7926ebbcda64a96964fe102ba27</t>
  </si>
  <si>
    <t>6f1c2703</t>
  </si>
  <si>
    <t>ssv-v3.bin</t>
  </si>
  <si>
    <t>00211be3fa32035b0947ac65920ea8acae7bfae2</t>
  </si>
  <si>
    <t>cbd6ebd5</t>
  </si>
  <si>
    <t>ssv-v2.bin</t>
  </si>
  <si>
    <t>6dce1dbfd228c739b3716ae1cf08fd7f925d8650</t>
  </si>
  <si>
    <t>a3609761</t>
  </si>
  <si>
    <t>ssv-v1.bin</t>
  </si>
  <si>
    <t>016dc2f328340f3637a9bff373a20973df29f6b8</t>
  </si>
  <si>
    <t>18114fb1</t>
  </si>
  <si>
    <t>ssv-m1.bin</t>
  </si>
  <si>
    <t>6d7ce62bb77eb215cc22d6c3c677accfd740aa83</t>
  </si>
  <si>
    <t>70f667d0</t>
  </si>
  <si>
    <t>ssv-s1.bin</t>
  </si>
  <si>
    <t>99c2407361116c2b2c5fe72df53e05c5f99163c1</t>
  </si>
  <si>
    <t>b6cbe386</t>
  </si>
  <si>
    <t>ssv-p1.bin</t>
  </si>
  <si>
    <t>samsho5</t>
  </si>
  <si>
    <t>boot_samsho5b</t>
  </si>
  <si>
    <t>b1d682fa7d158f19664356a919da6572e8cfeee0</t>
  </si>
  <si>
    <t>5023067f</t>
  </si>
  <si>
    <t>ssv-p2.bin</t>
  </si>
  <si>
    <t>Samurai Shodown V / Samurai Spirits Zero (bootleg)</t>
  </si>
  <si>
    <t>samsho5b</t>
  </si>
  <si>
    <t>d477ad7a5987fd6c7ef2c1680fbb7c884654590e</t>
  </si>
  <si>
    <t>366deee5</t>
  </si>
  <si>
    <t>svc-c8.bin</t>
  </si>
  <si>
    <t>9270b58c2abc072a046bedda72f1395df26d0714</t>
  </si>
  <si>
    <t>4358d7b9</t>
  </si>
  <si>
    <t>svc-c7.bin</t>
  </si>
  <si>
    <t>8090fa82c46eb503832359093c8cc3cee3141c90</t>
  </si>
  <si>
    <t>2bc0307f</t>
  </si>
  <si>
    <t>svc-c6.bin</t>
  </si>
  <si>
    <t>1bea9c7220c2b1524896c86841d6d8fd55f5d366</t>
  </si>
  <si>
    <t>9817c082</t>
  </si>
  <si>
    <t>svc-c5.bin</t>
  </si>
  <si>
    <t>8c72dcfceef6d022ab4b73ab37cf3ac0c3940c17</t>
  </si>
  <si>
    <t>250bde2d</t>
  </si>
  <si>
    <t>svc-c4.bin</t>
  </si>
  <si>
    <t>ea1df9e2e382a8560a06d447421844cc588f43dd</t>
  </si>
  <si>
    <t>71ed8063</t>
  </si>
  <si>
    <t>svc-c3.bin</t>
  </si>
  <si>
    <t>b5d17692f15f5a678c273589fab2e3918711135e</t>
  </si>
  <si>
    <t>ed3c2089</t>
  </si>
  <si>
    <t>svc-c2.bin</t>
  </si>
  <si>
    <t>3bbe348ce54b80b56ef032ea532a18ef3cafeb11</t>
  </si>
  <si>
    <t>a7826b89</t>
  </si>
  <si>
    <t>svc-c1.bin</t>
  </si>
  <si>
    <t>9539b3356a070a066a89f27c287f316e7367ce2a</t>
  </si>
  <si>
    <t>aa9849a0</t>
  </si>
  <si>
    <t>svc-v3.bin</t>
  </si>
  <si>
    <t>d61017d829f44c7df8795ba10c55c727d9972662</t>
  </si>
  <si>
    <t>33fc0b37</t>
  </si>
  <si>
    <t>svc-v4.bin</t>
  </si>
  <si>
    <t>972bf09b75e99a683ee965bec93b0da8f15d72d9</t>
  </si>
  <si>
    <t>bd3a391f</t>
  </si>
  <si>
    <t>svc-v1.bin</t>
  </si>
  <si>
    <t>3ba3a9b5624879616382ed40337a3d9c50a0f314</t>
  </si>
  <si>
    <t>b5097287</t>
  </si>
  <si>
    <t>svc-v2.bin</t>
  </si>
  <si>
    <t>0x10000</t>
  </si>
  <si>
    <t>0x00000</t>
  </si>
  <si>
    <t>f931636c563b0789d4812033a77b47bf663db43f</t>
  </si>
  <si>
    <t>804328c3</t>
  </si>
  <si>
    <t>svc-m1.bin</t>
  </si>
  <si>
    <t>0x40000</t>
  </si>
  <si>
    <t>369024c7a2405c3144c14ac016c07c3dc0f44187</t>
  </si>
  <si>
    <t>233d6439</t>
  </si>
  <si>
    <t>svc-s1sp.bin</t>
  </si>
  <si>
    <t>ac8fbca71b754acbcdd11802161a62ae1cf32d88</t>
  </si>
  <si>
    <t>0ca13305</t>
  </si>
  <si>
    <t>svc-p2sp.bin</t>
  </si>
  <si>
    <t>svc</t>
  </si>
  <si>
    <t>boot_svcsplus</t>
  </si>
  <si>
    <t>202348a13c6480f7de37a3ee983823838822fc98</t>
  </si>
  <si>
    <t>2601902f</t>
  </si>
  <si>
    <t>svc-p1sp.bin</t>
  </si>
  <si>
    <t>Super Plus text remains on screen during gameplay</t>
  </si>
  <si>
    <t>SNK vs. Capcom - SVC Chaos Super Plus (bootleg)</t>
  </si>
  <si>
    <t>svcsplus</t>
  </si>
  <si>
    <t>aebd15253c90432a2e0a4c40f37110c1e2176ee4</t>
  </si>
  <si>
    <t>ca3c735e</t>
  </si>
  <si>
    <t>svc-s1pl.bin</t>
  </si>
  <si>
    <t>d2f13ddd5d3ee29b4b9824e8663f7ee0241f30cf</t>
  </si>
  <si>
    <t>7231ace2</t>
  </si>
  <si>
    <t>svc-p2pl.bin</t>
  </si>
  <si>
    <t>boot_svcplusa</t>
  </si>
  <si>
    <t>5eab530274b1b6f480a39a86c199da524cddfccc</t>
  </si>
  <si>
    <t>16b44144</t>
  </si>
  <si>
    <t>svc-p1pl.bin</t>
  </si>
  <si>
    <t>SNK vs. Capcom - SVC Chaos Plus (bootleg, set 2)</t>
  </si>
  <si>
    <t>svcplusa</t>
  </si>
  <si>
    <t>04d84c4fe241b9135cd210f8ed8c725f595d11d2</t>
  </si>
  <si>
    <t>73344711</t>
  </si>
  <si>
    <t>svc-s1p.bin</t>
  </si>
  <si>
    <t>3c4f2418ec513bcc13ed33a727de11dfb98f7525</t>
  </si>
  <si>
    <t>58cdc293</t>
  </si>
  <si>
    <t>svc-p3p.bin</t>
  </si>
  <si>
    <t>97b396415ab0e692e43ddf371091e5a456712f0a</t>
  </si>
  <si>
    <t>50c0e2b7</t>
  </si>
  <si>
    <t>svc-p2p.bin</t>
  </si>
  <si>
    <t>boot_svcplus</t>
  </si>
  <si>
    <t>72b7bfa34a97632b1aa003488e074d766a6c2f08</t>
  </si>
  <si>
    <t>a194d842</t>
  </si>
  <si>
    <t>svc-p1p.bin</t>
  </si>
  <si>
    <t>SNK vs. Capcom - SVC Chaos Plus (bootleg, set 1)</t>
  </si>
  <si>
    <t>svcplus</t>
  </si>
  <si>
    <t>52ae3f264d7b33e94e770e6b2d0cf35a64e7dda4</t>
  </si>
  <si>
    <t>70b44df1</t>
  </si>
  <si>
    <t>svc-s1.bin</t>
  </si>
  <si>
    <t>boot_svcboot</t>
  </si>
  <si>
    <t>c313351d68effd92aeb80ed320e4f8c26a3bb53e</t>
  </si>
  <si>
    <t>0348f162</t>
  </si>
  <si>
    <t>svc-p1.bin</t>
  </si>
  <si>
    <t>SNK vs. Capcom - SVC Chaos (bootleg)</t>
  </si>
  <si>
    <t>svcboot</t>
  </si>
  <si>
    <t>042ae50a528cea21cf07771d3915c57aa16fd5af</t>
  </si>
  <si>
    <t>4b42d7eb</t>
  </si>
  <si>
    <t>uc6</t>
  </si>
  <si>
    <t>69c9ea415773af94ac44c48af05d55ada222b138</t>
  </si>
  <si>
    <t>e89ad494</t>
  </si>
  <si>
    <t>uc5</t>
  </si>
  <si>
    <t>e1e4afd17811cb60401c14fbcf0465035165f4fb</t>
  </si>
  <si>
    <t>0a548948</t>
  </si>
  <si>
    <t>0x300000</t>
  </si>
  <si>
    <t>u9</t>
  </si>
  <si>
    <t>1adbd7aef44fa80832f63dfb8efdf69fd7256a57</t>
  </si>
  <si>
    <t>0840cbc4</t>
  </si>
  <si>
    <t>u8</t>
  </si>
  <si>
    <t>0x380000</t>
  </si>
  <si>
    <t>5e5bbcaeb82bed2ee17df08f005ca20ad1030723</t>
  </si>
  <si>
    <t>f424368a</t>
  </si>
  <si>
    <t>um1</t>
  </si>
  <si>
    <t>cf2d90a7c1a42107c0bb8b9a61397634286dbe0a</t>
  </si>
  <si>
    <t>9caae538</t>
  </si>
  <si>
    <t>us1</t>
  </si>
  <si>
    <t>pbobblen</t>
  </si>
  <si>
    <t>a2b125ee70869667431ab125bc29e768500802ad</t>
  </si>
  <si>
    <t>ac1e9ef3</t>
  </si>
  <si>
    <t>u7</t>
  </si>
  <si>
    <t>1994</t>
  </si>
  <si>
    <t>Puzzle Bobble / Bust-A-Move (Neo-Geo, bootleg)</t>
  </si>
  <si>
    <t>pbobblenb</t>
  </si>
  <si>
    <t>ff90dc79598de0880df17624c76df81c92f267ce</t>
  </si>
  <si>
    <t>9d59ff7c</t>
  </si>
  <si>
    <t>ms5b-c8.bin</t>
  </si>
  <si>
    <t>813d98175288045c0750d45afe03c74973d70cee</t>
  </si>
  <si>
    <t>57f4e53f</t>
  </si>
  <si>
    <t>ms5b-c7.bin</t>
  </si>
  <si>
    <t>4e54d904b0ce34cca429b3c86ab8bf972c66336e</t>
  </si>
  <si>
    <t>6eb6bc9e</t>
  </si>
  <si>
    <t>ms5b-c6.bin</t>
  </si>
  <si>
    <t>576370a24a8ef5ca0f8e7afa4ccdb0cb3ad9bdaa</t>
  </si>
  <si>
    <t>2a23e569</t>
  </si>
  <si>
    <t>ms5b-c5.bin</t>
  </si>
  <si>
    <t>34e20e55423cefd2b98c15061f86198b64727173</t>
  </si>
  <si>
    <t>0be6be35</t>
  </si>
  <si>
    <t>ms5b-c4.bin</t>
  </si>
  <si>
    <t>e1db4f839972748f49dddfe3bd4b0cf2e0ddf074</t>
  </si>
  <si>
    <t>ead86d28</t>
  </si>
  <si>
    <t>ms5b-c3.bin</t>
  </si>
  <si>
    <t>7178900acbb377c3de95338c8fae56e308327cab</t>
  </si>
  <si>
    <t>022fc30b</t>
  </si>
  <si>
    <t>ms5b-c2.bin</t>
  </si>
  <si>
    <t>458486d579db118ec4ba4f9fce9d62fedfef949b</t>
  </si>
  <si>
    <t>4b0e5998</t>
  </si>
  <si>
    <t>ms5b-c1.bin</t>
  </si>
  <si>
    <t>4bc034f7f37da956b4116a2dea8a856b96e43c18</t>
  </si>
  <si>
    <t>0ccee813</t>
  </si>
  <si>
    <t>ms5b-v4.bin</t>
  </si>
  <si>
    <t>b30df60964cc8480b78a4bc2d323cad59e44a0ae</t>
  </si>
  <si>
    <t>14f000ee</t>
  </si>
  <si>
    <t>ms5b-v3.bin</t>
  </si>
  <si>
    <t>002e37f3d45aa6153593c7939902e1a022de14c7</t>
  </si>
  <si>
    <t>a53618f6</t>
  </si>
  <si>
    <t>ms5b-v2.bin</t>
  </si>
  <si>
    <t>8772d0936c45623763b92c55816d0e56dd8d2ef2</t>
  </si>
  <si>
    <t>e3f9fd75</t>
  </si>
  <si>
    <t>ms5b-v1.bin</t>
  </si>
  <si>
    <t>5e285c98c65acefd77e893247482af0d09f3e1e4</t>
  </si>
  <si>
    <t>bf1601bc</t>
  </si>
  <si>
    <t>ms5b-m1.bin</t>
  </si>
  <si>
    <t>6c6050640adb7148d42d35e3017cc171e53ae957</t>
  </si>
  <si>
    <t>3a427c9f</t>
  </si>
  <si>
    <t>ms5b-s1.bin</t>
  </si>
  <si>
    <t>fd3708f6c8fa26133b29b4b033148dff54dc1e7d</t>
  </si>
  <si>
    <t>4becfba0</t>
  </si>
  <si>
    <t>ms5b-p2.bin</t>
  </si>
  <si>
    <t>mslug5</t>
  </si>
  <si>
    <t>boot_mslug5b</t>
  </si>
  <si>
    <t>7ca4a8b11c7effda2603d04e793cf664e7aa39bf</t>
  </si>
  <si>
    <t>1376f43c</t>
  </si>
  <si>
    <t>ms5b-p1.bin</t>
  </si>
  <si>
    <t>Metal Slug 5 (bootleg)</t>
  </si>
  <si>
    <t>mslug5b</t>
  </si>
  <si>
    <t>ebf69e334fcaba0fda6fd432fd0970283a365d12</t>
  </si>
  <si>
    <t>551d720e</t>
  </si>
  <si>
    <t>268-c8c.c8</t>
  </si>
  <si>
    <t>968dd9a4d1209b770b9b85ea6532fa24d262a262</t>
  </si>
  <si>
    <t>6d72a969</t>
  </si>
  <si>
    <t>268-c7c.c7</t>
  </si>
  <si>
    <t>aec140661e3ae35d264df416478ba15188544d91</t>
  </si>
  <si>
    <t>010a831b</t>
  </si>
  <si>
    <t>268-c6c.c6</t>
  </si>
  <si>
    <t>889bda7c65d71172e7d89194d1269561888fe789</t>
  </si>
  <si>
    <t>959c8177</t>
  </si>
  <si>
    <t>268-c5c.c5</t>
  </si>
  <si>
    <t>5073d4079958a0ef5426885af2c9e3178f37d5e0</t>
  </si>
  <si>
    <t>c329c373</t>
  </si>
  <si>
    <t>268-c4c.c4</t>
  </si>
  <si>
    <t>cf36b6ae9b0d12744b17cb7a928399214de894be</t>
  </si>
  <si>
    <t>3af955ea</t>
  </si>
  <si>
    <t>268-c3c.c3</t>
  </si>
  <si>
    <t>493d218c92290b4770024d6ee2917c4022753b07</t>
  </si>
  <si>
    <t>3560881b</t>
  </si>
  <si>
    <t>268-c2c.c2</t>
  </si>
  <si>
    <t>025a188de589500bf7637fa8e7a37ab24bf4312e</t>
  </si>
  <si>
    <t>ab7c389a</t>
  </si>
  <si>
    <t>268-c1c.c1</t>
  </si>
  <si>
    <t>af889570304e2867d7dfea1e94e388c06249fb67</t>
  </si>
  <si>
    <t>c40613ed</t>
  </si>
  <si>
    <t>268-v2c.v2</t>
  </si>
  <si>
    <t>c42285cf4e52fea74247860813e826df5aa7600a</t>
  </si>
  <si>
    <t>ae31d60c</t>
  </si>
  <si>
    <t>268-v1c.v1</t>
  </si>
  <si>
    <t>df0f660f2465e1db7be5adfcaf5e88ad61a74a42</t>
  </si>
  <si>
    <t>4a5a6e0e</t>
  </si>
  <si>
    <t>0x80000</t>
  </si>
  <si>
    <t>268-m1.m1</t>
  </si>
  <si>
    <t>audiocrypt</t>
  </si>
  <si>
    <t>10057a2aa487087f7143d1d69fdad978a6bef0f7</t>
  </si>
  <si>
    <t>21e04432</t>
  </si>
  <si>
    <t>ms5-s1p.bin</t>
  </si>
  <si>
    <t>f0ad8f9be7d26bc504593c1321bd23c286a221f0</t>
  </si>
  <si>
    <t>439ec031</t>
  </si>
  <si>
    <t>ms5-p3p.bin</t>
  </si>
  <si>
    <t>c0a8bdae06d62859fb6734766ccc190eb2a809a4</t>
  </si>
  <si>
    <t>d6a458e8</t>
  </si>
  <si>
    <t>ms5-p2p.bin</t>
  </si>
  <si>
    <t>boot_ms5plus</t>
  </si>
  <si>
    <t>0e840df95f3813145e5043573483c7610d2d3e68</t>
  </si>
  <si>
    <t>106b276f</t>
  </si>
  <si>
    <t>ms5-p1p.bin</t>
  </si>
  <si>
    <t>Metal Slug 5 Plus (bootleg)</t>
  </si>
  <si>
    <t>ms5plus</t>
  </si>
  <si>
    <t>b0f2cf8887794d715f208751ddd1ed26b2c3ffdf</t>
  </si>
  <si>
    <t>906cf267</t>
  </si>
  <si>
    <t>mart-c8.bin</t>
  </si>
  <si>
    <t>6b2d97c5505eeb28e300b075f37f0d69ef44463a</t>
  </si>
  <si>
    <t>ab481bb6</t>
  </si>
  <si>
    <t>mart-c7.bin</t>
  </si>
  <si>
    <t>c6481bea5a36f8210971fdcb4bfbe7ed93c769de</t>
  </si>
  <si>
    <t>77497b97</t>
  </si>
  <si>
    <t>mart-c6.bin</t>
  </si>
  <si>
    <t>1c9f1ccaed4fdd9d8f5cc9b6fcaca3c4e328e59e</t>
  </si>
  <si>
    <t>15c9e882</t>
  </si>
  <si>
    <t>mart-c5.bin</t>
  </si>
  <si>
    <t>22cb748b3b14317b90d9d9951297ada2bfc3a3f1</t>
  </si>
  <si>
    <t>109d54d9</t>
  </si>
  <si>
    <t>mart-c4.bin</t>
  </si>
  <si>
    <t>6cac303db705fe2800701ee51de9e9fca04e6e66</t>
  </si>
  <si>
    <t>574efd7d</t>
  </si>
  <si>
    <t>mart-c3.bin</t>
  </si>
  <si>
    <t>9ff5ffb750bd2e925667d84389192f92183e8677</t>
  </si>
  <si>
    <t>c5f7c300</t>
  </si>
  <si>
    <t>mart-c2.bin</t>
  </si>
  <si>
    <t>d86281607f22e4f2001047eaeeda99cd673c508c</t>
  </si>
  <si>
    <t>a5595656</t>
  </si>
  <si>
    <t>mart-c1.bin</t>
  </si>
  <si>
    <t>9c7a5e694d68f37a27209e1400b60b6241a04cc7</t>
  </si>
  <si>
    <t>c8c79b19</t>
  </si>
  <si>
    <t>mart-v4.bin</t>
  </si>
  <si>
    <t>42d558fd80cabe22a1c09a1fa75741afbcf46b7c</t>
  </si>
  <si>
    <t>e8362fcc</t>
  </si>
  <si>
    <t>mart-v3.bin</t>
  </si>
  <si>
    <t>0f754e780d0ebb815a92a45ad55f85f6d0181b70</t>
  </si>
  <si>
    <t>1e9bd59e</t>
  </si>
  <si>
    <t>mart-v2.bin</t>
  </si>
  <si>
    <t>19f7cc12f3f6d0fda9c7449816c4c32367447897</t>
  </si>
  <si>
    <t>352b0a07</t>
  </si>
  <si>
    <t>mart-v1.bin</t>
  </si>
  <si>
    <t>e5053c4312f658faed2a34e38325a22ef792d384</t>
  </si>
  <si>
    <t>3ea96ab1</t>
  </si>
  <si>
    <t>mart-m1.bin</t>
  </si>
  <si>
    <t>0</t>
  </si>
  <si>
    <t>fill</t>
  </si>
  <si>
    <t>1daa14d73512f760ef569b06f9facb279437d1db</t>
  </si>
  <si>
    <t>a14b1906</t>
  </si>
  <si>
    <t>266-p2.sp2</t>
  </si>
  <si>
    <t>matrim</t>
  </si>
  <si>
    <t>boot_matrimbl</t>
  </si>
  <si>
    <t>8d723b0d28ec344eef26009b361a2b97d300dd51</t>
  </si>
  <si>
    <t>5d4c2dc7</t>
  </si>
  <si>
    <t>266-p1.p1</t>
  </si>
  <si>
    <t>2002</t>
  </si>
  <si>
    <t>Matrimelee / Shin Gouketsuji Ichizoku Toukon (bootleg)</t>
  </si>
  <si>
    <t>matrimbl</t>
  </si>
  <si>
    <t>b624a625ea3e221808b7ea43fb0b1a51d8c1853e</t>
  </si>
  <si>
    <t>2c912ff9</t>
  </si>
  <si>
    <t>k2k4s-c5.bin</t>
  </si>
  <si>
    <t>f314c66876589601806352484dd8e45bc41be692</t>
  </si>
  <si>
    <t>fa705b2b</t>
  </si>
  <si>
    <t>k2k4s-c1.bin</t>
  </si>
  <si>
    <t>5d28eea7b581e780b78f391a8179f1678ee0d9a5</t>
  </si>
  <si>
    <t>e20d2216</t>
  </si>
  <si>
    <t>k2k4s-c6.bin</t>
  </si>
  <si>
    <t>e01adc7a4633bc0951b9b4f09abc07d728e9a2d9</t>
  </si>
  <si>
    <t>74bba7c6</t>
  </si>
  <si>
    <t>k2k4s-c2.bin</t>
  </si>
  <si>
    <t>2a414285e48aa948b5b0d4a9333bab083b5fb853</t>
  </si>
  <si>
    <t>efe6a468</t>
  </si>
  <si>
    <t>k2k4s-c7.bin</t>
  </si>
  <si>
    <t>63ab83ddc5f688dc8165a7ff8d262df3fcd942a2</t>
  </si>
  <si>
    <t>959fad0b</t>
  </si>
  <si>
    <t>k2k4s-c3.bin</t>
  </si>
  <si>
    <t>651e974f7339d2cdcfa58c5398013197a0525b77</t>
  </si>
  <si>
    <t>e924afcf</t>
  </si>
  <si>
    <t>k2k4s-c8.bin</t>
  </si>
  <si>
    <t>55a20c5b01e11a859f096af3f8e09986025d288f</t>
  </si>
  <si>
    <t>7a050288</t>
  </si>
  <si>
    <t>k2k4s-c4.bin</t>
  </si>
  <si>
    <t>f593a5722df6f6fac023d189a739a117e976bb2f</t>
  </si>
  <si>
    <t>b887d287</t>
  </si>
  <si>
    <t>k2k4s-v1.bin</t>
  </si>
  <si>
    <t>eb8220ab01c16cf9244b7f3f9912bec0db561b85</t>
  </si>
  <si>
    <t>e4ddfb3f</t>
  </si>
  <si>
    <t>k2k4s-v2.bin</t>
  </si>
  <si>
    <t>0197737934653acc6c97221660d789e9914f3578</t>
  </si>
  <si>
    <t>5a47d9ad</t>
  </si>
  <si>
    <t>k2k4s-m1.bin</t>
  </si>
  <si>
    <t>1472d2cbd7bb73e84824ecf773924007e6117e77</t>
  </si>
  <si>
    <t>a3c9b2d8</t>
  </si>
  <si>
    <t>k2k4s-s1.bin</t>
  </si>
  <si>
    <t>cc6a3489a3bfeb4dcc65b6ddae0030f7e66fbabe</t>
  </si>
  <si>
    <t>e6c50566</t>
  </si>
  <si>
    <t>k2k4s-p1.bin</t>
  </si>
  <si>
    <t>4b1838795b84f22d578ad043641df0a7bf7d9774</t>
  </si>
  <si>
    <t>febb484e</t>
  </si>
  <si>
    <t>k2k4s-p3.bin</t>
  </si>
  <si>
    <t>kof2002</t>
  </si>
  <si>
    <t>boot_kf2k4se</t>
  </si>
  <si>
    <t>973e8a0bffa0e1f055803f663f81a8e03701802d</t>
  </si>
  <si>
    <t>21a84084</t>
  </si>
  <si>
    <t>k2k4s-p2.bin</t>
  </si>
  <si>
    <t>Missing NeoGeo logo at startup</t>
  </si>
  <si>
    <t>The King of Fighters Special Edition 2004 (The King of Fighters 2002 bootleg)</t>
  </si>
  <si>
    <t>kof2k4se</t>
  </si>
  <si>
    <t>0ae2ad2389134892f156337332b77adade3ddad1</t>
  </si>
  <si>
    <t>661b7a52</t>
  </si>
  <si>
    <t>0x3800001</t>
  </si>
  <si>
    <t>kf10-c8b.bin</t>
  </si>
  <si>
    <t>7d2050752a2064cd6729f483a0da93808e2c6033</t>
  </si>
  <si>
    <t>3fdb3542</t>
  </si>
  <si>
    <t>0x3800000</t>
  </si>
  <si>
    <t>kf10-c7b.bin</t>
  </si>
  <si>
    <t>76dbb3cb45ce5a4beffa1ed29491204fc6617e42</t>
  </si>
  <si>
    <t>a5952ca4</t>
  </si>
  <si>
    <t>kf10-c8a.bin</t>
  </si>
  <si>
    <t>ded3c5eb3571647f50533eb682c2675372ace3fb</t>
  </si>
  <si>
    <t>be79c5a8</t>
  </si>
  <si>
    <t>kf10-c7a.bin</t>
  </si>
  <si>
    <t>69db7fac7023785ab94ea711a72dbc2826cfe1a3</t>
  </si>
  <si>
    <t>f2ccfc9e</t>
  </si>
  <si>
    <t>0x2800001</t>
  </si>
  <si>
    <t>kf10-c6b.bin</t>
  </si>
  <si>
    <t>56d1b32c87ea4885e49264e8b21846e465a20e1f</t>
  </si>
  <si>
    <t>404fff02</t>
  </si>
  <si>
    <t>0x2800000</t>
  </si>
  <si>
    <t>kf10-c5b.bin</t>
  </si>
  <si>
    <t>18e064b9867ae0b0794065f8dbefd486620419db</t>
  </si>
  <si>
    <t>e6494b5d</t>
  </si>
  <si>
    <t>kf10-c6a.bin</t>
  </si>
  <si>
    <t>50c7d7ebde6e118a01036cc3e40827fcd9f0d3fd</t>
  </si>
  <si>
    <t>a289d1e1</t>
  </si>
  <si>
    <t>kf10-c5a.bin</t>
  </si>
  <si>
    <t>8fd2291f349efa1ed5cd37ad4e273b60fe831a77</t>
  </si>
  <si>
    <t>5a4050cb</t>
  </si>
  <si>
    <t>0x1800001</t>
  </si>
  <si>
    <t>kf10-c4b.bin</t>
  </si>
  <si>
    <t>5ebbd0af3f83a60e33c8ccb743e3d5f5a96f1273</t>
  </si>
  <si>
    <t>9d2bba19</t>
  </si>
  <si>
    <t>0x1800000</t>
  </si>
  <si>
    <t>kf10-c3b.bin</t>
  </si>
  <si>
    <t>340c17a73aeb7bf8a6209f8459e6f00000075b50</t>
  </si>
  <si>
    <t>c6f3419b</t>
  </si>
  <si>
    <t>kf10-c4a.bin</t>
  </si>
  <si>
    <t>93ac1cd7739100f8c32732644f81f2a19837b131</t>
  </si>
  <si>
    <t>5b3d4a16</t>
  </si>
  <si>
    <t>kf10-c3a.bin</t>
  </si>
  <si>
    <t>be824a944e745ee18efdc45c81fd496a4d624b9c</t>
  </si>
  <si>
    <t>6cc4c6e1</t>
  </si>
  <si>
    <t>kf10-c2b.bin</t>
  </si>
  <si>
    <t>eabf60992bb3485c95330065294071ec155bfe7c</t>
  </si>
  <si>
    <t>b5abfc28</t>
  </si>
  <si>
    <t>kf10-c1b.bin</t>
  </si>
  <si>
    <t>d9098e05a7ba6008661147b6bf8bc2f494b8b72b</t>
  </si>
  <si>
    <t>91230075</t>
  </si>
  <si>
    <t>kf10-c2a.bin</t>
  </si>
  <si>
    <t>e8aa7ff82f151ce1db56f259377b64cceef85af0</t>
  </si>
  <si>
    <t>3bbc0364</t>
  </si>
  <si>
    <t>kf10-c1a.bin</t>
  </si>
  <si>
    <t>10caf9c69927a223445d2c4b147864c02ce520a8</t>
  </si>
  <si>
    <t>b8c475a4</t>
  </si>
  <si>
    <t>kf10-v2.bin</t>
  </si>
  <si>
    <t>9d79ef00e2c2abd9f29af5521c2fbe5798bf336f</t>
  </si>
  <si>
    <t>0fc9a58d</t>
  </si>
  <si>
    <t>kf10-v1.bin</t>
  </si>
  <si>
    <t>765bf3d954f775231b7ef2504bb844cd0b29e3f7</t>
  </si>
  <si>
    <t>9050bfe7</t>
  </si>
  <si>
    <t>5006-m1.bin</t>
  </si>
  <si>
    <t>9d16cafb9ca4bc54f31f7fd82b1be06ec8b11c79</t>
  </si>
  <si>
    <t>91f8c544</t>
  </si>
  <si>
    <t>5006-s1.bin</t>
  </si>
  <si>
    <t>4ba0657de20319c0bc30c7c3bba7d7331d0ce9a7</t>
  </si>
  <si>
    <t>72c39c46</t>
  </si>
  <si>
    <t>5006-p1.bin</t>
  </si>
  <si>
    <t>boot_kf2k5uni</t>
  </si>
  <si>
    <t>f93db4d74ce0a73a3e9631966fee37be22470c89</t>
  </si>
  <si>
    <t>ced883a2</t>
  </si>
  <si>
    <t>5006-p2a.bin</t>
  </si>
  <si>
    <t>The King of Fighters 10th Anniversary 2005 Unique (The King of Fighters 2002 bootleg)</t>
  </si>
  <si>
    <t>kf2k5uni</t>
  </si>
  <si>
    <t>9ef1cdbdd125a2b430346c22b59f36902312905f</t>
  </si>
  <si>
    <t>51f6a8f8</t>
  </si>
  <si>
    <t>5008-c8b.bin</t>
  </si>
  <si>
    <t>57deec23c81d5d673ce5992cef1f2567f1a2148e</t>
  </si>
  <si>
    <t>33604ef0</t>
  </si>
  <si>
    <t>5008-c7b.bin</t>
  </si>
  <si>
    <t>5008-m1.bin</t>
  </si>
  <si>
    <t>1fb800b46341858207d3b6961a760289fbec7faa</t>
  </si>
  <si>
    <t>92410064</t>
  </si>
  <si>
    <t>5008-s1.bin</t>
  </si>
  <si>
    <t>6ebe080ce01c51064cb2f4d89315ba98a45ae727</t>
  </si>
  <si>
    <t>e629e13c</t>
  </si>
  <si>
    <t>5008-p3.bin</t>
  </si>
  <si>
    <t>5c63ed5e5c848940f587c966da4908d04cf1293c</t>
  </si>
  <si>
    <t>a649ec38</t>
  </si>
  <si>
    <t>5008-p2.bin</t>
  </si>
  <si>
    <t>boot_kf10thep</t>
  </si>
  <si>
    <t>f05236d8fffab5836c0d27becdeeb80def32ee49</t>
  </si>
  <si>
    <t>bf5469ba</t>
  </si>
  <si>
    <t>5008-p1.bin</t>
  </si>
  <si>
    <t>The King of Fighters 10th Anniversary Extra Plus (The King of Fighters 2002 bootleg)</t>
  </si>
  <si>
    <t>kf10thep</t>
  </si>
  <si>
    <t>0184aa1394b9f9946d610278b53b846020dd88dc</t>
  </si>
  <si>
    <t>f6fab859</t>
  </si>
  <si>
    <t>kf10-m1.bin</t>
  </si>
  <si>
    <t>boot_kf10th</t>
  </si>
  <si>
    <t>5f842a8a27be2d957fd4140d6431ae47154997bb</t>
  </si>
  <si>
    <t>b1fd0c43</t>
  </si>
  <si>
    <t>kf10-p1.bin</t>
  </si>
  <si>
    <t>0x900000</t>
  </si>
  <si>
    <t>The King of Fighters 10th Anniversary (The King of Fighters 2002 bootleg)</t>
  </si>
  <si>
    <t>kof10th</t>
  </si>
  <si>
    <t>d23afb60b7f831f7d4a98ad3c4a00ee19877a1ce</t>
  </si>
  <si>
    <t>ab0bb549</t>
  </si>
  <si>
    <t>265-c8.c8</t>
  </si>
  <si>
    <t>af7d9ec1d576209826fa568f676bbff92f6d6ddd</t>
  </si>
  <si>
    <t>1a2749d8</t>
  </si>
  <si>
    <t>265-c7.c7</t>
  </si>
  <si>
    <t>6155c7e802062f4eafa27e414c4e73ee59b868bf</t>
  </si>
  <si>
    <t>03fdd1eb</t>
  </si>
  <si>
    <t>265-c6.c6</t>
  </si>
  <si>
    <t>b3424db84bc683d858fb635bc42728f9cdd89caf</t>
  </si>
  <si>
    <t>61bd165d</t>
  </si>
  <si>
    <t>265-c5.c5</t>
  </si>
  <si>
    <t>f8d79ec2c236aa3d3648a4f715676899602122c1</t>
  </si>
  <si>
    <t>2da13947</t>
  </si>
  <si>
    <t>265-c4.c4</t>
  </si>
  <si>
    <t>28f52d56192d48bbc5dc3c97abf456bd34a58cbd</t>
  </si>
  <si>
    <t>875e9fd7</t>
  </si>
  <si>
    <t>265-c3.c3</t>
  </si>
  <si>
    <t>150cd4a5e51e9df88688469d2ea7675c2cf3658a</t>
  </si>
  <si>
    <t>adf18983</t>
  </si>
  <si>
    <t>265-c2.c2</t>
  </si>
  <si>
    <t>9c46d8cf5b1ef322db442ac6a9b9406ab49206c5</t>
  </si>
  <si>
    <t>2b65a656</t>
  </si>
  <si>
    <t>265-c1.c1</t>
  </si>
  <si>
    <t>a43021f1e58947dcbe3c8ca5283b20b649f0409d</t>
  </si>
  <si>
    <t>da41d6f9</t>
  </si>
  <si>
    <t>265-v2.v2</t>
  </si>
  <si>
    <t>7c9e6426b9fa6db0158baa17a6485ffce057d889</t>
  </si>
  <si>
    <t>15e8f3f5</t>
  </si>
  <si>
    <t>265-v1.v1</t>
  </si>
  <si>
    <t>744fba4ca3bc3a5873838af886efb97a8a316104</t>
  </si>
  <si>
    <t>85aaa632</t>
  </si>
  <si>
    <t>265-m1.m1</t>
  </si>
  <si>
    <t>efc2afb26578bad9eb21659c70eb0f827d6d1ef6</t>
  </si>
  <si>
    <t>446e74c5</t>
  </si>
  <si>
    <t>k2k2m2s1.bin</t>
  </si>
  <si>
    <t>d7e542cd84d948162c60768e40ee4ed33d8e7913</t>
  </si>
  <si>
    <t>432fdf53</t>
  </si>
  <si>
    <t>k2k2m2p2.bin</t>
  </si>
  <si>
    <t>boot_kf2k2mp2</t>
  </si>
  <si>
    <t>a583b45e9c0d6f67b95c52e44444aabe88f68d97</t>
  </si>
  <si>
    <t>1016806c</t>
  </si>
  <si>
    <t>k2k2m2p1.bin</t>
  </si>
  <si>
    <t>The King of Fighters 2002 Magic Plus II (bootleg)</t>
  </si>
  <si>
    <t>kf2k2mp2</t>
  </si>
  <si>
    <t>586da8a936ebbb71af324339a4b60ec91dfa0990</t>
  </si>
  <si>
    <t>348d6f2c</t>
  </si>
  <si>
    <t>kf02m-s1.bin</t>
  </si>
  <si>
    <t>90da863037cf775957fa154cd42536e221df5740</t>
  </si>
  <si>
    <t>91584716</t>
  </si>
  <si>
    <t>kf02m-p2.bin</t>
  </si>
  <si>
    <t>boot_kf2k2mp</t>
  </si>
  <si>
    <t>704c14d671dcb4cfed44d9f978a289cb7dd9d065</t>
  </si>
  <si>
    <t>ff7c6ec0</t>
  </si>
  <si>
    <t>kf02m-p1.bin</t>
  </si>
  <si>
    <t>The King of Fighters 2002 Magic Plus (bootleg)</t>
  </si>
  <si>
    <t>kf2k2mp</t>
  </si>
  <si>
    <t>9749bb55c750e6b65d651998c2649c5fb68db68e</t>
  </si>
  <si>
    <t>1a3ed064</t>
  </si>
  <si>
    <t>2k2-s1pa.bin</t>
  </si>
  <si>
    <t>98f445cc0a94f8744d74bca71cb420277622b034</t>
  </si>
  <si>
    <t>327266b8</t>
  </si>
  <si>
    <t>265-p2.sp2</t>
  </si>
  <si>
    <t>k2k2_kf2k2p</t>
  </si>
  <si>
    <t>c9973b64e9a87fa38dde233ee3e9a73ba085b013</t>
  </si>
  <si>
    <t>6a3a02f3</t>
  </si>
  <si>
    <t>2k2-p1pa.bin</t>
  </si>
  <si>
    <t>The King of Fighters 2002 Plus (bootleg set 2)</t>
  </si>
  <si>
    <t>kf2k2pla</t>
  </si>
  <si>
    <t>ff086bdaa6f40e9ad963e1100a27f44618d684ed</t>
  </si>
  <si>
    <t>595e0006</t>
  </si>
  <si>
    <t>2k2-s1p.bin</t>
  </si>
  <si>
    <t>86946c19f1c4d9ab5cde86688d698bf63118a39d</t>
  </si>
  <si>
    <t>3ab03781</t>
  </si>
  <si>
    <t>2k2-p1p.bin</t>
  </si>
  <si>
    <t>The King of Fighters 2002 Plus (bootleg set 1)</t>
  </si>
  <si>
    <t>kf2k2pls</t>
  </si>
  <si>
    <t>d6d0f049ffc196334825328e0472b04e04bf6695</t>
  </si>
  <si>
    <t>2048404a</t>
  </si>
  <si>
    <t>2k2-c8.bin</t>
  </si>
  <si>
    <t>ab8aa88b8e1baba88e5fc01d0f3cb55503b6c81a</t>
  </si>
  <si>
    <t>2da8d8cf</t>
  </si>
  <si>
    <t>2k2-c7.bin</t>
  </si>
  <si>
    <t>d897fc8248ace145fef57d8aa393eaebc4a1ccc4</t>
  </si>
  <si>
    <t>bd736824</t>
  </si>
  <si>
    <t>2k2-c6.bin</t>
  </si>
  <si>
    <t>0cf2c54e003edfcdbed64e0570e6b800e7ed3c1b</t>
  </si>
  <si>
    <t>60635cd2</t>
  </si>
  <si>
    <t>2k2-c5.bin</t>
  </si>
  <si>
    <t>355d6b2c528319e41ce89952c5cf5bcc47cd6de0</t>
  </si>
  <si>
    <t>0989fd40</t>
  </si>
  <si>
    <t>2k2-c4.bin</t>
  </si>
  <si>
    <t>81c482b375c04bcfbbc69e3e2a2e9ab567c9bb78</t>
  </si>
  <si>
    <t>8732fa30</t>
  </si>
  <si>
    <t>2k2-c3.bin</t>
  </si>
  <si>
    <t>af93e9e134816353d6187a53959c6e418b83ad8d</t>
  </si>
  <si>
    <t>e3e66f1d</t>
  </si>
  <si>
    <t>2k2-c2.bin</t>
  </si>
  <si>
    <t>eb1da3e171c126d91e851ce141840709a2f62f8a</t>
  </si>
  <si>
    <t>f25d3d66</t>
  </si>
  <si>
    <t>2k2-c1.bin</t>
  </si>
  <si>
    <t>8a82b3e9717df30b580b9d0bac0b403f8102a002</t>
  </si>
  <si>
    <t>2255f5bf</t>
  </si>
  <si>
    <t>2k2-s1.bin</t>
  </si>
  <si>
    <t>9a9646c81b233b44213c624b898c19f83e9a07f8</t>
  </si>
  <si>
    <t>6dbee4df</t>
  </si>
  <si>
    <t>2k2-p2.bin</t>
  </si>
  <si>
    <t>boot_kf2k2b</t>
  </si>
  <si>
    <t>ad9d45498777fda9fa58e75781f48e09aee705a6</t>
  </si>
  <si>
    <t>9ede7323</t>
  </si>
  <si>
    <t>265-p1.p1</t>
  </si>
  <si>
    <t>The King of Fighters 2002 (bootleg)</t>
  </si>
  <si>
    <t>kof2002b</t>
  </si>
  <si>
    <t>6034db09c8706d4ddbcefc053efbc47a0953eb92</t>
  </si>
  <si>
    <t>5c8ba116</t>
  </si>
  <si>
    <t>263-c6.c6</t>
  </si>
  <si>
    <t>2611bbedf9b5d8e82c6b2c99b88f842c46434d41</t>
  </si>
  <si>
    <t>a748854f</t>
  </si>
  <si>
    <t>263-c5.c5</t>
  </si>
  <si>
    <t>d9b46c71726383c4581fb042e63897e5a3c92d1b</t>
  </si>
  <si>
    <t>942cfb44</t>
  </si>
  <si>
    <t>263-c4.c4</t>
  </si>
  <si>
    <t>bbbb5232bba538c277ce2ee02e2956ca2243b787</t>
  </si>
  <si>
    <t>1a343323</t>
  </si>
  <si>
    <t>263-c3.c3</t>
  </si>
  <si>
    <t>2b74493b8ec8fd49216a627aeb3db493f76124e3</t>
  </si>
  <si>
    <t>81df97f2</t>
  </si>
  <si>
    <t>263-c2.c2</t>
  </si>
  <si>
    <t>34467ada896eb7c7ca58658bf2a932936d8b632c</t>
  </si>
  <si>
    <t>84865f8a</t>
  </si>
  <si>
    <t>263-c1.c1</t>
  </si>
  <si>
    <t>77ccfa48f7e3daddef5fe5229a0093eb2f803742</t>
  </si>
  <si>
    <t>4ab2bf81</t>
  </si>
  <si>
    <t>263-v2.v2</t>
  </si>
  <si>
    <t>0b045c2999449f7dab5ae8a42e957d5b6650431e</t>
  </si>
  <si>
    <t>01e9b9cd</t>
  </si>
  <si>
    <t>263-v1.v1</t>
  </si>
  <si>
    <t>5aeea221050c98e4bb0f16489ce772bf1c80f787</t>
  </si>
  <si>
    <t>46ac8228</t>
  </si>
  <si>
    <t>263-m1.m1</t>
  </si>
  <si>
    <t>96ddb439de2a26bf9869015d7fb19129d40f3fd9</t>
  </si>
  <si>
    <t>07ff87ce</t>
  </si>
  <si>
    <t>ms4-s1p.bin</t>
  </si>
  <si>
    <t>dbeaec38f44e58ffedba99e70fa1439c2bf0dfa3</t>
  </si>
  <si>
    <t>fdb7aed8</t>
  </si>
  <si>
    <t>263-p2.sp2</t>
  </si>
  <si>
    <t>mslug4</t>
  </si>
  <si>
    <t>pcm2_ms4p</t>
  </si>
  <si>
    <t>df503772d607271ea51285154c9fd68e18b143ce</t>
  </si>
  <si>
    <t>806a6e04</t>
  </si>
  <si>
    <t>ms4-p1p.bin</t>
  </si>
  <si>
    <t>Metal Slug 4 Plus (bootleg)</t>
  </si>
  <si>
    <t>ms4plus</t>
  </si>
  <si>
    <t>6f28d1d7c6edee1283f25e632c69204dbebe40af</t>
  </si>
  <si>
    <t>917a1439</t>
  </si>
  <si>
    <t>5003-c8.bin</t>
  </si>
  <si>
    <t>361f3f4618009bf6419961266eb9ab5002bef53c</t>
  </si>
  <si>
    <t>64ddfe0f</t>
  </si>
  <si>
    <t>5003-c7.bin</t>
  </si>
  <si>
    <t>6d1fefa1be81b79e251e55a1352544c0298e4674</t>
  </si>
  <si>
    <t>613197f9</t>
  </si>
  <si>
    <t>5003-c6.bin</t>
  </si>
  <si>
    <t>f54f5be7513a5ce2f01ab107a2b26f6a9ee1f2a9</t>
  </si>
  <si>
    <t>c7c1ae50</t>
  </si>
  <si>
    <t>5003-c5.bin</t>
  </si>
  <si>
    <t>39fe785563fbea54bba88de60dcc62e2458bd74a</t>
  </si>
  <si>
    <t>afef5d66</t>
  </si>
  <si>
    <t>5003-c4.bin</t>
  </si>
  <si>
    <t>c983f642e68deaa40fee3e208f2dd55f3bacbdc1</t>
  </si>
  <si>
    <t>ac4aff71</t>
  </si>
  <si>
    <t>5003-c3.bin</t>
  </si>
  <si>
    <t>7ef74981aa056f5acab4ddabffd3e98b4cb970be</t>
  </si>
  <si>
    <t>2f8849d5</t>
  </si>
  <si>
    <t>5003-c2.bin</t>
  </si>
  <si>
    <t>e2869709b11ea2846799fe431211c83e928e103e</t>
  </si>
  <si>
    <t>68f54b67</t>
  </si>
  <si>
    <t>5003-c1.bin</t>
  </si>
  <si>
    <t>8bd68d95a2d913be41a51f51e48dbe3bff5924fb</t>
  </si>
  <si>
    <t>26ec4dd9</t>
  </si>
  <si>
    <t>262-v4-08-e0.v4</t>
  </si>
  <si>
    <t>4e82b7dd3b899d61907620517a5a27bdaba0725d</t>
  </si>
  <si>
    <t>2ae38dbe</t>
  </si>
  <si>
    <t>262-v3-08-e0.v3</t>
  </si>
  <si>
    <t>bdd58837ad542548bd4053c262f558af88e3b989</t>
  </si>
  <si>
    <t>003f1843</t>
  </si>
  <si>
    <t>262-v2-08-e0.v2</t>
  </si>
  <si>
    <t>2f2c116e45397652e77fcf5d951fa5f71b639572</t>
  </si>
  <si>
    <t>83d49ecf</t>
  </si>
  <si>
    <t>262-v1-08-e0.v1</t>
  </si>
  <si>
    <t>5f6f9c533f4a296a18c741ce59a69cf6f5c836b9</t>
  </si>
  <si>
    <t>1a8c274b</t>
  </si>
  <si>
    <t>5003-m1.bin</t>
  </si>
  <si>
    <t>3302ad290804272447ccd2e8edd3ce968f043db1</t>
  </si>
  <si>
    <t>4e1f7eae</t>
  </si>
  <si>
    <t>5003-s1sa.bin</t>
  </si>
  <si>
    <t>271e0629989257a0d21d280c05df53df259414b1</t>
  </si>
  <si>
    <t>adc1c22b</t>
  </si>
  <si>
    <t>5003-p2.bin</t>
  </si>
  <si>
    <t>kof2001</t>
  </si>
  <si>
    <t>boot_ct2k3sa</t>
  </si>
  <si>
    <t>c61c9b777e6e062b5f4ad87cdb78e9ca05e9bfb9</t>
  </si>
  <si>
    <t>013a509d</t>
  </si>
  <si>
    <t>5003-p1sa.bin</t>
  </si>
  <si>
    <t>Crouching Tiger Hidden Dragon 2003 Super Plus alternate (The King of Fighters 2001 bootleg)</t>
  </si>
  <si>
    <t>ct2k3sa</t>
  </si>
  <si>
    <t>71ac2bcd3dbda8402baecc56dabc2297b148a900</t>
  </si>
  <si>
    <t>6c355ab4</t>
  </si>
  <si>
    <t>5003-s1sp.bin</t>
  </si>
  <si>
    <t>boot_ct2k3sp</t>
  </si>
  <si>
    <t>ca9a6bfd4c32d791ecabb34ccbf2cbf0e84f97d5</t>
  </si>
  <si>
    <t>ab5c4de0</t>
  </si>
  <si>
    <t>5003-p1sp.bin</t>
  </si>
  <si>
    <t>Crouching Tiger Hidden Dragon 2003 Super Plus (The King of Fighters 2001 bootleg)</t>
  </si>
  <si>
    <t>ct2k3sp</t>
  </si>
  <si>
    <t>e7ea67268a10243693bff722e6fd2276ca540acf</t>
  </si>
  <si>
    <t>5ba29aab</t>
  </si>
  <si>
    <t>5003-s1.bin</t>
  </si>
  <si>
    <t>boot_cthd2k3</t>
  </si>
  <si>
    <t>abf329a40f34c88f7325b255e3bc090db1edaca4</t>
  </si>
  <si>
    <t>bb7602c1</t>
  </si>
  <si>
    <t>5003-p1.bin</t>
  </si>
  <si>
    <t>Crouching Tiger Hidden Dragon 2003 (The King of Fighters 2001 bootleg)</t>
  </si>
  <si>
    <t>cthd2003</t>
  </si>
  <si>
    <t>7fc54a9886dbef911f7b226e3cd20081c535e989</t>
  </si>
  <si>
    <t>4c3926e6</t>
  </si>
  <si>
    <t>0x400001</t>
  </si>
  <si>
    <t>nitd-c4.bin</t>
  </si>
  <si>
    <t>7cdd25019e37a3d127e68a4179c051881df19afa</t>
  </si>
  <si>
    <t>472cf075</t>
  </si>
  <si>
    <t>nitd-c3.bin</t>
  </si>
  <si>
    <t>1fc5cf7786ad0f0bc7b1623acabe605ad04af3c1</t>
  </si>
  <si>
    <t>6e27511f</t>
  </si>
  <si>
    <t>nitd-c2.bin</t>
  </si>
  <si>
    <t>90d5352e243a05f5c2be4fa7475667bb56e78016</t>
  </si>
  <si>
    <t>b4353190</t>
  </si>
  <si>
    <t>nitd-c1.bin</t>
  </si>
  <si>
    <t>309aa7c933c199b2e540a601b363e7af8744fe00</t>
  </si>
  <si>
    <t>728558f9</t>
  </si>
  <si>
    <t>nitd-v2.bin</t>
  </si>
  <si>
    <t>90bd6aaefd37341297ab1f4ae7246e52facd87d0</t>
  </si>
  <si>
    <t>79008868</t>
  </si>
  <si>
    <t>nitd-v1.bin</t>
  </si>
  <si>
    <t>d273e154cc905b63205a17a1a6d419cac3485a92</t>
  </si>
  <si>
    <t>6407c5e5</t>
  </si>
  <si>
    <t>260-m1.m1</t>
  </si>
  <si>
    <t>881271caee6508b8be51bf1b59c8f1e58e08e551</t>
  </si>
  <si>
    <t>dd3bf47c</t>
  </si>
  <si>
    <t>nitd-s1.bin</t>
  </si>
  <si>
    <t>nitd</t>
  </si>
  <si>
    <t>7bbddef842d50b0778711063af695b168a76ff61</t>
  </si>
  <si>
    <t>1a05bd1b</t>
  </si>
  <si>
    <t>nitd-p1.bin</t>
  </si>
  <si>
    <t>2001</t>
  </si>
  <si>
    <t>Nightmare in the Dark (bootleg)</t>
  </si>
  <si>
    <t>nitdbl</t>
  </si>
  <si>
    <t>a737bdfa2b815aea7067e7af2636e83a9409c414</t>
  </si>
  <si>
    <t>4d9be34c</t>
  </si>
  <si>
    <t>256-c8.c8</t>
  </si>
  <si>
    <t>7def666adf8bd1703f40c61f182fc040b6362dc9</t>
  </si>
  <si>
    <t>cfceddd2</t>
  </si>
  <si>
    <t>256-c7.c7</t>
  </si>
  <si>
    <t>16818883b06849ba2f8d61bdd5e21aaf99bd8408</t>
  </si>
  <si>
    <t>c698fd5d</t>
  </si>
  <si>
    <t>256-c6.c6</t>
  </si>
  <si>
    <t>312c1c9846175fe1a3cad51d5ae230cf674fc93d</t>
  </si>
  <si>
    <t>7aacab47</t>
  </si>
  <si>
    <t>256-c5.c5</t>
  </si>
  <si>
    <t>804700a0966a48f130c434ede3f970792ea74fa5</t>
  </si>
  <si>
    <t>b755b4eb</t>
  </si>
  <si>
    <t>256-c4.c4</t>
  </si>
  <si>
    <t>94e8cf42e999114b4bd8b30e0aa2f365578c4c9a</t>
  </si>
  <si>
    <t>6e69d36f</t>
  </si>
  <si>
    <t>256-c3.c3</t>
  </si>
  <si>
    <t>3843ab300f956280475469caee70135658f67089</t>
  </si>
  <si>
    <t>944c362c</t>
  </si>
  <si>
    <t>256-c2.c2</t>
  </si>
  <si>
    <t>b8aa51fa50935cae62ab3d125b723ab888691e60</t>
  </si>
  <si>
    <t>5a79c34e</t>
  </si>
  <si>
    <t>256-c1.c1</t>
  </si>
  <si>
    <t>9764fbf8453e52f80aa97a46fb9cf5937ef15a31</t>
  </si>
  <si>
    <t>9b4b22d4</t>
  </si>
  <si>
    <t>256-v4.v4</t>
  </si>
  <si>
    <t>c3ed613cc6993edd6fc0d62a90bcd85de8e21915</t>
  </si>
  <si>
    <t>0eaec17c</t>
  </si>
  <si>
    <t>256-v3.v3</t>
  </si>
  <si>
    <t>0d587fb9f64cba0315ce2d8a03e2b8fe34936dff</t>
  </si>
  <si>
    <t>7e2a10bd</t>
  </si>
  <si>
    <t>256-v2.v2</t>
  </si>
  <si>
    <t>fd56babc1934d10e0d27c32f032f9edda7ca8ce9</t>
  </si>
  <si>
    <t>f2690241</t>
  </si>
  <si>
    <t>256-v1.v1</t>
  </si>
  <si>
    <t>54419dbb21edc8c4b37eaac2e7ad9496d2de037a</t>
  </si>
  <si>
    <t>eaeec116</t>
  </si>
  <si>
    <t>256-m1.m1</t>
  </si>
  <si>
    <t>86b0c8c0ccac913c6192ed6a96c35d4e1a5e8061</t>
  </si>
  <si>
    <t>6f8b9635</t>
  </si>
  <si>
    <t>299-s1.bin</t>
  </si>
  <si>
    <t>fb1f26db7998b0bb6b1c8b92500c1596ec5dfc71</t>
  </si>
  <si>
    <t>193fa835</t>
  </si>
  <si>
    <t>299-p2.bin</t>
  </si>
  <si>
    <t>mslug3</t>
  </si>
  <si>
    <t>boot_mslug3b6</t>
  </si>
  <si>
    <t>747775a2dfc0da87ad2ddd4f57ce5b2522f23fa5</t>
  </si>
  <si>
    <t>5f2fe228</t>
  </si>
  <si>
    <t>299-p1.bin</t>
  </si>
  <si>
    <t>AES menus have incorrect graphics</t>
  </si>
  <si>
    <t>Metal Slug 6 (Metal Slug 3 bootleg)</t>
  </si>
  <si>
    <t>mslug3b6</t>
  </si>
  <si>
    <t>8a73826d14880303a7bea2a903e842c733178aca</t>
  </si>
  <si>
    <t>e02a242d</t>
  </si>
  <si>
    <t>garou-c4.bin</t>
  </si>
  <si>
    <t>c1a584909a8a1519f676aa49351742b87c18276d</t>
  </si>
  <si>
    <t>d3aec5a6</t>
  </si>
  <si>
    <t>garou-c3.bin</t>
  </si>
  <si>
    <t>f8af62a917e0ce2bf8ae4f17736fdd84d55d0788</t>
  </si>
  <si>
    <t>7c344b24</t>
  </si>
  <si>
    <t>garou-c2.bin</t>
  </si>
  <si>
    <t>186f88a85d80efbb0371bd42cca152b6b59817fb</t>
  </si>
  <si>
    <t>e2ac83fa</t>
  </si>
  <si>
    <t>garou-c1.bin</t>
  </si>
  <si>
    <t>60ea2104a0f993341124728d8fde0e8e937c55ef</t>
  </si>
  <si>
    <t>8918fdd3</t>
  </si>
  <si>
    <t>garou-v4.bin</t>
  </si>
  <si>
    <t>e86def80d6fb2a38ebc9f3338d22f28c15ce85da</t>
  </si>
  <si>
    <t>10a0f814</t>
  </si>
  <si>
    <t>garou-v3.bin</t>
  </si>
  <si>
    <t>83c9c168b154e60a64f1033004b2d33e218bbb8b</t>
  </si>
  <si>
    <t>eb43c03f</t>
  </si>
  <si>
    <t>garou-v2.bin</t>
  </si>
  <si>
    <t>3edda9a1d45b0e38a85156d24fc8ff2f0011239b</t>
  </si>
  <si>
    <t>98d736e4</t>
  </si>
  <si>
    <t>garou-v1.bin</t>
  </si>
  <si>
    <t>01ffba6cbc8da07804f7b21d8c71c39d64a1a4e2</t>
  </si>
  <si>
    <t>7c51d002</t>
  </si>
  <si>
    <t>garou-m1.bin</t>
  </si>
  <si>
    <t>58d05002d4851682bd626241fa7b70f78f6f3bc8</t>
  </si>
  <si>
    <t>df720e33</t>
  </si>
  <si>
    <t>garou-s1.bin</t>
  </si>
  <si>
    <t>4e4a4f4cd7f0ad2520c938c64c8910e6f8805eaf</t>
  </si>
  <si>
    <t>3fb10a84</t>
  </si>
  <si>
    <t>garou-p2.bin</t>
  </si>
  <si>
    <t>garou</t>
  </si>
  <si>
    <t>boot_garoubl</t>
  </si>
  <si>
    <t>e37484673a935b2af76c84cd26977c751c0f8cff</t>
  </si>
  <si>
    <t>fd446d59</t>
  </si>
  <si>
    <t>garou-p1.bin</t>
  </si>
  <si>
    <t>1999</t>
  </si>
  <si>
    <t>Garou - Mark of the Wolves (bootleg)</t>
  </si>
  <si>
    <t>garoubl</t>
  </si>
  <si>
    <t>f448a144caae51b69ea19e1f43940db135d1164a</t>
  </si>
  <si>
    <t>670ac13b</t>
  </si>
  <si>
    <t>lnsq-c6.bin</t>
  </si>
  <si>
    <t>06d2afe94ea3eb3c4e523f593b8e709dd7c284a3</t>
  </si>
  <si>
    <t>75500b82</t>
  </si>
  <si>
    <t>lnsq-c5.bin</t>
  </si>
  <si>
    <t>d19ca3be06f9fb0cb1933b1eb3da318524c3145d</t>
  </si>
  <si>
    <t>d8c3a758</t>
  </si>
  <si>
    <t>lnsq-c4.bin</t>
  </si>
  <si>
    <t>6261111ce69dc23fbf97241131e5a6a49355d18c</t>
  </si>
  <si>
    <t>013f2cda</t>
  </si>
  <si>
    <t>lnsq-c3.bin</t>
  </si>
  <si>
    <t>c192639d023cdad64a8f53dbcda02aa8cfb4168e</t>
  </si>
  <si>
    <t>e08969fd</t>
  </si>
  <si>
    <t>lnsq-c2.bin</t>
  </si>
  <si>
    <t>8cc060f9a57ab7d4238543b0bce5f5cd1d271d4f</t>
  </si>
  <si>
    <t>b83de59f</t>
  </si>
  <si>
    <t>lnsq-c1.bin</t>
  </si>
  <si>
    <t>95e015c21707b53ed7223eaa19f6cdcfb4d94f0c</t>
  </si>
  <si>
    <t>437d1d8e</t>
  </si>
  <si>
    <t>lnsq-v3.bin</t>
  </si>
  <si>
    <t>6a4ab02ab3d4416a65343cf16815007cb273f19b</t>
  </si>
  <si>
    <t>3d953975</t>
  </si>
  <si>
    <t>lnsq-v2.bin</t>
  </si>
  <si>
    <t>e3f4d8a7e243a8cf48e97d91bbfec7829c0d9404</t>
  </si>
  <si>
    <t>4408ebc3</t>
  </si>
  <si>
    <t>lnsq-v1.bin</t>
  </si>
  <si>
    <t>0xa00000</t>
  </si>
  <si>
    <t>fae3cd52a177eadd5f5775ace957cc0f8301e65d</t>
  </si>
  <si>
    <t>d0604ad1</t>
  </si>
  <si>
    <t>246-m1.bin</t>
  </si>
  <si>
    <t>24a8c94dd7e70ecde8f90ea17f75b6b5d065704f</t>
  </si>
  <si>
    <t>39e82897</t>
  </si>
  <si>
    <t>lnsq-s1.bin</t>
  </si>
  <si>
    <t>5cce7226c137da80c969df00e1cda41ef9c5082c</t>
  </si>
  <si>
    <t>fac5e2e7</t>
  </si>
  <si>
    <t>lnsq-p22.bin</t>
  </si>
  <si>
    <t>0d930cd369dfbcab7778b144355e5f70874aa324</t>
  </si>
  <si>
    <t>ecdb2d42</t>
  </si>
  <si>
    <t>lnsq-p21.bin</t>
  </si>
  <si>
    <t>shocktr2</t>
  </si>
  <si>
    <t>boot_lans2004</t>
  </si>
  <si>
    <t>379f3d44b0bae430b32157fd5f4018d77b243c58</t>
  </si>
  <si>
    <t>b40a879a</t>
  </si>
  <si>
    <t>lnsq-p1.bin</t>
  </si>
  <si>
    <t>1998</t>
  </si>
  <si>
    <t>Lansquenet 2004 (Shock Troopers - 2nd Squad bootleg)</t>
  </si>
  <si>
    <t>lans2004</t>
  </si>
  <si>
    <t>c494e0a98e127d37ca360a28accc167fa50fb626</t>
  </si>
  <si>
    <t>d2bd967b</t>
  </si>
  <si>
    <t>5232-c4.bin</t>
  </si>
  <si>
    <t>857eb68bbee4538770bbfa77aaa540d61ab0abcd</t>
  </si>
  <si>
    <t>abd1be07</t>
  </si>
  <si>
    <t>5232-c3.bin</t>
  </si>
  <si>
    <t>3d9ab64b69cecd6b3950839ac2c6d151ad66dcf8</t>
  </si>
  <si>
    <t>ea82cf8f</t>
  </si>
  <si>
    <t>5232-c2b.bin</t>
  </si>
  <si>
    <t>9dc5fe9a3b7599380db62095880e2d6f237a41bd</t>
  </si>
  <si>
    <t>1143fdf3</t>
  </si>
  <si>
    <t>5232-c1b.bin</t>
  </si>
  <si>
    <t>5784464c2357ccef8e6e79b6298843fc3d13b39c</t>
  </si>
  <si>
    <t>697f8fd0</t>
  </si>
  <si>
    <t>5232-c2a.bin</t>
  </si>
  <si>
    <t>a6f6b755215a3f41474e0a76b5463303a522c2d3</t>
  </si>
  <si>
    <t>4eab9b0a</t>
  </si>
  <si>
    <t>5232-c1a.bin</t>
  </si>
  <si>
    <t>54e77c4e9e6b89458e59824e478ddc33a9c72655</t>
  </si>
  <si>
    <t>759eb954</t>
  </si>
  <si>
    <t>232-v3.v3</t>
  </si>
  <si>
    <t>98d283e2bcc9291a53f52afd35ef76dfb0828432</t>
  </si>
  <si>
    <t>2304e744</t>
  </si>
  <si>
    <t>232-v2.v2</t>
  </si>
  <si>
    <t>ebdbc977332e6d93e266755000b43857e0082965</t>
  </si>
  <si>
    <t>22a2b5b5</t>
  </si>
  <si>
    <t>232-v1.v1</t>
  </si>
  <si>
    <t>ed77cbae2b208d1177a9f5f6e8cd57070e90b65b</t>
  </si>
  <si>
    <t>45348747</t>
  </si>
  <si>
    <t>232-m1.m1</t>
  </si>
  <si>
    <t>80918586e694dce35c4dba796eb18abf6a070ebb</t>
  </si>
  <si>
    <t>0bef69da</t>
  </si>
  <si>
    <t>5232-s1.bin</t>
  </si>
  <si>
    <t>9744620a70513490aaf9c5eda33e5ec31222be19</t>
  </si>
  <si>
    <t>158b23f6</t>
  </si>
  <si>
    <t>232-p2.sp2</t>
  </si>
  <si>
    <t>kof97</t>
  </si>
  <si>
    <t>boot_kog</t>
  </si>
  <si>
    <t>c0bf409d1e714cba5fdc6f79e4c2aec805316634</t>
  </si>
  <si>
    <t>d2413ec6</t>
  </si>
  <si>
    <t>5232-p1.bin</t>
  </si>
  <si>
    <t>1997</t>
  </si>
  <si>
    <t>King of Gladiator (The King of Fighters '97 bootleg)</t>
  </si>
  <si>
    <t>kog</t>
  </si>
  <si>
    <t>4d5689ede24a5fe4330bd85d4d3f4eb2795308bb</t>
  </si>
  <si>
    <t>4ff4d47b</t>
  </si>
  <si>
    <t>232-c6.c6</t>
  </si>
  <si>
    <t>b39c65f27873f71a6f5a5d1d04e5435f874472ee</t>
  </si>
  <si>
    <t>34fc4e51</t>
  </si>
  <si>
    <t>232-c5.c5</t>
  </si>
  <si>
    <t>f769c1bd1b019521111ff3f0d22c63cb1f2640ef</t>
  </si>
  <si>
    <t>49bb1e68</t>
  </si>
  <si>
    <t>232-c4.c4</t>
  </si>
  <si>
    <t>14d3124a08ded59f86932c6b28e1a4e48c564ccd</t>
  </si>
  <si>
    <t>581d6618</t>
  </si>
  <si>
    <t>232-c3.c3</t>
  </si>
  <si>
    <t>fdb2b9326362e27b1c7a5beb977e0bc537488186</t>
  </si>
  <si>
    <t>e4d45c81</t>
  </si>
  <si>
    <t>232-c2.c2</t>
  </si>
  <si>
    <t>e8b63bbc814de171fd18c5864a7fc639970c1ecf</t>
  </si>
  <si>
    <t>5f8bf0a1</t>
  </si>
  <si>
    <t>232-c1.c1</t>
  </si>
  <si>
    <t>8d06305f9d8890da1327356272b88bdd0dc089f5</t>
  </si>
  <si>
    <t>73254270</t>
  </si>
  <si>
    <t>kf97-s1p.bin</t>
  </si>
  <si>
    <t>37c48198d8b3798910a44075782cd1a20b687b4a</t>
  </si>
  <si>
    <t>5502b020</t>
  </si>
  <si>
    <t>kf97-p2p.bin</t>
  </si>
  <si>
    <t>bc6402f5082efc80a8936364c657165f19b49415</t>
  </si>
  <si>
    <t>c01fda46</t>
  </si>
  <si>
    <t>kf97-p1p.bin</t>
  </si>
  <si>
    <t>The King of Fighters '97 Plus (bootleg)</t>
  </si>
  <si>
    <t>kof97pls</t>
  </si>
  <si>
    <t>d47b3452953b553348be0a55473b863ce2872f6e</t>
  </si>
  <si>
    <t>031b1ad5</t>
  </si>
  <si>
    <t>0x0200000</t>
  </si>
  <si>
    <t>0x2400001</t>
  </si>
  <si>
    <t>orochi-c62.bin</t>
  </si>
  <si>
    <t>0930cce5346fbbd5c1524f9148d0577cbe634420</t>
  </si>
  <si>
    <t>d4eec50a</t>
  </si>
  <si>
    <t>0x2400000</t>
  </si>
  <si>
    <t>orochi-c52.bin</t>
  </si>
  <si>
    <t>ab724250bc07ace0873fc825b798ace934260988</t>
  </si>
  <si>
    <t>188e351a</t>
  </si>
  <si>
    <t>orochi-c61.bin</t>
  </si>
  <si>
    <t>97eaa89f0e860e2c591ca3a995fd910d8116347d</t>
  </si>
  <si>
    <t>a90340cb</t>
  </si>
  <si>
    <t>orochi-c51.bin</t>
  </si>
  <si>
    <t>baddump</t>
  </si>
  <si>
    <t>13d957c04bd69f0db140e4633c39db4a9e44eab8</t>
  </si>
  <si>
    <t>2db1f6d3</t>
  </si>
  <si>
    <t>orochi-c2.bin</t>
  </si>
  <si>
    <t>e24b3fb5f7e1c1f4752cad382c264f5f93e737a0</t>
  </si>
  <si>
    <t>f13e841c</t>
  </si>
  <si>
    <t>orochi-c1.bin</t>
  </si>
  <si>
    <t>orochi-v3.bin</t>
  </si>
  <si>
    <t>orochi-v2.bin</t>
  </si>
  <si>
    <t>orochi-v1.bin</t>
  </si>
  <si>
    <t>orochi-m1.bin</t>
  </si>
  <si>
    <t>180a1a90021031eac1a643b769d9cdeda56518f5</t>
  </si>
  <si>
    <t>4ee2149a</t>
  </si>
  <si>
    <t>orochi-s1.bin</t>
  </si>
  <si>
    <t>fdd05927743cb12210b74768155bb3f59bff01b5</t>
  </si>
  <si>
    <t>4c7c0221</t>
  </si>
  <si>
    <t>0x0400000</t>
  </si>
  <si>
    <t>orochi-p29.bin</t>
  </si>
  <si>
    <t>f514638a599a8a582c5f4df72f6a957bab776b7e</t>
  </si>
  <si>
    <t>6e1c4d8c</t>
  </si>
  <si>
    <t>orochi-p21.bin</t>
  </si>
  <si>
    <t>boot_kof97oro</t>
  </si>
  <si>
    <t>3ccb3fdf3d32a75c7fcfefff5db1f3c75054731f</t>
  </si>
  <si>
    <t>6dcb2946</t>
  </si>
  <si>
    <t>orochi-p1.bin</t>
  </si>
  <si>
    <t>The King of Fighters '97 重出江湖 Plus 2003 (bootleg)</t>
  </si>
  <si>
    <t>alt_title</t>
  </si>
  <si>
    <t>The King of Fighters '97 Chongchu Jianghu Plus 2003 (bootleg)</t>
  </si>
  <si>
    <t>kof97oro</t>
  </si>
  <si>
    <t>cc546ff063fae2c01c109fabcd5b2d29ec3299db</t>
  </si>
  <si>
    <t>d6c6183d</t>
  </si>
  <si>
    <t>054-c2.c2</t>
  </si>
  <si>
    <t>7e68871f1bfc402ef27c8fa088c680cbd133f71a</t>
  </si>
  <si>
    <t>8221b712</t>
  </si>
  <si>
    <t>054-c1.c1</t>
  </si>
  <si>
    <t>0515f2ee5d9a8ce424c80721e06f746ac6a543a8</t>
  </si>
  <si>
    <t>22d4b93b</t>
  </si>
  <si>
    <t>054-v1.v1</t>
  </si>
  <si>
    <t>f46dbc2f1d6033b11047cca31a9a7d715dc69cb2</t>
  </si>
  <si>
    <t>63e28343</t>
  </si>
  <si>
    <t>054-m1.m1</t>
  </si>
  <si>
    <t>ebd834affc763cc5854abf1c6c42f43f3f3755fd</t>
  </si>
  <si>
    <t>22e02ddd</t>
  </si>
  <si>
    <t>054-s1.s1</t>
  </si>
  <si>
    <t>083cb1626885893e736fc9998036c952cd4d503b</t>
  </si>
  <si>
    <t>64836147</t>
  </si>
  <si>
    <t>054-p1.p1</t>
  </si>
  <si>
    <t>1995</t>
  </si>
  <si>
    <t>Crossed Swords 2 (bootleg of CD version)</t>
  </si>
  <si>
    <t>crswd2bl</t>
  </si>
  <si>
    <t>dee6a4a0a727c1d8a6d298cb38ed1b9901992d5b</t>
  </si>
  <si>
    <t>226b1263</t>
  </si>
  <si>
    <t>098.c2</t>
  </si>
  <si>
    <t>75097fbe8877720afbcbe4dbe30bc600466d759f</t>
  </si>
  <si>
    <t>29148bf7</t>
  </si>
  <si>
    <t>098.c1</t>
  </si>
  <si>
    <t>696df2d0f416c2374b0eb7c858486054688c5bca</t>
  </si>
  <si>
    <t>6f8ccddc</t>
  </si>
  <si>
    <t>098.v1</t>
  </si>
  <si>
    <t>ce13d18a4c5d01974df8542c67c4df00dbc6e7c1</t>
  </si>
  <si>
    <t>da4878cf</t>
  </si>
  <si>
    <t>098.m1</t>
  </si>
  <si>
    <t>31b1194524dcc80ec4d63bac088b6fb4909f496c</t>
  </si>
  <si>
    <t>0e6a7c73</t>
  </si>
  <si>
    <t>098.s1</t>
  </si>
  <si>
    <t>6afb89d43e67f93e40f3877cbedfec9566e3ff0f</t>
  </si>
  <si>
    <t>09675541</t>
  </si>
  <si>
    <t>098.p1</t>
  </si>
  <si>
    <t>Idol Mahjong Final Romance 2 (Neo-Geo, bootleg of CD version)</t>
  </si>
  <si>
    <t>froman2b</t>
  </si>
  <si>
    <t>fb7cd057bdc6cbe8b78097dd124118bae7402256</t>
  </si>
  <si>
    <t>844ed4b3</t>
  </si>
  <si>
    <t>zin-c2.bin</t>
  </si>
  <si>
    <t>ad6929804c5b9a59aa609e6baebc6aa37e858a47</t>
  </si>
  <si>
    <t>76aee189</t>
  </si>
  <si>
    <t>zin-c1.bin</t>
  </si>
  <si>
    <t>d0b56a780a6eba85ff092240b1f1cc6718f17c21</t>
  </si>
  <si>
    <t>c09f74f1</t>
  </si>
  <si>
    <t>zin-v1.bin</t>
  </si>
  <si>
    <t>b640c1f1ff466f734bb1cb5d7b589cb7e8a55346</t>
  </si>
  <si>
    <t>fd9627ca</t>
  </si>
  <si>
    <t>zin-m1.bin</t>
  </si>
  <si>
    <t>f0649819b96cea79b05411e0b15c8edc677d79ba</t>
  </si>
  <si>
    <t>a7ab0e81</t>
  </si>
  <si>
    <t>zin-s1.bin</t>
  </si>
  <si>
    <t>b7bf38965c3d0db4d7a9684d14cac94a45b4a45b</t>
  </si>
  <si>
    <t>06c8fca7</t>
  </si>
  <si>
    <t>zin-p1.bin</t>
  </si>
  <si>
    <t>1996</t>
  </si>
  <si>
    <t>Zintrick / Oshidashi Zentrix (bootleg of CD version)</t>
  </si>
  <si>
    <t>zintrckb</t>
  </si>
  <si>
    <t>800323e52f5d33b402f84d31850b42c688082d67</t>
  </si>
  <si>
    <t>3601d568</t>
  </si>
  <si>
    <t>no4.bin</t>
  </si>
  <si>
    <t>b7c1a53e32633383675206a16c68f6f2ff984865</t>
  </si>
  <si>
    <t>81821826</t>
  </si>
  <si>
    <t>no3.bin</t>
  </si>
  <si>
    <t>nodump</t>
  </si>
  <si>
    <t>sram.v1</t>
  </si>
  <si>
    <t>0xff</t>
  </si>
  <si>
    <t>0x30000</t>
  </si>
  <si>
    <t>8cbee7f6832e7edd2dc792ca330420a6a984b879</t>
  </si>
  <si>
    <t>706477a7</t>
  </si>
  <si>
    <t>s1.s1</t>
  </si>
  <si>
    <t>f0f966ca15d503e01b40e901765ff0888463b65d</t>
  </si>
  <si>
    <t>f353448c</t>
  </si>
  <si>
    <t>EP1.bin</t>
  </si>
  <si>
    <t>803fb6cd6a7ada59678ad901ff9788b1e54ddd0c</t>
  </si>
  <si>
    <t>f25c71ad</t>
  </si>
  <si>
    <t>EP2.bin</t>
  </si>
  <si>
    <t>Face</t>
  </si>
  <si>
    <t>Dragon's Heaven (development board)</t>
  </si>
  <si>
    <t>dragonsh</t>
  </si>
  <si>
    <t>a2ede77bb2468a2e1486d74745a22a5451026039</t>
  </si>
  <si>
    <t>6289eef9</t>
  </si>
  <si>
    <t>008-c2.c2</t>
  </si>
  <si>
    <t>d55122c70cbe78c2679598dc07863e1d1d1a31df</t>
  </si>
  <si>
    <t>a9acbf18</t>
  </si>
  <si>
    <t>008-c1.c1</t>
  </si>
  <si>
    <t>3def3c22f0e276bc4c2fc7ff70ce473c08b0d2df</t>
  </si>
  <si>
    <t>443eadba</t>
  </si>
  <si>
    <t>008-v1.v1</t>
  </si>
  <si>
    <t>1dfd04d20c5985037f07cd01000d0b04f3a8f4f4</t>
  </si>
  <si>
    <t>d163c690</t>
  </si>
  <si>
    <t>008-mg1.m1</t>
  </si>
  <si>
    <t>jockeygp</t>
  </si>
  <si>
    <t>cmc50_jockeygp</t>
  </si>
  <si>
    <t>b46c96677f1bfe324b678112e9c614a20c550d51</t>
  </si>
  <si>
    <t>b8f35532</t>
  </si>
  <si>
    <t>008-epr_a.p1</t>
  </si>
  <si>
    <t>Sun Amusement / BrezzaSoft</t>
  </si>
  <si>
    <t>Jockey Grand Prix (set 2)</t>
  </si>
  <si>
    <t>jockeygpa</t>
  </si>
  <si>
    <t>e3c9b03944b4c10cf5081caaf9c8be1f08c06493</t>
  </si>
  <si>
    <t>2fb7f388</t>
  </si>
  <si>
    <t>008-epr.p1</t>
  </si>
  <si>
    <t>Jockey Grand Prix (set 1)</t>
  </si>
  <si>
    <t>cd8cf3b762d381c1f8f12919579c84a7ef7efb3f</t>
  </si>
  <si>
    <t>d49773cd</t>
  </si>
  <si>
    <t>272-c8.c8</t>
  </si>
  <si>
    <t>dfe35eb4bcd022d2f2dc544ccbbb77078f08c0aa</t>
  </si>
  <si>
    <t>1417b742</t>
  </si>
  <si>
    <t>272-c7.c7</t>
  </si>
  <si>
    <t>da45c222893f25495a66bdb302f9b0b1de3c8ae0</t>
  </si>
  <si>
    <t>05c8dc8e</t>
  </si>
  <si>
    <t>272-c6.c6</t>
  </si>
  <si>
    <t>0432b04a2265c649bba1bbd934dfb425c5d80fb1</t>
  </si>
  <si>
    <t>6ce085bc</t>
  </si>
  <si>
    <t>272-c5.c5</t>
  </si>
  <si>
    <t>2b5612017152afd7433aaf99951a084ef5ad6bf0</t>
  </si>
  <si>
    <t>32d5e2e2</t>
  </si>
  <si>
    <t>272-c4.c4</t>
  </si>
  <si>
    <t>6639020a8860d2400308e110d7277cbaf6eccc2a</t>
  </si>
  <si>
    <t>8c3c7502</t>
  </si>
  <si>
    <t>272-c3.c3</t>
  </si>
  <si>
    <t>86b475fce0bc0aa04d34e31324e8c7c7c847df19</t>
  </si>
  <si>
    <t>a3afda4f</t>
  </si>
  <si>
    <t>272-c2.c2</t>
  </si>
  <si>
    <t>87f1721bae5ef16bc23c06b05e64686c396413df</t>
  </si>
  <si>
    <t>4f97661a</t>
  </si>
  <si>
    <t>272-c1.c1</t>
  </si>
  <si>
    <t>728d139da3fe8a391fd8be4d24bb7fdd4bf9548a</t>
  </si>
  <si>
    <t>4ba507f1</t>
  </si>
  <si>
    <t>272-v2.v2</t>
  </si>
  <si>
    <t>c3affd7ff1eb02345cfb755962ec173a8ec34acd</t>
  </si>
  <si>
    <t>76a94127</t>
  </si>
  <si>
    <t>272-v1.v1</t>
  </si>
  <si>
    <t>8cbd63dda3fff4de38060405bf70cd9308c9e66e</t>
  </si>
  <si>
    <t>adeebf40</t>
  </si>
  <si>
    <t>272-m1.m1</t>
  </si>
  <si>
    <t>サムライスピリッツ零 SPECIAL</t>
  </si>
  <si>
    <t>62443dad76d6c1e18f515d7d4ef8e1295a4b7f1d</t>
  </si>
  <si>
    <t>fa1a7dd8</t>
  </si>
  <si>
    <t>272-p2c.sp2</t>
  </si>
  <si>
    <t>20040715</t>
  </si>
  <si>
    <t>samsh5sp</t>
  </si>
  <si>
    <t>k2k2_sams5s</t>
  </si>
  <si>
    <t>66588ff9b00ffad6508b03423548984e28a3209d</t>
  </si>
  <si>
    <t>9291794d</t>
  </si>
  <si>
    <t>272-p1c.p1</t>
  </si>
  <si>
    <t>NGH-2720</t>
  </si>
  <si>
    <t>serial</t>
  </si>
  <si>
    <t>Yuki Enterprise / SNK Playmore</t>
  </si>
  <si>
    <t>Samurai Shodown V Special / Samurai Spirits Zero Special (NGH-2720, 1st release, censored)</t>
  </si>
  <si>
    <t>samsh5spho</t>
  </si>
  <si>
    <t>aa259a168930f106377d680db444535411b3bce0</t>
  </si>
  <si>
    <t>bd64a518</t>
  </si>
  <si>
    <t>272-p2ca.sp2</t>
  </si>
  <si>
    <t>66864954017c841d7ca8490112c3aa7a71a4da70</t>
  </si>
  <si>
    <t>c30a08dd</t>
  </si>
  <si>
    <t>272-p1ca.p1</t>
  </si>
  <si>
    <t>Samurai Shodown V Special / Samurai Spirits Zero Special (NGH-2720, 2nd release, less censored)</t>
  </si>
  <si>
    <t>samsh5sph</t>
  </si>
  <si>
    <t>6ba946acb62c63ed61a42fe72b7fff3828883bcc</t>
  </si>
  <si>
    <t>63492ea6</t>
  </si>
  <si>
    <t>272-p2.sp2</t>
  </si>
  <si>
    <t>20040422</t>
  </si>
  <si>
    <t>f68c527208d8a55ca44b0caaa8ab66b3a0ffdfe5</t>
  </si>
  <si>
    <t>fb7a6bba</t>
  </si>
  <si>
    <t>272-p1.p1</t>
  </si>
  <si>
    <t>NGM-2720</t>
  </si>
  <si>
    <t>Samurai Shodown V Special / Samurai Spirits Zero Special (NGM-2720)</t>
  </si>
  <si>
    <t>b4ad75f54f730ada6cb00112b74022250f055725</t>
  </si>
  <si>
    <t>312f528c</t>
  </si>
  <si>
    <t>271-c8k.c8</t>
  </si>
  <si>
    <t>39744e10697d7ac539ecfcfa597e75597f321955</t>
  </si>
  <si>
    <t>e65ae2d0</t>
  </si>
  <si>
    <t>271-c7k.c7</t>
  </si>
  <si>
    <t>248cd9eaac7a04d6b5d80c7534de90b057d566d7</t>
  </si>
  <si>
    <t>d5cae4e0</t>
  </si>
  <si>
    <t>271-c6k.c6</t>
  </si>
  <si>
    <t>53dcf692b35b8d32abe5962ac799b8d641f04710</t>
  </si>
  <si>
    <t>a51b7c0f</t>
  </si>
  <si>
    <t>271-c5k.c5</t>
  </si>
  <si>
    <t>c95da1bc256995a7f44c9cc3312879ab6cbc15d6</t>
  </si>
  <si>
    <t>735177f8</t>
  </si>
  <si>
    <t>271-c4k.c4</t>
  </si>
  <si>
    <t>924f4de61c86b9efde6f1104b986886f1117055d</t>
  </si>
  <si>
    <t>27950f28</t>
  </si>
  <si>
    <t>271-c3k.c3</t>
  </si>
  <si>
    <t>04d196de7c54c77bc75eba56d3060d46efc2d406</t>
  </si>
  <si>
    <t>3fb90447</t>
  </si>
  <si>
    <t>271-c2k.c2</t>
  </si>
  <si>
    <t>1c6fe10fdbfc3306c3b7321c731f28ffdbfb15b8</t>
  </si>
  <si>
    <t>efb9dd24</t>
  </si>
  <si>
    <t>271-c1k.c1</t>
  </si>
  <si>
    <t>68f01560b91bbada39001ce01bdeeed5c9bb29f2</t>
  </si>
  <si>
    <t>48d9affe</t>
  </si>
  <si>
    <t>271-m1k.m1</t>
  </si>
  <si>
    <t>6045046027dac1cbd4cbd14b5c1ece522bc6197f</t>
  </si>
  <si>
    <t>232702ad</t>
  </si>
  <si>
    <t>271-p3k.p3</t>
  </si>
  <si>
    <t>ザ・キング・オブ・ファイターズ 2003</t>
  </si>
  <si>
    <t>f253d10e732d6e23ae82d74ac9269d21f69ddb4d</t>
  </si>
  <si>
    <t>fb3f79d9</t>
  </si>
  <si>
    <t>0x000002</t>
  </si>
  <si>
    <t>271-p2k.p2</t>
  </si>
  <si>
    <t>load32_word_swap</t>
  </si>
  <si>
    <t>20040318</t>
  </si>
  <si>
    <t>pvc_kf2k3h</t>
  </si>
  <si>
    <t>538d054ac50c91694fbbfefcce548b063713e14e</t>
  </si>
  <si>
    <t>d0d0ae3e</t>
  </si>
  <si>
    <t>271-p1k.p1</t>
  </si>
  <si>
    <t>NGH-2710</t>
  </si>
  <si>
    <t>SNK Playmore</t>
  </si>
  <si>
    <t>The King of Fighters 2003 (NGH-2710)</t>
  </si>
  <si>
    <t>kof2003h</t>
  </si>
  <si>
    <t>7516bf1b0207a3c8d41dc30c478f8d8b1f71304b</t>
  </si>
  <si>
    <t>f5515629</t>
  </si>
  <si>
    <t>271-m1c.m1</t>
  </si>
  <si>
    <t>74087f785590eda5898ce146029818f86ced42b6</t>
  </si>
  <si>
    <t>aec5b4a9</t>
  </si>
  <si>
    <t>271-p3c.p3</t>
  </si>
  <si>
    <t>46364906a1e81dc251117e91a1a7b43af1373ada</t>
  </si>
  <si>
    <t>fd568da9</t>
  </si>
  <si>
    <t>271-p2c.p2</t>
  </si>
  <si>
    <t>20031212</t>
  </si>
  <si>
    <t>pvc_kf2k3</t>
  </si>
  <si>
    <t>812cf7e9902af3f5e9e330b7c05c2171b139ad2b</t>
  </si>
  <si>
    <t>530ecc14</t>
  </si>
  <si>
    <t>271-p1c.p1</t>
  </si>
  <si>
    <t>NGM-2710</t>
  </si>
  <si>
    <t>The King of Fighters 2003 (NGM-2710, Export)</t>
  </si>
  <si>
    <t>7a3fafa6075506c6ef78cc4ec2cb72118ec83cb9</t>
  </si>
  <si>
    <t>02c530a6</t>
  </si>
  <si>
    <t>270-c8.c8</t>
  </si>
  <si>
    <t>a82a6ba6760fad14d9309f9147cb7d80bd6f70fc</t>
  </si>
  <si>
    <t>d28fbc3c</t>
  </si>
  <si>
    <t>270-c7.c7</t>
  </si>
  <si>
    <t>526732cdb408cf680af9da39057bce6a4dfb5e13</t>
  </si>
  <si>
    <t>86a69c70</t>
  </si>
  <si>
    <t>270-c6.c6</t>
  </si>
  <si>
    <t>9f8282e684415b4045218cf764ef7d75a70e3240</t>
  </si>
  <si>
    <t>bd30b52d</t>
  </si>
  <si>
    <t>270-c5.c5</t>
  </si>
  <si>
    <t>d165e533699f15b1e079c82f97db3542b3a7dd66</t>
  </si>
  <si>
    <t>041560a5</t>
  </si>
  <si>
    <t>270-c4.c4</t>
  </si>
  <si>
    <t>d5c8d3c6e7221d04e0b20882a847752e5ba95635</t>
  </si>
  <si>
    <t>838f0260</t>
  </si>
  <si>
    <t>270-c3.c3</t>
  </si>
  <si>
    <t>94e48cdf1682b1250f53c59f3f71d995e928d17b</t>
  </si>
  <si>
    <t>401f7299</t>
  </si>
  <si>
    <t>270-c2.c2</t>
  </si>
  <si>
    <t>2ccebfdd0c7907679ae95bf6eca85b8d322441e2</t>
  </si>
  <si>
    <t>14ffffac</t>
  </si>
  <si>
    <t>270-c1.c1</t>
  </si>
  <si>
    <t>6d7dc2605ead6e78704efa127e7e0dfe621e2c54</t>
  </si>
  <si>
    <t>180f3c9a</t>
  </si>
  <si>
    <t>270-v2.v2</t>
  </si>
  <si>
    <t>1985f5e88f8e866f9683b6cea901aa28c04b80bf</t>
  </si>
  <si>
    <t>62e434eb</t>
  </si>
  <si>
    <t>270-v1.v1</t>
  </si>
  <si>
    <t>2623e9765a0eba58fee2de72851e9dc502344a3d</t>
  </si>
  <si>
    <t>49c9901a</t>
  </si>
  <si>
    <t>270-m1.m1</t>
  </si>
  <si>
    <t>サムライスピリッツ 零</t>
  </si>
  <si>
    <t>12bd02fc197456da6ee86f066086094cef0f4bf9</t>
  </si>
  <si>
    <t>943a6b1d</t>
  </si>
  <si>
    <t>270-p2c.sp2</t>
  </si>
  <si>
    <t>20031211</t>
  </si>
  <si>
    <t>k2k2_samsh5</t>
  </si>
  <si>
    <t>c538289069bf338b9fa7ecc5c9143763dbb776a8</t>
  </si>
  <si>
    <t>bf956089</t>
  </si>
  <si>
    <t>270-p1c.p1</t>
  </si>
  <si>
    <t>NGH-2700</t>
  </si>
  <si>
    <t>Samurai Shodown V / Samurai Spirits Zero (NGH-2700)</t>
  </si>
  <si>
    <t>samsho5h</t>
  </si>
  <si>
    <t>899fe6457db4a724bdd9c7e4a912eab50a5221d3</t>
  </si>
  <si>
    <t>2b844fe9</t>
  </si>
  <si>
    <t>p2.bin</t>
  </si>
  <si>
    <t>20031010</t>
  </si>
  <si>
    <t>2e74a4dbed553a01f1cb2f3db896375de5f1d212</t>
  </si>
  <si>
    <t>7795fffe</t>
  </si>
  <si>
    <t>p1.bin</t>
  </si>
  <si>
    <t>NGM-2700</t>
  </si>
  <si>
    <t>Samurai Shodown V / Samurai Spirits Zero (NGM-2700, set 2)</t>
  </si>
  <si>
    <t>samsho5a</t>
  </si>
  <si>
    <t>df24a4ee76438e40c2f04a714175a7f85cacdfe0</t>
  </si>
  <si>
    <t>e0c74c85</t>
  </si>
  <si>
    <t>270-p2.sp2</t>
  </si>
  <si>
    <t>2644de02cdab8ccc605488a7c76b8c9cd1d5bcb9</t>
  </si>
  <si>
    <t>4a2a09e6</t>
  </si>
  <si>
    <t>270-p1.p1</t>
  </si>
  <si>
    <t>Samurai Shodown V / Samurai Spirits Zero (NGM-2700, set 1)</t>
  </si>
  <si>
    <t>99266e1c2ffcf324793fb5c55325fbc7e6265ac0</t>
  </si>
  <si>
    <t>2570b71b</t>
  </si>
  <si>
    <t>269-c8r.c8</t>
  </si>
  <si>
    <t>43114af7557361a8903bb8cf8553f602946a9220</t>
  </si>
  <si>
    <t>d8f0340b</t>
  </si>
  <si>
    <t>269-c7r.c7</t>
  </si>
  <si>
    <t>20448add53ab25dd3a8f0b681131ad3b9c68acc9</t>
  </si>
  <si>
    <t>e19df344</t>
  </si>
  <si>
    <t>269-c6r.c6</t>
  </si>
  <si>
    <t>54d839f55d27f68c704a94ea3c63c644ffc22ca4</t>
  </si>
  <si>
    <t>097a4157</t>
  </si>
  <si>
    <t>269-c5r.c5</t>
  </si>
  <si>
    <t>2c27d6e309646d7b84da85f78c06e4aaa74e844b</t>
  </si>
  <si>
    <t>8acb5bb6</t>
  </si>
  <si>
    <t>269-c4r.c4</t>
  </si>
  <si>
    <t>1f94a948b3e3c31b3ff05518ef525031a3cb2c62</t>
  </si>
  <si>
    <t>7d9c55b0</t>
  </si>
  <si>
    <t>269-c3r.c3</t>
  </si>
  <si>
    <t>31daaa4fd6c23e8f0a8428931c513d97d2eee1bd</t>
  </si>
  <si>
    <t>4e8903e4</t>
  </si>
  <si>
    <t>269-c2r.c2</t>
  </si>
  <si>
    <t>227cdcf7a10a415f1e3afe7ae97acc9afc2cc8e1</t>
  </si>
  <si>
    <t>887b4068</t>
  </si>
  <si>
    <t>269-c1r.c1</t>
  </si>
  <si>
    <t>e58d38950a7a8697bb22a1cc7a371ae6664ae8f9</t>
  </si>
  <si>
    <t>dd903835</t>
  </si>
  <si>
    <t>269-v2.v2</t>
  </si>
  <si>
    <t>1931e8111ef43946f68699f8707334c96f753a1e</t>
  </si>
  <si>
    <t>c659b34c</t>
  </si>
  <si>
    <t>269-v1.v1</t>
  </si>
  <si>
    <t>d3bbe09df502464f104e53501708ac6e2c1832c6</t>
  </si>
  <si>
    <t>f6819d00</t>
  </si>
  <si>
    <t>269-m1.m1</t>
  </si>
  <si>
    <t>エス・エヌ・ケイ バーサス カプコン エスブイシー カオス</t>
  </si>
  <si>
    <t>3cb71a95cea6b006b44cac0f547df88aec0007b7</t>
  </si>
  <si>
    <t>6d13797c</t>
  </si>
  <si>
    <t>269-p2.p2</t>
  </si>
  <si>
    <t>20030724 (MVS), 20031113 (AES)</t>
  </si>
  <si>
    <t>pvc_svc</t>
  </si>
  <si>
    <t>1b902905916a30969282f1399a756e32ff069097</t>
  </si>
  <si>
    <t>38e2005e</t>
  </si>
  <si>
    <t>269-p1.p1</t>
  </si>
  <si>
    <t>NGM-2690 (MVS), NGH-2690 (AES)</t>
  </si>
  <si>
    <t>Playmore / Capcom</t>
  </si>
  <si>
    <t>SNK vs. Capcom - SVC Chaos (NGM-2690 ~ NGH-2690)</t>
  </si>
  <si>
    <t>メタルスラッグ5</t>
  </si>
  <si>
    <t>27d618cfbd0107a4d2a836797e967b39d2eb4851</t>
  </si>
  <si>
    <t>8dfc47a2</t>
  </si>
  <si>
    <t>268-p2c.p2</t>
  </si>
  <si>
    <t>20040219</t>
  </si>
  <si>
    <t>pvc_mslug5</t>
  </si>
  <si>
    <t>e0da714b4bdc6efffe1250ded02ebddb3ab6d7b3</t>
  </si>
  <si>
    <t>3636690a</t>
  </si>
  <si>
    <t>268-p1c.p1</t>
  </si>
  <si>
    <t>NGH-2680</t>
  </si>
  <si>
    <t>Metal Slug 5 (NGH-2680)</t>
  </si>
  <si>
    <t>mslug5h</t>
  </si>
  <si>
    <t>9ec743d5988b5e3183f37f8edf45c72a8c0c893e</t>
  </si>
  <si>
    <t>fbf6b61e</t>
  </si>
  <si>
    <t>268-p2cr.p2</t>
  </si>
  <si>
    <t>20031114</t>
  </si>
  <si>
    <t>880819933d997fab398f91061e9dbccb959ae8a1</t>
  </si>
  <si>
    <t>d0466792</t>
  </si>
  <si>
    <t>268-p1cr.p1</t>
  </si>
  <si>
    <t>NGM-2680</t>
  </si>
  <si>
    <t>Metal Slug 5 (NGM-2680)</t>
  </si>
  <si>
    <t>149c3efd3c444fd0d35a97fa2268102bf76be3ed</t>
  </si>
  <si>
    <t>2b67187b</t>
  </si>
  <si>
    <t>267-c2.c2</t>
  </si>
  <si>
    <t>7eb3eefdeb24e19831d0f51d4ea07a0292c25ab6</t>
  </si>
  <si>
    <t>5eebee65</t>
  </si>
  <si>
    <t>267-c1.c1</t>
  </si>
  <si>
    <t>7f412d55aebff3d38a225a88c632916295ab0584</t>
  </si>
  <si>
    <t>e2e8e917</t>
  </si>
  <si>
    <t>267-v1.v1</t>
  </si>
  <si>
    <t>1b7a4c5093cf0fe3861ce44fd1d3b30c71ad0abe</t>
  </si>
  <si>
    <t>c7853ccd</t>
  </si>
  <si>
    <t>267-m1.m1</t>
  </si>
  <si>
    <t>ポチッとにゃ～</t>
  </si>
  <si>
    <t>20031224</t>
  </si>
  <si>
    <t>pnyaa</t>
  </si>
  <si>
    <t>pcm2_pnyaa</t>
  </si>
  <si>
    <t>01420e051f0bdbd4f68ce306a3738161b96f8ba8</t>
  </si>
  <si>
    <t>112fe2c0</t>
  </si>
  <si>
    <t>267-p1.p1</t>
  </si>
  <si>
    <t>NGM-2670</t>
  </si>
  <si>
    <t>Aiky / Taito</t>
  </si>
  <si>
    <t>Pochi and Nyaa (Ver 2.00)</t>
  </si>
  <si>
    <t>pnyaaa</t>
  </si>
  <si>
    <t>m1.m1</t>
  </si>
  <si>
    <t>cfa7a2c7c41601a758414faf34e59583d7537363</t>
  </si>
  <si>
    <t>bf34e71c</t>
  </si>
  <si>
    <t>pn202.p1</t>
  </si>
  <si>
    <t>Pochi and Nyaa (Ver 2.02)</t>
  </si>
  <si>
    <t>dc77f129ed49b8d40d0d4241feef3f6c2f19a987</t>
  </si>
  <si>
    <t>29873d33</t>
  </si>
  <si>
    <t>266-c8.c8</t>
  </si>
  <si>
    <t>d5611a6f6b730db58613b48f2b0174661ccfb7bb</t>
  </si>
  <si>
    <t>4b71f780</t>
  </si>
  <si>
    <t>266-c7.c7</t>
  </si>
  <si>
    <t>bdb7766cfde581ccfaee2be7fe48445f360a2301</t>
  </si>
  <si>
    <t>281cb939</t>
  </si>
  <si>
    <t>266-c6.c6</t>
  </si>
  <si>
    <t>194a6973a7a9e3847efe1bdbaeaeb16e74aff2dd</t>
  </si>
  <si>
    <t>9a15dd6b</t>
  </si>
  <si>
    <t>266-c5.c5</t>
  </si>
  <si>
    <t>c2bb866fded53d62fad0fc88d89d5e7d4cb1894f</t>
  </si>
  <si>
    <t>45b806b7</t>
  </si>
  <si>
    <t>266-c4.c4</t>
  </si>
  <si>
    <t>66c1cccc0332ffd2d3064f06330c41f95ca09ced</t>
  </si>
  <si>
    <t>f1cc6ad0</t>
  </si>
  <si>
    <t>266-c3.c3</t>
  </si>
  <si>
    <t>dab15bc24391f9a5173de76af48b612fb9636ccf</t>
  </si>
  <si>
    <t>3cb57482</t>
  </si>
  <si>
    <t>266-c2.c2</t>
  </si>
  <si>
    <t>f22b6f76fc0cad963555dc89d072967c8dc8b79a</t>
  </si>
  <si>
    <t>505f4e30</t>
  </si>
  <si>
    <t>266-c1.c1</t>
  </si>
  <si>
    <t>9d7e98976ad433ed8a35d7afffa38130444ba7db</t>
  </si>
  <si>
    <t>d0f69eda</t>
  </si>
  <si>
    <t>266-v2.v2</t>
  </si>
  <si>
    <t>200d683d8c30ebc6d0ed331aa5bbba39b4e07160</t>
  </si>
  <si>
    <t>a4f83690</t>
  </si>
  <si>
    <t>266-v1.v1</t>
  </si>
  <si>
    <t>5a07d0186198a18d2dda1331093cf29b0b9b2984</t>
  </si>
  <si>
    <t>456c3e6c</t>
  </si>
  <si>
    <t>266-m1.m1</t>
  </si>
  <si>
    <t>新・豪血寺一族 闘婚</t>
  </si>
  <si>
    <t>20030320 (MVS), 20030529 (AES)</t>
  </si>
  <si>
    <t>k2k2_matrim</t>
  </si>
  <si>
    <t>NGM-2660 (MVS), NGM-2660 (AES)</t>
  </si>
  <si>
    <t>Noise Factory / Atlus</t>
  </si>
  <si>
    <t>Matrimelee / Shin Gouketsuji Ichizoku Toukon (NGM-2660 ~ NGH-2660)</t>
  </si>
  <si>
    <t>ザ・キング・オブ・ファイターズ 2002</t>
  </si>
  <si>
    <t>20021010 (MVS), 20021219 (AES)</t>
  </si>
  <si>
    <t>k2k2_kof2k2</t>
  </si>
  <si>
    <t>NGM-2650 (MVS), NGM-2650 (AES)</t>
  </si>
  <si>
    <t>Eolith / Playmore</t>
  </si>
  <si>
    <t>The King of Fighters 2002 (NGM-2650 ~ NGH-2650)</t>
  </si>
  <si>
    <t>253378c8739daa5da4edb15eff7050820b2b3755</t>
  </si>
  <si>
    <t>c5edb5c4</t>
  </si>
  <si>
    <t>264-c8.c8</t>
  </si>
  <si>
    <t>87836e64dc816f8bf1c834641535ea96baacc024</t>
  </si>
  <si>
    <t>231d681e</t>
  </si>
  <si>
    <t>264-c7.c7</t>
  </si>
  <si>
    <t>a2ce03f6302edf81f2645de9ec61df1a281ddd78</t>
  </si>
  <si>
    <t>847d5c7d</t>
  </si>
  <si>
    <t>264-c6.c6</t>
  </si>
  <si>
    <t>8fd0a60029b41668f9e1e3056edd3c90f62efa83</t>
  </si>
  <si>
    <t>6b99b978</t>
  </si>
  <si>
    <t>264-c5.c5</t>
  </si>
  <si>
    <t>82347e8f2b48b0522d7d91fd3f372d5768934ab2</t>
  </si>
  <si>
    <t>2f394a95</t>
  </si>
  <si>
    <t>264-c4.c4</t>
  </si>
  <si>
    <t>8faf153f465ce6fb7770b27a7ce63caf11dd4086</t>
  </si>
  <si>
    <t>64d84c98</t>
  </si>
  <si>
    <t>264-c3.c3</t>
  </si>
  <si>
    <t>ccb2f94bce943576d224cb326806942426d25584</t>
  </si>
  <si>
    <t>7cf5ff72</t>
  </si>
  <si>
    <t>264-c2.c2</t>
  </si>
  <si>
    <t>0821463765fad8fbd0dfbbabb7807337d0333719</t>
  </si>
  <si>
    <t>4f148fee</t>
  </si>
  <si>
    <t>264-c1.c1</t>
  </si>
  <si>
    <t>a105e37262d9500a30fb8a5dac05aa4fab2562a3</t>
  </si>
  <si>
    <t>c3dc8bf0</t>
  </si>
  <si>
    <t>264-v2.v2</t>
  </si>
  <si>
    <t>73723126dab5a640ac11955ed6da1bf7a91394f5</t>
  </si>
  <si>
    <t>fa005812</t>
  </si>
  <si>
    <t>264-v1.v1</t>
  </si>
  <si>
    <t>6b63756b0d2d30bbf13fbd219833c81fd060ef96</t>
  </si>
  <si>
    <t>4dbd7b43</t>
  </si>
  <si>
    <t>264-m1.m1</t>
  </si>
  <si>
    <t>レイジ・オブ・ザ・ドラゴンズ</t>
  </si>
  <si>
    <t>c521783483117859a2b250190be77f6d49412ae8</t>
  </si>
  <si>
    <t>0df2e112</t>
  </si>
  <si>
    <t>264-pk2.sp2</t>
  </si>
  <si>
    <t>20020926</t>
  </si>
  <si>
    <t>rotd</t>
  </si>
  <si>
    <t>pcm2_rotd</t>
  </si>
  <si>
    <t>03009e3693648ac0d892390c3bba2ceac6c9564b</t>
  </si>
  <si>
    <t>ff2fa719</t>
  </si>
  <si>
    <t>264-pk1.p1</t>
  </si>
  <si>
    <t>NGH-2640?</t>
  </si>
  <si>
    <t>Evoga / Playmore</t>
  </si>
  <si>
    <t>Rage of the Dragons (NGH-2640?)</t>
  </si>
  <si>
    <t>rotdh</t>
  </si>
  <si>
    <t>20020606</t>
  </si>
  <si>
    <t>4f2205b4bdd32dd1522106ef4df10ac0eb1b852d</t>
  </si>
  <si>
    <t>b8cc969d</t>
  </si>
  <si>
    <t>264-p1.p1</t>
  </si>
  <si>
    <t>NGM-2640?</t>
  </si>
  <si>
    <t>Rage of the Dragons (NGM-2640?)</t>
  </si>
  <si>
    <t>メタルスラッグ4</t>
  </si>
  <si>
    <t>2cb0626bc4fa57e1d25f208e04532b570d87b3fb</t>
  </si>
  <si>
    <t>bc3ec89e</t>
  </si>
  <si>
    <t>263-ph2.sp2</t>
  </si>
  <si>
    <t>20020613</t>
  </si>
  <si>
    <t>pcm2_mslug4</t>
  </si>
  <si>
    <t>12af74964843f103520d9f0825069ea2f67eeb2f</t>
  </si>
  <si>
    <t>c67f5c8d</t>
  </si>
  <si>
    <t>263-ph1.p1</t>
  </si>
  <si>
    <t>NGH-2630</t>
  </si>
  <si>
    <t>Mega / Noise Factory / Playmore</t>
  </si>
  <si>
    <t>Metal Slug 4 (NGH-2630)</t>
  </si>
  <si>
    <t>mslug4h</t>
  </si>
  <si>
    <t>20020327</t>
  </si>
  <si>
    <t>a08785e8145981bb6b5332a3b2df7eb321253cca</t>
  </si>
  <si>
    <t>27e4def3</t>
  </si>
  <si>
    <t>263-p1.p1</t>
  </si>
  <si>
    <t>NGM-2630</t>
  </si>
  <si>
    <t>Metal Slug 4 (NGM-2630)</t>
  </si>
  <si>
    <t>ddfce7c85b2a144975db5bb14b4b51aaf881880e</t>
  </si>
  <si>
    <t>59289a6b</t>
  </si>
  <si>
    <t>262-c8-08-e0.c8</t>
  </si>
  <si>
    <t>80c3a8ec39130dd5d3da561f287709da6b8abcf4</t>
  </si>
  <si>
    <t>54d9d1ec</t>
  </si>
  <si>
    <t>262-c7-08-e0.c7</t>
  </si>
  <si>
    <t>5cd1a14703aa58810e2377dfb7353c61e9dc9c1f</t>
  </si>
  <si>
    <t>a31e4403</t>
  </si>
  <si>
    <t>262-c6-08-e0.c6</t>
  </si>
  <si>
    <t>88190c41f7d4a0f4b1982149fc9acfc640af498d</t>
  </si>
  <si>
    <t>91f24be4</t>
  </si>
  <si>
    <t>262-c5-08-e0.c5</t>
  </si>
  <si>
    <t>6752b394f6647502a649a3e62bd3442f936b733e</t>
  </si>
  <si>
    <t>4397faf8</t>
  </si>
  <si>
    <t>262-c4-08-e0.c4</t>
  </si>
  <si>
    <t>445a8db2fc69eff54a252700f2d3a89244c58e75</t>
  </si>
  <si>
    <t>fb14ff87</t>
  </si>
  <si>
    <t>262-c3-08-e0.c3</t>
  </si>
  <si>
    <t>5d9e206e98e0b0c7735b72ea46b45058fdec2352</t>
  </si>
  <si>
    <t>50368cbf</t>
  </si>
  <si>
    <t>262-c2-08-e0.c2</t>
  </si>
  <si>
    <t>374f0674871d0196fa274aa6c5956d7b3848d5da</t>
  </si>
  <si>
    <t>99cc785a</t>
  </si>
  <si>
    <t>262-c1-08-e0.c1</t>
  </si>
  <si>
    <t>71805b39b8b09c32425cf39f9de59b2f755976c2</t>
  </si>
  <si>
    <t>a7f8119f</t>
  </si>
  <si>
    <t>265-262-m1.m1</t>
  </si>
  <si>
    <t>ザ・キング・オブ・ファイターズ 2001</t>
  </si>
  <si>
    <t>82bae42bbeedb9f3aa0c7c0b0a7a69be499cf98f</t>
  </si>
  <si>
    <t>91eea062</t>
  </si>
  <si>
    <t>262-pg2.sp2</t>
  </si>
  <si>
    <t>20020314</t>
  </si>
  <si>
    <t>cmc50_kof2001</t>
  </si>
  <si>
    <t>e41282d73ed6d521da056f1a16573bb61bfa3826</t>
  </si>
  <si>
    <t>2af7e741</t>
  </si>
  <si>
    <t>262-pg1.p1</t>
  </si>
  <si>
    <t>NGH-2621</t>
  </si>
  <si>
    <t>Eolith / SNK</t>
  </si>
  <si>
    <t>The King of Fighters 2001 (NGH-2621)</t>
  </si>
  <si>
    <t>kof2001h</t>
  </si>
  <si>
    <t>AES menus are incomplete and don't function correctly</t>
  </si>
  <si>
    <t>10dcc1baf0aaf1fc84c4d856bca6bcff85aed2bc</t>
  </si>
  <si>
    <t>8e0d8329</t>
  </si>
  <si>
    <t>262-p2-08-e0.sp2</t>
  </si>
  <si>
    <t>20011115</t>
  </si>
  <si>
    <t>dcfecd69e563ff52fe07d23c5372d0f748b07819</t>
  </si>
  <si>
    <t>9381750d</t>
  </si>
  <si>
    <t>262-p1-08-e0.p1</t>
  </si>
  <si>
    <t>NGM-2620?</t>
  </si>
  <si>
    <t>The King of Fighters 2001 (NGM-262?)</t>
  </si>
  <si>
    <t>a19fb21408ab633aee8bbf38bf43b5e26766b355</t>
  </si>
  <si>
    <t>0b45ae53</t>
  </si>
  <si>
    <t>261-c4.c4</t>
  </si>
  <si>
    <t>38ec4ae4b86933a25c9a03799b8cade4b1346401</t>
  </si>
  <si>
    <t>84e2034a</t>
  </si>
  <si>
    <t>261-c3.c3</t>
  </si>
  <si>
    <t>619d24312549932959481fa58f43f11c048e1ca5</t>
  </si>
  <si>
    <t>b8eb4348</t>
  </si>
  <si>
    <t>261-c2.c2</t>
  </si>
  <si>
    <t>d960523b813d4fae06d716298d4e431a5c77a0c5</t>
  </si>
  <si>
    <t>ded84d9c</t>
  </si>
  <si>
    <t>261-c1.c1</t>
  </si>
  <si>
    <t>11157b355ab4eb6627e9f322ed875332d3d77349</t>
  </si>
  <si>
    <t>9000d085</t>
  </si>
  <si>
    <t>261-v4.v4</t>
  </si>
  <si>
    <t>1d7bb481451f5ee0457e954bb5210300182c3c9c</t>
  </si>
  <si>
    <t>c1a7ebe3</t>
  </si>
  <si>
    <t>261-v3.v3</t>
  </si>
  <si>
    <t>7ab90a54089236ca6c3ef1af8e566a8025d38159</t>
  </si>
  <si>
    <t>392a9c47</t>
  </si>
  <si>
    <t>261-v2.v2</t>
  </si>
  <si>
    <t>f9ebd20cf59b72e864b7274c1bdb6d99ecaf4595</t>
  </si>
  <si>
    <t>64c30081</t>
  </si>
  <si>
    <t>261-v1.v1</t>
  </si>
  <si>
    <t>0x0e00000</t>
  </si>
  <si>
    <t>8e6bcc428f5ac7532d9c9be7e07ad0821461a080</t>
  </si>
  <si>
    <t>7d501c39</t>
  </si>
  <si>
    <t>261-m1.m1</t>
  </si>
  <si>
    <t>戦国伝承2001</t>
  </si>
  <si>
    <t>20010718</t>
  </si>
  <si>
    <t>sengoku3</t>
  </si>
  <si>
    <t>cmc42_sengoku3</t>
  </si>
  <si>
    <t>d01421d1dc80fe7d2a46b9f79c0f344b3c81c1e7</t>
  </si>
  <si>
    <t>5b557201</t>
  </si>
  <si>
    <t>261-pg1.p1</t>
  </si>
  <si>
    <t>NGM-2610</t>
  </si>
  <si>
    <t>Noise Factory / SNK</t>
  </si>
  <si>
    <t>Sengoku 3 / Sengoku Densho 2001 (set 2)</t>
  </si>
  <si>
    <t>sengoku3a</t>
  </si>
  <si>
    <t>8df366097f224771ca6d1aa5c1691cd46776cd12</t>
  </si>
  <si>
    <t>e0d4bc0a</t>
  </si>
  <si>
    <t>261-ph1.p1</t>
  </si>
  <si>
    <t>Sengoku 3 / Sengoku Densho 2001 (set 1)</t>
  </si>
  <si>
    <t>ce4322e6cfacb627fe997efe81018861e21d3c27</t>
  </si>
  <si>
    <t>d2b04b0d</t>
  </si>
  <si>
    <t>260-c2.c2</t>
  </si>
  <si>
    <t>a647c3a2f6d146ff47521c1d39f58830601f5781</t>
  </si>
  <si>
    <t>147b0c7f</t>
  </si>
  <si>
    <t>260-c1.c1</t>
  </si>
  <si>
    <t>d769e621be52a5cd2e2568891b5f95a48268e1e0</t>
  </si>
  <si>
    <t>24b0480c</t>
  </si>
  <si>
    <t>260-v1.v1</t>
  </si>
  <si>
    <t>ナイトメアインザダーク</t>
  </si>
  <si>
    <t>cmc42_nitd</t>
  </si>
  <si>
    <t>441f3f41c1aa752c0e0a9a0b1d92711d9e636b85</t>
  </si>
  <si>
    <t>61361082</t>
  </si>
  <si>
    <t>260-p1.p1</t>
  </si>
  <si>
    <t>NGM-2600?</t>
  </si>
  <si>
    <t>Eleven / Gavaking</t>
  </si>
  <si>
    <t>Nightmare in the Dark</t>
  </si>
  <si>
    <t>d350315d3c7f26d638458e5ccf2126069a4c7a5b</t>
  </si>
  <si>
    <t>0efd98ff</t>
  </si>
  <si>
    <t>259-c2.c2</t>
  </si>
  <si>
    <t>b8ef691e92191c20a5ed4f20a75cca3c7383bca6</t>
  </si>
  <si>
    <t>1f537f74</t>
  </si>
  <si>
    <t>259-c1.c1</t>
  </si>
  <si>
    <t>8f5eddbb3a9a225492479d1a44801f3916c8e791</t>
  </si>
  <si>
    <t>97528fe9</t>
  </si>
  <si>
    <t>259-v2.v2</t>
  </si>
  <si>
    <t>608306e35501dd7d382d9f96b28e7550aa896a03</t>
  </si>
  <si>
    <t>088eb8ab</t>
  </si>
  <si>
    <t>259-v1.v1</t>
  </si>
  <si>
    <t>7d3f51710cf90c097cd3faaeeef10ceb85cbb3e8</t>
  </si>
  <si>
    <t>85668ee9</t>
  </si>
  <si>
    <t>259-m1.m1</t>
  </si>
  <si>
    <t>バン・ビード</t>
  </si>
  <si>
    <t>cmc42_bangbead</t>
  </si>
  <si>
    <t>566db84850fad5e8fe822e8bba910a33e083b550</t>
  </si>
  <si>
    <t>88a37f8b</t>
  </si>
  <si>
    <t>259-p1.p1</t>
  </si>
  <si>
    <t>NGM-2590?</t>
  </si>
  <si>
    <t>Visco</t>
  </si>
  <si>
    <t>Bang Bead</t>
  </si>
  <si>
    <t>bangbead</t>
  </si>
  <si>
    <t>b916184f5cfe4121752270f4f65abf35d8eb0519</t>
  </si>
  <si>
    <t>b1afa60b</t>
  </si>
  <si>
    <t>257-c8.c8</t>
  </si>
  <si>
    <t>065336cf166807acb6c8569d59d3bf37a19b0a42</t>
  </si>
  <si>
    <t>7da11fe4</t>
  </si>
  <si>
    <t>257-c7.c7</t>
  </si>
  <si>
    <t>6f2b0d38af34e280d56a58955400e5c679906871</t>
  </si>
  <si>
    <t>fa7200d5</t>
  </si>
  <si>
    <t>257-c6.c6</t>
  </si>
  <si>
    <t>b221b30224bc4239f1b3c2d2fd1cd4fa84e3523c</t>
  </si>
  <si>
    <t>89775412</t>
  </si>
  <si>
    <t>257-c5.c5</t>
  </si>
  <si>
    <t>da0006761923ad49b404a08d7a151193ee307a69</t>
  </si>
  <si>
    <t>bd2fc1b1</t>
  </si>
  <si>
    <t>257-c4.c4</t>
  </si>
  <si>
    <t>8073ae1139e215d1167f8d32c14079a46ce3ee1c</t>
  </si>
  <si>
    <t>101e6560</t>
  </si>
  <si>
    <t>257-c3.c3</t>
  </si>
  <si>
    <t>9f7b19a2100cf7d12867e742f440dd5277b4f895</t>
  </si>
  <si>
    <t>f7bf0003</t>
  </si>
  <si>
    <t>257-c2.c2</t>
  </si>
  <si>
    <t>6135080f3a6b4712b76cc217edcc58e72b55c2b9</t>
  </si>
  <si>
    <t>cef1cdfa</t>
  </si>
  <si>
    <t>257-c1.c1</t>
  </si>
  <si>
    <t>df23c09ca6cf7d0ae5e11ff16e30c159725106b3</t>
  </si>
  <si>
    <t>764bbd6b</t>
  </si>
  <si>
    <t>257-v4.v4</t>
  </si>
  <si>
    <t>51b228a0600d38a6ec37aec4822879ec3b0ee106</t>
  </si>
  <si>
    <t>4605036a</t>
  </si>
  <si>
    <t>257-v3.v3</t>
  </si>
  <si>
    <t>57dfd2de058139345ff2b744a225790baaecd5a2</t>
  </si>
  <si>
    <t>1afb20ff</t>
  </si>
  <si>
    <t>257-v2.v2</t>
  </si>
  <si>
    <t>4bcc0205b70dc6d9216b29025450c9c5b08cb65d</t>
  </si>
  <si>
    <t>17cde847</t>
  </si>
  <si>
    <t>257-v1.v1</t>
  </si>
  <si>
    <t>2af2361146edd0ce3966614d90165a5c1afb8de4</t>
  </si>
  <si>
    <t>4b749113</t>
  </si>
  <si>
    <t>257-m1.m1</t>
  </si>
  <si>
    <t>ザ・キング・オブ・ファイターズ 2000</t>
  </si>
  <si>
    <t>dc9121b7369ef46596343cac055a00aec81704d4</t>
  </si>
  <si>
    <t>693c2c5e</t>
  </si>
  <si>
    <t>257-pg2.sp2</t>
  </si>
  <si>
    <t>20000726 (MVS), 20001221 (AES)</t>
  </si>
  <si>
    <t>kof2000</t>
  </si>
  <si>
    <t>cmc50_kof2000n</t>
  </si>
  <si>
    <t>2bc233dcff5622de86d01e3b74b840c7caf12982</t>
  </si>
  <si>
    <t>5f809dbe</t>
  </si>
  <si>
    <t>257-pg1.p1</t>
  </si>
  <si>
    <t>NGM-2570 (MVS), NGH-2570 (AES)</t>
  </si>
  <si>
    <t>SNK</t>
  </si>
  <si>
    <t>The King of Fighters 2000 (not encrypted)</t>
  </si>
  <si>
    <t>kof2000n</t>
  </si>
  <si>
    <t>f19fa44e9ee5b5a6eb4a051349d6bc4acc3bbbdb</t>
  </si>
  <si>
    <t>1b7ec415</t>
  </si>
  <si>
    <t>257-p2.p2</t>
  </si>
  <si>
    <t>5faa0a7ac7734d6c8e276589bd12dd574264647d</t>
  </si>
  <si>
    <t>60947b4c</t>
  </si>
  <si>
    <t>257-p1.p1</t>
  </si>
  <si>
    <t>sma_kof2k</t>
  </si>
  <si>
    <t>1bd29ded4c6b29780db8e8b772c452189699ca89</t>
  </si>
  <si>
    <t>71c6e6bb</t>
  </si>
  <si>
    <t>0x0c0000</t>
  </si>
  <si>
    <t>neo-sma</t>
  </si>
  <si>
    <t>The King of Fighters 2000 (NGM-2570 ~ NGH-2570)</t>
  </si>
  <si>
    <t>メタルスラッグ 3</t>
  </si>
  <si>
    <t>08b05a8abfb86ec09a5e758d6273acf1489961f9</t>
  </si>
  <si>
    <t>1f3d8ce8</t>
  </si>
  <si>
    <t>256-ph2.sp2</t>
  </si>
  <si>
    <t>20000601</t>
  </si>
  <si>
    <t>cmc42_mslug3h</t>
  </si>
  <si>
    <t>7a8f77a89867b889295ae9b9dfd4ba28f02d234d</t>
  </si>
  <si>
    <t>9c42ca85</t>
  </si>
  <si>
    <t>256-ph1.p1</t>
  </si>
  <si>
    <t>NGH-2560</t>
  </si>
  <si>
    <t>Metal Slug 3 (NGH-2560)</t>
  </si>
  <si>
    <t>mslug3h</t>
  </si>
  <si>
    <t>d6bd03cf61879217922c18db4d3bd77095c0fe19</t>
  </si>
  <si>
    <t>9b659826</t>
  </si>
  <si>
    <t>256.p2</t>
  </si>
  <si>
    <t>4c4c379d9fc3a83265b7f32fbfce9d16b7d0f0fd</t>
  </si>
  <si>
    <t>a1177628</t>
  </si>
  <si>
    <t>256.p1</t>
  </si>
  <si>
    <t>20000323</t>
  </si>
  <si>
    <t>sma_mslug3a</t>
  </si>
  <si>
    <t>1647260ccbda833b35005608ef1fdc82fba02f04</t>
  </si>
  <si>
    <t>c60d29b2</t>
  </si>
  <si>
    <t>white.neo-sma</t>
  </si>
  <si>
    <t>NGM-2560</t>
  </si>
  <si>
    <t>Metal Slug 3 (NGM-2560, earlier)</t>
  </si>
  <si>
    <t>mslug3a</t>
  </si>
  <si>
    <t>248ec29d21216f29dc6f5f3f0e1ad1601b3501b6</t>
  </si>
  <si>
    <t>6097c26b</t>
  </si>
  <si>
    <t>256-pg2.p2</t>
  </si>
  <si>
    <t>dcbd9e500bfae98d754e55cdbbbbf9401013f8ee</t>
  </si>
  <si>
    <t>b07edfd5</t>
  </si>
  <si>
    <t>256-pg1.p1</t>
  </si>
  <si>
    <t>sma_mslug3</t>
  </si>
  <si>
    <t>d6efb2b313127c2911d47d9324626b3f1e7c6ccb</t>
  </si>
  <si>
    <t>9cd55736</t>
  </si>
  <si>
    <t>green.neo-sma</t>
  </si>
  <si>
    <t>Metal Slug 3 (NGM-2560)</t>
  </si>
  <si>
    <t>394ba8004644844ee97a120cfda48aeac685af8a</t>
  </si>
  <si>
    <t>b001bdd3</t>
  </si>
  <si>
    <t>255-c6.c6</t>
  </si>
  <si>
    <t>15c7d9aa8b1ad9a071e6fd0ef0de8a057c23b02e</t>
  </si>
  <si>
    <t>0b2e6adf</t>
  </si>
  <si>
    <t>255-c5.c5</t>
  </si>
  <si>
    <t>90011ccc5672ff1b90737cf50c963e71b6217ce3</t>
  </si>
  <si>
    <t>40371d69</t>
  </si>
  <si>
    <t>255-c4.c4</t>
  </si>
  <si>
    <t>bd5b81ad9d04cdc4e0df31ac40eca305f98277eb</t>
  </si>
  <si>
    <t>60e31e08</t>
  </si>
  <si>
    <t>255-c3.c3</t>
  </si>
  <si>
    <t>aadb6ee750da2c14c6eededa2218db95e051a32c</t>
  </si>
  <si>
    <t>04e67d79</t>
  </si>
  <si>
    <t>255-c2.c2</t>
  </si>
  <si>
    <t>1539b12e461fa48301190eb8171bbffff9d984b7</t>
  </si>
  <si>
    <t>ea06000b</t>
  </si>
  <si>
    <t>255-c1.c1</t>
  </si>
  <si>
    <t>b2c6786920dc1712e88c3cc26d2c6c3ac2615bf4</t>
  </si>
  <si>
    <t>6610d91a</t>
  </si>
  <si>
    <t>255-v2.v2</t>
  </si>
  <si>
    <t>7146ac748f846c7e2d5b0bdcf953892e39b648fe</t>
  </si>
  <si>
    <t>5a14543d</t>
  </si>
  <si>
    <t>255-v1.v1</t>
  </si>
  <si>
    <t>5b73809b6e4e49264d281ef3e5004ac8a9de296d</t>
  </si>
  <si>
    <t>8efd4014</t>
  </si>
  <si>
    <t>255-m1.m1</t>
  </si>
  <si>
    <t>原始島2</t>
  </si>
  <si>
    <t>0981a8295d43b264c2b95e5d7568bdda4e64c976</t>
  </si>
  <si>
    <t>42050b80</t>
  </si>
  <si>
    <t>255-p2.sp2</t>
  </si>
  <si>
    <t>19990927</t>
  </si>
  <si>
    <t>cmc42_preisle2</t>
  </si>
  <si>
    <t>793c6a46f3a794536dc0327a3f3fad20e25ab661</t>
  </si>
  <si>
    <t>dfa3c0f3</t>
  </si>
  <si>
    <t>255-p1.p1</t>
  </si>
  <si>
    <t>NGM-2550</t>
  </si>
  <si>
    <t>Yumekobo / Saurus</t>
  </si>
  <si>
    <t>Prehistoric Isle 2</t>
  </si>
  <si>
    <t>preisle2</t>
  </si>
  <si>
    <t>24d4ed627940a4cf8129761c1da15556e52e199c</t>
  </si>
  <si>
    <t>66848c7d</t>
  </si>
  <si>
    <t>254-c8.c8</t>
  </si>
  <si>
    <t>5b3e8dd77474203be010ec7363858d806344a320</t>
  </si>
  <si>
    <t>f2323239</t>
  </si>
  <si>
    <t>254-c7.c7</t>
  </si>
  <si>
    <t>6e43e15e27bc914357f977116ab1e2d98711bb21</t>
  </si>
  <si>
    <t>e34970fc</t>
  </si>
  <si>
    <t>254-c6.c6</t>
  </si>
  <si>
    <t>feb96eb5e80c9125ddd7836e0939212cd3011c34</t>
  </si>
  <si>
    <t>4580eacd</t>
  </si>
  <si>
    <t>254-c5.c5</t>
  </si>
  <si>
    <t>460c6738d0ee5ae440a23fc1434fab53bbb242b5</t>
  </si>
  <si>
    <t>818672f0</t>
  </si>
  <si>
    <t>254-c4.c4</t>
  </si>
  <si>
    <t>31f6aaffe28146d574aa72f14f90a9d968f36bc6</t>
  </si>
  <si>
    <t>e53ff2dc</t>
  </si>
  <si>
    <t>254-c3.c3</t>
  </si>
  <si>
    <t>d70141a91a360a1b1070753086f976608fec38af</t>
  </si>
  <si>
    <t>436fa176</t>
  </si>
  <si>
    <t>254-c2.c2</t>
  </si>
  <si>
    <t>544ccdaee8a4a45cdce9483e30852811d2d5f3cc</t>
  </si>
  <si>
    <t>ae6fc8ef</t>
  </si>
  <si>
    <t>254-c1.c1</t>
  </si>
  <si>
    <t>8433513c0b5aea61939068a25ab90efbe3e44116</t>
  </si>
  <si>
    <t>6d13dc91</t>
  </si>
  <si>
    <t>254-v4.v4</t>
  </si>
  <si>
    <t>f8e76af42a997f36a40f66b39de00f68afe6a89c</t>
  </si>
  <si>
    <t>0b0d2d33</t>
  </si>
  <si>
    <t>254-v3.v3</t>
  </si>
  <si>
    <t>dd3e0974b753e6f94d0943a002de45668a1b072b</t>
  </si>
  <si>
    <t>d9a248f0</t>
  </si>
  <si>
    <t>254-v2.v2</t>
  </si>
  <si>
    <t>e59544457be9f21481eac8b5a39b9cbb502f252d</t>
  </si>
  <si>
    <t>844f58fb</t>
  </si>
  <si>
    <t>254-v1.v1</t>
  </si>
  <si>
    <t>a4e645a3ababa48a8325980ff022e04a8b51b017</t>
  </si>
  <si>
    <t>994b4487</t>
  </si>
  <si>
    <t>254-m1.m1</t>
  </si>
  <si>
    <t>254f3e1b546eed788f7ae919be9d1bf9702148ce</t>
  </si>
  <si>
    <t>efdfd4dd</t>
  </si>
  <si>
    <t>254-p2.sp2</t>
  </si>
  <si>
    <t>19991224</t>
  </si>
  <si>
    <t>cmc42_s1945p</t>
  </si>
  <si>
    <t>dcaeaca573385c172ecc43ee6bee355359091893</t>
  </si>
  <si>
    <t>ff8efcff</t>
  </si>
  <si>
    <t>254-p1.p1</t>
  </si>
  <si>
    <t>NGM-2540</t>
  </si>
  <si>
    <t>Psikyo</t>
  </si>
  <si>
    <t>Strikers 1945 Plus</t>
  </si>
  <si>
    <t>s1945p</t>
  </si>
  <si>
    <t>c963f6ba90a36d02991728b44ffcf174ca18268a</t>
  </si>
  <si>
    <t>f778fe99</t>
  </si>
  <si>
    <t>proto_253-c8.c8</t>
  </si>
  <si>
    <t>92bfd9839115bd590972ae4ecc45ad35dce22387</t>
  </si>
  <si>
    <t>d68e806f</t>
  </si>
  <si>
    <t>proto_253-c7.c7</t>
  </si>
  <si>
    <t>eaee6f2f18af91f7959d84d4b991b3fc182d07c4</t>
  </si>
  <si>
    <t>0a6fab38</t>
  </si>
  <si>
    <t>proto_253-c6.c6</t>
  </si>
  <si>
    <t>798832c535869f0e247c3db0d8253779b103e213</t>
  </si>
  <si>
    <t>722615d2</t>
  </si>
  <si>
    <t>proto_253-c5.c5</t>
  </si>
  <si>
    <t>6059793eaf6e58c172235fe64aa9d25a40c38ed6</t>
  </si>
  <si>
    <t>b9b5b993</t>
  </si>
  <si>
    <t>proto_253-c4.c4</t>
  </si>
  <si>
    <t>7b9221f7ecc438150c8a10be72390329854ed21b</t>
  </si>
  <si>
    <t>234d16fc</t>
  </si>
  <si>
    <t>proto_253-c3.c3</t>
  </si>
  <si>
    <t>f7503502be0332adf408ee0ea5ee5161c8939fd8</t>
  </si>
  <si>
    <t>5c8d2960</t>
  </si>
  <si>
    <t>proto_253-c2.c2</t>
  </si>
  <si>
    <t>d648febd8e6a0bdd9bdbb6ce1f1f8b08567ec05a</t>
  </si>
  <si>
    <t>5bb5d137</t>
  </si>
  <si>
    <t>proto_253-c1.c1</t>
  </si>
  <si>
    <t>170d5638327ec0eb3590b80dc11590897367250c</t>
  </si>
  <si>
    <t>14984063</t>
  </si>
  <si>
    <t>proto_253-v4.v4</t>
  </si>
  <si>
    <t>6cd699719614bb87547632ea3d61d92d81fdf563</t>
  </si>
  <si>
    <t>05fd06cd</t>
  </si>
  <si>
    <t>proto_253-v3.v3</t>
  </si>
  <si>
    <t>b3d2d9f5c1d97a6e7aee2c674fb6627f41bbb240</t>
  </si>
  <si>
    <t>8f86dabe</t>
  </si>
  <si>
    <t>proto_253-v2.v2</t>
  </si>
  <si>
    <t>4c7a8ad1cd0e3afc1f78de3c2929120ed434f104</t>
  </si>
  <si>
    <t>274f3923</t>
  </si>
  <si>
    <t>proto_253-v1.v1</t>
  </si>
  <si>
    <t>f5f8f3e48f5d453f45107085d6f4023bcd24c053</t>
  </si>
  <si>
    <t>bbe464f7</t>
  </si>
  <si>
    <t>proto_253-m1.m1</t>
  </si>
  <si>
    <t>8bd550857b60f8a907f6d39a4225ceffdd330307</t>
  </si>
  <si>
    <t>779989de</t>
  </si>
  <si>
    <t>proto_253-s1.s1</t>
  </si>
  <si>
    <t>0e24574168cd38138bed0aa4dca49849f6901ca2</t>
  </si>
  <si>
    <t>bf8de565</t>
  </si>
  <si>
    <t>proto_253-p2.p2</t>
  </si>
  <si>
    <t>1ff6bb651682f93bef9ff02622c3cf63fe594986</t>
  </si>
  <si>
    <t>c72f0c16</t>
  </si>
  <si>
    <t>proto_253-p1.p1</t>
  </si>
  <si>
    <t>Garou - Mark of the Wolves (prototype)</t>
  </si>
  <si>
    <t>garoup</t>
  </si>
  <si>
    <t>fd61221ad257c185ef5c1f9694bd6b840b591af3</t>
  </si>
  <si>
    <t>21a11303</t>
  </si>
  <si>
    <t>253-c8.c8</t>
  </si>
  <si>
    <t>8675ca787d28246174c313167f82557f021366fc</t>
  </si>
  <si>
    <t>c0e995ae</t>
  </si>
  <si>
    <t>253-c7.c7</t>
  </si>
  <si>
    <t>b052f1fa9fbc69606004c250e2505360eaa24949</t>
  </si>
  <si>
    <t>308d098b</t>
  </si>
  <si>
    <t>253-c6.c6</t>
  </si>
  <si>
    <t>47c433015aa81a0b0a1d3ee51382c4948b80c023</t>
  </si>
  <si>
    <t>3eab5557</t>
  </si>
  <si>
    <t>253-c5.c5</t>
  </si>
  <si>
    <t>aae36b050a3a0321026a96eba06dd184c0e2acca</t>
  </si>
  <si>
    <t>5ba92ec6</t>
  </si>
  <si>
    <t>253-c4.c4</t>
  </si>
  <si>
    <t>678f0c9cc1267bd131546981b9989bfb7289d8ba</t>
  </si>
  <si>
    <t>6737c92d</t>
  </si>
  <si>
    <t>253-c3.c3</t>
  </si>
  <si>
    <t>d4ed3a13ae22f880fb399671c1752f1a0283f316</t>
  </si>
  <si>
    <t>0917d2a4</t>
  </si>
  <si>
    <t>253-c2.c2</t>
  </si>
  <si>
    <t>5ef4557ce90ba65d36129de97be1fdc049c4a3d0</t>
  </si>
  <si>
    <t>0603e046</t>
  </si>
  <si>
    <t>253-c1.c1</t>
  </si>
  <si>
    <t>d7123e79b43e8adfaa5ecadbfcbeb6be890ec311</t>
  </si>
  <si>
    <t>a54be8a9</t>
  </si>
  <si>
    <t>253-v4.v4</t>
  </si>
  <si>
    <t>986863c98fc3445487242dcf2ea75b075e7f33ee</t>
  </si>
  <si>
    <t>0425b27d</t>
  </si>
  <si>
    <t>253-v3.v3</t>
  </si>
  <si>
    <t>c9c61054ce1a47bf1bf77a31117726b499df24a4</t>
  </si>
  <si>
    <t>2c6bc7be</t>
  </si>
  <si>
    <t>253-v2.v2</t>
  </si>
  <si>
    <t>11f05feee170370c4bfc5053af79246a6e3de5dc</t>
  </si>
  <si>
    <t>263e388c</t>
  </si>
  <si>
    <t>253-v1.v1</t>
  </si>
  <si>
    <t>90fb44dc0c3fb57946a0f35716056abb84a0f191</t>
  </si>
  <si>
    <t>36a806be</t>
  </si>
  <si>
    <t>253-m1.m1</t>
  </si>
  <si>
    <t>5556f983ebcebc33160e90a6a6cf589d54c8cedc</t>
  </si>
  <si>
    <t>da92c08e</t>
  </si>
  <si>
    <t>253-ep4.p4</t>
  </si>
  <si>
    <t>6b50f5ac15bf66b7e4e9bff57594fd3d7530c831</t>
  </si>
  <si>
    <t>e395bfdd</t>
  </si>
  <si>
    <t>253-ep3.p3</t>
  </si>
  <si>
    <t>0ace9c84a8b8a0524fd9a503e7d872de1bf1bd52</t>
  </si>
  <si>
    <t>382f704b</t>
  </si>
  <si>
    <t>253-ep2.p2</t>
  </si>
  <si>
    <t>餓狼</t>
  </si>
  <si>
    <t>bbda40f652baa0dc5fc6a006c001a1bdb0df43f6</t>
  </si>
  <si>
    <t>ea3171a4</t>
  </si>
  <si>
    <t>253-ep1.p1</t>
  </si>
  <si>
    <t>19991126</t>
  </si>
  <si>
    <t>sma_garou</t>
  </si>
  <si>
    <t>ba9c6fe10ef97255b004fcbf05065826d219a968</t>
  </si>
  <si>
    <t>9aa450e6</t>
  </si>
  <si>
    <t>NGM-2530</t>
  </si>
  <si>
    <t>Garou - Mark of the Wolves (NGH-2530)</t>
  </si>
  <si>
    <t>garouha</t>
  </si>
  <si>
    <t>ac017986f02277fbcd656b8c02492a3f4216a90e</t>
  </si>
  <si>
    <t>afffa779</t>
  </si>
  <si>
    <t>253-p2.p2</t>
  </si>
  <si>
    <t>bdb58ec9137d8653979b47132f2d10e1cc6aaa24</t>
  </si>
  <si>
    <t>18ae5d7e</t>
  </si>
  <si>
    <t>253-p1.p1</t>
  </si>
  <si>
    <t>19991126 (MVS), 20000225 (AES)</t>
  </si>
  <si>
    <t>sma_garouh</t>
  </si>
  <si>
    <t>29e19effd40fdf7e5144332396857f4ad0eff13e</t>
  </si>
  <si>
    <t>96c72233</t>
  </si>
  <si>
    <t>ke.neo-sma</t>
  </si>
  <si>
    <t>NGM-2530 (MVS), NGH-2530 (AES)</t>
  </si>
  <si>
    <t>Garou - Mark of the Wolves (NGM-2530 ~ NGH-2530)</t>
  </si>
  <si>
    <t>garouh</t>
  </si>
  <si>
    <t>01fe3d18b50f770e131e8d8eeff4c630ba8c9551</t>
  </si>
  <si>
    <t>98bc93dc</t>
  </si>
  <si>
    <t>kf.neo-sma</t>
  </si>
  <si>
    <t>Garou - Mark of the Wolves (NGM-2530)</t>
  </si>
  <si>
    <t>b35461598087aa82886af0030c61b26cc064af5f</t>
  </si>
  <si>
    <t>62585474</t>
  </si>
  <si>
    <t>252-c2.c2</t>
  </si>
  <si>
    <t>ace0f95407c246d0456341cf2ad8a7668b81df8a</t>
  </si>
  <si>
    <t>50ee7882</t>
  </si>
  <si>
    <t>252-c1.c1</t>
  </si>
  <si>
    <t>d5904a50465af03d6ff33399a98f3259721ca0b2</t>
  </si>
  <si>
    <t>e5946733</t>
  </si>
  <si>
    <t>252-v1.v1</t>
  </si>
  <si>
    <t>46453b7aac41855a92724a785372f8daf931d8d4</t>
  </si>
  <si>
    <t>30cc4099</t>
  </si>
  <si>
    <t>252-m1.m1</t>
  </si>
  <si>
    <t>武蔵厳流記</t>
  </si>
  <si>
    <t>cmc42_ganryu</t>
  </si>
  <si>
    <t>93d90271bff281862b03beba3809cf95a47a1e44</t>
  </si>
  <si>
    <t>4b8ac4fb</t>
  </si>
  <si>
    <t>252-p1.p1</t>
  </si>
  <si>
    <t>NGM-2520?</t>
  </si>
  <si>
    <t>Ganryu / Musashi Ganryuki</t>
  </si>
  <si>
    <t>ganryu</t>
  </si>
  <si>
    <t>e9b07a0b01fdeb3004755a479df059c81b4d0ed6</t>
  </si>
  <si>
    <t>ead513ce</t>
  </si>
  <si>
    <t>proto_251-c8.c8</t>
  </si>
  <si>
    <t>d50e6cc9ccfe1ddbc6d90d46b8ca2cb0304edd8c</t>
  </si>
  <si>
    <t>a4479a58</t>
  </si>
  <si>
    <t>proto_251-c7.c7</t>
  </si>
  <si>
    <t>2b580d0678a5e6033ef16130671e860364d35e56</t>
  </si>
  <si>
    <t>4d40a691</t>
  </si>
  <si>
    <t>proto_251-c6.c6</t>
  </si>
  <si>
    <t>430f6812088712e0eb5714dcc664d8bba75e921a</t>
  </si>
  <si>
    <t>d87a3bbc</t>
  </si>
  <si>
    <t>proto_251-c5.c5</t>
  </si>
  <si>
    <t>8e62442923551f07a552621951b1accab2830e3b</t>
  </si>
  <si>
    <t>54ffbe9f</t>
  </si>
  <si>
    <t>proto_251-c4.c4</t>
  </si>
  <si>
    <t>38293043fa77ac51c5e3191118874c58f1ae4d30</t>
  </si>
  <si>
    <t>f20959e8</t>
  </si>
  <si>
    <t>proto_251-c3.c3</t>
  </si>
  <si>
    <t>b590055e9bf1549bd6e1ecdabd65702202615712</t>
  </si>
  <si>
    <t>d822778f</t>
  </si>
  <si>
    <t>proto_251-c2.c2</t>
  </si>
  <si>
    <t>65f15f9f02424a7a9dd35916166594f283e8d424</t>
  </si>
  <si>
    <t>e5d8ffa4</t>
  </si>
  <si>
    <t>proto_251-c1.c1</t>
  </si>
  <si>
    <t>dde6f76e958841e8c99b693e13ced9aa9ef316dc</t>
  </si>
  <si>
    <t>b49e6178</t>
  </si>
  <si>
    <t>251-v4.v4</t>
  </si>
  <si>
    <t>c6d4975bfaa19a62ed59126cadf2578c0a5c257f</t>
  </si>
  <si>
    <t>821901da</t>
  </si>
  <si>
    <t>251-v3.v3</t>
  </si>
  <si>
    <t>0e60fa64cab6255d9721e2b4bc22e3de64c874c5</t>
  </si>
  <si>
    <t>73e211ca</t>
  </si>
  <si>
    <t>251-v2.v2</t>
  </si>
  <si>
    <t>8ed13b9db92dba3124bc5ba66e3e275885ece24a</t>
  </si>
  <si>
    <t>ef2eecc8</t>
  </si>
  <si>
    <t>251-v1.v1</t>
  </si>
  <si>
    <t>6f49a9343cbd026b2c6720ff3fa2e5b1f85e80da</t>
  </si>
  <si>
    <t>5e74539c</t>
  </si>
  <si>
    <t>251-m1.m1</t>
  </si>
  <si>
    <t>d40060b31b6f217a4abdf3b336439fcd7bd7aaef</t>
  </si>
  <si>
    <t>fb1498ed</t>
  </si>
  <si>
    <t>proto_251-s1.s1</t>
  </si>
  <si>
    <t>31acaf05a9bf186305888d3db7e4e8a83f7bb0a4</t>
  </si>
  <si>
    <t>739742ad</t>
  </si>
  <si>
    <t>proto_251-p2.p2</t>
  </si>
  <si>
    <t>kof99</t>
  </si>
  <si>
    <t>226e7e3d629568399b88275e5bcd4e5b3839be95</t>
  </si>
  <si>
    <t>f37929c4</t>
  </si>
  <si>
    <t>proto_251-p1.p1</t>
  </si>
  <si>
    <t>The King of Fighters '99 - Millennium Battle (prototype)</t>
  </si>
  <si>
    <t>kof99p</t>
  </si>
  <si>
    <t>42acf1d27d52a8e3b6262eb7df50693c0b135565</t>
  </si>
  <si>
    <t>8d921c68</t>
  </si>
  <si>
    <t>251-c8.c8</t>
  </si>
  <si>
    <t>7cd335fede05b56e15db90ce407c1183a78da4e9</t>
  </si>
  <si>
    <t>ff65f62e</t>
  </si>
  <si>
    <t>251-c7.c7</t>
  </si>
  <si>
    <t>79ae174667a23dabcfe865b6cd6133c86098452e</t>
  </si>
  <si>
    <t>65bbf281</t>
  </si>
  <si>
    <t>251-c6.c6</t>
  </si>
  <si>
    <t>d5ad324fe523bdc6f09209d236cc4932524a48f1</t>
  </si>
  <si>
    <t>0b0abd0a</t>
  </si>
  <si>
    <t>251-c5.c5</t>
  </si>
  <si>
    <t>ffbc643f5b27dd00f2f95d4ef4c5f29ee814722b</t>
  </si>
  <si>
    <t>438c8b22</t>
  </si>
  <si>
    <t>251-c4.c4</t>
  </si>
  <si>
    <t>01125b5c7a28e350f091280b041954fd1ac7c98f</t>
  </si>
  <si>
    <t>238755d2</t>
  </si>
  <si>
    <t>251-c3.c3</t>
  </si>
  <si>
    <t>39c7a326fddbcca3b29c68cdc96aad4d62295c0f</t>
  </si>
  <si>
    <t>e71e2ea3</t>
  </si>
  <si>
    <t>251-c2.c2</t>
  </si>
  <si>
    <t>c7d77f0833c6f526f632e4f2dce59e302f6b9a15</t>
  </si>
  <si>
    <t>0f9e93fe</t>
  </si>
  <si>
    <t>251-c1.c1</t>
  </si>
  <si>
    <t>98654b68cc85c19d4a90b46f3110f551fa2e5357</t>
  </si>
  <si>
    <t>274ef47a</t>
  </si>
  <si>
    <t>152-p2.sp2</t>
  </si>
  <si>
    <t>cmc42_kof99k</t>
  </si>
  <si>
    <t>d592eecc53d442c55c2f26a6a721fdf2924d2a5b</t>
  </si>
  <si>
    <t>f2c7ddfa</t>
  </si>
  <si>
    <t>152-p1.p1</t>
  </si>
  <si>
    <t>The King of Fighters '99 - Millennium Battle (Korean release, non-encrypted program)</t>
  </si>
  <si>
    <t>kof99ka</t>
  </si>
  <si>
    <t>c7fd230fbb97a9b171aeae8ff1a5cd39ba7fa9eb</t>
  </si>
  <si>
    <t>f3898ec2</t>
  </si>
  <si>
    <t>151-pg2k.p2</t>
  </si>
  <si>
    <t>e02f2d0c71eac74424507e4845991fbc12821045</t>
  </si>
  <si>
    <t>ef259292</t>
  </si>
  <si>
    <t>151-pg1k.p1</t>
  </si>
  <si>
    <t>sma_kof99</t>
  </si>
  <si>
    <t>1a24d0fe7cabe7b346f538e099f1357bbf77bc89</t>
  </si>
  <si>
    <t>9fccc688</t>
  </si>
  <si>
    <t>kb.neo-sma</t>
  </si>
  <si>
    <t>The King of Fighters '99 - Millennium Battle (Korean release)</t>
  </si>
  <si>
    <t>kof99k</t>
  </si>
  <si>
    <t>f16924ff8eef92da7716236a6a055e22e090a02b</t>
  </si>
  <si>
    <t>52de02ae</t>
  </si>
  <si>
    <t>251-ep4.p4</t>
  </si>
  <si>
    <t>f927d90d55b49944f448d6286e0cb913cc70ade1</t>
  </si>
  <si>
    <t>d58c3ef8</t>
  </si>
  <si>
    <t>251-ep3.p3</t>
  </si>
  <si>
    <t>0e1100d03c40c6d5cfa899d009e319ae73fce6b8</t>
  </si>
  <si>
    <t>d6206e5a</t>
  </si>
  <si>
    <t>251-ep2.p2</t>
  </si>
  <si>
    <t>ザ・キング・オブ・ファイターズ '99</t>
  </si>
  <si>
    <t>eea1aa8c0a17f089ac14831889c36535e559072c</t>
  </si>
  <si>
    <t>1e8d692d</t>
  </si>
  <si>
    <t>251-ep1.p1</t>
  </si>
  <si>
    <t>19990722</t>
  </si>
  <si>
    <t>4e0a49d1ad669a62676cb30f527c6590cde80194</t>
  </si>
  <si>
    <t>7766d09e</t>
  </si>
  <si>
    <t>ka.neo-sma</t>
  </si>
  <si>
    <t>NGM-2510</t>
  </si>
  <si>
    <t>The King of Fighters '99 - Millennium Battle (earlier)</t>
  </si>
  <si>
    <t>kof99e</t>
  </si>
  <si>
    <t>8d365b4dd40351495df99d6c765df1434b0b0548</t>
  </si>
  <si>
    <t>d9057f51</t>
  </si>
  <si>
    <t>251-pg2.p2</t>
  </si>
  <si>
    <t>47791ab4044ad55988b1d3412d95b65b91a163c8</t>
  </si>
  <si>
    <t>006e4532</t>
  </si>
  <si>
    <t>251-p1.p1</t>
  </si>
  <si>
    <t>19990923</t>
  </si>
  <si>
    <t>2a0ce62ca6c18007e8fbe1b60475c7874ab79389</t>
  </si>
  <si>
    <t>6c9d0647</t>
  </si>
  <si>
    <t>kc.neo-sma</t>
  </si>
  <si>
    <t>NGH-2510</t>
  </si>
  <si>
    <t>The King of Fighters '99 - Millennium Battle (NGH-2510)</t>
  </si>
  <si>
    <t>kof99h</t>
  </si>
  <si>
    <t>aa9e75810438a8b45808a8bf32cb04d91b5c0b3a</t>
  </si>
  <si>
    <t>90175f15</t>
  </si>
  <si>
    <t>251-p2.p2</t>
  </si>
  <si>
    <t>The King of Fighters '99 - Millennium Battle (NGM-2510)</t>
  </si>
  <si>
    <t>39be66287696829d243fb71b3fb8b7dc2bc3298f</t>
  </si>
  <si>
    <t>83e3e69d</t>
  </si>
  <si>
    <t>250-c6.c6</t>
  </si>
  <si>
    <t>d41069856df990a1a99d39fb263c8303389d5475</t>
  </si>
  <si>
    <t>a4b56124</t>
  </si>
  <si>
    <t>250-c5.c5</t>
  </si>
  <si>
    <t>31be8ea2498001f68ce4b06b8b90acbf2dcab6af</t>
  </si>
  <si>
    <t>31354513</t>
  </si>
  <si>
    <t>250-c4.c4</t>
  </si>
  <si>
    <t>c56646c62387bc1439d46610258c755beb8d7dd8</t>
  </si>
  <si>
    <t>fd602019</t>
  </si>
  <si>
    <t>250-c3.c3</t>
  </si>
  <si>
    <t>554f600a3aa09c16c13c625299b087a79d0d15c5</t>
  </si>
  <si>
    <t>31679821</t>
  </si>
  <si>
    <t>250-c2.c2</t>
  </si>
  <si>
    <t>c3e8a8ccdac0f8bddc4c3413277626532405fae2</t>
  </si>
  <si>
    <t>09a52c6f</t>
  </si>
  <si>
    <t>250-c1.c1</t>
  </si>
  <si>
    <t>45979d1edb1fc774a415d9386f98d7cb252a2043</t>
  </si>
  <si>
    <t>2ca65102</t>
  </si>
  <si>
    <t>250-v3.v3</t>
  </si>
  <si>
    <t>526c42ca9a388f7435569400e2f132e2724c71ff</t>
  </si>
  <si>
    <t>ea9aabe1</t>
  </si>
  <si>
    <t>250-v2.v2</t>
  </si>
  <si>
    <t>ebfcc67204ff9677cf7972fd5b6b7faabf07280c</t>
  </si>
  <si>
    <t>c79ede73</t>
  </si>
  <si>
    <t>250-v1.v1</t>
  </si>
  <si>
    <t>55769bad4860f64ef53a333e0da9e073db483d6a</t>
  </si>
  <si>
    <t>fd42a842</t>
  </si>
  <si>
    <t>250-m1.m1</t>
  </si>
  <si>
    <t>2cc392ecde5d5afb28ddbaa1030552b48571dcfb</t>
  </si>
  <si>
    <t>fb6f441d</t>
  </si>
  <si>
    <t>250-s1.s1</t>
  </si>
  <si>
    <t>メタルスラッグX</t>
  </si>
  <si>
    <t>18aaa7a3ba8da99f78c430e9be69ccde04bc04d9</t>
  </si>
  <si>
    <t>1fda2e12</t>
  </si>
  <si>
    <t>250-p2.ep1</t>
  </si>
  <si>
    <t>19990319 (MVS), 19990527 (AES)</t>
  </si>
  <si>
    <t>rom_mslugx</t>
  </si>
  <si>
    <t>4c19f2e9824e606178ac1c9d4b0516fbaa625035</t>
  </si>
  <si>
    <t>81f1f60b</t>
  </si>
  <si>
    <t>250-p1.p1</t>
  </si>
  <si>
    <t>NGM-2500 (MVS), NGH-2500 (AES)</t>
  </si>
  <si>
    <t>Metal Slug X - Super Vehicle-001 (NGM-2500 ~ NGH-2500)</t>
  </si>
  <si>
    <t>mslugx</t>
  </si>
  <si>
    <t>55ddabaf77f4d575f4deb24fe63e4bdc2c6f31e1</t>
  </si>
  <si>
    <t>74f3cdf4</t>
  </si>
  <si>
    <t>249-c2.c2</t>
  </si>
  <si>
    <t>dacc84d713d76818d89a26358374afaa22fa82a2</t>
  </si>
  <si>
    <t>041fb8ee</t>
  </si>
  <si>
    <t>249-c1.c1</t>
  </si>
  <si>
    <t>738f525c381ed68c0b8a89318a3e4d0089473c45</t>
  </si>
  <si>
    <t>c8e40119</t>
  </si>
  <si>
    <t>249-v2.v2</t>
  </si>
  <si>
    <t>3681a68a702ab5da8f509b8301d6cada75959332</t>
  </si>
  <si>
    <t>de7c8f27</t>
  </si>
  <si>
    <t>249-v1.v1</t>
  </si>
  <si>
    <t>34b6b1a81eab1cf38834b2eea55454ce1b6100e2</t>
  </si>
  <si>
    <t>80328a47</t>
  </si>
  <si>
    <t>249-m1.m1</t>
  </si>
  <si>
    <t>b8aa142243ba303799554479bfc88eb49260f3b1</t>
  </si>
  <si>
    <t>dc9eb372</t>
  </si>
  <si>
    <t>249-s1.s1</t>
  </si>
  <si>
    <t>キャプテン・トマディ</t>
  </si>
  <si>
    <t>19990527</t>
  </si>
  <si>
    <t>5554662c7bc8605889cac4a67fee05bbb4eb786f</t>
  </si>
  <si>
    <t>c9386118</t>
  </si>
  <si>
    <t>249-p1.p1</t>
  </si>
  <si>
    <t>NGM-2490</t>
  </si>
  <si>
    <t>Captain Tomaday</t>
  </si>
  <si>
    <t>ctomaday</t>
  </si>
  <si>
    <t>ad1cd5adae5c151e183ff88b68afe10f7009f48e</t>
  </si>
  <si>
    <t>ce7b6248</t>
  </si>
  <si>
    <t>071.c2</t>
  </si>
  <si>
    <t>9034658ad40e2c45558abc3db312aa2764102fc4</t>
  </si>
  <si>
    <t>23d84a7a</t>
  </si>
  <si>
    <t>071.c1</t>
  </si>
  <si>
    <t>00127dae0130889995bfa7560bc4b0662f74fba5</t>
  </si>
  <si>
    <t>50feffb0</t>
  </si>
  <si>
    <t>071.v1</t>
  </si>
  <si>
    <t>cbf5f55c54b4ee00943e2a411eeee4e465ce9c34</t>
  </si>
  <si>
    <t>6da739ad</t>
  </si>
  <si>
    <t>071.m1</t>
  </si>
  <si>
    <t>b3f80051789e60e5d8c5df0408f1aba51616e92d</t>
  </si>
  <si>
    <t>44e5f154</t>
  </si>
  <si>
    <t>071.s1</t>
  </si>
  <si>
    <t>4bb9cb7819807f7a7e1f85f1c4faac4a2f8761e8</t>
  </si>
  <si>
    <t>7687197d</t>
  </si>
  <si>
    <t>071.p1</t>
  </si>
  <si>
    <t>バンバン バスターズ</t>
  </si>
  <si>
    <t>Bang Bang Busters</t>
  </si>
  <si>
    <t>b2b</t>
  </si>
  <si>
    <t>f577d2f7c6f850b3d100c36947ad15e33dfa0bed</t>
  </si>
  <si>
    <t>8efead3f</t>
  </si>
  <si>
    <t>248-c4.c4</t>
  </si>
  <si>
    <t>a52f6bafd60e72003bfe38c80c1dde24b4983b2a</t>
  </si>
  <si>
    <t>8890bf7c</t>
  </si>
  <si>
    <t>248-c3.c3</t>
  </si>
  <si>
    <t>4642d71d32b6a05dc8bfa0f95c936a77c7cef05e</t>
  </si>
  <si>
    <t>77f9fdac</t>
  </si>
  <si>
    <t>248-c2.c2</t>
  </si>
  <si>
    <t>a49aa836a902326cfe785428e1699fefcf8566d4</t>
  </si>
  <si>
    <t>d9115327</t>
  </si>
  <si>
    <t>248-c1.c1</t>
  </si>
  <si>
    <t>083c0e9fd7b8e506087648cdd8ec4206103984cd</t>
  </si>
  <si>
    <t>4b966ef3</t>
  </si>
  <si>
    <t>248-v2.v2</t>
  </si>
  <si>
    <t>af39bc141fc35b78dcacfd42b3abb29d7e5c2c89</t>
  </si>
  <si>
    <t>57fde1fa</t>
  </si>
  <si>
    <t>248-v1.v1</t>
  </si>
  <si>
    <t>677bf9684c0c7977a9a3f0c1288e430040a53b49</t>
  </si>
  <si>
    <t>883097a9</t>
  </si>
  <si>
    <t>248-m1.m1</t>
  </si>
  <si>
    <t>248-s1.s1</t>
  </si>
  <si>
    <t>パズルボブル 2</t>
  </si>
  <si>
    <t>95c70c2d51fc4de01e768e03cc800a850aaad5dc</t>
  </si>
  <si>
    <t>9d6c0754</t>
  </si>
  <si>
    <t>248-p1.p1</t>
  </si>
  <si>
    <t>NGM-2480</t>
  </si>
  <si>
    <t>Taito (SNK license)</t>
  </si>
  <si>
    <t>Puzzle Bobble 2 / Bust-A-Move Again (Neo-Geo)</t>
  </si>
  <si>
    <t>pbobbl2n</t>
  </si>
  <si>
    <t>6475b58b9f91c20d1f465f3e892de0c68e12a92b</t>
  </si>
  <si>
    <t>7d6d6e87</t>
  </si>
  <si>
    <t>247-c2.c2</t>
  </si>
  <si>
    <t>7627f2810322c146511525eb70b573a6a5ede926</t>
  </si>
  <si>
    <t>c9eedcb2</t>
  </si>
  <si>
    <t>247-c1.c1</t>
  </si>
  <si>
    <t>f45b5167ebcbd59300f4e5b05448cd421654102a</t>
  </si>
  <si>
    <t>42ec743d</t>
  </si>
  <si>
    <t>247-v1.v1</t>
  </si>
  <si>
    <t>4cc076ecce9216a373f3dcd7ba28a03d6050e522</t>
  </si>
  <si>
    <t>a9fe0144</t>
  </si>
  <si>
    <t>247-m1.m1</t>
  </si>
  <si>
    <t>フリップショット</t>
  </si>
  <si>
    <t>cb2f1de085fde214f96a962b1c2fa285eb387d44</t>
  </si>
  <si>
    <t>6300185c</t>
  </si>
  <si>
    <t>247-s1.s1</t>
  </si>
  <si>
    <t>19981208</t>
  </si>
  <si>
    <t>a985e033bc6f137fa65855d3eed245d66d5b244a</t>
  </si>
  <si>
    <t>95779094</t>
  </si>
  <si>
    <t>247-p1.p1</t>
  </si>
  <si>
    <t>NGM-2470</t>
  </si>
  <si>
    <t>Battle Flip Shot</t>
  </si>
  <si>
    <t>flipshot</t>
  </si>
  <si>
    <t>d9de14e3e323664a8c5b7f1df1ba9ec7dd0e6a46</t>
  </si>
  <si>
    <t>7e2caae1</t>
  </si>
  <si>
    <t>246-c6.c6</t>
  </si>
  <si>
    <t>97f5e92538d1f2e437dcb3f80e56e1230287e8d1</t>
  </si>
  <si>
    <t>055b3701</t>
  </si>
  <si>
    <t>246-c5.c5</t>
  </si>
  <si>
    <t>a0f2e7c609cbb2aa43493a39d7dcaeca3d511d26</t>
  </si>
  <si>
    <t>5503854e</t>
  </si>
  <si>
    <t>246-c4.c4</t>
  </si>
  <si>
    <t>8d0c3473a8b2a4e28fed1b74beb2e025b7e61867</t>
  </si>
  <si>
    <t>db2f73e8</t>
  </si>
  <si>
    <t>246-c3.c3</t>
  </si>
  <si>
    <t>08d0edddd14b53d606e9a7a46aa4fb4e7398e0d0</t>
  </si>
  <si>
    <t>7bcab64f</t>
  </si>
  <si>
    <t>246-c2.c2</t>
  </si>
  <si>
    <t>2d9eea11ba87baa23b18a1a3f607dc137846e807</t>
  </si>
  <si>
    <t>47ac9ec5</t>
  </si>
  <si>
    <t>246-c1.c1</t>
  </si>
  <si>
    <t>09d739cad323d918f4196f91b654627fcafd8f4d</t>
  </si>
  <si>
    <t>a05ba5db</t>
  </si>
  <si>
    <t>246-v3.v3</t>
  </si>
  <si>
    <t>78e37ffaaa5679c8775a3a71f6df7a0d15082bdc</t>
  </si>
  <si>
    <t>ada41e83</t>
  </si>
  <si>
    <t>246-v2.v2</t>
  </si>
  <si>
    <t>cff3103dadf2f4390460456a5bd3fb5f28e21f6a</t>
  </si>
  <si>
    <t>16986fc6</t>
  </si>
  <si>
    <t>246-v1.v1</t>
  </si>
  <si>
    <t>246-m1.m1</t>
  </si>
  <si>
    <t>431b43da5377dd189e51bd93d88d8a24d1b5090a</t>
  </si>
  <si>
    <t>2a360637</t>
  </si>
  <si>
    <t>246-s1.s1</t>
  </si>
  <si>
    <t>ショックトルーパーズ セカンドスカッド</t>
  </si>
  <si>
    <t>4fb1d22c30f5f3db4637dd92a4d2705c88de399d</t>
  </si>
  <si>
    <t>72ea04c3</t>
  </si>
  <si>
    <t>246-p2.sp2</t>
  </si>
  <si>
    <t>19981106 (MVS), 19990624 (AES)</t>
  </si>
  <si>
    <t>3c9d53d5da9842bfd45037c919064dda3fb2e089</t>
  </si>
  <si>
    <t>6d4b7781</t>
  </si>
  <si>
    <t>246-p1.p1</t>
  </si>
  <si>
    <t>NGM-2460 (MVS), NGH-2460 (AES)</t>
  </si>
  <si>
    <t>Saurus</t>
  </si>
  <si>
    <t>Shock Troopers - 2nd Squad</t>
  </si>
  <si>
    <t>dff86b75dc283bd4512557a5c64f16e6be6c16e4</t>
  </si>
  <si>
    <t>d0337328</t>
  </si>
  <si>
    <t>245-c6.c6</t>
  </si>
  <si>
    <t>b332bac64dbb9a9dd66c5315f47ea08634d36f45</t>
  </si>
  <si>
    <t>b5f40e7f</t>
  </si>
  <si>
    <t>245-c5.c5</t>
  </si>
  <si>
    <t>9ff6930c0c3d79b46b86356e8565ce4fcd69ac38</t>
  </si>
  <si>
    <t>63aeb74c</t>
  </si>
  <si>
    <t>245-c4.c4</t>
  </si>
  <si>
    <t>0ae74f3b4b3b88f128c6d8c0f35ffa53f5d67ef2</t>
  </si>
  <si>
    <t>645077f3</t>
  </si>
  <si>
    <t>245-c3.c3</t>
  </si>
  <si>
    <t>efc4ffd790953ac7c25d5f045c64a9b49d24b096</t>
  </si>
  <si>
    <t>fdee05cd</t>
  </si>
  <si>
    <t>245-c2.c2</t>
  </si>
  <si>
    <t>2e820067f6963669f104bebf19e865fe4127b4dd</t>
  </si>
  <si>
    <t>68d4ae76</t>
  </si>
  <si>
    <t>245-c1.c1</t>
  </si>
  <si>
    <t>71819b0475a5e173a2f9a6e4ff19a94655141c3c</t>
  </si>
  <si>
    <t>9068198a</t>
  </si>
  <si>
    <t>245-v2.v2</t>
  </si>
  <si>
    <t>b3933340d49d4ba581f3bf1af7ad69d786205790</t>
  </si>
  <si>
    <t>e255446c</t>
  </si>
  <si>
    <t>245-v1.v1</t>
  </si>
  <si>
    <t>8488598415c9b74bce00e05b31d96e3d1625c20d</t>
  </si>
  <si>
    <t>00f31c66</t>
  </si>
  <si>
    <t>245-m1.m1</t>
  </si>
  <si>
    <t>1cd54964ba60b245ea57d9daf0e27b572b815d21</t>
  </si>
  <si>
    <t>e7660a5d</t>
  </si>
  <si>
    <t>245-s1.s1</t>
  </si>
  <si>
    <t>ブレイカーズ・リベンジ</t>
  </si>
  <si>
    <t>19980703</t>
  </si>
  <si>
    <t>1dcba850e5cf8219d0945612cfded6d20ca8682a</t>
  </si>
  <si>
    <t>c828876d</t>
  </si>
  <si>
    <t>245-p1.p1</t>
  </si>
  <si>
    <t>NGM-2450</t>
  </si>
  <si>
    <t>Breakers Revenge</t>
  </si>
  <si>
    <t>breakrev</t>
  </si>
  <si>
    <t>3443c7765c6aa177003d42bbfcac9f31d1e12575</t>
  </si>
  <si>
    <t>33aa0f35</t>
  </si>
  <si>
    <t>244-c2.c2</t>
  </si>
  <si>
    <t>4534ecc9ade69c543188c66229dcad89dbc48668</t>
  </si>
  <si>
    <t>c7a62b23</t>
  </si>
  <si>
    <t>244-c1.c1</t>
  </si>
  <si>
    <t>9209772e947a2c7ac31b49dd613bf2eab0cb3358</t>
  </si>
  <si>
    <t>b231902f</t>
  </si>
  <si>
    <t>244-v2.v2</t>
  </si>
  <si>
    <t>63414235de2e177654508f1c840040424f8993e6</t>
  </si>
  <si>
    <t>79def46d</t>
  </si>
  <si>
    <t>244-v1.v1</t>
  </si>
  <si>
    <t>055550ebc650835bcf8ea4457b2c91bd73e21281</t>
  </si>
  <si>
    <t>a701b276</t>
  </si>
  <si>
    <t>244-m1.m1</t>
  </si>
  <si>
    <t>2f479bcd5a433201168792a578de3057252d649f</t>
  </si>
  <si>
    <t>9bddb697</t>
  </si>
  <si>
    <t>244-s1.s1</t>
  </si>
  <si>
    <t>ネオジオカップ'98 ザ・ロード・トゥ・ザ・ヴィクトリー</t>
  </si>
  <si>
    <t>19980528 (MVS), 19980730 (AES)</t>
  </si>
  <si>
    <t>f34ee5d1c24e70427d05ef488f46906dbd9f9950</t>
  </si>
  <si>
    <t>f8fdb7a5</t>
  </si>
  <si>
    <t>244-p1.p1</t>
  </si>
  <si>
    <t>NGM-2440 (MVS), NGH-2440 (AES)</t>
  </si>
  <si>
    <t>Neo-Geo Cup '98 - The Road to the Victory</t>
  </si>
  <si>
    <t>neocup98</t>
  </si>
  <si>
    <t>e145e9e359000dda6e1dfe95a996bc6d29cfca21</t>
  </si>
  <si>
    <t>ec9c36d0</t>
  </si>
  <si>
    <t>243-c6.c6</t>
  </si>
  <si>
    <t>23241b16d7e20f923d41186b29487ab922c7f530</t>
  </si>
  <si>
    <t>6a503dcf</t>
  </si>
  <si>
    <t>243-c5.c5</t>
  </si>
  <si>
    <t>0935df65cd2b0891a708bcc0f1c188148058d4b5</t>
  </si>
  <si>
    <t>8bd2a9d2</t>
  </si>
  <si>
    <t>243-c4.c4</t>
  </si>
  <si>
    <t>ec2f65e9c930250ee25fd064ee5ae76a7a9c61d9</t>
  </si>
  <si>
    <t>6054cbe0</t>
  </si>
  <si>
    <t>243-c3.c3</t>
  </si>
  <si>
    <t>ca27fdb60425664956a18c021ea465f452fb1527</t>
  </si>
  <si>
    <t>dd087428</t>
  </si>
  <si>
    <t>243-c2.c2</t>
  </si>
  <si>
    <t>0616921c4cce20422563578bd0e806d359508599</t>
  </si>
  <si>
    <t>5839444d</t>
  </si>
  <si>
    <t>243-c1.c1</t>
  </si>
  <si>
    <t>2eac455def8c27090862cc042f65a3a8aad88283</t>
  </si>
  <si>
    <t>f5c64ba6</t>
  </si>
  <si>
    <t>243-v4.v4</t>
  </si>
  <si>
    <t>585a154acc67bd84ea5b944686b78ed082b768d9</t>
  </si>
  <si>
    <t>4ac750b2</t>
  </si>
  <si>
    <t>243-v3.v3</t>
  </si>
  <si>
    <t>a0b91f63e2552a8ad9e0d1af00e2c38288637161</t>
  </si>
  <si>
    <t>aa9e4df6</t>
  </si>
  <si>
    <t>243-v2.v2</t>
  </si>
  <si>
    <t>55137bcabeeb590e40a9b8a7c07dd106e4d12a90</t>
  </si>
  <si>
    <t>f7ee6fbb</t>
  </si>
  <si>
    <t>243-v1.v1</t>
  </si>
  <si>
    <t>6e6b98cc1fa44f24a5168877559b0055e6957b60</t>
  </si>
  <si>
    <t>acf12d10</t>
  </si>
  <si>
    <t>243-m1.m1</t>
  </si>
  <si>
    <t>a9a18b5347f9dbe29a2ccb63fd4c8fd19537bf8b</t>
  </si>
  <si>
    <t>c9cd2298</t>
  </si>
  <si>
    <t>243-s1.s1</t>
  </si>
  <si>
    <t>幕末浪漫第二幕 月華の剣士</t>
  </si>
  <si>
    <t>7db62564db49fe0218cbb35b119d62582a24d658</t>
  </si>
  <si>
    <t>add4a30b</t>
  </si>
  <si>
    <t>243-pg2.sp2</t>
  </si>
  <si>
    <t>19981125 (MVS), 19990128 (AES)</t>
  </si>
  <si>
    <t>bd8526f60c2472937728a5d933fbd19d899f2cba</t>
  </si>
  <si>
    <t>af1e6554</t>
  </si>
  <si>
    <t>243-pg1.p1</t>
  </si>
  <si>
    <t>NGM-2430 (MVS), NGH-2430 (AES)</t>
  </si>
  <si>
    <t>The Last Blade 2 / Bakumatsu Roman - Dai Ni Maku Gekka no Kenshi (NGM-2430 ~ NGH-2430)</t>
  </si>
  <si>
    <t>lastbld2</t>
  </si>
  <si>
    <t>886fbf64bcb58bc4eabb1fc9262f6ac9901a0f28</t>
  </si>
  <si>
    <t>c823e045</t>
  </si>
  <si>
    <t>242-c8.c8</t>
  </si>
  <si>
    <t>dd295d974dd4a7e5cb26a3ef3febcd03f28d522b</t>
  </si>
  <si>
    <t>f6d7a38a</t>
  </si>
  <si>
    <t>242-c7.c7</t>
  </si>
  <si>
    <t>9c3f0da7cde1ffa8feca89efc88f07096e502acf</t>
  </si>
  <si>
    <t>da07b6a2</t>
  </si>
  <si>
    <t>242-c6.c6</t>
  </si>
  <si>
    <t>4d44addc7c808649bfb03ec45fb9529da413adff</t>
  </si>
  <si>
    <t>9d10bed3</t>
  </si>
  <si>
    <t>242-c5.c5</t>
  </si>
  <si>
    <t>fa13c3764fae6b035a626601bc43629f1ebaaffd</t>
  </si>
  <si>
    <t>0b4fa044</t>
  </si>
  <si>
    <t>242-c4.c4</t>
  </si>
  <si>
    <t>bd0d00f889d9da7c6ac48f287d9ed8c605ae22cf</t>
  </si>
  <si>
    <t>22127b4f</t>
  </si>
  <si>
    <t>242-c3.c3</t>
  </si>
  <si>
    <t>2c97c59e77c9a3fe7d664e741d37944f3d56c10b</t>
  </si>
  <si>
    <t>bd959b60</t>
  </si>
  <si>
    <t>242-c2.c2</t>
  </si>
  <si>
    <t>78f22787a204f26bae9b2b1c945ddbc27143352f</t>
  </si>
  <si>
    <t>e564ecd6</t>
  </si>
  <si>
    <t>242-c1.c1</t>
  </si>
  <si>
    <t>54ed5f0324de6164ea81943ebccb3e8d298368ec</t>
  </si>
  <si>
    <t>7985ea30</t>
  </si>
  <si>
    <t>242-v4.v4</t>
  </si>
  <si>
    <t>062a2f2e52098d73bc31c9ad66f5db8080395ce8</t>
  </si>
  <si>
    <t>044ea4e1</t>
  </si>
  <si>
    <t>242-v3.v3</t>
  </si>
  <si>
    <t>d3108bc05c9bf041d4236b2fa0c66b013aa8db1b</t>
  </si>
  <si>
    <t>cc11106e</t>
  </si>
  <si>
    <t>242-v2.v2</t>
  </si>
  <si>
    <t>49606f64eb249263b3341b4f50cc1763c390b2af</t>
  </si>
  <si>
    <t>b9ea8051</t>
  </si>
  <si>
    <t>242-v1.v1</t>
  </si>
  <si>
    <t>b54d08f88713ed0271aa06f9f7c9c572ef555b1a</t>
  </si>
  <si>
    <t>4e7a6b1b</t>
  </si>
  <si>
    <t>242-mg1.m1</t>
  </si>
  <si>
    <t>80ee6e5d0ece9c34ebca54b043a7cb33f9ff6b92</t>
  </si>
  <si>
    <t>7f7b4805</t>
  </si>
  <si>
    <t>242-s1.s1</t>
  </si>
  <si>
    <t>ザ・キング・オブ・ファイターズ '98</t>
  </si>
  <si>
    <t>5e735929ec6c3ca5b2efae3c7de47bcbb8ade2c5</t>
  </si>
  <si>
    <t>980aba4c</t>
  </si>
  <si>
    <t>242-p2.sp2</t>
  </si>
  <si>
    <t>19980923</t>
  </si>
  <si>
    <t>kof98</t>
  </si>
  <si>
    <t>26577264aa72d6af272952a876fcd3775f53e3fa</t>
  </si>
  <si>
    <t>61ac868a</t>
  </si>
  <si>
    <t>242-pn1.p1</t>
  </si>
  <si>
    <t>NGH-2420</t>
  </si>
  <si>
    <t>The King of Fighters '98 - The Slugfest / King of Fighters '98 - Dream Match Never Ends (NGH-2420)</t>
  </si>
  <si>
    <t>kof98h</t>
  </si>
  <si>
    <t>631d995f1291dd803fb069f3b25e7b9ed30d8649</t>
  </si>
  <si>
    <t>ce9fb07c</t>
  </si>
  <si>
    <t>242-mg1k.m1</t>
  </si>
  <si>
    <t>rom_kof98</t>
  </si>
  <si>
    <t>0452828785110601c65f667209fc2d2926cd3751</t>
  </si>
  <si>
    <t>8893df89</t>
  </si>
  <si>
    <t>242-p1.p1</t>
  </si>
  <si>
    <t>The King of Fighters '98 - The Slugfest / King of Fighters '98 - Dream Match Never Ends (Korean board, set 2)</t>
  </si>
  <si>
    <t>kof98ka</t>
  </si>
  <si>
    <t>e7c01dae2852d543d1a58d55735239f6a5aa05a5</t>
  </si>
  <si>
    <t>ce12da0c</t>
  </si>
  <si>
    <t>242-m1k.m1</t>
  </si>
  <si>
    <t>The King of Fighters '98 - The Slugfest / King of Fighters '98 - Dream Match Never Ends (Korean board, set 1)</t>
  </si>
  <si>
    <t>kof98k</t>
  </si>
  <si>
    <t>4182235e963bd70d398a79abeb54ab4d62887c48</t>
  </si>
  <si>
    <t>4ef7016b</t>
  </si>
  <si>
    <t>242-m1.m1</t>
  </si>
  <si>
    <t>0ce401277f9c53435ea00b930efe361c8d25a7d9</t>
  </si>
  <si>
    <t>6e474841</t>
  </si>
  <si>
    <t>242-ep2.ep2</t>
  </si>
  <si>
    <t>e887e0ac232683bd28703e08c4055fd0ea36402c</t>
  </si>
  <si>
    <t>3f74a000</t>
  </si>
  <si>
    <t>242-ep1.ep1</t>
  </si>
  <si>
    <t>19980723</t>
  </si>
  <si>
    <t>NGM-2420</t>
  </si>
  <si>
    <t>The King of Fighters '98 - The Slugfest / King of Fighters '98 - Dream Match Never Ends (NGM-2420, alt board)</t>
  </si>
  <si>
    <t>kof98a</t>
  </si>
  <si>
    <t>The King of Fighters '98 - The Slugfest / King of Fighters '98 - Dream Match Never Ends (NGM-2420)</t>
  </si>
  <si>
    <t>1499316fb381775218d897b81a6a0c3465d1a37c</t>
  </si>
  <si>
    <t>7d3e306f</t>
  </si>
  <si>
    <t>241-c4.c4</t>
  </si>
  <si>
    <t>a4319b48004e723f81a980887678e3e296049a53</t>
  </si>
  <si>
    <t>9f6bfa6f</t>
  </si>
  <si>
    <t>241-c3.c3</t>
  </si>
  <si>
    <t>1e5475cfab129c77acc610f09369ca42ba5aafa5</t>
  </si>
  <si>
    <t>e5806221</t>
  </si>
  <si>
    <t>241-c2.c2</t>
  </si>
  <si>
    <t>4549926f5054ee6aa7689cf920be0327e3908a50</t>
  </si>
  <si>
    <t>394b5e0d</t>
  </si>
  <si>
    <t>241-c1.c1</t>
  </si>
  <si>
    <t>b4b4ddc680836ed55942c66d7dfe756314e02211</t>
  </si>
  <si>
    <t>ecb16799</t>
  </si>
  <si>
    <t>241-v2.v2</t>
  </si>
  <si>
    <t>80597707f1fe115eed1941bb0701fc00790ad504</t>
  </si>
  <si>
    <t>99ec20e8</t>
  </si>
  <si>
    <t>241-v1.v1</t>
  </si>
  <si>
    <t>f8a1551cebcb91e416f30f50581feed7f72899e9</t>
  </si>
  <si>
    <t>94520ebd</t>
  </si>
  <si>
    <t>241-m1.m1</t>
  </si>
  <si>
    <t>2dc38b7dfd3ff14f64d5c0733c510b6bb8c692d0</t>
  </si>
  <si>
    <t>f3d32f0f</t>
  </si>
  <si>
    <t>241-s1.s1</t>
  </si>
  <si>
    <t>メタルスラッグ2</t>
  </si>
  <si>
    <t>fcf34b8c6e37774741542393b963635412484a27</t>
  </si>
  <si>
    <t>38883f44</t>
  </si>
  <si>
    <t>241-p2.sp2</t>
  </si>
  <si>
    <t>19980223 (MVS), 19980402 (AES)</t>
  </si>
  <si>
    <t>5a6aba482cac588a6c2c51179c95b487c6e11899</t>
  </si>
  <si>
    <t>2a53c5da</t>
  </si>
  <si>
    <t>241-p1.p1</t>
  </si>
  <si>
    <t>NGM-2410 (MVS), NGH-2410 (AES)</t>
  </si>
  <si>
    <t>Metal Slug 2 - Super Vehicle-001/II (NGM-2410 ~ NGH-2410)</t>
  </si>
  <si>
    <t>mslug2</t>
  </si>
  <si>
    <t>bb17f50a377dddb77c1eeda5944a7bcbf0cca5f7</t>
  </si>
  <si>
    <t>4609e507</t>
  </si>
  <si>
    <t>240-c6.c6</t>
  </si>
  <si>
    <t>156548156d3ceaa808d0053d0749af2526a3943e</t>
  </si>
  <si>
    <t>244dff5a</t>
  </si>
  <si>
    <t>240-c5.c5</t>
  </si>
  <si>
    <t>139eac8b51cadf328dd42d8109f4e2463f57230c</t>
  </si>
  <si>
    <t>c19a07eb</t>
  </si>
  <si>
    <t>240-c4.c4</t>
  </si>
  <si>
    <t>0fe7f6a8aeba7f17dbb278e85003969ff10d3cd2</t>
  </si>
  <si>
    <t>22e0330a</t>
  </si>
  <si>
    <t>240-c3.c3</t>
  </si>
  <si>
    <t>a9fc0a3a786bf067c129ec7220df65953dff804f</t>
  </si>
  <si>
    <t>ed182d44</t>
  </si>
  <si>
    <t>240-c2.c2</t>
  </si>
  <si>
    <t>e36a96e7369b02c7e839b5abf3c6799453ba1927</t>
  </si>
  <si>
    <t>effac504</t>
  </si>
  <si>
    <t>240-c1.c1</t>
  </si>
  <si>
    <t>0bf7a1d0660199dedf3c25be757eeab75cc6147e</t>
  </si>
  <si>
    <t>996704d8</t>
  </si>
  <si>
    <t>240-v4.v4</t>
  </si>
  <si>
    <t>093d7a4ac2b54ad7ffb2dc316fe29415f7a99535</t>
  </si>
  <si>
    <t>8fe1367a</t>
  </si>
  <si>
    <t>240-v3.v3</t>
  </si>
  <si>
    <t>697e677890892f4b028c9a27c66809ca0a8a9b18</t>
  </si>
  <si>
    <t>2cb3f3bb</t>
  </si>
  <si>
    <t>240-v2.v2</t>
  </si>
  <si>
    <t>736dff37eb91fc856b4d189249fb0de9b6c0813a</t>
  </si>
  <si>
    <t>f796265a</t>
  </si>
  <si>
    <t>240-v1.v1</t>
  </si>
  <si>
    <t>1f54a45967cb7842c33aa24be322c9f33ff75ac3</t>
  </si>
  <si>
    <t>ed482791</t>
  </si>
  <si>
    <t>240-m1.m1</t>
  </si>
  <si>
    <t>e6bf74e057ac6fe1f249a7547f13ba7fbc694561</t>
  </si>
  <si>
    <t>da3b40de</t>
  </si>
  <si>
    <t>240-s1.s1</t>
  </si>
  <si>
    <t>3d9e785891871af90313f178dca2724633406674</t>
  </si>
  <si>
    <t>960aa88d</t>
  </si>
  <si>
    <t>240-p2.sp2</t>
  </si>
  <si>
    <t>rbff2</t>
  </si>
  <si>
    <t>7f4b947b19ccfee32fc73e4fd89645eb313b5c77</t>
  </si>
  <si>
    <t>965edee1</t>
  </si>
  <si>
    <t>140-p1k.p1</t>
  </si>
  <si>
    <t>Real Bout Fatal Fury 2 - The Newcomers (Korean release)</t>
  </si>
  <si>
    <t>rbff2k</t>
  </si>
  <si>
    <t>リアルバウト餓狼伝説2</t>
  </si>
  <si>
    <t>19980429</t>
  </si>
  <si>
    <t>e3373d18e0f0724d69efb8024a27cca121f1b5b2</t>
  </si>
  <si>
    <t>b6969780</t>
  </si>
  <si>
    <t>240-pg1.p1</t>
  </si>
  <si>
    <t>NGH-2400</t>
  </si>
  <si>
    <t>Real Bout Fatal Fury 2 - The Newcomers / Real Bout Garou Densetsu 2 - The Newcomers (NGH-2400)</t>
  </si>
  <si>
    <t>rbff2h</t>
  </si>
  <si>
    <t>19980320</t>
  </si>
  <si>
    <t>8f83eb8ff54be4ec40f8a0dd2cbe56c54908d00a</t>
  </si>
  <si>
    <t>80e41205</t>
  </si>
  <si>
    <t>240-p1.p1</t>
  </si>
  <si>
    <t>NGM-2400</t>
  </si>
  <si>
    <t>Real Bout Fatal Fury 2 - The Newcomers / Real Bout Garou Densetsu 2 - The Newcomers (NGM-2400)</t>
  </si>
  <si>
    <t>a5cb27c0983c8b400d96fd0828ef0639a66d4dba</t>
  </si>
  <si>
    <t>db60460e</t>
  </si>
  <si>
    <t>239-c8.c8</t>
  </si>
  <si>
    <t>2571d406442f007a7458d8ccb0939a9201c9c9bf</t>
  </si>
  <si>
    <t>010ff4fd</t>
  </si>
  <si>
    <t>239-c7.c7</t>
  </si>
  <si>
    <t>cd059fb713c403208923c17e1e8ef02fcfd2fe8d</t>
  </si>
  <si>
    <t>4e0700d2</t>
  </si>
  <si>
    <t>239-c6.c6</t>
  </si>
  <si>
    <t>812c9a31f0721c2971a316b084ce69337dbe3747</t>
  </si>
  <si>
    <t>74bae5f8</t>
  </si>
  <si>
    <t>239-c5.c5</t>
  </si>
  <si>
    <t>d3f8b37786ca7838c3525895a7f2b49afc8530d4</t>
  </si>
  <si>
    <t>0be028c4</t>
  </si>
  <si>
    <t>239-c4.c4</t>
  </si>
  <si>
    <t>77b96518d8ad8ad120537e0f8ba65d69d1c33566</t>
  </si>
  <si>
    <t>5fb69c9e</t>
  </si>
  <si>
    <t>239-c3.c3</t>
  </si>
  <si>
    <t>4abe03e7f3a86f277131d413a3151c7b9c3646c8</t>
  </si>
  <si>
    <t>05a0cb22</t>
  </si>
  <si>
    <t>239-c2.c2</t>
  </si>
  <si>
    <t>ff36db8504611b0d8d942d1e24823ff71e4aeb37</t>
  </si>
  <si>
    <t>84f6d584</t>
  </si>
  <si>
    <t>239-c1.c1</t>
  </si>
  <si>
    <t>b00451a2a30de2517ae3eca35eb1fe985b950eb8</t>
  </si>
  <si>
    <t>74cf0a70</t>
  </si>
  <si>
    <t>239-v2.v2</t>
  </si>
  <si>
    <t>67fc1f7e36e92a89cd1d415eb31a2892f57b0d04</t>
  </si>
  <si>
    <t>1b8d5bf7</t>
  </si>
  <si>
    <t>239-v1.v1</t>
  </si>
  <si>
    <t>e23abfeb23052f0358edcf2c83401025fe632511</t>
  </si>
  <si>
    <t>d31a3aea</t>
  </si>
  <si>
    <t>239-m1.m1</t>
  </si>
  <si>
    <t>420ce56431dc7f3f7de84fcbc8c0a17b5eab205e</t>
  </si>
  <si>
    <t>d56cb498</t>
  </si>
  <si>
    <t>239-s1.s1</t>
  </si>
  <si>
    <t>ブレイジングスター</t>
  </si>
  <si>
    <t>f8805453d0995c8fa16cd9accfb7a990071ca630</t>
  </si>
  <si>
    <t>9a9f4154</t>
  </si>
  <si>
    <t>239-p2.sp2</t>
  </si>
  <si>
    <t>19980119 (MVS), 19980226 (AES)</t>
  </si>
  <si>
    <t>dcee1c2cf4a991ca1f9f2b40c4a738f21682807b</t>
  </si>
  <si>
    <t>183682f8</t>
  </si>
  <si>
    <t>239-p1.p1</t>
  </si>
  <si>
    <t>NGM-2390 (MVS), NGH-2390 (AES)</t>
  </si>
  <si>
    <t>Yumekobo</t>
  </si>
  <si>
    <t>Blazing Star</t>
  </si>
  <si>
    <t>blazstar</t>
  </si>
  <si>
    <t>b055ee43cbdaf9a3cb19e4e1f9dd2c40bde69d70</t>
  </si>
  <si>
    <t>1c7c2efb</t>
  </si>
  <si>
    <t>238-c8.c8</t>
  </si>
  <si>
    <t>05b151554bd7af09ccf554a17bc3c75a0512faaf</t>
  </si>
  <si>
    <t>a72ce7ed</t>
  </si>
  <si>
    <t>238-c7.c7</t>
  </si>
  <si>
    <t>05a9d4b1fb4cc963b25452ff6f81e296e0c0b2a1</t>
  </si>
  <si>
    <t>119323cd</t>
  </si>
  <si>
    <t>238-c6.c6</t>
  </si>
  <si>
    <t>a4b04118b1b1909d3b76be8d9ee5d97db6120600</t>
  </si>
  <si>
    <t>c22c68eb</t>
  </si>
  <si>
    <t>238-c5.c5</t>
  </si>
  <si>
    <t>33cc9b2d13e4ed2ab6040ff582a53dc9bca402e0</t>
  </si>
  <si>
    <t>b9e909eb</t>
  </si>
  <si>
    <t>238-c4.c4</t>
  </si>
  <si>
    <t>1cd7cebe5861a2d65f1d6615dd7752162e573a02</t>
  </si>
  <si>
    <t>2c393aa3</t>
  </si>
  <si>
    <t>238-c3.c3</t>
  </si>
  <si>
    <t>cd4d65df8d3ef0dbcca2b7f3f803f45c457f5beb</t>
  </si>
  <si>
    <t>888720f0</t>
  </si>
  <si>
    <t>238-c2.c2</t>
  </si>
  <si>
    <t>a381bc8449718814ff12b3a4f7fc4d1bb7ea1631</t>
  </si>
  <si>
    <t>90c6a181</t>
  </si>
  <si>
    <t>238-c1.c1</t>
  </si>
  <si>
    <t>bfdf2684f7f38af4e75ad0068ff9463dc2601598</t>
  </si>
  <si>
    <t>4ad7d59e</t>
  </si>
  <si>
    <t>238-v2.v2</t>
  </si>
  <si>
    <t>9c4f80ce4bb205afed11bb8b8926d20748eb5512</t>
  </si>
  <si>
    <t>260c0bef</t>
  </si>
  <si>
    <t>238-v1.v1</t>
  </si>
  <si>
    <t>ac21b88a860b9572bf24432b4cadcc96d108055d</t>
  </si>
  <si>
    <t>075b9518</t>
  </si>
  <si>
    <t>238-m1.m1</t>
  </si>
  <si>
    <t>adfa74868147fd260481e4c387d254d3b6de83f4</t>
  </si>
  <si>
    <t>1f95cedb</t>
  </si>
  <si>
    <t>238-s1.s1</t>
  </si>
  <si>
    <t>ショックトルーパーズ</t>
  </si>
  <si>
    <t>de04036cba2da4bb2da73d902d1822b82b4f67a9</t>
  </si>
  <si>
    <t>5b4a09c5</t>
  </si>
  <si>
    <t>238-p2.sp2</t>
  </si>
  <si>
    <t>19971111</t>
  </si>
  <si>
    <t>shocktro</t>
  </si>
  <si>
    <t>f76169fa5c90871d65e2a16fd1bb036c90533ac8</t>
  </si>
  <si>
    <t>5677456f</t>
  </si>
  <si>
    <t>238-p1.p1</t>
  </si>
  <si>
    <t>NGM-2380</t>
  </si>
  <si>
    <t>Shock Troopers (set 2)</t>
  </si>
  <si>
    <t>shocktroa</t>
  </si>
  <si>
    <t>f638df9bf7aa7d514ee2bccfc7f2adbf39ca83fc</t>
  </si>
  <si>
    <t>efedf8dc</t>
  </si>
  <si>
    <t>238-pg1.p1</t>
  </si>
  <si>
    <t>Shock Troopers (set 1)</t>
  </si>
  <si>
    <t>9a82107caf027317c173c1c1ef676f0fdeea79b2</t>
  </si>
  <si>
    <t>5e633c65</t>
  </si>
  <si>
    <t>237-c2.c2</t>
  </si>
  <si>
    <t>2735538fcb9dc0c16e043a8728c8b642650189f4</t>
  </si>
  <si>
    <t>eda42d66</t>
  </si>
  <si>
    <t>237-c1.c1</t>
  </si>
  <si>
    <t>62f086b9968b366b59276ee4ae3c32c4d76fc6ce</t>
  </si>
  <si>
    <t>edcb1beb</t>
  </si>
  <si>
    <t>237-v1.v1</t>
  </si>
  <si>
    <t>6ca09040b5db8d89511d627954c783154d58ab01</t>
  </si>
  <si>
    <t>d4c946dd</t>
  </si>
  <si>
    <t>237-m1.m1</t>
  </si>
  <si>
    <t>b14f8b78af7c634d41cf34d36b11b116e61f7342</t>
  </si>
  <si>
    <t>b61cf595</t>
  </si>
  <si>
    <t>237-s1.s1</t>
  </si>
  <si>
    <t>ガッポリン</t>
  </si>
  <si>
    <t>43679da8664fbb491103a1108040ddf94d59fc2b</t>
  </si>
  <si>
    <t>be96e44f</t>
  </si>
  <si>
    <t>237-p1.p1</t>
  </si>
  <si>
    <t>NGM-2370?</t>
  </si>
  <si>
    <t>Video System Co.</t>
  </si>
  <si>
    <t>Pop 'n Bounce / Gapporin</t>
  </si>
  <si>
    <t>popbounc</t>
  </si>
  <si>
    <t>6a329559c57a67be73a6733513b59e9e6c8d61cc</t>
  </si>
  <si>
    <t>e15f972e</t>
  </si>
  <si>
    <t>236-c2.c2</t>
  </si>
  <si>
    <t>727001c34f979226fc8f581113ce2aaac4fc0d42</t>
  </si>
  <si>
    <t>c1d47902</t>
  </si>
  <si>
    <t>236-c1.c1</t>
  </si>
  <si>
    <t>dc49f05274693255416d2e41ecc088027b798eb9</t>
  </si>
  <si>
    <t>72e3add7</t>
  </si>
  <si>
    <t>236-v2.v2</t>
  </si>
  <si>
    <t>dc8fd561cf8dfdd41696dcf14ea8d2d0ac4eec4b</t>
  </si>
  <si>
    <t>5f89c3b4</t>
  </si>
  <si>
    <t>236-v1.v1</t>
  </si>
  <si>
    <t>905afa157aba700e798243b842792e50729b19a0</t>
  </si>
  <si>
    <t>880a1abd</t>
  </si>
  <si>
    <t>236-m1.m1</t>
  </si>
  <si>
    <t>40a9668a1742a44597a07ce72273d17119815637</t>
  </si>
  <si>
    <t>5d1ca640</t>
  </si>
  <si>
    <t>236-s1.s1</t>
  </si>
  <si>
    <t>Universe BIOS 2.2 and later support joystick play as a cheat.</t>
  </si>
  <si>
    <t>usage</t>
  </si>
  <si>
    <t>ウルトラ電流イライラ棒</t>
  </si>
  <si>
    <t>4a0cbd09044648ff9ec67723729f16d422c34bda</t>
  </si>
  <si>
    <t>4c2ff660</t>
  </si>
  <si>
    <t>236-p1.p1</t>
  </si>
  <si>
    <t>??M-2360</t>
  </si>
  <si>
    <t>SNK / Saurus</t>
  </si>
  <si>
    <t>The Irritating Maze / Ultra Denryu Iraira Bou</t>
  </si>
  <si>
    <t>irrmaze</t>
  </si>
  <si>
    <t>df794f989e2883634bf7ffeea48d6bc3854529af</t>
  </si>
  <si>
    <t>42371307</t>
  </si>
  <si>
    <t>202-c2.c2</t>
  </si>
  <si>
    <t>3d86f455e6db10a2449b775dc386f1826ba3b62e</t>
  </si>
  <si>
    <t>cc0095ef</t>
  </si>
  <si>
    <t>202-c1.c1</t>
  </si>
  <si>
    <t>49a3d3578c087f1a0050168571ef8d1b08c5dc05</t>
  </si>
  <si>
    <t>debeb8fb</t>
  </si>
  <si>
    <t>202-v1.v1</t>
  </si>
  <si>
    <t>3fa67c62acba79be6b3a98cc1601e45569fa11ae</t>
  </si>
  <si>
    <t>9c0291ea</t>
  </si>
  <si>
    <t>202-m1.m1</t>
  </si>
  <si>
    <t>4506fc340d9658a50fa415676564f10bbfba2703</t>
  </si>
  <si>
    <t>3b13a22f</t>
  </si>
  <si>
    <t>235-s1.s1</t>
  </si>
  <si>
    <t>パズル de ポン! R</t>
  </si>
  <si>
    <t>puzzledp</t>
  </si>
  <si>
    <t>a5d82c6dbe687505e8c8d7339908da45cd379a0b</t>
  </si>
  <si>
    <t>afed5de2</t>
  </si>
  <si>
    <t>235-p1.p1</t>
  </si>
  <si>
    <t>NGM-2350?</t>
  </si>
  <si>
    <t>Puzzle De Pon! R!</t>
  </si>
  <si>
    <t>puzzldpr</t>
  </si>
  <si>
    <t>55df9cc128eb0f00856de3996c946e3efe8f09a5</t>
  </si>
  <si>
    <t>beafd091</t>
  </si>
  <si>
    <t>234-c6.c6</t>
  </si>
  <si>
    <t>0c59057183b5279b747e73213b4cd3c6d7ad9eb1</t>
  </si>
  <si>
    <t>1ba80cee</t>
  </si>
  <si>
    <t>234-c5.c5</t>
  </si>
  <si>
    <t>78a50233bcd19e92c7b6f7ee1a53417d9db21f6a</t>
  </si>
  <si>
    <t>3d60b037</t>
  </si>
  <si>
    <t>234-c4.c4</t>
  </si>
  <si>
    <t>e3cf9133784bef2c8f1bfe45f277ccf82cc6f6a1</t>
  </si>
  <si>
    <t>91ab1a30</t>
  </si>
  <si>
    <t>234-c3.c3</t>
  </si>
  <si>
    <t>ad460615115ec8fb25206f012da59ecfc8059b64</t>
  </si>
  <si>
    <t>80623d3c</t>
  </si>
  <si>
    <t>234-c2.c2</t>
  </si>
  <si>
    <t>2828aca0c0f5802110f10453c1cf640f69736554</t>
  </si>
  <si>
    <t>9f7e2bd3</t>
  </si>
  <si>
    <t>234-c1.c1</t>
  </si>
  <si>
    <t>20a1f4833e5e29ba0073c1712d7a17ab7a2a035c</t>
  </si>
  <si>
    <t>0e34157f</t>
  </si>
  <si>
    <t>234-v4.v4</t>
  </si>
  <si>
    <t>b3e04ba1a5cb50b77c6fbe9fe353b9b64b6f3f74</t>
  </si>
  <si>
    <t>a506e1e2</t>
  </si>
  <si>
    <t>234-v3.v3</t>
  </si>
  <si>
    <t>753ff74fa9294f695aae511ae01ead119b114a57</t>
  </si>
  <si>
    <t>a0e7f6e2</t>
  </si>
  <si>
    <t>234-v2.v2</t>
  </si>
  <si>
    <t>8a05ff06d9b6f01c6c16b3026282eaabb0e25b44</t>
  </si>
  <si>
    <t>ed66b76f</t>
  </si>
  <si>
    <t>234-v1.v1</t>
  </si>
  <si>
    <t>48dcf739bb16699af4ab8ed632b7dcb25e470e06</t>
  </si>
  <si>
    <t>087628ea</t>
  </si>
  <si>
    <t>234-m1.m1</t>
  </si>
  <si>
    <t>995de272f572fd08d909d3d0af4251b9957b3640</t>
  </si>
  <si>
    <t>95561412</t>
  </si>
  <si>
    <t>234-s1.s1</t>
  </si>
  <si>
    <t>1ff31c0b0f4f9ddbedaf4bcf927faaae81892ec7</t>
  </si>
  <si>
    <t>0fdc289e</t>
  </si>
  <si>
    <t>234-p2.sp2</t>
  </si>
  <si>
    <t>lastblad</t>
  </si>
  <si>
    <t>25167665f1b8e82e13f7fcf4d0e3c54a925c2a58</t>
  </si>
  <si>
    <t>906f3065</t>
  </si>
  <si>
    <t>134-p1k.p1</t>
  </si>
  <si>
    <t>The Last Soldier (Korean release of The Last Blade)</t>
  </si>
  <si>
    <t>lastsold</t>
  </si>
  <si>
    <t>幕末浪漫 月華の剣士</t>
  </si>
  <si>
    <t>19900129</t>
  </si>
  <si>
    <t>d66142571afe07c6191b52f319f1bc8bc8541c14</t>
  </si>
  <si>
    <t>cd01c06d</t>
  </si>
  <si>
    <t>234-pg1.p1</t>
  </si>
  <si>
    <t>NGH-2340</t>
  </si>
  <si>
    <t>The Last Blade / Bakumatsu Roman - Gekka no Kenshi (NGH-2340)</t>
  </si>
  <si>
    <t>lastbladh</t>
  </si>
  <si>
    <t>19971205</t>
  </si>
  <si>
    <t>a3ddabc00feeb54272b145246612ad4632b0e413</t>
  </si>
  <si>
    <t>e123a5a3</t>
  </si>
  <si>
    <t>234-p1.p1</t>
  </si>
  <si>
    <t>NGM-2340</t>
  </si>
  <si>
    <t>The Last Blade / Bakumatsu Roman - Gekka no Kenshi (NGM-2340)</t>
  </si>
  <si>
    <t>32dd6a04c6329e89f4878e7a56f0d172a6388eea</t>
  </si>
  <si>
    <t>70dbbd6d</t>
  </si>
  <si>
    <t>233-c4.c4</t>
  </si>
  <si>
    <t>8e0f1e553aef04758aaaa14d5115f0ecace4391e</t>
  </si>
  <si>
    <t>0ba2c502</t>
  </si>
  <si>
    <t>233-c3.c3</t>
  </si>
  <si>
    <t>ea133bf947f950236f49d0ae0d1a9af3bc1a9a50</t>
  </si>
  <si>
    <t>35dea6c9</t>
  </si>
  <si>
    <t>233-c2.c2</t>
  </si>
  <si>
    <t>a6deb75d802225327f8f1c2733a7f2b47e722e59</t>
  </si>
  <si>
    <t>65e3f4c4</t>
  </si>
  <si>
    <t>233-c1.c1</t>
  </si>
  <si>
    <t>bbbc0ff5b975471bd682f85976ac4a93f6d44f2e</t>
  </si>
  <si>
    <t>d5e30df4</t>
  </si>
  <si>
    <t>233-v2.v2</t>
  </si>
  <si>
    <t>18cae7bba997c52780761cbf119c4e4b34397a61</t>
  </si>
  <si>
    <t>58839298</t>
  </si>
  <si>
    <t>233-v1.v1</t>
  </si>
  <si>
    <t>0x480000</t>
  </si>
  <si>
    <t>2905d26945932cddc2dd3a1dc5abba8aa3baee14</t>
  </si>
  <si>
    <t>5beaf34e</t>
  </si>
  <si>
    <t>233-m1.m1</t>
  </si>
  <si>
    <t>マジカルドロップIII</t>
  </si>
  <si>
    <t>b535ee56a0f0995f04674e676f6aa636ffad26aa</t>
  </si>
  <si>
    <t>7399e68a</t>
  </si>
  <si>
    <t>233-s1.s1</t>
  </si>
  <si>
    <t>19970225 (MVS), 19970425 (AES)</t>
  </si>
  <si>
    <t>4a95c4b79d0878485ce272e9f4c4f647bec0e070</t>
  </si>
  <si>
    <t>931e17fa</t>
  </si>
  <si>
    <t>233-p1.p1</t>
  </si>
  <si>
    <t>NGM-2330 (MVS), NGH-2330 (AES)</t>
  </si>
  <si>
    <t>Data East Corporation</t>
  </si>
  <si>
    <t>Magical Drop III</t>
  </si>
  <si>
    <t>magdrop3</t>
  </si>
  <si>
    <t>c26c2e29fe90966dd574838be63f0037ea799aca</t>
  </si>
  <si>
    <t>bbea9070</t>
  </si>
  <si>
    <t>232-m1k.m1</t>
  </si>
  <si>
    <t>18d8e7feb51ea88816f1c786932a53655b0de6a0</t>
  </si>
  <si>
    <t>8514ecf5</t>
  </si>
  <si>
    <t>232-s1.s1</t>
  </si>
  <si>
    <t>8bc42be872fd497eb198ca13bf004852b88eb1dc</t>
  </si>
  <si>
    <t>7db81ad9</t>
  </si>
  <si>
    <t>232-p1.p1</t>
  </si>
  <si>
    <t>The King of Fighters '97 (Korean release)</t>
  </si>
  <si>
    <t>kof97k</t>
  </si>
  <si>
    <t>ザ・キング・オブ・ファイターズ '97</t>
  </si>
  <si>
    <t>19970321</t>
  </si>
  <si>
    <t>49e23f80c012c62146a1bb8f254a7597823de430</t>
  </si>
  <si>
    <t>5c2400b7</t>
  </si>
  <si>
    <t>232-pg1.p1</t>
  </si>
  <si>
    <t>NGH-2320</t>
  </si>
  <si>
    <t>The King of Fighters '97 (NGH-2320)</t>
  </si>
  <si>
    <t>kof97h</t>
  </si>
  <si>
    <t>1990728</t>
  </si>
  <si>
    <t>NGM-2320</t>
  </si>
  <si>
    <t>The King of Fighters '97 (NGM-2320)</t>
  </si>
  <si>
    <t>6f248191c2c60ca1b1b4f2ebf08756e036682144</t>
  </si>
  <si>
    <t>2e35e71b</t>
  </si>
  <si>
    <t>231-c4.c4</t>
  </si>
  <si>
    <t>10935dbc1f52b95979a097b13a114cff18d4d446</t>
  </si>
  <si>
    <t>4f6f7a63</t>
  </si>
  <si>
    <t>231-c3.c3</t>
  </si>
  <si>
    <t>e658161618bd41a66f1040be409efdea28020cf6</t>
  </si>
  <si>
    <t>554bcd9b</t>
  </si>
  <si>
    <t>231-c2.c2</t>
  </si>
  <si>
    <t>3830446fbd07d5a6564f9ac68a4bec5ff5b7d5c9</t>
  </si>
  <si>
    <t>6c403ba3</t>
  </si>
  <si>
    <t>231-c1.c1</t>
  </si>
  <si>
    <t>9168ba90c4aa969f69eb11ba3f4d76592d81e05a</t>
  </si>
  <si>
    <t>113fb898</t>
  </si>
  <si>
    <t>231-v1.v1</t>
  </si>
  <si>
    <t>59ce3836ac8f064d56a446c9374f05bcb40fcfd8</t>
  </si>
  <si>
    <t>de41301b</t>
  </si>
  <si>
    <t>231-m1.m1</t>
  </si>
  <si>
    <t>マネーアイドルエクスチェンジャー</t>
  </si>
  <si>
    <t>54d56d4463db193e504658f4f6f4997a62ae3d95</t>
  </si>
  <si>
    <t>fe0c0c53</t>
  </si>
  <si>
    <t>231-s1.s1</t>
  </si>
  <si>
    <t>19970115</t>
  </si>
  <si>
    <t>1ab0e11352ca05329c6e3f5657b60e4a227fcbfb</t>
  </si>
  <si>
    <t>61be1810</t>
  </si>
  <si>
    <t>231-p1.p1</t>
  </si>
  <si>
    <t>NGM-2310</t>
  </si>
  <si>
    <t>Money Puzzle Exchanger / Money Idol Exchanger</t>
  </si>
  <si>
    <t>miexchng</t>
  </si>
  <si>
    <t>230-c4.c4</t>
  </si>
  <si>
    <t>230-c3.c3</t>
  </si>
  <si>
    <t>230-c2.c2</t>
  </si>
  <si>
    <t>230-c1.c1</t>
  </si>
  <si>
    <t>26d09b8b18b4b802dbda4d6f06626c24d0b7c512</t>
  </si>
  <si>
    <t>1d43e420</t>
  </si>
  <si>
    <t>230-v2.v2</t>
  </si>
  <si>
    <t>acd0558960ec29bfc3e3ee99d00e503bebff8513</t>
  </si>
  <si>
    <t>7f9ed279</t>
  </si>
  <si>
    <t>230-v1.v1</t>
  </si>
  <si>
    <t>1e6442a7ea82ada9503d71045dd93e12bd05254f</t>
  </si>
  <si>
    <t>3951a1c1</t>
  </si>
  <si>
    <t>230-m1.m1</t>
  </si>
  <si>
    <t>c166038128d7004f69932141f83b320a35c2b4ca</t>
  </si>
  <si>
    <t>076fb64c</t>
  </si>
  <si>
    <t>230-s1.s1</t>
  </si>
  <si>
    <t>ブレイカーズ</t>
  </si>
  <si>
    <t>19961217 (MVS), 19970321 (AES)</t>
  </si>
  <si>
    <t>3fb77ae696d92d2f9a5d589e08b708545c7cda0a</t>
  </si>
  <si>
    <t>ed24a6e6</t>
  </si>
  <si>
    <t>230-p1.p1</t>
  </si>
  <si>
    <t>NGM-2300 (MVS), NGH-2300 (AES)</t>
  </si>
  <si>
    <t>Breakers</t>
  </si>
  <si>
    <t>breakers</t>
  </si>
  <si>
    <t>c3ecb42ddcbd9e16d0018a0c3adb56a911d813ca</t>
  </si>
  <si>
    <t>69788082</t>
  </si>
  <si>
    <t>proto_228-c2.c2</t>
  </si>
  <si>
    <t>5cd2545310142080b8286e787cf5b859f627b3db</t>
  </si>
  <si>
    <t>bfc99efe</t>
  </si>
  <si>
    <t>proto_228-c1.c1</t>
  </si>
  <si>
    <t>5a866471d35895b2ae13cbd5d1cb41bf2e72e1b8</t>
  </si>
  <si>
    <t>c603fce6</t>
  </si>
  <si>
    <t>proto_228-v1.v1</t>
  </si>
  <si>
    <t>ab6c218c42cba821654cbdae154efecb69f844f6</t>
  </si>
  <si>
    <t>fd833b33</t>
  </si>
  <si>
    <t>proto_228-m1.m1</t>
  </si>
  <si>
    <t>585ef209d8bfc23bdccc1f37d8b764eeedfedc1c</t>
  </si>
  <si>
    <t>83c24e81</t>
  </si>
  <si>
    <t>proto_228-s1.s1</t>
  </si>
  <si>
    <t>f57fb706aa8dd9e5f9e992a5d35c1799578b59f8</t>
  </si>
  <si>
    <t>6033172e</t>
  </si>
  <si>
    <t>proto_228-p1.p1</t>
  </si>
  <si>
    <t>Ghostlop (prototype)</t>
  </si>
  <si>
    <t>ghostlop</t>
  </si>
  <si>
    <t>3f2b1718fe7be06b6d75ec34badc2de2a3554d3e</t>
  </si>
  <si>
    <t>7efea43a</t>
  </si>
  <si>
    <t>227-c4.c4</t>
  </si>
  <si>
    <t>5b473c556ef919cd7a872351dbb20a636aae32b6</t>
  </si>
  <si>
    <t>93dfd660</t>
  </si>
  <si>
    <t>227-c3.c3</t>
  </si>
  <si>
    <t>9d3a44f98ddd0b606c8b3efa0c6b9d5a46c0bfeb</t>
  </si>
  <si>
    <t>7e402d39</t>
  </si>
  <si>
    <t>227-c2.c2</t>
  </si>
  <si>
    <t>e54f0ab15c95d7a6f965b5d8ab28b5445100650b</t>
  </si>
  <si>
    <t>7d6c2af4</t>
  </si>
  <si>
    <t>227-c1.c1</t>
  </si>
  <si>
    <t>4ed6802564ce262ebe92c7276424056b70998758</t>
  </si>
  <si>
    <t>ee39e260</t>
  </si>
  <si>
    <t>227-v2.v2</t>
  </si>
  <si>
    <t>0a3af88d20ff65b82c58325d32c20b99fc07f7f3</t>
  </si>
  <si>
    <t>b8f24181</t>
  </si>
  <si>
    <t>227-v1.v1</t>
  </si>
  <si>
    <t>09bb05ae6f09b59b9e4871fae1fc7c3bafd07394</t>
  </si>
  <si>
    <t>c8e5e0f9</t>
  </si>
  <si>
    <t>227-m1.m1</t>
  </si>
  <si>
    <t>9155fbb5fee6d46a68d17ea780a7a92565f9aa47</t>
  </si>
  <si>
    <t>2a8c4462</t>
  </si>
  <si>
    <t>227-s1.s1</t>
  </si>
  <si>
    <t>ステークスウィナー2</t>
  </si>
  <si>
    <t>19960924 (MVS), 19961213 (AES)</t>
  </si>
  <si>
    <t>96b90f884bae2969ebd8c04aba509928464e2433</t>
  </si>
  <si>
    <t>daf101d2</t>
  </si>
  <si>
    <t>227-p1.p1</t>
  </si>
  <si>
    <t>NGM-227 (MVS), NGH-227 (AES)</t>
  </si>
  <si>
    <t>Stakes Winner 2</t>
  </si>
  <si>
    <t>stakwin2</t>
  </si>
  <si>
    <t>c6d4f978ff3ca190a3060ac52bd7347189194f76</t>
  </si>
  <si>
    <t>0eb11a6d</t>
  </si>
  <si>
    <t>225-c6.c6</t>
  </si>
  <si>
    <t>cad51e6e76d8258a78becb6f4096dd061f537494</t>
  </si>
  <si>
    <t>8ecea2b5</t>
  </si>
  <si>
    <t>225-c5.c5</t>
  </si>
  <si>
    <t>6c8c9342fad70b456e282b0d52e7ad890e4673d3</t>
  </si>
  <si>
    <t>4c66527a</t>
  </si>
  <si>
    <t>225-c4.c4</t>
  </si>
  <si>
    <t>2b8ec19b9dd0bd1f1171fb01b915e9d25ec8c421</t>
  </si>
  <si>
    <t>af0897c0</t>
  </si>
  <si>
    <t>225-c3.c3</t>
  </si>
  <si>
    <t>d8c4626231c92e43d9bf183202553ee2b5c532e6</t>
  </si>
  <si>
    <t>0c549e2d</t>
  </si>
  <si>
    <t>225-c2.c2</t>
  </si>
  <si>
    <t>314b513a52b2cc88cbf2409d1934c357269a8bb2</t>
  </si>
  <si>
    <t>ee4fea54</t>
  </si>
  <si>
    <t>225-c1.c1</t>
  </si>
  <si>
    <t>9015e93416497f1ef877c717afed40f7ecfa42e4</t>
  </si>
  <si>
    <t>6159c5fe</t>
  </si>
  <si>
    <t>225-v2.v2</t>
  </si>
  <si>
    <t>66c06b5904aedb256e3997bbec60f8ab50c6ff0c</t>
  </si>
  <si>
    <t>6195c6b4</t>
  </si>
  <si>
    <t>225-v1.v1</t>
  </si>
  <si>
    <t>153aaf016440500df7a4454f3f2f2911219cb7d8</t>
  </si>
  <si>
    <t>0634bba6</t>
  </si>
  <si>
    <t>225-m1.m1</t>
  </si>
  <si>
    <t>9410f13807f01082dc86f2d84051be4bed8e9f7c</t>
  </si>
  <si>
    <t>71c4b4b5</t>
  </si>
  <si>
    <t>225-s1.s1</t>
  </si>
  <si>
    <t>わくわく7</t>
  </si>
  <si>
    <t>739d9a8fc2da34381654d9e291141eacc210ae5c</t>
  </si>
  <si>
    <t>fe190665</t>
  </si>
  <si>
    <t>225-p2.sp2</t>
  </si>
  <si>
    <t>19961121 (MVS), 19961227 (AES)</t>
  </si>
  <si>
    <t>bdffd72ff705fc6b085a4026217bac1c4bc93163</t>
  </si>
  <si>
    <t>b14da766</t>
  </si>
  <si>
    <t>225-p1.p1</t>
  </si>
  <si>
    <t>NGM-225 (MVS), NGH-225 (AES)</t>
  </si>
  <si>
    <t>Sunsoft</t>
  </si>
  <si>
    <t>Waku Waku 7</t>
  </si>
  <si>
    <t>wakuwak7</t>
  </si>
  <si>
    <t>7d896c25ba97f6e5d43c13d4df4ba72964a976ed</t>
  </si>
  <si>
    <t>b5532e53</t>
  </si>
  <si>
    <t>224-c4.c4</t>
  </si>
  <si>
    <t>93f02d1b4fbb152a9d336494fbff0d7642921de5</t>
  </si>
  <si>
    <t>c59e4129</t>
  </si>
  <si>
    <t>224-c3.c3</t>
  </si>
  <si>
    <t>e781aafba3bdefb7ed152826f4c3eb441735331c</t>
  </si>
  <si>
    <t>4c09bbfb</t>
  </si>
  <si>
    <t>224-c2.c2</t>
  </si>
  <si>
    <t>587a10ed9235c9046a3523fe80feba07764fac9b</t>
  </si>
  <si>
    <t>f7da64ab</t>
  </si>
  <si>
    <t>224-c1.c1</t>
  </si>
  <si>
    <t>822030037b7664795bf3d64e1452d0aecc22497e</t>
  </si>
  <si>
    <t>7ad26599</t>
  </si>
  <si>
    <t>224-v2.v2</t>
  </si>
  <si>
    <t>1641989b8aac899dbd68aa2332bcdf9b90b33564</t>
  </si>
  <si>
    <t>ff57f088</t>
  </si>
  <si>
    <t>224-v1.v1</t>
  </si>
  <si>
    <t>779b95a6476089b71f48c8368d9043ee1dba9032</t>
  </si>
  <si>
    <t>364d6f96</t>
  </si>
  <si>
    <t>224-m1.m1</t>
  </si>
  <si>
    <t>24e48f396716e145b692468762cf595fb7267873</t>
  </si>
  <si>
    <t>eeed5758</t>
  </si>
  <si>
    <t>224-s1.s1</t>
  </si>
  <si>
    <t>ティンクルスター スプライツ</t>
  </si>
  <si>
    <t>19961125 (MVS), 19970131 (AES)</t>
  </si>
  <si>
    <t>5b55ca120f77a931d40719b14e0bfc8cac1d628c</t>
  </si>
  <si>
    <t>7697e445</t>
  </si>
  <si>
    <t>224-p1.p1</t>
  </si>
  <si>
    <t>NGM-224 / ADM-013 (MVS), NGH-224 / ADH-013 (AES)</t>
  </si>
  <si>
    <t>ADK / SNK</t>
  </si>
  <si>
    <t>Twinkle Star Sprites</t>
  </si>
  <si>
    <t>twinspri</t>
  </si>
  <si>
    <t>e28cc9840caed2a1a8bd65a03bef05231071040c</t>
  </si>
  <si>
    <t>5ad62102</t>
  </si>
  <si>
    <t>223-c8.c8</t>
  </si>
  <si>
    <t>086f372015eede88c6c578595fe915e28a589d2f</t>
  </si>
  <si>
    <t>bc80dd2d</t>
  </si>
  <si>
    <t>223-c7.c7</t>
  </si>
  <si>
    <t>bbccacb27f1e587bc144fe7ce68bd7b327ceaaee</t>
  </si>
  <si>
    <t>d8fcef90</t>
  </si>
  <si>
    <t>223-c6.c6</t>
  </si>
  <si>
    <t>39bd189334278f266124c97c6f70995f6f171cea</t>
  </si>
  <si>
    <t>321e362c</t>
  </si>
  <si>
    <t>223-c5.c5</t>
  </si>
  <si>
    <t>e18df52f898a51074e07a0b8c6e75873e7cde35e</t>
  </si>
  <si>
    <t>1f23d860</t>
  </si>
  <si>
    <t>223-c4.c4</t>
  </si>
  <si>
    <t>96977febfcc513e1848d7029ff169cdf51104038</t>
  </si>
  <si>
    <t>ca00191f</t>
  </si>
  <si>
    <t>223-c3.c3</t>
  </si>
  <si>
    <t>aa1aeb661842276b3326bfa4f1456f75bfecd52e</t>
  </si>
  <si>
    <t>641868c3</t>
  </si>
  <si>
    <t>223-c2.c2</t>
  </si>
  <si>
    <t>0d60a8b631e3a3dcfbfdd7779dee081c9548ec39</t>
  </si>
  <si>
    <t>ebab05e2</t>
  </si>
  <si>
    <t>223-c1.c1</t>
  </si>
  <si>
    <t>94958e334f86d4d71059af8138f255b8d97a3b01</t>
  </si>
  <si>
    <t>5a797fd2</t>
  </si>
  <si>
    <t>223-v3.v3</t>
  </si>
  <si>
    <t>8afe87ce822614262b72a90b371fc79155ac0d0c</t>
  </si>
  <si>
    <t>7a275acd</t>
  </si>
  <si>
    <t>223-v2.v2</t>
  </si>
  <si>
    <t>78a26afa29f73de552ffabdbf3fc4bf26be8ae9e</t>
  </si>
  <si>
    <t>76673869</t>
  </si>
  <si>
    <t>223-v1.v1</t>
  </si>
  <si>
    <t>e750f85233953853618fcdff980a4721af1710a3</t>
  </si>
  <si>
    <t>3fee46bf</t>
  </si>
  <si>
    <t>223-m1.m1</t>
  </si>
  <si>
    <t>465455afc4d83cbb118142be4671b2539ffafd79</t>
  </si>
  <si>
    <t>7ecd6e8c</t>
  </si>
  <si>
    <t>223-s1.s1</t>
  </si>
  <si>
    <t>abaf5b86c8ec915c07ef2d83fce9ad03acaa4817</t>
  </si>
  <si>
    <t>addd8f08</t>
  </si>
  <si>
    <t>223-p2.sp2</t>
  </si>
  <si>
    <t>rbffspec</t>
  </si>
  <si>
    <t>936b356ac135331b10a37bc10882ec2e4f6b400b</t>
  </si>
  <si>
    <t>b78c8391</t>
  </si>
  <si>
    <t>223-p1k.p1</t>
  </si>
  <si>
    <t>Real Bout Fatal Fury Special / Real Bout Garou Densetsu Special (Korean release)</t>
  </si>
  <si>
    <t>rbffspeck</t>
  </si>
  <si>
    <t>リアルバウト餓狼伝説スペシャル</t>
  </si>
  <si>
    <t>19970128 (MVS), 19970228 (AES)</t>
  </si>
  <si>
    <t>fc19225d9dbdb6bd0808023ee32c7829f6ffdef6</t>
  </si>
  <si>
    <t>f84a2d1d</t>
  </si>
  <si>
    <t>223-p1.p1</t>
  </si>
  <si>
    <t>NGM-223 (MVS), NGH-223 (AES)</t>
  </si>
  <si>
    <t>Real Bout Fatal Fury Special / Real Bout Garou Densetsu Special</t>
  </si>
  <si>
    <t>7d7ee874355b5aa75ad9c9a5c9c3df98d098d85e</t>
  </si>
  <si>
    <t>adfc50e3</t>
  </si>
  <si>
    <t>222-c8.c8</t>
  </si>
  <si>
    <t>32502d71c2ab1469c492b6b382bf2bb3f85981d9</t>
  </si>
  <si>
    <t>d0f86f0d</t>
  </si>
  <si>
    <t>222-c7.c7</t>
  </si>
  <si>
    <t>db21ba1c7e3631ce0f1cb6f503ae7e0e043ff71b</t>
  </si>
  <si>
    <t>685efc32</t>
  </si>
  <si>
    <t>222-c6.c6</t>
  </si>
  <si>
    <t>789c32f917d0c6e38601cd390a7bf9d803131a4a</t>
  </si>
  <si>
    <t>9cfbb22d</t>
  </si>
  <si>
    <t>222-c5.c5</t>
  </si>
  <si>
    <t>b6642677ebdff7788263266402080272b8a66b15</t>
  </si>
  <si>
    <t>359510a4</t>
  </si>
  <si>
    <t>222-c4.c4</t>
  </si>
  <si>
    <t>dcda45e0336204e3e024de08edfd0a3217bc1fdd</t>
  </si>
  <si>
    <t>c91b40f4</t>
  </si>
  <si>
    <t>222-c3.c3</t>
  </si>
  <si>
    <t>15addca49951ed53fa3c000c8d7cd327d012a620</t>
  </si>
  <si>
    <t>a6e9aff0</t>
  </si>
  <si>
    <t>222-c2.c2</t>
  </si>
  <si>
    <t>c0a02df012cd25bcfe341770ea861a80294148cb</t>
  </si>
  <si>
    <t>68f2ed95</t>
  </si>
  <si>
    <t>222-c1.c1</t>
  </si>
  <si>
    <t>f2987b7d09bdc4311e972ce8a9ab7ca9802db4db</t>
  </si>
  <si>
    <t>831ea8c0</t>
  </si>
  <si>
    <t>222-v3.v3</t>
  </si>
  <si>
    <t>fd5d4e08a962dd0d22c52c91bad5ec7f23cfb901</t>
  </si>
  <si>
    <t>6c33bb5d</t>
  </si>
  <si>
    <t>222-v2.v2</t>
  </si>
  <si>
    <t>03cb4e0d770e0b332b07b64cacef624460b84c78</t>
  </si>
  <si>
    <t>7d6ba95f</t>
  </si>
  <si>
    <t>222-v1.v1</t>
  </si>
  <si>
    <t>b936f7b341f6fe0921b4c41049734684583e3596</t>
  </si>
  <si>
    <t>7615bc1b</t>
  </si>
  <si>
    <t>222-m1.m1</t>
  </si>
  <si>
    <t>9ba468a9d582ef76c863f57ad9a0f811f3f08bd9</t>
  </si>
  <si>
    <t>d313687d</t>
  </si>
  <si>
    <t>222-s1k.s1</t>
  </si>
  <si>
    <t>35b4cec9858225f90acdfa16ed8a3017d0d08327</t>
  </si>
  <si>
    <t>b023cd8b</t>
  </si>
  <si>
    <t>222-p2.sp2</t>
  </si>
  <si>
    <t>samsho4</t>
  </si>
  <si>
    <t>81e6727e0acb67ae41383518c0fc07f28d232979</t>
  </si>
  <si>
    <t>06e0a25d</t>
  </si>
  <si>
    <t>222-p1k.p1</t>
  </si>
  <si>
    <t>Pae Wang Jeon Seol / Legend of a Warrior (Korean censored Samurai Shodown IV)</t>
  </si>
  <si>
    <t>samsho4k</t>
  </si>
  <si>
    <t>9975ed9b458bdd14e23451d2534153f68a5e4e6c</t>
  </si>
  <si>
    <t>8d3d3bf9</t>
  </si>
  <si>
    <t>222-s1.s1</t>
  </si>
  <si>
    <t>サムライスピリッツ 天草降臨</t>
  </si>
  <si>
    <t>19961025 (MVS), 19961129 (AES)</t>
  </si>
  <si>
    <t>9a0a5a1c7c5d428829f22d3d17f7033d43a51b5b</t>
  </si>
  <si>
    <t>1a5cb56d</t>
  </si>
  <si>
    <t>222-p1.p1</t>
  </si>
  <si>
    <t>NGM-222 (MVS), NGH-222 (AES)</t>
  </si>
  <si>
    <t>Samurai Shodown IV - Amakusa's Revenge / Samurai Spirits - Amakusa Kourin (NGM-222 ~ NGH-222)</t>
  </si>
  <si>
    <t>e0d41f6b84d8261729f154b44ddd95c9b9c0714a</t>
  </si>
  <si>
    <t>14b90536</t>
  </si>
  <si>
    <t>221-c2.c2</t>
  </si>
  <si>
    <t>1253e8b65d863d552d00dbdbfc5c168f5fc7edd1</t>
  </si>
  <si>
    <t>1f862a14</t>
  </si>
  <si>
    <t>221-c1.c1</t>
  </si>
  <si>
    <t>72b063b2d4acaaf72a20d14ad5bfc90cb64d3fed</t>
  </si>
  <si>
    <t>7e5e53e4</t>
  </si>
  <si>
    <t>221-v1.v1</t>
  </si>
  <si>
    <t>02c77e6aaaed43e39778bf83a3184e7c21db63d4</t>
  </si>
  <si>
    <t>bddae628</t>
  </si>
  <si>
    <t>221-m1.m1</t>
  </si>
  <si>
    <t>マジカルドロップ2</t>
  </si>
  <si>
    <t>0e09a7d88d85b1a2100888f4211960ea56ef978b</t>
  </si>
  <si>
    <t>2a4063a3</t>
  </si>
  <si>
    <t>221-s1.s1</t>
  </si>
  <si>
    <t>19960321 (MVS), 19960419 (AES)</t>
  </si>
  <si>
    <t>08ab39f52b893591c13a7d7aa26b20ce86e9ddf5</t>
  </si>
  <si>
    <t>7be82353</t>
  </si>
  <si>
    <t>221-p1.p1</t>
  </si>
  <si>
    <t>NGM-221 (MVS), NGH-221 (AES)</t>
  </si>
  <si>
    <t>Magical Drop II</t>
  </si>
  <si>
    <t>magdrop2</t>
  </si>
  <si>
    <t>27138d588e61e86c292f12d16e36c3681075c607</t>
  </si>
  <si>
    <t>e73ea38b</t>
  </si>
  <si>
    <t>proto_220-c4.c4</t>
  </si>
  <si>
    <t>842971aeaf3c92e70f7c653bbf29058bc60f5b71</t>
  </si>
  <si>
    <t>d67fb15a</t>
  </si>
  <si>
    <t>proto_220-c3.c3</t>
  </si>
  <si>
    <t>9568ac4cc0552e7fd3e50d3cd8d9f0f4fe7df1d4</t>
  </si>
  <si>
    <t>8a2ad708</t>
  </si>
  <si>
    <t>proto_220-c2.c2</t>
  </si>
  <si>
    <t>6b3dff292c86f949890b1f8201bc5278f38c2668</t>
  </si>
  <si>
    <t>9aa2b7dc</t>
  </si>
  <si>
    <t>proto_220-c1.c1</t>
  </si>
  <si>
    <t>0ee866a468c4c3608d55df2b5cb9243c8016d77c</t>
  </si>
  <si>
    <t>8f30a215</t>
  </si>
  <si>
    <t>proto_220-v1.v1</t>
  </si>
  <si>
    <t>d8fbbf42a006ccafc3cd99808d28c82dbaac4590</t>
  </si>
  <si>
    <t>3a08bb63</t>
  </si>
  <si>
    <t>proto_220-m1.m1</t>
  </si>
  <si>
    <t>493433e682f519bf647e1481c8bdd3a980830ffb</t>
  </si>
  <si>
    <t>372fe217</t>
  </si>
  <si>
    <t>proto_220-s1.s1</t>
  </si>
  <si>
    <t>ironclad</t>
  </si>
  <si>
    <t>488f95fa15f56eea6666dda13d96ec29dba18e19</t>
  </si>
  <si>
    <t>ce37e3a0</t>
  </si>
  <si>
    <t>proto_220-p1o.p1</t>
  </si>
  <si>
    <t>Choutetsu Brikin'ger / Iron Clad (Prototype, bootleg)</t>
  </si>
  <si>
    <t>ironclado</t>
  </si>
  <si>
    <t>12aaa7d9bd84328d1bf4610e056b5c57d0252537</t>
  </si>
  <si>
    <t>62a942c6</t>
  </si>
  <si>
    <t>proto_220-p1.p1</t>
  </si>
  <si>
    <t>Choutetsu Brikin'ger / Iron Clad (Prototype)</t>
  </si>
  <si>
    <t>875ca69afbc5304ec23f4bc9186abe92f477f6c8</t>
  </si>
  <si>
    <t>f57b4a1c</t>
  </si>
  <si>
    <t>219-c4.c4</t>
  </si>
  <si>
    <t>56f6d2a7224aa4e82a1858079f918e85cadbd6c2</t>
  </si>
  <si>
    <t>5fdad0a5</t>
  </si>
  <si>
    <t>219-c3.c3</t>
  </si>
  <si>
    <t>9d7d1493946e8fbbd572503d2362b0156c023b76</t>
  </si>
  <si>
    <t>86ed01f2</t>
  </si>
  <si>
    <t>219-c2.c2</t>
  </si>
  <si>
    <t>b99767972a2a4fce2b704df8d08e6b092665a696</t>
  </si>
  <si>
    <t>67fec4dc</t>
  </si>
  <si>
    <t>219-c1.c1</t>
  </si>
  <si>
    <t>cb21a91184d9d84ff25ca86c00dcadfc210272a8</t>
  </si>
  <si>
    <t>d0ae33d9</t>
  </si>
  <si>
    <t>219-v1.v1</t>
  </si>
  <si>
    <t>aacc6056b1ff48cde8f241a11a27473cfb4b4aa3</t>
  </si>
  <si>
    <t>958efdc8</t>
  </si>
  <si>
    <t>219-m1.m1</t>
  </si>
  <si>
    <t>a8a5bbc5397c8ae9858e38997ebdc713b7b4f50a</t>
  </si>
  <si>
    <t>002f3c88</t>
  </si>
  <si>
    <t>219-s1.s1</t>
  </si>
  <si>
    <t>フットサル</t>
  </si>
  <si>
    <t>c3f0fed0d942e48c99c80b1713f271c033ce0f4f</t>
  </si>
  <si>
    <t>6af0e574</t>
  </si>
  <si>
    <t>219-p1.p1</t>
  </si>
  <si>
    <t>NGM-219</t>
  </si>
  <si>
    <t>Pleasure Goal / Futsal - 5 on 5 Mini Soccer (NGM-219)</t>
  </si>
  <si>
    <t>pgoal</t>
  </si>
  <si>
    <t>ba61a7ab3f08bb7348ad6cd01e5d29ca5ee75074</t>
  </si>
  <si>
    <t>d9b311f6</t>
  </si>
  <si>
    <t>218-c8.c8</t>
  </si>
  <si>
    <t>455adb6bb986af8a00d7f32b7f4f3715fc3007f6</t>
  </si>
  <si>
    <t>de6f9b28</t>
  </si>
  <si>
    <t>218-c7.c7</t>
  </si>
  <si>
    <t>d2ff0bac325c9c823dba68bd4f281b3b9f8f68e7</t>
  </si>
  <si>
    <t>94beefcf</t>
  </si>
  <si>
    <t>218-c6.c6</t>
  </si>
  <si>
    <t>1abb24cb407258235f4a572cf101d0774823040b</t>
  </si>
  <si>
    <t>6b6de0ff</t>
  </si>
  <si>
    <t>218-c5.c5</t>
  </si>
  <si>
    <t>f87ddda4695abcd14f5c2d4b7d41f72ad5b064cc</t>
  </si>
  <si>
    <t>c1a30f69</t>
  </si>
  <si>
    <t>218-c4.c4</t>
  </si>
  <si>
    <t>b7e5356bbd9efab67fedb5bc671ba8bbd661fe0f</t>
  </si>
  <si>
    <t>833c163a</t>
  </si>
  <si>
    <t>218-c3.c3</t>
  </si>
  <si>
    <t>121276c569967e501d8e1b83747f1bdebff612ea</t>
  </si>
  <si>
    <t>98aba1f9</t>
  </si>
  <si>
    <t>218-c2.c2</t>
  </si>
  <si>
    <t>cc82100038988872721028044ed2e9764bcc2fb0</t>
  </si>
  <si>
    <t>c31500a4</t>
  </si>
  <si>
    <t>218-c1.c1</t>
  </si>
  <si>
    <t>18e8aae3e51e141977d523a10e737ff68fe81910</t>
  </si>
  <si>
    <t>6104e20b</t>
  </si>
  <si>
    <t>218-v2.v2</t>
  </si>
  <si>
    <t>5b11b1a0b1b74dfbc2998cbda9f8f7a5e9059957</t>
  </si>
  <si>
    <t>61eee7f4</t>
  </si>
  <si>
    <t>218-v1.v1</t>
  </si>
  <si>
    <t>7a4e8f33ce9b41beac2152b8f6003f247699e2e1</t>
  </si>
  <si>
    <t>17028bcf</t>
  </si>
  <si>
    <t>218-m1.m1</t>
  </si>
  <si>
    <t>59ec29d03e62e7a8bef689a124a9164f43b2ace1</t>
  </si>
  <si>
    <t>7d402f9a</t>
  </si>
  <si>
    <t>218-s1.s1</t>
  </si>
  <si>
    <t>神凰拳</t>
  </si>
  <si>
    <t>19960613 (MVS), 19960726 (AES)</t>
  </si>
  <si>
    <t>67991e4fef9b36bc7d909810eebb857ac2f906f1</t>
  </si>
  <si>
    <t>ca372303</t>
  </si>
  <si>
    <t>218-p1.p1</t>
  </si>
  <si>
    <t>NGM-218 (MVS), NGH-218 (AES)</t>
  </si>
  <si>
    <t>Ragnagard / Shin-Oh-Ken</t>
  </si>
  <si>
    <t>ragnagrd</t>
  </si>
  <si>
    <t>6a3e9e6ba96072b8849b407f2b24103dc0852259</t>
  </si>
  <si>
    <t>a085bb61</t>
  </si>
  <si>
    <t>217-c8.c8</t>
  </si>
  <si>
    <t>ea632ac98291ddac95441b7fe2349974b2da8a42</t>
  </si>
  <si>
    <t>8b0ede2e</t>
  </si>
  <si>
    <t>217-c7.c7</t>
  </si>
  <si>
    <t>cb1cad161d9b9f2f5a7cf8ae4d6d35b51acf90f5</t>
  </si>
  <si>
    <t>1c98c54b</t>
  </si>
  <si>
    <t>217-c6.c6</t>
  </si>
  <si>
    <t>777a8caa9ebdbddf89e3d5ab650c94a55228ce54</t>
  </si>
  <si>
    <t>fb1896e5</t>
  </si>
  <si>
    <t>217-c5.c5</t>
  </si>
  <si>
    <t>0d1a6f2979302c4c282e31ff334d2d887aec74f7</t>
  </si>
  <si>
    <t>8521add2</t>
  </si>
  <si>
    <t>217-c4.c4</t>
  </si>
  <si>
    <t>19f602c71545d6c021dc72e112d3a8b8efe7a9b7</t>
  </si>
  <si>
    <t>59e8525f</t>
  </si>
  <si>
    <t>217-c3.c3</t>
  </si>
  <si>
    <t>d407e1525e4ebe996e14f6e5c0396a10f736a50d</t>
  </si>
  <si>
    <t>886e0d66</t>
  </si>
  <si>
    <t>217-c2.c2</t>
  </si>
  <si>
    <t>d76c955d83baa2b9fd24222a9b2852947b7b92f0</t>
  </si>
  <si>
    <t>5fe97bc4</t>
  </si>
  <si>
    <t>217-c1.c1</t>
  </si>
  <si>
    <t>09da03b2e63d180e55173ff25e8735c4162f027b</t>
  </si>
  <si>
    <t>22f1c681</t>
  </si>
  <si>
    <t>217-v2.v2</t>
  </si>
  <si>
    <t>5368e413d2188c4fd063b6bb7d5f498ff83ea812</t>
  </si>
  <si>
    <t>1c34e013</t>
  </si>
  <si>
    <t>217-v1.v1</t>
  </si>
  <si>
    <t>6bcaa52e1641cc24288e1f22f4dc98e8d8921b90</t>
  </si>
  <si>
    <t>d00fb2af</t>
  </si>
  <si>
    <t>217-m1.m1</t>
  </si>
  <si>
    <t>90099c154357042ba658d4ef6abe4d9335bb7172</t>
  </si>
  <si>
    <t>8ff782f0</t>
  </si>
  <si>
    <t>217-s1.s1</t>
  </si>
  <si>
    <t>ニンジャマスターズ 覇王忍法帖</t>
  </si>
  <si>
    <t>e318e5931704779bbe461719a5eeeba89bd83a5d</t>
  </si>
  <si>
    <t>191fca88</t>
  </si>
  <si>
    <t>217-p2.sp2</t>
  </si>
  <si>
    <t>19960527 (MVS), 19960628 (AES)</t>
  </si>
  <si>
    <t>336bcae375a5109945d11356503bf0d9f4a9a50a</t>
  </si>
  <si>
    <t>3e97ed69</t>
  </si>
  <si>
    <t>217-p1.p1</t>
  </si>
  <si>
    <t>NGM-217 / ADM-012 (MVS), NGH-217 / ADH-012 (AES)</t>
  </si>
  <si>
    <t>Ninja Master's - Haoh-ninpo-cho</t>
  </si>
  <si>
    <t>ninjamas</t>
  </si>
  <si>
    <t>4f21ed20ce6e2b67e2b079404599310c94f591ff</t>
  </si>
  <si>
    <t>484ce3ba</t>
  </si>
  <si>
    <t>059-c8.c8</t>
  </si>
  <si>
    <t>c29a428b741f4fe7b71a3bc23c87925b6bc1ca8f</t>
  </si>
  <si>
    <t>c88f7035</t>
  </si>
  <si>
    <t>059-c7.c7</t>
  </si>
  <si>
    <t>475d89a5c4922a9f6bd756d23c2624d57b6e9d62</t>
  </si>
  <si>
    <t>1c8d5def</t>
  </si>
  <si>
    <t>059-c6.c6</t>
  </si>
  <si>
    <t>5bf48fcc450da72a8c4685f6e3887e67eae49988</t>
  </si>
  <si>
    <t>59013f9e</t>
  </si>
  <si>
    <t>059-c5.c5</t>
  </si>
  <si>
    <t>365ed266c121f4df0bb76898955a8ae0e668a216</t>
  </si>
  <si>
    <t>7f5d03db</t>
  </si>
  <si>
    <t>216-c4.c4</t>
  </si>
  <si>
    <t>7ec781a49a462f395b450460b29493f55134eac2</t>
  </si>
  <si>
    <t>665c9f16</t>
  </si>
  <si>
    <t>216-c3.c3</t>
  </si>
  <si>
    <t>986a9b16ff92bc101ab567d2d01348e093abea9a</t>
  </si>
  <si>
    <t>e05e8ca6</t>
  </si>
  <si>
    <t>059-c2.c2</t>
  </si>
  <si>
    <t>d3262e0332c894ee149c5963f882cc5e5562ee57</t>
  </si>
  <si>
    <t>763ba611</t>
  </si>
  <si>
    <t>059-c1.c1</t>
  </si>
  <si>
    <t>0x1c00000</t>
  </si>
  <si>
    <t>5871751f8e9e6b98337472c22b5e1c7ede0a9311</t>
  </si>
  <si>
    <t>31b99bd6</t>
  </si>
  <si>
    <t>216-v4.v4</t>
  </si>
  <si>
    <t>c1d6f86b24feba03fe009b58199d2eeabe572f4e</t>
  </si>
  <si>
    <t>7038c2f9</t>
  </si>
  <si>
    <t>059-v3.v3</t>
  </si>
  <si>
    <t>3b0475e553a49f8788f32b0c84f82645cc6b4273</t>
  </si>
  <si>
    <t>03667a8d</t>
  </si>
  <si>
    <t>216-v2.v2</t>
  </si>
  <si>
    <t>29401cee7f7d2c199c7cb58092e86b28205e81ad</t>
  </si>
  <si>
    <t>530c50fd</t>
  </si>
  <si>
    <t>059-v1.v1</t>
  </si>
  <si>
    <t>72852e78c620038f8dafde5e54e02e418c31be9c</t>
  </si>
  <si>
    <t>1b096820</t>
  </si>
  <si>
    <t>216-m1.m1</t>
  </si>
  <si>
    <t>be37cbf1852e2e4c907cc799b754b538544b6703</t>
  </si>
  <si>
    <t>efdc72d7</t>
  </si>
  <si>
    <t>216-s1.s1</t>
  </si>
  <si>
    <t>風雲 スーパータッグバトル</t>
  </si>
  <si>
    <t>19960920 (MVS), 19961108 (AES)</t>
  </si>
  <si>
    <t>ee778656c26828935ee2a2bfd0ce5a22aa681c10</t>
  </si>
  <si>
    <t>75d2b3de</t>
  </si>
  <si>
    <t>216-p1.p1</t>
  </si>
  <si>
    <t>NGM-216 (MVS), NGH-216 (AES)</t>
  </si>
  <si>
    <t>Kizuna Encounter - Super Tag Battle / Fu'un Super Tag Battle</t>
  </si>
  <si>
    <t>kizuna</t>
  </si>
  <si>
    <t>015c36b8d3efab9b4647f110ecb5c118a9c80f43</t>
  </si>
  <si>
    <t>329c5e1b</t>
  </si>
  <si>
    <t>215-c6.c6</t>
  </si>
  <si>
    <t>b8d297f0ba2b04404eb0f7c6673ecc206fadae0c</t>
  </si>
  <si>
    <t>0c6f97ec</t>
  </si>
  <si>
    <t>215-c5.c5</t>
  </si>
  <si>
    <t>343f034c65ca498b437e22e06a866a5daf3b9602</t>
  </si>
  <si>
    <t>43c182e1</t>
  </si>
  <si>
    <t>215-c4.c4</t>
  </si>
  <si>
    <t>3488013f371012eab4e788e1525c81260e0b7080</t>
  </si>
  <si>
    <t>456a073a</t>
  </si>
  <si>
    <t>215-c3.c3</t>
  </si>
  <si>
    <t>68900c0fdcd35c9f38e0effdf27e1dbd3c53daf8</t>
  </si>
  <si>
    <t>5b155037</t>
  </si>
  <si>
    <t>215-c2.c2</t>
  </si>
  <si>
    <t>e2dc52d09512cb378df96ddf45435f9bcbbe9947</t>
  </si>
  <si>
    <t>8ff444f5</t>
  </si>
  <si>
    <t>215-c1.c1</t>
  </si>
  <si>
    <t>0x1400000</t>
  </si>
  <si>
    <t>344836a578bde3c0ab59b58c8734f868e7403c26</t>
  </si>
  <si>
    <t>1bfa218b</t>
  </si>
  <si>
    <t>215-v2.v2</t>
  </si>
  <si>
    <t>77c58ebffe677ea6369c964ec7975b11df512fa1</t>
  </si>
  <si>
    <t>877d1409</t>
  </si>
  <si>
    <t>215-v1.v1</t>
  </si>
  <si>
    <t>376a45e19edb780ac8798c41ae2260c8a8a4bba8</t>
  </si>
  <si>
    <t>a932081d</t>
  </si>
  <si>
    <t>215-m1.m1</t>
  </si>
  <si>
    <t>b7badd6d2ac3788ce5cace1fcf5cdad14734e4e6</t>
  </si>
  <si>
    <t>f0fe5c36</t>
  </si>
  <si>
    <t>215-s1.s1</t>
  </si>
  <si>
    <t>得点王 ～炎のリベロ～</t>
  </si>
  <si>
    <t>19961016 (MVS), 19961220 (AES)</t>
  </si>
  <si>
    <t>5aa59514b23aa663f2c4014ee94a31e9f59151de</t>
  </si>
  <si>
    <t>519b4ba3</t>
  </si>
  <si>
    <t>215-p1.p1</t>
  </si>
  <si>
    <t>NGM-215 (MVS), NGH-215 (AES)</t>
  </si>
  <si>
    <t>The Ultimate 11 - The SNK Football Championship / Tokuten Ou - Honoo no Libero</t>
  </si>
  <si>
    <t>ssideki4</t>
  </si>
  <si>
    <t>6c71a7f08e4044214223a6bf80984582ab5e0328</t>
  </si>
  <si>
    <t>fa1461ad</t>
  </si>
  <si>
    <t>214-c8.c8</t>
  </si>
  <si>
    <t>2be95caab76d7af51674f93884330ba73a6053e4</t>
  </si>
  <si>
    <t>3687331b</t>
  </si>
  <si>
    <t>214-c7.c7</t>
  </si>
  <si>
    <t>c8ae001e37224b55d9e4a4d99f6578b4f6eb055f</t>
  </si>
  <si>
    <t>44d30dc7</t>
  </si>
  <si>
    <t>214-c6.c6</t>
  </si>
  <si>
    <t>7c1a7e50a10a1b082e0d0d515c34135ee9f995ac</t>
  </si>
  <si>
    <t>2a3bbd26</t>
  </si>
  <si>
    <t>214-c5.c5</t>
  </si>
  <si>
    <t>ae875052728de33174827705646bd14cf3937b5c</t>
  </si>
  <si>
    <t>afbea515</t>
  </si>
  <si>
    <t>214-c4.c4</t>
  </si>
  <si>
    <t>e6f3749d43be0afa9dad7b085cb782ba694252ca</t>
  </si>
  <si>
    <t>64989a65</t>
  </si>
  <si>
    <t>214-c3.c3</t>
  </si>
  <si>
    <t>cc31653fe4cb05201fba234e080cb9c7a7592b1b</t>
  </si>
  <si>
    <t>05b54f37</t>
  </si>
  <si>
    <t>214-c2.c2</t>
  </si>
  <si>
    <t>f773c4c1f05d58dd37e7bb2ac1d1e0ec43998a71</t>
  </si>
  <si>
    <t>7ecf4aa2</t>
  </si>
  <si>
    <t>214-c1.c1</t>
  </si>
  <si>
    <t>5064aec78fa0d104e5dd5869b95382aa170214ee</t>
  </si>
  <si>
    <t>92a2257d</t>
  </si>
  <si>
    <t>214-v3.v3</t>
  </si>
  <si>
    <t>6a721c4cb8f8dc772774023877d4a9f50d5a9e31</t>
  </si>
  <si>
    <t>25929059</t>
  </si>
  <si>
    <t>214-v2.v2</t>
  </si>
  <si>
    <t>1353715f1a8476dca6f8031d9e7a401eacab8159</t>
  </si>
  <si>
    <t>63f7b045</t>
  </si>
  <si>
    <t>214-v1.v1</t>
  </si>
  <si>
    <t>b76722ed142ee7addceb4757424870dbd003e8b3</t>
  </si>
  <si>
    <t>dabc427c</t>
  </si>
  <si>
    <t>214-m1.m1</t>
  </si>
  <si>
    <t>fce5cf42588298711a3633e9c9c1d4dcb723ac76</t>
  </si>
  <si>
    <t>1254cbdb</t>
  </si>
  <si>
    <t>214-s1.s1</t>
  </si>
  <si>
    <t>ザ・キング・オブ・ファイターズ '96</t>
  </si>
  <si>
    <t>3ae8df682c75027ca82db25491021eeba00a267e</t>
  </si>
  <si>
    <t>002ccb73</t>
  </si>
  <si>
    <t>214-p2.sp2</t>
  </si>
  <si>
    <t>19960927</t>
  </si>
  <si>
    <t>kof96</t>
  </si>
  <si>
    <t>35392a044117e46c088ff0fdd07d69a3faa4f96e</t>
  </si>
  <si>
    <t>bd3757c9</t>
  </si>
  <si>
    <t>214-pg1.p1</t>
  </si>
  <si>
    <t>NGH-214</t>
  </si>
  <si>
    <t>The King of Fighters '96 (NGH-214)</t>
  </si>
  <si>
    <t>kof96h</t>
  </si>
  <si>
    <t>19960730</t>
  </si>
  <si>
    <t>4232d627f1d2e6ea9fc8cf01571d77d4d5b8a1bb</t>
  </si>
  <si>
    <t>52755d74</t>
  </si>
  <si>
    <t>214-p1.p1</t>
  </si>
  <si>
    <t>NGM-214</t>
  </si>
  <si>
    <t>The King of Fighters '96 (NGM-214)</t>
  </si>
  <si>
    <t>a01310632734e776e889af6a531063cb1661c33a</t>
  </si>
  <si>
    <t>46ae5f16</t>
  </si>
  <si>
    <t>213-c2.c2</t>
  </si>
  <si>
    <t>71dcba9afd3b08ebfa13294644dcb365c2740780</t>
  </si>
  <si>
    <t>3edc8bd3</t>
  </si>
  <si>
    <t>213-c1.c1</t>
  </si>
  <si>
    <t>be7f980aa83831b6605aaaf4ec904180bb96c935</t>
  </si>
  <si>
    <t>233c7dd9</t>
  </si>
  <si>
    <t>213-v2.v2</t>
  </si>
  <si>
    <t>129f05c1a28a6493442f47a79c2d3577a1a43ef5</t>
  </si>
  <si>
    <t>a421c076</t>
  </si>
  <si>
    <t>213-v1.v1</t>
  </si>
  <si>
    <t>7a6cd1c8d4447ea260d7ff4520c676b8d685f2e4</t>
  </si>
  <si>
    <t>200045f1</t>
  </si>
  <si>
    <t>213-m1.m1</t>
  </si>
  <si>
    <t>5fdb407d16ab9e33c4f26ee09ff70891ae1d2bd0</t>
  </si>
  <si>
    <t>b76b61bc</t>
  </si>
  <si>
    <t>213-s1.s1</t>
  </si>
  <si>
    <t>NEOドリフトアウト</t>
  </si>
  <si>
    <t>19960328</t>
  </si>
  <si>
    <t>10f459111db4bab7aaa63ca47e83304a84300812</t>
  </si>
  <si>
    <t>e397d798</t>
  </si>
  <si>
    <t>213-p1.p1</t>
  </si>
  <si>
    <t>NGM-213</t>
  </si>
  <si>
    <t>Neo Drift Out - New Technology</t>
  </si>
  <si>
    <t>neodrift</t>
  </si>
  <si>
    <t>b1167caf7cb61f3e05a5d342290bfe00e02e9d38</t>
  </si>
  <si>
    <t>0589c15e</t>
  </si>
  <si>
    <t>212-c6.c6</t>
  </si>
  <si>
    <t>0031def13e7cf4a465a1eca7aa0d13d1b21427e2</t>
  </si>
  <si>
    <t>fc858bef</t>
  </si>
  <si>
    <t>212-c5.c5</t>
  </si>
  <si>
    <t>abbb162658e06a37db8475b659ece7e1270ebb49</t>
  </si>
  <si>
    <t>5f41a699</t>
  </si>
  <si>
    <t>212-c4.c4</t>
  </si>
  <si>
    <t>269066e0f893d3e8e7c308528026a486c2b023a2</t>
  </si>
  <si>
    <t>9252ea02</t>
  </si>
  <si>
    <t>212-c3.c3</t>
  </si>
  <si>
    <t>e98e82cf99576cb48cc5e8dc655b7e9a428c2843</t>
  </si>
  <si>
    <t>a5b39807</t>
  </si>
  <si>
    <t>212-c2.c2</t>
  </si>
  <si>
    <t>e5a8c914ef8e77c7a29bffdeb18f1877b5c2fc7d</t>
  </si>
  <si>
    <t>50f43087</t>
  </si>
  <si>
    <t>212-c1.c1</t>
  </si>
  <si>
    <t>438a697c44525bdf78b54432c4f7217ab5667047</t>
  </si>
  <si>
    <t>013d4ef9</t>
  </si>
  <si>
    <t>212-v1.v1</t>
  </si>
  <si>
    <t>488b8310b0957f0012fe50f73641b606f6ac4a57</t>
  </si>
  <si>
    <t>fcab6191</t>
  </si>
  <si>
    <t>212-m1.m1</t>
  </si>
  <si>
    <t>7b0df3fc5b19f282abfd0eb5a4c6ed836a536ece</t>
  </si>
  <si>
    <t>481d3ddc</t>
  </si>
  <si>
    <t>212-s1.s1</t>
  </si>
  <si>
    <t>オーバートップ</t>
  </si>
  <si>
    <t>19960426 (MVS), 19960524 (AES)</t>
  </si>
  <si>
    <t>5432869f830eed816ee5ed71c7fd39f749d15619</t>
  </si>
  <si>
    <t>16c063a9</t>
  </si>
  <si>
    <t>212-p1.p1</t>
  </si>
  <si>
    <t>NGM-212 / ADM-011 (MVS), NGH-212 / ADH-011 (AES)</t>
  </si>
  <si>
    <t>ADK</t>
  </si>
  <si>
    <t>Over Top</t>
  </si>
  <si>
    <t>overtop</t>
  </si>
  <si>
    <t>b57fdc226bfe328b8848127fb4292295f1287bf6</t>
  </si>
  <si>
    <t>1e9f76f2</t>
  </si>
  <si>
    <t>209-c4.c4</t>
  </si>
  <si>
    <t>3864be27dce6d8f8828d3bf09bfc8116116a2b56</t>
  </si>
  <si>
    <t>5f91bace</t>
  </si>
  <si>
    <t>209-c3.c3</t>
  </si>
  <si>
    <t>9c9674f3841e6becd3b8e63bae9b9df45ac9f11e</t>
  </si>
  <si>
    <t>5649b015</t>
  </si>
  <si>
    <t>209-c2.c2</t>
  </si>
  <si>
    <t>722d10074f16fa7f14c71270f43fdab427b85e2b</t>
  </si>
  <si>
    <t>b49d980e</t>
  </si>
  <si>
    <t>209-c1.c1</t>
  </si>
  <si>
    <t>3e05ccaa2d06decb18b379b96f900c0e6b39ce70</t>
  </si>
  <si>
    <t>ef214212</t>
  </si>
  <si>
    <t>209-v1.v1</t>
  </si>
  <si>
    <t>b51eac634fc646c07210dff993018ad9ebabd3f9</t>
  </si>
  <si>
    <t>cd758325</t>
  </si>
  <si>
    <t>209-m1.m1</t>
  </si>
  <si>
    <t>99412093c9707d51817893971e73fb8469cdc9d0</t>
  </si>
  <si>
    <t>c0eaad86</t>
  </si>
  <si>
    <t>209-s1.s1</t>
  </si>
  <si>
    <t>ゴール! ゴール! ゴール!</t>
  </si>
  <si>
    <t>422a639e74284fef2e53e1b49cf8803b0a7e80c6</t>
  </si>
  <si>
    <t>2a019a79</t>
  </si>
  <si>
    <t>209-p1.p1</t>
  </si>
  <si>
    <t>NGM-209</t>
  </si>
  <si>
    <t>Goal! Goal! Goal!</t>
  </si>
  <si>
    <t>goalx3</t>
  </si>
  <si>
    <t>221f03de893dca0e5305fa17aa94f96c67713818</t>
  </si>
  <si>
    <t>c7165f19</t>
  </si>
  <si>
    <t>208-c4.c4</t>
  </si>
  <si>
    <t>a46acec03c1b2351fe36810628f02b7c848d13db</t>
  </si>
  <si>
    <t>14cb1703</t>
  </si>
  <si>
    <t>208-c3.c3</t>
  </si>
  <si>
    <t>8e341989981a713e61dfed8bde9a6459583ef46d</t>
  </si>
  <si>
    <t>1c737bb6</t>
  </si>
  <si>
    <t>208-c2.c2</t>
  </si>
  <si>
    <t>6588cb67e38722d5843fb29943d92e3905101aff</t>
  </si>
  <si>
    <t>93d8619b</t>
  </si>
  <si>
    <t>208-c1.c1</t>
  </si>
  <si>
    <t>3e75b449898fee73fbacf58d70e3a460b9e0c573</t>
  </si>
  <si>
    <t>e7899a24</t>
  </si>
  <si>
    <t>208-v1.v1</t>
  </si>
  <si>
    <t>04e0236df478a5452654c823dcb42fea65b6a718</t>
  </si>
  <si>
    <t>0a5f3325</t>
  </si>
  <si>
    <t>208-m1.m1</t>
  </si>
  <si>
    <t>0315d724e4d83a44ce84c531ff9b8c398363c039</t>
  </si>
  <si>
    <t>64abd6b3</t>
  </si>
  <si>
    <t>208-s1.s1</t>
  </si>
  <si>
    <t>くにおの熱血闘球伝説</t>
  </si>
  <si>
    <t>18e77b79b1197a89371533ef9b1e4d682c44d875</t>
  </si>
  <si>
    <t>127f3d32</t>
  </si>
  <si>
    <t>208-p1.p1</t>
  </si>
  <si>
    <t>NGM-208</t>
  </si>
  <si>
    <t>Technos Japan</t>
  </si>
  <si>
    <t>Super Dodge Ball / Kunio no Nekketsu Toukyuu Densetsu</t>
  </si>
  <si>
    <t>sdodgeb</t>
  </si>
  <si>
    <t>bf3aa47d17156485c2177fb63cba093f050abb98</t>
  </si>
  <si>
    <t>f57166d2</t>
  </si>
  <si>
    <t>207-c2.c2</t>
  </si>
  <si>
    <t>25ca1a2b14cc2648d8dbe432cbd1396017af822c</t>
  </si>
  <si>
    <t>c7541b9d</t>
  </si>
  <si>
    <t>207-c1.c1</t>
  </si>
  <si>
    <t>561b19bc8811b80f2f42ffc0b5df27132696470a</t>
  </si>
  <si>
    <t>4143c052</t>
  </si>
  <si>
    <t>207-v1.v1</t>
  </si>
  <si>
    <t>7b01f3b87c247cc7472591f8cdcf0ae8065e31c6</t>
  </si>
  <si>
    <t>b5b74a95</t>
  </si>
  <si>
    <t>207-m1.m1</t>
  </si>
  <si>
    <t>5db03715fbed62f2ff3cef7f93606f30261c0362</t>
  </si>
  <si>
    <t>6aebafce</t>
  </si>
  <si>
    <t>207-s1.s1</t>
  </si>
  <si>
    <t>19970626</t>
  </si>
  <si>
    <t>0a642f8565ec6e9587ed767bcf177f4677547162</t>
  </si>
  <si>
    <t>334ea51e</t>
  </si>
  <si>
    <t>207-p1.p1</t>
  </si>
  <si>
    <t>NGM-207</t>
  </si>
  <si>
    <t>Neo Mr. Do!</t>
  </si>
  <si>
    <t>neomrdo</t>
  </si>
  <si>
    <t>fffbc9eb9000ff5b1063af1817de7ea4a267fedd</t>
  </si>
  <si>
    <t>55e1314d</t>
  </si>
  <si>
    <t>206-c4.c4</t>
  </si>
  <si>
    <t>31f94217cd35f48845c74a55256314c16fd26ed7</t>
  </si>
  <si>
    <t>79aa2b48</t>
  </si>
  <si>
    <t>206-c3.c3</t>
  </si>
  <si>
    <t>3254ceb5a2f76c172930d9889d5d81e093e87628</t>
  </si>
  <si>
    <t>1cba876d</t>
  </si>
  <si>
    <t>206-c2.c2</t>
  </si>
  <si>
    <t>ba9b96340aca7fadaff0e6d484391ddb5c5e7bd4</t>
  </si>
  <si>
    <t>846e4e8e</t>
  </si>
  <si>
    <t>206-c1.c1</t>
  </si>
  <si>
    <t>cecc41e9e08a7ff05b6f62e713fc86a816bf55a2</t>
  </si>
  <si>
    <t>f8c55404</t>
  </si>
  <si>
    <t>206-v2.v2</t>
  </si>
  <si>
    <t>1ca171ce74a5885ae8841d0924de21dc0af2214e</t>
  </si>
  <si>
    <t>5385eca8</t>
  </si>
  <si>
    <t>206-v1.v1</t>
  </si>
  <si>
    <t>fb8466c342d4abd8bb4cad01c6ceab03f96cdad8</t>
  </si>
  <si>
    <t>0e22902e</t>
  </si>
  <si>
    <t>206-m1.m1</t>
  </si>
  <si>
    <t>ちびまる子ちゃん まる子デラックスクイズ</t>
  </si>
  <si>
    <t>3f60950b14d121a5af3e6a8155ae9832ddc6ec46</t>
  </si>
  <si>
    <t>f0b68780</t>
  </si>
  <si>
    <t>206-s1.s1</t>
  </si>
  <si>
    <t>19951127 (MVS), 19960126 (AES)</t>
  </si>
  <si>
    <t>bffff0d17e587e67672227e60c0ebd3f3a7193e6</t>
  </si>
  <si>
    <t>c33ed21e</t>
  </si>
  <si>
    <t>206-p1.p1</t>
  </si>
  <si>
    <t>NGM-206 (MVS), NGH-206 (AES)</t>
  </si>
  <si>
    <t>Takara</t>
  </si>
  <si>
    <t>Chibi Maruko-chan: Maruko Deluxe Quiz</t>
  </si>
  <si>
    <t>marukodq</t>
  </si>
  <si>
    <t>198cfd697c623022919ae4118928a7fe30cd6c46</t>
  </si>
  <si>
    <t>2574be03</t>
  </si>
  <si>
    <t>203-c2.c2</t>
  </si>
  <si>
    <t>db89b7275a59ae6104a8308025c7e142a67b947b</t>
  </si>
  <si>
    <t>bba9e8c0</t>
  </si>
  <si>
    <t>203-c1.c1</t>
  </si>
  <si>
    <t>914782b6c81d9a76ce02251575592b0648434ba3</t>
  </si>
  <si>
    <t>baa2b9a5</t>
  </si>
  <si>
    <t>203-v1.v1</t>
  </si>
  <si>
    <t>19fd5d0379244c528b58343f6cbf78b4766fb23d</t>
  </si>
  <si>
    <t>a602c2c2</t>
  </si>
  <si>
    <t>203-m1.m1</t>
  </si>
  <si>
    <t>将棋の達人</t>
  </si>
  <si>
    <t>781337eab932a130b396a6c1080611d6f9c24c6e</t>
  </si>
  <si>
    <t>bfdc8309</t>
  </si>
  <si>
    <t>203-s1.s1</t>
  </si>
  <si>
    <t>19950928 (MVS), 19951013 (AES)</t>
  </si>
  <si>
    <t>945f472cc3e7706f613c52df18de35c986d166e7</t>
  </si>
  <si>
    <t>7ba70e2d</t>
  </si>
  <si>
    <t>203-p1.p1</t>
  </si>
  <si>
    <t>NGM-203 / ADM-010 (MVS), NGH-203 / ADH-010 (AES)</t>
  </si>
  <si>
    <t>1990</t>
  </si>
  <si>
    <t>Shougi no Tatsujin - Master of Shougi</t>
  </si>
  <si>
    <t>moshougi</t>
  </si>
  <si>
    <t>パズルdeポン！</t>
  </si>
  <si>
    <t>531be2305cd56d332fb7a53ab924214ade34a9e8</t>
  </si>
  <si>
    <t>cd19264f</t>
  </si>
  <si>
    <t>202-s1.s1</t>
  </si>
  <si>
    <t>19951128</t>
  </si>
  <si>
    <t>0e3e4faf2fd6e63407425e1ac788003e75aeeb4f</t>
  </si>
  <si>
    <t>2b61415b</t>
  </si>
  <si>
    <t>202-p1.p1</t>
  </si>
  <si>
    <t>NGM-202</t>
  </si>
  <si>
    <t>Puzzle De Pon!</t>
  </si>
  <si>
    <t>4e94fda8ee63abf0f92afe08060a488546e5c280</t>
  </si>
  <si>
    <t>f4ad59a3</t>
  </si>
  <si>
    <t>201-c4.c4</t>
  </si>
  <si>
    <t>0a7a27d603d1bb2520b5570ebf5b34a106e255a6</t>
  </si>
  <si>
    <t>5121456a</t>
  </si>
  <si>
    <t>201-c3.c3</t>
  </si>
  <si>
    <t>cb7254b885989223bba597b8ff0972dfa5957816</t>
  </si>
  <si>
    <t>96f62574</t>
  </si>
  <si>
    <t>201-c2.c2</t>
  </si>
  <si>
    <t>7b045d1a48980cb1a140699011cb1a3d4acdc4d1</t>
  </si>
  <si>
    <t>72813676</t>
  </si>
  <si>
    <t>201-c1.c1</t>
  </si>
  <si>
    <t>5f79ea9286d22ed208128f9c31ca75552ce08b57</t>
  </si>
  <si>
    <t>472cf9db</t>
  </si>
  <si>
    <t>201-v2.v2</t>
  </si>
  <si>
    <t>cd076928468ad6bcc5f19f88cb843ecb5e660681</t>
  </si>
  <si>
    <t>23d22ed1</t>
  </si>
  <si>
    <t>201-v1.v1</t>
  </si>
  <si>
    <t>fd75bd15aed30266a8b3775f276f997af57d1c06</t>
  </si>
  <si>
    <t>c28b3253</t>
  </si>
  <si>
    <t>201-m1.m1</t>
  </si>
  <si>
    <t>550b53628daec9f1e1e11a398854092d90f9505a</t>
  </si>
  <si>
    <t>2f55958d</t>
  </si>
  <si>
    <t>201-s1.s1</t>
  </si>
  <si>
    <t>メタルスラッグ</t>
  </si>
  <si>
    <t>19960419 (MVS), 19960524 (AES)</t>
  </si>
  <si>
    <t>b888993dbb7e9f0a28a01d7d2e1da00ef9cf6f38</t>
  </si>
  <si>
    <t>08d8daa5</t>
  </si>
  <si>
    <t>201-p1.p1</t>
  </si>
  <si>
    <t>NGM-201 (MVS), NGH-201 (AES)</t>
  </si>
  <si>
    <t>Nazca</t>
  </si>
  <si>
    <t>Metal Slug - Super Vehicle-001</t>
  </si>
  <si>
    <t>mslug</t>
  </si>
  <si>
    <t>d6c7afe035411f3eacdf6868d36f91572dd593e0</t>
  </si>
  <si>
    <t>5a65a8ce</t>
  </si>
  <si>
    <t>200-c2.c2</t>
  </si>
  <si>
    <t>148eb747f2f4d8e921eb0411c88a636022ceab80</t>
  </si>
  <si>
    <t>8e7bf41a</t>
  </si>
  <si>
    <t>200-c1.c1</t>
  </si>
  <si>
    <t>d55e0f542d928a9a851133ff26763c8236cbbd4d</t>
  </si>
  <si>
    <t>6c7b4902</t>
  </si>
  <si>
    <t>200-v4.v4</t>
  </si>
  <si>
    <t>e229bc0ea82a371d6ee8fd9fe442b0fd141d0a71</t>
  </si>
  <si>
    <t>7abca053</t>
  </si>
  <si>
    <t>200-v3.v3</t>
  </si>
  <si>
    <t>2f1c053040e9d50a6d45fd7bea1b96742bae694f</t>
  </si>
  <si>
    <t>082acb31</t>
  </si>
  <si>
    <t>200-v2.v2</t>
  </si>
  <si>
    <t>ddfee09328632e598fd51537b3ae8593219b2111</t>
  </si>
  <si>
    <t>00fd48d2</t>
  </si>
  <si>
    <t>200-v1.v1</t>
  </si>
  <si>
    <t>7bded797f3b80fd00bcbe451ac0abe6646b19a14</t>
  </si>
  <si>
    <t>9994ac00</t>
  </si>
  <si>
    <t>200-m1.m1</t>
  </si>
  <si>
    <t>ae1a0b5450869d61b2bb23671c744d3dda8769c4</t>
  </si>
  <si>
    <t>9a5402b2</t>
  </si>
  <si>
    <t>200-s1.s1</t>
  </si>
  <si>
    <t>ビッグトーナメントゴルフ</t>
  </si>
  <si>
    <t>19960129 (MVS), 19960301 (AES)</t>
  </si>
  <si>
    <t>e7ef87e1de21d2bb17ef17bb08657e92363f0e9a</t>
  </si>
  <si>
    <t>28c83048</t>
  </si>
  <si>
    <t>200-p1.p1</t>
  </si>
  <si>
    <t>NGM-200 (MVS), NGH-200 (AES)</t>
  </si>
  <si>
    <t>Neo Turf Masters / Big Tournament Golf</t>
  </si>
  <si>
    <t>turfmast</t>
  </si>
  <si>
    <t>061a13fba5fed883e5ee9566cedc208df2511bcf</t>
  </si>
  <si>
    <t>84a40c6e</t>
  </si>
  <si>
    <t>097-c4.c4</t>
  </si>
  <si>
    <t>58dfd1e30dc0ad3f816a5dbd1cc7e7ccbb792c53</t>
  </si>
  <si>
    <t>c339fff5</t>
  </si>
  <si>
    <t>097-c3.c3</t>
  </si>
  <si>
    <t>f5cced93e21dc841b00ebeaa30786cb0e047bd9a</t>
  </si>
  <si>
    <t>186f8b43</t>
  </si>
  <si>
    <t>097-c2.c2</t>
  </si>
  <si>
    <t>fe4aa95555e478ceb2d28fd27d83ee06cd09520c</t>
  </si>
  <si>
    <t>33d0d589</t>
  </si>
  <si>
    <t>097-c1.c1</t>
  </si>
  <si>
    <t>b7efd9f1a6dab33271fe8356bcc863aeae1d3ed8</t>
  </si>
  <si>
    <t>3359e868</t>
  </si>
  <si>
    <t>097-v2.v2</t>
  </si>
  <si>
    <t>8175804d5c1420c5d37b733d4a8fa2aa81e59f1b</t>
  </si>
  <si>
    <t>6f885152</t>
  </si>
  <si>
    <t>097-v1.v1</t>
  </si>
  <si>
    <t>0e891ab53f9fded510295dfc7818bc59b4a9dd97</t>
  </si>
  <si>
    <t>b20e4291</t>
  </si>
  <si>
    <t>097-m1.m1</t>
  </si>
  <si>
    <t>39214bb25a1d5b44a8524010be05bf5a0211981f</t>
  </si>
  <si>
    <t>8dd66743</t>
  </si>
  <si>
    <t>097-s1.s1</t>
  </si>
  <si>
    <t>ソニックウイングス3</t>
  </si>
  <si>
    <t>19951012 (MVS), 19951117 (AES)</t>
  </si>
  <si>
    <t>e0bb6c614f572b74ba9a9f0d3d5b69fbc91ebc52</t>
  </si>
  <si>
    <t>0547121d</t>
  </si>
  <si>
    <t>097-p1.p1</t>
  </si>
  <si>
    <t>NGM-097 (MVS), NGH-097 (AES)</t>
  </si>
  <si>
    <t>Aero Fighters 3 / Sonic Wings 3</t>
  </si>
  <si>
    <t>sonicwi3</t>
  </si>
  <si>
    <t>fca72d95ec42790a7f1e771a1e25dbc5bec5fc19</t>
  </si>
  <si>
    <t>9a34f99c</t>
  </si>
  <si>
    <t>096-c8.c8</t>
  </si>
  <si>
    <t>c8def9c64de64571492b5b7e14b794e3c18f1393</t>
  </si>
  <si>
    <t>51bd8ab2</t>
  </si>
  <si>
    <t>096-c7.c7</t>
  </si>
  <si>
    <t>a89a713bfcd93974c9acb21ce699d365b08e7e39</t>
  </si>
  <si>
    <t>9a9d2f7a</t>
  </si>
  <si>
    <t>096-c6.c6</t>
  </si>
  <si>
    <t>fc977f8710816a369a5d0d49ee84059380e93fb7</t>
  </si>
  <si>
    <t>c75a753c</t>
  </si>
  <si>
    <t>096-c5.c5</t>
  </si>
  <si>
    <t>d50ea91397fc53d86470ff5b493a44d57c010306</t>
  </si>
  <si>
    <t>585b7e47</t>
  </si>
  <si>
    <t>096-c4.c4</t>
  </si>
  <si>
    <t>fbe1b7891beae66c5fcbc7e36168dc1b460ede91</t>
  </si>
  <si>
    <t>55f9ee1e</t>
  </si>
  <si>
    <t>096-c3.c3</t>
  </si>
  <si>
    <t>55adc7cd26fec3e4dbd779df6701bc6eaba41b84</t>
  </si>
  <si>
    <t>3840c508</t>
  </si>
  <si>
    <t>096-c2.c2</t>
  </si>
  <si>
    <t>7180df23f7c7a964b0835fda76970b12f0aa9ea8</t>
  </si>
  <si>
    <t>f17b8d89</t>
  </si>
  <si>
    <t>096-c1.c1</t>
  </si>
  <si>
    <t>a883bf34e685487705a8dafdd0b8db15eb360e80</t>
  </si>
  <si>
    <t>199d12ea</t>
  </si>
  <si>
    <t>096-v3.v3</t>
  </si>
  <si>
    <t>e66a98cd9740188bf999992b417f8feef941cede</t>
  </si>
  <si>
    <t>a290eee7</t>
  </si>
  <si>
    <t>096-v2.v2</t>
  </si>
  <si>
    <t>69426e7e63fc31a73d1cd056cc9ae6a2c4499407</t>
  </si>
  <si>
    <t>e2c32074</t>
  </si>
  <si>
    <t>096-v1.v1</t>
  </si>
  <si>
    <t>940b379957c2987d7ab0443cb80c3ff58f6ba559</t>
  </si>
  <si>
    <t>cb07b659</t>
  </si>
  <si>
    <t>096-m1.m1</t>
  </si>
  <si>
    <t>2c6846cf8ea61fb192ba181dbccb63594d572c0e</t>
  </si>
  <si>
    <t>cc7fd344</t>
  </si>
  <si>
    <t>096-s1.s1</t>
  </si>
  <si>
    <t>4c26d6135d2877d9c38169662033e9d0cc24d943</t>
  </si>
  <si>
    <t>4d5a2602</t>
  </si>
  <si>
    <t>096-p2.sp2</t>
  </si>
  <si>
    <t>aof3</t>
  </si>
  <si>
    <t>83657922a9a3502653ef8cda45b15d9f935aa96a</t>
  </si>
  <si>
    <t>a0780789</t>
  </si>
  <si>
    <t>196-p1k.p1</t>
  </si>
  <si>
    <t>Art of Fighting 3 - The Path of the Warrior (Korean release)</t>
  </si>
  <si>
    <t>aof3k</t>
  </si>
  <si>
    <t>アート・オブ・ファイティング 龍虎の拳 外伝</t>
  </si>
  <si>
    <t>19960312 (MVS), 19960426 (AES)</t>
  </si>
  <si>
    <t>150d80707325ece351c72c21c6186cfb5996adba</t>
  </si>
  <si>
    <t>9edb420d</t>
  </si>
  <si>
    <t>096-p1.p1</t>
  </si>
  <si>
    <t>NGM-096 (MVS), NGH-096 (AES)</t>
  </si>
  <si>
    <t>Art of Fighting 3 - The Path of the Warrior / Art of Fighting - Ryuuko no Ken Gaiden</t>
  </si>
  <si>
    <t>c0ac7cfc832ace6ad52c58f5da3a8101baead749</t>
  </si>
  <si>
    <t>4e6beb6c</t>
  </si>
  <si>
    <t>095-c8.c8</t>
  </si>
  <si>
    <t>5150b835247fd705bc1dece97d423d9c20a51416</t>
  </si>
  <si>
    <t>ca605e12</t>
  </si>
  <si>
    <t>095-c7.c7</t>
  </si>
  <si>
    <t>53217f938c8964c1ca68a6fd5249c4169a5ac8e6</t>
  </si>
  <si>
    <t>3e164718</t>
  </si>
  <si>
    <t>095-c6.c6</t>
  </si>
  <si>
    <t>e2a7e20855501f240bcd22f5cc92fcb4a9806abe</t>
  </si>
  <si>
    <t>8b9b65df</t>
  </si>
  <si>
    <t>095-c5.c5</t>
  </si>
  <si>
    <t>83cb349e2f1032652060b233e741fb893be5af16</t>
  </si>
  <si>
    <t>a25fc3d0</t>
  </si>
  <si>
    <t>069-c4.c4</t>
  </si>
  <si>
    <t>cf6c2ef56c03a861de3b0b6dc0d7c9204d947f9d</t>
  </si>
  <si>
    <t>1c0fde2f</t>
  </si>
  <si>
    <t>069-c3.c3</t>
  </si>
  <si>
    <t>69501bfac68739e63d798045b812badd251d57b8</t>
  </si>
  <si>
    <t>1053a455</t>
  </si>
  <si>
    <t>069-c2.c2</t>
  </si>
  <si>
    <t>d8610b14900b2b8fe691b67ca9b1abb335dbff74</t>
  </si>
  <si>
    <t>e302f93c</t>
  </si>
  <si>
    <t>069-c1.c1</t>
  </si>
  <si>
    <t>f0b8cd1ee40ea3feeb2800f0723b451ec8240203</t>
  </si>
  <si>
    <t>189d1c6c</t>
  </si>
  <si>
    <t>095-v3.v3</t>
  </si>
  <si>
    <t>11b8bc53bc26a51f4a408e900e3769958625c4ed</t>
  </si>
  <si>
    <t>a698a487</t>
  </si>
  <si>
    <t>069-v2.v2</t>
  </si>
  <si>
    <t>5f4fecf69c2329d699cbd45829c19303b1e2a80e</t>
  </si>
  <si>
    <t>2bdbd4db</t>
  </si>
  <si>
    <t>069-v1.v1</t>
  </si>
  <si>
    <t>39e511fb9ed5d2135dc8428a31d0baafb2ab36e0</t>
  </si>
  <si>
    <t>653492a7</t>
  </si>
  <si>
    <t>095-m1.m1</t>
  </si>
  <si>
    <t>b527355c35ea097f3448676f2ffa65b8e56ae30c</t>
  </si>
  <si>
    <t>b6bf5e08</t>
  </si>
  <si>
    <t>095-s1.s1</t>
  </si>
  <si>
    <t>リアルバウト 餓狼伝説</t>
  </si>
  <si>
    <t>44d6ac6c0ca697a6f367dcfd809b1e1771cb0635</t>
  </si>
  <si>
    <t>cc15826e</t>
  </si>
  <si>
    <t>095-p2.sp2</t>
  </si>
  <si>
    <t>19951221 (MVS), 19960126 (AES)</t>
  </si>
  <si>
    <t>rbff1</t>
  </si>
  <si>
    <t>2668e15663a2c7ec7396f40e4f5f454505968ce8</t>
  </si>
  <si>
    <t>f705364b</t>
  </si>
  <si>
    <t>095-p1k.p1</t>
  </si>
  <si>
    <t>NGM-095 (MVS), NGH-095 (AES)</t>
  </si>
  <si>
    <t>Real Bout Fatal Fury / Real Bout Garou Densetsu (Korean release)</t>
  </si>
  <si>
    <t>rbff1k</t>
  </si>
  <si>
    <t>1b4cceec9b622d35f1bfdf01e314771b98483348</t>
  </si>
  <si>
    <t>422093ed</t>
  </si>
  <si>
    <t>095-eprk.ep1</t>
  </si>
  <si>
    <t>Real Bout Fatal Fury / Real Bout Garou Densetsu (Korean release, bug fix revision)</t>
  </si>
  <si>
    <t>rbff1ka</t>
  </si>
  <si>
    <t>fa741d34898ad5004a23e280139d1446f1a082c7</t>
  </si>
  <si>
    <t>be0060a3</t>
  </si>
  <si>
    <t>095-epr.ep1</t>
  </si>
  <si>
    <t>03aa9f6bab6aee685d1b57a52823797704eea845</t>
  </si>
  <si>
    <t>63b4d8ae</t>
  </si>
  <si>
    <t>095-p1.p1</t>
  </si>
  <si>
    <t>Real Bout Fatal Fury / Real Bout Garou Densetsu (bug fix revision)</t>
  </si>
  <si>
    <t>rbff1a</t>
  </si>
  <si>
    <t>Real Bout Fatal Fury / Real Bout Garou Densetsu (NGM-095 ~ NGH-095)</t>
  </si>
  <si>
    <t>1356a64e4d4e271f62cd0d83f79ee9c906440810</t>
  </si>
  <si>
    <t>d80dd241</t>
  </si>
  <si>
    <t>0xc00001</t>
  </si>
  <si>
    <t>094-c8.c8</t>
  </si>
  <si>
    <t>a81d4bdbef1ac6ea49845dc30e31bf9745694100</t>
  </si>
  <si>
    <t>2091ec04</t>
  </si>
  <si>
    <t>094-c7.c7</t>
  </si>
  <si>
    <t>7ff8c5e3f17d40e7a8a189ad8f8026de55368810</t>
  </si>
  <si>
    <t>31bbd918</t>
  </si>
  <si>
    <t>094-c6.c6</t>
  </si>
  <si>
    <t>5f46fb5d0812275b0006919d8540f22be7c16492</t>
  </si>
  <si>
    <t>ff9cf48c</t>
  </si>
  <si>
    <t>094-c5.c5</t>
  </si>
  <si>
    <t>7befee4a886b1d7493c06cefb7abf4ec01c14a8b</t>
  </si>
  <si>
    <t>9451ee73</t>
  </si>
  <si>
    <t>094-c4.c4</t>
  </si>
  <si>
    <t>4c6f9cf138c5e6dfe89a45e2a690a986c75f5bfc</t>
  </si>
  <si>
    <t>58bfbaa1</t>
  </si>
  <si>
    <t>094-c3.c3</t>
  </si>
  <si>
    <t>9a6dc920a877f27424477c3478907b23afbaa5ea</t>
  </si>
  <si>
    <t>0fbcd046</t>
  </si>
  <si>
    <t>094-c2.c2</t>
  </si>
  <si>
    <t>1c50df6a1a53ffb3079ea0a19c746f5c9536a3ed</t>
  </si>
  <si>
    <t>042f6af5</t>
  </si>
  <si>
    <t>094-c1.c1</t>
  </si>
  <si>
    <t>6bbbacfe899e204e74657d6c3f3d05ce75e432f1</t>
  </si>
  <si>
    <t>c63b9285</t>
  </si>
  <si>
    <t>094-v3.v3</t>
  </si>
  <si>
    <t>a9eac5e24f83ccdcf303d63261747b1bad876a24</t>
  </si>
  <si>
    <t>8edb776c</t>
  </si>
  <si>
    <t>094-v2.v2</t>
  </si>
  <si>
    <t>ede3a2806d7d872a0f737626a23ecce200b534e6</t>
  </si>
  <si>
    <t>6c31223c</t>
  </si>
  <si>
    <t>094-v1.v1</t>
  </si>
  <si>
    <t>a9923c002e4e2171a564af45cff0958c5d57b275</t>
  </si>
  <si>
    <t>78c851cb</t>
  </si>
  <si>
    <t>094-m1.m1</t>
  </si>
  <si>
    <t>5cc723c4284120473d63d8b0c1a3b3be74bdc324</t>
  </si>
  <si>
    <t>2f8748a2</t>
  </si>
  <si>
    <t>094-s1.s1</t>
  </si>
  <si>
    <t>超人学園ゴウカイザー</t>
  </si>
  <si>
    <t>19950918 (MVS), 19951020 (AES)</t>
  </si>
  <si>
    <t>213db6c0b7d24b74b809854f9c606dbea1d9ba00</t>
  </si>
  <si>
    <t>33019545</t>
  </si>
  <si>
    <t>094-p1.p1</t>
  </si>
  <si>
    <t>NGM-094 (MVS), NGH-094 (AES)</t>
  </si>
  <si>
    <t>Voltage Fighter - Gowcaizer / Choujin Gakuen Gowcaizer</t>
  </si>
  <si>
    <t>gowcaizr</t>
  </si>
  <si>
    <t>0110a2b6186cca95f75225d4d0269d61c2ad25b1</t>
  </si>
  <si>
    <t>59826783</t>
  </si>
  <si>
    <t>093-c4.c4</t>
  </si>
  <si>
    <t>20024caa0f09ee887a6418dd02d02a0df93786fd</t>
  </si>
  <si>
    <t>e37578c5</t>
  </si>
  <si>
    <t>093-c3.c3</t>
  </si>
  <si>
    <t>5f37c1bc0d63c98a13967b44da3d2c85e6dbbe50</t>
  </si>
  <si>
    <t>82c49540</t>
  </si>
  <si>
    <t>093-c2.c2</t>
  </si>
  <si>
    <t>ddf71280c2ce85225f15fe9e973f330609281878</t>
  </si>
  <si>
    <t>d1f328f8</t>
  </si>
  <si>
    <t>093-c1.c1</t>
  </si>
  <si>
    <t>b672c97b85d2f52eba3cb26025008ebc7a18312a</t>
  </si>
  <si>
    <t>a92b8b3d</t>
  </si>
  <si>
    <t>093-v2.v2</t>
  </si>
  <si>
    <t>6bf33ebc9b01cd4a029f6a555694a9835e30ca1b</t>
  </si>
  <si>
    <t>02abd4b0</t>
  </si>
  <si>
    <t>093-v1.v1</t>
  </si>
  <si>
    <t>c56c53984e0f92e180e850c60a75f550ee84917c</t>
  </si>
  <si>
    <t>e81e780b</t>
  </si>
  <si>
    <t>093-m1.m1</t>
  </si>
  <si>
    <t>ネオ・ボンバーマン</t>
  </si>
  <si>
    <t>41cb0909bfb017eb6f2c530cb92a423319ed7ab1</t>
  </si>
  <si>
    <t>4b3fa119</t>
  </si>
  <si>
    <t>093-s1.s1</t>
  </si>
  <si>
    <t>19970501</t>
  </si>
  <si>
    <t>059284c84f61a825923d86d2f29c91baa2c439cd</t>
  </si>
  <si>
    <t>a1a71d0d</t>
  </si>
  <si>
    <t>093-p1.p1</t>
  </si>
  <si>
    <t>NGM-093</t>
  </si>
  <si>
    <t>Hudson</t>
  </si>
  <si>
    <t>Neo Bomberman</t>
  </si>
  <si>
    <t>neobombe</t>
  </si>
  <si>
    <t>c27a4d4bef868eed38dc152ff37d4135b16cc991</t>
  </si>
  <si>
    <t>de07f997</t>
  </si>
  <si>
    <t>092-c4.c4</t>
  </si>
  <si>
    <t>f1c05a73794ece15576a0a30c81f4a44faac475a</t>
  </si>
  <si>
    <t>5da735d6</t>
  </si>
  <si>
    <t>092-c3.c3</t>
  </si>
  <si>
    <t>dfe96b62883333872be432e8af1ae617c9e62698</t>
  </si>
  <si>
    <t>6d2bac02</t>
  </si>
  <si>
    <t>092-c2.c2</t>
  </si>
  <si>
    <t>aa9f037df33ae0575b328734c76c0918ae1917e9</t>
  </si>
  <si>
    <t>2a9fab01</t>
  </si>
  <si>
    <t>092-c1.c1</t>
  </si>
  <si>
    <t>574bc55b45e81ce357b14f5992426115de25cd35</t>
  </si>
  <si>
    <t>a7c9c949</t>
  </si>
  <si>
    <t>092-v4.v4</t>
  </si>
  <si>
    <t>b0dfbdb1ea045cb961323ac6906ab342256c3dc7</t>
  </si>
  <si>
    <t>eccc98d3</t>
  </si>
  <si>
    <t>092-v3.v3</t>
  </si>
  <si>
    <t>0bff764889fe02f37877514c7fc450250839f632</t>
  </si>
  <si>
    <t>7abdb75d</t>
  </si>
  <si>
    <t>092-v2.v2</t>
  </si>
  <si>
    <t>1a2007d7784b3ce90d115980c3353862f1664d45</t>
  </si>
  <si>
    <t>69e90596</t>
  </si>
  <si>
    <t>092-v1.v1</t>
  </si>
  <si>
    <t>7b6907532a0e02ceb643623cbd689cf228776ed1</t>
  </si>
  <si>
    <t>91957ef6</t>
  </si>
  <si>
    <t>092-m1.m1</t>
  </si>
  <si>
    <t>386f6110a16967a72fbf788f9d968fddcdcd2889</t>
  </si>
  <si>
    <t>a3d68ee2</t>
  </si>
  <si>
    <t>092-s1.s1</t>
  </si>
  <si>
    <t>天外魔境 真伝</t>
  </si>
  <si>
    <t>19950620 (MVS), 19950728 (AES)</t>
  </si>
  <si>
    <t>7cdc789a99f8127f437d68cbc41278c926be9efd</t>
  </si>
  <si>
    <t>28ec9b77</t>
  </si>
  <si>
    <t>092-p1.p1</t>
  </si>
  <si>
    <t>NGM-092 (MVS), NGH-092 (AES)</t>
  </si>
  <si>
    <t>Far East of Eden - Kabuki Klash / Tengai Makyou - Shin Den</t>
  </si>
  <si>
    <t>kabukikl</t>
  </si>
  <si>
    <t>69ff4ae909dd857de3ca8645d63f8b4bde117448</t>
  </si>
  <si>
    <t>fc092367</t>
  </si>
  <si>
    <t>064-c8.c8</t>
  </si>
  <si>
    <t>85a960dc7f364df13ee0c2f99a4c53aefb081486</t>
  </si>
  <si>
    <t>59d97215</t>
  </si>
  <si>
    <t>064-c7.c7</t>
  </si>
  <si>
    <t>54f282f2b1ff2934cca7acbb4386a2b99a29df3a</t>
  </si>
  <si>
    <t>a43e4766</t>
  </si>
  <si>
    <t>064-c6.c6</t>
  </si>
  <si>
    <t>67b839b426ef3fad0a85d951fdd44c0a45c55226</t>
  </si>
  <si>
    <t>8e34a9f4</t>
  </si>
  <si>
    <t>064-c5.c5</t>
  </si>
  <si>
    <t>25a9eea1d49b21b4a988beb32c25bf2f7796f227</t>
  </si>
  <si>
    <t>f9c8dd26</t>
  </si>
  <si>
    <t>064-c4.c4</t>
  </si>
  <si>
    <t>059776d77b91377ed0bcfc278802d659c917fc0f</t>
  </si>
  <si>
    <t>436d1b31</t>
  </si>
  <si>
    <t>064-c3.c3</t>
  </si>
  <si>
    <t>12131b1c8c017ea77a98c044b392a5db6aad0143</t>
  </si>
  <si>
    <t>10eed5ee</t>
  </si>
  <si>
    <t>090-c2.c2</t>
  </si>
  <si>
    <t>839c20f7ff31251acc875ae402b5d267e55510c7</t>
  </si>
  <si>
    <t>cd30ed9b</t>
  </si>
  <si>
    <t>090-c1.c1</t>
  </si>
  <si>
    <t>78f31bcfea33eb94752bbf5226c481baec1af5ac</t>
  </si>
  <si>
    <t>1908a7ce</t>
  </si>
  <si>
    <t>090-v3.v3</t>
  </si>
  <si>
    <t>2bcf5bfa6e117cf4a3728a5e5f5771313c93f22a</t>
  </si>
  <si>
    <t>b6527edd</t>
  </si>
  <si>
    <t>064-v2.v2</t>
  </si>
  <si>
    <t>d1845033f16de2470afd3858ee0efb45176d9ed7</t>
  </si>
  <si>
    <t>30cf2709</t>
  </si>
  <si>
    <t>090-v1.v1</t>
  </si>
  <si>
    <t>0c60d4afa1dccad0135e733104f056be73b54e4e</t>
  </si>
  <si>
    <t>28065668</t>
  </si>
  <si>
    <t>090-m1.m1</t>
  </si>
  <si>
    <t>c35d315d728d119a6e9aa42e0593937c90897449</t>
  </si>
  <si>
    <t>174a880f</t>
  </si>
  <si>
    <t>090-s1.s1</t>
  </si>
  <si>
    <t>ワールドヒーローズ パーフェクト</t>
  </si>
  <si>
    <t>19950525 (MVS), 19950630 (AES)</t>
  </si>
  <si>
    <t>83d122fddf17d4774353abf4a0655f3939f7b752</t>
  </si>
  <si>
    <t>afaa4702</t>
  </si>
  <si>
    <t>090-p1.p1</t>
  </si>
  <si>
    <t>NGM-090 (MVS), NGH-090 (AES)</t>
  </si>
  <si>
    <t>World Heroes Perfect</t>
  </si>
  <si>
    <t>whp</t>
  </si>
  <si>
    <t>2791b1212f57937b2b2a95bc9e420c06d0c37669</t>
  </si>
  <si>
    <t>a223572d</t>
  </si>
  <si>
    <t>089-c8.c8</t>
  </si>
  <si>
    <t>9a1d5f998b0dfabacf9dad45c94bef2bb43e5e0c</t>
  </si>
  <si>
    <t>6a5618ca</t>
  </si>
  <si>
    <t>089-c7.c7</t>
  </si>
  <si>
    <t>685c0bf8ff76c76e41c2ceaebb96349634cfdb2e</t>
  </si>
  <si>
    <t>b2594d56</t>
  </si>
  <si>
    <t>089-c6.c6</t>
  </si>
  <si>
    <t>976c745c44967de61e2a23227835be580b1d283a</t>
  </si>
  <si>
    <t>89baa1d7</t>
  </si>
  <si>
    <t>089-c5.c5</t>
  </si>
  <si>
    <t>34f6f348ba86a2a06cb9c43a16b97cf6ee6158ac</t>
  </si>
  <si>
    <t>44cef0e3</t>
  </si>
  <si>
    <t>089-c4.c4</t>
  </si>
  <si>
    <t>9664eb1fe1e6f8c3ddeeff872d38ea920ed38a82</t>
  </si>
  <si>
    <t>913611c4</t>
  </si>
  <si>
    <t>089-c3.c3</t>
  </si>
  <si>
    <t>99cc4f9b764503eff7849ff2977d90bb47c5564a</t>
  </si>
  <si>
    <t>836d14da</t>
  </si>
  <si>
    <t>089-c2.c2</t>
  </si>
  <si>
    <t>54693827a99836e7d61c45d495dd78bf3fcf1544</t>
  </si>
  <si>
    <t>f4e97332</t>
  </si>
  <si>
    <t>089-c1.c1</t>
  </si>
  <si>
    <t>83f7e5db7fb1502ceadcd334df90b11b1bba78e5</t>
  </si>
  <si>
    <t>9d2db551</t>
  </si>
  <si>
    <t>089-v2.v2</t>
  </si>
  <si>
    <t>e8e2a46af690ce6c7ee64a58ab5010d22df9548c</t>
  </si>
  <si>
    <t>6f726ecb</t>
  </si>
  <si>
    <t>089-v1.v1</t>
  </si>
  <si>
    <t>59d2ef64f734f6026073b365300221909057a512</t>
  </si>
  <si>
    <t>ff3df7c7</t>
  </si>
  <si>
    <t>089-m1.m1</t>
  </si>
  <si>
    <t>914c224fb3c461a68d7425cae724cf22bd5f985d</t>
  </si>
  <si>
    <t>c79fc2c8</t>
  </si>
  <si>
    <t>089-s1.s1</t>
  </si>
  <si>
    <t>パルスター</t>
  </si>
  <si>
    <t>fc5da2821a5072f2b78245fc59b6e3eeef116d16</t>
  </si>
  <si>
    <t>028b774c</t>
  </si>
  <si>
    <t>089-p2.sp2</t>
  </si>
  <si>
    <t>19950828 (MVS), 19950929 (AES)</t>
  </si>
  <si>
    <t>b864d0ec4184b785569ddbf67c2115b5ab86ee3e</t>
  </si>
  <si>
    <t>5e5847a2</t>
  </si>
  <si>
    <t>089-p1.p1</t>
  </si>
  <si>
    <t>NGM-089 (MVS), NGH-089 (AES)</t>
  </si>
  <si>
    <t>Aicom</t>
  </si>
  <si>
    <t>Pulstar</t>
  </si>
  <si>
    <t>pulstar</t>
  </si>
  <si>
    <t>e963d0a5fb718e0eec2115d63ab34a0de0523792</t>
  </si>
  <si>
    <t>c6970ed6</t>
  </si>
  <si>
    <t>0x400003</t>
  </si>
  <si>
    <t>c12.c12</t>
  </si>
  <si>
    <t>load32_byte</t>
  </si>
  <si>
    <t>5ac30c35e815dd2b0235394c1768e419395a1b5a</t>
  </si>
  <si>
    <t>7d3cd161</t>
  </si>
  <si>
    <t>c11.c11</t>
  </si>
  <si>
    <t>8c5d1b12ac7e739a7ac1f2189a2f3ca959d06377</t>
  </si>
  <si>
    <t>17b2115e</t>
  </si>
  <si>
    <t>0x400002</t>
  </si>
  <si>
    <t>c10.c10</t>
  </si>
  <si>
    <t>3e380c1f52233dd1346c0363d920d1f96491cc45</t>
  </si>
  <si>
    <t>25621e44</t>
  </si>
  <si>
    <t>c9.c9</t>
  </si>
  <si>
    <t>dce84eb477229dfa8233cde8b946b64db1efae1d</t>
  </si>
  <si>
    <t>3bdd06eb</t>
  </si>
  <si>
    <t>0x200003</t>
  </si>
  <si>
    <t>c8.c8</t>
  </si>
  <si>
    <t>2565a44d3ee9375af595d84638c7a76f631f8f9b</t>
  </si>
  <si>
    <t>f0d8b2ca</t>
  </si>
  <si>
    <t>0x200001</t>
  </si>
  <si>
    <t>c7.c7</t>
  </si>
  <si>
    <t>421a8ef11e299b7379a8198c871c8f11ad97deb0</t>
  </si>
  <si>
    <t>a7a104c8</t>
  </si>
  <si>
    <t>0x200002</t>
  </si>
  <si>
    <t>c6.c6</t>
  </si>
  <si>
    <t>19431b1ad44b9418f26b94c15572d11caec0994e</t>
  </si>
  <si>
    <t>36b93e77</t>
  </si>
  <si>
    <t>c5.c5</t>
  </si>
  <si>
    <t>1595f8029f71c3acd949ddd5539d62424c0b697e</t>
  </si>
  <si>
    <t>3223b05f</t>
  </si>
  <si>
    <t>0x000003</t>
  </si>
  <si>
    <t>c4.c4</t>
  </si>
  <si>
    <t>79006062b516bda35bb77c864ba9ea26135ee8ed</t>
  </si>
  <si>
    <t>702a21b1</t>
  </si>
  <si>
    <t>c3.c3</t>
  </si>
  <si>
    <t>f4cdb5df29698f1ba362a227b82d43c3baaa8948</t>
  </si>
  <si>
    <t>6108e6db</t>
  </si>
  <si>
    <t>c2.c2</t>
  </si>
  <si>
    <t>1f4cf27d7da1262bae28a8dd88c56d8a9324e982</t>
  </si>
  <si>
    <t>fb2f29d3</t>
  </si>
  <si>
    <t>c1.c1</t>
  </si>
  <si>
    <t>28b70e57a352ef6a08a5564f7756113a66e7dbb7</t>
  </si>
  <si>
    <t>e2d216b6</t>
  </si>
  <si>
    <t>v3.v3</t>
  </si>
  <si>
    <t>da620c182fe9fc36421da73f2937e627d9a641bf</t>
  </si>
  <si>
    <t>23ad8a91</t>
  </si>
  <si>
    <t>v2.v2</t>
  </si>
  <si>
    <t>47ff2ba9648b7145c29b534cd1f6839abb43bee2</t>
  </si>
  <si>
    <t>ac590b85</t>
  </si>
  <si>
    <t>v1.v1</t>
  </si>
  <si>
    <t>d6d0e67ff7865ff5a0262aba381468e198d50536</t>
  </si>
  <si>
    <t>daedbcd7</t>
  </si>
  <si>
    <t>1b6f57d2f4265f210194488356fc3653dfa35932</t>
  </si>
  <si>
    <t>2193d089</t>
  </si>
  <si>
    <t>ab10dda5594ad8a21af219c6907a9841de7384c3</t>
  </si>
  <si>
    <t>4e7202ee</t>
  </si>
  <si>
    <t>sp2.sp2</t>
  </si>
  <si>
    <t>stakwin</t>
  </si>
  <si>
    <t>23c8c2a4d7a16838fb54306fb193b355edc75060</t>
  </si>
  <si>
    <t>96b58fa4</t>
  </si>
  <si>
    <t>sp1.sp1</t>
  </si>
  <si>
    <t>ステークスウィナー</t>
  </si>
  <si>
    <t>Stakes Winner / Stakes Winner - GI Kinzen  Seiha e no Michi (early development board)</t>
  </si>
  <si>
    <t>stakwindev</t>
  </si>
  <si>
    <t>ddf5dbb5e07313998a8f695ad19354ea54585dd6</t>
  </si>
  <si>
    <t>4604f0dc</t>
  </si>
  <si>
    <t>088-c4.c4</t>
  </si>
  <si>
    <t>7bee19d8a2bccedd8e2cf0c0e9138902b9dafc23</t>
  </si>
  <si>
    <t>8fa5a9eb</t>
  </si>
  <si>
    <t>088-c3.c3</t>
  </si>
  <si>
    <t>ad448cf96f3dce44c83412ed6878c495eb4a8a1e</t>
  </si>
  <si>
    <t>4d865347</t>
  </si>
  <si>
    <t>088-c2.c2</t>
  </si>
  <si>
    <t>b67c5d2654a62cc4e44bd54d28e62c7da5eea424</t>
  </si>
  <si>
    <t>6e733421</t>
  </si>
  <si>
    <t>088-c1.c1</t>
  </si>
  <si>
    <t>d11df1e623434669cd3f97f0feda747b24dac05d</t>
  </si>
  <si>
    <t>b7785023</t>
  </si>
  <si>
    <t>088-v1.v1</t>
  </si>
  <si>
    <t>5b747eeef65be04423d2db05e086df9132758a47</t>
  </si>
  <si>
    <t>2fe1f499</t>
  </si>
  <si>
    <t>088-m1.m1</t>
  </si>
  <si>
    <t>c5b4697d767575884dd49ae416c1fe4a4a92d3f6</t>
  </si>
  <si>
    <t>073cb208</t>
  </si>
  <si>
    <t>088-s1.s1</t>
  </si>
  <si>
    <t>19950927 (MVS), 19951027 (AES)</t>
  </si>
  <si>
    <t>95179a4dee61ae88bb5d9fd74af0c56c8c29f5ea</t>
  </si>
  <si>
    <t>bd5814f6</t>
  </si>
  <si>
    <t>088-p1.p1</t>
  </si>
  <si>
    <t>NGM-088 (MVS), NGH-088 (AES)</t>
  </si>
  <si>
    <t>Stakes Winner / Stakes Winner - GI Kinzen Seiha e no Michi</t>
  </si>
  <si>
    <t>e39ee15d5140dbe7f06eea945cce9984a5e8b06a</t>
  </si>
  <si>
    <t>a9e82717</t>
  </si>
  <si>
    <t>087-c8.c8</t>
  </si>
  <si>
    <t>ec482632cc347ec3f9e68df0ebcaa16ebe41b9f9</t>
  </si>
  <si>
    <t>ae450e3d</t>
  </si>
  <si>
    <t>087-c7.c7</t>
  </si>
  <si>
    <t>3a378708697d727796c4f702dd5bbf1c9eb4daec</t>
  </si>
  <si>
    <t>002ff8f3</t>
  </si>
  <si>
    <t>087-c6.c6</t>
  </si>
  <si>
    <t>a6122f683bdb78d0079e1e360c1b96ba28def7b7</t>
  </si>
  <si>
    <t>172ab180</t>
  </si>
  <si>
    <t>087-c5.c5</t>
  </si>
  <si>
    <t>daa319d455f759bfc08a37b43218bdb48dc1c9e5</t>
  </si>
  <si>
    <t>728fbf11</t>
  </si>
  <si>
    <t>087-c4.c4</t>
  </si>
  <si>
    <t>053acc129ea56691607a5d255845703e61fd3ada</t>
  </si>
  <si>
    <t>8b793796</t>
  </si>
  <si>
    <t>087-c3.c3</t>
  </si>
  <si>
    <t>b8c7a2d0d7a8b14d6cab94d7a5f347e73c6ab7a4</t>
  </si>
  <si>
    <t>7a413592</t>
  </si>
  <si>
    <t>087-c2.c2</t>
  </si>
  <si>
    <t>654cb56cfd6eeebe6745c0b8b730317fb8ccd3d9</t>
  </si>
  <si>
    <t>07a233bc</t>
  </si>
  <si>
    <t>087-c1.c1</t>
  </si>
  <si>
    <t>0x1a00000</t>
  </si>
  <si>
    <t>5411bdff24cba7fdbc3397d45a70fb468d7a44b3</t>
  </si>
  <si>
    <t>ac0f261a</t>
  </si>
  <si>
    <t>087-v2.v2</t>
  </si>
  <si>
    <t>adceceb00569eca13fcc2e0f0d9f0d9b06a06851</t>
  </si>
  <si>
    <t>84bdd9a0</t>
  </si>
  <si>
    <t>087-v1.v1</t>
  </si>
  <si>
    <t>e3f72150af4e326543b29df71cda27d73ec087c1</t>
  </si>
  <si>
    <t>8e6440eb</t>
  </si>
  <si>
    <t>087-m1.m1</t>
  </si>
  <si>
    <t>d79c479838a7ca51735a44f91f1968ec5b3c6b91</t>
  </si>
  <si>
    <t>74ec7d9f</t>
  </si>
  <si>
    <t>087-s1.s1</t>
  </si>
  <si>
    <t>b18117102159903c8e8f4e4226e1cc91a400e816</t>
  </si>
  <si>
    <t>9bbe27e0</t>
  </si>
  <si>
    <t>087-p2.sp2</t>
  </si>
  <si>
    <t>samsho3</t>
  </si>
  <si>
    <t>7b74f2917114460d79d8f46ee24829a4c08cbf2a</t>
  </si>
  <si>
    <t>c8e7c075</t>
  </si>
  <si>
    <t>187-p1k.p1</t>
  </si>
  <si>
    <t>Fighters Swords (Korean release of Samurai Shodown III)</t>
  </si>
  <si>
    <t>fswords</t>
  </si>
  <si>
    <t>サムライスピリッツ 斬紅郎無双剣</t>
  </si>
  <si>
    <t>19951201</t>
  </si>
  <si>
    <t>e062f1939d36a45f185b5dbd726cdd833dc7c28c</t>
  </si>
  <si>
    <t>282a336e</t>
  </si>
  <si>
    <t>087-pg1.p1</t>
  </si>
  <si>
    <t>NGH-087</t>
  </si>
  <si>
    <t>Samurai Shodown III / Samurai Spirits - Zankurou Musouken (NGH-087)</t>
  </si>
  <si>
    <t>samsho3h</t>
  </si>
  <si>
    <t>5246acbab77ac2f232b88b8522187764ff0872f0</t>
  </si>
  <si>
    <t>e86ca4af</t>
  </si>
  <si>
    <t>087-p5.p5</t>
  </si>
  <si>
    <t>f975e81cab6322d3260348402721c673023259fa</t>
  </si>
  <si>
    <t>53e60c58</t>
  </si>
  <si>
    <t>0x180000</t>
  </si>
  <si>
    <t>087-epr.ep4</t>
  </si>
  <si>
    <t>b4fa1dc1eccc9eb1ce74f0a06992ef89b1cbc732</t>
  </si>
  <si>
    <t>bf2db5dd</t>
  </si>
  <si>
    <t>087-epr.ep3</t>
  </si>
  <si>
    <t>e2d21b413a6059194a994b7902b2a7df98a15151</t>
  </si>
  <si>
    <t>256f5302</t>
  </si>
  <si>
    <t>087-epr.ep2</t>
  </si>
  <si>
    <t>19951115</t>
  </si>
  <si>
    <t>79da99fa50a639fce9d1266699b5e53c9ac55642</t>
  </si>
  <si>
    <t>23e09bb8</t>
  </si>
  <si>
    <t>087-epr.ep1</t>
  </si>
  <si>
    <t>NGM-087</t>
  </si>
  <si>
    <t>Samurai Shodown III / Samurai Spirits - Zankurou Musouken (NGM-087)</t>
  </si>
  <si>
    <t>b1bb82cec3d68367d5e01e63c44c11b67e577411</t>
  </si>
  <si>
    <t>7a6e7d82</t>
  </si>
  <si>
    <t>086-c4.c4</t>
  </si>
  <si>
    <t>9304a83d81afd544d88be0cd3ee47ae401d2da0e</t>
  </si>
  <si>
    <t>750ddc0c</t>
  </si>
  <si>
    <t>086-c3.c3</t>
  </si>
  <si>
    <t>3cb2bbab381a26ec69f97c3d6116ce47254286b4</t>
  </si>
  <si>
    <t>6b0d6827</t>
  </si>
  <si>
    <t>086-c2.c2</t>
  </si>
  <si>
    <t>bb5a96acd4a90fcb41c49cc8e9f760c4a06d6b84</t>
  </si>
  <si>
    <t>2611bc2a</t>
  </si>
  <si>
    <t>086-c1.c1</t>
  </si>
  <si>
    <t>ff2b55c7021c248cfdcfc9cd3658f2896bcbca38</t>
  </si>
  <si>
    <t>b7eb05df</t>
  </si>
  <si>
    <t>086-v2.v2</t>
  </si>
  <si>
    <t>b80d3a37e18d0a52f1e0092dc300989c9647efd1</t>
  </si>
  <si>
    <t>97bf1986</t>
  </si>
  <si>
    <t>086-v1.v1</t>
  </si>
  <si>
    <t>8e3ecabec25d89adb6e0eed0ef5f94d34a4d5fc0</t>
  </si>
  <si>
    <t>cb82bc5d</t>
  </si>
  <si>
    <t>086-m1.m1</t>
  </si>
  <si>
    <t>273341489f6625d35a4a920042a60e2b86373847</t>
  </si>
  <si>
    <t>6f5e2b3a</t>
  </si>
  <si>
    <t>086-s1.s1</t>
  </si>
  <si>
    <t>テクモワールドサッカー '96</t>
  </si>
  <si>
    <t>3a0a5a54649178ce7a6158980cb4445084b40fb5</t>
  </si>
  <si>
    <t>03e20ab6</t>
  </si>
  <si>
    <t>086-p1.p1</t>
  </si>
  <si>
    <t>NGM-086?</t>
  </si>
  <si>
    <t>Tecmo</t>
  </si>
  <si>
    <t>Tecmo World Soccer '96</t>
  </si>
  <si>
    <t>twsoc96</t>
  </si>
  <si>
    <t>2925ea21ed2ce167f08a25589e94f28643379034</t>
  </si>
  <si>
    <t>78eb0f9b</t>
  </si>
  <si>
    <t>084-c8.c8</t>
  </si>
  <si>
    <t>eec770746a0ad073f7d353ab16a2cc3a5278d307</t>
  </si>
  <si>
    <t>9904025f</t>
  </si>
  <si>
    <t>084-c7.c7</t>
  </si>
  <si>
    <t>302c92c63f092a8d49429c3331e5e5678f0ea48d</t>
  </si>
  <si>
    <t>f593ac35</t>
  </si>
  <si>
    <t>084-c6.c6</t>
  </si>
  <si>
    <t>67866651bc0ce27122285a66b0aab108acf3d065</t>
  </si>
  <si>
    <t>8a2c1edc</t>
  </si>
  <si>
    <t>084-c5.c5</t>
  </si>
  <si>
    <t>74ea2a3cfd7b744f0988a05baaff10016ca8f625</t>
  </si>
  <si>
    <t>c1ace468</t>
  </si>
  <si>
    <t>084-c4.c4</t>
  </si>
  <si>
    <t>740a405b40b3a4b324697d2652cae29ffe0ac0bd</t>
  </si>
  <si>
    <t>a4e65d1b</t>
  </si>
  <si>
    <t>084-c3.c3</t>
  </si>
  <si>
    <t>0817fcfd75d0735fd8ff27561eaec371e4ff5829</t>
  </si>
  <si>
    <t>07864e09</t>
  </si>
  <si>
    <t>084-c2.c2</t>
  </si>
  <si>
    <t>e8e89faa616027e4fb9b8a865c1a67f409c93bdf</t>
  </si>
  <si>
    <t>fe087e32</t>
  </si>
  <si>
    <t>084-c1.c1</t>
  </si>
  <si>
    <t>eb9866b4b286edc09963cb96c43ce0a8fb09adbb</t>
  </si>
  <si>
    <t>d683a338</t>
  </si>
  <si>
    <t>084-v3.v3</t>
  </si>
  <si>
    <t>dbc2c8606ca09ed7ff20906b022da3cf053b2f09</t>
  </si>
  <si>
    <t>b38a2803</t>
  </si>
  <si>
    <t>084-v2.v2</t>
  </si>
  <si>
    <t>1b6c91ddaed01f45eb9b7e49d9c2b9b479d50da6</t>
  </si>
  <si>
    <t>84861b56</t>
  </si>
  <si>
    <t>084-v1.v1</t>
  </si>
  <si>
    <t>6f8462e4f07af82a5ca3197895d5dcbb67bdaa61</t>
  </si>
  <si>
    <t>6f2d7429</t>
  </si>
  <si>
    <t>084-m1.m1</t>
  </si>
  <si>
    <t>f7386454a943ed5caf625f67ee1d0197b1c6fa13</t>
  </si>
  <si>
    <t>de716f8a</t>
  </si>
  <si>
    <t>084-s1.s1</t>
  </si>
  <si>
    <t>ザ・キング・オブ・ファイターズ '95</t>
  </si>
  <si>
    <t>19950901</t>
  </si>
  <si>
    <t>kof95</t>
  </si>
  <si>
    <t>41abe2042fdbb1526e92a0789976a9b1ac5e60f0</t>
  </si>
  <si>
    <t>5e54cf95</t>
  </si>
  <si>
    <t>084-pg1.p1</t>
  </si>
  <si>
    <t>NGH-084</t>
  </si>
  <si>
    <t>The King of Fighters '95 (NGH-084)</t>
  </si>
  <si>
    <t>kof95h</t>
  </si>
  <si>
    <t>39225ec8a7ed5d2f5e83f5d575b9fa38800b0704</t>
  </si>
  <si>
    <t>19d3fbee</t>
  </si>
  <si>
    <t>084-epr.ep4</t>
  </si>
  <si>
    <t>87318a1bc667f31a9824beefee94617b4724dc2d</t>
  </si>
  <si>
    <t>21ae248a</t>
  </si>
  <si>
    <t>084-epr.ep3</t>
  </si>
  <si>
    <t>04109e7c4f8d171fcebbe1198f85a271b008f8f1</t>
  </si>
  <si>
    <t>30802a5d</t>
  </si>
  <si>
    <t>084-epr.ep2</t>
  </si>
  <si>
    <t>19950725</t>
  </si>
  <si>
    <t>0d9d8b6db8a5a4ea47fd6602bc77df68b74b1691</t>
  </si>
  <si>
    <t>577ca1bb</t>
  </si>
  <si>
    <t>084-epr.ep1</t>
  </si>
  <si>
    <t>NGM-084</t>
  </si>
  <si>
    <t>The King of Fighters '95 (NGM-084, alt board)</t>
  </si>
  <si>
    <t>kof95a</t>
  </si>
  <si>
    <t>f6c2d0537c9c3e0938065c65b1797c47198fcff8</t>
  </si>
  <si>
    <t>2cba2716</t>
  </si>
  <si>
    <t>084-p1.p1</t>
  </si>
  <si>
    <t>The King of Fighters '95 (NGM-084)</t>
  </si>
  <si>
    <t>d96-03.c6</t>
  </si>
  <si>
    <t>d96-02.c5</t>
  </si>
  <si>
    <t>4150a21041f06514c97592bd8af686504b06e187</t>
  </si>
  <si>
    <t>35072596</t>
  </si>
  <si>
    <t>068-c4.c4</t>
  </si>
  <si>
    <t>7a9c42a30163eda455f7bde2302402b1a5de7178</t>
  </si>
  <si>
    <t>4b641ba1</t>
  </si>
  <si>
    <t>068-c3.c3</t>
  </si>
  <si>
    <t>2df8766b531e47ffc30457e41c63b83557b4f468</t>
  </si>
  <si>
    <t>20912873</t>
  </si>
  <si>
    <t>068-c2.c2</t>
  </si>
  <si>
    <t>5109a41adcb7859e24dc43d88842d4cc18cd3305</t>
  </si>
  <si>
    <t>7f250f76</t>
  </si>
  <si>
    <t>068-c1.c1</t>
  </si>
  <si>
    <t>d96-05.v4</t>
  </si>
  <si>
    <t>d96-01.v3</t>
  </si>
  <si>
    <t>6c9b04e9cc6b92133f1154e5bdd9d38d8ef050a7</t>
  </si>
  <si>
    <t>970851ab</t>
  </si>
  <si>
    <t>068-v2.v2</t>
  </si>
  <si>
    <t>d6b73d1f31efbd74fb745200d4dade5f80b71541</t>
  </si>
  <si>
    <t>2ced86df</t>
  </si>
  <si>
    <t>068-v1.v1</t>
  </si>
  <si>
    <t>d96-06.m1</t>
  </si>
  <si>
    <t>パズルボブル</t>
  </si>
  <si>
    <t>d96-04.s1</t>
  </si>
  <si>
    <t>19941221</t>
  </si>
  <si>
    <t>328429d11de5b327a0654ae0548da4d0025a2ae6</t>
  </si>
  <si>
    <t>6102ca14</t>
  </si>
  <si>
    <t>d96-07.ep1</t>
  </si>
  <si>
    <t>NGM-083</t>
  </si>
  <si>
    <t>Taito</t>
  </si>
  <si>
    <t>Puzzle Bobble / Bust-A-Move (Neo-Geo, NGM-083)</t>
  </si>
  <si>
    <t>020e70e0e8b3c5d00a40fe97e418115a3187e50a</t>
  </si>
  <si>
    <t>69a5fa37</t>
  </si>
  <si>
    <t>082-c8.c8</t>
  </si>
  <si>
    <t>8204c7f037d46e0c58f269f9c7a535bc2589f526</t>
  </si>
  <si>
    <t>727c4d02</t>
  </si>
  <si>
    <t>082-c7.c7</t>
  </si>
  <si>
    <t>b2acbd4cacce66fb32c052b2fba9984904679bda</t>
  </si>
  <si>
    <t>844a8a11</t>
  </si>
  <si>
    <t>082-c6.c6</t>
  </si>
  <si>
    <t>3fa86da93881158c2c23443855922a7b32e55135</t>
  </si>
  <si>
    <t>ec87bff6</t>
  </si>
  <si>
    <t>082-c5.c5</t>
  </si>
  <si>
    <t>e2d09d4d1b1fef9c0c53ecf3629e974b75e559f5</t>
  </si>
  <si>
    <t>c7d2f596</t>
  </si>
  <si>
    <t>082-c4.c4</t>
  </si>
  <si>
    <t>3a347215e414b738164f1fe4144102f07d4ffb80</t>
  </si>
  <si>
    <t>8b0d378e</t>
  </si>
  <si>
    <t>082-c3.c3</t>
  </si>
  <si>
    <t>9f13245965d23db86d46d7e73dfb6cc63e6f25a1</t>
  </si>
  <si>
    <t>2857da32</t>
  </si>
  <si>
    <t>082-c2.c2</t>
  </si>
  <si>
    <t>3a777c5906220f246a6dc06cb084e6ad650d67bb</t>
  </si>
  <si>
    <t>b478c725</t>
  </si>
  <si>
    <t>082-c1.c1</t>
  </si>
  <si>
    <t>0xe00000</t>
  </si>
  <si>
    <t>c685887ad64998e5572607a916b023f8b9efac49</t>
  </si>
  <si>
    <t>c3ff5554</t>
  </si>
  <si>
    <t>082-v2.v2</t>
  </si>
  <si>
    <t>bfcfff24bc7fbde0b02b1bc0dffebd5270a0eb04</t>
  </si>
  <si>
    <t>cc1128e4</t>
  </si>
  <si>
    <t>082-v1.v1</t>
  </si>
  <si>
    <t>cf1ed0a447da68240c62bcfd76b1569803f6bf76</t>
  </si>
  <si>
    <t>10b144de</t>
  </si>
  <si>
    <t>082-m1.m1</t>
  </si>
  <si>
    <t>9c89adbdaa5c1f827632c701688563dac2e482a4</t>
  </si>
  <si>
    <t>bef995c5</t>
  </si>
  <si>
    <t>082-s1.s1</t>
  </si>
  <si>
    <t>ダブルドラゴン</t>
  </si>
  <si>
    <t>19950303 (MVS), 19950331 (AES)</t>
  </si>
  <si>
    <t>fbb1bd195f5653f7b9c89648649f838eaf83cbe4</t>
  </si>
  <si>
    <t>34ab832a</t>
  </si>
  <si>
    <t>082-p1.p1</t>
  </si>
  <si>
    <t>NGM-082 (MVS), NGH-082 (AES)</t>
  </si>
  <si>
    <t>Double Dragon (Neo-Geo)</t>
  </si>
  <si>
    <t>doubledr</t>
  </si>
  <si>
    <t>fadf7a12661d83ae35d9258aa4947969d51c08b8</t>
  </si>
  <si>
    <t>6b53fb75</t>
  </si>
  <si>
    <t>081-c6.c6</t>
  </si>
  <si>
    <t>7de7765bf43d390c50b2f59c2288502a7121d086</t>
  </si>
  <si>
    <t>17d42f0d</t>
  </si>
  <si>
    <t>081-c5.c5</t>
  </si>
  <si>
    <t>591ef24a3d381163c5da80fa64e6883b8ea9abfb</t>
  </si>
  <si>
    <t>47d26a7c</t>
  </si>
  <si>
    <t>081-c4.c4</t>
  </si>
  <si>
    <t>41aba1554bf59d4e5d5814249eaa0d531449e1de</t>
  </si>
  <si>
    <t>3b2572e8</t>
  </si>
  <si>
    <t>081-c3.c3</t>
  </si>
  <si>
    <t>9f05148e3e1e94339752658c066f47f133db8fbf</t>
  </si>
  <si>
    <t>b28d928f</t>
  </si>
  <si>
    <t>081-c2.c2</t>
  </si>
  <si>
    <t>abd9dbe7b7cbe0b6cd1d87e53c6bdc6edeccf83c</t>
  </si>
  <si>
    <t>1fb68ebe</t>
  </si>
  <si>
    <t>081-c1.c1</t>
  </si>
  <si>
    <t>8733e1b63471381b16c2b7c64b909745d99c8925</t>
  </si>
  <si>
    <t>e524e415</t>
  </si>
  <si>
    <t>081-v3.v3</t>
  </si>
  <si>
    <t>5426985c33aea2efc8ff774b59d34d8b03bd9a85</t>
  </si>
  <si>
    <t>acf29d96</t>
  </si>
  <si>
    <t>081-v2.v2</t>
  </si>
  <si>
    <t>9c27cc1b1d075223ed4a90dd02571d09a2f0d076</t>
  </si>
  <si>
    <t>201fa1e1</t>
  </si>
  <si>
    <t>081-v1.v1</t>
  </si>
  <si>
    <t>b219a5685450f9c24cc195f1c914bc3b292d72c0</t>
  </si>
  <si>
    <t>82fcd863</t>
  </si>
  <si>
    <t>081-m1.m1</t>
  </si>
  <si>
    <t>30bad65633d0035fd578323c22cbddb8c9d549a6</t>
  </si>
  <si>
    <t>7626da34</t>
  </si>
  <si>
    <t>081-s1.s1</t>
  </si>
  <si>
    <t>得点王3 栄光への挑戦</t>
  </si>
  <si>
    <t>19950307 (MVS), 19950407 (AES)</t>
  </si>
  <si>
    <t>94692abe7343f9204a557acae4ab74d0af511ca3</t>
  </si>
  <si>
    <t>6bc27a3d</t>
  </si>
  <si>
    <t>081-p1.p1</t>
  </si>
  <si>
    <t>NGM-081 (MVS), NGH-081 (AES)</t>
  </si>
  <si>
    <t>Super Sidekicks 3 - The Next Glory / Tokuten Ou 3 - Eikou e no Michi</t>
  </si>
  <si>
    <t>ssideki3</t>
  </si>
  <si>
    <t>99955ff947e2e586e60c1146c978c70705787917</t>
  </si>
  <si>
    <t>36e5d997</t>
  </si>
  <si>
    <t>vic-080-c4.c4</t>
  </si>
  <si>
    <t>f588908a693dbbb8362ffbfe5035dd5f867d9697</t>
  </si>
  <si>
    <t>cf484c4f</t>
  </si>
  <si>
    <t>vic-080-c3.c3</t>
  </si>
  <si>
    <t>0dd845726c640d70804b5fd5854921771e8dbf19</t>
  </si>
  <si>
    <t>297f25a1</t>
  </si>
  <si>
    <t>vic-080-c2.c2</t>
  </si>
  <si>
    <t>4ab63dadc6ee0d32b8784c327681376f5fef0df9</t>
  </si>
  <si>
    <t>94d90170</t>
  </si>
  <si>
    <t>vic-080-c1.c1</t>
  </si>
  <si>
    <t>11727f9a3c4da17fa7b00559c7081b66e7211c49</t>
  </si>
  <si>
    <t>64b7efde</t>
  </si>
  <si>
    <t>vic-080-v3.v3</t>
  </si>
  <si>
    <t>c94f8ca066c9693cd7c9fd311db1ad9b2665fc69</t>
  </si>
  <si>
    <t>719fee5b</t>
  </si>
  <si>
    <t>vic-080-v2.v2</t>
  </si>
  <si>
    <t>05c8b7d9f5a8583015f31902ad16d9c621f47d4e</t>
  </si>
  <si>
    <t>0be18f60</t>
  </si>
  <si>
    <t>080-v1.v1</t>
  </si>
  <si>
    <t>8397bfdd5738914670ada7cd8c611c20ed1f74da</t>
  </si>
  <si>
    <t>4f157e9a</t>
  </si>
  <si>
    <t>vic-080-m1.m1</t>
  </si>
  <si>
    <t>f6a2c583f38295b7da2cbcf4b2c7ed3d3e01db4f</t>
  </si>
  <si>
    <t>af72c30f</t>
  </si>
  <si>
    <t>vic-080-s1.s1</t>
  </si>
  <si>
    <t>quizkof</t>
  </si>
  <si>
    <t>609f3095c1cf8b11335b56f23c5d955eebd66dd2</t>
  </si>
  <si>
    <t>2589488e</t>
  </si>
  <si>
    <t>vic-080-p1.p1</t>
  </si>
  <si>
    <t>퀴즈 킹 오브 화이터즈</t>
  </si>
  <si>
    <t>Saurus / Viccom (SNK license)</t>
  </si>
  <si>
    <t>Quiz King of Fighters (Korea)</t>
  </si>
  <si>
    <t>quizkofk</t>
  </si>
  <si>
    <t>ed36e244c9335f4c0a97c57b7b7f1b849dd3a90d</t>
  </si>
  <si>
    <t>ca6f5460</t>
  </si>
  <si>
    <t>080-c4.c4</t>
  </si>
  <si>
    <t>b8286c601de5755c1681ea46e177fc89006fc066</t>
  </si>
  <si>
    <t>b4851bfe</t>
  </si>
  <si>
    <t>080-c3.c3</t>
  </si>
  <si>
    <t>94228d13fb1e30973eb54058e697f17456ee16ea</t>
  </si>
  <si>
    <t>d331d4a4</t>
  </si>
  <si>
    <t>080-c2.c2</t>
  </si>
  <si>
    <t>78cc1735624c37f90607baa92e110a3c5cc54c6f</t>
  </si>
  <si>
    <t>ea1d764a</t>
  </si>
  <si>
    <t>080-c1.c1</t>
  </si>
  <si>
    <t>8c65ebe146f4ddb6c904f8125cb32767f74c24d5</t>
  </si>
  <si>
    <t>f02844e2</t>
  </si>
  <si>
    <t>080-v3.v3</t>
  </si>
  <si>
    <t>0188bfcafa9a1aac302705736a2bcb26b9d684c2</t>
  </si>
  <si>
    <t>4abde3ff</t>
  </si>
  <si>
    <t>080-v2.v2</t>
  </si>
  <si>
    <t>eaaba1781622901b91bce9257be4e05f84df053b</t>
  </si>
  <si>
    <t>f5f44172</t>
  </si>
  <si>
    <t>080-m1.m1</t>
  </si>
  <si>
    <t>クイズ キングオブファイターズ</t>
  </si>
  <si>
    <t>09e1ca6451f3035ce476e3b045541646f860aad5</t>
  </si>
  <si>
    <t>d7b86102</t>
  </si>
  <si>
    <t>080-s1.s1</t>
  </si>
  <si>
    <t>19950201 (MVS), 19950310 (AES)</t>
  </si>
  <si>
    <t>f4adba8e341d64a1f6280dfd98ebf6918c00608d</t>
  </si>
  <si>
    <t>4440315e</t>
  </si>
  <si>
    <t>080-p1.p1</t>
  </si>
  <si>
    <t>NGM-080 / SAM-080 (MVS), NGH-080 / SAH-080 (AES)</t>
  </si>
  <si>
    <t>Saurus (SNK license)</t>
  </si>
  <si>
    <t>Quiz King of Fighters (SAM-080 ~ SAH-080)</t>
  </si>
  <si>
    <t>1b9f7b5f31acd6df2bdab81b849f32c13aa1b884</t>
  </si>
  <si>
    <t>a4c90213</t>
  </si>
  <si>
    <t>079-c4.c4</t>
  </si>
  <si>
    <t>6f47d77d61d4289bcee82df7c4efa5346a6e4c80</t>
  </si>
  <si>
    <t>cd65bb62</t>
  </si>
  <si>
    <t>079-c3.c3</t>
  </si>
  <si>
    <t>362aa0de0d2cf9aa03758363ffb1e15e046a3930</t>
  </si>
  <si>
    <t>5b9b8fb6</t>
  </si>
  <si>
    <t>079-c2.c2</t>
  </si>
  <si>
    <t>453f7a8474195a1120da5fa24337d79674563d9e</t>
  </si>
  <si>
    <t>0581c72a</t>
  </si>
  <si>
    <t>079-c1.c1</t>
  </si>
  <si>
    <t>e4926f01322d0a15e700fb150b368152f2091146</t>
  </si>
  <si>
    <t>720774eb</t>
  </si>
  <si>
    <t>079-v2.v2</t>
  </si>
  <si>
    <t>cefc5d0b302bd4a87ab1fa244ade4482c23c6806</t>
  </si>
  <si>
    <t>718a2400</t>
  </si>
  <si>
    <t>079-v1.v1</t>
  </si>
  <si>
    <t>fd5345d9847982085a9b364fff542580889bf02f</t>
  </si>
  <si>
    <t>bee3455a</t>
  </si>
  <si>
    <t>079-m1.m1</t>
  </si>
  <si>
    <t>ダンク・ドリーム</t>
  </si>
  <si>
    <t>ba9ab51eb95c3568304377ef6d7b5f32e8fbcde1</t>
  </si>
  <si>
    <t>3ac06665</t>
  </si>
  <si>
    <t>079-s1.s1</t>
  </si>
  <si>
    <t>19941208 (MVS), 19941209 (AES)</t>
  </si>
  <si>
    <t>7a00b096ed6dd77afc3008c5a4c83686e475f323</t>
  </si>
  <si>
    <t>5e78328e</t>
  </si>
  <si>
    <t>079-p1.p1</t>
  </si>
  <si>
    <t>NGM-079 / DEM-004 (MVS), NGH-079 / DEH-004 (AES)</t>
  </si>
  <si>
    <t>Street Hoop / Street Slam / Dunk Dream (DEM-004 ~ DEH-004)</t>
  </si>
  <si>
    <t>strhoop</t>
  </si>
  <si>
    <t>68aaee6341c87e56ce11acc1c4ec8047839fe70d</t>
  </si>
  <si>
    <t>0a7cc0d8</t>
  </si>
  <si>
    <t>078-c8.c8</t>
  </si>
  <si>
    <t>c0f12496b45b2fe6e94aa8ac52b0157063127e0a</t>
  </si>
  <si>
    <t>4f27d580</t>
  </si>
  <si>
    <t>078-c7.c7</t>
  </si>
  <si>
    <t>2761026abd9698a7b56114b76631563abd41fd12</t>
  </si>
  <si>
    <t>d779a181</t>
  </si>
  <si>
    <t>078-c6.c6</t>
  </si>
  <si>
    <t>db3b8fc62a6f21c6653621c0665450d5d9a9913d</t>
  </si>
  <si>
    <t>e6b77e6a</t>
  </si>
  <si>
    <t>078-c5.c5</t>
  </si>
  <si>
    <t>7b9c86714d688602064d928c9d2b49d70bb7541e</t>
  </si>
  <si>
    <t>765d7cb8</t>
  </si>
  <si>
    <t>078-c4.c4</t>
  </si>
  <si>
    <t>ea1b6d7c9d5ef3a9b48968bde5a52d5699d591cc</t>
  </si>
  <si>
    <t>9d87e761</t>
  </si>
  <si>
    <t>078-c3.c3</t>
  </si>
  <si>
    <t>e089df9c9a9645f706e501108d634f4d222622a2</t>
  </si>
  <si>
    <t>b6d25419</t>
  </si>
  <si>
    <t>078-c2.c2</t>
  </si>
  <si>
    <t>b96c18a41c34070a4f24ca77cb7516fae8b0fd0c</t>
  </si>
  <si>
    <t>c890c7c0</t>
  </si>
  <si>
    <t>078-c1.c1</t>
  </si>
  <si>
    <t>218b7079c90898e7faa382b386e77f81f415e7ac</t>
  </si>
  <si>
    <t>70bca656</t>
  </si>
  <si>
    <t>078-v3.v3</t>
  </si>
  <si>
    <t>f60b1f8a3a945f279a582745e82f37278ce5d83b</t>
  </si>
  <si>
    <t>6a8e78c2</t>
  </si>
  <si>
    <t>078-v2.v2</t>
  </si>
  <si>
    <t>e16dfac09aef8115a20bae0bef8c86d4e7d0dc4a</t>
  </si>
  <si>
    <t>e3b735ac</t>
  </si>
  <si>
    <t>078-v1.v1</t>
  </si>
  <si>
    <t>7c44d1dbd4f8d337c99e90361d1dab837df85e31</t>
  </si>
  <si>
    <t>8e9e3b10</t>
  </si>
  <si>
    <t>078-m1.m1</t>
  </si>
  <si>
    <t>da908bffc2b5d8baa2002dbb5bfb3aa17d2472b7</t>
  </si>
  <si>
    <t>72f8923e</t>
  </si>
  <si>
    <t>078-s1.s1</t>
  </si>
  <si>
    <t>ギャラクシーファイト ユニバーサル ウォリアーズ</t>
  </si>
  <si>
    <t>19950124 (MVS), 19950225 (AES)</t>
  </si>
  <si>
    <t>cdcd96a564acf42e959193e139e149b29c103e25</t>
  </si>
  <si>
    <t>45906309</t>
  </si>
  <si>
    <t>078-p1.p1</t>
  </si>
  <si>
    <t>NGM-078 (MVS), NGH-078 (AES)</t>
  </si>
  <si>
    <t>Galaxy Fight - Universal Warriors</t>
  </si>
  <si>
    <t>galaxyfg</t>
  </si>
  <si>
    <t>cd63961d88c5be84673cce83c683a86b222a064d</t>
  </si>
  <si>
    <t>4b1c089b</t>
  </si>
  <si>
    <t>076-c4.c4</t>
  </si>
  <si>
    <t>643bd1ad74af272795b02143ba80a76e375036ab</t>
  </si>
  <si>
    <t>d06431e3</t>
  </si>
  <si>
    <t>076-c3.c3</t>
  </si>
  <si>
    <t>1895cd0d126a022bce1cc4c7a569032d89f35e3f</t>
  </si>
  <si>
    <t>09233884</t>
  </si>
  <si>
    <t>076-c2.c2</t>
  </si>
  <si>
    <t>c0b52b32e1fa719b99ae242d61d5dbea1437331c</t>
  </si>
  <si>
    <t>4d9cb038</t>
  </si>
  <si>
    <t>076-c1.c1</t>
  </si>
  <si>
    <t>b9a4b34565ce3688495c47e35c9b888ef686ae9f</t>
  </si>
  <si>
    <t>b90658fa</t>
  </si>
  <si>
    <t>076-v3.v3</t>
  </si>
  <si>
    <t>5a3405e833ce36abb7421190438b5cccc8537919</t>
  </si>
  <si>
    <t>b61686c3</t>
  </si>
  <si>
    <t>076-v2.v2</t>
  </si>
  <si>
    <t>4793ab06421228ad122e359653ed0f1339b90c7a</t>
  </si>
  <si>
    <t>1a21d90c</t>
  </si>
  <si>
    <t>076-v1.v1</t>
  </si>
  <si>
    <t>4a301781a57ff236f49492b576ff4858b0ffbdf8</t>
  </si>
  <si>
    <t>7b5f3d0a</t>
  </si>
  <si>
    <t>076-m1.m1</t>
  </si>
  <si>
    <t>作戦名ラグナロク</t>
  </si>
  <si>
    <t>8ec9026219f393930634f9170edbaaee479f875e</t>
  </si>
  <si>
    <t>f4c25dd5</t>
  </si>
  <si>
    <t>076-s1.s1</t>
  </si>
  <si>
    <t>19940913</t>
  </si>
  <si>
    <t>485c2308a40baecd122be9ab4996044622bdcc7e</t>
  </si>
  <si>
    <t>d7c1effd</t>
  </si>
  <si>
    <t>076-p1.p1</t>
  </si>
  <si>
    <t>NGM-076</t>
  </si>
  <si>
    <t>NMK</t>
  </si>
  <si>
    <t>Zed Blade / Operation Ragnarok</t>
  </si>
  <si>
    <t>zedblade</t>
  </si>
  <si>
    <t>e29c5ae65ebdcc1167a894306d2446ce909639da</t>
  </si>
  <si>
    <t>1f777206</t>
  </si>
  <si>
    <t>075-c4.c4</t>
  </si>
  <si>
    <t>b3751c5b426bca0fcc3a58bdb86712c22ef908ab</t>
  </si>
  <si>
    <t>c1b438f1</t>
  </si>
  <si>
    <t>075-c3.c3</t>
  </si>
  <si>
    <t>ca72fff7a908b6d9325761079ff2a0e28f34cf89</t>
  </si>
  <si>
    <t>fe6355d6</t>
  </si>
  <si>
    <t>075-c2.c2</t>
  </si>
  <si>
    <t>d9e6c8a3a5213690a1b8747d27806d8ac5aac405</t>
  </si>
  <si>
    <t>3278e73e</t>
  </si>
  <si>
    <t>075-c1.c1</t>
  </si>
  <si>
    <t>8a24e38f1d4982c4dcd82718995571ac94cbb390</t>
  </si>
  <si>
    <t>021760cd</t>
  </si>
  <si>
    <t>075-v2.v2</t>
  </si>
  <si>
    <t>3ba9f11094dd0cf519f33a16016cfae0d2c6629c</t>
  </si>
  <si>
    <t>7577e949</t>
  </si>
  <si>
    <t>075-v1.v1</t>
  </si>
  <si>
    <t>eab8e2868173bdaac7c7ed97305a9aa1033fd303</t>
  </si>
  <si>
    <t>bb828df1</t>
  </si>
  <si>
    <t>075-m1.m1</t>
  </si>
  <si>
    <t>574e1afe7e0d54610c145131106e59ba2894eeb7</t>
  </si>
  <si>
    <t>c9eec367</t>
  </si>
  <si>
    <t>075-s1.s1</t>
  </si>
  <si>
    <t>ソニックウイングス2</t>
  </si>
  <si>
    <t>19940718 (MVS), 19940826 (AES)</t>
  </si>
  <si>
    <t>fed040a7c1ff9e495109813a702d09fb1d2ecf3a</t>
  </si>
  <si>
    <t>92871738</t>
  </si>
  <si>
    <t>075-p1.p1</t>
  </si>
  <si>
    <t>NGM-075 (MVS), NGH-075 (AES)</t>
  </si>
  <si>
    <t>Aero Fighters 2 / Sonic Wings 2</t>
  </si>
  <si>
    <t>sonicwi2</t>
  </si>
  <si>
    <t>d4583fbce361fd1a11ac6c1a27b0b669e8a5c718</t>
  </si>
  <si>
    <t>14e7ad71</t>
  </si>
  <si>
    <t>074-c8.c8</t>
  </si>
  <si>
    <t>78407a464f67d949933ce2ccaa23fbed80dff1ea</t>
  </si>
  <si>
    <t>ac7daa01</t>
  </si>
  <si>
    <t>074-c7.c7</t>
  </si>
  <si>
    <t>dd6580227743e6a3db4950456ebe870008e022b2</t>
  </si>
  <si>
    <t>73e8e7e0</t>
  </si>
  <si>
    <t>074-c6.c6</t>
  </si>
  <si>
    <t>0399c53e2a3d721901dddc073fda6ec22e02dfd4</t>
  </si>
  <si>
    <t>c74c5e51</t>
  </si>
  <si>
    <t>074-c5.c5</t>
  </si>
  <si>
    <t>a88505e001e01bb45fb26beda5af24943d02552a</t>
  </si>
  <si>
    <t>48db3e0a</t>
  </si>
  <si>
    <t>074-c4.c4</t>
  </si>
  <si>
    <t>bebd18a75adeb34c3bbd49cfc8fd3d8c2bf9e475</t>
  </si>
  <si>
    <t>7fff4d41</t>
  </si>
  <si>
    <t>074-c3.c3</t>
  </si>
  <si>
    <t>737f2d707d504df1da1ca5c5cf61cf489a33eb56</t>
  </si>
  <si>
    <t>203f6074</t>
  </si>
  <si>
    <t>074-c2.c2</t>
  </si>
  <si>
    <t>adfff7b8836347abf030611563e6068a91164d0a</t>
  </si>
  <si>
    <t>a0b39344</t>
  </si>
  <si>
    <t>074-c1.c1</t>
  </si>
  <si>
    <t>ff65af61e42b79a75060a352b24077d1fa28c83f</t>
  </si>
  <si>
    <t>a9da86e9</t>
  </si>
  <si>
    <t>074-v2.v2</t>
  </si>
  <si>
    <t>29f4facf89d551237b31bf779693cbbbc94e1ede</t>
  </si>
  <si>
    <t>7675b8fa</t>
  </si>
  <si>
    <t>074-v1.v1</t>
  </si>
  <si>
    <t>ef913a9a55d29d5dd3beab1ce6039d64ce9b1a5b</t>
  </si>
  <si>
    <t>5a52a9d1</t>
  </si>
  <si>
    <t>074-m1.m1</t>
  </si>
  <si>
    <t>47725a8059346ebe5639bbdbf62a2ac8028756a9</t>
  </si>
  <si>
    <t>96148d2b</t>
  </si>
  <si>
    <t>074-s1.s1</t>
  </si>
  <si>
    <t>痛快 ガンガン 行進曲</t>
  </si>
  <si>
    <t>19940726 (MVS), 19940826 (AES)</t>
  </si>
  <si>
    <t>ca4d561ee08d16fe6804249d1ba49188eb3bd606</t>
  </si>
  <si>
    <t>62369553</t>
  </si>
  <si>
    <t>074-p1.p1</t>
  </si>
  <si>
    <t>NGM-074 / ADM-008 (MVS) ~ NGH-074 / ADH-008 (AES)</t>
  </si>
  <si>
    <t>Aggressors of Dark Kombat / Tsuukai GANGAN Koushinkyoku (ADM-008 ~ ADH-008)</t>
  </si>
  <si>
    <t>aodk</t>
  </si>
  <si>
    <t>548a418c81af79cd7ab6ad165b8d6daee30abb49</t>
  </si>
  <si>
    <t>e15a093b</t>
  </si>
  <si>
    <t>073-c2.c2</t>
  </si>
  <si>
    <t>e17d8f57b8ebee14b8e705374b34abe928937258</t>
  </si>
  <si>
    <t>8582e1b5</t>
  </si>
  <si>
    <t>073-c1.c1</t>
  </si>
  <si>
    <t>19c168e9a6cadcbed79033c320bcf3a45f846daf</t>
  </si>
  <si>
    <t>082adfc7</t>
  </si>
  <si>
    <t>073-v2.v2</t>
  </si>
  <si>
    <t>aa4234d22157060e0ba97a09c4e85c5276b74099</t>
  </si>
  <si>
    <t>7fc86d2f</t>
  </si>
  <si>
    <t>073-v1.v1</t>
  </si>
  <si>
    <t>6d8365a946fbd0b7c7b896536322638d80f6a764</t>
  </si>
  <si>
    <t>3cdf5d88</t>
  </si>
  <si>
    <t>073-m1.m1</t>
  </si>
  <si>
    <t>ボンバーマン　パニックボンバー</t>
  </si>
  <si>
    <t>910347d7657470da914fb0a6b0ea02891e13c081</t>
  </si>
  <si>
    <t>b876de7e</t>
  </si>
  <si>
    <t>073-s1.s1</t>
  </si>
  <si>
    <t>19950118</t>
  </si>
  <si>
    <t>801e0a54b65d7a3500e6cef2d6bba40c6356dc1f</t>
  </si>
  <si>
    <t>adc356ad</t>
  </si>
  <si>
    <t>073-p1.p1</t>
  </si>
  <si>
    <t>NGM-073?</t>
  </si>
  <si>
    <t>Eighting / Hudson</t>
  </si>
  <si>
    <t>Panic Bomber</t>
  </si>
  <si>
    <t>panicbom</t>
  </si>
  <si>
    <t>06286bf043d50199b47df9a76ca91f39cb28cb90</t>
  </si>
  <si>
    <t>70156dde</t>
  </si>
  <si>
    <t>070-c2.c2</t>
  </si>
  <si>
    <t>9be54532332a8e963ec35ff1e518947bb11ebade</t>
  </si>
  <si>
    <t>f8ad02d8</t>
  </si>
  <si>
    <t>070-c1.c1</t>
  </si>
  <si>
    <t>4a4a227e10f4af58168f6c26011ea1d414253f92</t>
  </si>
  <si>
    <t>d3a7e1ff</t>
  </si>
  <si>
    <t>070-v1.v1</t>
  </si>
  <si>
    <t>fa9a9930e18c64e598841fb344c4471d3d2c1964</t>
  </si>
  <si>
    <t>5a3b3191</t>
  </si>
  <si>
    <t>070-epr.m1</t>
  </si>
  <si>
    <t>cmc42_zupapa</t>
  </si>
  <si>
    <t>49cddec9ca6cc51e5ecf8a34e447a23e1f8a15a1</t>
  </si>
  <si>
    <t>5a96203e</t>
  </si>
  <si>
    <t>070-p1.p1</t>
  </si>
  <si>
    <t>ズパパ！</t>
  </si>
  <si>
    <t>Zupapa!</t>
  </si>
  <si>
    <t>zupapa</t>
  </si>
  <si>
    <t>6d496c549dba65caabeaffe5b762e86f9d648a26</t>
  </si>
  <si>
    <t>69210441</t>
  </si>
  <si>
    <t>069-c6.c6</t>
  </si>
  <si>
    <t>7e4c8ee9dd8d9a25ff183d9d8b05f38769348bc7</t>
  </si>
  <si>
    <t>b3ec6fa6</t>
  </si>
  <si>
    <t>069-c5.c5</t>
  </si>
  <si>
    <t>e9550ec547b4f605afed996b22d711f49b48fa92</t>
  </si>
  <si>
    <t>581c5304</t>
  </si>
  <si>
    <t>069-v3.v3</t>
  </si>
  <si>
    <t>a40c74f793900b8542f0b8383ce4bf46fca112d4</t>
  </si>
  <si>
    <t>fce72926</t>
  </si>
  <si>
    <t>069-m1.m1</t>
  </si>
  <si>
    <t>b7d2cc97da4f30ddebc7b801f5e1d17d2306b2db</t>
  </si>
  <si>
    <t>0b33a800</t>
  </si>
  <si>
    <t>069-s1.s1</t>
  </si>
  <si>
    <t>餓狼伝説3 ―遥かなる闘い―</t>
  </si>
  <si>
    <t>8ece7f663cfe8e563576a397e41161d392cee67e</t>
  </si>
  <si>
    <t>dbe963ed</t>
  </si>
  <si>
    <t>069-sp2.sp2</t>
  </si>
  <si>
    <t>19950327 (MVS), 19950421 (AES)</t>
  </si>
  <si>
    <t>519c4861151797e5f4d4f33432b83dfabed8e7c4</t>
  </si>
  <si>
    <t>a8bcfbbc</t>
  </si>
  <si>
    <t>069-p1.p1</t>
  </si>
  <si>
    <t>NGM-069 (MVS), NGH-069 (AES)</t>
  </si>
  <si>
    <t>Fatal Fury 3 - Road to the Final Victory / Garou Densetsu 3 - Haruka-naru Tatakai (NGM-069 ~ NGH-069)</t>
  </si>
  <si>
    <t>fatfury3</t>
  </si>
  <si>
    <t>b40c57fb4be93ac0b918829f88393ced3d4f8bde</t>
  </si>
  <si>
    <t>a6722604</t>
  </si>
  <si>
    <t>068-c6.c6</t>
  </si>
  <si>
    <t>f2690a3fe9c64f70f283df785a5217d5b92a289f</t>
  </si>
  <si>
    <t>151dd624</t>
  </si>
  <si>
    <t>068-c5.c5</t>
  </si>
  <si>
    <t>d74302f38c59055bfc83b39dff798a585314fecd</t>
  </si>
  <si>
    <t>81ff05aa</t>
  </si>
  <si>
    <t>068-v3.v3</t>
  </si>
  <si>
    <t>27b298e7d50981331e17aa642e2e363ffac4333a</t>
  </si>
  <si>
    <t>b1c7911e</t>
  </si>
  <si>
    <t>068-mg1.m1</t>
  </si>
  <si>
    <t>パワースパイクスII</t>
  </si>
  <si>
    <t>efe93fabe6a76a5dc8cf12f255e571480afb40a0</t>
  </si>
  <si>
    <t>18082299</t>
  </si>
  <si>
    <t>068-sg1.s1</t>
  </si>
  <si>
    <t>19941019</t>
  </si>
  <si>
    <t>2ee51defa1c24c66c63a6498ee542ac26de3cfbb</t>
  </si>
  <si>
    <t>105a408f</t>
  </si>
  <si>
    <t>068-pg1.p1</t>
  </si>
  <si>
    <t>NGM-068</t>
  </si>
  <si>
    <t>Power Spikes II (NGM-068)</t>
  </si>
  <si>
    <t>pspikes2</t>
  </si>
  <si>
    <t>68a43c12f63f5e98d68ad0902a6551c5d30f8543</t>
  </si>
  <si>
    <t>9db64084</t>
  </si>
  <si>
    <t>067-c2.c2</t>
  </si>
  <si>
    <t>e4b24670ccc7901af5f66b11b15fae4e67f843ab</t>
  </si>
  <si>
    <t>35866126</t>
  </si>
  <si>
    <t>067-c1.c1</t>
  </si>
  <si>
    <t>10f87014ee10613f92b04f482f449721a6379db7</t>
  </si>
  <si>
    <t>cf23afd0</t>
  </si>
  <si>
    <t>067-v1.v1</t>
  </si>
  <si>
    <t>17e8479c258f28a01d2283be9e692ff7685898cc</t>
  </si>
  <si>
    <t>9e3c6328</t>
  </si>
  <si>
    <t>067-m1.m1</t>
  </si>
  <si>
    <t>ぐるりん</t>
  </si>
  <si>
    <t>f63a68a71aea220d3d4475847652e2a1f68b2b6f</t>
  </si>
  <si>
    <t>b119e1eb</t>
  </si>
  <si>
    <t>067-s1.s1</t>
  </si>
  <si>
    <t>19940525</t>
  </si>
  <si>
    <t>cea4a35db8de898e30eb40dd339b3cbe77ac0856</t>
  </si>
  <si>
    <t>4cea8a49</t>
  </si>
  <si>
    <t>067-p1.p1</t>
  </si>
  <si>
    <t>NGM-067</t>
  </si>
  <si>
    <t>Gururin</t>
  </si>
  <si>
    <t>gururin</t>
  </si>
  <si>
    <t>7cf5583e6610bcdc3b332896cefc71df84fb3f19</t>
  </si>
  <si>
    <t>c15c01ed</t>
  </si>
  <si>
    <t>066-c6.c6</t>
  </si>
  <si>
    <t>19723e1f7ff429e8a038d89488b279f830dfaf6e</t>
  </si>
  <si>
    <t>9a28785d</t>
  </si>
  <si>
    <t>066-c5.c5</t>
  </si>
  <si>
    <t>865d9ccfc3df517c341d6aac16120f6b6aa759fe</t>
  </si>
  <si>
    <t>cb3dc5f4</t>
  </si>
  <si>
    <t>066-c4.c4</t>
  </si>
  <si>
    <t>d138f5b38fd65c61549ce36f5c4983f7c8a3e7f6</t>
  </si>
  <si>
    <t>a673b4f7</t>
  </si>
  <si>
    <t>066-c3.c3</t>
  </si>
  <si>
    <t>addb4fbc30da2b8ffc86819d92a874eb232f67dd</t>
  </si>
  <si>
    <t>e0f6682a</t>
  </si>
  <si>
    <t>066-c2.c2</t>
  </si>
  <si>
    <t>ca4c0f0ce80967b4be2f18b72435c468bbfbac4c</t>
  </si>
  <si>
    <t>09dfe061</t>
  </si>
  <si>
    <t>066-c1.c1</t>
  </si>
  <si>
    <t>34e7d4f6db053674a7e8c8b2e3e398777d5b02e6</t>
  </si>
  <si>
    <t>0b7ea37a</t>
  </si>
  <si>
    <t>066-v1.v1</t>
  </si>
  <si>
    <t>ceb6ee6c09514504efacdbca7b280901e4c97084</t>
  </si>
  <si>
    <t>030beae4</t>
  </si>
  <si>
    <t>066-m1.m1</t>
  </si>
  <si>
    <t>ファイターズヒストリー・ダイナマイト</t>
  </si>
  <si>
    <t>aa69d9b235b781ec51f72a528fada9cb12e72cbc</t>
  </si>
  <si>
    <t>bae5d5e5</t>
  </si>
  <si>
    <t>066-s1.s1</t>
  </si>
  <si>
    <t>19940317 (MVS), 19940428 (AES)</t>
  </si>
  <si>
    <t>8cf97c6fb9c5717167ccc54bf5856248ccaf32c6</t>
  </si>
  <si>
    <t>8c86fd22</t>
  </si>
  <si>
    <t>066-p1.p1</t>
  </si>
  <si>
    <t>NGM-066 (MVS), NGH-066 (AES)</t>
  </si>
  <si>
    <t>Karnov's Revenge / Fighter's History Dynamite</t>
  </si>
  <si>
    <t>karnovr</t>
  </si>
  <si>
    <t>ac8b8b01f5c7384b883afbe0cf977430378e3fef</t>
  </si>
  <si>
    <t>715e15ff</t>
  </si>
  <si>
    <t>065-c4.c4</t>
  </si>
  <si>
    <t>65795a50197049681265946713d416c9cdb68f08</t>
  </si>
  <si>
    <t>40986386</t>
  </si>
  <si>
    <t>065-c3.c3</t>
  </si>
  <si>
    <t>fad1f64061eac1bf85bf6d75d2eae974a8c94069</t>
  </si>
  <si>
    <t>d9f3e71d</t>
  </si>
  <si>
    <t>065-c2.c2</t>
  </si>
  <si>
    <t>42918d700d59864f8ab15caf968a062a563c9b09</t>
  </si>
  <si>
    <t>c7650204</t>
  </si>
  <si>
    <t>065-c1.c1</t>
  </si>
  <si>
    <t>f8e6de73d65dd80b29c711f00835a574a770cb4e</t>
  </si>
  <si>
    <t>5dee7963</t>
  </si>
  <si>
    <t>065-v4.v4</t>
  </si>
  <si>
    <t>ec57cd58e7f8569cff925d11e2320d588ce4fe49</t>
  </si>
  <si>
    <t>39f73061</t>
  </si>
  <si>
    <t>065-v3.v3</t>
  </si>
  <si>
    <t>62f40365212153bc3b92a1187fa44f6cdc7f7b83</t>
  </si>
  <si>
    <t>659f9b96</t>
  </si>
  <si>
    <t>065-v2.v2</t>
  </si>
  <si>
    <t>7d75e2a5cf8c90be422f8b425447e81597fe145a</t>
  </si>
  <si>
    <t>ce8b3698</t>
  </si>
  <si>
    <t>065-v1.v1</t>
  </si>
  <si>
    <t>809a7e072ad9acbffc25e9bd27cdb97638d09d07</t>
  </si>
  <si>
    <t>52c23cfc</t>
  </si>
  <si>
    <t>065-m1.m1</t>
  </si>
  <si>
    <t>フライングパワーディスク</t>
  </si>
  <si>
    <t>86d3b3bb5414f43e4d3b7a2af0db23cc71ce8412</t>
  </si>
  <si>
    <t>074b5723</t>
  </si>
  <si>
    <t>065-s1.s1</t>
  </si>
  <si>
    <t>19940217 (MVS), 19940408 (AES)</t>
  </si>
  <si>
    <t>5da574e906974fac92bb2f49bdeea257c014a897</t>
  </si>
  <si>
    <t>6692c140</t>
  </si>
  <si>
    <t>065-p1.p1</t>
  </si>
  <si>
    <t>NGM-065 (MVS), NGH-065 (AES)</t>
  </si>
  <si>
    <t>Windjammers / Flying Power Disc</t>
  </si>
  <si>
    <t>wjammers</t>
  </si>
  <si>
    <t>b5f0a2f04489539ed6b9d0810b12787356c64b23</t>
  </si>
  <si>
    <t>526b81ab</t>
  </si>
  <si>
    <t>064-c2.c2</t>
  </si>
  <si>
    <t>e713ec7839a7665edee6ee3f82a6e530b3b4bd7c</t>
  </si>
  <si>
    <t>2ec87cea</t>
  </si>
  <si>
    <t>064-c1.c1</t>
  </si>
  <si>
    <t>35c22b15bb0a4d0ab118cb22a2d450d03995a17c</t>
  </si>
  <si>
    <t>aa277109</t>
  </si>
  <si>
    <t>064-v1.v1</t>
  </si>
  <si>
    <t>09478787045f1448d19d064dd3d540d1741fd619</t>
  </si>
  <si>
    <t>d2eec9d3</t>
  </si>
  <si>
    <t>064-m1.m1</t>
  </si>
  <si>
    <t>5e33f469982f12d4622a06d323a345f192bf88e6</t>
  </si>
  <si>
    <t>2a03998a</t>
  </si>
  <si>
    <t>064-s1.s1</t>
  </si>
  <si>
    <t>ワールドヒーローズ2ジェット</t>
  </si>
  <si>
    <t>19940426 (MVS), 19940610 (AES)</t>
  </si>
  <si>
    <t>cfde4a1aeae038a3d6ca9946065624f097682d3d</t>
  </si>
  <si>
    <t>385a2e86</t>
  </si>
  <si>
    <t>064-p1.p1</t>
  </si>
  <si>
    <t>NGM-064 / ADM-007 (MVS) ~ NGH-064 / ADH-007 (AES)</t>
  </si>
  <si>
    <t>World Heroes 2 Jet (ADM-007 ~ ADH-007)</t>
  </si>
  <si>
    <t>wh2j</t>
  </si>
  <si>
    <t>acea18aca76c072e0bac2a364fc96d49cfc86e77</t>
  </si>
  <si>
    <t>1ffc6dfa</t>
  </si>
  <si>
    <t>063-c8.c8</t>
  </si>
  <si>
    <t>e54f9022359963711451c2025825b862d36c6975</t>
  </si>
  <si>
    <t>2df3cbcf</t>
  </si>
  <si>
    <t>063-c7.c7</t>
  </si>
  <si>
    <t>cc8a7d11daa3821f83a6fd0942534706f939e576</t>
  </si>
  <si>
    <t>ae4c0a88</t>
  </si>
  <si>
    <t>063-c6.c6</t>
  </si>
  <si>
    <t>28da44a136bd14c73c62c147c3f6e6bcfa1066de</t>
  </si>
  <si>
    <t>20d3a475</t>
  </si>
  <si>
    <t>063-c5.c5</t>
  </si>
  <si>
    <t>e1bbaa7cd67fd04e4aab7f7ea77f63ae1cbc90d0</t>
  </si>
  <si>
    <t>751025ce</t>
  </si>
  <si>
    <t>063-c4.c4</t>
  </si>
  <si>
    <t>49d97c543bc2860d493a353ab0d059088c6fbd21</t>
  </si>
  <si>
    <t>7a63ccc7</t>
  </si>
  <si>
    <t>063-c3.c3</t>
  </si>
  <si>
    <t>179dc81432424d68cefedd20cc1c4b2a95deb891</t>
  </si>
  <si>
    <t>cdfcc4ca</t>
  </si>
  <si>
    <t>063-c2.c2</t>
  </si>
  <si>
    <t>0d04336f7c436d74638d8c1cd8651faf436a6bec</t>
  </si>
  <si>
    <t>86cd307c</t>
  </si>
  <si>
    <t>063-c1.c1</t>
  </si>
  <si>
    <t>10ee4c5b3579865b93dcc1e4079963276aa700a6</t>
  </si>
  <si>
    <t>24aab4bb</t>
  </si>
  <si>
    <t>063-v4.v4</t>
  </si>
  <si>
    <t>1da7f081f8b8fc86a91feacf900f573218d82676</t>
  </si>
  <si>
    <t>d07fa5ca</t>
  </si>
  <si>
    <t>063-v3.v3</t>
  </si>
  <si>
    <t>0be6c53acac44802bf70b6925452f70289a139d9</t>
  </si>
  <si>
    <t>0142bde8</t>
  </si>
  <si>
    <t>063-v2.v2</t>
  </si>
  <si>
    <t>a373ebef4c33ba1d8340e826981a58769aada238</t>
  </si>
  <si>
    <t>37703f91</t>
  </si>
  <si>
    <t>063-v1.v1</t>
  </si>
  <si>
    <t>90429fc40d056d480d0e2bbefbc691d9fa260fc4</t>
  </si>
  <si>
    <t>56675098</t>
  </si>
  <si>
    <t>063-m1.m1</t>
  </si>
  <si>
    <t>240c6a1c52edebb49cc99ea08484c6a2d61ebf84</t>
  </si>
  <si>
    <t>ff08f80b</t>
  </si>
  <si>
    <t>063-s1-kan.s1</t>
  </si>
  <si>
    <t>samsho2</t>
  </si>
  <si>
    <t>8e22305f41a0688786ff55437c25948e6c8fda58</t>
  </si>
  <si>
    <t>147cc6d7</t>
  </si>
  <si>
    <t>063-p1-kan.p1</t>
  </si>
  <si>
    <t>Saulabi Spirits / Jin Saulabi Tu Hon (Korean release of Samurai Shodown II, set 2)</t>
  </si>
  <si>
    <t>samsho2ka</t>
  </si>
  <si>
    <t>387737e87a68d0ea4fd13693f1f30d3227a17c82</t>
  </si>
  <si>
    <t>70b1a4d9</t>
  </si>
  <si>
    <t>063-ep2-kan.ep2</t>
  </si>
  <si>
    <t>94f56759ec04ab3a1e557bc2dc51b92176b3c147</t>
  </si>
  <si>
    <t>fa32e2d8</t>
  </si>
  <si>
    <t>063-ep1-kan.ep1</t>
  </si>
  <si>
    <t>Saulabi Spirits / Jin Saulabi Tu Hon (Korean release of Samurai Shodown II, set 1)</t>
  </si>
  <si>
    <t>samsho2k</t>
  </si>
  <si>
    <t>12cdfb27bf9ccd5a8df6ddd4628ef7cf2c6d4964</t>
  </si>
  <si>
    <t>64a5cd66</t>
  </si>
  <si>
    <t>063-s1.s1</t>
  </si>
  <si>
    <t>真 サムライスピリッツ 覇王丸地獄変</t>
  </si>
  <si>
    <t>19941028 (MVS), 19941202 (AES)</t>
  </si>
  <si>
    <t>0997f8284aa0f57a333be8a0fdea777d0d01afd6</t>
  </si>
  <si>
    <t>22368892</t>
  </si>
  <si>
    <t>063-p1.p1</t>
  </si>
  <si>
    <t>NGM-063 (MVS), NGH-063 (AES)</t>
  </si>
  <si>
    <t>Samurai Shodown II / Shin Samurai Spirits - Haohmaru Jigokuhen (NGM-063 ~ NGH-063)</t>
  </si>
  <si>
    <t>e7097cfa26a959f90721e2e8368ceb47ea9db661</t>
  </si>
  <si>
    <t>8d7be933</t>
  </si>
  <si>
    <t>0x600001</t>
  </si>
  <si>
    <t>062-c8.c8</t>
  </si>
  <si>
    <t>cce11c4cf39ac60143235ff89261806df339dae5</t>
  </si>
  <si>
    <t>bb2fd7c0</t>
  </si>
  <si>
    <t>062-c7.c7</t>
  </si>
  <si>
    <t>5899ef5dfcdbb8cf8c6aba748dbb52f3c5fed5fe</t>
  </si>
  <si>
    <t>cde5ade5</t>
  </si>
  <si>
    <t>062-c6.c6</t>
  </si>
  <si>
    <t>0d4cd5006baa8d951cd2b6194ace566fa2845b8a</t>
  </si>
  <si>
    <t>7babd692</t>
  </si>
  <si>
    <t>062-c5.c5</t>
  </si>
  <si>
    <t>f7c64b94ac20f5146f9bb48b53cb2b30fe5b8f8c</t>
  </si>
  <si>
    <t>38517e90</t>
  </si>
  <si>
    <t>062-c4.c4</t>
  </si>
  <si>
    <t>171953c7a870f3ab96e0f875117ee7343931fd38</t>
  </si>
  <si>
    <t>df51e465</t>
  </si>
  <si>
    <t>062-c3.c3</t>
  </si>
  <si>
    <t>a247f736fbca0b609818dca4844ebb8442753bc1</t>
  </si>
  <si>
    <t>0e73b758</t>
  </si>
  <si>
    <t>062-c2.c2</t>
  </si>
  <si>
    <t>69218d8f1361e9ea709da11e3f15fe46b1db7181</t>
  </si>
  <si>
    <t>a9375aa2</t>
  </si>
  <si>
    <t>062-c1.c1</t>
  </si>
  <si>
    <t>68be154b3e25f837afb4a477600dbe0ee69bec44</t>
  </si>
  <si>
    <t>cc281aef</t>
  </si>
  <si>
    <t>062-v1.v1</t>
  </si>
  <si>
    <t>08c89a8b746dbb10ff885b41cde344173c2e3699</t>
  </si>
  <si>
    <t>76108b2f</t>
  </si>
  <si>
    <t>062-m1.m1</t>
  </si>
  <si>
    <t>f52c7f2bffc89df3130b3cabd200408509a28cdc</t>
  </si>
  <si>
    <t>289e2bbe</t>
  </si>
  <si>
    <t>062-s1.s1</t>
  </si>
  <si>
    <t>ミラクルアドベンチャー</t>
  </si>
  <si>
    <t>4944be04648296d0b93cfe4c5ca7b9cede072cff</t>
  </si>
  <si>
    <t>f025ab77</t>
  </si>
  <si>
    <t>062-p2.sp2</t>
  </si>
  <si>
    <t>19931216 (MVS), 19940218 (AES)</t>
  </si>
  <si>
    <t>1a2ab9593371cc2f665121d554eec3f6bb4d09ff</t>
  </si>
  <si>
    <t>37aba1aa</t>
  </si>
  <si>
    <t>062-p1.p1</t>
  </si>
  <si>
    <t>NGM-062 (MVS), NGH-062 (AES)</t>
  </si>
  <si>
    <t>1993</t>
  </si>
  <si>
    <t>Spin Master / Miracle Adventure</t>
  </si>
  <si>
    <t>spinmast</t>
  </si>
  <si>
    <t>228f41eaefdf3e147761f8ef849e3b5f321877d4</t>
  </si>
  <si>
    <t>c0be9a1f</t>
  </si>
  <si>
    <t>061-c4-16.c4</t>
  </si>
  <si>
    <t>75e1019dca8a8583afcc53651ac856cba3a96315</t>
  </si>
  <si>
    <t>2a7b98b9</t>
  </si>
  <si>
    <t>061-c3-16.c3</t>
  </si>
  <si>
    <t>7fa65538bd0a0a162e4d3e9f49913da59d915e02</t>
  </si>
  <si>
    <t>c3be42ae</t>
  </si>
  <si>
    <t>061-c2-16.c2</t>
  </si>
  <si>
    <t>d695f0dcb9480088b3a7c1488bd541b4c159528a</t>
  </si>
  <si>
    <t>a626474f</t>
  </si>
  <si>
    <t>061-c1-16.c1</t>
  </si>
  <si>
    <t>c39984c0ae0a8e76f1fc036344bbb83635c18937</t>
  </si>
  <si>
    <t>7cd63302</t>
  </si>
  <si>
    <t>061-v2.v2</t>
  </si>
  <si>
    <t>fc9da0ddc1ddd1f9ae1443a726815c25e9dc38ae</t>
  </si>
  <si>
    <t>f081c8d3</t>
  </si>
  <si>
    <t>061-v1.v1</t>
  </si>
  <si>
    <t>49686f615f109a02b4f23931f1c84fee13872ffd</t>
  </si>
  <si>
    <t>156f6951</t>
  </si>
  <si>
    <t>061-m1.m1</t>
  </si>
  <si>
    <t>得点王2</t>
  </si>
  <si>
    <t>de010f6fda3ddadb181fe37daa6105f22e78b970</t>
  </si>
  <si>
    <t>226d1b68</t>
  </si>
  <si>
    <t>061-s1.s1</t>
  </si>
  <si>
    <t>19940419 (MVS), 19940527 (AES)</t>
  </si>
  <si>
    <t>78abea880c125ec5a85bef6404478512a34b5513</t>
  </si>
  <si>
    <t>5969e0dc</t>
  </si>
  <si>
    <t>061-p1.p1</t>
  </si>
  <si>
    <t>NGM-061 (MVS), NGH-061 (AES)</t>
  </si>
  <si>
    <t>Super Sidekicks 2 - The World Championship / Tokuten Ou 2 - Real Fight Football (NGM-061 ~ NGH-061)</t>
  </si>
  <si>
    <t>ssideki2</t>
  </si>
  <si>
    <t>d608483b70d60e7aa0e41f25a8b3fed508129eb7</t>
  </si>
  <si>
    <t>026f3b62</t>
  </si>
  <si>
    <t>060-c4.c4</t>
  </si>
  <si>
    <t>c70be8b5cebf321afe4c3f5e9a12413c3077694a</t>
  </si>
  <si>
    <t>0956b437</t>
  </si>
  <si>
    <t>060-c3.c3</t>
  </si>
  <si>
    <t>5d39b077387ed6897ac075ede4a2aa94bb64545e</t>
  </si>
  <si>
    <t>c6649492</t>
  </si>
  <si>
    <t>060-c2.c2</t>
  </si>
  <si>
    <t>f8c16ab0248b60f3a62e0d4d65c456e2f8e4da49</t>
  </si>
  <si>
    <t>8908fff9</t>
  </si>
  <si>
    <t>060-c1.c1</t>
  </si>
  <si>
    <t>e8372303724284a750b706dc6bf7641e4c52bb95</t>
  </si>
  <si>
    <t>efcff7cf</t>
  </si>
  <si>
    <t>060-v2.v2</t>
  </si>
  <si>
    <t>0f53b8dd056f43b5d880628e8b74c2b27881ffac</t>
  </si>
  <si>
    <t>f417c215</t>
  </si>
  <si>
    <t>060-v1.v1</t>
  </si>
  <si>
    <t>999a1e784de18db3f1332b30bc425836ea6970be</t>
  </si>
  <si>
    <t>0b7c4e65</t>
  </si>
  <si>
    <t>060-m1.m1</t>
  </si>
  <si>
    <t>a23e4c4fd4ec11a7467ce41227c418b4dd1ef649</t>
  </si>
  <si>
    <t>d62a72e9</t>
  </si>
  <si>
    <t>060-s1.s1</t>
  </si>
  <si>
    <t>ファイトフィーバー</t>
  </si>
  <si>
    <t>4b8ed2e6f74579ea35a53e06ccac42d6905b0f51</t>
  </si>
  <si>
    <t>3032041b</t>
  </si>
  <si>
    <t>1.sp2</t>
  </si>
  <si>
    <t>19940628</t>
  </si>
  <si>
    <t>fightfev</t>
  </si>
  <si>
    <t>3eb663d3df7074e1cdf4c0e450a35c9cf55d8979</t>
  </si>
  <si>
    <t>2a104b50</t>
  </si>
  <si>
    <t>060-p1.p1</t>
  </si>
  <si>
    <t>NGM-060</t>
  </si>
  <si>
    <t>Viccom</t>
  </si>
  <si>
    <t>Fight Fever / Wang Jung Wang (set 2)</t>
  </si>
  <si>
    <t>fightfeva</t>
  </si>
  <si>
    <t>Fight Fever / Wang Jung Wang (set 1)</t>
  </si>
  <si>
    <t>698adcec0715c9e78b6286be38debf0ce28fd644</t>
  </si>
  <si>
    <t>3c2a3808</t>
  </si>
  <si>
    <t>059-c4.c4</t>
  </si>
  <si>
    <t>770adec719e63a30ebe9522cc7576caaca44f3b2</t>
  </si>
  <si>
    <t>3e4eba4b</t>
  </si>
  <si>
    <t>059-c3.c3</t>
  </si>
  <si>
    <t>7a311388315ea543babf872f62219fdc4d39d013</t>
  </si>
  <si>
    <t>eb6f1cdb</t>
  </si>
  <si>
    <t>059-v2.v2</t>
  </si>
  <si>
    <t>187be624abe8670503edb235ff21ae8fdc3866e0</t>
  </si>
  <si>
    <t>29992eba</t>
  </si>
  <si>
    <t>059-m1.m1</t>
  </si>
  <si>
    <t>55152cb9bd0403ae8656b93a6b1522dba5db6d1a</t>
  </si>
  <si>
    <t>e08978ca</t>
  </si>
  <si>
    <t>059-s1.s1</t>
  </si>
  <si>
    <t>風雲黙示録 格闘創世</t>
  </si>
  <si>
    <t>19950425 (MVS), 19950526 (AES)</t>
  </si>
  <si>
    <t>3179d2be59bf2de6918d506117cff50acf7e09f3</t>
  </si>
  <si>
    <t>01d4e9c0</t>
  </si>
  <si>
    <t>059-p1.p1</t>
  </si>
  <si>
    <t>NGM-059 (MVS), NGH-059 (AES)</t>
  </si>
  <si>
    <t>Savage Reign / Fu'un Mokushiroku - Kakutou Sousei</t>
  </si>
  <si>
    <t>savagere</t>
  </si>
  <si>
    <t>6180ceb5412a3e2e34e9513a3283b9f63087f747</t>
  </si>
  <si>
    <t>8ff1f43d</t>
  </si>
  <si>
    <t>058-c6.c6</t>
  </si>
  <si>
    <t>f3784178f90751990ea47a082a6aa869ee3566c9</t>
  </si>
  <si>
    <t>49c5e0bf</t>
  </si>
  <si>
    <t>058-c5.c5</t>
  </si>
  <si>
    <t>4e304646d954d5f7bbabc5d068e85de31d38830f</t>
  </si>
  <si>
    <t>4ad066ff</t>
  </si>
  <si>
    <t>058-c4.c4</t>
  </si>
  <si>
    <t>be057b0a3faeb76d5fff161d3e6fea8a26e11d2c</t>
  </si>
  <si>
    <t>6f7938d5</t>
  </si>
  <si>
    <t>058-c3.c3</t>
  </si>
  <si>
    <t>c093a4f93f13e07b276e28b30c2a14dda9135d8f</t>
  </si>
  <si>
    <t>11e6bf96</t>
  </si>
  <si>
    <t>058-c2.c2</t>
  </si>
  <si>
    <t>569d283638a132bc163faac2a9055497017ee0d2</t>
  </si>
  <si>
    <t>044ab13c</t>
  </si>
  <si>
    <t>058-c1.c1</t>
  </si>
  <si>
    <t>d1747f9460b965f6daf4f881ed4ecd04c5253434</t>
  </si>
  <si>
    <t>f9eb3d4a</t>
  </si>
  <si>
    <t>058-v3.v3</t>
  </si>
  <si>
    <t>29814fc21bbe30d37745c8918fab00c83a309be4</t>
  </si>
  <si>
    <t>ee080b10</t>
  </si>
  <si>
    <t>058-v2.v2</t>
  </si>
  <si>
    <t>05ac6a395d9bf9166925acca176a8d6129f533c8</t>
  </si>
  <si>
    <t>55d7ce84</t>
  </si>
  <si>
    <t>058-v1.v1</t>
  </si>
  <si>
    <t>cf9091c523c182aebfb928c91640b2d72fd70123</t>
  </si>
  <si>
    <t>ccc5186e</t>
  </si>
  <si>
    <t>058-m1.m1</t>
  </si>
  <si>
    <t>24083cfc97e720ac9e131c9fe37df57e27c49294</t>
  </si>
  <si>
    <t>2df03197</t>
  </si>
  <si>
    <t>058-s1.s1</t>
  </si>
  <si>
    <t>02861b0f230541becccc3df6a2c85dbe8733e7ce</t>
  </si>
  <si>
    <t>9f0c1e1a</t>
  </si>
  <si>
    <t>058-epr.ep1</t>
  </si>
  <si>
    <t>餓狼伝説 スペシャル</t>
  </si>
  <si>
    <t>b3428063031a2e5857da40a5d2ffa87fb550c1bb</t>
  </si>
  <si>
    <t>d7c71a6b</t>
  </si>
  <si>
    <t>058-p2.sp2</t>
  </si>
  <si>
    <t>19930916 (MVS), 19931222 (AES)</t>
  </si>
  <si>
    <t>fatfursp</t>
  </si>
  <si>
    <t>429b4bf43fb9b1082c15d645ca328f9d175b976b</t>
  </si>
  <si>
    <t>2f585ba2</t>
  </si>
  <si>
    <t>058-p1.p1</t>
  </si>
  <si>
    <t>NGM-058 (MVS), NGH-058 (AES)</t>
  </si>
  <si>
    <t>Fatal Fury Special / Garou Densetsu Special (NGM-058 ~ NGH-058, set 2)</t>
  </si>
  <si>
    <t>fatfurspa</t>
  </si>
  <si>
    <t>Fatal Fury Special / Garou Densetsu Special (NGM-058 ~ NGH-058, set 1)</t>
  </si>
  <si>
    <t>7d749c23a33d90fe50279e884540d71cf1aaaa6b</t>
  </si>
  <si>
    <t>b13d1de3</t>
  </si>
  <si>
    <t>057-c6.c6</t>
  </si>
  <si>
    <t>da7609fd467f2f4d71d92970f438a04d11ab1cc1</t>
  </si>
  <si>
    <t>b20354af</t>
  </si>
  <si>
    <t>057-c5.c5</t>
  </si>
  <si>
    <t>0f79c868a6a33ad25e38d842f30ec4440d809033</t>
  </si>
  <si>
    <t>8d96425e</t>
  </si>
  <si>
    <t>057-c4.c4</t>
  </si>
  <si>
    <t>4857687d156a9150a69b97d2729245a51c144a0c</t>
  </si>
  <si>
    <t>b725a219</t>
  </si>
  <si>
    <t>057-c3.c3</t>
  </si>
  <si>
    <t>0ee861a77850d378d03c1bf00b9692abd860c759</t>
  </si>
  <si>
    <t>a3999925</t>
  </si>
  <si>
    <t>057-c2.c2</t>
  </si>
  <si>
    <t>a2c17d0c91dd59528d8fa7fe110af8b20b25ff99</t>
  </si>
  <si>
    <t>21c6bb91</t>
  </si>
  <si>
    <t>057-c1.c1</t>
  </si>
  <si>
    <t>4c28b2b5998abaeaa5143f2f3a9ba52c6041f4f3</t>
  </si>
  <si>
    <t>c1317ff4</t>
  </si>
  <si>
    <t>057-v2.v2</t>
  </si>
  <si>
    <t>1bab988d74ea8fd12db201c257ec844622cf5f4e</t>
  </si>
  <si>
    <t>8877e301</t>
  </si>
  <si>
    <t>057-v1.v1</t>
  </si>
  <si>
    <t>982f92978671e4ee66630948e6bb7565b37b5dc0</t>
  </si>
  <si>
    <t>8fa3bc77</t>
  </si>
  <si>
    <t>057-m1.m1</t>
  </si>
  <si>
    <t>1f3f85e38b8552333261c04ae5af0d6e3b310622</t>
  </si>
  <si>
    <t>fcaeb3a4</t>
  </si>
  <si>
    <t>057-s1.s1</t>
  </si>
  <si>
    <t>ワールドヒーローズ2</t>
  </si>
  <si>
    <t>19930604</t>
  </si>
  <si>
    <t>wh2</t>
  </si>
  <si>
    <t>003f79cbff1383b59588ccee4b372027e506235c</t>
  </si>
  <si>
    <t>cde9aff5</t>
  </si>
  <si>
    <t>057-pg1.p</t>
  </si>
  <si>
    <t>ALH-006, ALH-006</t>
  </si>
  <si>
    <t>World Heroes 2 (ALH-006)</t>
  </si>
  <si>
    <t>wh2h</t>
  </si>
  <si>
    <t>19930426 (MVS), 19930604 (AES)</t>
  </si>
  <si>
    <t>ff8d5ccb0dd22c523902bb3db3c645583a335056</t>
  </si>
  <si>
    <t>65a891d9</t>
  </si>
  <si>
    <t>057-p1.p1</t>
  </si>
  <si>
    <t>NGM-057 / ALM-006 (MVS), NGH-057 / ALH-006 (AES)</t>
  </si>
  <si>
    <t>World Heroes 2 (ALM-006 ~ ALH-006)</t>
  </si>
  <si>
    <t>74a2fca994a5a93a5784a46c0f68193122456a09</t>
  </si>
  <si>
    <t>e546d7a8</t>
  </si>
  <si>
    <t>056-c8.c8</t>
  </si>
  <si>
    <t>79ee97e9ae811a51141b535633f90e1491209d54</t>
  </si>
  <si>
    <t>3f36df57</t>
  </si>
  <si>
    <t>056-c7.c7</t>
  </si>
  <si>
    <t>13ba7046cdd6863125f8284e60f102d4720af5a4</t>
  </si>
  <si>
    <t>31de68d3</t>
  </si>
  <si>
    <t>056-c6.c6</t>
  </si>
  <si>
    <t>9a75e3d63cb98d54f900dcfb3a03e21f3148d32f</t>
  </si>
  <si>
    <t>c3074137</t>
  </si>
  <si>
    <t>056-c5.c5</t>
  </si>
  <si>
    <t>59de86c513dc4e230ae25d9e3b7e84621b657b54</t>
  </si>
  <si>
    <t>db39b883</t>
  </si>
  <si>
    <t>056-c4.c4</t>
  </si>
  <si>
    <t>22e2d84aa0c095944190e249ce87ef50d3f7b8ce</t>
  </si>
  <si>
    <t>d2c88768</t>
  </si>
  <si>
    <t>056-c3.c3</t>
  </si>
  <si>
    <t>11925a41a53b53c6df4a5ebd28f98300950f743b</t>
  </si>
  <si>
    <t>5fd76b67</t>
  </si>
  <si>
    <t>056-c2.c2</t>
  </si>
  <si>
    <t>1eee81e02763d384bd1c10a6012473ca931e4093</t>
  </si>
  <si>
    <t>17b9cbd2</t>
  </si>
  <si>
    <t>056-c1.c1</t>
  </si>
  <si>
    <t>969273d1d11943e81560959359a2c4e69522af0e</t>
  </si>
  <si>
    <t>d168c301</t>
  </si>
  <si>
    <t>056-v3.v3</t>
  </si>
  <si>
    <t>df4da585203eea7554d3ce718eb107e9cb6a0254</t>
  </si>
  <si>
    <t>b710e2f2</t>
  </si>
  <si>
    <t>056-v2.v2</t>
  </si>
  <si>
    <t>ece2a50f5270d844d58401b1447d1d856d78ea45</t>
  </si>
  <si>
    <t>4628fde0</t>
  </si>
  <si>
    <t>056-v1.v1</t>
  </si>
  <si>
    <t>dddae733d87ce7c88ad2580a8f64cb6ff9572e67</t>
  </si>
  <si>
    <t>f27e9d52</t>
  </si>
  <si>
    <t>056-m1.m1</t>
  </si>
  <si>
    <t>aa4d28804ca602da776948b5f223ea89e427906b</t>
  </si>
  <si>
    <t>8b02638e</t>
  </si>
  <si>
    <t>056-s1.s1</t>
  </si>
  <si>
    <t>龍虎の拳2</t>
  </si>
  <si>
    <t>e72d15fba55f96be7b4fa29e705a7b78f56edf7d</t>
  </si>
  <si>
    <t>75d6301c</t>
  </si>
  <si>
    <t>056-epr.ep1</t>
  </si>
  <si>
    <t>19940311</t>
  </si>
  <si>
    <t>aof2</t>
  </si>
  <si>
    <t>ee42f3ca4516226b0088d0303ed28e3ecdabcd71</t>
  </si>
  <si>
    <t>a3b1d021</t>
  </si>
  <si>
    <t>056-p1.p1</t>
  </si>
  <si>
    <t>NGH-056</t>
  </si>
  <si>
    <t>Art of Fighting 2 / Ryuuko no Ken 2 (NGH-056)</t>
  </si>
  <si>
    <t>aof2a</t>
  </si>
  <si>
    <t>19940203</t>
  </si>
  <si>
    <t>NGM-056</t>
  </si>
  <si>
    <t>Art of Fighting 2 / Ryuuko no Ken 2 (NGM-056)</t>
  </si>
  <si>
    <t>a45c66836e4e3c77dfef9d4c6cc422cb59169149</t>
  </si>
  <si>
    <t>fe0a235d</t>
  </si>
  <si>
    <t>055-c8.c8</t>
  </si>
  <si>
    <t>ac91a0eab0753bee175ad40213a4ae5d38ed5b87</t>
  </si>
  <si>
    <t>62f66888</t>
  </si>
  <si>
    <t>055-c7.c7</t>
  </si>
  <si>
    <t>1e6e6202ee053a5261db889177ce3a087e078bda</t>
  </si>
  <si>
    <t>498da52c</t>
  </si>
  <si>
    <t>055-c6.c6</t>
  </si>
  <si>
    <t>8a5621c1b1f8267b9b9b6a14ab4944de542e1945</t>
  </si>
  <si>
    <t>ee759363</t>
  </si>
  <si>
    <t>055-c5.c5</t>
  </si>
  <si>
    <t>ec1fdcc944611408367bf5023d4ebe7edd9dfa88</t>
  </si>
  <si>
    <t>0b01765f</t>
  </si>
  <si>
    <t>055-c4.c4</t>
  </si>
  <si>
    <t>c594384bcd8b03beb8c595591505fecc44b185ac</t>
  </si>
  <si>
    <t>54f66254</t>
  </si>
  <si>
    <t>055-c3.c3</t>
  </si>
  <si>
    <t>237c2a3d059de00bfca66e0016ed325d7a32bfec</t>
  </si>
  <si>
    <t>15e096a7</t>
  </si>
  <si>
    <t>055-c2.c2</t>
  </si>
  <si>
    <t>e52f5303c17b50ce165c008be2837336369c110b</t>
  </si>
  <si>
    <t>b96ef460</t>
  </si>
  <si>
    <t>055-c1.c1</t>
  </si>
  <si>
    <t>34a31a37eb10945b5169e96321bcea06eec33a00</t>
  </si>
  <si>
    <t>83cf32c0</t>
  </si>
  <si>
    <t>055-v3.v3</t>
  </si>
  <si>
    <t>2b040a831c3c92ac6e4719de38009a0d55b64f6b</t>
  </si>
  <si>
    <t>25022b27</t>
  </si>
  <si>
    <t>055-v2.v2</t>
  </si>
  <si>
    <t>c9ce713b720511438dbd3fe3bcc7c246f475c6a2</t>
  </si>
  <si>
    <t>8889596d</t>
  </si>
  <si>
    <t>055-v1.v1</t>
  </si>
  <si>
    <t>292a3e3a4918ffe72bd1c41acb927b91844e035e</t>
  </si>
  <si>
    <t>f6e77cf5</t>
  </si>
  <si>
    <t>055-m1.m1</t>
  </si>
  <si>
    <t>cb6a70bdd95d449d25196ca269b621c362db6743</t>
  </si>
  <si>
    <t>825976c1</t>
  </si>
  <si>
    <t>055-s1.s1</t>
  </si>
  <si>
    <t>ザ・キング・オブ・ファイターズ '94</t>
  </si>
  <si>
    <t>19940825 (MVS), 19941001 (AES)</t>
  </si>
  <si>
    <t>d08a3f3c28be4b1793de7d362456281329fe1828</t>
  </si>
  <si>
    <t>f10a2042</t>
  </si>
  <si>
    <t>055-p1.p1</t>
  </si>
  <si>
    <t>NGM-055 (MVS), NGH-055 (AES)</t>
  </si>
  <si>
    <t>The King of Fighters '94 (NGM-055 ~ NGH-055)</t>
  </si>
  <si>
    <t>kof94</t>
  </si>
  <si>
    <t>a2ef909868f6b06cdcc22a63ddf6c96be12b999c</t>
  </si>
  <si>
    <t>9270d954</t>
  </si>
  <si>
    <t>053-c4.c4</t>
  </si>
  <si>
    <t>e97b3b8a461da5e8861b3dfdacb25e007ced37a1</t>
  </si>
  <si>
    <t>0dd64965</t>
  </si>
  <si>
    <t>053-c3.c3</t>
  </si>
  <si>
    <t>d4159210df94e259f874a4671d271ec27be13451</t>
  </si>
  <si>
    <t>ec93b048</t>
  </si>
  <si>
    <t>053-c2.c2</t>
  </si>
  <si>
    <t>3d03d29296ca6e6b5106aac4aaeec9d4b4ed1313</t>
  </si>
  <si>
    <t>85eb5bce</t>
  </si>
  <si>
    <t>053-c1.c1</t>
  </si>
  <si>
    <t>428e8721bd87f7faa756adb1e12672219be46c1d</t>
  </si>
  <si>
    <t>7bea8f66</t>
  </si>
  <si>
    <t>053-v4.v4</t>
  </si>
  <si>
    <t>007fa715423fba72c899cd3db3f4bec13281cf7a</t>
  </si>
  <si>
    <t>a68df485</t>
  </si>
  <si>
    <t>053-v2.v2</t>
  </si>
  <si>
    <t>65cd7b002123ed1a3111e3d942608d0082799ff3</t>
  </si>
  <si>
    <t>1bd9d04b</t>
  </si>
  <si>
    <t>053-m1.m1</t>
  </si>
  <si>
    <t>87fa79611c6f8886dcc8766814829c669c65b40f</t>
  </si>
  <si>
    <t>8c2c2d6b</t>
  </si>
  <si>
    <t>053-s1.s1</t>
  </si>
  <si>
    <t>a64e1425970eb53cc910891db39973dee3d54ccc</t>
  </si>
  <si>
    <t>98f2b158</t>
  </si>
  <si>
    <t>053-p2_a.p2</t>
  </si>
  <si>
    <t>wh1</t>
  </si>
  <si>
    <t>52b8ca5b804f786f95e1dfb348d8c7b82f1d4ddf</t>
  </si>
  <si>
    <t>ed29fde2</t>
  </si>
  <si>
    <t>053-p1_a.p1</t>
  </si>
  <si>
    <t>unknown</t>
  </si>
  <si>
    <t>Alpha Denshi Co.</t>
  </si>
  <si>
    <t>1992</t>
  </si>
  <si>
    <t>World Heroes (set 3)</t>
  </si>
  <si>
    <t>wh1ha</t>
  </si>
  <si>
    <t>ワールドヒーローズ</t>
  </si>
  <si>
    <t>24ccc091e97f63796562bb5b30df51f39bd504ef</t>
  </si>
  <si>
    <t>f198ed45</t>
  </si>
  <si>
    <t>053-p2.p2</t>
  </si>
  <si>
    <t>19920911 (AES)</t>
  </si>
  <si>
    <t>b7b7af6a04c3d902e7f8852897741ecaf0b1062c</t>
  </si>
  <si>
    <t>95b574cb</t>
  </si>
  <si>
    <t>053-p1.p1</t>
  </si>
  <si>
    <t>NGH-053 / ALH-005</t>
  </si>
  <si>
    <t>World Heroes (ALH-005)</t>
  </si>
  <si>
    <t>wh1h</t>
  </si>
  <si>
    <t>4b7086edb504f3c30529d51ba8f453d48eba5164</t>
  </si>
  <si>
    <t>0e33e8a3</t>
  </si>
  <si>
    <t>053-epr.p2</t>
  </si>
  <si>
    <t>19920728 (MVS)</t>
  </si>
  <si>
    <t>9d1911fe4bf6202466ec45557dd008cbf01ca9c6</t>
  </si>
  <si>
    <t>d42e1e9a</t>
  </si>
  <si>
    <t>053-epr.p1</t>
  </si>
  <si>
    <t>NGM-053 / ALM-005</t>
  </si>
  <si>
    <t>World Heroes (ALM-005)</t>
  </si>
  <si>
    <t>bca0bac87443e9e78c623d284f6cc96cc9c9098f</t>
  </si>
  <si>
    <t>776a2d1f</t>
  </si>
  <si>
    <t>052-c2.c2</t>
  </si>
  <si>
    <t>2125b1be379ea7933893ffb1cd65d6c4bf8b03bd</t>
  </si>
  <si>
    <t>53e1c002</t>
  </si>
  <si>
    <t>052-c1.c1</t>
  </si>
  <si>
    <t>328c4e6db0a026f54a633cff1443a3f964a8daea</t>
  </si>
  <si>
    <t>22c097a5</t>
  </si>
  <si>
    <t>052-v1.v1</t>
  </si>
  <si>
    <t>70971fcf71ae3a6b2e26e7ade8063941fb178ae5</t>
  </si>
  <si>
    <t>49f17d2d</t>
  </si>
  <si>
    <t>052-m1.m1</t>
  </si>
  <si>
    <t>得点王</t>
  </si>
  <si>
    <t>fa8dab3b3353d7115a0368f3fc749950c0186fbc</t>
  </si>
  <si>
    <t>97689804</t>
  </si>
  <si>
    <t>052-s1.s1</t>
  </si>
  <si>
    <t>19921214 (MVS), 19930219 (AES)</t>
  </si>
  <si>
    <t>rom_fatfur2</t>
  </si>
  <si>
    <t>1c780b711137fd79cc81b01941e84f3d59e0071f</t>
  </si>
  <si>
    <t>9cd97256</t>
  </si>
  <si>
    <t>052-p1.p1</t>
  </si>
  <si>
    <t>NGM-052 (MVS), NGH-052 (AES)</t>
  </si>
  <si>
    <t>Super Sidekicks / Tokuten Ou</t>
  </si>
  <si>
    <t>ssideki</t>
  </si>
  <si>
    <t>7a5b965ceab9343ece3b6d02cc6dbfc83ec67f04</t>
  </si>
  <si>
    <t>439c9036</t>
  </si>
  <si>
    <t>c8</t>
  </si>
  <si>
    <t>488fa8acd474cd357e3d18043341bc7b5a1a654e</t>
  </si>
  <si>
    <t>28a0a127</t>
  </si>
  <si>
    <t>c7</t>
  </si>
  <si>
    <t>d9e2635de3fe60d4adcc11d4acde2d613808c0b8</t>
  </si>
  <si>
    <t>5bc32495</t>
  </si>
  <si>
    <t>c6</t>
  </si>
  <si>
    <t>5f69a7e6acaf6916d76f3de6465a5b548d90af68</t>
  </si>
  <si>
    <t>714a8bc4</t>
  </si>
  <si>
    <t>c5</t>
  </si>
  <si>
    <t>762fd106886c7f13cb29c97c3a3af9fbd6b30405</t>
  </si>
  <si>
    <t>10f1624a</t>
  </si>
  <si>
    <t>c4</t>
  </si>
  <si>
    <t>160bd4f3f4c09a244a9cfdd076f37299ec0ae4d5</t>
  </si>
  <si>
    <t>b017d2d1</t>
  </si>
  <si>
    <t>c3</t>
  </si>
  <si>
    <t>477d44f7d8505eecf97010343fd186681bbe3318</t>
  </si>
  <si>
    <t>f637667a</t>
  </si>
  <si>
    <t>c2</t>
  </si>
  <si>
    <t>2531681c28f39adc9de2dc360970c38b71fcf0d7</t>
  </si>
  <si>
    <t>97a3183b</t>
  </si>
  <si>
    <t>c1</t>
  </si>
  <si>
    <t>edf407150997a83c2d003be972e1f9dc781b07d1</t>
  </si>
  <si>
    <t>612b9292</t>
  </si>
  <si>
    <t>v4</t>
  </si>
  <si>
    <t>d33f94bd132aa7d5b953cc1be8c2bb22f63bd13c</t>
  </si>
  <si>
    <t>dfa8d079</t>
  </si>
  <si>
    <t>v3</t>
  </si>
  <si>
    <t>2ecfe6c0cf348a01121399176bb84bf6a6ff2a45</t>
  </si>
  <si>
    <t>503a9c51</t>
  </si>
  <si>
    <t>v2</t>
  </si>
  <si>
    <t>0a47080d48bf220f7388fa1338924b6b94149c33</t>
  </si>
  <si>
    <t>7e9af736</t>
  </si>
  <si>
    <t>v1</t>
  </si>
  <si>
    <t>7a25f4997996434ea1b7d0d1ca9e7aaf966cbd03</t>
  </si>
  <si>
    <t>8e69f29a</t>
  </si>
  <si>
    <t>m1</t>
  </si>
  <si>
    <t>5c6f01da89f2639cf741ee7c39e27023b8083052</t>
  </si>
  <si>
    <t>9fea5758</t>
  </si>
  <si>
    <t>s1</t>
  </si>
  <si>
    <t>b088a0d400808a75a95895083845defdc01ed531</t>
  </si>
  <si>
    <t>31129194</t>
  </si>
  <si>
    <t>p2</t>
  </si>
  <si>
    <t>viewpoin</t>
  </si>
  <si>
    <t>1766652601cfb69b227aa0a9cecb7039b45c19b5</t>
  </si>
  <si>
    <t>0adb5eee</t>
  </si>
  <si>
    <t>p1</t>
  </si>
  <si>
    <t>ビューポイント</t>
  </si>
  <si>
    <t>Sammy / Aicom</t>
  </si>
  <si>
    <t>Viewpoint (prototype)</t>
  </si>
  <si>
    <t>viewpoinp</t>
  </si>
  <si>
    <t>ec4a13582772594957f927622d50f54b0dfcd8d8</t>
  </si>
  <si>
    <t>40d69f1e</t>
  </si>
  <si>
    <t>051-c2.c2</t>
  </si>
  <si>
    <t>49c7e9f020cba45d7083b45252bcc03397f8c286</t>
  </si>
  <si>
    <t>d624c132</t>
  </si>
  <si>
    <t>051-c1.c1</t>
  </si>
  <si>
    <t>da10f4b7d22d9139bbf068bd940be82168a74ca1</t>
  </si>
  <si>
    <t>5758f38c</t>
  </si>
  <si>
    <t>051-v4.v2</t>
  </si>
  <si>
    <t>7896a551115fc6ed38b5944e0c8dcb2b2c1c077d</t>
  </si>
  <si>
    <t>019978b6</t>
  </si>
  <si>
    <t>051-v2.v1</t>
  </si>
  <si>
    <t>051-m1.m1</t>
  </si>
  <si>
    <t>051-s1.s1</t>
  </si>
  <si>
    <t>19921120 (MVS), 19921211 (AES)</t>
  </si>
  <si>
    <t>674cd8ace7acdf4f407de741e3d0071bcb49c902</t>
  </si>
  <si>
    <t>17aa899d</t>
  </si>
  <si>
    <t>051-p1.p1</t>
  </si>
  <si>
    <t>NGM-051 (MVS), NGH-051 (AES)</t>
  </si>
  <si>
    <t>Viewpoint</t>
  </si>
  <si>
    <t>3c71a02bf0e07a5381846bb6d75bbe7dd546adea</t>
  </si>
  <si>
    <t>0845eadb</t>
  </si>
  <si>
    <t>050-c4.c4</t>
  </si>
  <si>
    <t>920e5015aebe2ffc5ce43a52365c7f0a705f3b9e</t>
  </si>
  <si>
    <t>03422c1e</t>
  </si>
  <si>
    <t>050-c3.c3</t>
  </si>
  <si>
    <t>ef9eca5aeff9dda2209a050c2af00ed8979ae2bc</t>
  </si>
  <si>
    <t>c4cf5548</t>
  </si>
  <si>
    <t>050-c2.c2</t>
  </si>
  <si>
    <t>1d8faaf03778f7c5b062554d7333bbd3f0ca12ad</t>
  </si>
  <si>
    <t>87421a0a</t>
  </si>
  <si>
    <t>050-c1.c1</t>
  </si>
  <si>
    <t>950cf0e78ceffa4037663f1086fbbc88588f49f2</t>
  </si>
  <si>
    <t>80b8a984</t>
  </si>
  <si>
    <t>050-v2.v2</t>
  </si>
  <si>
    <t>b6c59bb180f1aa34c95f3ec923f3aafb689d57b0</t>
  </si>
  <si>
    <t>23c3ab42</t>
  </si>
  <si>
    <t>050-v1.v1</t>
  </si>
  <si>
    <t>e9ecff4bfec1f5964bf06645f75d80d611b6231c</t>
  </si>
  <si>
    <t>6fcf07d3</t>
  </si>
  <si>
    <t>050-m1.m1</t>
  </si>
  <si>
    <t>ニンジャコマンドー</t>
  </si>
  <si>
    <t>11cb82cf3c4d0fc2da5df0c26410a64808093610</t>
  </si>
  <si>
    <t>db8f9c8e</t>
  </si>
  <si>
    <t>050-s1.s1</t>
  </si>
  <si>
    <t>19920430 (MVS), 19920529 (AES)</t>
  </si>
  <si>
    <t>43311a7ca14a14dcd4a99d8576a12e897b078643</t>
  </si>
  <si>
    <t>4e097c40</t>
  </si>
  <si>
    <t>050-p1.p1</t>
  </si>
  <si>
    <t>NGM-050 / ALM-004 (MVS), NGH-050 / ALH-004 (AES)</t>
  </si>
  <si>
    <t>Ninja Commando</t>
  </si>
  <si>
    <t>ncommand</t>
  </si>
  <si>
    <t>fcf7efae48fcdccaf5255c145de414fb246128f0</t>
  </si>
  <si>
    <t>b17024f7</t>
  </si>
  <si>
    <t>049-c2.c2</t>
  </si>
  <si>
    <t>c41cc9de8c0788dcc49ca494fd3bb3124062d9dd</t>
  </si>
  <si>
    <t>7ace6db3</t>
  </si>
  <si>
    <t>049-c1.c1</t>
  </si>
  <si>
    <t>47f82e077abb6efc6b1b0490412ae147d5d2acef</t>
  </si>
  <si>
    <t>ce43cb89</t>
  </si>
  <si>
    <t>049-v1.v1</t>
  </si>
  <si>
    <t>c4ee6ba834d54b9fc5a854dbc41a05877e090371</t>
  </si>
  <si>
    <t>edd2acf4</t>
  </si>
  <si>
    <t>049-m1.m1</t>
  </si>
  <si>
    <t>bcc44b9576d7bedd9a39294530bb66f707690c72</t>
  </si>
  <si>
    <t>6349de5d</t>
  </si>
  <si>
    <t>049-s1.s1</t>
  </si>
  <si>
    <t>アンドロデュノス</t>
  </si>
  <si>
    <t>991cf3e3677929b2cc0b2787b0c7b6ad3700f618</t>
  </si>
  <si>
    <t>2f062209</t>
  </si>
  <si>
    <t>049-p2.p2</t>
  </si>
  <si>
    <t>19920615 (MVS), 19920717 (AES)</t>
  </si>
  <si>
    <t>4dd86c739944696c16c3cdd85935d6dfa9fdc276</t>
  </si>
  <si>
    <t>3b857da2</t>
  </si>
  <si>
    <t>049-p1.p1</t>
  </si>
  <si>
    <t>NGM-049 (MVS), NGH-049 (AES)</t>
  </si>
  <si>
    <t>Andro Dunos (NGM-049 ~ NGH-049)</t>
  </si>
  <si>
    <t>androdun</t>
  </si>
  <si>
    <t>2630817e735a6d197377558f4324c1442803fe15</t>
  </si>
  <si>
    <t>59c48ad8</t>
  </si>
  <si>
    <t>048-c2.c2</t>
  </si>
  <si>
    <t>e73d2802bacfbc2b2b16fbbedddde17488e4bbde</t>
  </si>
  <si>
    <t>3fa890e9</t>
  </si>
  <si>
    <t>048-c1.c1</t>
  </si>
  <si>
    <t>955ff91ab24eb2a7ec51ff46c9f9f2ec060456b2</t>
  </si>
  <si>
    <t>f1947d2b</t>
  </si>
  <si>
    <t>048-v1.v1</t>
  </si>
  <si>
    <t>c529961195c9bdf5d1ce70a38ad129002d1f3b5f</t>
  </si>
  <si>
    <t>310467c7</t>
  </si>
  <si>
    <t>048-m1.m1</t>
  </si>
  <si>
    <t>雀神伝説</t>
  </si>
  <si>
    <t>d983640cda3e346e38469b4d3ec8048b116a7bb7</t>
  </si>
  <si>
    <t>8285b25a</t>
  </si>
  <si>
    <t>048-s1.s1</t>
  </si>
  <si>
    <t>19940629</t>
  </si>
  <si>
    <t>afee2c897b766c84f13891fb52c574fb18df0951</t>
  </si>
  <si>
    <t>fa818cbb</t>
  </si>
  <si>
    <t>048-p1.p1</t>
  </si>
  <si>
    <t>NGM-0048?</t>
  </si>
  <si>
    <t>Janshin Densetsu - Quest of Jongmaster</t>
  </si>
  <si>
    <t>janshin</t>
  </si>
  <si>
    <t>89d22d77ba8bc6d1f6c974195c34ad61b9010de7</t>
  </si>
  <si>
    <t>9fe27432</t>
  </si>
  <si>
    <t>047-c4.c4</t>
  </si>
  <si>
    <t>79654f24d777dd5eb68bafc3b8cb9db71d5822e2</t>
  </si>
  <si>
    <t>01e00738</t>
  </si>
  <si>
    <t>047-c3.c3</t>
  </si>
  <si>
    <t>c2f100b73eb04f65b6ba6089d49aceb51b470ec6</t>
  </si>
  <si>
    <t>05119a0d</t>
  </si>
  <si>
    <t>047-c2.c2</t>
  </si>
  <si>
    <t>67fc398ec28061adca0d3be82bbe7297015800da</t>
  </si>
  <si>
    <t>f72a939e</t>
  </si>
  <si>
    <t>047-c1.c1</t>
  </si>
  <si>
    <t>d4a1c0951c02c8919b3ec32ed96933634ff9e54c</t>
  </si>
  <si>
    <t>2c9a4b33</t>
  </si>
  <si>
    <t>047-v2.v2</t>
  </si>
  <si>
    <t>f6a91eada8c23aa4518c4b82eeebca69f79d845c</t>
  </si>
  <si>
    <t>d9d00784</t>
  </si>
  <si>
    <t>047-v1.v1</t>
  </si>
  <si>
    <t>5708248d89446e49184eaadb52f7c61b2b6c13c5</t>
  </si>
  <si>
    <t>820b0ba7</t>
  </si>
  <si>
    <t>047-m1.m1</t>
  </si>
  <si>
    <t>餓狼伝説2 ―新たなる闘い―</t>
  </si>
  <si>
    <t>29253e596f475ebd41a6e3bb53952e3a0ccd2eed</t>
  </si>
  <si>
    <t>d7dbbf39</t>
  </si>
  <si>
    <t>047-s1.s1</t>
  </si>
  <si>
    <t>19921210 (MVS), 19930305 (AES)</t>
  </si>
  <si>
    <t>59e2f137c6eaf043df4ddae865a9159a10265c60</t>
  </si>
  <si>
    <t>ecfdbb69</t>
  </si>
  <si>
    <t>047-p1.p1</t>
  </si>
  <si>
    <t>NGM-047 (MVS), NGH-047 (AES)</t>
  </si>
  <si>
    <t>Fatal Fury 2 / Garou Densetsu 2 - Arata-naru Tatakai (NGM-047 ~ NGH-047)</t>
  </si>
  <si>
    <t>fatfury2</t>
  </si>
  <si>
    <t>be23999b8ce09ee15ba500ce4d5e2a82a4f58d9b</t>
  </si>
  <si>
    <t>c944e03d</t>
  </si>
  <si>
    <t>046-c8.c8</t>
  </si>
  <si>
    <t>ac5f3d848d7116fc35c97f53a72c85e049dd3a2f</t>
  </si>
  <si>
    <t>12829c4c</t>
  </si>
  <si>
    <t>046-c7.c7</t>
  </si>
  <si>
    <t>9c35832221e016c12ef1ed71da167f565daaf86c</t>
  </si>
  <si>
    <t>273171df</t>
  </si>
  <si>
    <t>046-c6.c6</t>
  </si>
  <si>
    <t>2f8b46388c4696aee6a97e1e21cdadf6b142b01a</t>
  </si>
  <si>
    <t>4b735e45</t>
  </si>
  <si>
    <t>046-c5.c5</t>
  </si>
  <si>
    <t>8af0b26025a54e3b91604dd24a3c1c518fbd8536</t>
  </si>
  <si>
    <t>7a2248aa</t>
  </si>
  <si>
    <t>046-c4.c4</t>
  </si>
  <si>
    <t>b6974af0c833b766866919b6f15b6f8cef82530d</t>
  </si>
  <si>
    <t>880e3c25</t>
  </si>
  <si>
    <t>046-c3.c3</t>
  </si>
  <si>
    <t>50274e79aa26f334eb806288688b30720bade883</t>
  </si>
  <si>
    <t>c900c205</t>
  </si>
  <si>
    <t>046-c2.c2</t>
  </si>
  <si>
    <t>364913b9fa40d46e4e39ae3cdae914cfd0de137d</t>
  </si>
  <si>
    <t>fa720a4a</t>
  </si>
  <si>
    <t>046-c1.c1</t>
  </si>
  <si>
    <t>63a76949301b83bdd44aa1a4462f642ab9ca3c0b</t>
  </si>
  <si>
    <t>4f54c187</t>
  </si>
  <si>
    <t>046-v4.v4</t>
  </si>
  <si>
    <t>40972982a63c7adecef840f9882f4165da723ab6</t>
  </si>
  <si>
    <t>58113fb1</t>
  </si>
  <si>
    <t>046-v3.v3</t>
  </si>
  <si>
    <t>1cf049cb4c414419859d2c8ee714317a35a85251</t>
  </si>
  <si>
    <t>56254a64</t>
  </si>
  <si>
    <t>046-v2.v2</t>
  </si>
  <si>
    <t>bed95a76afefa46503a12e0f0a9787c4c967ac50</t>
  </si>
  <si>
    <t>c1f9c2db</t>
  </si>
  <si>
    <t>046-v1.v1</t>
  </si>
  <si>
    <t>07446040871d11da3c2217ee9d1faf8c3cae7420</t>
  </si>
  <si>
    <t>3f84bb9f</t>
  </si>
  <si>
    <t>046-m1.m1</t>
  </si>
  <si>
    <t>cab5c77c091e8d12d9c3a2cc8d741b74e4386efb</t>
  </si>
  <si>
    <t>92e9ac8c</t>
  </si>
  <si>
    <t>046-sg1.s1</t>
  </si>
  <si>
    <t>トップハンター</t>
  </si>
  <si>
    <t>6b4e0af5d4e623f0682f37ff5c69e5b705e20028</t>
  </si>
  <si>
    <t>f182cb3e</t>
  </si>
  <si>
    <t>046-p2.sp2</t>
  </si>
  <si>
    <t>19940624</t>
  </si>
  <si>
    <t>tophuntr</t>
  </si>
  <si>
    <t>c0e05fd1ca81926438bb75e2fa6894e40ab6521e</t>
  </si>
  <si>
    <t>771e39bc</t>
  </si>
  <si>
    <t>046-pg1.p1</t>
  </si>
  <si>
    <t>NGH-046</t>
  </si>
  <si>
    <t>Top Hunter - Roddy &amp; Cathy (NGH-046)</t>
  </si>
  <si>
    <t>tophuntrh</t>
  </si>
  <si>
    <t>618ce75c25d6cc86a3b46bd64a0aa34ab82f75ae</t>
  </si>
  <si>
    <t>14b01d7b</t>
  </si>
  <si>
    <t>046-s1.s1</t>
  </si>
  <si>
    <t>19940518</t>
  </si>
  <si>
    <t>9a40a16163193bb506a32bd34f6323b25ec69622</t>
  </si>
  <si>
    <t>69fa9e29</t>
  </si>
  <si>
    <t>046-p1.p1</t>
  </si>
  <si>
    <t>NGM-046</t>
  </si>
  <si>
    <t>Top Hunter - Roddy &amp; Cathy (NGM-046)</t>
  </si>
  <si>
    <t>afe374a9d1f2d955a59efe7b6196b89e021b164c</t>
  </si>
  <si>
    <t>4fa71252</t>
  </si>
  <si>
    <t>045-c6.c6</t>
  </si>
  <si>
    <t>aa118e3b8c062daa219b36758b9a3814c08c69dc</t>
  </si>
  <si>
    <t>a2bb8284</t>
  </si>
  <si>
    <t>045-c5.c5</t>
  </si>
  <si>
    <t>0053d40085fac14096b683f4341f65e543b71dc1</t>
  </si>
  <si>
    <t>935c62f0</t>
  </si>
  <si>
    <t>045-c4.c4</t>
  </si>
  <si>
    <t>c80e52df42be9f8b2e89b467b11ab140a480cee8</t>
  </si>
  <si>
    <t>f3dabd1e</t>
  </si>
  <si>
    <t>045-c3.c3</t>
  </si>
  <si>
    <t>16a8cbf0fd9468e81bf9eab6dbe7a8e3623a843e</t>
  </si>
  <si>
    <t>04febb10</t>
  </si>
  <si>
    <t>045-c2.c2</t>
  </si>
  <si>
    <t>65c74c1e2d34390666bbb630df7d1f4c9570c3db</t>
  </si>
  <si>
    <t>2e5873a4</t>
  </si>
  <si>
    <t>045-c1.c1</t>
  </si>
  <si>
    <t>61af858685472a1fad608e230cccc2b108509ddb</t>
  </si>
  <si>
    <t>568b20cf</t>
  </si>
  <si>
    <t>045-v2.v2</t>
  </si>
  <si>
    <t>6279b497d12fa90b49ab5ac3aae20fb302ec8b81</t>
  </si>
  <si>
    <t>37f78a9b</t>
  </si>
  <si>
    <t>045-v1.v1</t>
  </si>
  <si>
    <t>125c502db0693e8d11cef619b090081c14a9a300</t>
  </si>
  <si>
    <t>95170640</t>
  </si>
  <si>
    <t>045-m1.m1</t>
  </si>
  <si>
    <t>54088e99fcfd75fd0f94852890a56350066a05a3</t>
  </si>
  <si>
    <t>9142a4d3</t>
  </si>
  <si>
    <t>045-s1.s1</t>
  </si>
  <si>
    <t>サムライスピリッツ</t>
  </si>
  <si>
    <t>48190699a6be83cb6257365ae81f93fdd23abe09</t>
  </si>
  <si>
    <t>38ee9ba9</t>
  </si>
  <si>
    <t>045-p2.sp2</t>
  </si>
  <si>
    <t>19930811</t>
  </si>
  <si>
    <t>samsho</t>
  </si>
  <si>
    <t>2243af3770a516ae698b69bcd9daf53632d9128d</t>
  </si>
  <si>
    <t>dfe51bf0</t>
  </si>
  <si>
    <t>045-p1.p1</t>
  </si>
  <si>
    <t>NGH-045</t>
  </si>
  <si>
    <t>Samurai Shodown / Samurai Spirits (NGH-045)</t>
  </si>
  <si>
    <t>samshoh</t>
  </si>
  <si>
    <t>5e8b785f917c176d6796eba0caed37b13ddb3e63</t>
  </si>
  <si>
    <t>be30612e</t>
  </si>
  <si>
    <t>045-c61.c6</t>
  </si>
  <si>
    <t>550f15dc5892c4602422c51869f0d59f70f01e9e</t>
  </si>
  <si>
    <t>81932894</t>
  </si>
  <si>
    <t>045-c51.c5</t>
  </si>
  <si>
    <t>d9e959fd1f88c9402915c1d0dcdb4a9e3d49cdcb</t>
  </si>
  <si>
    <t>46745b94</t>
  </si>
  <si>
    <t>045-pg2.sp2</t>
  </si>
  <si>
    <t>19930707</t>
  </si>
  <si>
    <t>NGM-045</t>
  </si>
  <si>
    <t>Samurai Shodown / Samurai Spirits (NGM-045)</t>
  </si>
  <si>
    <t>9090e337d7beed25ba81ae0708d0aeb57e6cf405</t>
  </si>
  <si>
    <t>6235fbaa</t>
  </si>
  <si>
    <t>044-c4.c4</t>
  </si>
  <si>
    <t>dd5888f8b24a33b2c1f483316fe80c17849ccfc4</t>
  </si>
  <si>
    <t>403e898a</t>
  </si>
  <si>
    <t>044-c3.c3</t>
  </si>
  <si>
    <t>f697263fe92164e274bf34c55327b3d4a158b332</t>
  </si>
  <si>
    <t>d8ccd575</t>
  </si>
  <si>
    <t>044-c2.c2</t>
  </si>
  <si>
    <t>f20eb81ec431268798c142c482146c1545af1c24</t>
  </si>
  <si>
    <t>ddab98a7</t>
  </si>
  <si>
    <t>044-c1.c1</t>
  </si>
  <si>
    <t>105da0cc5ba19869c7147fba8b177500758c232b</t>
  </si>
  <si>
    <t>4b0f8e23</t>
  </si>
  <si>
    <t>044-v4.v4</t>
  </si>
  <si>
    <t>e3f413f580b57f70d2dae16dbdacb797884d3fce</t>
  </si>
  <si>
    <t>3ec632ea</t>
  </si>
  <si>
    <t>044-v2.v2</t>
  </si>
  <si>
    <t>8fae4b7fac09d46d4727928e609ed9d3711dbded</t>
  </si>
  <si>
    <t>0987e4bb</t>
  </si>
  <si>
    <t>044-m1.m1</t>
  </si>
  <si>
    <t>龍虎の拳</t>
  </si>
  <si>
    <t>a04a0c244a5d5c7a595fcf649107969635a6a8b6</t>
  </si>
  <si>
    <t>89903f39</t>
  </si>
  <si>
    <t>044-s1.s1</t>
  </si>
  <si>
    <t>19920924 (MVS), 19921211 (AES)</t>
  </si>
  <si>
    <t>4d28ef86696f7e832510a66d3e8eb6c93b5b91a1</t>
  </si>
  <si>
    <t>ca9f7a6d</t>
  </si>
  <si>
    <t>044-p1.p1</t>
  </si>
  <si>
    <t>NGM-044 (MVS), NGH-044 (AES)</t>
  </si>
  <si>
    <t>Art of Fighting / Ryuuko no Ken (NGM-044 ~ NGH-044)</t>
  </si>
  <si>
    <t>aof</t>
  </si>
  <si>
    <t>9b915359add7c10c78d8b281b4084eceea8f0499</t>
  </si>
  <si>
    <t>1887e5c0</t>
  </si>
  <si>
    <t>043-c4.c4</t>
  </si>
  <si>
    <t>2721cdba37a511a966a2a53b9bd6240f181d920c</t>
  </si>
  <si>
    <t>f00be011</t>
  </si>
  <si>
    <t>043-c3.c3</t>
  </si>
  <si>
    <t>9da3c5faf22592a7eaf8df9fa6454f48c2a927ae</t>
  </si>
  <si>
    <t>a7fbda95</t>
  </si>
  <si>
    <t>043-c2.c2</t>
  </si>
  <si>
    <t>04928e50ca75b7fbc52b64e816ec5701901f5893</t>
  </si>
  <si>
    <t>bad2d67f</t>
  </si>
  <si>
    <t>043-c1.c1</t>
  </si>
  <si>
    <t>f5197ea87bb6573fa6aef3a1713c3679c58c1e74</t>
  </si>
  <si>
    <t>c69a827b</t>
  </si>
  <si>
    <t>043-v2.v2</t>
  </si>
  <si>
    <t>5c6ac29a0cc0655a87cfe3ada8706838b86b86e4</t>
  </si>
  <si>
    <t>63688ce8</t>
  </si>
  <si>
    <t>043-v1.v1</t>
  </si>
  <si>
    <t>5ae4107457e091f73960bfba39b589ae36d51ca3</t>
  </si>
  <si>
    <t>7eab59cb</t>
  </si>
  <si>
    <t>043-m1.m1</t>
  </si>
  <si>
    <t>ファイヤー・スープレックス</t>
  </si>
  <si>
    <t>a3c029292572842feabe9aa8c3372628fb63978d</t>
  </si>
  <si>
    <t>c362d484</t>
  </si>
  <si>
    <t>043-s1.s1</t>
  </si>
  <si>
    <t>19930325 (MVS), 19930423 (AES)</t>
  </si>
  <si>
    <t>05b24655ca32723661adc5509b450824deb0c176</t>
  </si>
  <si>
    <t>ffbdd928</t>
  </si>
  <si>
    <t>043-p1.p1</t>
  </si>
  <si>
    <t>NGM-043 (MVS), NGH-043 (AES)</t>
  </si>
  <si>
    <t>3 Count Bout / Fire Suplex (NGM-043 ~ NGH-043)</t>
  </si>
  <si>
    <t>3countb</t>
  </si>
  <si>
    <t>34cf0f16db1e224396464ac838f4cd2e6d1c640e</t>
  </si>
  <si>
    <t>d602219b</t>
  </si>
  <si>
    <t>042-c4.c4</t>
  </si>
  <si>
    <t>f355298fe0f2cf50ddcc0d613db56a5c04d7230f</t>
  </si>
  <si>
    <t>bcd4a518</t>
  </si>
  <si>
    <t>042-c3.c3</t>
  </si>
  <si>
    <t>27d136fb1be793bd345a741f5e55a977275fff86</t>
  </si>
  <si>
    <t>1436dfeb</t>
  </si>
  <si>
    <t>042-c2.c2</t>
  </si>
  <si>
    <t>b53d06685246dd51b82b5c1d54d639d10e2ec26d</t>
  </si>
  <si>
    <t>cb5809a1</t>
  </si>
  <si>
    <t>042-c1.c1</t>
  </si>
  <si>
    <t>a6c5054032b698116247b2f09a8b94a1b588c4f1</t>
  </si>
  <si>
    <t>c6474b59</t>
  </si>
  <si>
    <t>042-v2.v2</t>
  </si>
  <si>
    <t>99a47014017c20e4e22010c60612b6b7f6efc9e5</t>
  </si>
  <si>
    <t>af7f8247</t>
  </si>
  <si>
    <t>042-v1.v1</t>
  </si>
  <si>
    <t>ed458fad5a23c6bd0d099927d98c31e1e6562d1b</t>
  </si>
  <si>
    <t>bb19995d</t>
  </si>
  <si>
    <t>042-m1.m1</t>
  </si>
  <si>
    <t>クイズ迷探偵ネオ＆ジオ ―クイズ大走査線PART2―</t>
  </si>
  <si>
    <t>dad35bedc33d502a5ae745a45a972af8d901b160</t>
  </si>
  <si>
    <t>164fd6e6</t>
  </si>
  <si>
    <t>042-s1.s1</t>
  </si>
  <si>
    <t>199203xx (MVS), 19920424 (AES)</t>
  </si>
  <si>
    <t>12baf2601e86c0e4358517b9fa1c55f2f5835f1d</t>
  </si>
  <si>
    <t>ed719dcf</t>
  </si>
  <si>
    <t>042-p1.p1</t>
  </si>
  <si>
    <t>NGM-042 (MVS), NGH-042 (AES)</t>
  </si>
  <si>
    <t>Quiz Meitantei Neo &amp; Geo - Quiz Daisousa Sen Part 2 (NGM-042 ~ NGH-042)</t>
  </si>
  <si>
    <t>quizdai2</t>
  </si>
  <si>
    <t>a1e307f11ddab85d2e9c09d0428fac2e6da774b1</t>
  </si>
  <si>
    <t>70457a0c</t>
  </si>
  <si>
    <t>041-c4.c4</t>
  </si>
  <si>
    <t>f4e821299680970b2e979acc4a170029b968c807</t>
  </si>
  <si>
    <t>fb31339d</t>
  </si>
  <si>
    <t>041-c3.c3</t>
  </si>
  <si>
    <t>79e1063925d54a57df943019a88bea56c9152df3</t>
  </si>
  <si>
    <t>766cfc2f</t>
  </si>
  <si>
    <t>041-c2.c2</t>
  </si>
  <si>
    <t>bafe383bd7c5a6aac4cb92dabbc56e3672fe174d</t>
  </si>
  <si>
    <t>b39a12e1</t>
  </si>
  <si>
    <t>041-c1.c1</t>
  </si>
  <si>
    <t>c4a047e21f093830498a163598ed7bd48a8cf9d1</t>
  </si>
  <si>
    <t>afaa0180</t>
  </si>
  <si>
    <t>041-v3.v3</t>
  </si>
  <si>
    <t>159bc6efdd531615461f6e16f83f6d4c4e67c237</t>
  </si>
  <si>
    <t>1c954a9d</t>
  </si>
  <si>
    <t>041-v2.v2</t>
  </si>
  <si>
    <t>4f4d1d5fefa9dda372083c045bf0d268a57ce8f1</t>
  </si>
  <si>
    <t>cb1da093</t>
  </si>
  <si>
    <t>041-v1.v1</t>
  </si>
  <si>
    <t>0x280000</t>
  </si>
  <si>
    <t>3f4abed635102f9bc8b44809750828c82e79b44f</t>
  </si>
  <si>
    <t>15c177a6</t>
  </si>
  <si>
    <t>041-m1.m1</t>
  </si>
  <si>
    <t>ベースボールスターズ2</t>
  </si>
  <si>
    <t>f1c60cd3dc54986b39f630ef3bf48f68c68695dc</t>
  </si>
  <si>
    <t>015c5c94</t>
  </si>
  <si>
    <t>041-s1.s1</t>
  </si>
  <si>
    <t>19920415 (MVS), 19920428 (AES)</t>
  </si>
  <si>
    <t>f1e81eb4678f586b214ea102cde6effea1b0f768</t>
  </si>
  <si>
    <t>523567fd</t>
  </si>
  <si>
    <t>041-p1.p1</t>
  </si>
  <si>
    <t>NGM-041 (MVS), NGH-041 (AES)</t>
  </si>
  <si>
    <t>Baseball Stars 2</t>
  </si>
  <si>
    <t>bstars2</t>
  </si>
  <si>
    <t>d017474873750a7602b7708c663d29b25ef7bb63</t>
  </si>
  <si>
    <t>1c9e9930</t>
  </si>
  <si>
    <t>040-c4.c4</t>
  </si>
  <si>
    <t>29d58a6b56bd24ee2046a8d45e023b4d7ab7685b</t>
  </si>
  <si>
    <t>24b5ba80</t>
  </si>
  <si>
    <t>040-c3.c3</t>
  </si>
  <si>
    <t>23645e0cf859fb4cec3745b3846ca0ef64c689fb</t>
  </si>
  <si>
    <t>87d0ec65</t>
  </si>
  <si>
    <t>040-c2.c2</t>
  </si>
  <si>
    <t>714575e57ea1990612f960ec42b38d2e157ad400</t>
  </si>
  <si>
    <t>faa8ea99</t>
  </si>
  <si>
    <t>040-c1.c1</t>
  </si>
  <si>
    <t>923a3377dac1919e8c3d9ab316902250caa4785f</t>
  </si>
  <si>
    <t>c5cece01</t>
  </si>
  <si>
    <t>040-v2.v2</t>
  </si>
  <si>
    <t>56d9aca1d476c19c7d0f707176a8fed53e0189b7</t>
  </si>
  <si>
    <t>71cb4b5d</t>
  </si>
  <si>
    <t>040-v1.v1</t>
  </si>
  <si>
    <t>ecf604d06f01d40b04e285facef66a6ae2d35661</t>
  </si>
  <si>
    <t>d4de4bca</t>
  </si>
  <si>
    <t>040-m1.m1</t>
  </si>
  <si>
    <t>戦国伝承2</t>
  </si>
  <si>
    <t>f685d4638f4f68e7e3f101c0c39128454536721b</t>
  </si>
  <si>
    <t>cd9802a3</t>
  </si>
  <si>
    <t>040-s1.s1</t>
  </si>
  <si>
    <t>19930218 (MVS), 19930409 (AES)</t>
  </si>
  <si>
    <t>e432e63feb88c71629ec96aa84650dcfe356a551</t>
  </si>
  <si>
    <t>6dde02c2</t>
  </si>
  <si>
    <t>040-p1.p1</t>
  </si>
  <si>
    <t>NGM-040 (MVS), NGH-040 (AES)</t>
  </si>
  <si>
    <t>Sengoku 2 / Sengoku Denshou 2</t>
  </si>
  <si>
    <t>sengoku2</t>
  </si>
  <si>
    <t>0d27de59970ccbcaa1d47909ea3d741ffb0d9e07</t>
  </si>
  <si>
    <t>592e9267</t>
  </si>
  <si>
    <t>proto_039-c8.c8</t>
  </si>
  <si>
    <t>52804f955597591fdd1d7478dc340b36d3c08c4a</t>
  </si>
  <si>
    <t>da55fd00</t>
  </si>
  <si>
    <t>proto_039-c7.c7</t>
  </si>
  <si>
    <t>f1b19d37d52d21584f304b7d37d5c096b58219d6</t>
  </si>
  <si>
    <t>21d4be8c</t>
  </si>
  <si>
    <t>proto_039-c6.c6</t>
  </si>
  <si>
    <t>60620d42ac6cd0e5da019fede2814a2f4171ff3f</t>
  </si>
  <si>
    <t>5bdaf9ca</t>
  </si>
  <si>
    <t>proto_039-c5.c5</t>
  </si>
  <si>
    <t>27e65d948f08c231107cb1a810e2b06731091fc3</t>
  </si>
  <si>
    <t>7ad48b28</t>
  </si>
  <si>
    <t>proto_039-c4.c4</t>
  </si>
  <si>
    <t>5a4c7b5ca3f1195e7853b45c5e71c13fe74d16e9</t>
  </si>
  <si>
    <t>11d75727</t>
  </si>
  <si>
    <t>proto_039-c3.c3</t>
  </si>
  <si>
    <t>65f36c6a3834775b04076d2c38a6047bffe9a8cf</t>
  </si>
  <si>
    <t>7157eca1</t>
  </si>
  <si>
    <t>proto_039-c2.c2</t>
  </si>
  <si>
    <t>7bef6ce79c618103485480aee3c6f856968eb51f</t>
  </si>
  <si>
    <t>7192a787</t>
  </si>
  <si>
    <t>proto_039-c1.c1</t>
  </si>
  <si>
    <t>052b92168a76cf3a97c8cacebcc3ebab228726df</t>
  </si>
  <si>
    <t>d1dd3fd6</t>
  </si>
  <si>
    <t>proto_039-v6.v6</t>
  </si>
  <si>
    <t>0e3713ae6b164ebae434c0f18c466365b26b9a77</t>
  </si>
  <si>
    <t>13be045b</t>
  </si>
  <si>
    <t>proto_039-v5.v5</t>
  </si>
  <si>
    <t>47fb716c76ea6b5fe64204ff6d72b7feea10bda9</t>
  </si>
  <si>
    <t>1943d0fe</t>
  </si>
  <si>
    <t>proto_039-v4.v4</t>
  </si>
  <si>
    <t>ed243a0449232bbea409308c3fec7e057fcd8501</t>
  </si>
  <si>
    <t>0f008a07</t>
  </si>
  <si>
    <t>proto_039-v3.v3</t>
  </si>
  <si>
    <t>7e17740aa05cf7ad4f9084e147600a8eb82c7284</t>
  </si>
  <si>
    <t>57f60274</t>
  </si>
  <si>
    <t>proto_039-v2.v2</t>
  </si>
  <si>
    <t>f7c2a3747aaab2bc57cdfa33d8bb9fab057b5214</t>
  </si>
  <si>
    <t>dd3566f1</t>
  </si>
  <si>
    <t>proto_039-v1.v1</t>
  </si>
  <si>
    <t>15eb5ea10fecdbdbcfd06225ae6d88bb239592e7</t>
  </si>
  <si>
    <t>0c5b2ad5</t>
  </si>
  <si>
    <t>039-m1.m1</t>
  </si>
  <si>
    <t>7d4b92bd022708975b1470e8f24d1f5a712e1b94</t>
  </si>
  <si>
    <t>63ee053a</t>
  </si>
  <si>
    <t>039-s1.s1</t>
  </si>
  <si>
    <t>3854659b952d4f8c2edd5d59858a61ce6d518604</t>
  </si>
  <si>
    <t>bc9691f0</t>
  </si>
  <si>
    <t>proto_039-p2.p2</t>
  </si>
  <si>
    <t>kotm2</t>
  </si>
  <si>
    <t>aeaff465fafa46ded903ed4e8cb8cd05de8dc096</t>
  </si>
  <si>
    <t>3c1d17e7</t>
  </si>
  <si>
    <t>proto_039-p1.p1</t>
  </si>
  <si>
    <t>King of the Monsters 2 - The Next Thing (prototype)</t>
  </si>
  <si>
    <t>kotm2p</t>
  </si>
  <si>
    <t>e3a34ff69081a8681b5ca895915892dcdccfa7aa</t>
  </si>
  <si>
    <t>81c9c250</t>
  </si>
  <si>
    <t>039-c4.c4</t>
  </si>
  <si>
    <t>f4abe2b52882b966412f3b503b8f2c8f49b57968</t>
  </si>
  <si>
    <t>bfc4f0b2</t>
  </si>
  <si>
    <t>039-c3.c3</t>
  </si>
  <si>
    <t>4d85f85948c3e6ed38b0b0ccda79de3ce026e2d9</t>
  </si>
  <si>
    <t>f7b75337</t>
  </si>
  <si>
    <t>039-c2.c2</t>
  </si>
  <si>
    <t>4fbc9d7cb37522ec298eefbe38c75a2d050fbb4a</t>
  </si>
  <si>
    <t>6d1c4aa9</t>
  </si>
  <si>
    <t>039-c1.c1</t>
  </si>
  <si>
    <t>58ac2fdd73c542eb8178cfc4adfa0e5940183283</t>
  </si>
  <si>
    <t>8fa62a0b</t>
  </si>
  <si>
    <t>039-v4.v4</t>
  </si>
  <si>
    <t>89bdb614b0c63d678962da52e2f596750d20828c</t>
  </si>
  <si>
    <t>86d34b25</t>
  </si>
  <si>
    <t>039-v2.v2</t>
  </si>
  <si>
    <t>6c85ff6ab334b1ca744f726f42dac211537e7315</t>
  </si>
  <si>
    <t>28661afe</t>
  </si>
  <si>
    <t>039-p2.p2</t>
  </si>
  <si>
    <t>c3874bbb1bfcb220173afb2e0a2123ffaeb7bd2b</t>
  </si>
  <si>
    <t>8d186638</t>
  </si>
  <si>
    <t>039_p1.p1</t>
  </si>
  <si>
    <t>キング・オブ・ザ・モンスターズ2 ―ネクストシング―</t>
  </si>
  <si>
    <t>King of the Monsters 2 - The Next Thing (older)</t>
  </si>
  <si>
    <t>kotm2a</t>
  </si>
  <si>
    <t>19920525 (MVS), 19920601 (AES)</t>
  </si>
  <si>
    <t>b70fc6f72e16a66b6e144cc01370548e3398b8b8</t>
  </si>
  <si>
    <t>b372d54c</t>
  </si>
  <si>
    <t>039-p1.p1</t>
  </si>
  <si>
    <t>NGM-039 (MVS), NGH-039 (AES)</t>
  </si>
  <si>
    <t>King of the Monsters 2 - The Next Thing (NGM-039 ~ NGH-039)</t>
  </si>
  <si>
    <t>934aa103c226eac55157b44d7b4dfa35515322c3</t>
  </si>
  <si>
    <t>a4513ecf</t>
  </si>
  <si>
    <t>038-c4.c4</t>
  </si>
  <si>
    <t>bc1eae6181ad5abf79736afc8db4ca34113d43f8</t>
  </si>
  <si>
    <t>3bb7b9d6</t>
  </si>
  <si>
    <t>038-c3.c3</t>
  </si>
  <si>
    <t>b70bbfdfa8c4f9ea76406530e86b16e42498d284</t>
  </si>
  <si>
    <t>bba9c29e</t>
  </si>
  <si>
    <t>038-c2.c2</t>
  </si>
  <si>
    <t>a6bd277471a4b612d165f8b804f3cb662f499b70</t>
  </si>
  <si>
    <t>c58323d4</t>
  </si>
  <si>
    <t>038-c1.c1</t>
  </si>
  <si>
    <t>65c819fa2392f264f5a1a0a4967c96775732500b</t>
  </si>
  <si>
    <t>ddd8d1e6</t>
  </si>
  <si>
    <t>038-v2.v2</t>
  </si>
  <si>
    <t>c3c8c758a320c39e4ceb0b6d9f188ed6d122eec4</t>
  </si>
  <si>
    <t>5ccd9fd5</t>
  </si>
  <si>
    <t>038-v1.v1</t>
  </si>
  <si>
    <t>df7489ea6abf84d7f137ba7a8f52a4fd1b088fd7</t>
  </si>
  <si>
    <t>0908707e</t>
  </si>
  <si>
    <t>038-m1.m1</t>
  </si>
  <si>
    <t>6510a762ea41557a8938cbfc0557cd5921306061</t>
  </si>
  <si>
    <t>fff62ae3</t>
  </si>
  <si>
    <t>038-s1.s1</t>
  </si>
  <si>
    <t>0x1000</t>
  </si>
  <si>
    <t>mcu</t>
  </si>
  <si>
    <t xml:space="preserve">_x000D_
			</t>
  </si>
  <si>
    <t>スラッシュ ラリー</t>
  </si>
  <si>
    <t>96803480439e90da23cdca70d59ff519ee85beeb</t>
  </si>
  <si>
    <t>a5193e2f</t>
  </si>
  <si>
    <t>038-p2.p2</t>
  </si>
  <si>
    <t>19911108 (MVS), 19911220 (AES)</t>
  </si>
  <si>
    <t>a1cb56354c3378e955b0cd482c3c41ae15add952</t>
  </si>
  <si>
    <t>1e52a576</t>
  </si>
  <si>
    <t>038-p1.p1</t>
  </si>
  <si>
    <t>NGM-038 / ALM-003 (MVS), NGH-038 / ALH-003 (AES)</t>
  </si>
  <si>
    <t>1991</t>
  </si>
  <si>
    <t>Thrash Rally (ALM-003 ~ ALH-003)</t>
  </si>
  <si>
    <t>trally</t>
  </si>
  <si>
    <t>943f911f40985db901eaef4c28dfcda299fca73e</t>
  </si>
  <si>
    <t>4a24395d</t>
  </si>
  <si>
    <t>037-c4.c4</t>
  </si>
  <si>
    <t>2bbd25dc3a3f825d0af79a418f06a23a1bf03cc0</t>
  </si>
  <si>
    <t>9d7ed1ca</t>
  </si>
  <si>
    <t>037-c3.c3</t>
  </si>
  <si>
    <t>7bfa4d29b7d7d9443f64d81caeafa74fe05c606e</t>
  </si>
  <si>
    <t>ac122a78</t>
  </si>
  <si>
    <t>037-c2.c2</t>
  </si>
  <si>
    <t>df2579dcf9c9dc88d461212cb74de106be2983c1</t>
  </si>
  <si>
    <t>09df6892</t>
  </si>
  <si>
    <t>037-c1.c1</t>
  </si>
  <si>
    <t>98f31d1e23bf7c1f7844e67f14707a704134042e</t>
  </si>
  <si>
    <t>61fedf65</t>
  </si>
  <si>
    <t>037-v1.v1</t>
  </si>
  <si>
    <t>9ce8e681b9df6eacd0d23a36bad836bd5074233d</t>
  </si>
  <si>
    <t>9504b2c6</t>
  </si>
  <si>
    <t>037-m1.m1</t>
  </si>
  <si>
    <t>クロスソード</t>
  </si>
  <si>
    <t>bff7ff2429d2be82c1647abac2ee45b339b3b310</t>
  </si>
  <si>
    <t>74651f27</t>
  </si>
  <si>
    <t>037-s1.s1</t>
  </si>
  <si>
    <t>19910725 (MVS), 19911001 (AES)</t>
  </si>
  <si>
    <t>8469ecb900477feed05ae3311fe9515019bbec2a</t>
  </si>
  <si>
    <t>e7f2553c</t>
  </si>
  <si>
    <t>037-p1.p1</t>
  </si>
  <si>
    <t>NGM-037 / ALM-002 (MVS), NGH-037 / ALH-002 (AES)</t>
  </si>
  <si>
    <t>Crossed Swords (ALM-002 ~ ALH-002)</t>
  </si>
  <si>
    <t>crsword</t>
  </si>
  <si>
    <t>a37db8055ca4680e244c556dc6df8bdba16c2083</t>
  </si>
  <si>
    <t>f2577d22</t>
  </si>
  <si>
    <t>036-c4.c4</t>
  </si>
  <si>
    <t>8decfe06d73a3dd3c3cf280719978fcf6d559d29</t>
  </si>
  <si>
    <t>9ac0708e</t>
  </si>
  <si>
    <t>036-c3.c3</t>
  </si>
  <si>
    <t>054b2a3327e038836eece652055bb84c115cf8ed</t>
  </si>
  <si>
    <t>bbf003f5</t>
  </si>
  <si>
    <t>036-c2.c2</t>
  </si>
  <si>
    <t>5b6f5053821f4da8dc3768371e2cd51bb29da963</t>
  </si>
  <si>
    <t>fe7f1010</t>
  </si>
  <si>
    <t>036-c1.c1</t>
  </si>
  <si>
    <t>45a4f40e415cdf35c3073851506648c8f7d53958</t>
  </si>
  <si>
    <t>bbf79342</t>
  </si>
  <si>
    <t>036-v2.v2</t>
  </si>
  <si>
    <t>493c273fa71bf81861a20af4c4eaae159e169f39</t>
  </si>
  <si>
    <t>1c335dce</t>
  </si>
  <si>
    <t>036-v1.v1</t>
  </si>
  <si>
    <t>e7e3d1484188a115e262511116aaf466b8b1f428</t>
  </si>
  <si>
    <t>f1385b96</t>
  </si>
  <si>
    <t>036-m1.m1</t>
  </si>
  <si>
    <t>バカ殿様 麻雀漫遊記</t>
  </si>
  <si>
    <t>c30bfceed7e669e4c97b0b3ec2e9f4271e5b6662</t>
  </si>
  <si>
    <t>f3ef4485</t>
  </si>
  <si>
    <t>036-s1.s1</t>
  </si>
  <si>
    <t>199111xx (MVS), 19911220 (AES)</t>
  </si>
  <si>
    <t>6c50cc452971c46c763ae0b2def95792671a1798</t>
  </si>
  <si>
    <t>1c66b6fa</t>
  </si>
  <si>
    <t>036-p1.p1</t>
  </si>
  <si>
    <t>NGM-036 / MOM-002 (MVS), NGH-036 / MOH-002 (AES)</t>
  </si>
  <si>
    <t>Monolith Corp.</t>
  </si>
  <si>
    <t>Bakatonosama Mahjong Manyuuki (MOM-002 ~ MOH-002)</t>
  </si>
  <si>
    <t>bakatono</t>
  </si>
  <si>
    <t>21d31e1f136c674caa6dd44073281cd07b72ea9b</t>
  </si>
  <si>
    <t>0eb138cc</t>
  </si>
  <si>
    <t>034-c4.c4</t>
  </si>
  <si>
    <t>714356a2cee976ec0f515b1034ce971018e5c02e</t>
  </si>
  <si>
    <t>e5aa65f5</t>
  </si>
  <si>
    <t>034-c3.c3</t>
  </si>
  <si>
    <t>cf4fccdf10d521d555e92bc24123142393c2b3bb</t>
  </si>
  <si>
    <t>9743ea2f</t>
  </si>
  <si>
    <t>034-c2.c2</t>
  </si>
  <si>
    <t>2944d49ebfc71239d345209ca7f25993c2cc5a77</t>
  </si>
  <si>
    <t>91c56e78</t>
  </si>
  <si>
    <t>034-c1.c1</t>
  </si>
  <si>
    <t>efe47954827a98d539ba719347c5f8aa60e6338b</t>
  </si>
  <si>
    <t>5aa15686</t>
  </si>
  <si>
    <t>034-v2.v2</t>
  </si>
  <si>
    <t>2b3f2875b00e5f307d274128bd73c1521a7d901b</t>
  </si>
  <si>
    <t>50c9d0dd</t>
  </si>
  <si>
    <t>034-v1.v1</t>
  </si>
  <si>
    <t>f3e1cfc4cd2c5baece176f169906aa796367d303</t>
  </si>
  <si>
    <t>f41b16b8</t>
  </si>
  <si>
    <t>034-m1.m1</t>
  </si>
  <si>
    <t>フットボールフレンジー</t>
  </si>
  <si>
    <t>42e1a9671dddd090d2a634cff986f6c73ba08b70</t>
  </si>
  <si>
    <t>8472ed44</t>
  </si>
  <si>
    <t>034-s1.s1</t>
  </si>
  <si>
    <t>19920131 (MVS), 19920221 (AES)</t>
  </si>
  <si>
    <t>97482db0dffc6d625fb41fa38449c0a74d741a72</t>
  </si>
  <si>
    <t>cdef6b19</t>
  </si>
  <si>
    <t>034-p1.p1</t>
  </si>
  <si>
    <t>NGM-034 (MVS), NGH-034 (AES)</t>
  </si>
  <si>
    <t>Football Frenzy (NGM-034 ~ NGH-034)</t>
  </si>
  <si>
    <t>fbfrenzy</t>
  </si>
  <si>
    <t>a12dbb74020aeb6ebf24ec2abbfba5129cabcb7d</t>
  </si>
  <si>
    <t>9397476a</t>
  </si>
  <si>
    <t>033-c4.c4</t>
  </si>
  <si>
    <t>b62bdcede3207d062a89e0a4a9adf706101bb681</t>
  </si>
  <si>
    <t>9b714a7c</t>
  </si>
  <si>
    <t>033-c3.c3</t>
  </si>
  <si>
    <t>ea964bbcc0408b6ae07cbb5043d003281b1aca15</t>
  </si>
  <si>
    <t>5bb952f3</t>
  </si>
  <si>
    <t>033-c2.c2</t>
  </si>
  <si>
    <t>67b9c2814a12603b959612456f59de55f9bf6f57</t>
  </si>
  <si>
    <t>74317e54</t>
  </si>
  <si>
    <t>033-c1.c1</t>
  </si>
  <si>
    <t>80d0ba4cd30aab59b6f0db8fa341387bd7388afc</t>
  </si>
  <si>
    <t>fa2ae47f</t>
  </si>
  <si>
    <t>033-v2.v2</t>
  </si>
  <si>
    <t>120c040db8c01a6f140eea03725448bfa9ca98c2</t>
  </si>
  <si>
    <t>212fd20d</t>
  </si>
  <si>
    <t>033-v1.v1</t>
  </si>
  <si>
    <t>90a5e6cbbc58a7883cd2a3a597180d631a466882</t>
  </si>
  <si>
    <t>5be10ffd</t>
  </si>
  <si>
    <t>033-m1.m1</t>
  </si>
  <si>
    <t>2f3e5feed6c27850b2a0f6fae0b97041690e944c</t>
  </si>
  <si>
    <t>3c3bdf8c</t>
  </si>
  <si>
    <t>033-s1.s1</t>
  </si>
  <si>
    <t>餓狼伝説 宿命の闘い</t>
  </si>
  <si>
    <t>4919eeca20abe807493872ca7c79a5d1f496fe68</t>
  </si>
  <si>
    <t>c473af1c</t>
  </si>
  <si>
    <t>033-p2.p2</t>
  </si>
  <si>
    <t>19911125 (MVS), 19911220 (AES)</t>
  </si>
  <si>
    <t>d46786502920fb510f1999db00c5e09fb641c0bd</t>
  </si>
  <si>
    <t>47ebdc2f</t>
  </si>
  <si>
    <t>033-p1.p1</t>
  </si>
  <si>
    <t>NGM-033 (MVS), NGH-033 (AES)</t>
  </si>
  <si>
    <t>Fatal Fury - King of Fighters / Garou Densetsu - Shukumei no Tatakai (NGM-033 ~ NGH-033)</t>
  </si>
  <si>
    <t>fatfury1</t>
  </si>
  <si>
    <t>5c3d610d492f91564423873b3b434dcda700373f</t>
  </si>
  <si>
    <t>462571de</t>
  </si>
  <si>
    <t>032-c4.c4</t>
  </si>
  <si>
    <t>b11f866dd70ba0ed9123424508355cb948b19bdc</t>
  </si>
  <si>
    <t>40adfccd</t>
  </si>
  <si>
    <t>032-c3.c3</t>
  </si>
  <si>
    <t>2c0162a8e971e5e57933e4ae16040bf824ffdefe</t>
  </si>
  <si>
    <t>65773122</t>
  </si>
  <si>
    <t>032-c2.c2</t>
  </si>
  <si>
    <t>deea59c0892f05dc7db98cb57b3eb83688dc57f0</t>
  </si>
  <si>
    <t>97984c6c</t>
  </si>
  <si>
    <t>032-c1.c1</t>
  </si>
  <si>
    <t>b34885201116d2b3bbdee15ec7b5961cf5c069e1</t>
  </si>
  <si>
    <t>eb95de70</t>
  </si>
  <si>
    <t>032-v2.v2</t>
  </si>
  <si>
    <t>4479e9308cdc906b9e03b985303f4ebedd00512f</t>
  </si>
  <si>
    <t>63791533</t>
  </si>
  <si>
    <t>032-v1.v1</t>
  </si>
  <si>
    <t>8aed30e26d7e2c70dbce5de752df416091066f7b</t>
  </si>
  <si>
    <t>35ec952d</t>
  </si>
  <si>
    <t>032-m1.m1</t>
  </si>
  <si>
    <t>ロボアーミー</t>
  </si>
  <si>
    <t>93bae4697dc403fce19422752a514326ccf66a91</t>
  </si>
  <si>
    <t>ac0daa1b</t>
  </si>
  <si>
    <t>032-s1.s1</t>
  </si>
  <si>
    <t>19911030 (MVS), 19911220 (AES)</t>
  </si>
  <si>
    <t>597ca73f142b1129cc7780540bb9cfacd47bc6ce</t>
  </si>
  <si>
    <t>27c773cb</t>
  </si>
  <si>
    <t>032-epr.p1</t>
  </si>
  <si>
    <t>NGM-032 (MVS), NGH-032 (AES)</t>
  </si>
  <si>
    <t>Robo Army (NGM-032 ~ NGH-032)</t>
  </si>
  <si>
    <t>roboarmya</t>
  </si>
  <si>
    <t>23163e3da2f07e830a7f4a02aea1cb01a54ccbf3</t>
  </si>
  <si>
    <t>cd11cbd4</t>
  </si>
  <si>
    <t>032-p1.p1</t>
  </si>
  <si>
    <t>Robo Army</t>
  </si>
  <si>
    <t>roboarmy</t>
  </si>
  <si>
    <t>616f8fa4c86231f3e79faf9f69f8bb909cbc35f0</t>
  </si>
  <si>
    <t>ed297de8</t>
  </si>
  <si>
    <t>031-c4.c4</t>
  </si>
  <si>
    <t>f4f95a7c8de00e1366a723fc4cd0e8c1905af636</t>
  </si>
  <si>
    <t>580f7f33</t>
  </si>
  <si>
    <t>031-c3.c3</t>
  </si>
  <si>
    <t>e42789c8d87ee3d4549d0a903e990c03338cbbd8</t>
  </si>
  <si>
    <t>efde5382</t>
  </si>
  <si>
    <t>031-c2.c2</t>
  </si>
  <si>
    <t>b67988cb3e550d083e81c9bd436da55b242785ed</t>
  </si>
  <si>
    <t>bd0a4eb8</t>
  </si>
  <si>
    <t>031-c1.c1</t>
  </si>
  <si>
    <t>08165a59700ab6b1e523079dd2a3549e520cc594</t>
  </si>
  <si>
    <t>dda043c6</t>
  </si>
  <si>
    <t>031-v2.v2</t>
  </si>
  <si>
    <t>895bd647150fae9b2259ef043ed681f4c4de66ea</t>
  </si>
  <si>
    <t>cc78497e</t>
  </si>
  <si>
    <t>031-v1.v1</t>
  </si>
  <si>
    <t>99efe9600ebeda48331f396e3203c7588bdb7d24</t>
  </si>
  <si>
    <t>cb37427c</t>
  </si>
  <si>
    <t>031-m1.m1</t>
  </si>
  <si>
    <t>サッカーブロール</t>
  </si>
  <si>
    <t>26e52c4f628338a9aa1c159517cdf873f738fb98</t>
  </si>
  <si>
    <t>4c117174</t>
  </si>
  <si>
    <t>031-s1.s1</t>
  </si>
  <si>
    <t>19920313</t>
  </si>
  <si>
    <t>socbrawl</t>
  </si>
  <si>
    <t>627d76ff0740ca29586f37b268f47fb469822529</t>
  </si>
  <si>
    <t>a2801c24</t>
  </si>
  <si>
    <t>031-p1.p1</t>
  </si>
  <si>
    <t>NGH-031</t>
  </si>
  <si>
    <t>Soccer Brawl (NGH-031)</t>
  </si>
  <si>
    <t>socbrawlh</t>
  </si>
  <si>
    <t>19920214</t>
  </si>
  <si>
    <t>2e66c7bd93a08efe63c4894494db50bbf58f60e4</t>
  </si>
  <si>
    <t>17f034a7</t>
  </si>
  <si>
    <t>031-pg1.p1</t>
  </si>
  <si>
    <t>NGM-031</t>
  </si>
  <si>
    <t>Soccer Brawl (NGM-031)</t>
  </si>
  <si>
    <t>2e2cf9de828e3b48642dd2203637103438c62142</t>
  </si>
  <si>
    <t>780d1c4e</t>
  </si>
  <si>
    <t>030-c4.c4</t>
  </si>
  <si>
    <t>297c505a63448c999a2510c27bf4549102134db8</t>
  </si>
  <si>
    <t>47fddfee</t>
  </si>
  <si>
    <t>030-c3.c3</t>
  </si>
  <si>
    <t>0920cc580d7997fcb0170dd619af2f305d635577</t>
  </si>
  <si>
    <t>d6314bf0</t>
  </si>
  <si>
    <t>030-c2.c2</t>
  </si>
  <si>
    <t>ef7975c4b33a7aea4a25a385f604799f054d3200</t>
  </si>
  <si>
    <t>4f5e19bd</t>
  </si>
  <si>
    <t>030-c1.c1</t>
  </si>
  <si>
    <t>76eb62b86e8ed51a77f44313d5cc8091b3f58d57</t>
  </si>
  <si>
    <t>54994455</t>
  </si>
  <si>
    <t>030-v2.v2</t>
  </si>
  <si>
    <t>b0573744b0ea2ef1e2167a225f0d254883f5af04</t>
  </si>
  <si>
    <t>d4ca364e</t>
  </si>
  <si>
    <t>030-v1.v1</t>
  </si>
  <si>
    <t>6a003b53c7a4af9d7529e2c10f27ffc4e58dcda5</t>
  </si>
  <si>
    <t>4cf466ec</t>
  </si>
  <si>
    <t>030-m1.m1</t>
  </si>
  <si>
    <t>2020年スーパーベースボール</t>
  </si>
  <si>
    <t>8c09bc3e6c62e0f7c9557c1e10c901be325bae7f</t>
  </si>
  <si>
    <t>7015b8fc</t>
  </si>
  <si>
    <t>030-s1.s1</t>
  </si>
  <si>
    <t>19910920 (MVS), 19911025 (AES)</t>
  </si>
  <si>
    <t>2020bb</t>
  </si>
  <si>
    <t>ee0d03a565b11ca3bee2d24f62ff46a85ef18d90</t>
  </si>
  <si>
    <t>12d048d7</t>
  </si>
  <si>
    <t>030-pg1.p1</t>
  </si>
  <si>
    <t>NGM-030 (MVS), NGH-030 (AES)</t>
  </si>
  <si>
    <t>SNK / Pallas</t>
  </si>
  <si>
    <t>2020 Super Baseball (set 3)</t>
  </si>
  <si>
    <t>2020bbh</t>
  </si>
  <si>
    <t>4fbd462c1c18e85a252c58b04b54fd3b82b46cb0</t>
  </si>
  <si>
    <t>c59be3dd</t>
  </si>
  <si>
    <t>030-epr.p1</t>
  </si>
  <si>
    <t>2020 Super Baseball (set 2)</t>
  </si>
  <si>
    <t>2020bba</t>
  </si>
  <si>
    <t>47ba421d14d05b965a8d44e7475b227a208e5a07</t>
  </si>
  <si>
    <t>d396c9cb</t>
  </si>
  <si>
    <t>030-p1.p1</t>
  </si>
  <si>
    <t>2020 Super Baseball (set 1)</t>
  </si>
  <si>
    <t>7a0c4c896dc3e730e06dcadbf00cf354f08a4466</t>
  </si>
  <si>
    <t>37ef298c</t>
  </si>
  <si>
    <t>029-c4.c4</t>
  </si>
  <si>
    <t>14323a4664b7dcbcde82e594168e535d7a921e44</t>
  </si>
  <si>
    <t>6bc52cb2</t>
  </si>
  <si>
    <t>029-c3.c3</t>
  </si>
  <si>
    <t>7014110cee98280317e1189f306ca40652b61f6f</t>
  </si>
  <si>
    <t>318b2711</t>
  </si>
  <si>
    <t>029-c2.c2</t>
  </si>
  <si>
    <t>3e060973bba41a6c22ff7054104bdc5eee1fa13a</t>
  </si>
  <si>
    <t>2f5ab875</t>
  </si>
  <si>
    <t>029-c1.c1</t>
  </si>
  <si>
    <t>7154b7c59b16c32753ac6b5790fb50b51ce30a20</t>
  </si>
  <si>
    <t>85065452</t>
  </si>
  <si>
    <t>029-v1.v1</t>
  </si>
  <si>
    <t>975fb1598b87a2798fff05e951fca2e2e0329e79</t>
  </si>
  <si>
    <t>6f2843f0</t>
  </si>
  <si>
    <t>029-m1.m1</t>
  </si>
  <si>
    <t>あしたのジョー伝説</t>
  </si>
  <si>
    <t>a3400f52c037aa6a42e59e602cc24fa45fcbc951</t>
  </si>
  <si>
    <t>bcd502f0</t>
  </si>
  <si>
    <t>029-s1.s1</t>
  </si>
  <si>
    <t>199107xx (MVS), 19910830 (AES)</t>
  </si>
  <si>
    <t>9bff7bf9fdcf81a0a6c4ce3e196097d4f05e67b6</t>
  </si>
  <si>
    <t>9d563f19</t>
  </si>
  <si>
    <t>029-p1.p1</t>
  </si>
  <si>
    <t>NGM-029 (MVS), NGH-029 (AES)</t>
  </si>
  <si>
    <t>SNK / Wave</t>
  </si>
  <si>
    <t>Legend of Success Joe / Ashita no Joe Densetsu</t>
  </si>
  <si>
    <t>legendos</t>
  </si>
  <si>
    <t>90816dc86be3983dc57f56ededf7738475c0c61e</t>
  </si>
  <si>
    <t>54e87696</t>
  </si>
  <si>
    <t>027-c4.c4</t>
  </si>
  <si>
    <t>288b7ad328c2249f28d17df4dad3584995dca7bf</t>
  </si>
  <si>
    <t>08df1228</t>
  </si>
  <si>
    <t>027-c3.c3</t>
  </si>
  <si>
    <t>82c5b4e5c5c5e30a3fd1c2e11c6157f39d033c42</t>
  </si>
  <si>
    <t>da61f5a6</t>
  </si>
  <si>
    <t>027-c2.c2</t>
  </si>
  <si>
    <t>7d6579530ccb5188f653be69b1df17e47e40e7a6</t>
  </si>
  <si>
    <t>d0086f94</t>
  </si>
  <si>
    <t>027-c1.c1</t>
  </si>
  <si>
    <t>134f3bcc3bb82e2a5711496af1019f343f9c0f7e</t>
  </si>
  <si>
    <t>df5b4eeb</t>
  </si>
  <si>
    <t>027-v21.v21</t>
  </si>
  <si>
    <t>ymsnd:adpcmb</t>
  </si>
  <si>
    <t>bbb8ba8a8e337dd2946eefda4757e80d0547d54a</t>
  </si>
  <si>
    <t>59ad4459</t>
  </si>
  <si>
    <t>027-v11.v11</t>
  </si>
  <si>
    <t>99995bef2584abbba16777bac52f55523f7aa97d</t>
  </si>
  <si>
    <t>add5a226</t>
  </si>
  <si>
    <t>027-m1.m1</t>
  </si>
  <si>
    <t>みなさんのおかげさまです！ 大スゴロク大会</t>
  </si>
  <si>
    <t>8230ff7fe3cabeacecc762d90a084e893db84906</t>
  </si>
  <si>
    <t>e5824baa</t>
  </si>
  <si>
    <t>027-s1.s1</t>
  </si>
  <si>
    <t>199107xx (MVS), 19910701 (AES)</t>
  </si>
  <si>
    <t>c8f8be0ba276c6d12ef13d05af3cf83a2b924894</t>
  </si>
  <si>
    <t>c8381327</t>
  </si>
  <si>
    <t>027-p1.p1</t>
  </si>
  <si>
    <t>NGM-027 / MOM-001 (MVS), NGH-027 / MOH-001 (AES)</t>
  </si>
  <si>
    <t>Minasan no Okagesamadesu! Dai Sugoroku Taikai (MOM-001 ~ MOH-001)</t>
  </si>
  <si>
    <t>minasan</t>
  </si>
  <si>
    <t>88154cbc1a261c2f425430119ebc08a30adc9675</t>
  </si>
  <si>
    <t>e3eca67b</t>
  </si>
  <si>
    <t>025-c4.c4</t>
  </si>
  <si>
    <t>ab72ba1e3ebf56dd356f9ad181f986b1360a1089</t>
  </si>
  <si>
    <t>0923d5b0</t>
  </si>
  <si>
    <t>025-c3.c3</t>
  </si>
  <si>
    <t>da8d074bb4e923ed7b8a154fd31b42f2d65b8e96</t>
  </si>
  <si>
    <t>e1ee51c3</t>
  </si>
  <si>
    <t>025-c2.c2</t>
  </si>
  <si>
    <t>1c96f3d2fd0991680fbf627a6cdd26ad2cd60319</t>
  </si>
  <si>
    <t>555e16a4</t>
  </si>
  <si>
    <t>025-c1.c1</t>
  </si>
  <si>
    <t>fa1119c90ce4c706a6aa0c17d7bc06aa3068d9b2</t>
  </si>
  <si>
    <t>c5e052e9</t>
  </si>
  <si>
    <t>025-v2.v2</t>
  </si>
  <si>
    <t>a4b277703ed67225c652be0d618daeca65a27b88</t>
  </si>
  <si>
    <t>4558558a</t>
  </si>
  <si>
    <t>025-v1.v1</t>
  </si>
  <si>
    <t>205665361c5b2ab4f01ec480dd3c9b69db858d09</t>
  </si>
  <si>
    <t>9927034c</t>
  </si>
  <si>
    <t>025-m1.m1</t>
  </si>
  <si>
    <t>8マン</t>
  </si>
  <si>
    <t>75c44e1af459af155f5b892fd18706268dd5e602</t>
  </si>
  <si>
    <t>a402202b</t>
  </si>
  <si>
    <t>025-s1.s1</t>
  </si>
  <si>
    <t>1991xxxx (MVS), 19911120 (AES)</t>
  </si>
  <si>
    <t>29dfd699f35b0a74e20fedd6c9174c289f0ef6e0</t>
  </si>
  <si>
    <t>43344cb0</t>
  </si>
  <si>
    <t>025-p1.p1</t>
  </si>
  <si>
    <t>NGM-024 (MVS), NGH-024 (AES)</t>
  </si>
  <si>
    <t>Eight Man (NGM-025 ~ NGH-025)</t>
  </si>
  <si>
    <t>eightman</t>
  </si>
  <si>
    <t>607a98da754e8b1dd94a6432b21a36cc38e06a0f</t>
  </si>
  <si>
    <t>fb57217b</t>
  </si>
  <si>
    <t>024_c8_0850.c8</t>
  </si>
  <si>
    <t>00bf257b06180ae6ede57744cea6257b3488d9f0</t>
  </si>
  <si>
    <t>21faf72b</t>
  </si>
  <si>
    <t>024_c7_5edc.c7</t>
  </si>
  <si>
    <t>f23b9d7e2b54d44c96370dde282bdf45cebd9cba</t>
  </si>
  <si>
    <t>c3c93894</t>
  </si>
  <si>
    <t>024_c6_c81a.c6</t>
  </si>
  <si>
    <t>3308fbe48ad165b9894a52fc3a8d9898bbbc0c0e</t>
  </si>
  <si>
    <t>50322397</t>
  </si>
  <si>
    <t>024_c5_dd03.c5</t>
  </si>
  <si>
    <t>8443b455ae8de656adab57f3b7e68919f22d3b9d</t>
  </si>
  <si>
    <t>dcfc3860</t>
  </si>
  <si>
    <t>024_c4_c5b5.c4</t>
  </si>
  <si>
    <t>e8026dd4f722ccab9c913261d09ab8843ef56a0e</t>
  </si>
  <si>
    <t>b0965a74</t>
  </si>
  <si>
    <t>024_c3_0f63.c3</t>
  </si>
  <si>
    <t>404e8776ee8df4ca282eb7b747759af8628ddca1</t>
  </si>
  <si>
    <t>104d7b59</t>
  </si>
  <si>
    <t>024_c2_1951.c2</t>
  </si>
  <si>
    <t>6f94675e037956a380652ab1056e6f1dec605bec</t>
  </si>
  <si>
    <t>677749ec</t>
  </si>
  <si>
    <t>024_c1_b764.c1</t>
  </si>
  <si>
    <t>d42a46c5127c6c62041ebffb0007af8a24abd360</t>
  </si>
  <si>
    <t>7944754f</t>
  </si>
  <si>
    <t>024_v24_2f0f.v24</t>
  </si>
  <si>
    <t>b0a9b1a3377bf0369f3020192505c46ca52927d6</t>
  </si>
  <si>
    <t>2e39462b</t>
  </si>
  <si>
    <t>024_v13_a31e.v13</t>
  </si>
  <si>
    <t>9004aa85d4a9b0ecf9cf9357b073ed55a98fdb02</t>
  </si>
  <si>
    <t>670ce3ec</t>
  </si>
  <si>
    <t>024_v12_d3b7.v12</t>
  </si>
  <si>
    <t>66a9b463d5277908b3a01c03de82b3de9118f2cb</t>
  </si>
  <si>
    <t>0722da38</t>
  </si>
  <si>
    <t>024_v11_b085.v11</t>
  </si>
  <si>
    <t>540c21559163381467679f836cb068adaf526659</t>
  </si>
  <si>
    <t>22122875</t>
  </si>
  <si>
    <t>024_m1_fc7a.m1</t>
  </si>
  <si>
    <t>9ec305007bdb356e9f8f279beae5e2bcb3f2cf7b</t>
  </si>
  <si>
    <t>5cef5cc6</t>
  </si>
  <si>
    <t>024_s1_22fe.s1</t>
  </si>
  <si>
    <t>ecd42182988092417bc96db8301ea408e47735f2</t>
  </si>
  <si>
    <t>6d9ee90f</t>
  </si>
  <si>
    <t>024_p2_8d37.peven</t>
  </si>
  <si>
    <t>lresort</t>
  </si>
  <si>
    <t>6779663118782207156dc9fa9e24e81e30c6391c</t>
  </si>
  <si>
    <t>8e6008ee</t>
  </si>
  <si>
    <t>024_p1_5937.podd</t>
  </si>
  <si>
    <t>Last Resort (prototype)</t>
  </si>
  <si>
    <t>lresortp</t>
  </si>
  <si>
    <t>e916dec5bb5462eb9ae9711f08c7388937abb980</t>
  </si>
  <si>
    <t>7382fefb</t>
  </si>
  <si>
    <t>024-c4.c4</t>
  </si>
  <si>
    <t>bbe6141da28b0db7bf5cf321d69b7e613e2414d7</t>
  </si>
  <si>
    <t>e9f745f8</t>
  </si>
  <si>
    <t>024-c3.c3</t>
  </si>
  <si>
    <t>d0c9c7a9dde9ce175fb243d33ec11fa719d0158c</t>
  </si>
  <si>
    <t>3f0a7fd8</t>
  </si>
  <si>
    <t>024-c2.c2</t>
  </si>
  <si>
    <t>8de2643a618272f8aa1c705363edb007f4a5f5b7</t>
  </si>
  <si>
    <t>3617c2dc</t>
  </si>
  <si>
    <t>024-c1.c1</t>
  </si>
  <si>
    <t>8cb7e8e69892b19d318978370dbc510d51b06a69</t>
  </si>
  <si>
    <t>3c7997c0</t>
  </si>
  <si>
    <t>024-v2.v2</t>
  </si>
  <si>
    <t>e4609ecbcc1c820758f229da5145f51285b50555</t>
  </si>
  <si>
    <t>efdfa063</t>
  </si>
  <si>
    <t>024-v1.v1</t>
  </si>
  <si>
    <t>ab6c6ba7737e68d2420a0617719c6d4c89039c45</t>
  </si>
  <si>
    <t>cec19742</t>
  </si>
  <si>
    <t>024-m1.m1</t>
  </si>
  <si>
    <t>ラストリゾート</t>
  </si>
  <si>
    <t>024-s1.s1</t>
  </si>
  <si>
    <t>19920323 (MVS), 19920424 (AES)</t>
  </si>
  <si>
    <t>3a1817c427185ea1b44fe52f009c00b0a9007c85</t>
  </si>
  <si>
    <t>89c4ab97</t>
  </si>
  <si>
    <t>024-p1.p1</t>
  </si>
  <si>
    <t>Last Resort</t>
  </si>
  <si>
    <t>a8f7648bf21ebd3efe3a49606b53220815a60d0f</t>
  </si>
  <si>
    <t>e182c837</t>
  </si>
  <si>
    <t>123-c2.c2</t>
  </si>
  <si>
    <t>b9430ec157902f0707e5d52e69bd5d93792e7118</t>
  </si>
  <si>
    <t>e579a606</t>
  </si>
  <si>
    <t>123-c1.c1</t>
  </si>
  <si>
    <t>9e15d2142ec5e5d076582dc1cecfd724b0924f54</t>
  </si>
  <si>
    <t>986f4af9</t>
  </si>
  <si>
    <t>123-v1.v1</t>
  </si>
  <si>
    <t>73a1bd175ae29dd957a907a046884f8715bd0a34</t>
  </si>
  <si>
    <t>d67f53f9</t>
  </si>
  <si>
    <t>123-m1.m1</t>
  </si>
  <si>
    <t>5024fee3b245f8a069d7ecfa6f033b70ed1a5fce</t>
  </si>
  <si>
    <t>53de938a</t>
  </si>
  <si>
    <t>123-s1.s1</t>
  </si>
  <si>
    <t>quizdais</t>
  </si>
  <si>
    <t>edd3fd5ba8eae2231e2b0a6605fa00e5c6de094a</t>
  </si>
  <si>
    <t>a6f35eae</t>
  </si>
  <si>
    <t>123-p1.p1</t>
  </si>
  <si>
    <t>퀴즈 사립탐정</t>
  </si>
  <si>
    <t>SNK / Viccom</t>
  </si>
  <si>
    <t>Quiz Salibtamjeong - The Last Count Down (Korean localized Quiz Daisousa Sen)</t>
  </si>
  <si>
    <t>quizdaisk</t>
  </si>
  <si>
    <t>8d1dcfc0927d7523f8be8203573192406ec654b4</t>
  </si>
  <si>
    <t>876a99e6</t>
  </si>
  <si>
    <t>023-c2.c2</t>
  </si>
  <si>
    <t>0deabf771039987b559edc2444eea741bd7ba861</t>
  </si>
  <si>
    <t>2999535a</t>
  </si>
  <si>
    <t>023-c1.c1</t>
  </si>
  <si>
    <t>cf115c6478ce155d889e6a5acb962339e08e024b</t>
  </si>
  <si>
    <t>a53e5bd3</t>
  </si>
  <si>
    <t>023-v1.v1</t>
  </si>
  <si>
    <t>26fc13556fda2dbeb7b5b035abd994e302dc7662</t>
  </si>
  <si>
    <t>2a2105e0</t>
  </si>
  <si>
    <t>023-m1.m1</t>
  </si>
  <si>
    <t>クイズ大捜査線</t>
  </si>
  <si>
    <t>93c8d67a93606a2e02f12ca4cab849dc3f3de286</t>
  </si>
  <si>
    <t>ac31818a</t>
  </si>
  <si>
    <t>023-s1.s1</t>
  </si>
  <si>
    <t>4cdf2f1837fffd720efef42f81f933bdf2ef1402</t>
  </si>
  <si>
    <t>c488fda3</t>
  </si>
  <si>
    <t>023-p1.p1</t>
  </si>
  <si>
    <t>NGM-023 (MVS), NGH-023 (AES)</t>
  </si>
  <si>
    <t>Quiz Daisousa Sen - The Last Count Down (NGM-023 ~ NGH-023)</t>
  </si>
  <si>
    <t>47288be69e6992d09ebef108b4de9ffab6293dc8</t>
  </si>
  <si>
    <t>71bfd48a</t>
  </si>
  <si>
    <t>022-c4.c4</t>
  </si>
  <si>
    <t>974b823fc62236fbc23e727f25b61a805a707a9e</t>
  </si>
  <si>
    <t>66e69753</t>
  </si>
  <si>
    <t>022-c3.c3</t>
  </si>
  <si>
    <t>c468d2556b3de095aaa05edd1bc16d71303e9478</t>
  </si>
  <si>
    <t>e8c1491a</t>
  </si>
  <si>
    <t>022-c2.c2</t>
  </si>
  <si>
    <t>6e282285be72583d828e7765b1c1695ecdc44777</t>
  </si>
  <si>
    <t>4d47a48c</t>
  </si>
  <si>
    <t>022-c1.c1</t>
  </si>
  <si>
    <t>a591fbcedca8f679dacbebcd554e3aa3fd163e92</t>
  </si>
  <si>
    <t>65a54d13</t>
  </si>
  <si>
    <t>022-v22.v22</t>
  </si>
  <si>
    <t>169ec7303c4275155a66a88cc08270c24132bb36</t>
  </si>
  <si>
    <t>2cb4ad91</t>
  </si>
  <si>
    <t>022-v11.v11</t>
  </si>
  <si>
    <t>deabc11ab81e7e68a3e041c03a127ae28d0d7264</t>
  </si>
  <si>
    <t>8e1d4ab6</t>
  </si>
  <si>
    <t>022-m1.m1</t>
  </si>
  <si>
    <t>ラギ</t>
  </si>
  <si>
    <t>dbdf86c193b7c1d795f8c21f2c103c1d3e18abbe</t>
  </si>
  <si>
    <t>843c3624</t>
  </si>
  <si>
    <t>022-s1.s1</t>
  </si>
  <si>
    <t>19910701 (AES)</t>
  </si>
  <si>
    <t>bjourney</t>
  </si>
  <si>
    <t>f9a8fd98702c623ae793804ba50d09751e3fee4c</t>
  </si>
  <si>
    <t>62cbe7b2</t>
  </si>
  <si>
    <t>022-hp1.p1</t>
  </si>
  <si>
    <t>NGH-022 / ALH-001 (AES)</t>
  </si>
  <si>
    <t>Blue's Journey / Raguy (ALH-001)</t>
  </si>
  <si>
    <t>bjourneyh</t>
  </si>
  <si>
    <t>19910314 (MVS), 19910701 (AES)</t>
  </si>
  <si>
    <t>b8ca548e56f1c7abcdce415ba7329e0cf698ee13</t>
  </si>
  <si>
    <t>6a2f6d4a</t>
  </si>
  <si>
    <t>022-p1.p1</t>
  </si>
  <si>
    <t>NGM-022 / ALM-001 (MVS), NGH-022 / ALH-001 (AES)</t>
  </si>
  <si>
    <t>Blue's Journey / Raguy (ALM-001 ~ ALH-001)</t>
  </si>
  <si>
    <t>6bf50cd10236e29146b49e714a0e0ebcfe30a682</t>
  </si>
  <si>
    <t>09ed5258</t>
  </si>
  <si>
    <t>021-c2.c2</t>
  </si>
  <si>
    <t>d6ddb16d8222088f153a85a905bcb99541a5f2cf</t>
  </si>
  <si>
    <t>509250ec</t>
  </si>
  <si>
    <t>021-c1.c1</t>
  </si>
  <si>
    <t>d15cba5eac19ea56fdd4877541f1bb3eb755ebba</t>
  </si>
  <si>
    <t>8ed20a86</t>
  </si>
  <si>
    <t>021-v21.v21</t>
  </si>
  <si>
    <t>7e85420021d4c39c36ed75a1cec567c5610ffce0</t>
  </si>
  <si>
    <t>66c1e5c4</t>
  </si>
  <si>
    <t>021-v11.v11</t>
  </si>
  <si>
    <t>552f025ce0d51c25f42e1a81cf0d08376ca5475d</t>
  </si>
  <si>
    <t>5a4be5e8</t>
  </si>
  <si>
    <t>021-m1.m1</t>
  </si>
  <si>
    <t>ジョイジョイキッド</t>
  </si>
  <si>
    <t>e3757776d60dc07d8e07c9ca61b223b14732f860</t>
  </si>
  <si>
    <t>6956d778</t>
  </si>
  <si>
    <t>021-s1.s1</t>
  </si>
  <si>
    <t>19901120 (MVS), 19910701 (AES)</t>
  </si>
  <si>
    <t>06ebe54c9c4e14c5c31e770013d58b7162359ecc</t>
  </si>
  <si>
    <t>39c3478f</t>
  </si>
  <si>
    <t>021-p1.p1</t>
  </si>
  <si>
    <t>NGM-021 (MVS), NGH-021 (AES)</t>
  </si>
  <si>
    <t>Puzzled / Joy Joy Kid (NGM-021 ~ NGH-021)</t>
  </si>
  <si>
    <t>joyjoy</t>
  </si>
  <si>
    <t>fac74ec97c6612bffdfd1239c115d6247eb7fabc</t>
  </si>
  <si>
    <t>75569e35</t>
  </si>
  <si>
    <t>c18</t>
  </si>
  <si>
    <t>db60e23d1b3323ad757c1fda009f2c08abd5630b</t>
  </si>
  <si>
    <t>c0d7517d</t>
  </si>
  <si>
    <t>c17</t>
  </si>
  <si>
    <t>9e162449af1f37cc22900df09e37226e74d62d35</t>
  </si>
  <si>
    <t>2b904c85</t>
  </si>
  <si>
    <t>c16</t>
  </si>
  <si>
    <t>c3d42b1dd27cc153310a6fc14a02380b6b673574</t>
  </si>
  <si>
    <t>96de9bb5</t>
  </si>
  <si>
    <t>c15</t>
  </si>
  <si>
    <t>563283401cf648edd7cc881969a1107d78f31b75</t>
  </si>
  <si>
    <t>61227b93</t>
  </si>
  <si>
    <t>c14</t>
  </si>
  <si>
    <t>48a5c081de88811b170da794634f1a82e42bd472</t>
  </si>
  <si>
    <t>5f80c0d0</t>
  </si>
  <si>
    <t>c13</t>
  </si>
  <si>
    <t>21df717cea93c0c4c5773e98ffefcdc2a06b83c4</t>
  </si>
  <si>
    <t>41e67a5a</t>
  </si>
  <si>
    <t>c12</t>
  </si>
  <si>
    <t>01dd241534c16e81ce1113a53495606d8f907e1e</t>
  </si>
  <si>
    <t>7a5158b3</t>
  </si>
  <si>
    <t>c11</t>
  </si>
  <si>
    <t>5b2a0e70f2eaf4638b44702dacd4cb17838fb1d5</t>
  </si>
  <si>
    <t>7abf113d</t>
  </si>
  <si>
    <t>v21</t>
  </si>
  <si>
    <t>d3ac11f333b03d8a318921bdaefb14598e289a14</t>
  </si>
  <si>
    <t>4a9e6f03</t>
  </si>
  <si>
    <t>v13</t>
  </si>
  <si>
    <t>638e5fd9b02b4553df42f00188a7ac52a5a7bf84</t>
  </si>
  <si>
    <t>415c61cd</t>
  </si>
  <si>
    <t>v12</t>
  </si>
  <si>
    <t>0a88d8962e057bf0cabd4819d4ba67e093c49b82</t>
  </si>
  <si>
    <t>8cc44140</t>
  </si>
  <si>
    <t>v11</t>
  </si>
  <si>
    <t>4d38a283376725e1c1aca0d5aeedd4862146ba1f</t>
  </si>
  <si>
    <t>32a108cf</t>
  </si>
  <si>
    <t>9a8c092f89521cc0b27a385aa72e29cbaca926c5</t>
  </si>
  <si>
    <t>a6d83d53</t>
  </si>
  <si>
    <t>535b6abd266bba174d20bfff17b2668c6a36d1e6</t>
  </si>
  <si>
    <t>5a4db1f3</t>
  </si>
  <si>
    <t>gpilots</t>
  </si>
  <si>
    <t>b5879d06152bba0c0211c44fff4837b54405e7ee</t>
  </si>
  <si>
    <t>c42125b4</t>
  </si>
  <si>
    <t>Ghost Pilots (prototype)</t>
  </si>
  <si>
    <t>gpilotsp</t>
  </si>
  <si>
    <t>79be7b10ecdab54c2f77062b8f5fda0e299fa982</t>
  </si>
  <si>
    <t>edde439b</t>
  </si>
  <si>
    <t>020-c4.c4</t>
  </si>
  <si>
    <t>f0d476aebbdc2ce008f5f0783be86d295b24aa44</t>
  </si>
  <si>
    <t>d1e42fd0</t>
  </si>
  <si>
    <t>020-c3.c3</t>
  </si>
  <si>
    <t>71c5ef8141234daaa7025427a6c65e79766973a5</t>
  </si>
  <si>
    <t>5f4a925c</t>
  </si>
  <si>
    <t>020-c2.c2</t>
  </si>
  <si>
    <t>50b704862cd79d64fa488e621b079f6e413c33bc</t>
  </si>
  <si>
    <t>bd6fe78e</t>
  </si>
  <si>
    <t>020-c1.c1</t>
  </si>
  <si>
    <t>020-v21.v21</t>
  </si>
  <si>
    <t>020-v12.v12</t>
  </si>
  <si>
    <t>2801868d2badcf8aaf5d490e010e4049d81d7bc1</t>
  </si>
  <si>
    <t>1b526c8b</t>
  </si>
  <si>
    <t>020-v11.v11</t>
  </si>
  <si>
    <t>0e212d2c76856a90b2c2fdff675239525972ac43</t>
  </si>
  <si>
    <t>48409377</t>
  </si>
  <si>
    <t>020-m1.m1</t>
  </si>
  <si>
    <t>020-s1.s1</t>
  </si>
  <si>
    <t>505d2db38ae999b7d436e8f2ff56b81796d62b54</t>
  </si>
  <si>
    <t>edcb22ac</t>
  </si>
  <si>
    <t>020-p2.p2</t>
  </si>
  <si>
    <t>32cae2ddf5e26fb7e8a09132e600220db82df3b8</t>
  </si>
  <si>
    <t>7cdb01ce</t>
  </si>
  <si>
    <t>020-hp1.p1</t>
  </si>
  <si>
    <t>NGH-020</t>
  </si>
  <si>
    <t>Ghost Pilots (NGH-020, US)</t>
  </si>
  <si>
    <t>gpilotsh</t>
  </si>
  <si>
    <t>ゴーストパイロット</t>
  </si>
  <si>
    <t>19910125 (MVS), 19910701 (AES)</t>
  </si>
  <si>
    <t>50ab82517e077727d97668a4df2b9b96d2e78ab6</t>
  </si>
  <si>
    <t>e6f2fe64</t>
  </si>
  <si>
    <t>020-p1.p1</t>
  </si>
  <si>
    <t>NGM-020 (MVS), NGH-020 (AES)</t>
  </si>
  <si>
    <t>Ghost Pilots (NGM-020 ~ NGH-020)</t>
  </si>
  <si>
    <t>82069752028c118d42384a95befde45844f0f247</t>
  </si>
  <si>
    <t>d4dd0802</t>
  </si>
  <si>
    <t>019-c2.c2</t>
  </si>
  <si>
    <t>5011e30ec235d0b0a5a513a11d4275777e61acdb</t>
  </si>
  <si>
    <t>4ccdef18</t>
  </si>
  <si>
    <t>019-c1.c1</t>
  </si>
  <si>
    <t>8ba70f5f665d566824333075227d9bce1253b8d8</t>
  </si>
  <si>
    <t>2efd5ada</t>
  </si>
  <si>
    <t>019-v21.v21</t>
  </si>
  <si>
    <t>7bbaa87e38929ab1e32df5f6a2ec0fd5001e7cdb</t>
  </si>
  <si>
    <t>029faa57</t>
  </si>
  <si>
    <t>019-v12.v12</t>
  </si>
  <si>
    <t>38c555926c77576d63472bc075210c42e9ce13a3</t>
  </si>
  <si>
    <t>0fb74872</t>
  </si>
  <si>
    <t>019-v11.v11</t>
  </si>
  <si>
    <t>a2e318ed6ad1809c79f3f0853d75e0dd1a2f275c</t>
  </si>
  <si>
    <t>d568c17d</t>
  </si>
  <si>
    <t>019-m1.m1</t>
  </si>
  <si>
    <t>86415077e7adc3ba6153eeb4fb0c62cf36e903fa</t>
  </si>
  <si>
    <t>5fcdc0ed</t>
  </si>
  <si>
    <t>019-s1.s1</t>
  </si>
  <si>
    <t>リーグボウリング</t>
  </si>
  <si>
    <t>19901210 (MVS), 19910701 (AES)</t>
  </si>
  <si>
    <t>893d7ae72b4644123469de143fa35fac1cbcd61e</t>
  </si>
  <si>
    <t>a2de8445</t>
  </si>
  <si>
    <t>019-p1.p1</t>
  </si>
  <si>
    <t>NGM-019 (MVS), NGH-019 (AES)</t>
  </si>
  <si>
    <t>League Bowling (NGM-019 ~ NGH-019)</t>
  </si>
  <si>
    <t>lbowling</t>
  </si>
  <si>
    <t>dc72a464c1456a4d2f7b992b416a984fb7885e99</t>
  </si>
  <si>
    <t>67cc9e34</t>
  </si>
  <si>
    <t>018_c8_d256.c18</t>
  </si>
  <si>
    <t>ec1d681c1795de43d20f30f85956e2473ec39c95</t>
  </si>
  <si>
    <t>0f3f0823</t>
  </si>
  <si>
    <t>018_c7_d568.c17</t>
  </si>
  <si>
    <t>835c632fa12a1d5b4104cd80b8f686ac80b314a1</t>
  </si>
  <si>
    <t>5fee51e7</t>
  </si>
  <si>
    <t>018_c6_d2a5.c16</t>
  </si>
  <si>
    <t>d3b06931fca6123604549599544b04529ef34c53</t>
  </si>
  <si>
    <t>837d09d3</t>
  </si>
  <si>
    <t>018_c5_ac9d.c15</t>
  </si>
  <si>
    <t>c27985d8973611d02570f469a0d8cb4f5b63b614</t>
  </si>
  <si>
    <t>d43bf2a5</t>
  </si>
  <si>
    <t>018_c4_bf9d.c14</t>
  </si>
  <si>
    <t>ce94667721baa7b2c318fc268e3bb9209671c9f5</t>
  </si>
  <si>
    <t>410f653b</t>
  </si>
  <si>
    <t>018_c3_9d70.c13</t>
  </si>
  <si>
    <t>d8ee48837faff6cc849046ee8757b2b94d440303</t>
  </si>
  <si>
    <t>6949b501</t>
  </si>
  <si>
    <t>018_c2_d534.c12</t>
  </si>
  <si>
    <t>25040e0a9c2b72900100a22a2a41de5f6c339d8a</t>
  </si>
  <si>
    <t>6569018b</t>
  </si>
  <si>
    <t>018_c1_ba06.c11</t>
  </si>
  <si>
    <t>7f516923d04daa483b4b99c9babba66505931a34</t>
  </si>
  <si>
    <t>9f3b4eda</t>
  </si>
  <si>
    <t>018_v21_98dd.v21</t>
  </si>
  <si>
    <t>02a4c7d4a544350a314ab7b26d8c9d3baa8f5778</t>
  </si>
  <si>
    <t>f1ae637c</t>
  </si>
  <si>
    <t>018_v12_db95.v12</t>
  </si>
  <si>
    <t>c3e71aaec44ead7ddc581565d16b90030e6db5fd</t>
  </si>
  <si>
    <t>dc07ea3c</t>
  </si>
  <si>
    <t>018_v11_56ac.v11</t>
  </si>
  <si>
    <t>4291811b4aefe45261a1ae3631b6999fcd74fb3f</t>
  </si>
  <si>
    <t>470dd5d4</t>
  </si>
  <si>
    <t>018_m1_4586.m1</t>
  </si>
  <si>
    <t>2fdeb93f4bb2a60d391cac2822be41661b1e1795</t>
  </si>
  <si>
    <t>f3d130e8</t>
  </si>
  <si>
    <t>018_s1_9899.s1</t>
  </si>
  <si>
    <t>12170fc6efe75cb5d32624033d3d341032c97548</t>
  </si>
  <si>
    <t>78762f68</t>
  </si>
  <si>
    <t>018_p2_e335.p2</t>
  </si>
  <si>
    <t>burningf</t>
  </si>
  <si>
    <t>55df91dad6f484d3d49c28ab5972700bf71a8662</t>
  </si>
  <si>
    <t>5b4032e7</t>
  </si>
  <si>
    <t>018_p1_9397.p1</t>
  </si>
  <si>
    <t>Burning Fight (prototype, older)</t>
  </si>
  <si>
    <t>burningfp</t>
  </si>
  <si>
    <t>3842735456550734b703a0243c38dd83d4722b0c</t>
  </si>
  <si>
    <t>6fdc1691</t>
  </si>
  <si>
    <t>c8.bin</t>
  </si>
  <si>
    <t>4106203f0a14e6c723cacf77ba75ce3aea563a34</t>
  </si>
  <si>
    <t>def06900</t>
  </si>
  <si>
    <t>c7.bin</t>
  </si>
  <si>
    <t>f1df3b327ab9af71ed6d03a3b788334928c4dbae</t>
  </si>
  <si>
    <t>10d0d2cf</t>
  </si>
  <si>
    <t>c6.bin</t>
  </si>
  <si>
    <t>fe6a1122958084a04ffa9892004d3f3513f43fa2</t>
  </si>
  <si>
    <t>707205ab</t>
  </si>
  <si>
    <t>c5.bin</t>
  </si>
  <si>
    <t>e8903a8ab92e6df29f80b9fe6c5926038e2b2896</t>
  </si>
  <si>
    <t>3af6b235</t>
  </si>
  <si>
    <t>c4.bin</t>
  </si>
  <si>
    <t>66d22a7a58fe86ed747bb27e480254826e1d921b</t>
  </si>
  <si>
    <t>0ac8f1be</t>
  </si>
  <si>
    <t>c3.bin</t>
  </si>
  <si>
    <t>3f3544a7a70827b81ce6978627b7f21edf0072c7</t>
  </si>
  <si>
    <t>7c3464b8</t>
  </si>
  <si>
    <t>c2.bin</t>
  </si>
  <si>
    <t>8f840385ba8e8a7f3d6260f48f1ecb27ccf05c5c</t>
  </si>
  <si>
    <t>8fd6a9bb</t>
  </si>
  <si>
    <t>c1.bin</t>
  </si>
  <si>
    <t>927091f9a098f00eb303f5567f4ee926bcb170e3</t>
  </si>
  <si>
    <t>924e3d69</t>
  </si>
  <si>
    <t>018_v24_22ee.v24</t>
  </si>
  <si>
    <t>2f18ac9ba390bb09abacefc9ccfa3bd6a45d515b</t>
  </si>
  <si>
    <t>4389e65a</t>
  </si>
  <si>
    <t>v24-bad.bin</t>
  </si>
  <si>
    <t>33e9b60e3aaca8e3f625a4238ec768ea04cd58d0</t>
  </si>
  <si>
    <t>a4e0e58a</t>
  </si>
  <si>
    <t>v13.bin</t>
  </si>
  <si>
    <t>5d1f2613cf4a292557f37e6f44a90b20d11ed8cd</t>
  </si>
  <si>
    <t>a0bcf260</t>
  </si>
  <si>
    <t>v12.bin</t>
  </si>
  <si>
    <t>21e0e069650ad4a90567509f2932bb74f3f4205a</t>
  </si>
  <si>
    <t>20b40b70</t>
  </si>
  <si>
    <t>v11.bin</t>
  </si>
  <si>
    <t>72d3776f8c818f5db984e7a1b2fa7cb4a9c8d1ee</t>
  </si>
  <si>
    <t>3031af09</t>
  </si>
  <si>
    <t>m1.bin</t>
  </si>
  <si>
    <t>706bf3649bd08798be031263b9edadb7ecfa122a</t>
  </si>
  <si>
    <t>3effc183</t>
  </si>
  <si>
    <t>s1.bin</t>
  </si>
  <si>
    <t>a125f7bcadf4d8630ae3d08911fe061d15252c76</t>
  </si>
  <si>
    <t>768ddc90</t>
  </si>
  <si>
    <t>87c515ba009ef952942434f48d9a3849d354b6e3</t>
  </si>
  <si>
    <t>f05ce157</t>
  </si>
  <si>
    <t>Burning Fight (prototype, newer, V07)</t>
  </si>
  <si>
    <t>burningfpb</t>
  </si>
  <si>
    <t>0cb0d30e294e7ff398d553d0f08befb53ac65269</t>
  </si>
  <si>
    <t>ed3b1f04</t>
  </si>
  <si>
    <t>018_c8_dc63.c18</t>
  </si>
  <si>
    <t>64bbecb560d2795ae5292776604ea318a9ae53a6</t>
  </si>
  <si>
    <t>41326c0d</t>
  </si>
  <si>
    <t>018_c7_d009.c17</t>
  </si>
  <si>
    <t>cef4f7c697ab6d20e1b5c85df773d0f1a79e3008</t>
  </si>
  <si>
    <t>95e220e6</t>
  </si>
  <si>
    <t>018_c6_8135.c16</t>
  </si>
  <si>
    <t>0f7451ff74901e7250214a7604a37add56ad7e1f</t>
  </si>
  <si>
    <t>74391952</t>
  </si>
  <si>
    <t>018_c5_2cd1.c15</t>
  </si>
  <si>
    <t>888ba63618a2ca541883a612f0c75ffa96f1c528</t>
  </si>
  <si>
    <t>33803163</t>
  </si>
  <si>
    <t>018_c4_c6e1.c14</t>
  </si>
  <si>
    <t>0f7c835029a3f561861a1a07987dad23a32a899c</t>
  </si>
  <si>
    <t>87bffd2f</t>
  </si>
  <si>
    <t>018_c3_a20d.c13</t>
  </si>
  <si>
    <t>7620fccc50ecacf732bb1382abef42212d369f8c</t>
  </si>
  <si>
    <t>bb72404b</t>
  </si>
  <si>
    <t>018_c2_3f55.c12</t>
  </si>
  <si>
    <t>0347d47a689af67426be42b4c99da101ee01ce11</t>
  </si>
  <si>
    <t>3a441c6a</t>
  </si>
  <si>
    <t>018_c1_2505.c11</t>
  </si>
  <si>
    <t>29e763acc9fd4b94d8b5d0ad917e20d8a66bbe49</t>
  </si>
  <si>
    <t>270f4707</t>
  </si>
  <si>
    <t>018_v13_b813.v13</t>
  </si>
  <si>
    <t>018_v12_8146.v12</t>
  </si>
  <si>
    <t>b0ff38b2dca1361ad155e90be3674dbea1c0a53c</t>
  </si>
  <si>
    <t>b55b9670</t>
  </si>
  <si>
    <t>018_v11_6c00.v11</t>
  </si>
  <si>
    <t>a5a0d5e3ea2ef77b6f5cd14f2907ab2f1aed76b7</t>
  </si>
  <si>
    <t>2b0c0415</t>
  </si>
  <si>
    <t>018_m1_d13e.m1</t>
  </si>
  <si>
    <t>ec75ef9dfdcb0b123574fc6d81ebaaadfba32fb5</t>
  </si>
  <si>
    <t>6799ea0d</t>
  </si>
  <si>
    <t>018_s1_4491.s1</t>
  </si>
  <si>
    <t>82f2f81fe96b3c6953985964e12e93e79410ab9e</t>
  </si>
  <si>
    <t>ffae22fb</t>
  </si>
  <si>
    <t>018_p2_3217.peven</t>
  </si>
  <si>
    <t>334b7e5c8e9099d39424e72db66846d0b9e534de</t>
  </si>
  <si>
    <t>f7d15752</t>
  </si>
  <si>
    <t>018_p1_1f28.podd</t>
  </si>
  <si>
    <t>Burning Fight (prototype, near final, ver 23.3, 910326)</t>
  </si>
  <si>
    <t>burningfpa</t>
  </si>
  <si>
    <t>1c691c092a6e2787de4f433b0eb9252bfdaa7e16</t>
  </si>
  <si>
    <t>e2e0aff7</t>
  </si>
  <si>
    <t>018-c4.c4</t>
  </si>
  <si>
    <t>e2303eb1609f1050f0b4f46693a15e37deb176fb</t>
  </si>
  <si>
    <t>862b60da</t>
  </si>
  <si>
    <t>018-c3.c3</t>
  </si>
  <si>
    <t>45659aa1755d96b992c977042186e47fff68bba9</t>
  </si>
  <si>
    <t>d4378876</t>
  </si>
  <si>
    <t>018-c2.c2</t>
  </si>
  <si>
    <t>3cf02d0662e190678d0530d7b7d3f425209adf83</t>
  </si>
  <si>
    <t>25a25e9b</t>
  </si>
  <si>
    <t>018-c1.c1</t>
  </si>
  <si>
    <t>4b3083b9c80620064cb44e812a787a700e32a6f3</t>
  </si>
  <si>
    <t>854ef277</t>
  </si>
  <si>
    <t>018-v2.v2</t>
  </si>
  <si>
    <t>cd3a97a233a4585f8507116aba85884623cccdc4</t>
  </si>
  <si>
    <t>508c9ffc</t>
  </si>
  <si>
    <t>018-v1.v1</t>
  </si>
  <si>
    <t>57d580d3279e66b9fe66bbcc68529d3384a926ff</t>
  </si>
  <si>
    <t>0c939ee2</t>
  </si>
  <si>
    <t>018-m1.m1</t>
  </si>
  <si>
    <t>018-s1.s1</t>
  </si>
  <si>
    <t>c646c4bbdb4e9b32df76c90f582ccd69fcc9f8e7</t>
  </si>
  <si>
    <t>ddffcbf4</t>
  </si>
  <si>
    <t>018-hp1.p1</t>
  </si>
  <si>
    <t>NGH-018 (AES)</t>
  </si>
  <si>
    <t>Burning Fight (NGH-018, US)</t>
  </si>
  <si>
    <t>burningfh</t>
  </si>
  <si>
    <t>バーニングファイト</t>
  </si>
  <si>
    <t>19910520 (MVS), 19910809 (AES)</t>
  </si>
  <si>
    <t>df194a4ad2c35e0e18bc053ff9284183444a4666</t>
  </si>
  <si>
    <t>4092c8db</t>
  </si>
  <si>
    <t>018-p1.p1</t>
  </si>
  <si>
    <t>NGM-018 (MVS), NGH-018 (AES)</t>
  </si>
  <si>
    <t>Burning Fight (NGM-018 ~ NGH-018)</t>
  </si>
  <si>
    <t>8faafa89dbd0345218f71f891419d2e4e7578200</t>
  </si>
  <si>
    <t>f4f3c9cb</t>
  </si>
  <si>
    <t>017-c4.c4</t>
  </si>
  <si>
    <t>e8a8d86e24454948e51a75c883bc6e4091cbf820</t>
  </si>
  <si>
    <t>ed51ef65</t>
  </si>
  <si>
    <t>017-c3.c3</t>
  </si>
  <si>
    <t>6110f693aa23710939c04153cf5af26493e4a03f</t>
  </si>
  <si>
    <t>d55c550d</t>
  </si>
  <si>
    <t>017-c2.c2</t>
  </si>
  <si>
    <t>79879e2ea78c07d04c88dc9a1ad59604b7a078be</t>
  </si>
  <si>
    <t>b4eb82a1</t>
  </si>
  <si>
    <t>017-c1.c1</t>
  </si>
  <si>
    <t>1c9b287996947319eb3d288c3d82932cf01039db</t>
  </si>
  <si>
    <t>f61e6765</t>
  </si>
  <si>
    <t>017-v2.v2</t>
  </si>
  <si>
    <t>9374a5d9f3de8e6a97c11f07d8b4485ac9d55edb</t>
  </si>
  <si>
    <t>23663295</t>
  </si>
  <si>
    <t>017-v1.v1</t>
  </si>
  <si>
    <t>7f3a51f47fcbaa598f5c76bc66e2c53c8dfd852d</t>
  </si>
  <si>
    <t>9b4f34c6</t>
  </si>
  <si>
    <t>017-m1.m1</t>
  </si>
  <si>
    <t>73dce64c61fb5bb7e836a8e60f081bb77d80d281</t>
  </si>
  <si>
    <t>b246204d</t>
  </si>
  <si>
    <t>017-s1.s1</t>
  </si>
  <si>
    <t>88892e1292dd60f35a76f9a22e623d4f0f9693cc</t>
  </si>
  <si>
    <t>3024bbb3</t>
  </si>
  <si>
    <t>017-p2.p2</t>
  </si>
  <si>
    <t>sengoku</t>
  </si>
  <si>
    <t>000ccf9a9c73df75eeba3f2c367c3a1a9e0a3a6b</t>
  </si>
  <si>
    <t>33eccae0</t>
  </si>
  <si>
    <t>017-hp1.p1</t>
  </si>
  <si>
    <t>NGH-017 (AES)</t>
  </si>
  <si>
    <t>Sengoku / Sengoku Denshou (NGH-017, US)</t>
  </si>
  <si>
    <t>sengokuh</t>
  </si>
  <si>
    <t>戦国伝承</t>
  </si>
  <si>
    <t>19910212 (MVS), 19910701 (AES)</t>
  </si>
  <si>
    <t>7a10ecb2f0fd8315641374c065d2602107b09e72</t>
  </si>
  <si>
    <t>f8a63983</t>
  </si>
  <si>
    <t>017-p1.p1</t>
  </si>
  <si>
    <t>NGM-017 (MVS), NGH-017 (AES)</t>
  </si>
  <si>
    <t>Sengoku / Sengoku Denshou (NGM-017 ~ NGH-017)</t>
  </si>
  <si>
    <t>3a2ec365e1d87a9c5ce1ee9bea88402a8eef4ed7</t>
  </si>
  <si>
    <t>070506e2</t>
  </si>
  <si>
    <t>016-c4.c4</t>
  </si>
  <si>
    <t>e33edf4d36c82196d2b474e37be180a05976f558</t>
  </si>
  <si>
    <t>98de7995</t>
  </si>
  <si>
    <t>016-c3.c3</t>
  </si>
  <si>
    <t>d6b43834de6f5442e23ca8fb26b3a36e96790d8d</t>
  </si>
  <si>
    <t>320db048</t>
  </si>
  <si>
    <t>016-c2.c2</t>
  </si>
  <si>
    <t>bc8e3fee56b33ef2bac5b4b852339d2fbcd09b7c</t>
  </si>
  <si>
    <t>71471c25</t>
  </si>
  <si>
    <t>016-c1.c1</t>
  </si>
  <si>
    <t>f4ff5d20587469daa026d5c812739335ce53cfdf</t>
  </si>
  <si>
    <t>5bc23ec5</t>
  </si>
  <si>
    <t>016-v2.v2</t>
  </si>
  <si>
    <t>7fe2db0c64aefdd14d6c36f7fcd6442591e9a014</t>
  </si>
  <si>
    <t>86c0a502</t>
  </si>
  <si>
    <t>016-v1.v1</t>
  </si>
  <si>
    <t>88b915827d529f39c365d3e41197d5461e07a085</t>
  </si>
  <si>
    <t>9da9ca10</t>
  </si>
  <si>
    <t>016-m1.m1</t>
  </si>
  <si>
    <t>8d2b96d395020197bc59294b6b0c8d62b1d8d4dd</t>
  </si>
  <si>
    <t>1a2eeeb3</t>
  </si>
  <si>
    <t>016-s1.s1</t>
  </si>
  <si>
    <t>キング・オブ・ザ・モンスターズ</t>
  </si>
  <si>
    <t>3a95f5910cbb9f17e63ddece995c6e120fa2f622</t>
  </si>
  <si>
    <t>12afdc2b</t>
  </si>
  <si>
    <t>016-p2.p2</t>
  </si>
  <si>
    <t>19910225 (MVS), 19910701 (AES)</t>
  </si>
  <si>
    <t>kotm</t>
  </si>
  <si>
    <t>7684b2e07163aec68cd083ef1d8900f855f6cb42</t>
  </si>
  <si>
    <t>b774621e</t>
  </si>
  <si>
    <t>016-hp1.p1</t>
  </si>
  <si>
    <t>AES?</t>
  </si>
  <si>
    <t>NGH-016?</t>
  </si>
  <si>
    <t>King of the Monsters (set 2)</t>
  </si>
  <si>
    <t>kotmh</t>
  </si>
  <si>
    <t>b98b1b33c0301fd79aac908f6b635dd00d1cb08d</t>
  </si>
  <si>
    <t>1b818731</t>
  </si>
  <si>
    <t>016-p1.p1</t>
  </si>
  <si>
    <t>MVS?</t>
  </si>
  <si>
    <t>NGM-016?</t>
  </si>
  <si>
    <t>King of the Monsters (set 1)</t>
  </si>
  <si>
    <t>17e53a5f4708866a120415bf24f3b89621ad0bcc</t>
  </si>
  <si>
    <t>e4002651</t>
  </si>
  <si>
    <t>014-c4.c4</t>
  </si>
  <si>
    <t>47f97bf120a8480758e1f3bb8982be4c5325c036</t>
  </si>
  <si>
    <t>890327d5</t>
  </si>
  <si>
    <t>014-c3.c3</t>
  </si>
  <si>
    <t>b3369190c47771a790c7adffa958ff55d90e758b</t>
  </si>
  <si>
    <t>69ba4e18</t>
  </si>
  <si>
    <t>014-c2.c2</t>
  </si>
  <si>
    <t>d429a5e09dafd2fb99495658b3652eecbf58f91b</t>
  </si>
  <si>
    <t>5e4381bf</t>
  </si>
  <si>
    <t>014-c1.c1</t>
  </si>
  <si>
    <t>467f6040da3dfb1974785e95e14c3f608a93720a</t>
  </si>
  <si>
    <t>0de53d5e</t>
  </si>
  <si>
    <t>014-v2.v2</t>
  </si>
  <si>
    <t>c9fc04987c4e0875d276e1a0fb671740b6f548ad</t>
  </si>
  <si>
    <t>25419296</t>
  </si>
  <si>
    <t>014-v1.v1</t>
  </si>
  <si>
    <t>623ec7ec2915fb077bf65b4a16c815e071c25259</t>
  </si>
  <si>
    <t>b6683092</t>
  </si>
  <si>
    <t>014-m1.m1</t>
  </si>
  <si>
    <t>ミューテイション ネイション</t>
  </si>
  <si>
    <t>b2524af8704941acc72282aa1d62fd4c93e3e822</t>
  </si>
  <si>
    <t>99419733</t>
  </si>
  <si>
    <t>014-s1.s1</t>
  </si>
  <si>
    <t>19920316 (MVS), 19920417 (AES)</t>
  </si>
  <si>
    <t>87206f67a619dede7959230f9ff3701b8b78957a</t>
  </si>
  <si>
    <t>6f1699c8</t>
  </si>
  <si>
    <t>014-p1.p1</t>
  </si>
  <si>
    <t>NGM-014 (MVS), NGH-014 (AES)</t>
  </si>
  <si>
    <t>Mutation Nation (NGM-014 ~ NGH-014)</t>
  </si>
  <si>
    <t>mutnat</t>
  </si>
  <si>
    <t>077a81b2bb0a8f17c9df6945078608f74432877a</t>
  </si>
  <si>
    <t>b7f63162</t>
  </si>
  <si>
    <t>011-c4.c4</t>
  </si>
  <si>
    <t>1179792d773d97d5e45e7d8f009051d362d72e24</t>
  </si>
  <si>
    <t>14832ff2</t>
  </si>
  <si>
    <t>011-c3.c3</t>
  </si>
  <si>
    <t>b417763bad1acf76116cd56f4203c2d2677e22e5</t>
  </si>
  <si>
    <t>9e29d986</t>
  </si>
  <si>
    <t>011-c2.c2</t>
  </si>
  <si>
    <t>43b35b349594535689c358d9f324adda55e5281a</t>
  </si>
  <si>
    <t>cae7be57</t>
  </si>
  <si>
    <t>011-c1.c1</t>
  </si>
  <si>
    <t>b2b45189837c8287223c2b8bd4df9525b72a3f16</t>
  </si>
  <si>
    <t>426cd040</t>
  </si>
  <si>
    <t>011-v21.v21</t>
  </si>
  <si>
    <t>37b04962f0b8e2a74abd35c407337a6151dc4e95</t>
  </si>
  <si>
    <t>9f513d5a</t>
  </si>
  <si>
    <t>011-v12.v12</t>
  </si>
  <si>
    <t>d7b9beddeb247b584cea9ca6c43ec6869809b673</t>
  </si>
  <si>
    <t>5c674d5c</t>
  </si>
  <si>
    <t>011-v11.v11</t>
  </si>
  <si>
    <t>4e3cb57db716ec48487c1b070c3a55a5faf40856</t>
  </si>
  <si>
    <t>ca661f1b</t>
  </si>
  <si>
    <t>011-m1.m1</t>
  </si>
  <si>
    <t>8003028025ac7bf531e568add6ba66c02d0b7e84</t>
  </si>
  <si>
    <t>ec5fdb96</t>
  </si>
  <si>
    <t>011-s1.s1</t>
  </si>
  <si>
    <t>ザ・スーパースパイ</t>
  </si>
  <si>
    <t>8169dfaf79f52d80ecec402ce1b1ab9cafb7ebdd</t>
  </si>
  <si>
    <t>811a4faf</t>
  </si>
  <si>
    <t>sp2.p2</t>
  </si>
  <si>
    <t>19901008 (MVS), 19910701 (AES)</t>
  </si>
  <si>
    <t>da7560e09187c68f1d9f7656218497b4464c56c9</t>
  </si>
  <si>
    <t>c7f944b5</t>
  </si>
  <si>
    <t>011-p1.p1</t>
  </si>
  <si>
    <t>NGM-011 (MVS), NGH-011 (AES)</t>
  </si>
  <si>
    <t>The Super Spy (NGM-011 ~ NGH-011)</t>
  </si>
  <si>
    <t>superspy</t>
  </si>
  <si>
    <t>2f58475fbb5f1adafce027d396fb05dd71e8fb55</t>
  </si>
  <si>
    <t>c495c567</t>
  </si>
  <si>
    <t>010-c6.c6</t>
  </si>
  <si>
    <t>3ec5cc19809dea688041a42b32c13d257576f3da</t>
  </si>
  <si>
    <t>e8076da0</t>
  </si>
  <si>
    <t>010-c5.c5</t>
  </si>
  <si>
    <t>b4ad0432d4bb6d5a98e27015910343c964b73ed4</t>
  </si>
  <si>
    <t>f7be4674</t>
  </si>
  <si>
    <t>0x100001</t>
  </si>
  <si>
    <t>010-c4.c4</t>
  </si>
  <si>
    <t>fa60863d8a7ed4f21d30f91eb1936d0b8329db7a</t>
  </si>
  <si>
    <t>e4f86efc</t>
  </si>
  <si>
    <t>010-c3.c3</t>
  </si>
  <si>
    <t>cc529640c475d08330e116ea9c5e5a28b7cd13db</t>
  </si>
  <si>
    <t>cbf66432</t>
  </si>
  <si>
    <t>010-c2.c2</t>
  </si>
  <si>
    <t>70f0926409ab265da4b8632500d1d32d63cf77cf</t>
  </si>
  <si>
    <t>8bba5113</t>
  </si>
  <si>
    <t>010-c1.c1</t>
  </si>
  <si>
    <t>588460031d84c308e3353ecf714db9986425c21c</t>
  </si>
  <si>
    <t>586f4cb2</t>
  </si>
  <si>
    <t>010-v21.v21</t>
  </si>
  <si>
    <t>8cf01144f0bcf59f09777175ae6b71846b09f3a1</t>
  </si>
  <si>
    <t>70899bd2</t>
  </si>
  <si>
    <t>010-v14.v14</t>
  </si>
  <si>
    <t>c0937b4f89b8b26c8a0e747b234f44ad6a3bf2ba</t>
  </si>
  <si>
    <t>ae38bc84</t>
  </si>
  <si>
    <t>010-v13.v13</t>
  </si>
  <si>
    <t>8df57a7941bdae7e446a6056039adb012cdde246</t>
  </si>
  <si>
    <t>a0cf1834</t>
  </si>
  <si>
    <t>010-v12.v12</t>
  </si>
  <si>
    <t>5443ee6f90d80d43194cb4b4f0e08851a59e7784</t>
  </si>
  <si>
    <t>90224d22</t>
  </si>
  <si>
    <t>010-v11.v11</t>
  </si>
  <si>
    <t>054ec6a061fcc88df1ecbb0a01611a31f37a7709</t>
  </si>
  <si>
    <t>8be3a078</t>
  </si>
  <si>
    <t>010-m1.m1</t>
  </si>
  <si>
    <t>サイバーリップ</t>
  </si>
  <si>
    <t>c2819a82adbe1f5e489496e0e03477863a5b7665</t>
  </si>
  <si>
    <t>79a35264</t>
  </si>
  <si>
    <t>010-s1.s1</t>
  </si>
  <si>
    <t>19901107</t>
  </si>
  <si>
    <t>6e7cb089de83f1d22cc4a87db5b1a94bf76fb1e8</t>
  </si>
  <si>
    <t>69a6b42d</t>
  </si>
  <si>
    <t>010-p1.p1</t>
  </si>
  <si>
    <t>NGM-010</t>
  </si>
  <si>
    <t>Cyber-Lip (NGM-010)</t>
  </si>
  <si>
    <t>cyberlip</t>
  </si>
  <si>
    <t>16764ef10e404325ba0a1a2ad3a4c0af287be21f</t>
  </si>
  <si>
    <t>2eca8b19</t>
  </si>
  <si>
    <t>009-c6.c6</t>
  </si>
  <si>
    <t>b325f152c7b2388fc92c5826e1dc99094b9ea749</t>
  </si>
  <si>
    <t>67a4344e</t>
  </si>
  <si>
    <t>009-c5.c5</t>
  </si>
  <si>
    <t>8ca6c3f977c43c7abba2a00a0e70f02e2a49f5f2</t>
  </si>
  <si>
    <t>39c2d039</t>
  </si>
  <si>
    <t>009-c4.c4</t>
  </si>
  <si>
    <t>0a165a17af4834876fcd634599cd2208adc9248f</t>
  </si>
  <si>
    <t>3b60a05d</t>
  </si>
  <si>
    <t>009-c3.c3</t>
  </si>
  <si>
    <t>8f48097fb8e4757f50b6d86219122fbf4b6f87ef</t>
  </si>
  <si>
    <t>26877feb</t>
  </si>
  <si>
    <t>009-c2.c2</t>
  </si>
  <si>
    <t>c445c891c0ba4190aa0b472786150620e76df5b4</t>
  </si>
  <si>
    <t>33cc838e</t>
  </si>
  <si>
    <t>009-c1.c1</t>
  </si>
  <si>
    <t>aebd292214ab280b05ee9e759b7e9a681a099c4a</t>
  </si>
  <si>
    <t>365f9011</t>
  </si>
  <si>
    <t>009-v21.v21</t>
  </si>
  <si>
    <t>9426a4f5b31e16f74e72e61951c189a878f211c5</t>
  </si>
  <si>
    <t>505a01b5</t>
  </si>
  <si>
    <t>009-v13.v13</t>
  </si>
  <si>
    <t>a4e6d9d4113ff4ce48b371f65e9187d551821d3b</t>
  </si>
  <si>
    <t>7b3588b7</t>
  </si>
  <si>
    <t>009-v12.v12</t>
  </si>
  <si>
    <t>af5b7fcd8a4aff1307c0a1d937e5f0460c32de79</t>
  </si>
  <si>
    <t>cf32a59c</t>
  </si>
  <si>
    <t>009-v11.v11</t>
  </si>
  <si>
    <t>6f2309d51531052dbf7d712993c9e35649db0d84</t>
  </si>
  <si>
    <t>b5819863</t>
  </si>
  <si>
    <t>009-m1.m1</t>
  </si>
  <si>
    <t>ニンジャコンバット</t>
  </si>
  <si>
    <t>77615f12edf08ae8f1353f7a056a8f3a50d3ebdc</t>
  </si>
  <si>
    <t>d49afee8</t>
  </si>
  <si>
    <t>009-s1.s1</t>
  </si>
  <si>
    <t>19910701</t>
  </si>
  <si>
    <t>ncombat</t>
  </si>
  <si>
    <t>d0b908a86a58f2537eea73a431038f1cd74a5a2f</t>
  </si>
  <si>
    <t>8e9f0add</t>
  </si>
  <si>
    <t>009-pg1.p1</t>
  </si>
  <si>
    <t>NGH-009</t>
  </si>
  <si>
    <t>Ninja Combat (NGH-009)</t>
  </si>
  <si>
    <t>ncombath</t>
  </si>
  <si>
    <t>19900724</t>
  </si>
  <si>
    <t>3872147dda2d1ba905d35f4571065d87b1958b4a</t>
  </si>
  <si>
    <t>b45fcfbf</t>
  </si>
  <si>
    <t>009-p1.p1</t>
  </si>
  <si>
    <t>NGM-009</t>
  </si>
  <si>
    <t>Ninja Combat (NGM-009)</t>
  </si>
  <si>
    <t>47c3364f5c36ae9dc3a49fe37ca60bcee0e73314</t>
  </si>
  <si>
    <t>4483e2cf</t>
  </si>
  <si>
    <t>007_c8_b599.c18</t>
  </si>
  <si>
    <t>730aceb8a66cb33d0194b096568f053ad7dc000a</t>
  </si>
  <si>
    <t>e41e3875</t>
  </si>
  <si>
    <t>007_c7_c983.c17</t>
  </si>
  <si>
    <t>001a8c762336b855fe1df69fe2e605d30a3f00a1</t>
  </si>
  <si>
    <t>3d903b19</t>
  </si>
  <si>
    <t>007_c6_8abc.c16</t>
  </si>
  <si>
    <t>f979c85f83d9f76e554c2617f85f6d4efca6799c</t>
  </si>
  <si>
    <t>cf9f4c53</t>
  </si>
  <si>
    <t>007_c5_5f16.c15</t>
  </si>
  <si>
    <t>dee36f6604adaeb96e0d761a7256241c066b1cd2</t>
  </si>
  <si>
    <t>61240212</t>
  </si>
  <si>
    <t>007_c4_2462.c14</t>
  </si>
  <si>
    <t>0d13ad6333909ad3cf10f9ac360f9abf191318de</t>
  </si>
  <si>
    <t>0743bde2</t>
  </si>
  <si>
    <t>007_c3_c873.c13</t>
  </si>
  <si>
    <t>cedf26d7d85ad140399ee62813c71f35e65498d6</t>
  </si>
  <si>
    <t>912763ab</t>
  </si>
  <si>
    <t>007_c2_29ae.c12</t>
  </si>
  <si>
    <t>fcc2a349121dad86ffefc44b9f0e8ba616ce0d30</t>
  </si>
  <si>
    <t>24841639</t>
  </si>
  <si>
    <t>007_c1_210e.c11</t>
  </si>
  <si>
    <t>7399a05cd4e2c7ecde4a7323d3e189255afe5fc2</t>
  </si>
  <si>
    <t>ac44b75a</t>
  </si>
  <si>
    <t>007_v21_28c2.v21</t>
  </si>
  <si>
    <t>d06b0df872372de38fcf90187195070ac5f8c651</t>
  </si>
  <si>
    <t>25e60f25</t>
  </si>
  <si>
    <t>007_v13_09fa.v13</t>
  </si>
  <si>
    <t>49af3c4dc6a38c5158d3641fd8f9a40041b42aa6</t>
  </si>
  <si>
    <t>2487d495</t>
  </si>
  <si>
    <t>007_v12_c8e8.v12</t>
  </si>
  <si>
    <t>85c94d8660f8a32e4ca8e015f0bd704208482d68</t>
  </si>
  <si>
    <t>18eaa9e1</t>
  </si>
  <si>
    <t>007_v11_1bb4.v11</t>
  </si>
  <si>
    <t>ec824567ecc3579f6d86c9d9385710cbaeef16a3</t>
  </si>
  <si>
    <t>5976b464</t>
  </si>
  <si>
    <t>007_m1_9384.m1</t>
  </si>
  <si>
    <t>a594826b0082fe5a13191673e8d9aa42517230f5</t>
  </si>
  <si>
    <t>efc9ae2e</t>
  </si>
  <si>
    <t>007_s1_36f1.s1</t>
  </si>
  <si>
    <t>40e6f42a92001d9f4e51898dd7489da143b6b74b</t>
  </si>
  <si>
    <t>7a0b435c</t>
  </si>
  <si>
    <t>007_p2_1813.p2</t>
  </si>
  <si>
    <t>alpham2</t>
  </si>
  <si>
    <t>b24acbac255c5ee1a2e92e77cdde6620a24081cf</t>
  </si>
  <si>
    <t>c763e52a</t>
  </si>
  <si>
    <t>007_p1_faac.p1</t>
  </si>
  <si>
    <t>ラストガーディアン</t>
  </si>
  <si>
    <t>Alpha Mission II / ASO II - Last Guardian (prototype)</t>
  </si>
  <si>
    <t>alpham2p</t>
  </si>
  <si>
    <t>a5ed789d7bbc25be5c5b2d99883b64d379c103a2</t>
  </si>
  <si>
    <t>7d588349</t>
  </si>
  <si>
    <t>007-c4.c4</t>
  </si>
  <si>
    <t>4f8dfc6e5188942e03b853a2c9f0ea6138dec791</t>
  </si>
  <si>
    <t>68c2994e</t>
  </si>
  <si>
    <t>007-c3.c3</t>
  </si>
  <si>
    <t>ac85a146276537fed124bda892bb93ff549f1d93</t>
  </si>
  <si>
    <t>4dad2945</t>
  </si>
  <si>
    <t>007-c2.c2</t>
  </si>
  <si>
    <t>1a682292e99eb91b0edb9771c44bc5e762867e98</t>
  </si>
  <si>
    <t>8fba8ff3</t>
  </si>
  <si>
    <t>007-c1.c1</t>
  </si>
  <si>
    <t>1ade4cd0b15c84dd4a0fb7f7abf0885eef3a3f71</t>
  </si>
  <si>
    <t>63e9b574</t>
  </si>
  <si>
    <t>007-v2.v2</t>
  </si>
  <si>
    <t>b59f9f2df29f49470312a6cd20f5669b6aaf51ff</t>
  </si>
  <si>
    <t>cd5db931</t>
  </si>
  <si>
    <t>007-v1.v1</t>
  </si>
  <si>
    <t>1a1a99fb917c6c8db591e3be695ce03f843ee1df</t>
  </si>
  <si>
    <t>28dfe2cd</t>
  </si>
  <si>
    <t>007-m1.m1</t>
  </si>
  <si>
    <t>39a11974438ad36a2cc84307151b31474c3c5518</t>
  </si>
  <si>
    <t>85ec9acf</t>
  </si>
  <si>
    <t>007-s1.s1</t>
  </si>
  <si>
    <t>ASO II ラストガーディアン</t>
  </si>
  <si>
    <t>65d3416dcd96663bc4e7cefe90ecb7c1eafb2dda</t>
  </si>
  <si>
    <t>eb9c1044</t>
  </si>
  <si>
    <t>007-p2.p2</t>
  </si>
  <si>
    <t>19910325 (MVS), 19910701 (AES)</t>
  </si>
  <si>
    <t>8afbf995989f47ad93fea1f31a884afc7228b53a</t>
  </si>
  <si>
    <t>5b266f47</t>
  </si>
  <si>
    <t>007-p1.p1</t>
  </si>
  <si>
    <t>NGM-007 (MVS), NGH-007 (AES)</t>
  </si>
  <si>
    <t>Alpha Mission II / ASO II - Last Guardian (NGM-007 ~ NGH-007)</t>
  </si>
  <si>
    <t>aa2acf2c6f48ffffdcc0c94ddc031acc9e4a2e68</t>
  </si>
  <si>
    <t>205e3208</t>
  </si>
  <si>
    <t>006-c4.c4</t>
  </si>
  <si>
    <t>11fe89b9d112d0658c9ddf40d928584de6ea9202</t>
  </si>
  <si>
    <t>8acff765</t>
  </si>
  <si>
    <t>006-c3.c3</t>
  </si>
  <si>
    <t>e2b750e43cdddcea29d1c9c943a3628117a16a1b</t>
  </si>
  <si>
    <t>e0b70ece</t>
  </si>
  <si>
    <t>006-c2.c2</t>
  </si>
  <si>
    <t>f8f1e6b7841c74368210d52a84307bb28f722a2d</t>
  </si>
  <si>
    <t>4a5c7f78</t>
  </si>
  <si>
    <t>006-c1.c1</t>
  </si>
  <si>
    <t>656a97c6a8832dab3a5e1577d9cd257b561cc356</t>
  </si>
  <si>
    <t>89fbb825</t>
  </si>
  <si>
    <t>006-v24.v24</t>
  </si>
  <si>
    <t>f450e9f60cd6ef846dbc77993159ec6157fb64e7</t>
  </si>
  <si>
    <t>069c71ed</t>
  </si>
  <si>
    <t>006-v23.v23</t>
  </si>
  <si>
    <t>72fb215a4f208a22a764e801186d1643d3d840ca</t>
  </si>
  <si>
    <t>4e2cd7c3</t>
  </si>
  <si>
    <t>006-v22.v22</t>
  </si>
  <si>
    <t>1a2906271fe6bc396898a756153629a5862930eb</t>
  </si>
  <si>
    <t>94092bce</t>
  </si>
  <si>
    <t>006-v21.v21</t>
  </si>
  <si>
    <t>cc95297bee7ffbdcb24ac4daeb5307cb39a52067</t>
  </si>
  <si>
    <t>e2fd2371</t>
  </si>
  <si>
    <t>006-v12.v12</t>
  </si>
  <si>
    <t>a17106cc3f9e5c5d52b4def861c0545a98151da2</t>
  </si>
  <si>
    <t>cdf74a42</t>
  </si>
  <si>
    <t>006-v11.v11</t>
  </si>
  <si>
    <t>d240056cd632f92bdfaa5e0492c09aa9bd7b0471</t>
  </si>
  <si>
    <t>92e7b4fe</t>
  </si>
  <si>
    <t>006-m1.m1</t>
  </si>
  <si>
    <t>0239c342ea62e73140a2306052f226226461a478</t>
  </si>
  <si>
    <t>eb5189f0</t>
  </si>
  <si>
    <t>006-s1.s1</t>
  </si>
  <si>
    <t>ライディングヒーロー</t>
  </si>
  <si>
    <t>f6bbb8ae562804d67e137290c765c3589fa334c0</t>
  </si>
  <si>
    <t>e5cd6306</t>
  </si>
  <si>
    <t>0x02000</t>
  </si>
  <si>
    <t>rhcom.bin</t>
  </si>
  <si>
    <t>0x2000</t>
  </si>
  <si>
    <t>19900724 (MVS), 19910701 (AES)</t>
  </si>
  <si>
    <t>ridhero</t>
  </si>
  <si>
    <t>647bb31f2f68453c1366cb6e2e867e37d1df7a54</t>
  </si>
  <si>
    <t>52445646</t>
  </si>
  <si>
    <t>006-pg1.p1</t>
  </si>
  <si>
    <t>NGM-006 (MVS), NGH-006 (AES)</t>
  </si>
  <si>
    <t>Riding Hero (set 2)</t>
  </si>
  <si>
    <t>ridheroh</t>
  </si>
  <si>
    <t>34d35b71adb5bd06f4f1b50ffd9c58ab9c440a84</t>
  </si>
  <si>
    <t>d4aaf597</t>
  </si>
  <si>
    <t>006-p1.p1</t>
  </si>
  <si>
    <t>Riding Hero (NGM-006 ~ NGH-006)</t>
  </si>
  <si>
    <t>e6ad2843947d35d8e913d2666f87946c1ba7944f</t>
  </si>
  <si>
    <t>ab7ac142</t>
  </si>
  <si>
    <t>005-c6.c6</t>
  </si>
  <si>
    <t>7fa47f4a765948813ebf366168275dcc3c42e951</t>
  </si>
  <si>
    <t>69086dec</t>
  </si>
  <si>
    <t>005-c5.c5</t>
  </si>
  <si>
    <t>4c05f3dc25777a87578ce09a6cefb3a4cebf3266</t>
  </si>
  <si>
    <t>9c46dcf4</t>
  </si>
  <si>
    <t>005-c4.c4</t>
  </si>
  <si>
    <t>478bfafca21f5a1338808251a06ab405e6a9e65f</t>
  </si>
  <si>
    <t>c4c2b926</t>
  </si>
  <si>
    <t>005-c3.c3</t>
  </si>
  <si>
    <t>cec97e1ff7f91158040c629ba75742db82c4ae5e</t>
  </si>
  <si>
    <t>34aa9a86</t>
  </si>
  <si>
    <t>005-c2.c2</t>
  </si>
  <si>
    <t>3c32a0edbbddb694495b510c13979c44b83de8bc</t>
  </si>
  <si>
    <t>806aee34</t>
  </si>
  <si>
    <t>005-c1.c1</t>
  </si>
  <si>
    <t>61b66a9decbbd1f500a8c186615e7fd077c6861e</t>
  </si>
  <si>
    <t>232cfd04</t>
  </si>
  <si>
    <t>005-v22.v22</t>
  </si>
  <si>
    <t>2c16985102e3585e08622d8c54ac5c60425b9ff8</t>
  </si>
  <si>
    <t>f94ab5b7</t>
  </si>
  <si>
    <t>005-v21.v21</t>
  </si>
  <si>
    <t>a8ff4270e7705e263d25ff0b301f503bccea7e59</t>
  </si>
  <si>
    <t>cc0455fd</t>
  </si>
  <si>
    <t>005-v11.v11</t>
  </si>
  <si>
    <t>4f3e500093d61585048767dbd9fa09b3911a05d6</t>
  </si>
  <si>
    <t>26259f0f</t>
  </si>
  <si>
    <t>005-m1.m1</t>
  </si>
  <si>
    <t>マジシャンロード</t>
  </si>
  <si>
    <t>db0dba0a7dced6c9ca929c5abda491b05d84199c</t>
  </si>
  <si>
    <t>1c5369a2</t>
  </si>
  <si>
    <t>005-s1.s1</t>
  </si>
  <si>
    <t>maglord</t>
  </si>
  <si>
    <t>43f234b0f89b72b4c6050c40d9daa5c4e96b94ce</t>
  </si>
  <si>
    <t>599043c5</t>
  </si>
  <si>
    <t>005-p1.p1</t>
  </si>
  <si>
    <t>NGH-005</t>
  </si>
  <si>
    <t>Magician Lord (NGH-005)</t>
  </si>
  <si>
    <t>maglordh</t>
  </si>
  <si>
    <t>19900426</t>
  </si>
  <si>
    <t>d043d3710cf2b0d2b3798008e65e4c7c3ead1af3</t>
  </si>
  <si>
    <t>bd0a492d</t>
  </si>
  <si>
    <t>005-pg1.p1</t>
  </si>
  <si>
    <t>NGM-005</t>
  </si>
  <si>
    <t>Magician Lord (NGM-005)</t>
  </si>
  <si>
    <t>5036f04df30cf6903bd1a8cc06ff6f015c24a74b</t>
  </si>
  <si>
    <t>7e81cb29</t>
  </si>
  <si>
    <t>004-c4.c4</t>
  </si>
  <si>
    <t>21388aeb92bb8e15a55a063701ca9df79e292127</t>
  </si>
  <si>
    <t>9c571a37</t>
  </si>
  <si>
    <t>004-c3.c3</t>
  </si>
  <si>
    <t>2bc4c996d019a4c539f6c3188ef18089e54b7efa</t>
  </si>
  <si>
    <t>bdc13520</t>
  </si>
  <si>
    <t>004-c2.c2</t>
  </si>
  <si>
    <t>df68feed4dcba1e1566032b01ebb7b478a1792bf</t>
  </si>
  <si>
    <t>f1ae16bc</t>
  </si>
  <si>
    <t>004-c1.c1</t>
  </si>
  <si>
    <t>4d1e97f380702a3a06e7f954b4caddd9c4119d8f</t>
  </si>
  <si>
    <t>b3e7eeea</t>
  </si>
  <si>
    <t>004-v23.v23</t>
  </si>
  <si>
    <t>e7d5a362ab7806b7b009700a435c815a20e8ec68</t>
  </si>
  <si>
    <t>776fa2a2</t>
  </si>
  <si>
    <t>004-v22.v22</t>
  </si>
  <si>
    <t>2d4926a220ea21bdd5e816bb16f985fff089500a</t>
  </si>
  <si>
    <t>4999fb27</t>
  </si>
  <si>
    <t>004-v21.v21</t>
  </si>
  <si>
    <t>ab22f1aba1e977ab234a4f1d73dc6ed789dbeb85</t>
  </si>
  <si>
    <t>8503317b</t>
  </si>
  <si>
    <t>004-v12.v12</t>
  </si>
  <si>
    <t>36e0cc8927b11105de40188af46f6cf532794c10</t>
  </si>
  <si>
    <t>b2fb2153</t>
  </si>
  <si>
    <t>004-v11.v11</t>
  </si>
  <si>
    <t>59c58665b53da61352359d191a0569de5dd1f4b3</t>
  </si>
  <si>
    <t>c71fbb3b</t>
  </si>
  <si>
    <t>004-m1.m1</t>
  </si>
  <si>
    <t>麻雀狂列伝</t>
  </si>
  <si>
    <t>876deadd4645373d82a503154eeddf18f440d743</t>
  </si>
  <si>
    <t>2bd05a06</t>
  </si>
  <si>
    <t>004-s1.s1</t>
  </si>
  <si>
    <t>19900426 (MVS), 19910701 (AES)</t>
  </si>
  <si>
    <t>64a62ca4c8fb68954e06121399c9402278bd0467</t>
  </si>
  <si>
    <t>fc6f53db</t>
  </si>
  <si>
    <t>004-p1.p1</t>
  </si>
  <si>
    <t>NGM-004 (MVS), NGH-004 (AES)</t>
  </si>
  <si>
    <t>Mahjong Kyo Retsuden (NGM-004 ~ NGH-004)</t>
  </si>
  <si>
    <t>mahretsu</t>
  </si>
  <si>
    <t>f67c844c34545de6ea187f5bfdf440dec8518532</t>
  </si>
  <si>
    <t>422af22d</t>
  </si>
  <si>
    <t>0x300001</t>
  </si>
  <si>
    <t>003-c8.c8</t>
  </si>
  <si>
    <t>1533dd935f0a8f92a0a3c47d1d2bc6d035454244</t>
  </si>
  <si>
    <t>2886710c</t>
  </si>
  <si>
    <t>003-c7.c7</t>
  </si>
  <si>
    <t>ee397e2f679042e87b37d95837af62bb95a72af9</t>
  </si>
  <si>
    <t>1e63411a</t>
  </si>
  <si>
    <t>003-c6.c6</t>
  </si>
  <si>
    <t>2fc83d13e3e9565919aab01bf2a1b028f433b547</t>
  </si>
  <si>
    <t>9a7146da</t>
  </si>
  <si>
    <t>003-c5.c5</t>
  </si>
  <si>
    <t>f1407da84919c2b3fe0e8f1fca65934b147c86c7</t>
  </si>
  <si>
    <t>29725969</t>
  </si>
  <si>
    <t>003-c4.c4</t>
  </si>
  <si>
    <t>bc6c49b27d498f75a0d1a8c4d0cca75e140b9efc</t>
  </si>
  <si>
    <t>8ce3e8da</t>
  </si>
  <si>
    <t>003-c3.c3</t>
  </si>
  <si>
    <t>b0d8ec967f9b8e5216301c10b2d36912abce6515</t>
  </si>
  <si>
    <t>b4c15d59</t>
  </si>
  <si>
    <t>003-c2.c2</t>
  </si>
  <si>
    <t>583c9253219c1026d81ee5e0cf5568683adc2633</t>
  </si>
  <si>
    <t>0315fbaf</t>
  </si>
  <si>
    <t>003-c1.c1</t>
  </si>
  <si>
    <t>ca02937a611a2c50c9e4b54f8fd4eaea09259894</t>
  </si>
  <si>
    <t>5ba0f501</t>
  </si>
  <si>
    <t>003-v24.v24</t>
  </si>
  <si>
    <t>22461f88a56d272b78dbc23204c0c6816200532b</t>
  </si>
  <si>
    <t>30f53e54</t>
  </si>
  <si>
    <t>003-v23.v23</t>
  </si>
  <si>
    <t>2b580595e1820430a36f06fd3e0e0b8f7d686889</t>
  </si>
  <si>
    <t>9a5f58d4</t>
  </si>
  <si>
    <t>003-v22.v22</t>
  </si>
  <si>
    <t>36d5877d5e42aab943f4d693159f4f3ad8b0addc</t>
  </si>
  <si>
    <t>d34960c6</t>
  </si>
  <si>
    <t>003-v21.v21</t>
  </si>
  <si>
    <t>defa249d46ae220f7bfa70746f5202bbbcc3e5fe</t>
  </si>
  <si>
    <t>ff97f1cb</t>
  </si>
  <si>
    <t>003-v11.v11</t>
  </si>
  <si>
    <t>8e014b8cab3e5b3995756a4ea52ce49c36866377</t>
  </si>
  <si>
    <t>4cc545e6</t>
  </si>
  <si>
    <t>003-m1.m1</t>
  </si>
  <si>
    <t>39cd8bad9f8bfdeb8ac681b5b79ae5aa81c8dd5f</t>
  </si>
  <si>
    <t>7b3eb9b1</t>
  </si>
  <si>
    <t>003-s1.s1</t>
  </si>
  <si>
    <t>トッププレイヤーズ・ゴルフ</t>
  </si>
  <si>
    <t>1604c889592c9610668bff296de48a0d6906156d</t>
  </si>
  <si>
    <t>b7809a8f</t>
  </si>
  <si>
    <t>003-p2.p2</t>
  </si>
  <si>
    <t>19900523 (MVS), 19910701 (AES)</t>
  </si>
  <si>
    <t>3f7bdf5e2964e921fe1dd87c51a79a1a501fc73f</t>
  </si>
  <si>
    <t>f75549ba</t>
  </si>
  <si>
    <t>003-p1.p1</t>
  </si>
  <si>
    <t>NGM-003 (MVS), NGH-003 (AES)</t>
  </si>
  <si>
    <t>Top Player's Golf (NGM-003 ~ NGH-003)</t>
  </si>
  <si>
    <t>tpgolf</t>
  </si>
  <si>
    <t>c620d18f4ff32ed5489c941dfc641030a54f1c14</t>
  </si>
  <si>
    <t>5a3cad41</t>
  </si>
  <si>
    <t>002-c6.c6</t>
  </si>
  <si>
    <t>3268e7d4602c3f55f1e0da2c80653d5ae461ef67</t>
  </si>
  <si>
    <t>807ed83b</t>
  </si>
  <si>
    <t>002-c5.c5</t>
  </si>
  <si>
    <t>a5dd6f26f9485f216c2428ae1792c182beb10dbc</t>
  </si>
  <si>
    <t>5fd87f2f</t>
  </si>
  <si>
    <t>002-c4.c4</t>
  </si>
  <si>
    <t>9f779a1ae46aeda54d69382b074392ade687f62f</t>
  </si>
  <si>
    <t>96f0fdfa</t>
  </si>
  <si>
    <t>002-c3.c3</t>
  </si>
  <si>
    <t>f023b134b9c7994f477867307d2732026033501d</t>
  </si>
  <si>
    <t>3ba0f7e4</t>
  </si>
  <si>
    <t>002-c2.c2</t>
  </si>
  <si>
    <t>c91ee72d1d74514df8ec44fca703409d92158ae3</t>
  </si>
  <si>
    <t>aaff2a45</t>
  </si>
  <si>
    <t>002-c1.c1</t>
  </si>
  <si>
    <t>84159368c0f6de2c3b8121227201cd3422455cf6</t>
  </si>
  <si>
    <t>04a733d1</t>
  </si>
  <si>
    <t>002-v21.v21</t>
  </si>
  <si>
    <t>5abf2a7877e0162c758a4dcf09f183930fa7ef24</t>
  </si>
  <si>
    <t>c7e11c38</t>
  </si>
  <si>
    <t>002-v14.v14</t>
  </si>
  <si>
    <t>db8f8670639601215707d918d4fb93221460446a</t>
  </si>
  <si>
    <t>0c39f3c8</t>
  </si>
  <si>
    <t>002-v13.v13</t>
  </si>
  <si>
    <t>2c8009edc88c6b26f7be5beb2b8d260aac394ee1</t>
  </si>
  <si>
    <t>329f26fc</t>
  </si>
  <si>
    <t>002-v12.v12</t>
  </si>
  <si>
    <t>644c92fa90e74998e73714f74b1e0680ee372a07</t>
  </si>
  <si>
    <t>b7b925bd</t>
  </si>
  <si>
    <t>002-v11.v11</t>
  </si>
  <si>
    <t>50abfb8eed6cb4887393089f9ccc76f306ef69b5</t>
  </si>
  <si>
    <t>4ecaa4ee</t>
  </si>
  <si>
    <t>002-m1.m1</t>
  </si>
  <si>
    <t>ベースボールスターズ プロフェッショナル</t>
  </si>
  <si>
    <t>3fc701b7afddab369ddf9dedfbc5e1aaf80b8af3</t>
  </si>
  <si>
    <t>1a7fd0c6</t>
  </si>
  <si>
    <t>002-s1.s1</t>
  </si>
  <si>
    <t>bstars</t>
  </si>
  <si>
    <t>50b2fffb1278151bb4849fbe1f8cb23916019815</t>
  </si>
  <si>
    <t>3bc7790e</t>
  </si>
  <si>
    <t>002-p1.p1</t>
  </si>
  <si>
    <t>NGH-002</t>
  </si>
  <si>
    <t>Baseball Stars Professional (NGH-002)</t>
  </si>
  <si>
    <t>bstarsh</t>
  </si>
  <si>
    <t>ベースボールスターズ プロフェッショナル（ベースタ・プロ）</t>
  </si>
  <si>
    <t>4cea9f29ad67288c3eccfa4cf961ee9782e49165</t>
  </si>
  <si>
    <t>c100b5f5</t>
  </si>
  <si>
    <t>002-pg.p1</t>
  </si>
  <si>
    <t>NGM-002</t>
  </si>
  <si>
    <t>Baseball Stars Professional (NGM-002)</t>
  </si>
  <si>
    <t>d05b2903b212a51ee131e52c761b714cb787683e</t>
  </si>
  <si>
    <t>e62bed58</t>
  </si>
  <si>
    <t>001-c6.c6</t>
  </si>
  <si>
    <t>89898da36db259180e5261ed45eafc99ca13e504</t>
  </si>
  <si>
    <t>90b74cc2</t>
  </si>
  <si>
    <t>001-c5.c5</t>
  </si>
  <si>
    <t>f108446ec7844fde25f7a4ab454f76d384bf5e52</t>
  </si>
  <si>
    <t>0a32570d</t>
  </si>
  <si>
    <t>001-c4.c4</t>
  </si>
  <si>
    <t>f24fb501a7845f64833f4e5a461bcf9dc3262557</t>
  </si>
  <si>
    <t>0151054c</t>
  </si>
  <si>
    <t>001-c3.c3</t>
  </si>
  <si>
    <t>224c970fd060d841fd430c946ef609bb57b6d78c</t>
  </si>
  <si>
    <t>cbc4064c</t>
  </si>
  <si>
    <t>001-c2.c2</t>
  </si>
  <si>
    <t>c2fb3fb7dd14523a4b4b7fbdb81f44cb4cc48239</t>
  </si>
  <si>
    <t>32ea98e1</t>
  </si>
  <si>
    <t>001-c1.c1</t>
  </si>
  <si>
    <t>4e5d4a709a4737a87bba4083aeb788f657862f1a</t>
  </si>
  <si>
    <t>df468e28</t>
  </si>
  <si>
    <t>001-v23.v23</t>
  </si>
  <si>
    <t>404114db9f3295929080b87a5d0106b40da6223a</t>
  </si>
  <si>
    <t>ab0d8368</t>
  </si>
  <si>
    <t>001-v22.v22</t>
  </si>
  <si>
    <t>a047049646a90b6db2d1882264df9256aa5a85e5</t>
  </si>
  <si>
    <t>55e670b3</t>
  </si>
  <si>
    <t>001-v21.v21</t>
  </si>
  <si>
    <t>e3efc86940f91c53b7724c4566cfc21ea1a7a465</t>
  </si>
  <si>
    <t>a7c3d5e5</t>
  </si>
  <si>
    <t>001-v11.v11</t>
  </si>
  <si>
    <t>a83514f4b20301f84a98699900e2593f1c1b8846</t>
  </si>
  <si>
    <t>ba874463</t>
  </si>
  <si>
    <t>001-m1.m1</t>
  </si>
  <si>
    <t>ナム1975</t>
  </si>
  <si>
    <t>bc2f661f381b06b34ac2fa215dd5689d3bf84832</t>
  </si>
  <si>
    <t>7988ba51</t>
  </si>
  <si>
    <t>001-s1.s1</t>
  </si>
  <si>
    <t>92f4e6ddeeb825077d92dbb70b50afea985f15c0</t>
  </si>
  <si>
    <t>cc9fc951</t>
  </si>
  <si>
    <t>001-p1.p1</t>
  </si>
  <si>
    <t>NGM-001 (MVS), NGH-001 (AES)</t>
  </si>
  <si>
    <t>NAM-1975 (NGM-001 ~ NGH-001)</t>
  </si>
  <si>
    <t>nam1975</t>
  </si>
  <si>
    <t>SNK Neo-Geo cartridges</t>
  </si>
  <si>
    <t>neogeo</t>
  </si>
  <si>
    <t>supported</t>
  </si>
  <si>
    <t>cloneof</t>
  </si>
  <si>
    <t>value</t>
  </si>
  <si>
    <t>name</t>
  </si>
  <si>
    <t>feature</t>
  </si>
  <si>
    <t>status</t>
  </si>
  <si>
    <t>sha1</t>
  </si>
  <si>
    <t>crc</t>
  </si>
  <si>
    <t>size</t>
  </si>
  <si>
    <t>offset</t>
  </si>
  <si>
    <t>loadflag</t>
  </si>
  <si>
    <t>rom</t>
  </si>
  <si>
    <t>endianness</t>
  </si>
  <si>
    <t>width</t>
  </si>
  <si>
    <t>dataarea</t>
  </si>
  <si>
    <t>interface</t>
  </si>
  <si>
    <t>part</t>
  </si>
  <si>
    <t>sharedfeat</t>
  </si>
  <si>
    <t>info</t>
  </si>
  <si>
    <t>publisher</t>
  </si>
  <si>
    <t>year</t>
  </si>
  <si>
    <t>description</t>
  </si>
  <si>
    <t>software</t>
  </si>
  <si>
    <t>softwarelist</t>
  </si>
  <si>
    <t>xxxxx</t>
  </si>
  <si>
    <t>yyyyyy</t>
  </si>
  <si>
    <t>key</t>
  </si>
  <si>
    <t/>
  </si>
  <si>
    <t>game_id</t>
  </si>
  <si>
    <t>game title</t>
  </si>
  <si>
    <t>The King of Fighters '98 - The Slugfest</t>
  </si>
  <si>
    <t>gamemag-id</t>
  </si>
  <si>
    <t>ngmag-kof98</t>
  </si>
  <si>
    <t>ngmag-2020bb</t>
  </si>
  <si>
    <t>ngmag-3countb</t>
  </si>
  <si>
    <t>ngmag-alpham2</t>
  </si>
  <si>
    <t>ngmag-androdun</t>
  </si>
  <si>
    <t>ngmag-aodk</t>
  </si>
  <si>
    <t>ngmag-aof</t>
  </si>
  <si>
    <t>ngmag-b2b</t>
  </si>
  <si>
    <t>ngmag-bakatono</t>
  </si>
  <si>
    <t>ngmag-bangbead</t>
  </si>
  <si>
    <t>ngmag-bjourney</t>
  </si>
  <si>
    <t>ngmag-blazstar</t>
  </si>
  <si>
    <t>ngmag-breakers</t>
  </si>
  <si>
    <t>ngmag-breakrev</t>
  </si>
  <si>
    <t>ngmag-bstars</t>
  </si>
  <si>
    <t>ngmag-burningf</t>
  </si>
  <si>
    <t>ngmag-crswd2bl</t>
  </si>
  <si>
    <t>ngmag-crsword</t>
  </si>
  <si>
    <t>ngmag-ctomaday</t>
  </si>
  <si>
    <t>ngmag-cyberlip</t>
  </si>
  <si>
    <t>ngmag-diggerma</t>
  </si>
  <si>
    <t>ngmag-doubledr</t>
  </si>
  <si>
    <t>ngmag-dragonsh</t>
  </si>
  <si>
    <t>ngmag-eightman</t>
  </si>
  <si>
    <t>ngmag-fatfursp</t>
  </si>
  <si>
    <t>ngmag-fatfury1</t>
  </si>
  <si>
    <t>ngmag-fatfury2</t>
  </si>
  <si>
    <t>ngmag-fatfury3</t>
  </si>
  <si>
    <t>ngmag-fbfrenzy</t>
  </si>
  <si>
    <t>ngmag-fightfev</t>
  </si>
  <si>
    <t>ngmag-flipshot</t>
  </si>
  <si>
    <t>ngmag-froman2b</t>
  </si>
  <si>
    <t>ngmag-galaxyfg</t>
  </si>
  <si>
    <t>ngmag-ganryu</t>
  </si>
  <si>
    <t>ngmag-garou</t>
  </si>
  <si>
    <t>ngmag-ghostlop</t>
  </si>
  <si>
    <t>ngmag-goalx3</t>
  </si>
  <si>
    <t>ngmag-gowcaizr</t>
  </si>
  <si>
    <t>ngmag-gpilots</t>
  </si>
  <si>
    <t>ngmag-gururin</t>
  </si>
  <si>
    <t>ngmag-ironclad</t>
  </si>
  <si>
    <t>ngmag-irrmaze</t>
  </si>
  <si>
    <t>ngmag-janshin</t>
  </si>
  <si>
    <t>ngmag-jockeygp</t>
  </si>
  <si>
    <t>ngmag-joyjoy</t>
  </si>
  <si>
    <t>ngmag-kabukikl</t>
  </si>
  <si>
    <t>ngmag-karnovr</t>
  </si>
  <si>
    <t>ngmag-kizuna</t>
  </si>
  <si>
    <t>ngmag-kof2000</t>
  </si>
  <si>
    <t>ngmag-kof2001</t>
  </si>
  <si>
    <t>ngmag-kof2002</t>
  </si>
  <si>
    <t>ngmag-kof2003</t>
  </si>
  <si>
    <t>ngmag-kof94</t>
  </si>
  <si>
    <t>ngmag-kof95</t>
  </si>
  <si>
    <t>ngmag-kof96</t>
  </si>
  <si>
    <t>ngmag-kof97</t>
  </si>
  <si>
    <t>ngmag-kof99</t>
  </si>
  <si>
    <t>ngmag-kotm</t>
  </si>
  <si>
    <t>ngmag-lastblad</t>
  </si>
  <si>
    <t>ngmag-lastbld2</t>
  </si>
  <si>
    <t>ngmag-lasthope</t>
  </si>
  <si>
    <t>ngmag-lbowling</t>
  </si>
  <si>
    <t>ngmag-legendos</t>
  </si>
  <si>
    <t>ngmag-lresort</t>
  </si>
  <si>
    <t>ngmag-magdrop2</t>
  </si>
  <si>
    <t>ngmag-magdrop3</t>
  </si>
  <si>
    <t>ngmag-maglord</t>
  </si>
  <si>
    <t>ngmag-mahretsu</t>
  </si>
  <si>
    <t>ngmag-marukodq</t>
  </si>
  <si>
    <t>ngmag-matrim</t>
  </si>
  <si>
    <t>ngmag-miexchng</t>
  </si>
  <si>
    <t>ngmag-minasan</t>
  </si>
  <si>
    <t>ngmag-moshougi</t>
  </si>
  <si>
    <t>ngmag-mslug</t>
  </si>
  <si>
    <t>ngmag-mutnat</t>
  </si>
  <si>
    <t>ngmag-nam1975</t>
  </si>
  <si>
    <t>ngmag-ncombat</t>
  </si>
  <si>
    <t>ngmag-ncommand</t>
  </si>
  <si>
    <t>ngmag-neobombe</t>
  </si>
  <si>
    <t>ngmag-neocup98</t>
  </si>
  <si>
    <t>ngmag-neodrift</t>
  </si>
  <si>
    <t>ngmag-neomrdo</t>
  </si>
  <si>
    <t>ngmag-ninjamas</t>
  </si>
  <si>
    <t>ngmag-nitd</t>
  </si>
  <si>
    <t>ngmag-overtop</t>
  </si>
  <si>
    <t>ngmag-panicbom</t>
  </si>
  <si>
    <t>ngmag-pbobbl2n</t>
  </si>
  <si>
    <t>ngmag-pbobblen</t>
  </si>
  <si>
    <t>ngmag-pgoal</t>
  </si>
  <si>
    <t>ngmag-pnyaa</t>
  </si>
  <si>
    <t>ngmag-popbounc</t>
  </si>
  <si>
    <t>ngmag-preisle2</t>
  </si>
  <si>
    <t>ngmag-pspikes2</t>
  </si>
  <si>
    <t>ngmag-pulstar</t>
  </si>
  <si>
    <t>ngmag-puzzldpr</t>
  </si>
  <si>
    <t>ngmag-puzzledp</t>
  </si>
  <si>
    <t>ngmag-quizdai2</t>
  </si>
  <si>
    <t>ngmag-quizdais</t>
  </si>
  <si>
    <t>ngmag-quizkof</t>
  </si>
  <si>
    <t>ngmag-ragnagrd</t>
  </si>
  <si>
    <t>ngmag-rbff1</t>
  </si>
  <si>
    <t>ngmag-rbff2</t>
  </si>
  <si>
    <t>ngmag-rbffspec</t>
  </si>
  <si>
    <t>ngmag-ridhero</t>
  </si>
  <si>
    <t>ngmag-roboarmy</t>
  </si>
  <si>
    <t>ngmag-rotd</t>
  </si>
  <si>
    <t>ngmag-s1945p</t>
  </si>
  <si>
    <t>ngmag-samsh5sp</t>
  </si>
  <si>
    <t>ngmag-samsho</t>
  </si>
  <si>
    <t>ngmag-savagere</t>
  </si>
  <si>
    <t>ngmag-sbp</t>
  </si>
  <si>
    <t>ngmag-sdodgeb</t>
  </si>
  <si>
    <t>ngmag-sengoku</t>
  </si>
  <si>
    <t>ngmag-shocktr2</t>
  </si>
  <si>
    <t>ngmag-shocktro</t>
  </si>
  <si>
    <t>ngmag-socbrawl</t>
  </si>
  <si>
    <t>ngmag-sonicwi2</t>
  </si>
  <si>
    <t>ngmag-sonicwi3</t>
  </si>
  <si>
    <t>ngmag-spinmast</t>
  </si>
  <si>
    <t>ngmag-ssideki</t>
  </si>
  <si>
    <t>ngmag-stakwin</t>
  </si>
  <si>
    <t>ngmag-strhoop</t>
  </si>
  <si>
    <t>ngmag-superspy</t>
  </si>
  <si>
    <t>ngmag-svc</t>
  </si>
  <si>
    <t>ngmag-tophuntr</t>
  </si>
  <si>
    <t>ngmag-totc</t>
  </si>
  <si>
    <t>ngmag-tpgolf</t>
  </si>
  <si>
    <t>ngmag-trally</t>
  </si>
  <si>
    <t>ngmag-turfmast</t>
  </si>
  <si>
    <t>ngmag-twinspri</t>
  </si>
  <si>
    <t>ngmag-twsoc96</t>
  </si>
  <si>
    <t>ngmag-viewpoin</t>
  </si>
  <si>
    <t>ngmag-wakuwak7</t>
  </si>
  <si>
    <t>ngmag-wh1</t>
  </si>
  <si>
    <t>ngmag-wh2</t>
  </si>
  <si>
    <t>ngmag-whp</t>
  </si>
  <si>
    <t>ngmag-wjammers</t>
  </si>
  <si>
    <t>ngmag-zedblade</t>
  </si>
  <si>
    <t>ngmag-zintrckb</t>
  </si>
  <si>
    <t>ngmag-zupapa</t>
  </si>
  <si>
    <t>ngmag-aof2</t>
  </si>
  <si>
    <t>ngmag-aof3</t>
  </si>
  <si>
    <t>ngmag-bstars2</t>
  </si>
  <si>
    <t>ngmag-kotm2</t>
  </si>
  <si>
    <t>ngmag-mslug2</t>
  </si>
  <si>
    <t>ngmag-mslug3</t>
  </si>
  <si>
    <t>ngmag-mslug4</t>
  </si>
  <si>
    <t>ngmag-mslug5</t>
  </si>
  <si>
    <t>ngmag-mslugx</t>
  </si>
  <si>
    <t>ngmag-samsho2</t>
  </si>
  <si>
    <t>ngmag-samsho3</t>
  </si>
  <si>
    <t>ngmag-samsho4</t>
  </si>
  <si>
    <t>ngmag-samsho5</t>
  </si>
  <si>
    <t>ngmag-sengoku2</t>
  </si>
  <si>
    <t>ngmag-sengoku3</t>
  </si>
  <si>
    <t>ngmag-ssideki2</t>
  </si>
  <si>
    <t>ngmag-ssideki3</t>
  </si>
  <si>
    <t>ngmag-ssideki4</t>
  </si>
  <si>
    <t>ngmag-stakwin2</t>
  </si>
  <si>
    <t>wiki</t>
  </si>
  <si>
    <t>Metal_Slug_2</t>
  </si>
  <si>
    <t>Windjammers_(video_game)</t>
  </si>
  <si>
    <t>Metal_Slug_(1996_video_game)</t>
  </si>
  <si>
    <t>The_King_of_Fighters_'98</t>
  </si>
  <si>
    <t>2020 Super Baseball</t>
  </si>
  <si>
    <t>Alpha Mission II / ASO II - Last Guardian</t>
  </si>
  <si>
    <t>Art of Fighting 2 / Ryuuko no Ken 2</t>
  </si>
  <si>
    <t>Blue's Journey / Raguy</t>
  </si>
  <si>
    <t>Baseball Stars Professional</t>
  </si>
  <si>
    <t xml:space="preserve">3 Count Bout / Fire Suplex </t>
  </si>
  <si>
    <t xml:space="preserve">Andro Dunos </t>
  </si>
  <si>
    <t xml:space="preserve">Aggressors of Dark Kombat / Tsuukai GANGAN Koushinkyoku </t>
  </si>
  <si>
    <t xml:space="preserve">Art of Fighting / Ryuuko no Ken </t>
  </si>
  <si>
    <t xml:space="preserve">Bakatonosama Mahjong Manyuuki </t>
  </si>
  <si>
    <t xml:space="preserve">Burning Fight </t>
  </si>
  <si>
    <t xml:space="preserve">Crossed Swords </t>
  </si>
  <si>
    <t xml:space="preserve">Cyber-Lip </t>
  </si>
  <si>
    <t xml:space="preserve">Double Dragon </t>
  </si>
  <si>
    <t xml:space="preserve">Eight Man </t>
  </si>
  <si>
    <t xml:space="preserve">Fatal Fury Special / Garou Densetsu Special </t>
  </si>
  <si>
    <t xml:space="preserve">Fatal Fury - King of Fighters / Garou Densetsu - Shukumei no Tatakai </t>
  </si>
  <si>
    <t xml:space="preserve">Fatal Fury 2 / Garou Densetsu 2 - Arata-naru Tatakai </t>
  </si>
  <si>
    <t xml:space="preserve">Fatal Fury 3 - Road to the Final Victory / Garou Densetsu 3 - Haruka-naru Tatakai </t>
  </si>
  <si>
    <t xml:space="preserve">Football Frenzy </t>
  </si>
  <si>
    <t xml:space="preserve">Fight Fever / Wang Jung Wang </t>
  </si>
  <si>
    <t xml:space="preserve">Garou - Mark of the Wolves </t>
  </si>
  <si>
    <t xml:space="preserve">Ghost Pilots </t>
  </si>
  <si>
    <t xml:space="preserve">Jockey Grand Prix </t>
  </si>
  <si>
    <t xml:space="preserve">Puzzled / Joy Joy Kid </t>
  </si>
  <si>
    <t xml:space="preserve">The King of Fighters 2000 </t>
  </si>
  <si>
    <t xml:space="preserve">The King of Fighters 2001 </t>
  </si>
  <si>
    <t xml:space="preserve">The King of Fighters 2002 </t>
  </si>
  <si>
    <t xml:space="preserve">The King of Fighters 2003 </t>
  </si>
  <si>
    <t xml:space="preserve">The King of Fighters '94 </t>
  </si>
  <si>
    <t xml:space="preserve">The King of Fighters '95 </t>
  </si>
  <si>
    <t xml:space="preserve">The King of Fighters '96 </t>
  </si>
  <si>
    <t xml:space="preserve">The King of Fighters '97 </t>
  </si>
  <si>
    <t xml:space="preserve">The King of Fighters '99 - Millennium Battle </t>
  </si>
  <si>
    <t xml:space="preserve">King of the Monsters </t>
  </si>
  <si>
    <t xml:space="preserve">King of the Monsters 2 - The Next Thing </t>
  </si>
  <si>
    <t xml:space="preserve">The Last Blade / Bakumatsu Roman - Gekka no Kenshi </t>
  </si>
  <si>
    <t xml:space="preserve">League Bowling </t>
  </si>
  <si>
    <t xml:space="preserve">Magician Lord </t>
  </si>
  <si>
    <t xml:space="preserve">Mahjong Kyo Retsuden </t>
  </si>
  <si>
    <t xml:space="preserve">Minasan no Okagesamadesu! Dai Sugoroku Taikai </t>
  </si>
  <si>
    <t xml:space="preserve">Metal Slug 2 - Super Vehicle-001/II </t>
  </si>
  <si>
    <t xml:space="preserve">Metal Slug 3 </t>
  </si>
  <si>
    <t xml:space="preserve">Metal Slug 4 </t>
  </si>
  <si>
    <t xml:space="preserve">Metal Slug 5 </t>
  </si>
  <si>
    <t xml:space="preserve">Metal Slug X - Super Vehicle-001 </t>
  </si>
  <si>
    <t xml:space="preserve">Mutation Nation </t>
  </si>
  <si>
    <t xml:space="preserve">NAM-1975 </t>
  </si>
  <si>
    <t xml:space="preserve">Ninja Combat </t>
  </si>
  <si>
    <t xml:space="preserve">Puzzle Bobble 2 / Bust-A-Move Again </t>
  </si>
  <si>
    <t xml:space="preserve">Puzzle Bobble / Bust-A-Move </t>
  </si>
  <si>
    <t xml:space="preserve">Pleasure Goal / Futsal - 5 on 5 Mini Soccer </t>
  </si>
  <si>
    <t xml:space="preserve">Pochi and Nyaa </t>
  </si>
  <si>
    <t xml:space="preserve">Power Spikes II </t>
  </si>
  <si>
    <t xml:space="preserve">Quiz Meitantei Neo &amp; Geo - Quiz Daisousa Sen Part 2 </t>
  </si>
  <si>
    <t xml:space="preserve">Quiz Daisousa Sen - The Last Count Down </t>
  </si>
  <si>
    <t xml:space="preserve">Quiz King of Fighters </t>
  </si>
  <si>
    <t xml:space="preserve">Real Bout Fatal Fury / Real Bout Garou Densetsu </t>
  </si>
  <si>
    <t xml:space="preserve">Real Bout Fatal Fury 2 - The Newcomers / Real Bout Garou Densetsu 2 - The Newcomers </t>
  </si>
  <si>
    <t xml:space="preserve">Riding Hero </t>
  </si>
  <si>
    <t xml:space="preserve">Rage of the Dragons </t>
  </si>
  <si>
    <t xml:space="preserve">Samurai Shodown V Special / Samurai Spirits Zero Special </t>
  </si>
  <si>
    <t xml:space="preserve">Samurai Shodown / Samurai Spirits </t>
  </si>
  <si>
    <t xml:space="preserve">Samurai Shodown II / Shin Samurai Spirits - Haohmaru Jigokuhen </t>
  </si>
  <si>
    <t xml:space="preserve">Samurai Shodown III / Samurai Spirits - Zankurou Musouken </t>
  </si>
  <si>
    <t xml:space="preserve">Samurai Shodown IV - Amakusa's Revenge / Samurai Spirits - Amakusa Kourin </t>
  </si>
  <si>
    <t xml:space="preserve">Samurai Shodown V / Samurai Spirits Zero </t>
  </si>
  <si>
    <t xml:space="preserve">Super Bubble Pop </t>
  </si>
  <si>
    <t xml:space="preserve">Sengoku / Sengoku Denshou </t>
  </si>
  <si>
    <t xml:space="preserve">Sengoku 3 / Sengoku Densho 2001 </t>
  </si>
  <si>
    <t xml:space="preserve">Shock Troopers </t>
  </si>
  <si>
    <t xml:space="preserve">Soccer Brawl </t>
  </si>
  <si>
    <t xml:space="preserve">Super Sidekicks 2 - The World Championship / Tokuten Ou 2 - Real Fight Football </t>
  </si>
  <si>
    <t xml:space="preserve">Street Hoop / Street Slam / Dunk Dream </t>
  </si>
  <si>
    <t xml:space="preserve">The Super Spy </t>
  </si>
  <si>
    <t xml:space="preserve">SNK vs. Capcom - SVC Chaos </t>
  </si>
  <si>
    <t xml:space="preserve">Top Hunter - Roddy &amp; Cathy </t>
  </si>
  <si>
    <t xml:space="preserve">Top Player's Golf </t>
  </si>
  <si>
    <t xml:space="preserve">Thrash Rally </t>
  </si>
  <si>
    <t xml:space="preserve">World Heroes </t>
  </si>
  <si>
    <t xml:space="preserve">World Heroes 2 </t>
  </si>
  <si>
    <t>Cyber-Lip</t>
  </si>
  <si>
    <t>NAM-1975</t>
  </si>
  <si>
    <t>Ganryu</t>
  </si>
  <si>
    <t>ZuPaPa!</t>
  </si>
  <si>
    <t>Super_Baseball_2020</t>
  </si>
  <si>
    <t>3_Count_Bout</t>
  </si>
  <si>
    <t>Alpha_Mission_II</t>
  </si>
  <si>
    <t>Andro_Dunos</t>
  </si>
  <si>
    <t>Aggressors_of_Dark_Kombat</t>
  </si>
  <si>
    <t>Art_of_Fighting</t>
  </si>
  <si>
    <t>Blazing_Star</t>
  </si>
  <si>
    <t>Breakers_(1996_video_game)</t>
  </si>
  <si>
    <t>Baseball_Stars_Professional</t>
  </si>
  <si>
    <t>Baseball_Stars_2</t>
  </si>
  <si>
    <t>Burning_Fight</t>
  </si>
  <si>
    <t>Crossed_Swords_(video_game)</t>
  </si>
  <si>
    <t>Double_Dragon_(Neo_Geo)</t>
  </si>
  <si>
    <t>8_Man</t>
  </si>
  <si>
    <t>Fatal_Fury_Special</t>
  </si>
  <si>
    <t>Fatal_Fury_3:_Road_to_the_Final_Victory</t>
  </si>
  <si>
    <t>Football_Frenzy</t>
  </si>
  <si>
    <t>Fight_Fever</t>
  </si>
  <si>
    <t>Battle_Flip_Shot</t>
  </si>
  <si>
    <t>Samurai_Shodown_III</t>
  </si>
  <si>
    <t>Galaxy_Fight:_Universal_Warriors</t>
  </si>
  <si>
    <t>Ganryu_(video_game)</t>
  </si>
  <si>
    <t>Garou:_Mark_of_the_Wolves</t>
  </si>
  <si>
    <t>Goal!_Goal!_Goal!</t>
  </si>
  <si>
    <t>Voltage_Fighter_Gowcaizer</t>
  </si>
  <si>
    <t>Ghost_Pilots</t>
  </si>
  <si>
    <t>Ironclad_(video_game)</t>
  </si>
  <si>
    <t>Puzzled_(video_game)</t>
  </si>
  <si>
    <t>Far_East_of_Eden:_Kabuki_Klash</t>
  </si>
  <si>
    <t>Kizuna_Encounter</t>
  </si>
  <si>
    <t>The_King_of_Fighters_2000</t>
  </si>
  <si>
    <t>The_King_of_Fighters_2001</t>
  </si>
  <si>
    <t>The_King_of_Fighters_2002</t>
  </si>
  <si>
    <t>The_King_of_Fighters_2003</t>
  </si>
  <si>
    <t>King_of_the_Monsters_(video_game)</t>
  </si>
  <si>
    <t>King_of_the_Monsters_2</t>
  </si>
  <si>
    <t>Shock_Troopers:_2nd_Squad</t>
  </si>
  <si>
    <t>The_Last_Blade</t>
  </si>
  <si>
    <t>League_Bowling</t>
  </si>
  <si>
    <t>Legend_of_Success_Joe</t>
  </si>
  <si>
    <t>Last_Resort_(video_game)</t>
  </si>
  <si>
    <t>Magician_Lord</t>
  </si>
  <si>
    <t>Money_Puzzle_Exchanger</t>
  </si>
  <si>
    <t>Sh%C5%8Dgi_no_Tatsujin:_Master_of_Syougi</t>
  </si>
  <si>
    <t>Metal_Slug_3</t>
  </si>
  <si>
    <t>Metal_Slug_4</t>
  </si>
  <si>
    <t>Metal_Slug_5</t>
  </si>
  <si>
    <t>Mutation_Nation</t>
  </si>
  <si>
    <t>Ninja_Commando</t>
  </si>
  <si>
    <t>Neo_Bomberman</t>
  </si>
  <si>
    <t>Neo_Drift_Out:_New_Technology</t>
  </si>
  <si>
    <t>Nightmare_in_the_Dark</t>
  </si>
  <si>
    <t>Over_Top</t>
  </si>
  <si>
    <t>Bomberman:_Panic_Bomber</t>
  </si>
  <si>
    <t>Pochi_and_Nyaa</t>
  </si>
  <si>
    <t>Prehistoric_Isle_2</t>
  </si>
  <si>
    <t>Power_Spikes_II</t>
  </si>
  <si>
    <t>Pulstar_(video_game)</t>
  </si>
  <si>
    <t>Puzzle_De_Pon!_R!</t>
  </si>
  <si>
    <t>Puzzle_De_Pon</t>
  </si>
  <si>
    <t>Real_Bout_Fatal_Fury</t>
  </si>
  <si>
    <t>Real_Bout_Fatal_Fury_2:_The_Newcomers</t>
  </si>
  <si>
    <t>Real_Bout_Fatal_Fury_Special</t>
  </si>
  <si>
    <t>Riding_Hero</t>
  </si>
  <si>
    <t>Robo_Army</t>
  </si>
  <si>
    <t>Rage_of_the_Dragons</t>
  </si>
  <si>
    <t>Strikers_1945_Plus</t>
  </si>
  <si>
    <t>Samurai_Shodown_V_Special</t>
  </si>
  <si>
    <t>Samurai_Shodown_V</t>
  </si>
  <si>
    <t>Sengoku_2</t>
  </si>
  <si>
    <t>Sengoku_3</t>
  </si>
  <si>
    <t>Shock_Troopers</t>
  </si>
  <si>
    <t>Soccer_Brawl</t>
  </si>
  <si>
    <t>Aero_Fighters_2</t>
  </si>
  <si>
    <t>Aero_Fighters_3</t>
  </si>
  <si>
    <t>Stakes_Winner</t>
  </si>
  <si>
    <t>Street_Slam</t>
  </si>
  <si>
    <t>The_Super_Spy</t>
  </si>
  <si>
    <t>SNK_vs._Capcom:_SVC_Chaos</t>
  </si>
  <si>
    <t>Top_Hunter:_Roddy_%26_Cathy</t>
  </si>
  <si>
    <t>Thrash_Rally</t>
  </si>
  <si>
    <t>Neo_Turf_Masters</t>
  </si>
  <si>
    <t>Twinkle_Star_Sprites</t>
  </si>
  <si>
    <t>Viewpoint_(video_game)</t>
  </si>
  <si>
    <t>Waku_Waku_7</t>
  </si>
  <si>
    <t>World_Heroes_(video_game)</t>
  </si>
  <si>
    <t>World_Heroes_2</t>
  </si>
  <si>
    <t>World_Heroes_Perfect</t>
  </si>
  <si>
    <t>Zed_Blade</t>
  </si>
  <si>
    <t>Blue's_Journey</t>
  </si>
  <si>
    <t>Karnov's_Revenge</t>
  </si>
  <si>
    <t>The_King_of_Fighters_'94</t>
  </si>
  <si>
    <t>The_King_of_Fighters_'95</t>
  </si>
  <si>
    <t>The_King_of_Fighters_'96</t>
  </si>
  <si>
    <t>The_King_of_Fighters_'97</t>
  </si>
  <si>
    <t>Neo_Geo_Cup_'98:_The_Road_to_the_Victory</t>
  </si>
  <si>
    <t>Top_Player's_Golf</t>
  </si>
  <si>
    <t>Tecmo_World_Soccer_'96</t>
  </si>
  <si>
    <t>Ninja_Combat</t>
  </si>
  <si>
    <t>Sengoku_(1991_video_game)</t>
  </si>
  <si>
    <t>Fatal_Fury:_King_of_Fighters</t>
  </si>
  <si>
    <t>Samurai_Shodown_II</t>
  </si>
  <si>
    <t>Bang_Bang_Busters</t>
  </si>
  <si>
    <t>Crossed_Swords_II</t>
  </si>
  <si>
    <t>Fatal_Fury_2#Fighters</t>
  </si>
  <si>
    <t>The_King_of_Fighters_'99</t>
  </si>
  <si>
    <t>The_Last_Blade_2</t>
  </si>
  <si>
    <t>Last_Hope_(video_game)</t>
  </si>
  <si>
    <t>Matrimelee</t>
  </si>
  <si>
    <t>Ragnagard</t>
  </si>
  <si>
    <t>Mr._Do!#Ports_and_sequels</t>
  </si>
  <si>
    <t>Ninja_Master's</t>
  </si>
  <si>
    <t>Puzzle_Bobble_2</t>
  </si>
  <si>
    <t>Puzzle_Bobble</t>
  </si>
  <si>
    <t>Samurai_Shodown_(1993_video_game)</t>
  </si>
  <si>
    <t>Samurai_Shodown_IV</t>
  </si>
  <si>
    <t>Savage_Reign</t>
  </si>
  <si>
    <t>Super_Dodge_Ball_(Neo_Geo)</t>
  </si>
  <si>
    <t>Spinmaster</t>
  </si>
  <si>
    <t>Super_Sidekicks_(video_game)</t>
  </si>
  <si>
    <t>Super_Sidekicks_2:_The_World_Championship</t>
  </si>
  <si>
    <t>Super_Sidekicks_3:_The_Next_Glory</t>
  </si>
  <si>
    <t>The_Ultimate_11:_SNK_Football_Championship</t>
  </si>
  <si>
    <t>https://snk.fandom.com/wiki/Windjammers?action=edit</t>
  </si>
  <si>
    <t>SNK Fandom</t>
  </si>
  <si>
    <t>https://www.arcade-museum.com/game_detail.php?game_id=10254</t>
  </si>
  <si>
    <t>Arcade Museum</t>
  </si>
  <si>
    <t>Copyrighted</t>
  </si>
  <si>
    <t>https://www.neostore.com/v/vspfiles/photos/1249-2.jpg</t>
  </si>
  <si>
    <t>store</t>
  </si>
  <si>
    <t>pirates of the carabein</t>
  </si>
  <si>
    <t>Moby Games</t>
  </si>
  <si>
    <t>https://www.mobygames.com/info/faq6#f4</t>
  </si>
  <si>
    <t>IMDB</t>
  </si>
  <si>
    <t>https://www.imdb.com/conditions?ref_=ft_cou</t>
  </si>
  <si>
    <t>IGDB</t>
  </si>
  <si>
    <t>IGDB id</t>
  </si>
  <si>
    <t>47595, 75458</t>
  </si>
  <si>
    <t>75445?</t>
  </si>
  <si>
    <t>ngmag-razion</t>
  </si>
  <si>
    <t>Razion Ex</t>
  </si>
  <si>
    <t>Razion</t>
  </si>
  <si>
    <t>64009 / 75511</t>
  </si>
  <si>
    <t>64010 / 75510</t>
  </si>
  <si>
    <t>64013, 47594, 47573</t>
  </si>
  <si>
    <t>ngmag-knchance</t>
  </si>
  <si>
    <t>Knight's Chance</t>
  </si>
  <si>
    <t>Neobitz</t>
  </si>
  <si>
    <t>75470, 40126</t>
  </si>
  <si>
    <t>Zed Blade</t>
  </si>
  <si>
    <t>World Heroes Perfect</t>
  </si>
  <si>
    <t>World Heroes 2 Jet</t>
  </si>
  <si>
    <t>World Heroes 2</t>
  </si>
  <si>
    <t>World Heroes</t>
  </si>
  <si>
    <t>Waku Waku 7</t>
  </si>
  <si>
    <t>Voltage Fighter Gowcaizer</t>
  </si>
  <si>
    <t>TWINKLE STAR SPRITES</t>
  </si>
  <si>
    <t>Treasure of the Caribbean</t>
  </si>
  <si>
    <t>Top Player's Golf</t>
  </si>
  <si>
    <t>Top Hunter: Roddy &amp; Cathy</t>
  </si>
  <si>
    <t>Top Hunter</t>
  </si>
  <si>
    <t>Time's Up</t>
  </si>
  <si>
    <t>Thrash Rally</t>
  </si>
  <si>
    <t>The Ultimate 11: SNK Football Championship</t>
  </si>
  <si>
    <t>The Super Spy</t>
  </si>
  <si>
    <t>The Last Blade: Beyond The Destiny</t>
  </si>
  <si>
    <t>The Last Blade 2: Heart of the Samurai</t>
  </si>
  <si>
    <t>The Last Blade</t>
  </si>
  <si>
    <t>The King of Fighters '99: Millennium Battle</t>
  </si>
  <si>
    <t>The King of Fighters '98</t>
  </si>
  <si>
    <t>The King of Fighters '97</t>
  </si>
  <si>
    <t>The King of Fighters '96</t>
  </si>
  <si>
    <t>The King of Fighters '95</t>
  </si>
  <si>
    <t>The King of Fighters '94</t>
  </si>
  <si>
    <t>The King of Fighters 2003</t>
  </si>
  <si>
    <t>The King of Fighters 2002</t>
  </si>
  <si>
    <t>The King of Fighters 2001</t>
  </si>
  <si>
    <t>The King of Fighters 2000</t>
  </si>
  <si>
    <t>The Irritating Maze</t>
  </si>
  <si>
    <t>Tecmo World Soccer '96</t>
  </si>
  <si>
    <t>Super Sidekicks 3: The Next Glory</t>
  </si>
  <si>
    <t>Super Sidekicks 2</t>
  </si>
  <si>
    <t>Super Sidekicks</t>
  </si>
  <si>
    <t>Strikers 1945 Plus</t>
  </si>
  <si>
    <t>Street Hoop</t>
  </si>
  <si>
    <t>Stakes Winner 2</t>
  </si>
  <si>
    <t>Stakes Winner</t>
  </si>
  <si>
    <t>Sonic Wings 3</t>
  </si>
  <si>
    <t>Soccer Brawl</t>
  </si>
  <si>
    <t>SNK vs. Capcom: SVC Chaos</t>
  </si>
  <si>
    <t>Shogi no Tatsujin</t>
  </si>
  <si>
    <t>Shock Troopers</t>
  </si>
  <si>
    <t>Sengoku Legends 2001</t>
  </si>
  <si>
    <t>Sengoku 3</t>
  </si>
  <si>
    <t>Sengoku 2</t>
  </si>
  <si>
    <t>Sengoku</t>
  </si>
  <si>
    <t>Savage Reign</t>
  </si>
  <si>
    <t>Samurai Spirits Zero Special (Unfixed)</t>
  </si>
  <si>
    <t>Samurai Spirits Zero Special (Fixed)</t>
  </si>
  <si>
    <t>Samurai Shodown V Special</t>
  </si>
  <si>
    <t>Samurai Shodown V</t>
  </si>
  <si>
    <t>Samurai Shodown IV: Amakusa's Revenge</t>
  </si>
  <si>
    <t>Samurai Shodown III</t>
  </si>
  <si>
    <t>Samurai Shodown II</t>
  </si>
  <si>
    <t>Samurai Shodown</t>
  </si>
  <si>
    <t>Robo Army</t>
  </si>
  <si>
    <t>Riding Hero</t>
  </si>
  <si>
    <t>Real Bout Fatal Fury Special</t>
  </si>
  <si>
    <t>Real Bout Fatal Fury 2: The Newcomers</t>
  </si>
  <si>
    <t>Real Bout Fatal Fury</t>
  </si>
  <si>
    <t>Raguy</t>
  </si>
  <si>
    <t>Rage of the Dragons</t>
  </si>
  <si>
    <t>R.A.Z.I.O.N</t>
  </si>
  <si>
    <t>Quiz Meitantei Neo &amp; Geo: Quiz Daisousasen Part 2</t>
  </si>
  <si>
    <t>Quiz Meitantei Neo &amp; Geo</t>
  </si>
  <si>
    <t>Quiz King of Fighters</t>
  </si>
  <si>
    <t>Quiz Daisousa Sen: The Last Count Down</t>
  </si>
  <si>
    <t>Quiz Daisousa Sen</t>
  </si>
  <si>
    <t>Puzzled</t>
  </si>
  <si>
    <t>Puzzle de Pon! R</t>
  </si>
  <si>
    <t>Puzzle De Pon!</t>
  </si>
  <si>
    <t>Prehistoric Isle 2</t>
  </si>
  <si>
    <t>Power Spikes II</t>
  </si>
  <si>
    <t>Power Instinct Matrimelee</t>
  </si>
  <si>
    <t>Pochi &amp; Nyaa</t>
  </si>
  <si>
    <t>Pleasure Goal</t>
  </si>
  <si>
    <t>Over Top</t>
  </si>
  <si>
    <t>Ninja Master's: Haou Ninpou-ko</t>
  </si>
  <si>
    <t>Ninja Commando</t>
  </si>
  <si>
    <t>Ninja Combat</t>
  </si>
  <si>
    <t>Nightmare in the dark</t>
  </si>
  <si>
    <t>Neo XYX</t>
  </si>
  <si>
    <t>Neo Turf Masters</t>
  </si>
  <si>
    <t>Neo Pang</t>
  </si>
  <si>
    <t>Neo Mr. Do!</t>
  </si>
  <si>
    <t>Neo Geo Cup '98: The Road to the Victory</t>
  </si>
  <si>
    <t>Neo Drift Out: New Technology</t>
  </si>
  <si>
    <t>Neo Bomberman</t>
  </si>
  <si>
    <t>Mutation Nation</t>
  </si>
  <si>
    <t>Money Puzzle Exchanger</t>
  </si>
  <si>
    <t>Minnasanno Okagesamadesu! Daisugorokutaikai</t>
  </si>
  <si>
    <t>Minnasan no Okagesama Desu! Dai Sugoroku Taikai</t>
  </si>
  <si>
    <t>Minasan No Okagesamadesu!</t>
  </si>
  <si>
    <t>Metal Slug X</t>
  </si>
  <si>
    <t>Metal Slug 5</t>
  </si>
  <si>
    <t>Metal Slug 4</t>
  </si>
  <si>
    <t>Metal Slug 3</t>
  </si>
  <si>
    <t>Metal Slug 2</t>
  </si>
  <si>
    <t>Metal Slug</t>
  </si>
  <si>
    <t>Master of Syougi</t>
  </si>
  <si>
    <t>Mahjong Kyōretsuden</t>
  </si>
  <si>
    <t>Mahjong Kyo Retsuden</t>
  </si>
  <si>
    <t>Magician Lord</t>
  </si>
  <si>
    <t>Magical Drop III</t>
  </si>
  <si>
    <t>Magical Drop II</t>
  </si>
  <si>
    <t>Legend of Success Joe</t>
  </si>
  <si>
    <t>League Bowling</t>
  </si>
  <si>
    <t>Last Resort</t>
  </si>
  <si>
    <t>Last Hope: Pink Bullets</t>
  </si>
  <si>
    <t>Knight's Chance</t>
  </si>
  <si>
    <t>Kizuna Encounter: Super Tag Battle</t>
  </si>
  <si>
    <t>King of the Monsters 2</t>
  </si>
  <si>
    <t>King of the Monsters</t>
  </si>
  <si>
    <t>Kabuki Klash</t>
  </si>
  <si>
    <t>Jyanshin Densetsu - Quest of Jongmaster</t>
  </si>
  <si>
    <t>Joy Joy kid</t>
  </si>
  <si>
    <t>Jockey Grand Prix</t>
  </si>
  <si>
    <t>Janshin Densetsu: Quest of Jongmaster</t>
  </si>
  <si>
    <t>GURURIN</t>
  </si>
  <si>
    <t>Gunlord</t>
  </si>
  <si>
    <t>Goal! Goal! Goal!</t>
  </si>
  <si>
    <t>Ghostlop (Limited release)</t>
  </si>
  <si>
    <t>GHOSTLOP</t>
  </si>
  <si>
    <t>Ghost Pilots</t>
  </si>
  <si>
    <t>Garou: Mark of the Wolves</t>
  </si>
  <si>
    <t>Galaxy Fight: Universal Warriors</t>
  </si>
  <si>
    <t>Futsal: 5 on 5 Mini Soccer</t>
  </si>
  <si>
    <t>Football Frenzy</t>
  </si>
  <si>
    <t>Flip Shot</t>
  </si>
  <si>
    <t>Fire Suplex</t>
  </si>
  <si>
    <t>Fighter's History Dynamite</t>
  </si>
  <si>
    <t>Fight Fever</t>
  </si>
  <si>
    <t>Fatal Fury: King of Fighters</t>
  </si>
  <si>
    <t>Fatal Fury Special</t>
  </si>
  <si>
    <t>Fatal Fury 3: Road to the Final Victory</t>
  </si>
  <si>
    <t>Fatal Fury 2</t>
  </si>
  <si>
    <t>Fatal Fury</t>
  </si>
  <si>
    <t>Fast Striker</t>
  </si>
  <si>
    <t>Far East of Eden: Kabuki Klash</t>
  </si>
  <si>
    <t>EightMan</t>
  </si>
  <si>
    <t>Double Dragon</t>
  </si>
  <si>
    <t>Crouching Pony Hidden Dragon</t>
  </si>
  <si>
    <t>Crossed Swords</t>
  </si>
  <si>
    <t>Chibi Maruko-chan Deluxe Quiz</t>
  </si>
  <si>
    <t>Captain Tomaday</t>
  </si>
  <si>
    <t>Bust-A-Move</t>
  </si>
  <si>
    <t>Burning Fight</t>
  </si>
  <si>
    <t>Breakers Revenge</t>
  </si>
  <si>
    <t>Bomberman: Panic Bomber</t>
  </si>
  <si>
    <t>Blue's Journey</t>
  </si>
  <si>
    <t>Blazing Star</t>
  </si>
  <si>
    <t>Baseball Stars Professional</t>
  </si>
  <si>
    <t>Baseball Stars 2</t>
  </si>
  <si>
    <t>Bang Bang Busters</t>
  </si>
  <si>
    <t>Bakatonosama Mahjong Manyuki</t>
  </si>
  <si>
    <t>Art of Fighting 3: The Path of The Warrior</t>
  </si>
  <si>
    <t>Art of Fighting 2</t>
  </si>
  <si>
    <t>Art of Fighting</t>
  </si>
  <si>
    <t>Andro Dunos</t>
  </si>
  <si>
    <t>Alpha Mission II</t>
  </si>
  <si>
    <t>Aggressors of Dark Kombat</t>
  </si>
  <si>
    <t>Aero Fighters 3</t>
  </si>
  <si>
    <t>Aero Fighters 2</t>
  </si>
  <si>
    <t>ACA NEOGEO NAM-1975</t>
  </si>
  <si>
    <t>3 Count Bout</t>
  </si>
  <si>
    <t>2020 Super Baseball</t>
  </si>
  <si>
    <t>IGDB_id</t>
  </si>
  <si>
    <t>game name in IGDB</t>
  </si>
  <si>
    <t>Similarity</t>
  </si>
  <si>
    <t>dups?</t>
  </si>
  <si>
    <t>found in main game index?</t>
  </si>
  <si>
    <t>http://www.vgmuseum.com/faq/faq.htm#n</t>
  </si>
  <si>
    <t>VG Museum</t>
  </si>
  <si>
    <t>OK…</t>
  </si>
  <si>
    <t>Players control Marco and Tarma, both members of the special-ops force Team Peregrine Falcon (commonly known as Team PF), and battle their way through stage after stage of intense action. The goal is to try to overthrow General Morden and win back the stolen weapon, the Metal Slug. Players must blast through waves of enemies and machines (while also jumping over any obstacles in the way) to advance through the stages. It's not as hopeless as it might sound, though - weapons such as heavy machine guns, shotguns, rocket launchers and flamethrowers, as well as the Metal Slug itself (which appears frequently in the game), will make the battle easier.</t>
  </si>
  <si>
    <t>Metal Slug: Super Vehicle-001</t>
  </si>
  <si>
    <t>Neo Geo (MVS/AES)</t>
  </si>
  <si>
    <t>Férus de jeux de plate-formes d'arcade aux système de scoring addicitfs, vous avez aimé Nightmare in the Dark et Bang Bang Busters? Alors ne passez surtout pas à côté de Zupapa!, le seul et unique titre du genre (c'est-à-dire à la Bubble Bobble).Zupapa décline le genre dans neuf mondes différents. Pour les six premiers, vous pourrez choisir par lequel commencer. Vous contrôlez un drôle d'énergumène, le Zupapa: il s'agit d'un ornithorynque à corne équipé de gants de boxe. Ce héros pour le moins original peut se débarrasser de ses ennemis de diverses manières.</t>
  </si>
  <si>
    <t>An action puzzle game where you play as a Zupapa, a strange creature that hurls tiny Zupipi characters at your foes. The more Zupipi on an enemy when he is trampled, the larger the explosion.
The game is similar to Nightmare In The Dark, another action puzzler released the same year from SNK. This game, originally completed in 1994 but released in 2001, it has a few more refined features including the ability to jump down.
Players must collect the four small Zupipi creatures in order to use them against their opponents. There are many power-ups that can be used as well, including speed-up, power-up (throws all Zupipi at once), power-ups that make jumps worth 100 points, etc.
Bonus stages allow a player to collect fruit and goodies for points. There are nine stages, six selectable from the start of the game. On each stage the enemies and boss reflect a common theme.
Long rumored a lost title, and shown on many Neo Prototype pages as a 1994 proto, Zupapa finally sees the light of day in 2001.</t>
  </si>
  <si>
    <t>ズパパ!</t>
  </si>
  <si>
    <t>En ce début d'année 1996, la réflexion est un genre assez peu représenté sur Neo·Geo, on ne trouve guère que Puzzled, Puzzle Bobble ou encore Panic Bomber. Le mois de mars arrive et un jour après Magical Drop II sur Neo·Geo, sort enfin le 22 mars un jeu qui avait été prévu en cartouche mais qui sera en définitive uniquement au format CD : Zintrick.
Zintrick est un très bon jeu de réflexion, peut-être le meilleur sur Neo·Geo CD aux côtés de Magical Drop II. Sa prise en main n'est pas immédiate mais par la suite le jeu se révèle très riche. Il s'agit d'un jeu fort méconnu qui mérite assurément d'être découvert.
Donc zintrick existe uniquement en boot sur MVS,et a perdu les musiques au passage....</t>
  </si>
  <si>
    <t>押し出しジントリック</t>
  </si>
  <si>
    <t>Zintrick / Oshidashi Zentrix</t>
  </si>
  <si>
    <t>Hack</t>
  </si>
  <si>
    <t>S'il est un jeu de tir méconnu plus que tout autre sur Neo Geo, c'est Zedblade. Non seulement ce titre de la firme NMK n'est sorti qu'en MVS, mais de plus celui-ci n'a pas connu un très grand succès. Shoot them Up à scrolling horizontal, Zedblade propose au joueur d'incarner l'un des trois héros de l'armée aérospatiale terrienne (j'espère que c'est clair). Vous êtes chargé de sauver la Terre d'une attaque extra-terrestre qui occupe tout le système solaire. Pour ce faire, il vous faudra repousser les hordes ennemies hors de la galaxie à travers les huit niveaux du jeu.</t>
  </si>
  <si>
    <t>Zed Blade is a side-scrolling shooter with a sci-fi theme. You and/or a friend must choose one of three characters to play as, each with different speeds at which they control their ships. Then select three weapons to use for the front and back of your ship. During play, you must travel to every planet in the solar system, and defeat the various enemy ships and the boss near the end of the planet. Your weapons can be upgraded during the battle, and you can also collect HyperBombs if you want to do maximum damage. The soundtrack is reminiscent of early 1990's "rave" music.</t>
  </si>
  <si>
    <t>Un an après le tournoi "Super Battle", mis en place par Zeus,tous les participant sont retourné a leurs occupations ,dans leurs époque. Quant arrive une invitation du Dr Brown; une participation au nouveau tournoi World Heroes pour les seize héros de l'année d'avant. Zeus veut en profiter pour se venger de sa défaite du dernier tournoi. Neanmoins,un autre grand danger sera au rendez-vous du super battle!World Heroes est l'exemple-type de la série qui a très vite mal supporté le poids des ans, même en ayant droit à de nouveaux épisodes. D'abord World Heroes, à mi-chemin entre le plagiat et la parodie, étonne et plaît à nombre de joueurs grâce à son mode Death Match fort original. Puis vient World Heroes 2, se démarquant de la concurrence par un grand nombre de personnages (14, un record à sa sortie) et son mode Death Match encore plus poussé. Enfin, World Heroes 2 Jet ne se montre absolument pas concluant : trop timide dans ses nouveautés, sans Death Match et confronté à des concurrents de qualité grandissante, il peine à exister.Toujours pas de World Heroes 3 à l'horizon, mais un World Heroes Perfect dont le nom semble vouloir conjurer la chute de cette série. Pas facile pour cette quatrième mouture, tant la concurrence est plus que jamais aiguisée...</t>
  </si>
  <si>
    <t>World Heroes Perfect (ワールドヒーローズ パーフェクト) is a 1995 fighting arcade game developed and published by ADK with the assistance of SNK. It was originally released for the Neo Geo MVS arcade cabinet on May 25, 1995. It is the fourth and final title of the World Heroes series.</t>
  </si>
  <si>
    <t>ワールドヒーローズパーフェクト</t>
  </si>
  <si>
    <t>Encore une fois, le monde a été sauvé par les héros, Neo Geegus et Dio ayant été vaincus. Un nouveau tournoi s'ouvre, un an plus tard. Il porte le nom de "Super Battle" et ce n'est plus le Dr Brown qui le sponsorise. Celui qui se cache derrière cette nouvelle compétition en a changé les règles : on affronte désormais trois combattants et deux victoires suffisent pour la qualification, le tout se déroulant sur cinq jours.
La grande nouveauté de World Heroes 2 Jet réside dans l'arrivée de deux nouveaux combattants.</t>
  </si>
  <si>
    <t>After the defeat of both Dio and Neo Geegus at the end of World Heroes 2, the world was saved from the threatening danger and that the 14 fighters who had participated in the World Heroes tournament had returned to their own respective time periods. However, one year later, the 14 fighters had received invitations to a new fighting tournament known as the World Heroes Battle Fest and that this tournament would take place over the next five days in different parts of the world, being watched by millions of fighting fans.
Surprisingly, the 14 fighters learn that Dr. Brown isn't the one who's sponsoring the tournament, but rather, a mysterious millionaire who is known simply as Mr. Z to the public. 
As the 14 fighters prepare themselves for the World Heroes Battle Fest, none of them have no clue or idea that Mr. Z has his own callous ambition for world domination and with the assistance of his two loyal servants, he vows to eliminate anyone who dares to get in his ruthless way.</t>
  </si>
  <si>
    <t>ワールドヒーローズ 2 JET</t>
  </si>
  <si>
    <t>World Heroes 2 Jet</t>
  </si>
  <si>
    <t>World Heroes 2 est meilleur que World Heroes, mais cela est la moindre des choses. Il offre beaucoup d'éléments et sa durée de vie est conséquente, sans compter son mode Death Match plus abouti que jamais, surtout en versus. Seules ombres au tableau : une jouabilité contre le CPU parfois énervante et certains personnages franchement pas charismatiques. Les amateurs du premier World Heroes vont adorer, les détracteurs passeront leur chemin, la série évoluant sans changer en profondeur.</t>
  </si>
  <si>
    <t>One year ago, Dr. Brown had created the World Heroes tournament in order to find out on who the strongest fighter of history is, but because of the unexpected arrival and interference of Geegus, Dr. Brown was unable to get his answer. Now Dr. Brown is prepared to hold the tournament once again, not only having to invite the eight original fighters back for a second round, but also having to bring forth six new fighters as well, each and every one of them seeking to prove themselves in being the strongest fighter of history. Dr. Brown hopes that this time around, a definite winner will truly come out of the World Heroes tournament and emerge as the strongest fighter of history, but will Geegus interfere in the tournament just like last time and if so, will he be the only threat that the fighters will have to contend with in due time?</t>
  </si>
  <si>
    <t>ワールドヒーローズ 2</t>
  </si>
  <si>
    <t>World Heroes 2</t>
  </si>
  <si>
    <t>Après une tentative "ratée" made in SNK de contrer le très populaire Street Fighter II avec son Fatal Fury en vue de rallier les joueurs à sa cause, c'est au tour d'Alpha Denshi de contre-attaquer avec ce World Heroes.
Ici aussi sont réunis les plus gros costauds de la planète pour se taper dessus, à la différence qu'on aime bien se marrer, en même temps qu'on distribue des châtaignes !Ce jeu qui au départ peut être considéré comme une copie de Street Fighter II à cause du profil de certains personnages et de leurs décors (Hanzô et Fûma , Muscle Power - Hulk Hogan / Zangief, Brocken / Guile sauce 1939-45), des Bonus Stages, est en réalité assez innovant grâce au très fun mode Death Match et aux coups, persos et décors loufoques.</t>
  </si>
  <si>
    <t>An alien entity known as Geegus threatens the Earth in the year 3091. As all of Earth's forces have been defeated, a scientist uses his recently-built time machine to find the greatest fighters of different eras to compete against Geegus.
World Heroes is a versus fighting game. It features a cast of characters from different countries and time periods, ranging from ninjas to a cybernetic super-soldier. The characters are based on real historical figures, but are endowed with supernatural powers. The player selects a character who then fights his way through standard one-on-one matches or takes on an opponent in a Deathmatch, where spiked walls and landmines add to the danger.</t>
  </si>
  <si>
    <t>World Heroes</t>
  </si>
  <si>
    <t>Avant toute chose, inutile de chercher l'existence de 6 épisodes ayant précédé notre Waku Waku 7. On peut à la rigueur considérer que Galaxy Fight appartient au même univers (il y a un personnage en commun), mais c'est tout. Le titre vient des 7 boules légendaires Waku Waku pour lesquelles va se tenir un tournoi. Boules qui confèrent à celui qui les possède toutes le pouvoir de se faire exaucer son voeu le plus cher. Tant qu'à faire un maigre scénario, autant copier celui de Dragon Ball, ça prendra moins de temps...
Bref, le fait de posséder une boule Waku Waku suscite le désir irrépressible de posséder les 6 autres. D'où ce tournoi qui se tient entre 7 concurrents.</t>
  </si>
  <si>
    <t>It is said that the person who collects all sevens of the legendary Wheenisian balls will have their dearest wish granted. Those who find one of the balls become obsessed with the ruthless desire to obtain the others, who will be victorious in the bitter battle to become the owner of all the balls. Victory or defeat - it all lies in your hand.</t>
  </si>
  <si>
    <t>Tenant plus du dessin animé ou du manga que du jeu de combat classique à tournoi, l'histoire de Voltage Fighter: Gowcaizer prend place dans le futur. Le Japon a été ravagé et le gouvernement s'est établi sur une île artificielle dans la baie de Tôkyô. Un ordinateur central gère tout : sécurité, nettoyage, circulation, etc. Au milieu de l'île se trouve le National Bernard Institute, où il y a plusieurs milliers d'étudiants. Depuis qu'un nouveau directeur y a été nommé, les actes de violence ont beaucoup progressé, comme s'il en était la cause. Un étudiant, Isato Kaiza, a trouvé le moyen de puiser la puissance de la pierre Kaizer. Il devient ainsi Gowcaizer, le Burning Hero.
Le design de ce jeu n'est pas dû à un inconnu pour les amateurs de mangas. En effet, le travail a été confié à Masami Obari, dont la route avait déjà croisé celle de la Neo·Geo. C'est ce dessinateur qui a dirigé les trois OAV de Fatal Fury.</t>
  </si>
  <si>
    <t>Stones of power are given to some chosen fighters, who are being trained by a master to defeat the master's darker tendencies of destroying humanity. The fighters do not necessarily get along even as the world heads toward peril.</t>
  </si>
  <si>
    <t>Vous souvenez-vous de Zaxxon ? Non ? Bon, un mini cours d'histoire du jeu vidéo s'impose. Au début des années 80, Sega a sorti un jeu de tir avec une vue révolutionnaire : la 3D isométrique. À cette époque, dans le monde du shoot them up, il n'y a que des jeux à scrolling vertical et à scrolling horizontal. Zaxxon dépoussière un peu tout ça avec son scrolling diagonal, tout en proposant un défi relevé. 
Dix ans plus tard, Sammy lance sur Neo·Geo MVS le 20 novembre 1992 un jeu très inspiré de Zaxxon. Bien entendu, il s'agit de View Point. C'est un jeu de tir à scrolling diagonal, mais cette fois à la sauce Neo·Geo. Entendez par là avec une réalisation très largement supérieure. Remarquez, dix ans après, ce n'était pas bien difficile...La version console AES suit de peu, elle sort le 11 décembre 1992.</t>
  </si>
  <si>
    <t>Viewpoint is a top-down orthographic perspective game in the tradition of Zaxxon. The PlayStation and Saturn versions feature 3D rendered graphics with texture maps, unlike the other versions which primarily feature shaded polygons.
One or two players (in hot-seat or cooperative mode) control a spaceship equipped with a laser cannon which can be charged (by holding the shooting button down) for a stronger blast. Besides the main weapon, three special weapons are available: a wall of fire which wipes the screen up in a wave, a nova-like blast and a circle of spherical-green homing missiles.</t>
  </si>
  <si>
    <t>Sammy</t>
  </si>
  <si>
    <t>V-Liner est un jeu d'argent sur borne,du coup il y as pas grand interêt a y jouer si les petites pièces tombent pas....</t>
  </si>
  <si>
    <t>V-Liner</t>
  </si>
  <si>
    <t>Dyna</t>
  </si>
  <si>
    <t>Comment revisiter le shoot them up de façon originale ? ADK va essayer de répondre à cette question en offrant à la Neo·Geo un jeu lorgnant clairement vers son genre de prédilection : le versus. Eh oui, Twinkle Star Sprites s'annonce comme du Competitive Shooting. Il va donc falloir affronter un adversaire commandé par la machine ou se confronter à un humain. Le jeu sort d'abord et logiquement sur Neo·Geo MVS le 25 novembre 1996 puis le 31 janvier suivant sur console AES. Il faudra attendre le 21 février 1997 pour voir arriver la version Neo·Geo CD, testée ici.
Une légende du monde des sorcières raconte que celui qui détient l'étoile sacrée "Twinkle Star" peut voir n'importe lequel de ses vœux exaucé. L'Empereur du Mal, Mevious, a dérobé la Twinkle Star et détient en son pouvoir la reine du monde des sorcières. La princesse Load Ran va partir à la recherche de la Twinkle Star, avec son lapin-chat, Rabicat.</t>
  </si>
  <si>
    <t>Twinkle Star Sprites is a 1996 competitive scrolling shooter arcade game originally created by ADK. It was ADK's last production for the Neo-Geo platform. The gameplay, which can be characterized as a combination of a fixed shooter and a versus puzzle game, uses combinations of shots, as well as timed power-ups to attempt to damage the opponent. These attacks also serve as counters to the opponent's attack.</t>
  </si>
  <si>
    <t>SNK ne s'est pas fourvoyé et offre là un bon jeu de golf à la Neo·Geo pour qu'elle débute sa carrière. Certes imparfait avec sa jouabilité demandant de la pratique et sa réalisation ne faisant pas particulièrement honneur à son support, Top Player's Golf saura satisfaire l'amateur de jeux du genre, sans toutefois pouvoir rallier à sa cause d'autres joueurs. Il lui manque l'étincelle arcade d'un Baseball Stars Professional pour pouvoir prétendre séduire des joueurs autres que ceux qui aiment déjà le genre. Sérieux mais pas ambitieux, c'est un bon jeu.</t>
  </si>
  <si>
    <t>トッププレイヤーズゴルフ</t>
  </si>
  <si>
    <t>Top Player's Golf</t>
  </si>
  <si>
    <t>Top Hunter se passe dans le futur, à une époque où l'espace à été exploré et colonisé. Divers mondes sont ainsi habités par des pionniers de l'espace. La vie y est paisible jusqu'au jour où des pirates de l'espace, les Klaptons, s'emparent des différentes colonies. Les pionniers font alors appel aux deux chasseurs les plus réputés, Roddy et Cathy. Il va falloir nettoyer le cosmos de tous ces pirates !</t>
  </si>
  <si>
    <t>As either Roddy or Cathy, make your way through four locations that include Forest, Ice, Wind, and Fire, and destroy the two bosses in these locations. Both Roddy and Cathy have retractable arms which can be used to grab enemies or other gameplay elements. They can then be thrown at others to destroy them. Both players and enemies can interact with the scenery. For example, walls can be pushed over enemies to kill them, and switches can be flipped to reveal special bonuses. Throughout each location, you can pull on rings that will reveal special bonuses such as extra time. There are two different planes which the players can change between by pressing a button.</t>
  </si>
  <si>
    <t>Top Hunter - Roddy &amp; Cathy</t>
  </si>
  <si>
    <t>Pas grand monde ne parierait sur vous, pourtant vous allez vous mesurer aux meilleurs pilotes de la planète. Votre but : remporter le Championnat du Monde des Rallyes et plus tard, participer au prestigieux Paris-Dakar. Voici donc Thrash Rally (et non "Trash Rally" comme il est écrit dans la notice française), un jeu développé par Alpha Denshi.</t>
  </si>
  <si>
    <t>Thrash Rally is a fast-paced racing game, similar to Neo Drift Out and Overtop, but using a top-down view. You can either participate in a World Championship or do a complete Paris Dakar rally.
Using basic controls: accelerate with automatic transmission, brake and a combination of both to power drift, you have to follow a set path of courses. In the World Championship, each location consists of different stages that need to be finished in a single run. There is a strict time limit and you receive a time bonus upon finishing a section. The Dakar mode is one long track without stops. The championship uses regular cars, but in the Dakar race you can also choose a sand buggy, off-road bike or a truck.
A global ranking is kept while racing, but it is based on your time, not on the number of cars you pass during the race. Aside from your opponents, you'll also find water, animals, hills, bridges, bushes and different obstacles in your path.</t>
  </si>
  <si>
    <t>スラッシュラリー</t>
  </si>
  <si>
    <t>Thrash Rally</t>
  </si>
  <si>
    <t>La principale (et seule) série de jeu de football de SNK continue son bonhomme de chemin avec un quatrième épisode. Appelée Tokuten Oh: Honoh no Libero au Japon, le jeu devient The Ultimate 11 en Occident, il perd donc son nom Super Sidekicks et sort le 16 octobre 1996 en arcade puis le 20 décembre sur console.Désormais le jeu tient sur 226 Mbits et cela se sent dès la petite intro : cette dernière est plus animée que celle de Super Sidekicks 3, sans toutefois posséder le même punch : c'est plus feutré.Les modes sont en nombre correct avec Game Start, Exhibition Game (match amical), Grand Championship et Option. Pas moins de 80 formations nationales pour ce quatrième épisode, réparties en 8 zones. Cette fois, même les "petits" pays sont représentés.Le plus gros changement vient de l'apparition d'une jauge de tir. Quand on a la maîtrise du ballon, elle se remplit automatiquement. Lorsqu'elle est pleine, on a droit à un super tir qui bien souvent dégomme le gardien comme s'il était en papier ! Un but encaissé et cette jauge se remplit fortement également, ce qui offre une occasion de marquer rapidement et de récupérer le score.
Ce quatrième Super Sidekicks propose donc un contenu des plus étoffés, même si c'est avant tout un jeu d'arcade. Et concernant sa réalisation, est-il encore dans le coup ?...</t>
  </si>
  <si>
    <t>The Ultimate 11 is the fourth game in the Super Sidekicks series. Regional tournaments are replaced with the SNK Football Championship, which is an elimination tournament in which the player's team can select any team from any region to play against. The final team played against in this tournament is the SNK Superstars, which consists of characters from SNK's fighting games. A new addition is the charge bar. It's charged depending on how long a team has the ball, and when full, it can be used when near a goal to make a near-unblockable shot. The game features 80 national teams split into 8 regions.</t>
  </si>
  <si>
    <t>得点王 炎のリベロ</t>
  </si>
  <si>
    <t>Si vous avez aimé les Die Hard, ou que vous êtes fan des Delta Force avec Chuck Norris, vous allez A-DO-RER The Super Spy. D'infâmes terroristes ont fait sauter une bombe dans le métro de Southtown. Le gouvernement soupçonne le groupe Zolge King d'avoir fomenté cette action. La CIA envoie son meilleur agent, Roy Heart  (VOUS, bien entendu) pour démanteler le réseau au cours de deux missions.</t>
  </si>
  <si>
    <t>Roy Heart has been asked by the CIA to wipe out terrorists who have taken over a large skyscraper of a major auto-maker in Japan. Using your fists, knife, or gun, you must use the elevators to travel between floors and wipe out terrorists that try to bring you down. Each weapon has its disadvantages. The gun, for example, will only have so many bullets per life, and the knife will decrease in strength with every use. During your mission, you will also earn experience points, and meet and free hostages along the way. These hostages will heal you, fix your knife, and give you a machine gun. Some floors end with you defeating a boss, while others end at elevators. You must reach the top of the building where you will confront the leader.</t>
  </si>
  <si>
    <t>The Super Spy</t>
  </si>
  <si>
    <t>Si bon nombre de jeux sont de qualité, ceux qu'on peut qualifier d'excellents sont malheureusement plus rares. Au sein de ces derniers, on peut avoir la chance de tomber sur un titre qui se distingue : tout y est magnifique, maîtrisé, et semble sorti d'un rêve de joueur exigeant. Ce n'est plus un jeu, cela devient une œuvre d'art. La Neo·Geo a eu droit à une poignée de titres d'une telle trempe, et The Last Blade 2 fait partie de ceux-là.
L'histoire de The Last Blade 2 se déroule en 1864, six mois après les évènements relatés dans le premier épisode. Kagami Shinnosuke a ouvert le Portail des Enfers pour détruire l'humanité et dominer le monde en le rendant plus pur. Heureusement, il a été défait par Kaede qui a réussi à invoquer le dragon Seiryû. Deux esprits sont toutefois parvenus à passer dans notre monde, Setsuna et Kôryû. Il va donc falloir sceller le Portail des Enfers avant que le monde ne soit envahi et détruit.</t>
  </si>
  <si>
    <t>The Last Blade 2 picks up where the previous title left off and takes the story of battling at the gates of hell to its climax. This time around, there are 16 unique swordsmen from which to choose. Choose from 2 sword types (Strength and Attack). Deflect your enemy's attacks with "Repel". You can also cancel game-changing special moves like "Super Secret Slice" or "Hidden Secret Slice" with a "Sublime Slash", which connects to Super Secret Slice - just like in the previous title. And there are even some new features like aerial repels, aerial guards and knockdown recovery. Take your battles to a whole 'nother level!</t>
  </si>
  <si>
    <t>The Last Blade 2 / Bakumatsu Roman - Dai Ni Maku Gekka no Kenshi</t>
  </si>
  <si>
    <t>The Last Blade est, comme son nom l'indique, un jeu de combat à l'épée au sens large. Il diffère toutefois de Samurai Shodown. Pour comprendre, précisons que son nom japonais est Bakumatsu Roman Gekka no Kenshi. Si le jeu de Haohmaru et ses amis se déroulait vers la fin du XVIIIème siècle, le jeu qui nous intéresse ici prend place en 1863, en plein Bakumatsu. Cette période est une charnière importante dans l'histoire du Japon, elle marque le début de son ouverture sur le monde, y étant fermement invité par les États-Unis en 1853. C'est la fin du temps des samouraïs et des shoguns, la fin d'un Japon si bien retranscrit dans les Samurai Shodown, justement...
Le scénario est riche pour un jeu de ce type, il se déroule à deux niveaux. Il s'agit d'abord d'une histoire de vengeance. Kaede, Moriya, Yuki et Kagami étaient les élèves et enfants adoptifs de Gensai. Celui-ci fut retrouvé mort des les bras de Moriya. Ce dernier, suspecté, a été obligé de s'enfuir. Par ailleurs, il y a quatre esprits protecteurs : Genbu (la tortue-serpent), Byakko (le tigre blanc), Suzaku (le phénix) et Seiryû (le dragon). Shinnosuke Kagami, le phénix, finit par avoir l'espèce humaine en horreur et ouvre un portail avec les Enfers pour invoquer Musashi Akatsuki.</t>
  </si>
  <si>
    <t>1863. History's hidden secret is revealed. During the age known as "Bakumatsu", 135 years ago, chaos rules! It's all yours: A new type of weapon fighting game in which Power and Speed weapons, in addition to various Repel moves can be used to experience a new sensation in video game thrills!</t>
  </si>
  <si>
    <t>The Last Blade / Bakumatsu Roman - Gekka no Kenshi</t>
  </si>
  <si>
    <t>Officiellement, la version 2004 de King of Fighters n'existant pas, une belle équipe de programmeurs (Dragon, un boite Coréenne) s'est mis dans l'idée de ne pas briser le rythme annuel des sorties de cet incontournable de la baston. KOF 2004 (de son vrai nom KOF Special Edition 2004) est un hack très évolué de KOF 2002.
On peut le dire, pour une version "amateur" (allez, on va être sympa on va dire semi-pro), cette édition 2004 reste d'un très bon niveau. Mais vous aurez du mal à pouvoir y jouer ou à trouver la cartouche MVS de ce hack car il reste rare. Mais si jamais vous le croisez dans une salle enfumée, arrêtez vous, faites une partie et dites-vous bien que ça n'a pas été fait par des pros. A mes yeux, ça force le respect.</t>
  </si>
  <si>
    <t>The King of Fighters Special Edition 2004</t>
  </si>
  <si>
    <t>Tout d'abord, sachons qu'un hack n'est autre qu'un jeu commercial que d'autres développeurs ont récupéré et ont modifié à leur sauce. 
Ici, c'est de King Of Fighters 2002 qu'il s'agit. 2004 ne verra sortir aucun King Of Fighters de la part de SNK Playmore. Ces passionnés se seront donc efforcés de donner un nouveau millésime à une série qui n'a connu aucun trou de puis alors près de dix ans. 
Ici, les 39 personnages de l'original sont toujours présents. Leurs coups spéciaux ont également été conservés. Seules les couleurs des sprites sont quelque peu différentes. A priori c'est la palette de couleurs qui a été changée, et non le graphisme même des protagonistes. 
Par contre, les fonds sont intégralement nouveaux. Dans l'ensemble, c'est plutôt pas mal, mais certains sont vraiment incroyablement moches. 
Il n'y a aucun scénario, et aucune intro. Ici c'est un jeu pour jouer uniquement.
En bref, c'est un jeu de fans, et cela se ressent également physiquement. La cartouche ne pèse pas grand chose. Lorsqu'on l'ouvre, on comprend pourquoi : la PCB est minuscule et fait très cheap.</t>
  </si>
  <si>
    <t>The King of Fighters 2004 Ultra Plus</t>
  </si>
  <si>
    <t>The King of Fighters 2004 Plus Hero est un boot de KOF 2002.</t>
  </si>
  <si>
    <t>The King of Fighters 2004 Plus / Hero</t>
  </si>
  <si>
    <t>Le cartel Nests vaincu en 2001, il aura fallu attendre deux ans pour avoir une nouvelle édition du tournoi KOF (le 2002 n'est pas scénarisé et ne compte donc pas). Le sponsor principal est un énigmatique personnage du nom de Mukai. Ce dernier a d'une part pour but de tester sa force, mais d'autre part d'utiliser le KOF pour occuper Chizuru Kagura, et ainsi libérer le pouvoir dont elle est gardienne : le pouvoir d'Orochi. L'autre sponsor du tournoi s'appelle Adelheid Bernstein, qui n'est autre que le fils de Rugal. Une édition de KOF dont les règles ont un peu changé et dont certains participants sont plutôt inquiétants, à l'image d'Ash Crimson. Mukai va-t-il parvenir à réveiller le pouvoir d'Orochi ? Quelles sont les intentions d'Adel ? De quel côté se situe Ash Crimson ? Autant de questions qui auront leurs réponses dans cette ultime cuvée de la série-phare de la Neo·Geo : The King of Fighters 2003.</t>
  </si>
  <si>
    <t>The game revolves around The King of Fighters, an elite fighting competition. In this competition, Rugal is defeated and the Orochi are sealed away. The tournament at the centre of the game is sponsored by an unknown patron, whose identity becomes a matter of public interest in the country. Perhaps as a result of this, it attracts a large number of contestants.
With the inception of the new "multi-shift" rule in this KOF tournament, wherein competitors can freely tag off during battles, the competition becomes a 'hot topic' and provokes widespread discussion. It also leads to a speedy execution of the match with unified team strategies.
In preparation for the tournaments, stadiums with the capacity to hold tens of thousands of people are procured from cities across the world and established in city centres. Schedules are completed and spectators move from one location to another to watch the preliminary matches. To create the atmosphere of a true street fight, competitions are broadcast live on giant screens.</t>
  </si>
  <si>
    <t>The King of Fighters 2003</t>
  </si>
  <si>
    <t>The King of Fighters 2002 Plus est un boot de KOF 2002.</t>
  </si>
  <si>
    <t>The King of Fighters 2002 Plus</t>
  </si>
  <si>
    <t>The King of Fighters 2002 Magic Plus II est un boot de KOF 2002.</t>
  </si>
  <si>
    <t>The King of Fighters 2002 Magic Plus II</t>
  </si>
  <si>
    <t>The King of Fighters 2002 Magic Plus est un boot de KOF 2002.
Cet épisode délaisse le système de striker instauré dans The King of Fighters '99: Millennium Battle pour un retour au Team Battle traditionnel.</t>
  </si>
  <si>
    <t>The King of Fighters 2002 Magic Plus</t>
  </si>
  <si>
    <t>Ce millésime 2002 est un Dream Match, à l'instar de KOF '98 : il n'y a donc aucun scénario et c'est l'occasion de confronter des personnages ne faisant pas nécessairement partie de la même histoire. Kyô et Iori reviennent sur le devant de la scène et tout le monde s'affronte pour savoir qui aura le droit de se frotter à Rugal, éternel super-vilain de KOF, c'est tout.</t>
  </si>
  <si>
    <t>The game brings back the team play composed by three characters each that was a tradition in previous games. The game has also several important changes in the gameplay, like the "Free Cancel System" or "Max Mode System", the "Quick Emergency Evasion" and "Quick MAX Mode Activation", aside from the countless changes in each character's special moves and their properties.</t>
  </si>
  <si>
    <t>The King of Fighters 2002</t>
  </si>
  <si>
    <t>Le scénario de KOF 2001 clôt le chapitre Nests relatant les démêlés de K', Kyô et les autres avec le cartel. Le plan de Zero a échoué et son cannon a détruit Southtown. Le cartel Nests a relancé le projet Krysalid (clonage de Kyô) et a organisé l'édition 2001 du King of Fighters. Cette fois Heidern y prend part pour mettre un terme à l'organisation qui a causé la destruction d'une ville. De son côté, le cartel a envoyé plusieurs de ses agents pour veiller au bon déroulement de ses plans et pour assassiner les agents renégats, dont K'.</t>
  </si>
  <si>
    <t>Time has passed since most of Southtown was decimated by the now-destroyed Zero Cannon. Another KOF tournament is being held and this time, it's hosted by the NESTS Organization, the group of antagonists behind the events of the previous two games.
K′ and Maxima return to put an end to NESTS once and for all. They are now joined by former Ikari Team member Whip and the assassin Lin formerly from Benimaru's Team, both of whom are seeking the destruction of NESTS as well. NESTS sends their own team to compete in the tournament, composed of NESTS agents Kula Diamond, K9999, Foxy, and Angel. Kyo Kusanagi joins his former teammates of Benimaru Nikaido and Goro Daimon, reuniting the original Japan Team along with Shingo Yabuki, while Iori Yagami joins a team composed of agents Seth, Vanessa, and Ramon. Yuri Sakazaki rejoins the Art of Fighting Team, while King and Mai Shiranui once again lead the Women Fighters Team along with the returning Li Xiangfei and Hinako Shijo. Heidern also makes his KOF return, taking Whip's place in the Ikari Team, while Kim Kaphwan '​s young student May Lee takes over Jhun Hoon's place in the Korean Team, who is unable to compete due to an injury.</t>
  </si>
  <si>
    <t>The King of Fighters 2001</t>
  </si>
  <si>
    <t>Eolith</t>
  </si>
  <si>
    <t>L'histoire se passe juste après que le cartel Nests se soit fait connaître de par ses activités de clonage. K' est parvenu à échapper à l'organisation, avec l'aide de Maxima. Il connaît désormais son statut de clone de Kyô. Heidern et Ling (un autre militaire) organisent un nouveau KOF afin d'enquêter et en finir une bonne fois pour toutes avec le cartel.</t>
  </si>
  <si>
    <t>After the incident at the previous tournament, the commander of the Ikari Team, Heidern, is determined to figure out the objective of the NESTS cartel so that he can stop them from achieving their ruthless ambition. A fellow commander and long-time friend of Heidern, named Ling, tells the veteran fighter that K′ and Maxima were once operatives of NESTS and that they may hold the key to locating the whereabouts of the mysterious organization. Using this information, Heidern decides to focus his efforts in using the next KOF tournament as a way to lure both K′ and Maxima out so that they can be captured and interrogated into telling the authorities about the NESTS cartel. Unknown to Heidern, however, Ling has his own agenda.</t>
  </si>
  <si>
    <t>The King of Fighters 2000</t>
  </si>
  <si>
    <t>The King of Fighters 10th Anniversary Extra Plus est un boot de KOF 2002.</t>
  </si>
  <si>
    <t>The King of Fighters 10th Anniversary Extra Plus</t>
  </si>
  <si>
    <t>The King of Fighters 10th Anniversary 2005 Unique est un boot de KOF 2002.</t>
  </si>
  <si>
    <t>The King of Fighters 10th Anniversary 2005 Unique</t>
  </si>
  <si>
    <t>The King of Fighters 10th Anniversary est un boot de KOF 2002.</t>
  </si>
  <si>
    <t>The King of Fighters 10th Anniversary</t>
  </si>
  <si>
    <t>Voici une tâche bien difficile que de succéder à un jeu aussi réussi que KOF '98. Cela est d'autant plus ardu que nombre de joueurs considéraient ce jeu comme l'épisode ultime sur Neo·Geo, la suite ne pouvant être qu'en 3D ou au moins en 2D en 640p sur un support plus moderne. Pour diverses raisons (enfermement dans le support MVS, échec de l'Hyper NeoGeo 64, etc.), SNK a jugé bon de reprendre la série, et ce sur MVS.Côté scénario, SNK inaugure une nouvelle saga. Désormais, Orochi est reparti et son pouvoir a été scellé, Iori et Leona ayant retrouvé leur humanité. Un nouveau tournoi s'ouvre, avec de nouvelle règles. Heidern, soupçonnant un complot, envoie Ralf enquêter. Quant à Benimaru, ne faisant plus équipe avec Kyô et Daimon, il reçoit une invitation lui octroyant de nouveaux coéquipiers, Maxima et K'.</t>
  </si>
  <si>
    <t>Two years have passed since the last King of Fighters tournament and nobody has seen Kyo Kusanagi or Iori Yagami since they defeated Orochi at the climax of the 1997 tournament, but out of the blue, new invitations are sent out to many characters, inviting them to a brand new tournament, though this competition is more of a secretive affair than the ones in '96 and '97. Unlike in previous games of the series, there are four characters per team instead of three, with the fourth serving as a "Striker", a fighter whose function is only to enter a match, attack the opponent and leave without replacing their teammates. In total, there are seven teams, each containing four characters, four Team Edit characters and a boss.</t>
  </si>
  <si>
    <t>The King of Fighters '99 - Millennium Battle</t>
  </si>
  <si>
    <t>Pour cette cuvée 97+ orochi , plutôt que 29 combattants, les personnages cachés dans le jeu apparaissent et peuvent être choisis ce qui augmente le nombre à 35 combattants qui s'affrontent pour le titre de king of fighters. 
Le jeu profite d'une très bonne réalisation, les décors sont variés, les personnages sont assez variés ,détaillés et bénéficient d'une excellente animation. Les effets spéciaux sont nombreux et de meilleure qualité que ceux des opus précédents, la maniabilité est plus facile, on sort les coups beaucoup plus facilement. La bande sonore est assez nerveuse les digits vocaux nombreuses. Ce jeu reste un référence dans la baston SNK.</t>
  </si>
  <si>
    <t>The King of Fighters '97 Plus</t>
  </si>
  <si>
    <t>The King of Fighters '97 Oroshi Plus 2003</t>
  </si>
  <si>
    <t>Pour son quatrième épisode, la saga King of Fighters ne fait pas les choses à moitié: cartouche de 460 mégas, roster de vingt-neuf combattants + six cachés, nouveau scénario... mais aussi arrivée de nouveaux personnages! Entre autres, Blue Mary et Yamazaki de Fatal Fury, alors que Yashiro, Shermie et Chris constituent une toute nouvelle équipe; Shingo est lui venu en solo, Chizuru intègre la team de King et Mai, alors que Billy Kane fait son grand retour. Le character design n'a pas beaucoup changé, à part quelques retouches et nouvelles étapes d'animation. Les nouveaux arrivants s'intègrent parfaitement dans le paysage. Les décors sont très réalistes, tant au niveau de leurs teintes que du trait: le style diffère donc un peu de Kof 96, enfin disons plus précisément qu'il s'est accentué.</t>
  </si>
  <si>
    <t>Despite the events at the end of the previous game, the KOF tournament was a huge commercial success and sparked a worldwide fighting craze. Within a few months of the tournament ending, various large corporations had held smaller KOF tournament qualifiers and constructed special KOF stadiums around the world, building the excitement up for the next tournament. News of the tournament spread through every form of media and fans and new fighters from across the globe come to watch the preliminary matches.</t>
  </si>
  <si>
    <t>The King of Fighters '97</t>
  </si>
  <si>
    <t>Même si Rugal, organisateur des tournois précédents, a été vaincu, 1996 voit une nouvelle édition du tournoi KOF. Le sponsor est en fait un des gardiens du pouvoir qu'avait Rugal lors du précédent KOF. À la fin, quand la poussière sera retombée, que les contusions seront soignées et que les plaies seront pansées, quelle équipe enfilera la couronne de la gloire ?
Une série qui rencontre le succès mérite d'être continuée, ne serait-ce que par choix commercial. Mais comment offrir une suite à un jeu qui rectifiait quasiment tous les défauts de son prédécesseur ? En effet The King of Fighters '95 corrigeait avec brio la plupart des soucis qu'avait son aîné. SNK répond à cette question en proposant un nouveau The King of Fighters, millésimé 96 comme on pouvait s'en douter, qui choisit la voie de l'innovation... quitte à perturber nos habitudes. Innover tout en étant convaincant n'est pas aisé. Se frotter à de nombreux poids lourds signés Capcom ou bien sûr SNK l'est encore moins. KOF '96 va devoir faire très fort pour se faire une place au milieu des Real Bout Fatal Fury, Street Fighter Alpha 2, Art of Fighting 3 et autres X-Men vs. Street Fighter..</t>
  </si>
  <si>
    <t>A new King of Fighters tournament was announced, though the letters of invitation sent out to the fighters were no longer sent by Rugal Bernstein. The letters also announced many changes, the first of which being a massive overhaul of the tournament's approach. During the time that had passed between the tournaments since the previous year, the King of Fighters tournament's fame had grown immensely, to the point that it turned into a major international event, which had not happened before. Huge corporations transformed the King of Fighters tournament into something widely televised, commercialized, and celebrated, drawing in many crowds from around the world. The tournament is now held by Chizuru Kagura: a descendant of the ancient Yata Clan responsible for sealing the Orochi demon along with the Kusanagi and Yasanaki clan (the clans from Kyo Kusanagi and Iori Yagami, respectively). Chizuru uses the tournament in hopes of finding and recruiting Kyo and Iori in order to stop the upcoming Orochi threat, but Kyo and Iori aren't exactly willing to work together on friendly terms.</t>
  </si>
  <si>
    <t>The King of Fighters '96</t>
  </si>
  <si>
    <t>The King of Fighters 95 est un jeu à marquer d'une pierre blanche pour SNK, et ce pour diverses raisons. Tout d'abord, c'est le titre le plus vendu de l'histoire de la Neo Geo (AES, MVS et CD inclus); mais c'est aussi l'une des productions de la firme qui a le plus marché en arcade. Le système de combat par équipe a été inauguré par Kof 94, fort d'un roster particulièrement copieux - le plus vaste de sa génération - ainsi que d'une technicité élevée. 
Après une superbe scène d'intro dynamique et prenante mettant en place le scénario autour de Rugal et du tournoi, on en vient aux faits. Et là, une bonne surprise attend le joueur: le Team Edit est arrivé! Contrairement à The King of Fighters 94, on peut désormais éditer sa propre équipe de trois combattants en choisissant parmi tout le panel proposé, en conservant l'option de sélectionner les équipes standard. Les possibilités sont décuplées grâce à cette nouvelle option, et l'on a maintenant le plaisir de pouvoir réunir ses combattants favoris. Parallèlement, le jeu en single est toujours possible, et un vrai mode versus est désormais proposé: que demander de plus....</t>
  </si>
  <si>
    <t>The King of Fighters '95 marks the beginning of a story arc that later became known as the "Orochi Saga". However, the only elements from the Orochi Saga known in this game is the introduction of Kyo's rival, Iori Yagami, and Rugal's use of the Orochi power
Rugal Bernstein, thought to have perished in an explosion in the previous game, had in fact survived and sent out invitations to the teams from the previous game signed simply 'R'. Only one of the previous teams failed to attend the new tournament: the American Sports Team, now replaced by the "Rival Team" consisting of Iori Yagami, Billy Kane (from Fatal Fury: King of Fighters), and Eiji Kisaragi (from Art of Fighting 2). Saisyu Kusanagi, Kyo's father, appears as a fighter for the first time (having made a non-playable cameo in KOF '94) as a computer-controlled sub-boss character. After defeating Saisyu in the arcade mode, it is revealed that Saisyu was being brainwashed and that Rugal will fight once again as a boss character, but as an enhanced version named "Omega Rugal".</t>
  </si>
  <si>
    <t>The King of Fighters '95</t>
  </si>
  <si>
    <t>Fort d'un roster de vingt-quatre personnages, KOF 94 envoie du petit bois: aucun titre concurrent ne propose un tel panel de combattants. S'il est impossible d'éditer sa propre équipe (trois héros pour une team pré-engagée) il est néanmoins toujours possible de jouer en solo, "à l'ancienne". Mais c'est là la grosse innovation de cette nouvelle saga, à savoir d'opposer des équipes de trois guerriers dont certaines comportent les plus célèbres protagonistes des jeux de combat estampillés SNK: KOF 94 réunit les stars des Southtown series, et ce n'est pas rien pour les aficionados!
C'est une première dans le petit monde du jeu vidéo de baston, puisque c'est avec The King of Fighters que naît le "crossover". Les décors du jeu transportent les joueurs aux quatre coins de la planète: Venise, jungle brésilienne, New York, campagne chinoise... Le style, tout en pixel art, est 100% nouveau, propre à la saga KOF. SNK a misé sur un tout nouveau coup de crayon, re-dessinant tous ses héros dans un genre plus fouillé, plus riche en détail,sans toutefois proposer des combattants de la taille de ceux de Art of Fighting!</t>
  </si>
  <si>
    <t>Rugal Bernstein is an incredibly rich and notorious arms and drug trafficker, as well as an incredibly skilled and ruthless fighter. Having become bored with the lack of competition, Rugal decides to host a new King of Fighters tournament. Rugal has his secretary travel to eight destinations around the world and invite fighters to his new tournament. Unlike the previous KOF tournaments depicted in the Fatal Fury series, the new King of Fighters is a team tournament, with eight teams of three, each representing a different nationality, participating this time. Most characters come from other SNK games, such as Team Italy, which is composed of three heroes from the original Fatal Fury: Terry Bogard, Andy Bogard and Joe Higashi. The two heroes from Art of Fighting (Ryo Sakazaki and Robert Garcia) are featured along with their mentor and Ryo's father (Takuma Sakazaki) make up Team Mexico. Team Korea features Kim Kaphwan from Fatal Fury 2 as the leader of two convicts he's trying to reform Chang Koehan and Choi Bounge, while Team England is a mix of female fighters from Fatal Fury 2 (Mai Shiranui) and the Art of Fighting series (Yuri Sakazaki, King). The two heroes from Psycho Soldier (Athena Asamiya and Sie Kensou) form Team China along with their mentor, Chin Gentsai. Similarly, Team Brazil features the heroes from Ikari Warriors (Ralf and Clark) along with their commanding officer Heidern. Additionally, the game features two teams composed entirely of original characters: Team Japan featuring Kyo Kusanagi, Benimaru Nikaido and Goro Daimon, and Team USA composed of Heavy D!, Lucky Glauber and Brian Battler.</t>
  </si>
  <si>
    <t>The King of Fighters '94</t>
  </si>
  <si>
    <t>Ce jeu est une sorte de «lien» avec un jeu mécanique présenté dans une sorte d’émission de télévision japonaise.
Le but du jeu est de faire sortir une balle d'un parcours électrifié en utilisant un morceau de bâton ou de tige. 
De ce jeu, il semblerait que dérive toute une série de jeux des festivals japonais, à savoir la série 'Denryuu IraIra Bou', qui présente ce jeu en tant que machine mécanique réalisée par SNK. 
La version MVS est à peu près la même chose, mettant en vedette le personnage idéal d'Ucchan vs Nanchan, deux personnages de type SF armés de ces tiges. 
En outre, ce jeu MVS n'a jamais vu de sortie japonaise au Japon ... mais une version de NINTENDO64 est sortie au Japon!</t>
  </si>
  <si>
    <t>The idea is simple: move through the mazes before time runs out. This is not as easy as it sounds, though. Except for Practice Mode, you cannot touch the walls. The maze is not stationary and moving obstacles such as windmills, moving walls, and even a railcar will try to block your every move. The maze is made even more Irritating by the air jets that will blast the player when they fail.</t>
  </si>
  <si>
    <t>Tecmo World Soccer '96 est un jeu de football en 2D. Le jeu propose un total de 32 équipes jouables, chacune avec sa propre formation de départ ainsi que des notes dans trois attributs : la vitesse, la puissance et l'offensive. Les équipes sont divisées par groupes de quatre en huit régions du monde : Europe I à IV, Amérique du Nord, Amérique du Sud, Afrique et Asie et Océanie.</t>
  </si>
  <si>
    <t>Win the ultimate soccer tournament. Try new feint and rush technique! Experience the superb pass control system!</t>
  </si>
  <si>
    <t>Comme le jeu d'échecs, le Shogi fait la part belle à la réflexion, la stratégie et la mémoire. Autrefois, le Shogi servait à aiguiser l'esprit tactique des généraux japonais. Cela dit, comme le jeu d'échecs, le Shogi reste un jeu assez hermétique aux néophytes. Et découvrir ce fabuleux jeu par l'intermédiaire d'un jeu vidéo, sans aide extérieure, reste une expérience franchement hasardeuse ! C'est pourquoi Syougi No Tatsujin - Master of Syougi se destine exclusivement aux initiés !</t>
  </si>
  <si>
    <t>Syougi No Tatsujin - Master of Syougi</t>
  </si>
  <si>
    <t>L'une des stars du football arcade du début des années 90 revient avec une troisième mouture. Logiquement appelé Super Sidekicks 3 (et sous-titré "The Next Glory"), ce jeu reprend à la fois le flambeau, mais aussi hérite du lourd fardeau de succéder à son illustre aîné. Il aura fort à faire, les jeux de footbal ayant été nombreux et de qualité en 1994 (année de Coupe du Monde aidant) .
On a droit, cette fois, à pas moins de 64 formations nationales ! Les noms sont inspirés de ceux de joueurs réels, mais malheureusement on ne peut pas les changer. On peut juste entrer ses initiales au début d'une partie.
Super Sidekicks 3 fait vraiment très fort. Comme le 2, mais en mieux, pour résumer. Il n'a donc pas tant de mérite que ça dans la mesure où il ressemble beaucoup à son aîné, mais force est de constater qu'il est très abouti.</t>
  </si>
  <si>
    <t>Loaded with world class excitement! Features 6 competition modes like World Cup for 64 worldwide teams. Utilizes Digitized Trace Animation and 3D camera angled shots for a realistic on-the-fly action graphic explosion. With 8 different playing modes including options such as Speed and Stamina, you can mix and match 512 different team configurations. Accidents hinder or enhance a team's ability within head-to-head gameplay for the ultimate super-real soccer experience!</t>
  </si>
  <si>
    <t>得点王 3</t>
  </si>
  <si>
    <t>Super Sidekicks 3 - The Next Glory / Tokuten Ou 3 - eikou e no michi</t>
  </si>
  <si>
    <t>Eh oui, l'arbitrage est assuré à temps partiel pour ce Super Sidekicks 2. Mais il n'y a pas à se plaindre: dans le premier jeu de la saga, cette fonction était assurée à temps plein... par Ray Charles! Coups de genou sautés, hi-kicks, uppercuts dans les burnes, coups de boule rotatifs... tout ou presque était permis dans ce jeu digne d'un match d'UFC. Pour ce nouvel opus, SNK a resserré les boulons: tout meurtre avec préméditation sur le terrain est désormais puni d'un carton jaune. 
 Dans Super Sidekicks 2, il n'y a pas que l'arbitre qui a fait peau neuve: le jeu tout entier repart de zéro, rien du précédent opus n'a été conservé. Avec désormais 106 Mb sur la balance au lieu de 54, on peut s'attendre à du lourd.La première innovation qui saute aux yeux, c'est la modélisation du terrain en 3D pré-calculée: l'aire de jeu 'scrolle' avec un effet de profondeur lorsque les joueurs évoluent sur la longueur du terrain, alors qu'un léger effet de zoom est appliqué pour les déplacements latéraux. Cette partie de l'animation a bien été fignolée, et le résultat est impressionnant pour un jeu de 1994, rappelons-le.  L'autre grosse amélioration graphique, ce sont les écrans intermédiaires, comme lors des arrêts de jeu, phases de 'Chance' ou buts: on a droit à de belles animations avec des joueurs en gros plan, et des graphismes de grande qualité. Mêmes les diverses présentations sont soignées, comme l'écran de sélection des équipes et les annonces de matchs.
Quarante-huit équipes nationales sont disponibles, et chacune d'entre elles a ses spécificités: vitesse, technique, capacités en attaque/défense, jeu d'équipe, talents individuels...</t>
  </si>
  <si>
    <t>Published in 1994 (Japanese title: Tokuten Ou 2 - Real Fight Football), the sequel corrected most of the flaws in the original's design, including the ability to switch players' control during the game, a smaller goal, and no more long shots taken (in Super Sidekicks 1 the simple long shot was sometimes too long, leading into a throw-in situation). It increased the number of teams to 48 and divided them into 6 geographical "regions":
    Europe A: Italy, England, Spain, Holland, Switzerland, Norway, Turkey, Ireland
    Europe B: Germany, France, Bulgaria, Sweden, Russia, Greece, Belgium, Romania
    Americas/Oceania: United States, Mexico, Canada, Australia, New Zealand, Costa Rica, El Salvador, Honduras
    Asia: South Korea, Japan, Saudi Arabia, Taiwan (as Republic of China), China, Iran, Hong Kong, United Arab Emirates
    South America: Brazil, Argentina, Paraguay, Colombia, Bolivia, Uruguay, Peru, Ecuador
    Africa: Cameroon, Morocco, Nigeria, Egypt, South Africa, Côte d'Ivoire, Guinea, Zambia
When you start the game, you go into a "Regional Qualifying Round Final" against another team from your region. After beating it, your team goes into the World (Cup) Tournament, in which you are grouped with three other countries in a round-robin. After winning against all of them, you go into an elimination tournament: the quarterfinals, semifinals, and the final for the World Cup. This type of tournament thus is more reminiscent of the real-life World Cup. If a match ends in a draw, you also have the option of replaying a full game, go to the penalty kick tiebreaker, or play a sudden death (golden goal) game (the golden goal feature was not present in the original Super Sidekicks).
All subsequent Super Sidekicks games followed the same design and gameplay as Super Sidekicks 2.</t>
  </si>
  <si>
    <t>得点王 2</t>
  </si>
  <si>
    <t>Super Sidekicks 2 - The World Championship / Tokuten Ou 2 - real fight football</t>
  </si>
  <si>
    <t>Premier jeu de "soccer" de la compagnie SNK sur la vénérable Neo Geo, Super Sidekicks avait connu un franc succès dans les salles enfumées mais aussi lors de sa sortie sur la console.  En effet, en ces temps anciens, point de Fifa ou de PES au réalisme poussé... non... On la jouait bourrin, et les arbitres avaient un sur dix à chaque œil! Des bons jeux de foot aux commandes simples, sans stratégies complexes, pour le plaisir de mettre des pains, faire des tacles par derrière et marquer des buts, pleins de buts.
Super Sidekicks est typiquement le parfait jeu pour les soirées entre amis, au milieu d'une sélection de jeux de baston. L'affrontement tourne souvent à la franche rigolade et on enchaîne revanche sur revanche! Le soft offre une variété sympathique, avec pas moins de douze équipes proposées et trois modes de jeux: la SNK Cup est le mode solo, au travers duquel il faut progresser jusqu'à la finale; le Versus est idéal pour jouer à plusieurs, et l' Exhibition Match s'apparente à un match d'entraînement. Chaque équipe dispose d'un capitaine, capable de réaliser davantage de gestes techniques ou des tirs plus puissants que les autres footballeurs. Les équipes ont également leurs points forts et leurs points faibles, rendant le jeu assez intéressant.</t>
  </si>
  <si>
    <t>Published in 1993, the original Super Sidekicks (known as Tokuten Ou, "Goal-Scoring King" in Japan) was SNK's first soccer video game. It features 12 teams divided into two groups which compete for the "SNK Cup" (the main differences between teams is their formations on the field):
Group A: Germany, Italy, Spain, England, Mexico, Japan
Group B: Argentina, Holland, Brazil, France, United States, South Korea
The players' team plays against all the others in their group, then it goes into an elimination tournament's semifinals and then the final to win the cup. There was also a hidden feature in the game, which wasn't documented, and affects a single player game. During a free kick for the CPU if the player has tapped button A for player two, the CPU performs a short-shot, while pressing the button A performs a longer kick.</t>
  </si>
  <si>
    <t>Super Dodge Ball, de son vrai nom « Kunio No Nekketsu Toukyu Densetsu », est le dernier jeu des développeurs de Technos Japan, firme disparue peu de temps après cette parution en 1996. Pour souvenir, on doit à cette compagnie des hits comme Double Dragon en arcade. Cet épisode exclusif à la Neo Geo est en réalité le dernier d'une très longue saga uniquement connue au Japon dont le héros est Kunio, un lycéen dans la plus pure tradition des mangas nippons, chef de gang toujours prêt à en découdre contre les autres gangs de la ville...
Si les premiers jeux de la saga ont été des beat them all à la sauce Double Dragon, dont le mythique Renegade qui s'est vu totalement modifié graphiquement en sortant du Japon afin de coller à la culture occidentale, les autres épisodes ont surtout été retranscrits sous forme de Dodge Ball (balle aux prisonniers pour nous petits français). 
Super Dodge Ball est le digne héritier de Soccer Brawl, Windjammers ou Street Hoop, un jeu de sport décalé, hyper fun, visuellement très réussi et techniquement plus travaillé qu'il n'y paraît. Même si l'on pourrait regretter une certaine pauvreté en termes de modes de jeu et quelques détails de gameplay, ce titre est bourré de bonne humeur et se savoure surtout en multi.</t>
  </si>
  <si>
    <t>It is a sequel to the original Super Dodge Ball and features characters from Technōs Japan's Kunio-kun series. It was also the final game developed by Technōs before the company went out of business. While the game was never officially distributed in Japan, since only a Western version was produced, the game's language will be set to Japanese when played on a Japanese Neo-Geo motherboard.</t>
  </si>
  <si>
    <t>Super Bubble Pop est un puzzle-game. Vous contrôlez un robot sur une grille. Des billes de couleurs sont déjà présentes et vous devez toutes les éliminer. Un alignement de 3 billes ou plus de même couleur les fait exploser. Chaque explosion libère un bonus à récupérer. Mais attention, le temps est limité.</t>
  </si>
  <si>
    <t>Super Bubble Pop</t>
  </si>
  <si>
    <t>Psikyo est un développeur japonais, on pourrait presque dire le descendant de l'ancienne société Video System puisque créée par les fondateurs de celle-ci. D'ailleurs, la filiation avec la célèbre série Aero Fighters de l'éditeur (ou Sonic Wings en japonais) est flagrante, puisque Strikers 1945 Plus leur ressemble autant graphiquement qu'en termes de gameplay. Comme nous allons le voir, celui-ci est nettement plus abouti, grâce à une impressionnante cartouche de 681 mégas. Et cela ne saute pas aux yeux tout de suite, car les graphismes n'ont à première vue rien d' extraordinaire. Certes, les décors sont finement dessinés, les avions variés et bien animés, les Boss gras à souhait.
Le jeu se rattrape - et l'on comprend mieux où sont passés les centaines de mégas - sur la qualité de son animation et de sa bande son. Il n'y a strictement aucun ralentissement à signaler, même lors des parties à deux, et pourtant il y en a des boulettes à l'écran! Les musiques et bruitages sont géniaux, avec des thèmes épiques et entraînants très "World War II". Du beau travail, d'autant que les sprites sont parfois des centaines à l'écran. On est bel et bien dans un Manic Shooter, pas de doute!</t>
  </si>
  <si>
    <t>In 1945, the second world war ended. Soon, there was peace, but an organization of high-ranking military officers from all over the world form a global army known as CANY. Their mission was to conquer the world. CANY activity was found in areas like the Soviet Union, America, Japan, and even Germany. It is revealed that CANY had weapons never seen before from rockets to mechanical walkers. The world quickly formed a group of pilots and planes called the Strikers whose mission is to rid of CANY from the world.</t>
  </si>
  <si>
    <t>ストライカーズ 1945 PLUS</t>
  </si>
  <si>
    <t>Street Slam (ou Street Hoop, comme vous voulez) est un bon petit jeu sans prétention qui n'a d'autre but que de divertir et de permettre de souffler un peu face à tous les monuments de la baston vidéoludique qui sévissent sur Neo·Geo. En ce sens, le but est atteint et c'est une réussite. Évidemment, c'est loin d'être un grand jeu.
L'ensemble est assez réussi mais malheureusement il n'y a que 5 terrains, ce qui est peu. De plus, le tout manque un peu de finesse en comparaison de ce qu'on peut obtenir sur cette machine. On retrouve tout de même le style estival et décontracté de Windjammers : couleurs chaudes et flashy sont au programme.
10 équipes aux caractéristiques variées,c'est correct mais vraiment pas de quoi s'y perdre. Le mode à deux joueurs promet de bons moments. Il est dommage que ce dernier ne propose pas de jouer en coopération.</t>
  </si>
  <si>
    <t>Street Hoop, known in Japan as Dunk Dream (ダンクドリーム?) and known in North America as Street Slam, is a basketball video game developed by Data East for Neo-Geo, released in 1994. The game features three-on-three basketball match-ups with a variety of different teams.</t>
  </si>
  <si>
    <t>Street Hoop / Street Slam / Dunk Dream</t>
  </si>
  <si>
    <t>Data East</t>
  </si>
  <si>
    <t>Après la révolution, que dis-je, le tremblement de terre survenu dans le monde du jeu vidéo avec la sortie de Stakes Winner en 1995, on ne pouvait que s'attendre à une suite de la part du grand Saurus, en pleine possession de ses moyens. Stakes Winner 2 sort donc l'année suivante, dans une version gonflée aux hormones (de cheval): pas moins de 178 mégas dans la culotte (de cheval!)! De quoi mettre un paquet de canassons dans votre Neo Geo. Enfin trêve de plaisanterie, le jeu vidéo c'est du sérieux, pour ce nouveau volume, les développeurs ont fait preuve d'imagination et le moins qu'on puisse dire c'est que les améliorations sont sensibles. On peut toujours jouer à deux, et désormais le soft propose une douzaine de chevaux de course différents. Le gameplay a évolué aussi, et propose de nouvelles idées pas inintéressantes.
La réalisation a également été revue et corrigée, avec des hippodromes finement redessinés et plus variés. Il arrive même qu'il pleuve lors des courses, pas mal! L'animation est un peu mieux faite, l'action plus rapide aussi. Autre changement qui ne fera pas de mal, la bande son. Saurus a entièrement revu sa copie, pour nous proposer des morceaux plus divers et mieux adaptés, dont quelques-uns sont très entraînants. Les bruitages ont fait peau neuve, en somme, c'est du tout bon. Saurus parvient à hisser son Stakes Winner 2 dans la catégories des jeux bizarres 'respectables'. En effet, si pour tout 'non-japonais' un jeu vidéo de course de canassons constitue un véritable OVNI, il n'en reste pas moins que ce SW2 est un titre agréable au gameplay plus que décent. Bien entendu, pas de quoi rameuter les foules ni faire se pâmer les amateurs de KOF et autres Metal Slug, mais tout de même un joli essai dans un genre pas forcément évident!</t>
  </si>
  <si>
    <t>Like its predecessor, Stakes Winner 2 is a 2D horse racing game. Choosing from one of the game's selection of horses, players must compete in a series of races on different tracks to earn money and prestige. Each horse that players can select is rated according to speed, stamina, and burst.
Players control their horses with the joystick and three buttons. Pressing the A button repeatedly keeps the horse accelerated with a slight drain of the stamina bar, while pressing the B button applies the rider crop to the horse. This results in a slight burst of speed at the cost of draining the horse's stamina bar faster.</t>
  </si>
  <si>
    <t>ステークスウィナー 2</t>
  </si>
  <si>
    <t>Stakes Winner vous met aux commandes d'un jokey qui va devoir gérer au mieux son cheval pour gagner différentes courses. Pour ce faire, deux boutons sont à votre disposition : un pour agiter les reines, et un autre pour donner des coups de cravache. 
Vous disposez d'une barre de vitalité qu'il va falloir étroitement surveiller. Si matraquer le bouton A pour fait raisonnablement baisser cette barre, l'utilisation de la cravache sera beaucoup plus gourmande ! 
Le tout est donc de bien gérer afin de pouvoir cravacher comme un sourd lors de la dernière ligne droite et éviter de tuer votre cheval. 
Les graphismes oscillent entre le réaliste et le manga, avec une bonne touche d'humour qui permet de relativiser sur ce jeu ô combien original. 
Question fun, à part le fait d'essayer quelque chose auquel on ne s'attendait pas, il n'y a pas grand chose à dire. Autour d'une bonne bière et entre potes, on peut se faire quelques courses. En solo, celui qui arrivera à terminer le jeu aura bien de la patience, d'autant que la difficulté est assez élevée, arcade oblige.</t>
  </si>
  <si>
    <t>Stakes Winner is a 2D horse racing game. Taking the role of horse jockeys, players must win a series of races using one of the game's eight selectable horses. Each horse is rated in strength, speed, and stamina, making each horse different in handling. During the game, horse ratings can be boosted through completing bonus levels. Each horse has a stamina bar displayed at the bottom of the screen, next to a picture of the horse's head showing its current health. The stamina bar decreases as the horse runs, and when it is depleted, the race is over for that horse.</t>
  </si>
  <si>
    <t>Stakes Winner / Stakes Winner - GI kinzen seiha e no michi</t>
  </si>
  <si>
    <t>Spin Master a pas mal d'atouts pour lui est propose de bons moments, surtout à deux. Il est court, pas étourdissant au niveau de sa réalisation, mais on y revient avec plaisir pour une petite partie pleine d'action, ce qui ne veut pas dire qu'il faut l'éviter comme la peste. Voilà un titre qui apporte une (petite) bouffée d'air frais au beau milieu des Samurai Shodown et autres Fatal Fury Special.</t>
  </si>
  <si>
    <t>An evil doctor has kidnapped John and Tom's friend, Mary, and has stolen their treasure map. Rescuing Mary and getting back all pieces of the map takes them through 5 levels of arcade-style Jump'n Shoot-action.
There are several weapons to acquire, ranging from a yo-yo (the standard weapon) to bombs, icicles, missiles and more. Weapons differ in range, shooting frequency, and power, and can be shot in all directions. Each weapon also has a unique chargeable attack as well as a super-attack (which uses up one bomb-symbol).
It is also possible to jump on enemies or perform a sliding attack.</t>
  </si>
  <si>
    <t>Il s'agit du premier jeu de football (au sens européen du terme), il se nomme Soccer Brawl. Il ne s'inscrit pas vraiment dans la lignée des rares autres titres arcade du genre, comme Hat Trick Hero, World Soccer Finals ou le plus ancien Kick Off. Ici, l'ambiance est futuriste et technologique, comme dans un 2020 Super Baseball.
SNK a joué l'originalité avec un jeu de football de robots et s'en tire fort honorablement. Ce jeu procure un très grand plaisir de jeu à deux, même s'il se révèle un peu limité quand on joue seul.</t>
  </si>
  <si>
    <t>The Cybernetic players use special kick shots and built-in arm phasers to destroy other players. Make sure your power meter is FULL when exercising these brutal tactics. Both stadiums, which are magnetically enclosed, enable you to kick or pass... off the wall! There are no fouls in this league, so watch your back or you'll get pulverized by the opposing team! You'll find here the most advanced sport in the world of soccer... SOCCER BRAWL!</t>
  </si>
  <si>
    <t>Soccer Brawl</t>
  </si>
  <si>
    <t>En plus des personnages supplémentaires de la version SNK vs. CAPCOM SVC CHAOS Plus, celle-ci ajoute deux combattants additionnels pour chaque éditeur.
Pour SNK :Mr Karate dans une nouvelle version,Athena de Kings of Fighters.
Pour Capcom les nouveaux sont :Akuma, dans une version encore plus démoniaque Red Arremer, démon notamment dans Ghouls 'n Ghosts.
Si les nouveaux venus sont presque anecdotiques, ça fait toujours plaisir de voir des combattants agrandir les troupes.</t>
  </si>
  <si>
    <t>SNK vs. Capcom - SVC Chaos Super Plus</t>
  </si>
  <si>
    <t>Un Hack de SNK Vs Capcom proposant 8 personnages supplémentaires (4 pour chaque éditeur pour ne pas faire de jaloux).
On retrouve pour SNK :Geese, boss de Fatal Fury,Goenitz de Kings of Fighters,Iori de Kings of Fighters,Mars People de Metal Slug.
Du coté de chez Capcom :Dan de Street Fighters,Demitri, le Dracula de Darkstalker Violent Ken, une version méchante de Ken Master,Zero, un personnage de Mega Man.
Ce hack tourne parfaitement et ce qui faisait la faiblesse de SNK Vs Capcom se trouve pallié. D'accord se sont des personnages un peu loufoques pour certains mais voilà une petite dose de fun qui voit ainsi le gameplay augmenté.</t>
  </si>
  <si>
    <t>SNK vs. Capcom - SVC Chaos Plus</t>
  </si>
  <si>
    <t>Ayant du mal à se défaire de son origine "koffienne", SVC Chaos peine à s'affirmer, la comparaison avec son modèle étant inévitable. Il apporte en revanche un peu de fraîcheur et permet de jouer avec des personnages très inhabituels sur Neo·Geo. On pourra lui reprocher de dérouter les pros de KOF mais au fond, ce n'est pas plus mal.
Il reste que les fans de Neo·Geo attendaient ce jeu de pied ferme, imaginant mille choses et au final, la réalisation globalement moyenne n'a pu qu'en décevoir.
SVC Chaos est un bon jeu, oui, mais sûrement pas le titre ultime qu'on pouvait attendre.
Seul, le jeu deviendra rapidement assez lassant, le mode Story étant peu developpé, malgré les dialogues particulièrement savoureux entre certains personnages. À deux, les duels se rapprocheront d'un KOF, les personnages Capcom apportant du sang neuf.</t>
  </si>
  <si>
    <t>The gameplay is based on the KOF series (particularly The King of Fighters 2002), with the same four button configuration and many of the same techniques. However, the game does not use the Team Battle format, but follows the traditional round-based one-on-one format. Each match begins with a dialogue exchange between the player's character and the opponent. One new technique introduced in the game is the Front Grand Step, which allows the player to leap towards the opponent and cancel into a basic attack. The player can perform this technique while guarding from an opponent's attack, which will consume one Power Gauge level.
The game uses a different type of Power Gauge known as the Groove Power Gauge System, which has three levels. The Groove gauge fills as the player lands attacks against the opponents or guard attacks. When the gauge fills to Lv. 1 or Lv. 2, the player can perform Super Special Moves, a Guard Cancel Attack or a Guard Cancel Front Step maneuver. When the gauge is full, its reaches MAXIMUM level and a MAX Activation occurs. During MAX Activation, the gauge will change into a timer and the player gains the ability to cancel any of their moves anytime (in addition to Super Special Moves and Guard Cancels). Once the timer runs out, the gauge returns to Lv. 2.
In addition to the regular Super Special Move, each character also has an Exceed move which can only be performed once when the player's life is less than half.</t>
  </si>
  <si>
    <t>SNK vs. Capcom - SVC Chaos</t>
  </si>
  <si>
    <t>Shougi No Tatsujin - Master of Shougi</t>
  </si>
  <si>
    <t>Le premier épisode a placé la barre très haut en proposant un jeu d’action en 3D isométrique où évolue une équipe de 3 personnages permutables, choisis parmi 8, dans 17 niveaux débordant d’originalité, d’humour, de fun et de bourrinage incessant que ce soit à pied, le long d’une corde ou à moto.
Le succès a naturellement invité à la réalisation d’une suite, mais le jeu étant tellement abouti, Saurus a préféré faire évoluer la série vers un autre horizon.
Parce qu’il en change le graphisme, le système de jeu et qu'il s’éloigne peut-être trop du premier opus, le 2nd squad a reçu un accueil mitigé du public. Il souffre continuellement de comparaisons qui tendent à occulter ses propres qualités. 
Saurus nous a pourtant pondu un titre ambitieux.</t>
  </si>
  <si>
    <t>DIO, a terrorist organization led by a man called Nakatomi, has threatened the world's leaders to submit to their will. After DIO completely eradicates a city, a squad of Shock Troopers are sent to deal with the threat.</t>
  </si>
  <si>
    <t>Vieux de la vieille, vous avez aimé Commando et Mercs de Capcom? Et bien, Shock Troopers de Saurus est pour vous. Fort de 346 mégas, il s'inscrit dans la lignée de Metal Slug tout en offrant un gameplay radicalement différent: le scrolling est multi-directionnel à tendance verticale, et la vue utilisée est 3/4 haut. On attaque au rythme d'une introduction pêchue et entraînante présentant l'équipe de mercenaires du jeu, et un scénario digne de l'agence tous risques!
Dès les premières minutes, la prise en main se fait, et les commandes du jeu se montrent intuitives et bien pensées. L'action est rapide, les personnages maniables, l'art de la guerre instinctif...</t>
  </si>
  <si>
    <t>Shock Troopers is a 1-2 player game where players select one of eight characters to play as. Each character has their own attack. Players also have to choose one of three routes to take. The object of the game is to go toward the end of the level and defeat the end-of-level boss, which is usually a huge vehicle. Crates that are scattered throughout the levels can be broken into to reveal new weapons and power-ups.
There is a team mode where players have to select three characters. The characters can be switched on-the-fly during gameplay, which is useful if one of them is badly injured. Players can use the other teammates until life-ups can be found.</t>
  </si>
  <si>
    <t>Shock Troopers</t>
  </si>
  <si>
    <t>Tournant résolument le dos à ses aînés, Sengoku 3 tient bien plus d'un Gaia Crusaders que d'un vrai Sengoku. Privé de l'ambiance improbable de ces prédécesseurs, il tire son épingle du jeu grâce à sa jouabilité tout en enchaînements, vraiment agréable à l'usage et ses héros, bien dessinés et animés. Il reste sa réalisation (en particulier le visuel) franchement trop inégale pour un jeu qui, tout de même, pèse plus de 350 Mbits. Dans l'absolu, c'est probablement le meilleur de la série (si on tient à tout prix à l'y inclure) et c'est bien la moindre des choses, huit ans après. Cela étant, Sengoku 3 est un très bon beat them up.</t>
  </si>
  <si>
    <t>The game takes a greater departure from its predecessors in both story and presentation. The heroes are now members of a ninja clan who have to dispatch an evil emperor before he is released. Players can choose which character they want for the first time, each having their own strengths and weaknesses. Two bosses that confront the player can also be playable after a certain chapter of the game, allowing players to re-select their character if they wish.</t>
  </si>
  <si>
    <t>戦国伝承 2001</t>
  </si>
  <si>
    <t>Sengoku 3 / Sengoku Densho 2001</t>
  </si>
  <si>
    <t>Noise Factory</t>
  </si>
  <si>
    <t>Sengoku 2 s'inscrit parfaitement dans la lignée de son aîné avec son ambiance japonaise médiévale, ses transformations et ses mondes parallèles. Il se contente d'apporter des nouveautés, très appréciables au demeurant. Le premier Sengoku avait une réalisation assez inégale, qu'en est-il de celui-ci ?
Plus beau, plus jouable, moins vaste, Sengoku 2 surpasse globalement son aîné sans trop de problèmes. Plus intéressant, ce titre permet enfin à SNK de se hisser au niveau des ténors du beat them up arcade. Sa réalisation de qualité (autant sonore que visuelle), sa jouabilité étendue et, surtout, son ambiance unique et déroutante en font un très bon jeu du genre.</t>
  </si>
  <si>
    <t>"A time of Sengoku, it's the weak becoming the victims of the strong. It began when a monarch got evil powers. He awakened peacefully sleeping souls and used his power to control them.
But there was hope for those who has everything taken away by the monarch.
A princess looked into the future and predicted an evil monarch would be born and she knew a strong soldier would appear in the future. The princess called to the soldier with her whole spirit..!!"</t>
  </si>
  <si>
    <t>戦国伝承 2</t>
  </si>
  <si>
    <t>Autant le préciser immédiatement, ne cherchez pas un quelconque rapport entre Sengoku, le jeu de SNK, et Son Goku, le héros des séries Dragon Ball et Dragon Ball Z. C'est en fait le nom d'une des nombreuses périodes de l'histoire du Japon.
Pour le deuxième beat them up de la Neo·Geo (le premier est Ninja Combat, signé Alpha Denshi), SNK a donc décidé de plonger le joueur dans une ambiance à la fois très nippone et traditionnelle, ce qui permet de se démarquer des plus classiques Final Fight, Double Dragon 3 et autres 64th Street.
Sa bande-son étonnante et ses effets visuels pourront séduire les amateurs de jeux à l'ambiance atypique. Hélas, ses couleurs parfois mal choisies et surtout sa jouabilité imprécise et inaboutie l'empêchent de s'exprimer pleinement. Il nous reste un jeu correct à l'environnement original alors que sur Neo·Geo, on attendait carrément un hit.</t>
  </si>
  <si>
    <t>"400 years ago, a powerful warlord with plans to conquer the world set forth on his evil mission by attacking entire towns and villages and terrorizing them beyond belief. Anyone who stood in his path of destruction was met by such brutal attacks that death was their only escape. Then two Samurai warriors joined forces to stop the wicked warlord. After many fierce battles they finally defeated him. But before he died he uttered his final words.... 'I shall return in 400 years and this time I will return with another madman and we will rule the world!'</t>
  </si>
  <si>
    <t>Sengoku / Sengoku Denshou</t>
  </si>
  <si>
    <t>Savage Reign, malgré ses innovations, malgré sa réalisation honnête, reste un jeu peu inspiré et pas hyper jouable. On ajoute à cela un nombre assez faible de personnages, peu charismatiques qui plus est. D'accord, on l'aura compris, Savage Reign n'a pas du tout l'étincelle d'un Fatal Fury ou d'un KOF. Même si les ingrédients sont bons, même si le chef cuisinier est étoilé, le plat n'est pas nécessairement exceptionnel. SNK a réalisé un jeu de second choix très correct, mais bien loin des standards auxquels l'éditeur nous a habitués.</t>
  </si>
  <si>
    <t>Savage Reign is set in the first half of the 21st century in the fictional city of South Town (the same city used in the Fatal Fury and Art of Fighting series), which has now been upgraded and renamed as Jipang City. A mysterious legendary fighter known only as King Leo has risen up from the shadows of secrecy and issued a challenge on television for the strongest of fighters to battle against him in a fighting tournament known as the Battle of the Beast God. He promises immense wealth beyond anyone's dreams and legendary fame beyond imagination. Nine fighters have come to the tournament, each with their own sole purpose and reason for battling against King Leo.</t>
  </si>
  <si>
    <t>風雲黙示録</t>
  </si>
  <si>
    <t>Savage Reign / Fu'un Mokushiroku - kakutou sousei</t>
  </si>
  <si>
    <t>Saulabi Spirits / Jin Saulabi Tu Hon</t>
  </si>
  <si>
    <t>Samurai Shodown V Special est un très bon jeu qui se montre violent à souhait dans sa version allégée de toute censure et avec une jouabilité plus qu'aboutie. Il manque quelques personnages incontournables comme Cham Cham ou Wan-Fu et cela manque un peu de stages et de musiques comparé à Samurai Shodown V, mais sinon il n'y a pas grand chose à reprocher.
Voilà donc ce à quoi ressemble le chant du cygne de la Neo·Geo. On peut comprendre que cette version qui suit de peu Samurai Shodown V ait de quoi énerver. Eh bien, cela ne devrait pas être le cas tant que ça. En effet, Yuki Enterprise a fait en sorte que cette mise à jour ne soit pas trop redondante avec Samurai Shodown V (même si la ressemblance est là, et pour cause) et en a profité pour travailler les détails qui le nécessitaient.
Presque aussi bon que Samurai Shodown IV, conçu par SNK : pas mal !</t>
  </si>
  <si>
    <t>An ordained meeting of 28 fierce warriors begins, to precede a series of duels to the death. These individuals entrust their fates to their skill and their weapons. For those not up to the task, a cherished end in battle is their only hope.
The twenty-eight Samurai characters clash in one epic title.</t>
  </si>
  <si>
    <t>サムライスピリッツ零スペシャル</t>
  </si>
  <si>
    <t>Samurai Shodown V Special / Samurai Spirits Zero Special</t>
  </si>
  <si>
    <t>7 ans entre les épisodes IV et V, c'est énorme. 378 Mbits d'un côté et 708 Mbits de l'autre, ça aussi c'est énorme. Et pourtant, à l'écran la différence n'est pas flagrante et on se demande ce qui justifie un tel écart théorique. Samurai Shodown V apporte cependant un bonne ration de nouveautés et se montre un digne représentant de sa lignée. Sans être éblouissante car très imparfaite, sa réalisation technique est correcte et assez propre. Les combattants sont nombreux, la jouabilité est très bonne, que demander de plus ? Un mode Versus, en effet ! On aurait pu s'attendre à un jeu bien plus paufiné mais les amateurs de la série sauront apprécier ce bon titre.
En 1996 la série Samurai Shodown avait quatre épisodes à son actif. Série emblématique et de grande qualité, elle fut choisie pour inaugurer le passage à la 3D. 
Pas moins de sept ans après l'excellent Samurai Shodown IV, SNK Playmore fait revenir la série sur Neo·Geo avec un épisode V. Les katanas à la lame bien aiguisée sont de retour, préparez-vous !
Le développement de cet épisode a été confié à une société nommée Yuki Enterprise et le jeu tient sur 708 Mbits, à l'instar de Metal Slug 3 et de SVC Chaos.</t>
  </si>
  <si>
    <t>The most significant addition to the fighting system, is the "defense" button. This button—depending on the position of the joystick—allows the player to duck, quickly jump back, quickly jump forward or roll. This gives more tactical possibilities and balances the player with more evasive moves, rather than loading the buttons with attacks. Clearly, Yuki's strategy game experience was shown in the new fighting system. Brought back from the original two SS games, is the combination of the A and B buttons to create a fierce slash attack rather than having its own button, like the last two SS games. The C button is once again a kick.</t>
  </si>
  <si>
    <t>サムライスピリッツ零</t>
  </si>
  <si>
    <t>Samurai Shodown V / Samurai Spirits Zero</t>
  </si>
  <si>
    <t>Samurai Shodown IV corrige pas mal de points qui laissaient à désirer dans l'épisode III. Plus abouti, plus réussi, c'est encore une fois une démonstration du savoir-faire acquis par SNK. Dans son genre, il est tout simplement somptueux, sachant allier réalisation de très bon niveau à une jouabilité devenue assez technique, ce qui est la marque d'un grand jeu. La série atteint un nouveau point de maturité après le II.
La saga Samurai Shodown n'est pas des plus faciles à suivre du point de vue chronologique. L'épisode III avait la particularité de s'intercaler entre le premier et le deuxième, introduisant un nouvel ennemi, Zankurô Minazuki. Cette histoire est prolongée ici, ce qui fait que ce Samurai Shodown IV se situe après le III mais toujours avant le II. Ce nouvel opus forme avec son prédécesseur un mini-chapitre dans la série.</t>
  </si>
  <si>
    <t>Samurai Shodown IV: Amakusa's Revenge, also known as Samurai Spirits: Amakusa's Descent (サムライスピリッツ天草降臨 Samurai Supirittsu Amakusa Kōrin, TenSamu in short) in Japan, is the fourth in SNK's flagship Samurai Shodown series of fighting games. Chronologically, it is the second and final chapter of a story between Samurai Shodown and Samurai Shodown II, with Samurai Shodown III being the first chapter.</t>
  </si>
  <si>
    <t>サムライスピリッツ天草降臨</t>
  </si>
  <si>
    <t>Samurai Shodown IV - Amakusa's Revenge / Samurai Spirits - Amakusa Kourin</t>
  </si>
  <si>
    <t>Samurai Shodown III renouvelle la série en profondeur : jouabilité, combattants, ambiance. Les fans absolus des deux premiers épisodes risquent de se sentir un peu perdus. Revers de la médaille de tant de nouveauté, il n'est pas très abouti sur certains points (jouabilité énervante par moments, graphismes parfois un peu vides et nombre de personnages relativement limité). Ce ne sont que des petits reproches face à de sacrés efforts fournis, SNK prouvant une nouvelle fois son dynamisme et que jeu de qualité n'est pas incompatible avec renouvellement.</t>
  </si>
  <si>
    <t>Samurai Shodown III was to be the start of a bold new direction for the franchise.
The most obvious difference between this game and the others in the series is the notably darker aesthetic. The more light-hearted characters (Earthquake, Cham Cham, and Gen-an to name a few) from the previous games have been excised, and even the kabuki master, Kyoshiro Senryo, received a redesign, transforming him from a flamboyant stage performer into a grim-faced, muscular man. All of the characters have been completely redrawn. The animation is very smooth for all characters, another departure from the graphical style of the second game.</t>
  </si>
  <si>
    <t>サムライスピリッツ斬紅郎無双剣</t>
  </si>
  <si>
    <t>Samurai Shodown III / Samurai Spirits - Zankurou Musouken</t>
  </si>
  <si>
    <t>Les amateurs de Samurai Shodown peuvent se réjouir. SNK leur a concocté une suite qui va les transporter une nouvelle fois dans le Moyen Âge japonais. Les joutes sous tension, le bushidô, la violence brute, tout cela est de retour, et bien plus encore. Pour information, ce jeu est le premier à franchir la barre magique des 200 Mbits. Son principe est toujours le même : combat à l'arme blanche, avec éventuellement aide d'un animal dans certains cas.Samurai Shodown II donne un sérieux coup de vieux à son prédécesseur. Plus coloré, plus de personnages, plus "mieux", quoi. Il ne manque guère que Tam Tam pour que le tableau soit parfait. Nous voilà face à un superbe titre qu'on ne peut que recommander.</t>
  </si>
  <si>
    <t>One of SNK's legendary fighting game series has made a return! In Samurai Shodown II, you can take on one of the roles of 15 warriors as you fight your way through the land to defeat the evil Mizuki! Slash, kick, and slice your opponents in half...do whatever it takes...live by the sword, and die by its blade.</t>
  </si>
  <si>
    <t>真サムライスピリッツ</t>
  </si>
  <si>
    <t>Samurai Shodown II / Shin Samurai Spirits - Haohmaru jigokuhen</t>
  </si>
  <si>
    <t>Vous en avez assez de vous contenter de vos poings et pieds lors de combats ? SNK a pensé à vous avec ce nouveau titre. Samurai Shodown va bien au-delà des Street Fighter, Fatal Fury, Mortal Kombat et consorts. En effet, malgré un Art of Fighting impressionnant, malgré un Fatal Fury 2 de grande qualité, malgré un World Heroes 2 étonnant et même malgré un Mortal Kombat hyper violent, aucun éditeur n'arrive franchement à surpasser le succès de Capcom et de son Street Fighter II. 
Ici il va falloir combattre katana à la main et malheur au vaincu ! Les combats prennent alors une dimension à la fois épique et dramatique où il n'y a que deux issues : la victoire ou la mort. Nous sommes loin de Street Fighter ou de Fatal Fury et de leurs KO politiquement corrects. 
Samurai Shodown innove réellement par rapport à ses contemporains. Très réussi, il offre une alternative intéressante aux séries plus classiques. Son ambiance spéciale (musiques inhabituelles et combats d'une grande gravité) peut toutefois rebuter certains joueurs qui lui préfèreront des jeux plus hauts en couleurs comme Fatal Fury 2 ou World Heroes 2... des jeux tellement plus classiques ! Cela vaut pourtant réellement le coup de se plonger dans ce très bon jeu.</t>
  </si>
  <si>
    <t>In early Japan, a man named Shiro Tokisada Amakusa preaches a heretic religion. Little does anyone know that Amakusa is really a servant of the evil Ambrosia, who took over Amakusa's body. Ambrosia wishes to shroud the world in darkness. Now, choose between 12 warriors (and 3 bonus characters) to fight for the honor of destroying Amakusa, and fulfilling a mission.</t>
  </si>
  <si>
    <t>Samurai Shodown / Samurai Spirits</t>
  </si>
  <si>
    <t>Robo Army est assez réussi, plus original que Burning Fight. Le défaut de ce dernier est de vouloir à tout prix copier Final Fight sans réellement innover ni en avoir l'envergure. Robo Army a le mérite d'être moins conventionnel en se démarquant du jeu de Capcom. Il est par ailleurs mieux réalisé que Sengoku. Il a néanmoins quelques défauts...
Voici le troisième beat them up signé SNK sur Neo·Geo. Si avec Burning Fight c'était Capcom qui était clairement visé, SNK avait choisi avec Sengoku une voie plus originale, le résultat n'étant malheureusement pas forcément plus concluant. Toujours dans cette recherche d'originalité, SNK évite soigneusement le beat them up urbain classique et nous propose un titre à l'ambiance futuriste : Robo Army.</t>
  </si>
  <si>
    <t>In a futuristic city named Neo-Detroit, a scientist named Jeed kidnaps two police officers, Maxima and Rocky, and transforms them into cyborgs, but failed to implant on them a chip that would make them obey his will. They eventually escape his grasp and decide to defeat the mad scientist. He pits his army against the two, but they are no match for Maxima and Rocky. Maxima and Rocky eventually find out that Jeed kidnapped his own daughter to prevent her from stopping him. Maxima and Rocky defeated Jeed and saved his daughter. In gratitude for rescuing her, she returned them to normal.</t>
  </si>
  <si>
    <t>Plus beau, mieux fini, plus long, plus complexe, RBS fait vraiment plus fort que son grand frère, ce dernier pouvant avoir alissé un sentiment d'inachevé. Ici, ce n'est absolument pas le cas et l'amateur de Fatal Fury sera choyé à grands coups de réalisation de qualité et de références appuyées au passé de la saga. C'est un vrai plaisir de voir la Neo·Geo si bien exploitée malgré son grand âge. Nous voilà devant un jeu exceptionnel qu'il ne faut manquer en aucun cas... à moins de ne pas du tout aimer la série.</t>
  </si>
  <si>
    <t>The supreme trial of strength awaits! 19 of Fatal Fury's hottest heroes collide! One year since the fearsome conclusion to "Real Bout", the hungry wolves ready themselves for a new battle, "Real Bout Special" - the paramount pugilistic proving ground!
The game retains the cast of the original Real Bout, with the addition of Tung Fu Rue, Cheng Sinzan, Laurence Blood and Wolfgang Krauser from Fatal Fury Special, with Krauser serving as the new final boss. Geese Howard, who was killed off in the end of the original Real Bout, appears in this game as a hidden final boss in a special "Nightmare Match" and as an unlockable playable character in the home versions. The game also features hidden "extra" versions of Tung Fu Rue, Billy Kane, Blue Mary, and Andy Bogard, for a total of 23 (24 if counting Geese) characters.</t>
  </si>
  <si>
    <t>Real Bout Fatal Fury 2 arrive à repousser un peu plus loin les limites posées par RBS, ce dernier étant déjà extrêmement abouti. Voilà un autre grand jeu qui mérite vraiment qu'on se penche dessus, même si au premier abord il peut sembler trop proche de son illustre aîné... seulement au premier abord. Les amateurs de détails pourront déplorer la relative simplification technique (du point de vue de la réalisation) du jeu.Il serait fort dommage d'en rester à une analyse trop superficielle, alors on s'y met !</t>
  </si>
  <si>
    <t>The Newcomers... Those who only want to ultimate power. It's never ending fight for all martial artists. New challengers are added and the gathering of wolves is held once again!
The iron-fisted yet rude Li Xiangfei and Rick Strowd, the man who calls the wind. Will the abilities of these two people really be like no other fighter? And will Terry, Andy, Geese and the other regulars get their fighting in? Only the last one standing will truly earn their title as the best...</t>
  </si>
  <si>
    <t>リアルバウト餓狼伝説 2</t>
  </si>
  <si>
    <t>Real Bout Fatal Fury 2 - The Newcomers / Real Bout Garou Densetsu 2 - the newcomers</t>
  </si>
  <si>
    <t>Seul, Real Bout Fatal Fury paraît d'abord assez répétitif du fait de son nombre très bas de décors et de ses musiques presque identiques à Fatal Fury 3. On a l'impression d'un jeu pas tout à fait fini. Sans doute sorti trop rapidement, SNK a dû faire un choix entre l'habillage et la maniabilité.
Justement, à l'usage, on se rend compte des progrès accomplis en matière de souplesse et d'ergonomie. Des progrès d'autant plus tangibles quand on joue à deux, il prend alors sa vraie dimension et montre enfin tout son potentiel au joueur averti qui saura apprécier les améliorations apportées.</t>
  </si>
  <si>
    <t>Real Bout changes the play controls from the previous Fatal Fury games, reducing the number of attack buttons from four to three: a standard Punch and Kick button, a "Strong Attack" button which can be either a stronger punch or kick attack, depending on the character. The game retains the three-plane "oversway" system from Fatal Fury 3, which features a main lane for fighting, with foreground and background planes used to avoid attacks or leap towards the opponent. A dedicated button is now used to make an "oversway" (or change plane) towards the background or foreground.
Real Bout introduces a Power Gauge, which fills up as the player performs normal or special techniques against their opponent or defend themselves, similar to many super move gauges featured in other fighting games. The Power Gauge allows players to perform one of three types of Special Techniques, depending of the level of the Power Gauge.
Real Bout also introduces stages with ring-outs, a gameplay feature previously introduced in 3D fighting games such as Virtua Fighter. If the player performs certain attacks on their opponent while next to the boundaries, the character will eventually destroy the barrier keeping the opponent in the ring and be able to knock them out of the stage for an easy win.</t>
  </si>
  <si>
    <t>リアルバウト餓狼伝説</t>
  </si>
  <si>
    <t>Real Bout Fatal Fury / Real Bout Garou Densetsu</t>
  </si>
  <si>
    <t>Ragnagard ne se positionne pas dans la catégories des ténors, c'est clairement un second couteau. Il n'empêche qu'être un second couteau ne prive aucunement un titre d'être un bon jeu, comme en témoignent Karnov's Revenge ou encore Kabuki Klash. Saurus nous propose un jeu étonnant, un jeu innovant, mais malheureusement pas un jeu réellement réussi. Il souffre d'un manque de personnages et d'une réalisation bien trop hésitante pour espérer être autre chose qu'une curiosité technique.</t>
  </si>
  <si>
    <t>Pre-rendered pixelation puts somewhat of a damper on this fantasy fighter. Eight selectable characters and three end bosses.</t>
  </si>
  <si>
    <t>Rage of the Dragons est un de ces obscurs jeux de baston,dont on a peu entendu parler. ROTD n'en est pas moins un versus fighting de très bonne qualité, offrant une réalisation et un gameplay à la hauteur de la machine sur laquelle il est programmé. La majorité des softs sortis après 2001 ne peuvent en dire autant, les connaisseurs savent de quoi je parle... L'ère "Playmore" n'ayant pas été une référence en terme de qualité.Imaginez un mélange de l'animation et du gameplay de Garou avec le côté délirant et fun de Matrimelee (plus quelques-uns de ses personnages), un système de combos et des furies rappelant KOF, additionné d'un mode de combat en équipe emprunté à Kizuna Encounter, le tout avec les persos de la série Double Dragon.</t>
  </si>
  <si>
    <t>In a town ruled by an evil religious cult, the battle to decide the strongest dragon begins! Each Contestant is a champion who contends with the power of mighty dragons: Black Dragon, Red Dragon, Blue Dragon, and White Dragon. Go head to head in a tag-team partnership to test your attack and defense in the heat of battle.</t>
  </si>
  <si>
    <t>Rage of the Dragons</t>
  </si>
  <si>
    <t>Evoga</t>
  </si>
  <si>
    <t>None</t>
  </si>
  <si>
    <t>クイズ迷探偵ネオ&amp;ジオ クイズ大捜査線パート2</t>
  </si>
  <si>
    <t>Quiz Meitantei Neo &amp; Geo - Quiz Daisousa Sen part 2</t>
  </si>
  <si>
    <t>クイズ キング・オブ・ファイターズ</t>
  </si>
  <si>
    <t>Quiz King of Fighters</t>
  </si>
  <si>
    <t>Quiz Daisōsa Sen The Last Count Down est un jeu vidéo de quiz,donc si vous ne lisez pas le japonais et que vous n'etes pas un adepte de ce genre de jeu vous pouvez passer votre chemin....</t>
  </si>
  <si>
    <t>Quiz Daisousa Sen - The Last Count Down</t>
  </si>
  <si>
    <t>Puzzled est un petit puzzle game qui n'innove pas vraiment. Il a un bon replay value, mais seulement pour les fans hardcore de Tetris. La difficulté énorme du titre fera se tourner la plupart des amateurs du genre sur la version Game Boy, beaucoup plus équilibrée.</t>
  </si>
  <si>
    <t>Well, about Puzzled (known as Joy Joy Kid in Japan) I'd have to say that I've heard it called primitive, and it is, but that doesn't detract from it. It looks like it could have been an old Genesis game and weighs in at a whopping 26 megs, the lowest meg count for a Neo Geo cart. But does that affect the quality of the game? Not really. It's an interesting Tetris-like puzzle game with an different twist for a tetris look-a-like. The point of puzzled ISN'T to eliminate all of the lines, there's a story here, and it explains the gameplay. It kind of goes like this: There was a village of men and a village of women and the two were always at war so the gods built a tower/wall between them so they couldn't fight and so after a while both villages got tired of it, and sent a messenger, a boy from one and a girl from the other, in hot air balloons, to the top of the tower to petition the gods to remove the barrier between. That's it.</t>
  </si>
  <si>
    <t>Puzzled / Joy Joy Kid</t>
  </si>
  <si>
    <t>Réédition de Puzzle de Pon!, ce sympathique clone éhonté de Puzzle Bubble produit par Visco (la différence ici, c'est qu'il faut "délivrer" des petits insignes embourbé dans l'amas de boules). Rien de bien nouveau, si ce n'est quelques ajustements ici et là....</t>
  </si>
  <si>
    <t>The update/sequel to the original Puzzle de Pon! It's a puzzle game similar in style to Puzzle Bobble. The goal is to clear the bubbles surrounding the drop token, rather than just clear the stage.</t>
  </si>
  <si>
    <t>Puzzle de Pon est donc une sorte de jeu hommage à son modèle, et ne s'en cache absolument pas. Premièrement, on sait bien à quoi correspond le "Puzzle" du titre, tandis que le "Pon" correspond au bruit que font les bulles de nos petits dinosaures de Bubble Bobble quand elles explosent (eh oui, les japonais n'utilisent pas les mêmes onomatopées que nous).  Le changement dans le gameplay est une bonne idée, mais au final on y perd la plus grande partie du replay value. Sans parler de la réalisation artistique très plate, qui enlève toute identité au jeu.</t>
  </si>
  <si>
    <t>Puzzle De Pon! was developed by Visco and published by SNK in 1995
Using a special launcher, you fire colored bubbles in an attempt to make matches and dislodge a plate at the top of the screen. After dropping the plate, you advance to the next level. The game ends when the bubbles get so piled up that they reach the bottom of the screen
The game is similar to Bust-A-Move/Puzzle Bobble, but as well as having to link three or more spheres of the same color together to eliminate them, you have to clear all the spheres away from a "plate", which drops down when the supporting spheres are destroyed. While playing against an opponent, if more than three spheres are removed at once, they will be added to the collection on the other player's screen.</t>
  </si>
  <si>
    <t>パズル de ポン!</t>
  </si>
  <si>
    <t>Bust a Move 2 est un casse-tête super rapide, ultra intense et extrêmement prenant, qui vous accaparera et ne vous lâchera jamais ! Une course contre la montre folle durant laquelle vous devrez faire éclater les bulles colorées avant qu'elles ne dépassent la ligne de fond ! C'est le casse-tête du siècle et ça va exploser !!!</t>
  </si>
  <si>
    <t>Puzzle Bobble 2 is the first sequel to "Puzzle Bobble". It was entitled in Europe and North America as Bust-A-Move Again on the arcade and Bust-A-Move 2 on the home consoles. Released into the arcades in 1995, PlayStation, Sega Saturn, Nintendo 64 and PC conversions followed. The game was included in Taito Legends 2, but the US arcade version was included on US PS2 version instead. The game is a spin-off from Bubble Bobble.
The game builds on the original by adding a tournament style variation on the two player game for play against the computer and by adding a branching map to the one player game, allowing the player to periodically select one of two groups of five levels to play next, leading to different game endings. Some of the contestants in the new tournament mode are based on characters from Bubble Bobble, including variations on a Monsta and a Mighta.
Some versions of the game, including the PlayStation, feature time trial competitions in which a single player attempts to finish simple rounds quickly enough to beat previous time records or two players simultaneously attempt to beat the records and each other.
Completion of the single player game gives the player a code which can be entered to unlock 'Another World' for the single player game, which features subtle changes to the existing levels to increase their difficulty and changes to all backdrops to resemble levels from Bubble Bobble. The various enemies from Bubble Bobble also make an appearance in the background of the credits sequence.</t>
  </si>
  <si>
    <t>Puzzle Bobble 2 / Bust-A-Move Again</t>
  </si>
  <si>
    <t>Aussi appelé Bust a move c’est le premier opus de la série inaugurant le style graphique Kawaii. Le but est de faire disparaitre toutes les bulles présentes à l’écran en faisant des séries de 3 bulles de couleur identique.</t>
  </si>
  <si>
    <t>Puzzle Bobble (Japanese: パズルボブル Hepburn: Pazuru Boburu), also known as Bust-a-Move in North America, is a 1994 tile-matching arcade puzzle video game for one or two players created by Taito Corporation. It is based on Taito's popular 1986 arcade game Bubble Bobble, featuring characters and themes from that game. Its characteristically cute Japanese animation and music, along with its play mechanics and level designs, made it successful as an arcade title and spawned several sequels and ports to home gaming systems.</t>
  </si>
  <si>
    <t>Puzzle Bobble / Bust-A-Move</t>
  </si>
  <si>
    <t>Pulstar, c'est une réalisation très soignée, une grande difficulté à la base artificiellement augmentée et une ambiance excellente. Un très bon jeu, bravo Aicom, le shoot them up horizontal a trouvé un successeur à Last Resort ! Avec un vrai mode 2 joueurs et une difficulté un peu plus honnête en Easy, le tableau aurait été parfait.Pulstar est certes un clone de R-Type, mais un clone qui propose un bel armement et un système de jeu bien sympathique. Un jeu classique peut être un très bon jeu, surtout si la réalisation est à la hauteur.</t>
  </si>
  <si>
    <t>In the year 2248, the first recorded sign of extraterrestrial life was discovered coming from Mars. The signal emanated from the planet and from it an object travelled through space at light speed out of the Solar System. Earth scientists read the signal, but not knowing the nature of it, warned the world's defenses in case aliens traced the signal and followed it to Earth with the intent to destroy.
Eight years later, aliens followed the signal to the Solar System and began attacking the human space craft awaiting them along Neptune’s orbit. The battle between the humans and aliens spread throughout the Solar System; within two years of combat Neptune was disintegrated, Jupiter was turned into a star and more than half of Earth's continents sank from rising ocean levels and the planet's changing axis as a result. Kaoru Yamazaki, lone fighter pilot of the Dino246, is one of the few survivors left of the Pulstar attack force founded to save the Solar System from the alien invaders; it is through her that mankind may have a chance to survive the alien menace.</t>
  </si>
  <si>
    <t>Impressionnant par sa taille (478 Mb), ce Prehistoric Isle 2 a de quoi titiller les amateurs de Shoot them Up les plus exigeants. Réalisé par Yumekobo en 1999, les virtuoses ayant accouché l'année précédente de Blazing Star, le jeu part avec un sacré pedigree. Il est en plus la suite d'un excellent titre réalisé dix ans plus tôt par SNK: Prehistoric Isle. Si le fait de descendre des dinosaures plutôt que des vaisseaux ou des avions peut interpeller, on ne peut nier que le concept est original.Jouable à deux simultanément, PI2 fait partie de ces shoots qui procurent un plaisir de jeu rare. La réalisation est en tous points excellente, on sent que les programmeurs maîtrisent bien la machine: les graphismes naturels sont magnifiques et variés, l'animation est une des plus réussies dans ce genre de production. Les mélodies, tantôt dramatiques, tantôt épiques, couvertes par les cris des dinosaures agonisants, rajoutent encore à cette atmosphère si particulière que dégage le nanardesque PI2...</t>
  </si>
  <si>
    <t>Prehistoric Isle 2 is complete madness.  You pick one of two available helicopters, and blast your way through six increasingly difficult stages.  The only thing in your way are dinosaurs, which just so happen to have the ability to breath fire, shoot lasers, and want nothing more than to see you perish!  It’s completely insane, and that’s what makes it so bloody great!  It doesn’t hurt any that the game was developed by the same people who made the excellent Blazing Star and Pulstar so you know you’re in for a good time.</t>
  </si>
  <si>
    <t>Jeanne et Serge, coup de foudre et match de... Hum, cet égarement n'est pas anodin, il va en effet être question d'un jeu d'un genre extrêmement peu représenté, surtout dans le monde de l'arcade : le volley-ball.Power Spikes II apporte un peu de sang neuf avec sa ligue Hyper mais souffre de sa représentation de profil. De plus, il est très en retrait des autres jeux du point de vue de sa réalisation : graphismes franchement pauvres et bande-son bien fade. Il lui reste le fait que les amateurs de volley-ball sont obligés de se tourner vers lui. Bien que très moyen, il est sauvé par l'originalité de l'Hyper League et par les parties à deux qui doivent aller avec.</t>
  </si>
  <si>
    <t>Play futuristic volleyballs and overpower your opponents with deadly moves and powered attacks. Win against other teams from across the globe in Power Spikes 2! Join the special Hyper League tournament and equip a power armor as you serve the ball and crush your opponents in sci-fi futuristic volleyball based sports.
Power Spikes 2 is a classic volleyball arcade game published back in 1994 for the Neo Geo hardware. As a sequel and improved version of the first game, Power Spikes 2 features faster game speed, larger sprites, and characters inspired by real life persons. The game features 8 selectable teams – each with their own female versions, and 4 non-selectable teams. The biggest innovation of the game is the new choice between Male World League, World Grand Prix Women, and Hyper League.</t>
  </si>
  <si>
    <t>パワースパイクス II</t>
  </si>
  <si>
    <t>Power Spikes II</t>
  </si>
  <si>
    <t>Pop'n Bounce est un casse brique sans originalité, à peine plus beau qu' Arkanoid sur Amstrad cpc 6128… Le jeu reste assez jouable et pas trop ennuyeux, les briques ont étés remplacés par des animaux ( pingouin, hippopotame… ) mais ça ne change pas grand chose. Le mode 2 joueurs est marrant...sans plus.</t>
  </si>
  <si>
    <t>Pop'n Bounce is a puzzle game similar to Break Out; the player must bounce a ball off a paddle in order to knock out a wall of sprites. However, in Pop'n Bounce, the sprites are of assorted living creatures instead of bricks.
Pop'n Bounce has been released for the arcade in Japan (as Gapporin) and the US. Used MVS cartridges seem to be uncommon even online. There is no difference between the Japan and US versions of the game other than the title. The game was not released for the home version of Neo-Geo.</t>
  </si>
  <si>
    <t>un puzzle game arrivé dans la douleur sur le support en fin de vie. Développé par le studio Aiki (composé par d'anciens de chez Compile, les maîtres du shmup des années fin 80 / début 90), le système de jeu s'inspire de l'excellent Super Puzzle Fighter II en manquant de proposer une alternative véritablement marquante.</t>
  </si>
  <si>
    <t>ポチッとにゃ~</t>
  </si>
  <si>
    <t>Pochi &amp; Nyaa</t>
  </si>
  <si>
    <t>Aiky</t>
  </si>
  <si>
    <t>Quand on pense Neo·Geo et football, on pense en général Super Sidekicks, belle réussite de SNK. D'autres éditeurs y sont allés de leur jeu, comme Visco et son Goal! Goal! Goal! ou encore Tecmo et son World Soccer '96. Plutôt que de s'aventurer sur ce même terrain, Saurus a préféré tenter sa chance avec un jeu alternatif, consacré au futsal. Il s'appelle d'ailleurs Futsal au Japon alors qu'en Occident, il devient Pleasure Goal.Ne prétendant nullement rivaliser avec les Super Sidekicks, Pleasure Goal saura apporter une petite bouffée d'air frais bienvenue sur un support toujours autant axé sur le fighting game.Loin d'être le meilleur jeu mvs, Pleasure Goal pourra séduire de par sa simplicité l'amateur de jeux de footbal typés arcade.</t>
  </si>
  <si>
    <t>A 3/4 top-down soccer game featuring big character sprites in a realistic arcade soccer game. This is an extremely rare Neo Geo game.</t>
  </si>
  <si>
    <t>Pleasure Goal / Futsal - 5 on 5 Mini Soccer</t>
  </si>
  <si>
    <t>Panic Bomber, est passé bien inaperçu: il s'agit d'un jeu de réflexion mélangeant les mécanismes de Tetris et de Puzzle Bobble, le tout dans l'univers de Bomberman! Le systeme mvs de SNK dispose d'une dizaine de ces Puzzle Game, dont certains sont indispensables.
Le gameplay est fade au possible, mais la réalisation du jeu est tout aussi médiocre, les graphismes sont nuls, l'animation fait le minimum syndical... et il n'y a guère que les musiques du jeu qui relèvent un peu le niveau, et encore, ce n'est pas bien folichon.</t>
  </si>
  <si>
    <t>It is a "falling blocks" puzzle game based on the Bomberman franchise. The goal of the game is essentially to cause your opponent to lose by causing their gameplay field to fill to the top with objects. You do this by causing chains of bombs to explode, sending useless rubble over to your opponent's field, which they must then remove themselves. Bombs are earned by causing chains of three identical blocks to disappear. Bombs can only be blown up with an explosion from a lit bomb, which falls from the top of the screen every so often. If the player causes enough damage, they can eventually earn a giant bomb, which will remove a large amount of debris from the playing field, and cause their opponent a good deal of trouble.
The game's regular story mode revolves around Bomberman's hunt for the Golden Bomber statue. During his trek, he fights against several different odd characters, like Drifty the balloon, or Cecil the tiger. However, all that can really be earned from playing through this mode is a harder difficulty level, earned by finishing the entire story at the "hard" difficulty level.</t>
  </si>
  <si>
    <t>ボンバーマン ぱにっくボンバー</t>
  </si>
  <si>
    <t>Eighting</t>
  </si>
  <si>
    <t>Pae Wang Jeon Seol / Legend of a Warrior</t>
  </si>
  <si>
    <t>Le principe de jeu reste totalement identique à celui de Trash Rally : en 3D isométrique, vous pilotez une bagnole et devez avancer le plus loin possible avant que le compteur ne se soit totalement égrainé. Tout au long d'une partie de Over Top, on ne peut s'empêcher de faire la comparaison avec Trash Rally. Le développeur est certes le même, mais ici le résultat est clairement en dessous de nos espérances, notamment par le fait que le jeu se termine en quelques minutes.</t>
  </si>
  <si>
    <t>Over Top is a 2D overhead view on- and off-road racing game. Players can choose from several different vehicle types. Pure racing fans can race in a Ferrari sports car, while motorcycle enthusiasts can race using a bike. Players looking for more exotic vehicles to race can even choose the truck, Hummer, or van. Each vehicle has its own handling characteristics and performs differently on various terrain types.
A large screen showing a simplified overhead map of the current course section takes up part of the top left section of the screen. The map shows players their current location as well as the course ahead, giving them a chance to react to turns before they see them. Just before a turn, the game also provides more help in the form of blinking arrows indicating the direction that the course is heading.</t>
  </si>
  <si>
    <t>Ninja Combat s'inscrit résolument dans la lignée des Renegade et autres Double Dragon. L'héritage de Gang Wars est d'ailleurs indiscutable. Il n'a pas du tout à rougir face à ses aînés et, même s'il aurait pu être plus travaillé sur certains points (design discutable, longueur du jeu, absence d'enchaînements, etc.), il apportera toutefois sa ration de bourrinage à l'amateur de jeux de ce style. Alpha Denshi n'a toutefois pas pris le train de la génération suivante avec Final Fight, ce qui risque de rebuter certains joueurs.</t>
  </si>
  <si>
    <t>Ninja Master's follows the conventions of many previous 2D fighting games released for the Neo-Geo. The player must defeat their opponent in combat in a series of best-two-out-of-three matches. Characters can change between using the character's weapon or fight hand-to-hand during the middle of combat. Like the Art of Fighting series, Ninja Master's features a super meter.</t>
  </si>
  <si>
    <t>ニンジャマスターズ ～覇王忍法帖～</t>
  </si>
  <si>
    <t>Ninja Master's - haoh-ninpo-cho</t>
  </si>
  <si>
    <t>Ninja Commando est un jeu vidéo de type run and gun développé par ADK et édité par SNK en 1992 sur Neo-Geo MVS, sur Neo-Geo AES.
On trouve ici un ersatz de Mercs ou encore d'Ikari Warriors et Time Soldiers.
Le joueur à le choix entre trois persos à sélectionner en début de partie, un guerrier tout de bleu vétu avec un tir en V, un ninja agile qui lance des boules de feu, et une femme qui lance des flèches.</t>
  </si>
  <si>
    <t>Players take control of a ninja and must guide him safely through various side-scrolling levels, jumping over pits, dodging obstacles and defeating other ninjas. In every stage, there are numerous doors that constantly spawn new attackers, although there are never more than four enemy ninjas onscreen at the same time. At first, the player's ninja can only defeat his enemies by jumping on them. Defeating three enemies in a row gives access to additional ranged weapons: shuriken, bombs, a flamethrower and a rifle. Apart from other ninjas there are also indestructible, moving obstacles and other enemies including golems, worms and birds.</t>
  </si>
  <si>
    <t>Ninja Combat was produced by Alpha Denshi in 1990.
Two ninjas, red and blue, fight wave after wave of enemies while picking up scrolls for special attacks and weapons from defeated enemies.
Two players can team up as a red and blue ninja fighting enemies. The game is long and rather hard. You fight through many stages on your way to a castle. Every stage has end boss. Along the way you pick up weapons, such as clubs and axes from fallen enemies. You also pick up ninja scrolls that replenish your health bar or give you special attacks (like a fire-dragon that flies around the screen killing all enemies).
This is a side-scrolling chop socky beat-em-up.
The game is very much like SNK-Alpha Denshi's earlier regular JAMMA release, Gang Wars. A lot of the graphics and sound effects seemed to carry directly over.</t>
  </si>
  <si>
    <t>Ninja Combat</t>
  </si>
  <si>
    <t>Nightmare in the Dark est un jeu vidéo de plates-formes développé par Eleven et Gavaking, et édité par SNK en 2000 sur Neo-Geo MVS.
Le jeu s'appuie sur un système très similaire à Bubble Bobble. Il lui emprunte notamment le level design (plusieurs niveaux verticaux dans un tableau fixe) et le fait de devoir éliminer tous les ennemis à l'écran pour passer au niveau suivant. Même si le jeu s'avère fort plaisant visuellement, ce système installe un sentiment de répétitivité une fois l'effet de nouveauté passé.</t>
  </si>
  <si>
    <t>There lived one gravedigger at a very small village in a remote region. He lived a quiet, solitary life in a corner of the cemetery. He kept away from the village people due to his very ugly appearance. One day, he found the graves were ransacked and some corpses were stolen. He didn't want the village people to find out, so he decided to eliminate the grave burglars by himself. Thus, he patrolled the cemetery every night.
Gameplay[edit]
A good ghoul goes around graveyards protecting them from evil doers. The player clears the area and collecting power ups using it to eliminate the enemies. There are five stages with five levels each, and each one of them has you throwing fireballs at ghouls, ghosts, goblins, and zombies. When you keep throwing fireballs at these enemies, they will ignite into a giant fireball, which you can throw at other enemies to kill them, and get the remaining treasure before moving on to the next level. At the end of the fifth level, a boss must be defeated in order to continue the game.</t>
  </si>
  <si>
    <t>Neo Geo Cup '98: The Road to the Victory est un jeu vidéo de football développé et édité par SNK en 1998 sur Neo-Geo MVS et sur Neo-Geo AES.
Prenez le contrôle d'une équipe de football légendaire et visez le trophée du championnat du monde!
Choisissez le bon pouvoir pour assurer votre victoire! Méfiez-vous des accidents qui pourraient causer des blessures pendant les matches, voire même forcer les joueurs à quitter le terrain!</t>
  </si>
  <si>
    <t>Neo Geo Cup '98: The Road to the Victory is a soccer video game based on the FIFA World Cup 1998, despite being released after the 1998 FIFA World Cup. It features 73 teams countries. Each team enters a "Regional Qualifying Round Final" where it plays a team it actually played in the 1998 FIFA World Cup qualification. For example: Spain would face Yugoslavia, an opponent it actually faced in its qualifying group. Or Italy would face Russia, an opponent Italy faced in the UEFA play-offs. If the player wins the opponent, it goes to a group much like the real life World Cup. In fact, the team faces opponents that were actually in its group. For Example: Mexico would face the Netherlands, Belgium and South Korea. It is a re-make of Super Sidekicks 3. However, animations and designs were exactly the same. The only difference is teams to reflect the World Cup, Kits again to reflect the World Cup, and players to resemble squads from the World Cup (Teams that did not qualify use line-ups from friendly games and qualifiers). It's slogan is "We got the kick".
Unlike its arcade counter-part, the Neo Geo version tries to be more of a soccer simulation game. Differences include the Neo Geo version more slowed down, and more realism added in shooting, passing, etc.</t>
  </si>
  <si>
    <t>ネオジオカップ '98</t>
  </si>
  <si>
    <t>Lançons-nous dans la grande épopée de ce « sport » magnifique et grandiose (ou pas ) qu’est le golf, ce sport considéré par beaucoup comme élitiste peut etre virtuellement à la portée de chacun !!! Oui oui pas besoin de baton en alu onéreux ou même de louer un terrain pour la journée sous un magnifique soleil quand on peut tout simplement profiter des rayons lumineux de son tube cathodique, enfoncé dans son canap avec un paquet de chips et une bibine… merci les jeux video!!!
Revenons à nos gazons, donc en 1996 Neo Turf Masters édité par SNK et développé par Nazca … nazca … ça vous dit quelque chose ? Normal ! Ce sont les spécialistes du jeux de balles qui fusent, par exemple l’énormissime « Metal Slug » (oui oui c’est eux). Ce jeu n’est donc pas une simulation vous l’aurez compris ! Prise en main rapide mais subtile, tout s’enchaine de façon bien rythmée et le jeu prend vraiment tout son sens à deux. Le but est relativement simple, tout comme le sport original : rien de complexe, on met une balle dans un trou en effectuant le moins de coups possible, jusque là tout va bien…</t>
  </si>
  <si>
    <t>The player picks one of six available golfers and competes on a number of golf courses around the world, including Japan (Fujiyama Oriental Golf Club), America (Grand Canyon Golf Course), Australia (Blue Lagoon Golf Course), and Germany (Baden Golf Course). The game features two modes of play. The first is Stroke Play, in which the player attempts to get the best score by playing all 18 holes. The second is Match Play, in which two players compete to see who can win more of the 18 holes. Get ready to hit the fairway!</t>
  </si>
  <si>
    <t>ビッグトーナメント ゴルフ</t>
  </si>
  <si>
    <t>Neo Mr. Do! est un jeu vidéo d'action-labyrinthe développé par Visco et édité par SNK en 1996 sur Neo-Geo MVS.
Le joueur incarne un clown dans un univers cartoon riche en couleurs. Pour terminer le niveau, le joueur dit réussir à attraper toutes les carottes mais gare aux créatures qui le poursuivent. Si il rentre en contact avec l'une d'entre elles, il meurt instantanément et tout est à recommencer.</t>
  </si>
  <si>
    <t>Mr. Do! (ミスタードゥ Misutā Du?) is an arcade game created by Universal in 1982. Similar in some ways to Namco's popular Dig Dug title, Mr. Do! was also popular and saw release on a variety of home video game consoles and systems. It is the first game in the Mr. Do series, and was released both as a standalone game and as a conversion kit (released by Taito Corp.) for existing arcade cabinets. It was one of the first arcade games to be released as a conversion kit, and went on to sell 30,000 units in the United States.[1] It was remade in Japan as Neo Mr. Do! (ネオミスタードゥ Neo Misutā Du?). It was also a popular choice on the 1983 video arcade-based game show Starcade.</t>
  </si>
  <si>
    <t>NEO ミスター・ドゥ!</t>
  </si>
  <si>
    <t>Neo Drift Out apporte du sang neuf et ce n'était pas du luxe, Thrash Rally commençant à dater. Visco signe un jeu doté d'une prise en main des plus agréables ainsi que d'une réalisation globalement correcte... mais bien trop court ! Heureusement, le plaisir qu'on prend en y jouant est tel qu'on y revient régulièrement pour une petite partie. Une trop petite partie, justement.</t>
  </si>
  <si>
    <t>This is an arcade-style rallying game with a particular isometric view. To start, players chooses between three big Japanese rally-spec vehicles—the Mitsubishi Lancer, the Subaru Impreza, and the Toyota Celica—which vary in their Speed, Control, and Body stats.
In each racing stage, the player needs to get to the finish line in the shortest time possible. If the clock hits zero, the player loses and the game is over unless they can continue. While driving, the time is hindered by barrels, puddles, slippery ice, cones and other obstacles in the player's path. Even other cars driving can be an obstacle. Also the player has to keep straight when driving up slopes, or the car will swerve and crash. The player can gain more time if they make it through checkpoints in between the starting and finishing points. The player can also take shortcuts. Before making a turn, the player will always get an immediate warning on the screen with a voice saying which direction the player ought to turn and certain warnings.
Aside from the starting Practice stage, there are six other stages to be conquered: European, African, Snow Land, Southern Hemisphere, Scandinavian, and Great Britain.</t>
  </si>
  <si>
    <t>Borne d'arcade oblige, il n'est possible de jouer qu'à deux au maximum sur cette version du jeu culte de Hudson. Les amateurs de parties endiablées à huit ou dix en seront donc pour leur frais. 
Forts de ce constat, les développeurs ont adapté le jeu de façon à privilégier le mode solo plutôt qu'un mode multi pourtant présent. On passera donc rapidement sur ce dernier, car se battre à deux avec des bots n'est pas très intéressant. 
Très classique, ce Neo Bomberman ne fait que surfer sur la vague déjà vue du genre. Rien de nouveau, mais la possibilité d'y jouer sur borne reste tout de même intéressante. Un jeu à jouer en mode aventure à deux pour vraiment l'apprécier.</t>
  </si>
  <si>
    <t>The gameplay consists of walking through maze-like areas filled with monsters with a goal of opening the gate leading to the next area. Playing as a bomberman, the player can lay bombs to destroy all of the monsters, which will subsequently open the gate. Destroying blocks in the maze may uncover useful items including remote control bombs, accelerators, hearts, and increased firing range. Neo Bomberman includes Bosses that appear after each zone. Each zone is harder than the last, some featuring new traps and level obstacles such as conveyor belts.</t>
  </si>
  <si>
    <t>Reprenant le principe du très célèbre Cabal, on peut qualifier ce jeu de TPS, c'est-à-dire "Third Person Shooting" où l'on voit son personnage de dos. 
Pour un des premiers jeux Neo·Geo, le pari est réussi : une réalisation quasi irréprochable, un genre unique et une difficulté non abusive contrairement à bon nombre de jeux contemporains.</t>
  </si>
  <si>
    <t>"The roar of the helicopters overhead snaps us back into reality. We will never forget the nightmare of that summer..." these were the phrases that started the story of Silver &amp; Brown</t>
  </si>
  <si>
    <t>ナム-1975</t>
  </si>
  <si>
    <t>Durée de vie trop limitée, jouabilité très simpliste... Mutation Nation n'est pas la référence du beat them up qu'il aurait pu devenir. Est-il pour autant un mauvais jeu ? Absolument pas. Sa réalisation de très bon niveau et son ambiance post-apocalyptique du tonnerre font qu'il saura satisfaire l'amateur de beat them up peu regardant sur le nombre de coups.</t>
  </si>
  <si>
    <t>The Slum... an area of town completely forgotten. No one could imagine the cruelness suffered by innocent people who were transformed into horrible mutant creatures by genetic experiments. They hovered everywhere and completely took control of the town.
Mutation Nation is a 1-2 player action game where you must control your hero and beat up any mutant that gets in your way, by either using your fists or one of four special attacks. A boss at the end of each area needs to be defeated if you want to proceed further through the game.</t>
  </si>
  <si>
    <t>ミューテイションネイション</t>
  </si>
  <si>
    <t>Mutation Nation</t>
  </si>
  <si>
    <t>Le principe du jeu se rapproche de Puzzle Bobble ou Magical Drop : dans tous les cas, il s'agit de mettre côte à côte des jetons qui se ressemblent. Dans Money Idol, ce sont des pièces que l'on regroupe pour en créer de valeur plus importantes : 5 pièces (ou plus) 1 donnent une 5, deux (ou plus) 5 donnent une 10, etc. Finalement, plus de deux pièces de 500 côte à côte disparaissent. Le jeu se déroule contre un adversaire; le premier dont les pièces débordent en premier perd. 
Comme dans beaucoup de jeux de ce type, la réflexion est vite remplacée par la rapidité dans la recherche de motifs et dans la réponse appropriée.</t>
  </si>
  <si>
    <t>Money Idol Exchanger is a stacking game similar to the Magical Drop, Astro Pop, and Puzzle Bobble series whereby players race to prevent a perpetually falling array of coins in different values from filling up the screen. Coins are combined (vertically and/or horizontally) to form higher valued coins; for example, five '1' coins will form a '5' coin, and two '5' coins will form a '10' coin, and so on, until two '500' coins are put together, at which point both disappear. Coins are arranged and colored to match denominations of the yen coins. Two bonus tiles allow for changes in gameplay. A green RU tile will rank up all coins of the same denomination; for example, all '10' coins will become '50' coins. A blue ER title will erase all coins of the same value. The game is won when any coin reaches the bottom of the opponent's screen.
In the single player mode, one of two characters can be selected who attempt to beat up to seven idiosyncratically named characters with names like Debtmiser, Mightdealer, Eldylabor, and Cherrybeiter. In the two player mode, both players fight each other until victory. The quicker and more efficiently each player clears out their screen, the quicker the other player's screen will fill up. Since filled screens offer the most opportunity for chaining together large combos, the tide can turn very quickly.</t>
  </si>
  <si>
    <t>Ce jeu est un jeu de mahjong. On dirait que les japonais mettent à chaque fois tout leur coeur pour que ces jeux soient les plus moches et les plus ridicules possibles ! A fuir pendant que vous le pouvez encore !!</t>
  </si>
  <si>
    <t>みなさんのおかげさまです</t>
  </si>
  <si>
    <t>Minasanno Okagesamadesu! Daisugorokutaikai</t>
  </si>
  <si>
    <t>Les adeptes de la série le savent, Metal Slug X n'est pas réellement une suite au deuxième épisode, mais plutôt une sorte de mise à jour. Ce n'est pas non plus un add-on ni un best of du 1 et du 2. Certes, on y retrouve quelques éléments du premier mais dans l'ensemble, les éléments du 2 sont beaucoup plus présents avec quelques modifications...Metal Slug X n'est pas vraiment meilleur que le 2, cependant les quelques nouveautés font qu'il est incontournable. Pour ceux/celles qui jouent pour l'histoire, préférez-lui quand même le 2.</t>
  </si>
  <si>
    <t>A modified version of Metal Slug 2 released in 1999 for the Neo-Geo console/arcade platform by SNK. It introduces some new features like new weapons, rearranged enemy replacement and greater difficulty.</t>
  </si>
  <si>
    <t>メタルスラッグ X</t>
  </si>
  <si>
    <t>Metal Slug X - Super Vehicle-001</t>
  </si>
  <si>
    <t>Metal Slug 6 sur MVS est en aucun cas l'adaptation de la version atomiswave. C’est un hack de Metal Slug 3 sans grand intérêt. L’ordre des tableaux a était changé et diverses choses comme changé la tête de son personnage par une autre, une seule banane fait grossir etc....bref, à éviter pour les puristes.</t>
  </si>
  <si>
    <t>Metal Slug 6</t>
  </si>
  <si>
    <t>Metal Slug 5 Plus est un boot de metal slug 5</t>
  </si>
  <si>
    <t>Metal Slug 5 Plus</t>
  </si>
  <si>
    <t>Première chose, Metal Slug 5 enfonce son prédécesseur en termes de réalisation et d'originalité. Plus joli, plus réussi et plus varié au niveau du son, il fait oublier le faux pas de Metal Slug 4, ce dernier ayant pour lui son système intéressant de médailles. Metal Slug 5, c'est de la très bonne réalisation, mais il reste perfectible avec son animation qui gèle et ses bruitages mal échantillonnés. D'accord, cela reste trop anecdotique pour entâcher la qualité du jeu, mais les joueurs les plus exigeants ne manqueront pas de relever ces soucis.
Par ailleurs on retrouve un peu l'esprit du premier Metal Slug : on ne finit pas épuisé pour voir le générique de fin. Plus dynamique et digeste que le terrible Metal Slug 3, il saura plaire à ceux qui n'adhèrent pas à la surenchère. Pour 708 Mbits, on aurait tout de même pu espérer quelques chemins alternatifs, ces derniers ne rallongeant pas la durée d'une partie mais donnant tout de même envie d'y revenir.</t>
  </si>
  <si>
    <t>A special disc that contains deep and intricate secrets about the Metal Slug project is stolen by a mysterious group called the Ptolemaic Army, whose specialty lies from within archaeological excavation and espionage. Marco and Tarma of the Peregrine Falcon Strike Force follow in hot pursuit against the group and in the process are joined by Eri and Fio of SPARROWS. Together once more, the quartet investigate the shrouded objective of the Ptolemaic Army.</t>
  </si>
  <si>
    <t>メタルスラッグ 5</t>
  </si>
  <si>
    <t>Metal Slug 5</t>
  </si>
  <si>
    <t>Metal Slug 4 Plus est un boot de Metal Slug 4.</t>
  </si>
  <si>
    <t>Metal Slug 4 Plus</t>
  </si>
  <si>
    <t>Soyons clair, Metal Slug 4 n'arrive pas à faire oublier Metal Slug 3. Réalisé à la va-vite avec ses décors mal recyclés et ses musiques clairement trop peu nombreuses, il allait tout droit dans le mur. Heureusement pour lui, le système de points avec les médailles et les nouveaux véhicules lui permettent de rester correct, malgré sa difficulté mal dosée. Ajoutons à tout cela une base intrinsèquement très solide et on obtient tout de même un bon jeu.</t>
  </si>
  <si>
    <t>One year after the events of Metal Slug 3, the world is trembling under the new threat of a mysterious but deadly cyber virus that threatens to attack and destroy any nation's military computer system. With Tarma and Eri unable to help due to their own assignments in the matter, Marco and Fio are called in to investigate the situation and are joined by two newcomers, Nadia and Trevor. In their investigation, the group discovers that a terrorist organization known as Amadeus is behind the nefarious plot and that they head into battle against Amadeus' forces, hoping to destroy the cyber virus before it gets the chance to wipe out the entire world's military computer system</t>
  </si>
  <si>
    <t>メタルスラッグ 4</t>
  </si>
  <si>
    <t>Metal Slug 4</t>
  </si>
  <si>
    <t>Mega</t>
  </si>
  <si>
    <t>Metal Slug 3 fait encore plus fort que ses illustres aînés, ces derniers ne déméritant pas pour autant. Sa performance n'en est que meilleure, au fond. Voilà un jeu très réussi, travaillé dans ses moindres détails, doté d'un humour omniprésent, c'est du pur bonheur. Enfin... pour peu qu'on accepte la tournure de surenchère prise par cette série. Cela se faisait déjà ressentir avec Metal Slug 2 et encore plus Metal Slug X, on est désormais bien loin du run and gun léger et digeste que constituait le premier opus. Certaines phases sont interminables (et il n'y pas que la mission 5, affreusement longue) et certains seront à coup sûr rebutés par ce rythme parfois hâché.
Il n'empêche qu'on ne peut que saluer l'excellence de ce Metal Slug 3, un titre à la générosité indiscutable.</t>
  </si>
  <si>
    <t>The legendary NEOGEO 2D action shooting masterpiece “METAL SLUG 3” heads out to Android devices! Use various weapons and slugs to fight your way through and survive on the battlefield!!
★Not only a perfect port of the original NEOGEO game!
In addition to its classic “ARCADE MODE”, this perfect conversion of “METAL SLUG 3” includes a “MISSION MODE”, allowing you to select in which stage you want to play!
You can now train yourself in your favorite stages or those which give you a hard time!
★ Command many Slug vehicles like an ace!
The Slugs are back and more colourful than ever, with Slug Mariners, Drill Slugs, and Elephant Slugs joining the original Metal Slugs and Slugnoids!!
★ Clear all routes via the branching map system!!
A branching map system allowing you to take a different route to the end with each play-through, and an immense map of endless gameplay awaits you in “METAL SLUG 3”!!</t>
  </si>
  <si>
    <t>Metal Slug 3</t>
  </si>
  <si>
    <t>Metal Slug 2 Turbo</t>
  </si>
  <si>
    <t>Certes sorti deux ans après, Metal Slug 2 surpasse son prédécesseur dans presque tous les domaines : plus beau, plus mélodieux, plus varié, bien plus long... Il ne manque qu'à se débarrasser de ces ralentissements pour que tout soit idéal. Plus séduisant que son illustre prédécesseur grâce à sa réalisation puissante et sa variété largement supérieure, il se montre en définitive plus perfectible et moins poussé dans l'humour. Voilà tout de même un très, très bon jeu, assurément.</t>
  </si>
  <si>
    <t>As Marco, Eri, Tarma, or Fio, you must defeat the evil General Morden and his henchman. To do this, you must defeat various enemies that get in your way. Throughout the game, you can collect new weapons including the Heavy Machine Gun, Shot Gun, Rocket Launcher, Flame Shot, Laser Shot, Flame Bottles, and Armor Piercer. Also scattered throughout the game, you can ride in four different vehicles (aka: Slugs) such as the Metal Slug, Slug Flyer, Camel Slug, and SlugNoid. By using these vehicles, you can cause awesome destruction against Morden's evil army. Other items such as energy, extra ammunition, and food (eat too much and your player will gain weight) are also found throughout the game.</t>
  </si>
  <si>
    <t>メタルスラッグ 2</t>
  </si>
  <si>
    <t>Metal Slug 2 - Super Vehicle-001/II</t>
  </si>
  <si>
    <t>Metal Slug est un superbe jeu bien défoulant où l'action atteint son paroxysme en permanence et sans temps mort. L'humour et réalisation de bon niveau répondent présents. Un petit regret, il est un peu trop court. Là où on pourrait lui reprocher de manquer de maturité car ce n'est pas une suite, il propose une jolie expérience acquise avec Gunforce II. Un jeu de guerre absolument pas sérieux qui offre un maximum d'action : Mission complete!</t>
  </si>
  <si>
    <t>Metal Slug, originally released on the Neo Geo, is a side-scrolling shoot'em'up.
The player(s) takes the role of a soldier (or two) and fights a gigantic army. Every level consists of running forward blasting anything that moves, while collecting power-ups along the way (there's also a wide selection of weaponry in the game). In the end of each level the player goes up against one gigantic boss.</t>
  </si>
  <si>
    <t>Power Instinct réussit son passage sur la Neo·Geo avec les honneurs. L'humour omniprésent et la bande-son déjantée en font un digne représentant de sa lignée. Une lignée certes moins prestigieuse que King of Fighters ou Samurai Shodown, mais une lignée digne d'intérêt. Il est certain qu'il ne fait pas vraiment le poids face aux ténors de la Neo·Geo, toutefois le but est atteint : amuser dans tous les sens du terme.</t>
  </si>
  <si>
    <t>This new sequel, fully titled Shin Gouketsuji Ichizoku: Toukon -Matrimelee- (新豪血寺一族 闘婚 -Matrimelee-) in Japan, brings back the roster from Power Instinct 2 (except Angela, Oshima, Sahad and Kinta, the latter of whom was replaced by his alter-ego, Pochi), plus 4 totally new characters and one new boss (Princess Sissy). However, all the characters introduced in Groove of Fight were discarded. Jimmy, Elias, Lynn and Jones from Rage of the Dragons are guest stars, and are unlockable. A few of the game elements were borrowed from that same game as well.
In the game's story, the King of Certain Country wants to find a worthy successor for the throne and the ideal husband for his little daughter (or a beautiful and strong woman for his older son) So he holds a fighting tournament where the prize is the hand of the princess and the throne succession.</t>
  </si>
  <si>
    <t>新豪血寺一族 闘婚-Matrimelee-</t>
  </si>
  <si>
    <t>Power Instinct: Matrimelee</t>
  </si>
  <si>
    <t>Mahjong Kyo Retsuden est un jeu riichi mahjong (variante à deux joueurs) de SNK (et l'un des rares du genre construit pour Neo Geo), racontant l'histoire d'un passionné de mahjong qui tente de gagner sa vie avec le jeu.
 Mahjan Kyoretsuden: Nishinihonhen est l’un des rares jeux riichi mahjong publiés pour ces systèmes  à utiliser le périphérique Mahjong Controller de SNK.</t>
  </si>
  <si>
    <t>麻雀狂列伝 －西日本編－</t>
  </si>
  <si>
    <t>Mahjong Kyoretsuden</t>
  </si>
  <si>
    <t>Magician Lord est un titre qui montre bien les capacités de la Neo·Geo sans toutefois toutes les utiliser. Il est long, difficile, beau et mélodieux. L'invitation au voyage dans ce monde à la fois fantastique et dangereux ne se refuse pas, tant cette quête possède une ambiance réussie. La prise en main n'aurait pas été si délicate et l'animation aurait été plus travaillée, cela aurait été parfait !</t>
  </si>
  <si>
    <t>Magician Lord (マジシャンロード Majishan Roodo?), is a side-scrolling platform game developed by ADK that was released on April 26, 1990. It was a launch title for both the Neo-Geo MVS (arcade) and AES (home) systems, and was one of the pack-in games for the Neo-Geo AES. The game was re-released through the Virtual Console download service in Europe and Australia on October 26, 2007, and in North America on October 29, 2007. It was later released for the PlayStation 3 and PlayStation Portable through the PlayStation Store. It was previously included in SNK Arcade Classics Vol. 1, released for the Wii, PlayStation 2 and PlayStation Portable in North America on May 1, 2008.</t>
  </si>
  <si>
    <t>Magician Lord</t>
  </si>
  <si>
    <t>Magical Drop 3 ou comment renvoyer quasiment tous les puzzle games au stade de jeux moisis.
Gameplay très original, addictif et précis, combos de folie, modes aventure et multijoueurs bien pensés, personnages variés ayant chacun leurs propres capacités, jolis graphismes/animations et difficulté évolutive.
La perfection du puzzle game avec Puzzle Fighter, immortel.</t>
  </si>
  <si>
    <t>Control a clown to pull in and throw back balloons hurled from the top of the screen. If you line up three or more balloons of the same color in a vertical row, they will burst. If you're not quick enough, the balloons will squash the clown and the game is over. Once you've got the hang of bursting balloons, you'll need to master combos and chains.</t>
  </si>
  <si>
    <t>マジカルドロップ3</t>
  </si>
  <si>
    <t>Data East signe un jeu de réflexion très solide et complet. Il s'avère bien prenant et difficile, à essayer si on a aimé Puzzle Bobble.À l'instar de Power Spikes ou de Baseball Stars, la série Magical Drop n'a pas débuté sa carrière sur Neo·Geo. Data East a d'abord développé en 1995 un jeu de réflexion du nom de Chain Reaction en version internationale et Magical Drop en version japonaise. Ce jeu fut légèrement amélioré avec une version remaniée, Magical Drop Plus 1!. Cela explique que Magical Drop II, développé sur MVS, est en fait le troisième opus de la série.</t>
  </si>
  <si>
    <t>Magical Drop is played in a style and gameplay similar to Compile's (now Sega's) Puyo Puyo and Taito's Puzzle Bobble franchises; a "stack" of random colored bubbles descend from the top, and a player is defeated when a bubble hits the bottom. Bubbles can be picked up and dropped by the player's "clown" at the bottom, and are destroyed when three or more of the same color are put together on a single column. "Chains" are formed either when a single drop caused a chain reaction, or when more than one group of bubbles is destroyed in quick succession. The game is normally played with two players (one may be a computer opponent), and chains cause the opponent's stack to descend faster.
There are 24 characters, all but the Black Pierrot being named after a tarot card (although the Strength card has been represented by two characters throughout the series). Different characters have different attack patterns. The columns of the opponent's stack will descend at different rates relative to each other depending on the character chosen. This causes a disjunction of colors that may make it more difficult for the other player to clear their stack. For example, with the character Devil, all the columns will descend at the same rate, whereas with Sun, the middle columns will descend faster than the others.</t>
  </si>
  <si>
    <t>Il est rare de voir des développeurs aussi appliqués à l'extrême, Wave en fait partie. Pas très joli (ça, c'est le point le plus positif avec l'intro), ignoblement animé, pénible pour les oreilles, totalement injouable, atrocement difficile lors du dernier niveau, Legend of Success Joe réussit le pari d'être minable à tous les niveaux. Condamné par son développeur à ne pouvoir espérer qu'atteindre la médiocrité, voilà un titre qui fera date.</t>
  </si>
  <si>
    <t>A boxing game, based on the immensely Popular 70's Anime/Manga Series "Ashita no Joe".
The player stars as Joe Yabuki, an aspiring boxer, as he goes from an unknown kid from the rough side of town to a boxing champion. The game follows the traditional beat 'em up format, with some portions taking place inside a boxing ring and others taking place in the back alleyways, as Joe trains, fights bullies, and then fights in the boxing ring.</t>
  </si>
  <si>
    <t>League Bowling n'est clairement pas un jeu conçu pour être joué seul : la fenêtre d'affichage reste réduite et la durée de vie est plus que limite. À plusieurs, il offre un tout autre visage en se montrant un modèle de convivialité. C'est un bon jeu de bowling, à acheter surtout si on compte jouer avec des amis. Si au premier lancer (jeu en solo) League Bowling flirte avec la rigole, au deuxième (jeu à plusieurs), il fait un joli spare.</t>
  </si>
  <si>
    <t>League Bowling offers up bowling for up to four players, with two players playing simultaneously on a vertically split screen. Players first choose their throwing arm and ball size. Position, spin, and throwing power can all be modified before throwing. In addition to regulation scoring two other score modes (Strike 90 (strikes add additional points) and Flash (random bonus points are awarded)) can be selected.</t>
  </si>
  <si>
    <t>League Bowling</t>
  </si>
  <si>
    <t>Le principe de jeu se base énormément sur celui de R-Type, à savoir un scrolling horizontal et un level design qu'il vaut mieux connaître par coeur pour éviter les problèmes. 
On évolue dans un monde post-apocalyptique particulièrement bien rendu. Les niveaux sont variés et sublimes tandis que les boss sont vraiment bien trouvés. Les musiques sont excellentes et restent volontiers dans la tête une fois la partie terminée. Le tout est d'un classicisme déconcertant, mais également diaboliquement efficace. Last Resort est d'une difficulté vraiment élevée. Le jeu ne pardonne pas la moindre erreur, et à chaque contact adverse, vous recommencez au check point précédent. Du coup, même si vous jouez sur MVS, les crédits infinis ne vous seront pas d'une grande aide.</t>
  </si>
  <si>
    <t>The player must guide their spacecraft across horizontally scrolling cityscapes and wastelands, disposing of hordes of enemy spacecraft (some metallic, some organic) including huge mid- and end-level guardians. Power-up pods provide the craft with a moveable drone which can be charged up and fired or locked into position and used as an extra gun or 'battering ram'/shield.</t>
  </si>
  <si>
    <t>Basé sur le (déjà très bon) Shock Troopers de Saurus (un jeu exclusif à l'Arcade/MVS, sorti en 1997), Lansquenet est un hack qui ne fait que modifier quelques facettes du titre original. Avec une bande-son rythmée (musiques parfois excellentes et bons bruitages), un graphisme agréable et surtout, une prise en main rapide, le jeu a tout pour plaire.</t>
  </si>
  <si>
    <t>Lansquenet 2004</t>
  </si>
  <si>
    <t>Si Savage Reign n'était pas un foudre de guerre, son originalité et quelques bonnes idées en faisaient un jeu plutôt fun. Kizuna Encounter met la barre un peu plus haut. Fini les deux plans de jeu, SNK a opté pour un système de combat par équipes et un gameplay approfondi. On choisit deux personnages, qui pourront combattre à tour de rôle quand vous le déciderez.
Kizuna nous offre de beaux décors urbains, malheureusement peu nombreux, à l'instar des personnages. L'animation est particulièrement dynamique, utilisant des zooms façon Art of Fighting et une décomposition des mouvements honnête, en plus de quelques effets pyrotechniques de belle facture. La bande son se compose de six thèmes principaux, agrémentés de séquences ponctuant les diverses phases de jeu.
Clairement un Versus Fighting de seconde zone sur Neo Geo, au vu des titres qui lui sont contemporains: Ninja Masters, Kof 96, Real Bout Special, Samurai Spirits IV, etc...</t>
  </si>
  <si>
    <t>Kizuna Encounter - Super Tag Battle 4 Way Battle Version / Fu'un Super Tag Battle Special Version</t>
  </si>
  <si>
    <t>Kizuna Encounter ravira indiscutablement ceux qui ont aimé Savage Reign, tant les améliorations sont notables. Mais qu'en est-il de séduire ceux qui étaient restés insensibles face à ce jeu ? Eh bien ceux-là peuvent oublier leurs préjugés sur Savage Reign et donner une chance à Kizuna Encounter. SNK a réussi à reprendre les bases d'un jeu assez moyen et à en gommer presque totalement le côté délirant (Joker ou Gordon restant tout de même très... atypiques) ainsi que la plupart de ses faux pas. Kizuna Encounter, c'est du sérieux, c'est du lourd, c'est du très bon jeu.</t>
  </si>
  <si>
    <t>One year ago, King Leo had made the Battle of the Beast God tournament in order to see on who had what it took to challenge and fight against him from within their own given time and opportunity. Nine fighters had entered the tournament from within sight and that each of them had battled against one another from within a strong and relentless manner, but in the end, Sho Hayate had proven to be the strongest competitor and that he had won the tournament while defeating King Leo (and his fake impersonator King Lion) from within the finals of the tournament.
To seek revenge against Hayate and those who caused his humiliating downfall, King Leo has organized a second version of the Battle of the Beast God tournament, but this time, there's a new rule. Teams of 2 people must work together from within this new tournament so that they can either ensure victory or face defeat. The competitors from last year's tournament have learned of King Leo's new tournament and that each of them have decided to join forces with each other on either friendly or temporary terms. With the exception of Carol Stanzack (who decides to skip the tournament to continue her gymnastics training) and Nicola Zaza (who's too busy in having to work on his latest scientific project), Hayate and the fighters from the previous tournament have returned for combat and that they're ready to face the latest challenge that's presented to them by King Leo. 
However, the previous fighters aren't the only ones from within this tournament, as two new challengers have entered into the fray and that they have their own reasons in battling from within King Leo's new competition. The gathered fighters must be ready and prepared to not only fight against each other and King Leo from within this tournament, but also, they must deal with a possible unknown threat that lies directly from within the shadows of this competition as well.</t>
  </si>
  <si>
    <t>風雲スーパータッグバトル</t>
  </si>
  <si>
    <t>King of The Monsters 2 surpasse son aîné sur le plan technique et au fond, c'est la moindre des choses. Plus coloré, plus attrayant, il pourra davantage séduire. Hélas, les graphismes ne font pas tout et en devenant un beat them up, le jeu a perdu une bonne partie de son originalité. L'aspect "destruction massive" est également moins poussé, ce qui est dommage pour un jeu de monstres. Ajoutons à cela une difficulté bien trop élevée contre le CPU. Enfin le jeu à deux perd de son intérêt (très difficile contre la machine et limité en duel), par rapport au premier opus.
SNK a fait le pari un peu risqué de choisir une nouvelle voie pour cette suite et au final, même si cette dernière est techniquement un cran au-dessus du premier épisode, elle n'est pas nécessairement plus convaincante sur le long terme.</t>
  </si>
  <si>
    <t>Alien super monsters have returned and are trying to invade Earth again! Now, Super Geon, Atomic Guy, and Cyber Woo must fight to retain control of the planet. Each one has special attacks and powers. Take on monsters that have unique abilities never seen before, including fire breath, aerial spins, and radioactive blasts. Challenge a friend, or have him help you out in the two-player option. Battle your way through seven levels of intense action in King of The Monsters 2.</t>
  </si>
  <si>
    <t>キング・オブ・ザ・モンスターズ 2</t>
  </si>
  <si>
    <t>King of the Monsters 2 - The Next Thing</t>
  </si>
  <si>
    <t>King of The Monsters s'affranchit correctement de sa double tâche, à savoir être à la fois un jeu de monstres et un premier jeu de catch pour la Neo·Geo. Sa réalisation correcte et sa jouabilité assez complète en font un bon titre. Pour être très bon, il lui manque tout de même des parties contre la machine mieux équilibrées, plus de souplesse et, par exemple, un réglage possible de la difficulté, ici absent.</t>
  </si>
  <si>
    <t>Players choose one of six monsters (four in 16-bit ports) for battle, and two players can join forces to fight monsters. Battles end when one of the monsters is pinned for a count of three or if the time expires.</t>
  </si>
  <si>
    <t>King of the Monsters</t>
  </si>
  <si>
    <t>King Of Gladiator est une Version pirate de The King Of Fighters '97...Ecran titre modifié, barre de pouvoir au maximum dès le début du combat, 51 personnages sélectionnables dont Iori et Leona disponibles en mode Orochi, le Boss Orochi, des versions différentes de certains protagonistes (Kyo, Benimaru, Terry, etc...) ainsi que des versions "sexy" de certains personnages féminins (Mai, King, etc...).
Autant dire que cette version n'a plus rien à voir avec l'original...Et comme il s'agit d'un bootleg, cette version comporte quelques bugs (impossible de choisir l'ordre de passage des combattants, menu Option "bloqué").Cependant ce hack, de par le nombre de combattants disponibles, reste intéressant et dans son ensemble est plutôt pas mal réalisé.</t>
  </si>
  <si>
    <t>King of Gladiator</t>
  </si>
  <si>
    <t>Janshin Densetsu semble être un copié collé de "Mahjong Quest" de 1991 de Taito. Le principe de base est le même: une fille au style RPG se promenant le long d’une carte du monde et rencontrant des ennemis a combattre lors de matchs de mahjong. Les ennemis sont dessinés dans le même style comique et animé et le texte du jeu est pratiquement identique. Les carreaux de mahjong eux-mêmes ont une apparence presque identique, à l'exception du dos; L’écran de jeu du mahjong lui-même est quasi le même. La seule différence majeure entre les deux semble être que "Mahjong Quest" est contrôlé par un panneau de contrôle de mahjong et Jyanshin Densetsu est contrôlé par le joystick MVS Neo-Geo.</t>
  </si>
  <si>
    <t>Jyanshin Densetsu - Quest of Jongmaster</t>
  </si>
  <si>
    <t>Jeu de pari sur des courses de chevaux. Le joueur regarde les chevaux défiler et parie sur l'animal de son choix (l'allure du cheval est une bonne indication sur ses capacités à remporter la course). Un fois le choix validé, le départ est donné et c'est parti pour le stress! La course est très bien faite et on se croit réellement à l'hippodrome! Il y a bien sûr un replay au ralenti de l'arrivée et le jeu peut se jouer à un ou deux joueurs.</t>
  </si>
  <si>
    <t>Jockey Grand Prix</t>
  </si>
  <si>
    <t>Sun Amusement</t>
  </si>
  <si>
    <t>Originally on Neo Geo CD is ported unnoficially to AES console. Is the second game in the Final Romance series and the first to feature anime style girls instead of digitized photos of real models. It is also the first to be ported to home systems. Like the first, you play strip mahjong against various girls. You can use your score to purchase various cheating methods.</t>
  </si>
  <si>
    <t>アイドル麻雀 ファイナルロマンス 2</t>
  </si>
  <si>
    <t>Idol Mahjong Final Romance 2</t>
  </si>
  <si>
    <t>Il existe trois types de jeux de puzzle: bon, mauvais et étrange. Gururin est un subtil mélange des deux derniers.
Vous connaissez cet écran qui dit "Les gagnants ne consomment pas de drogue" qui apparaît lorsque vous démarrez de nombreux jeux NeoGeo? Je soupçonne fortement que les concepteurs de Gururin ne sont pas des gagnants. Il n’est pas étonnant que ce jeu ne soit sortit qu'en version MVS. Il existe plusieurs meilleurs jeux de puzzle disponibles pour la NeoGeo, donc à moins que vous ne soyez un furieux du puzzle absolu,à la recherche du jeu le plus difficile et le moins enrichissant jamais créé pour la Neo-Geo, vous pouvez passer votre chemin...</t>
  </si>
  <si>
    <t>"Gururin" is an action-puzzle game released in 1994 by FACE. Enjoy a puzzle game the likes of which you've never seen before while rotating the Magic Troupe "Gururin!" Comes with One Player Mode, Challenge Mode (VS CPU), and Two Player Mode.</t>
  </si>
  <si>
    <t>Mais que peut il donc se passer dans la tête des programmeurs de Visco ? Alors que Super Sidekicks 3 émerveille tout le monde, voilà qu'arrive Goal! Goal! Goal!, moins bien que Super Sidekicks 3 sur tous les points. Moins d'équipes, moins beau, moins jouable, moins bien animé... Bref, un petit jeu moyen qui se met minable devant la référence des jeux de foot.</t>
  </si>
  <si>
    <t>A soccer game with all the right ingredients, skill, flair, passion, and of course, GOALS! With 28 national teams to choose from, compete in a tournament to become the best soccer nation in the world. Get past the opening group stage and go on to a round-robin elimination stage where failure is not an option. To help you on your way, hold down the shoot button until the power bar fills up and you can do a POWERFUL SUPER SHOT!</t>
  </si>
  <si>
    <t>Ghost Pilots est un jeu à la réalisation fort correcte et doté d'une durée de vie conséquente. Bien que son armement limité et sa progression difficile demandent beaucoup de patience et d'application, on appréciera la trouvaille de l'alternance de phases à basse ou à haute altitude. Si on aime l'ambiance de Seconde Guerre mondiale et qu'on n'a pas peur de perdre beaucoup avant de progresser, on peut se laisser tenter !</t>
  </si>
  <si>
    <t>Ghost Pilots is a vertical-scrolling shoot 'em up arcade game released in 1991 by SNK.
Ghost Pilots is an overhead military plane shooter, in which you must shoot down fighter jets by either using bullets or bombs. Once you have killed enough fighter jets, you will have to defeat a boss fighter jet in order to continue. After some stages, you must select a route to continue your journey on. Power-ups can be collected that will increase your firepower, and stars can be obtained for extra points.</t>
  </si>
  <si>
    <t>Ghost Pilots</t>
  </si>
  <si>
    <t>SNK a pris tous les risques en rénovant Fatal Fury. Mieux, en repensant totalement la série des loups solitaires. Et ce, encore plus qu'à l'occasion de la sortie de Fatal Fury 3, pourtant très innovant en son temps. Pari tenté, pari gagné. SNK confirme tout son talent et sa capacité à produire des jeux de combat d'excellente qualité.
Les fans des Real Bout risquent de se sentir laissés sur le bord de la route, certains pourront trouver la nouvelle équipe manquant de charisme en comparaison de Mai, Geese, Blue Mary et consorts. Ils ne doivent pas se croire abandonnés : si Mark of the Wolves revisite totalement le mythe Fatal Fury, ce jeu ne renie pas ses origines et propose d'explorer une toute nouvelle direction. SNK nous offre là une démonstration de savoir-faire, un des meilleurs jeux qu'il ait jamais créés.</t>
  </si>
  <si>
    <t>Ten years after crime lord Geese Howard's death, the city of Southtown has become more peaceful leading it to be known as the Second Southtown (having formerly been corrupted by Geese). A new fighting tournament called "King of Fighters: Maximum Mayhem" starts in the area, and several characters related with the fighters from the previous King of Fighters tournaments participate within it.</t>
  </si>
  <si>
    <t>餓狼 MARK OF THE WOLVES</t>
  </si>
  <si>
    <t>Garou - Mark of the Wolves</t>
  </si>
  <si>
    <t>Alors comme le jeu pèse tout de même 178 mégas et qu'il est sorti en 1999, c'est à dire, rappelons-le, la même année que Metal Slug X, The King of Fighters 99, ou encore Garou: Mark of the Wolves... on s'attend à un titre de belle envergure de la part de Visco. Et bien vous pouvez rester assis, car si l'on savait que l'éditeur n'avait pas inventé la machine à cambrer les bananes, on sait maintenant aussi qu'il n'excelle pas dans le jeu de plate-formes! Au bout de quelques minutes de jeu, il est difficile de dire si on est face à un véritable navet vidéo-ludique, ou un obscur mais génial "action-platform" avec des niveaux vastes et nombreux, des surprises, des Boss incroyables et une action variée. Et ce n'est que plus tard que l'on finit par pencher fortement vers la première option...</t>
  </si>
  <si>
    <t>Guide Ganryu or a female counterpart on a mission to rescue his girlfriend from an evil ninja. Armed with a sword and a grappling claw, players may pick up weapon power-ups and life bonuses scattered throughout the play levels.</t>
  </si>
  <si>
    <t>Si Street Fighter II propose un tournoi entre les meilleurs combattants du monde, World Heroes quant à lui confronte les plus forts de tous les temps. Sunsoft a décidé de surenchérir et de tenter sa chance avec un jeu résolument futuriste : Galaxy Fight. Les meilleurs combattants de toute la galaxie, rien que ça ! 
Pour un premier essai sur Neo·Geo, Sunsoft s'en est sorti plus qu'honorablement. Si son jeu ne rivalise absolument pas avec un Samurai Shodown II, un X-Men ou un KOF '94, il reste sympatique. On peut toutefois regretter sa jouabilité peu accessible, sa difficulté franchement trop relevée et le nombre de personnages proposés, assez pingre.</t>
  </si>
  <si>
    <t>Man and demon wage war with one-on-one fights in the 1-on-1 fighting game Galaxy Fight. Eight of the universe's greatest fighters enter into combat for the fate of the galaxy. Success brings great acclaim to the victor. Failure brings death.
Once every 1000 years, a being of divine power takes physical form somewhere in the galaxy. This time, he has taken form on the planet Danius. This being, who refers to itself as "Felden Crayce" is being sought out by fighters across the galaxy to challenge and defeat. Each of these eight warriors have their each with their own reasons for seeking out and fighting this being -- some wish to challenge Felden for pride or fame, some wish to protect their home lands from Felden, and some refuse to explain their reasons until they meet this great force themselves. These eight fighters all have unique abilities and strengths, but only one can be the final victor!</t>
  </si>
  <si>
    <t>ギャラクシーファイト</t>
  </si>
  <si>
    <t>C'est en 1994 que Viccom s'essaye au jeu de combat avec son titre Fight Fever. 
Au choix 9 combattants (dont 1 n'est pas sélectionnable de suite) de différentes nationalités et aux styles variés qui vous transporteront dans différentes contrées à travers le monde... 
Malheureusement ce titre n'est pas à la hauteur de nos espérances. Malgré des décors variés et soignés, on est loin d'un Street Fighter 2 ou encore d'un Fatal Fury 2. L'animation des sprites et plutôt raide, l'équilibre entre les différents protagonistes du jeu est mal dosé et certains combattants sont loin d'être charismatiques. 
Bref, Fight Fever est loin d'être mauvais, cependant il n'est pas à la hauteur face à des jeux comme The King of Fighters 94 sorti la même année. 
A essayer...</t>
  </si>
  <si>
    <t>The game plays similarly to other 2D versus fighting games, especially both SNK's Fatal Fury 2 and Art of Fighting. In fact, it shapes itself after Fatal Fury 2 while it uses Art of Fighting's game engine. There are 8 characters to select from and two boss characters (the first boss character is only playable in two player mode). The object of the game is to win two matches out of three. Each character has a set of moves in addition to two basic punches and kicks. Each character also has a super move called a "Danger Move", which are similar to the Desperation Moves from Fatal Fury 2. Players also have the ability to taunt others, but unlike games such as Art of Fighting, this has no effect and would actually leave the player open to attacks.
There are two bonus games that reward the player with points dependent on how successful the player is. The first game is a brick-breaking game that requires rapid pressing of the A button. The second bonus game requires the player to break boards held up by trainers popping out of the left and right sides. Both bonus games were also in Capcom's 1987 arcade game, Street Fighter, as well as one of them also in Midway's 1992 arcade game, Mortal Kombat and the ones in Art of Fighting.</t>
  </si>
  <si>
    <t>Fight Fever</t>
  </si>
  <si>
    <t>Nous voici en face d'un véritable chef d'œuvre. SNK a réussi à faire un jeu d'une qualité incroyable. On dirait que les programmeurs se sont appliqués à prévoir tout ce qu'auraient pu dire les mauvaises langues. Si on le compare à la concurrence, même parmi les meilleurs, c'est le zéro défaut, ou presque. Mis à part le fait qu'il n'y ait aucun personnage inédit, que l'animation manque un peu en rapidité et que le jeu contre le CPU soit d'un niveau relevé, pas grand chose à reprocher à ce jeu.
Cette fois, Street Fighter II est battu de peu (car lui aussi est un très sérieux poids lourd du genre), même dans sa version "Super" des salles de jeux.</t>
  </si>
  <si>
    <t>The GRANDMOTHER of all battles! 15 of the FATAL FURY series' top stars gather in the match of the millenium! Use the resurrected Geese Howard and Wolfgang Krauser in a dazzling 3D arena! All you have ever wanted in a fighting game is here in FATAL FURY SPECIAL!</t>
  </si>
  <si>
    <t>Fatal Fury Special / Garou Densetsu Special</t>
  </si>
  <si>
    <t>Fatal Fury 3 donne un bon dépoussiérage à la série, Capcom ayant bien travaillé de son côté avec Darkstalkers et X-Men: Children of the Atom, et SNK s'étant trouvé un nouveau fer de lance avec KOF.
Fatal Fury 3 dispose d'une réalisation très soignée et apporte pas mal de nouveautés, sans bouleverser les habitués. Il n'a que quelques soucis de gestion des plans et est un peu trop lent, mais rien de catastrophique. Des défauts qui rebuteront peut-être ceux qui ne connaissent que Street Fighter, mais les amateurs sauront apprécier les innovations de cet épisode à leur juste valeur.</t>
  </si>
  <si>
    <t>It has been two years since the second King Of Fighters tournament took place. Now Terry, Andy, Joe, Mai and Geese are back in South Town to battle five new characters and three bosses. All of them have their own reasons of coming to South Town, but in the end, everything links to a scroll that reveals the secret to the lost ancient martial arts.
Fatal Fury 3 was a pretty big improvement over its predecessors, introducing brand new re-drawn character sprites (yet again) and better overall animation quality. Of course, a handful of colorful new characters join the roster, in addition to some new 2D environments.
The two-plane gameplay was upgraded to a three plane format known as the Oversway System. Players fight primarily in the middle plane or the main plane, but can move or "oversway" into either of the sway lines at the background or foreground . Attacks between planes have returned but are now called "Oversway Attacks" and players can use special technique to defend these attacks. Other new gameplay elements introduced include air blocking, combination arts, new special &amp; super moves, and even alternate (more powerful) super moves which can only be used once per round.
Along with a cool looking world map, Fatal Fury 3 also features a ranking system when fighting against the computer, which brought some innovation to the fighting genre. When the player wins a round, they'll be ranked from D to triple S. The final opponents the player faces at the end of the single player mode is determined the by the player's average... with a lower score, the game will end against Yamazaki, but with a higher score they will square off against one of the Jin twins, or possibly both. Overall, Fatal Fury 3 was easily the best presentation of the series to date.</t>
  </si>
  <si>
    <t>餓狼伝説 3</t>
  </si>
  <si>
    <t>Fatal Fury 3 - Road to the Final Victory / Garou Densetsu 3 - haruka-naru tatakai</t>
  </si>
  <si>
    <t>Malgré toute la bonne volonté de SNK, Fatal Fury n'a pas réussi à ébranler le fantastique Street Fighter II de Capcom. Le temps a passé et le marché du combat en versus s'est durci en 1992. Tout d'abord, Capcom a enchaîné deux versions customisées de son hit : Street Fighter II' et Street Fighter II' Turbo. Ensuite, d'autres acteurs sont entrés en scène, comme Alpha Denshi avec World Heroes et Midway avec Mortal Kombat. SNK fait donc face à une très sérieuse concurrence et va devoir frapper fort.
Fatal Fury 2 fait complètement oublier son aîné, il rivalise vraiment en qualité avec le Street Fighter II' Turbo des salles de jeu. Sa réalisation de très haut niveau et son ambiance réussie lui confèrent un intérêt certain. On déplore juste l'absence d'enchaînements de coups. Cette fois-ci, Capcom n'est plus seul.</t>
  </si>
  <si>
    <t>After Geese Howard's death in the original Fatal Fury, a mysterious nobleman becomes the sponsor of the new "King of Fighters" tournament. This time, the tournament is held worldwide with fighters around the globe competing. As the Single Player Mode progresses, the mysterious challenger begins defeating the participants from the previous Fatal Fury game, searching for the man responsible for defeating Geese</t>
  </si>
  <si>
    <t>餓狼伝説 2</t>
  </si>
  <si>
    <t>Fatal Fury 2 / Garou Densetsu 2 - arata-naru tatakai</t>
  </si>
  <si>
    <t>Si la rivalité entre SNK et Capcom remonte à assez loin avec des jeux tels que Street Fighter et Street Smart, il faut attendre 1991 pour que le feu soit mis aux poudres. Capcom fait un tabac dans les salles de jeux avec un certain Street Fighter II: The World Warrior, sorti en février 1991. La riposte de SNK ne va pas se faire attendre avec Fatal Fury.
Fatal Fury est un bon jeu très bien réalisé mais qui ne fait pas le poids face au monument Street Fighter II. Trop peu jouable et proposant trop peu de personnages, il lui reste quelques atouts non négligeables comme son mode de jeu à deux joueurs très original et son ambiance vraiment excellente.</t>
  </si>
  <si>
    <t>The plot of Fatal Fury centers around a martial arts tournament known as the "King of Fighters" tournament, held in the fictional American city of South Town and sponsored by local crime boss Geese Howard. Ten years prior to the events of the game, Geese murdered a rival martial artist named Jeff Bogard who was on his trail. Now, Jeff's sons, Terry and Andy, along with their friend Joe Higashi, enter the tournament to get their revenge on Geese.</t>
  </si>
  <si>
    <t>餓狼伝説</t>
  </si>
  <si>
    <t>Fatal Fury - King of Fighters / Garou Densetsu - shukumei no tatakai</t>
  </si>
  <si>
    <t>Prendre Kabuki Klash pour un jeu de combat parmi tant d'autres serait dommage, on ne ferait qu'effleurer tout ce que peut représenter l'univers particulier de ce jeu.
Kabuki Klash est un de ces titres sans souci qui ne prétend pas rivaliser avec les poids lourds de la console. C'est un bon jeu et même s'il est perfectible, son ambiance et sa fraîcheur assureront de bons moments. Voilà de quoi contenter autant les amateurs de Tengai Makyô que ceux de jeux de combat pas trop techniques.</t>
  </si>
  <si>
    <t>The main series is composed of three separate games within the land of 'Jipang' (a fictionalized version of feudal Japan), each follows a descendant of the 'Fire Clan' and supporting cast in battles against a range of often comical villains. The stories of the games, though primarily of 'fantasy' fare, also attempt to provide commentary on common misconceptions about Japanese culture by western societies.</t>
  </si>
  <si>
    <t>Eightman est un beat them up assez original avec ses phases rapides, proposant une bonne dose d'action et bien kitsch, parfaitement en adéquation avec son modèle des années 60. Le fait que le héros évolue (trop peu, hélas) est un plus appréciable. Hélas, sa durée de vie vraiment trop faible, une difficulté curieusement dosée ainsi qu'un certain manque de punch l'empêchent de briller.
Un jeu pas trop mal, assez réussi, mais à essayer avant de se laisser tenter, tant ses défauts rebuteront certains de façon définitive.</t>
  </si>
  <si>
    <t>Murdered by criminals, Detective Yokoda's body is retrieved by Professor Tani and taken to his laboratory. There, Tani performs an experiment that has failed seven times; Yokoda is the latest subject to have his life force transferred into an android body. For the first time, the experiment succeeds. Yokoda is reborn as the armor-skinned android 8 Man, able to dash at impossible speeds, as well as shape-shift into other people. He shifts himself into Yokoda, this time christening himself as "Hachiro Azuma". He keeps this identity a secret, known only to Tani and his police boss Chief Tanaka. Even his girlfriend Sachiko and friend Ichiro do not know he is an android. As 8-Man, Hachiro fights crime (even bringing his murderers to justice). He smoked "energy" cigarettes, to rejuvenate his powers, that he carried in a cigarette case on his belt.</t>
  </si>
  <si>
    <t>エイトマン</t>
  </si>
  <si>
    <t>Eight Man</t>
  </si>
  <si>
    <t>Un très bon jeu de puzzle sur 32 niveaux. Le joueur doit contrôler le personnage et rassembler 20 joyaux pour ouvrir une porte qui donne accès au prochain niveau avant l’expiration de sa jauge de vie. Mangez des fruits pour plus de vie et évitez les insectes et les chutes de pierres.
Ce jeu a été créé par Face en 1994, mais il a été perdu et a été publié aprés le rachat de SNK par la société de pachinko Aruze (prononcer Aruzay) en janvier 2000. Des distributeurs tiers ont acheté de nombreux jeux à SNK / Aruze et les ont publiés par la suite,dont Digger Man.</t>
  </si>
  <si>
    <t>Digger Man</t>
  </si>
  <si>
    <t>Lorsqu'on évoque le nom de Cyber-Lip, le premier jeu qui nous vient à l'esprit est forcément "Contra", l'un des fameux hits de Konami. Si on ne tient pas compte de sa réalisation plus que moyenne, ce jeu mérite de s'y attarder un petit peu, mais vraiment un petit peu, hein, si on veut profiter du fun sans abuser des crédits infinis ! Parce qu'à la longue il s'avère tout de même assez répétitif.</t>
  </si>
  <si>
    <t>Up until now, mankind has enjoyed their prosperity. Now they are facing trouble. CYBER-LIP, the state-of-the-art army computer is out of control. The cyborgs and aliens under its control are beginning to attack people. The government calls in Rick and Brooks to destroy CYBER-LIP!</t>
  </si>
  <si>
    <t>Crouching Tiger Hidden Dragon 2003 Super Plus alternate</t>
  </si>
  <si>
    <t>Crouching Tiger Hidden Dragon 2003 Super Plus</t>
  </si>
  <si>
    <t>Crouching Tiger Hidden Dragon 2003 nous propulse directement dans l'univers hypnotisant des jeux pirates made in china. La séquence d'introduction donne d'ailleurs le ton : elle est composée de petits bouts des intros de KOF 99, de KOF 2000 et de KOF 2001 ! Cela donne un truc assez moche.
Avec les hacks, c'est toujours la même rengaine : pourquoi reprogrammer un jeu pour le rendre pire que l'original ? La réponse tient peut-être au culte que vouent certains amateurs à l'un des combattants les plus charismatique de la saga KOF, à savoir Iori. Le déséquilibre entre la puissance de Iori et celle des autres personnages est telle qu'il paraît évident que Crouching Tiger Hidden Dragon 2003 a été créé dans le seul but de glorifier Iori. L'attention est touchante et représente à peu près le seul intérêt du jeu. D'ailleurs, heureusement que Iori a ses « nouveaux » power geysers, sinon il serait impossible de terminer le jeu et d'admirer la superbe séquence finale (quand vous aurez terminé le jeu, vous comprendrez l'ironie du propos). Crouching Tiger Hidden Dragon 2003 intriguera et amusera les fans du genre pendant un petit moment (comprenez par là un après-midi) mais guère plus... les meilleures blagues étant les plus courtes !</t>
  </si>
  <si>
    <t>Crouching Tiger Hidden Dragon 2003</t>
  </si>
  <si>
    <t>Crossed Swords tombe presque exactement dans le même travers que The Super Spy. C'est trop répétitif ! Il surpasse ce dernier en apportant une ambiance médiévale-fantastique agréable, un aspect RPG intéressant (à défaut d'être abouti) ainsi que, surtout, la possibilité de jouer à deux.</t>
  </si>
  <si>
    <t>In the enchanted land of Belkana all was well until plagues of creatures started rampaging through. But it didn't stop there, from deep within the mountains of Graisia, the Demon Warlord Nausizz arose and led the attacks wiping out settlement after settlement. However a brave warrior called "The Knight of the Journey" came a long way on a quest to stop these monstrosities.
Crossed Swords is a hack &amp; slash action RPG arcade game. The game allowed cooperative gameplay with up to two players on the same screen. As only the player characters' silhouettes are visible on screen as wire-frame models, much like Punch-Out!!, the game's perspective may be considered either first-person or third-person. The game was later cited as an inspiration for the 2010 first-person fighting game Rage of the Gladiator.</t>
  </si>
  <si>
    <t>クロススウォード</t>
  </si>
  <si>
    <t>Crossed Swords</t>
  </si>
  <si>
    <t>Basé sur le manga classique Chibi Maruko-chan , le joueur contrôle Maruko et deux de ses amis ou membres de sa famille pour remporter un quizz. Les questions sont à choix multiple, les joueurs choisissant l'une des trois ou quatre réponses. Un mode deux joueurs est disponible, qui configure le joueur comme un autre personnage du manga. Chaque fois que le joueur répond mal à une question, le personnage actuel est retiré. après avoir obtenu trois mauvaises questions, ils perdent.</t>
  </si>
  <si>
    <t>Chibi Marukochan Deluxe Quiz</t>
  </si>
  <si>
    <t>Quelques années après un Andro Dunos plutôt moyen, Visco revient avec un shoot plus original dans son enrobage, mais au final bien trop classique pour que la sauce (tomate) ne prenne.
L'ambiance fait donc énormément penser à un Twinbee, et pas seulement par son côté mimi tout plein mais aussi parce que le jeu pioche allègrement dans les idées du soft de Konami.Malgré tout cela, la sauce ne prend pas. La faute à des schémas de tirs et d'ennemis beaucoup trop classiques et redondants pour que le joueur reste un minimum scotché. Les cinq niveau ne sont pourtant pas très longs, mais dès le troisième on s'ennuie.</t>
  </si>
  <si>
    <t>A comical vertically scrolling shoot'em up starring a mutated tomato who punches the enemy and can transform to other weird characters.</t>
  </si>
  <si>
    <t>Burning Fight est un clone de Final Fight sans en avoir la saveur. Il dispose de quelques bonnes idées mais se contente de suivre son modèle à distance, sans le surpasser. Graphismes trop simplistes, animation raide, boss anecdotiques, cinq niveaux contre six chez Capcom, etc. Les programmeurs de SNK se sont employés à copier le hit de Capcom et on dirait qu'ils se sont interdit de le surpasser, curieux... La Neo·Geo aurait pu mieux faire, SNK aurait dû mieux faire.</t>
  </si>
  <si>
    <t>Duke and Billy, two popular and renowned New York City Police detectives, are hot on the trail of a dangerous Japanese crime syndicate. Their investigation has led them to the mean streets of Japan (Stage 1 takes place in Osaka with famous landmarks in the Dontonbori and Ebisu Neighborhoods) where they meet a police officer and martial arts expert named Ryu. Ryu agrees to join the NYPD detectives as they track down the crime syndicate bosses and end their reign of terror once and for all.</t>
  </si>
  <si>
    <t>Burning Fight</t>
  </si>
  <si>
    <t>Mise à jour de Breakers avec un personnage supplémentaire.
Un tournoi est organisé chaque année. Baptisé FIST (Fighting Instinct Sévère Tournament), il a pour particularité de proposer une série de combats où tous les coups sont permis. Sa réputation vient également du fait que les vainqueurs sont grassement récompensés, et que chaque édition se solde par quelques cadavres.</t>
  </si>
  <si>
    <t>Breakers Revenge is an upgraded version of Breakers that was released exclusively for the arcades. It introduces one new character named Saizo and makes the final boss Bai-Hu into a playable character. Revenge makes adjustment to the character balance by weakening the previously overpowered Condor and removing Sho's infinite combo from the first game. However, the opening intro is almost identical to that of the first game and game's graphics are not that different; however, the lifebars were modified to look different compared to the first game's lifebars, while some stages' graphics were removed (e.g. flags in Sho Kamui's stage).</t>
  </si>
  <si>
    <t>Un tournoi est organisé chaque année. Baptisé FIST (Fighting Instinct Sévère Tournament), il a pour particularité de proposer une série de combats où tous les coups sont permis. Sa réputation vient également du fait que les vainqueurs sont grassement récompensés, et que chaque édition se solde par quelques cadavres.</t>
  </si>
  <si>
    <t>The protagonist of the game finds himself among the Breakers, an ancient race still harboring the hopes for a day when the Messiah would arrive and save the world. In a curious coincidence, according to their prophecies it turns out to be the very same day on which they encounter the protagonist. He must therefore convince them that he is indeed the Messiah, otherwise his return home and even his survival won't be guaranteed.
Breakers is a text adventure game. The player interacts with the environment and converses with characters by typing commands and sentences. Similarly to other Synapse games, it has a real-time element. Characters may act regardless of the player's input, and some puzzles require the player to type commands within a time limit.</t>
  </si>
  <si>
    <t>Sans égaler les poids lourds du genre, Blue's Journey s'en sort honnêtement. Le seul problème est qu'il est sur Neo·Geo et qu'on pouvait attendre encore mieux côté réalisation. C'est sympa, c'est mignon, adorable, tout ce qu'on voudra, mais il n'y a rien pour le démarquer des concurrents tournant sur des consoles moins puissantes. En tant que jeu d'arcade il se montre un peu plus original, apportant justement un aspect "console" très inhabituel.
Cela reste un bon jeu, mais pas de quoi en faire une vitrine technologique pour la machine. Magician Lord, jouant certes dans un registre différent, est un meilleur choix... mais un choix de joueur solitaire.</t>
  </si>
  <si>
    <t>The planet Raguy was once a beautiful place, until the evil Daruma tribe invaded, bringing pollution that corrupted the land. You, as Blue, are a specialist of the Leaf Dump, and you love Princess Fa of the Raguy family. Unfortunately, Princess Fa has fallen sick from the pollution. It's your job to save your princess in Blue's Journey, a 2D side-scrolling platformer with RPG elements. Go through stages jumping on platforms and avoiding traps, while dealing with a multitude of bad guys, with a special bad guy boss at the end of every level to defeat with special means. To help with this, Blue can use a leaf attack and shrink. The leaf attack, only used when Blue is full sized, lets Blue slam a leaf that stuns any enemies he hits. Blue can also pick up power-ups for a more devastating leaf attack, or change his attack entirely. When the enemies are stunned, Blue can pick them up and throw them across the screen to dispose of more baddies. Shrunken down Blue can't use his attacking power, but he can fit into small crevasses and crannies not normally accessible. Of course, Blue can also dispatch enemies by jumping on them. Since Raguy's economy is flower based, Blue can collect flowers to buy things at special huts. But Blue must take care not to fall into traps or bottomless pits, which cause instant death. Being hit by bad guys or their shots is just as bad. Blue starts the game with two hearts, losing one when he gets whacked by a bad guy. When his heart count goes to zero, Blue dies. Play the game alone (as Blue), or with your friend (as a green Blue) for two-player simultaneous fun.</t>
  </si>
  <si>
    <t>Rappelez-vous Pulstar, ce jeu de tir horizontal sorti à la fin de 1995. Bien joli, bien difficile, il s'agissait d'un très bon jeu qui apportait de la nouveauté sur Neo·Geo tout en s'inspirant très fortement du célèbrissime R-Type. Pourquoi parler de Pulstar ? Eh bien tout simplement voici un jeu qu'on pourrait qualifier de semi-suite, ou du même environnement. Bref, voici Blazing Star !
Une réalisation de très haut vol, peu de réels défauts, une ambiance unique, une intro bien marquante, une solide durée de vie... Que dire d'autre, si ce n'est que Blazing Star repousse plus loin les limites de la Neo·Geo (quitte à aller au-delà de celles-ci) et montre qu'elle peut offrir des shoot them up aussi flamboyants que les meilleurs de l'arcade ou des consoles de génération suivante.</t>
  </si>
  <si>
    <t>Sometime in their past, the planets Remuria and Mutras started an interplanetary war that showed no sign of ending. The endless fight between the human-like inhabitants of the two planets had gone so long that weapon development moved into dangerous territory: Organic Weapon Production combined with alien technology. Soon, a sentient weapon - Brawshella - was born. Brawshella gathered all animal life on both planets and forced them to do its bidding and attack the humans. In a week, the humans were assimilated by Brawshella.
Yet, once they were assimilated, they found no other purpose in life but to continue fighting each other. After a while, four of the assimilated fighter pilots regained their consciousness and remembered their pasts. Upon discovering their humanity, the pilots were conflicted with following Brawshella's orders or fighting it to fully regain their independence. The pilots finally turn against the machine in a battle to rediscover themselves and reclaim their planets.</t>
  </si>
  <si>
    <t>Reprenant le principe de Pong en l'améliorant, Flip Shot est un jeu bien sympathique. Les graphismes sont colorés et fins, l'animation rapide et sans défaut majeur. On se renvoie une balle pour abattre les plots du camp adverse. L'intérêt de ce soft est d'y jouer à deux, mais en solo il y a de quoi s'amuser aussi. Les persos sont originaux et les coups spéciaux pas mal du tout, l'ensemble assez comique... volontairement, bien sûr. Ce jeu est très rapide et demande de bons réflexes, personnellement, je préfère Windjammers, mais Flip Shot vaut le coup aussi.</t>
  </si>
  <si>
    <t>Battle Flip Shot (sometimes also referred to simply as Flip Shot) is a 1998 ball-and-paddle game developed and published by Visco exclusively for the arcade cabinet known as the SNK Neo-Geo MVS hardware. It combines the genres of the Magnavox Odyssey Tennis game, Atari's Pong and Breakout arcades, and Nintendo's Spitball Sparky of the Game &amp; Watch series. In 2001, Visco created and released Bang Bead, the follow-up to Battle Flip Shot.</t>
  </si>
  <si>
    <t>Bon, un peu de sport, c'est toujours sympa. Baseball Stars Professional propose bien sûr, comme son nom l'indique, de participer à des compétitions de baseball. On peut le considérer comme la version améliorée du Baseball Stars sorti sur en 1989 la NES de Nintendo.
Sa bande sonore met une ambiance géniale. Un sport peu connu fort bien mis en pixels.</t>
  </si>
  <si>
    <t>Baseball Stars Professional is the follow-up to Baseball Stars for the Nintendo Entertainment System, and features comic-style graphics. Choose from a variety of teams that include Celestial Planets, Heavenly Bodies, Shadow Demons, Battle Knights, Fabulous Superstars, and many others. Then select the field where the game is to be held: The SNK stadium or the SNK dome. Each field has the same dimensions, but their capacity varies. The game is played the same way as normal baseball. Features a VS. mode in which two players can play against each other.</t>
  </si>
  <si>
    <t>ベースボールスターズプロフェッショナル</t>
  </si>
  <si>
    <t>SNK signe un bien joli jeu de baseball sur 68 Mbits "seulement". L'ambiance est au rendez-vous, la réalisation est de bon niveau et la durée de vie très correcte. Que demander de plus ? Rien, alors si on aime le genre, on fonce à la première base !</t>
  </si>
  <si>
    <t>You can select from one of 18 teams across two leagues - Exciting League (beginner) &amp; Fighting League (expert)</t>
  </si>
  <si>
    <t>ベースボールスターズ 2</t>
  </si>
  <si>
    <t>Bang Bead est un jeu difficile à classer dans une catégorie. C’est un mélange entre Windjammers et pong. Vous disputez des matchs dans lesquels le but est de détruire toutes les cibles présentes derrière votre adversaire et ensuite d’y faire passer la balle. Graphiquement ce n’est pas mauvais et les personnages ont un style sympa. L’ambiance sonore est plutôt réussie ainsi que les bruitages. La jouabilité est très simple, il suffit de diriger votre perso et d’appuyer sur le bouton pour contrer la balle et la renvoyer. Un jeu à essayer à deux, mais c’est tout.</t>
  </si>
  <si>
    <t>Bang Bead is a pong-esq arcade game released in 2000 by Visco Corp. It was released for the SNK Neo-Geo MVS hardware chip set. It is the sequel to 1998's Battle Flip Shot.
Two of nine characters square off in a back and forth 2D tennis match. The speed and arc of the Bead was affected by reaction time from throw to catch and motions of the joystick, with quarter circle movements. The first character to lose all of their stars on their side of the screen loses.</t>
  </si>
  <si>
    <t>Visco signe ici un jeu d'un genre alors totalement inédit sur Neo·Geo et simplement mais correctement réalisé. Mais qu'est-ce qui a pris SNK de le refuser ? Peut-être qu'il fallait que tout se focalise sur les prestigieux KOF '94 et Samurai Shodown II.
En attendant, on ne peut pas reprocher à Visco d'avoir fait n'importe quoi avec ce bon petit jeu. Absolument pas un hit, même dans sa catégorie, mais néanmoins bien sympathique.
 Au final, ce soft laissé aux oubliettes par son éditeur aurait tout à fait eu sa place dans la ludothèque Neo Geo, qui manque cruellement de jeux de plate-formes. Le titre de Visco peut se vanter d'une jolie réalisation, d'une durée de vie décente et d'un excellent gameplay. Sans faire de l'ombre aux ténors du genre, Bang Bang Busters est un Bubble-Bobble-like réussi, offrant un challenge intéressant et une atmosphère bien fun, seul ou à deux!</t>
  </si>
  <si>
    <t>Bakatonosama n'est plus ni moins un jeu de mahjong classique. Si vous ne maitrisez pas les règles de ce jeu, passez votre chemin.Des graphismes sommaires, une réalisation somme toute banale...Ce jeu est loin d'être indispensable dans la ludothèque NeoGeo. En plus la maîtrise du japonais est nécessaire pour pouvoir y jouer pleinement.</t>
  </si>
  <si>
    <t>バカ殿様麻雀漫遊記</t>
  </si>
  <si>
    <t>Bakatonosama Mahjong Manyuuki</t>
  </si>
  <si>
    <t>Art of Fighting 2 frappe encore plus fort que son aîné. Sa difficulté élevée et sa jouabilité pas très accessible font qu'un joueur peu persévérant oubliera rapidement cette cartouche sur une étagère. Les courageux accèderont à un univers bien particulier et pourront profiter de l'ambiance excellente de ce titre atypique.
Ce qui change par rapport à Art of Fighting, c'est la violence des coups. Plus forts, plus puissants, plus rapides, nous sommes dans la démesure. Ce n'est pas de la violence sanguignolante à la Mortal Kombat, mais plutôt toute une gamme de coups ayant beaucoup d'impact et d'efficacité (merci les bruitages). L'adversaire décolle bien souvent du sol puis retombe lourdement. Que du bonheur que de laisser ressortir ses instincts les plus primaires.</t>
  </si>
  <si>
    <t>The second installment in the AoF series added the "rage gauge"; similar to the "spirit system" of its predecessor, it limited the use and effectiveness of special attacks.
The game's story is set a year after the original. Geese Howard, a rising star in South Town's criminal underworld, calls fighters to the city for a new tournament, "The King of Fighters." Howard was the final boss and series villain of SNK's other fighting game franchise Fatal Fury (though he is a secret boss in this game), whose story took place over a decade after the events of Art of Fighting.
Art of Fighting 2 was the only time Yuri Sakazaki was a playable character in the series. It also marked the only time that she donned her trademark outfit, which was made famous in The King of Fighters series. This game also marks the debut of Takuma Sakazaki without his Mr. Karate persona, as well as Eiji Kisaragi, who both appear in the King of Fighters series. Ryuhaku Todo, the first boss in the original AOF, is the only character dropped; all characters are playable from the beginning. The final boss is always Mr. Big, though as mentioned earlier, an extra match will be played against Geese Howard if the player unlocks him through good performance.
This game is also notorious for its difficulty, with it being referred in many fighting circles as having some of the toughest opponent AI in a fighting game.</t>
  </si>
  <si>
    <t>龍虎の拳 2</t>
  </si>
  <si>
    <t>Art of Fighting est un titre à la réalisation technique très valorisante : son ambiance, sa bande sonore et ses graphismes de haute volée en font un très bon jeu à la réalisation étonnante. Si l'excellent Street Fighter II' reste intouchable, Fatal Fury et World Heroes sont nettement distancés.
Tout un programme, si l'on en croit le titre ! Pour l'anecdote, il s'agit du premier jeu à franchir sur Neo·Geo le cap des 100 Mbits. Il aura bien besoin de cela, Street Fighter II en étant à sa deuxième mouture et la concurrence s'organisant de mieux en mieux.</t>
  </si>
  <si>
    <t>In an attempt to capture some of the momentum of the popular 2D fighting genre, SNK's Art of Fighting retains the essence of such classics as Street Fighter II and Final Fight while adding additional features to gameplay. The game's story focuses on Ryo Sakazaki and Robert Garcia traveling to South Town to rescue Yuri from the clutches of gangsters. In two-player mode, you take on each other in battle by punching and kicking each other while attempting strong-arms. There is even a "taunt" button. Unique for fighting games of the early '90s, the characters are larger and more detailed in Art of Fighting, and a "camera" zooms in and out of the action depending on the distance between the fighters.</t>
  </si>
  <si>
    <t>Art of Fighting / Ryuuko no Ken</t>
  </si>
  <si>
    <t>Alpha Mission II se trouve à des années lumières des manic shooter qui vont arriver quelques années plus tard après sa sortie. Avis aux amateurs, c'est du gros old school technique qu'il s'agit ici,iI ne conviendra qu'aux fans hardcore de shoot'em up de ce style. Les amateurs de manic lui reprocheront son côté trop lent, et surtout ses damnées bombes qui ne peuvent être tirées qu'une par une.
Aussi non bon petit jeu.</t>
  </si>
  <si>
    <t>Alpha Mission II (also known as ASO II: Last Guardian, its Japanese title) is a vertically scrolling full screen shoot 'em up released by SNK in 1991 for the Neo Geo arcade and home systems. It was later released for the Neo Geo CD in 1994 and for the PlayStation Portable in 2010.
The player controls a fighter spacecraft (Armored Scrum Object) and can shoot enemies in the air, bomb enemies on the ground, collect power-ups, and defeat bosses to advance levels.</t>
  </si>
  <si>
    <t>ASOII ラストガーディアン</t>
  </si>
  <si>
    <t>Aggressors of Dark Kombat est un jeu de combat sur Neo Geo. Celui-ci présente la particularité de gérer le déplacement dans la profondeur. Vous pourrez donc distribuer les coups en long, en large et en travers avec l'un des huit persos proposés. Vous profiterez également des pelles et autres cocktails Molotov leur tombant sous la main pour les envoyer sur la trogne de leur adversaire.</t>
  </si>
  <si>
    <t>Aggressors of Dark Kombat is another one-on-one street fighting beat 'em up from the Neo-Geo's seemingly endless library of fighters.
It pits 8 fighters of different styles and strengths against each other in a tournament to see who's the toughest mofo on the streets of Tokyo. Your objective as usual is to deplete your opponent's health bar within the time limit by using your basic attacks and special moves (triggered by specific controller motions) while avoiding his moves and attacks.
Unique to Aggressors of Dark Kombat is the combination of traditional side-scrolling beat 'em up elements, meaning characters can freely move in an isometric space instead of being restricted to a single plane of movement. Weapons and throw-able items are usually thrown into the arena by the crowds and you can pick them up and wield them for added damage. Additionally, matches are 1-round only affairs, with an extended multi-layered health bar that allows for longer rounds than usual.</t>
  </si>
  <si>
    <t>痛快ガンガン行進曲</t>
  </si>
  <si>
    <t>Aggressors of Dark Kombat / Tsuukai GANGAN Koushinkyoku</t>
  </si>
  <si>
    <t>Comme il en était question dans le volet précédent, vous devez dans Aero Fighters 3 sur Neo Geo survoler les grandes capitales de ce monde. Cette fois-ci, ce sera à bord de vieux coucous de la Seconde Guerre mondiale, non moins armés pour autant. Aux commandes de votre appareil et grâce aux armes améliorables dont vous disposez, vous aurez pour mission de débarrasser les cieux de tout ennemi.</t>
  </si>
  <si>
    <t>One night, three months after the previous fight. . . .
In the city of M in western America, the skies' darkness was torn to pieces by a strange, speeding flash. And at that moment, many gigantic aircraft arrived. When the townspeople looked up at the outmoded fuselages, they didn't see that something was scattered from the airplane. . . .
Then everyone saw, falling with parachutes, many soldiers and combat vehicles who consequently gained complete control of the town.
Similar incidents happened worldwide in every country. One country received a battleship's gun fire on the open sea; another was devastated by a tank unit that suddenly appeared in the forest. Strangely, each invasion used a weapon like those from World War II.
Even the base of the secret rescue team who protected world peace in shadow was attacked by the mysterious flying corps. The team's fighter planes flew away and were burned up promptly, one after another. The base was immediately devastated. Hardly any of the most powerful and technologically-advanced machines were left, the electronics did not work completely, and the anti-artillery systems were completely broken. The enemy used inferior, outdated reciprocating engine aircraft. Furthermore, even the experimental fighting bombers were included.
Commanding officer Lord River received the report and, after a moment of silence, gave his decision. "Strike, making use of all active weapons. You also have permission to use the old weapons in the underground storage hangar."
This latest mission was regrettably troublesome. I appreciate your participation.
-River-n-White</t>
  </si>
  <si>
    <t>ソニックウィングス 3</t>
  </si>
  <si>
    <t>Il y a quelque temps, une organisation corrompue tenta de détruire le monde, mais 8 pilotes ont contrecarré les plans de celle-ci. Deux ans plus tard, une nouvelle menace frappe le monde, une puissante armée d'origine inconnue apparait soudainement et occupe bientôt le monde. La United Nations Peace Keeping Force s'est précipitée pour les intercepter, mais a raté l'ennemi [sic]. Leurs derniers rapports disent que les super-armes utilisées lors de l'attaque il y a 2 ans existent toujours. Mais l'organisation derrière elles existe-t-elle encore?
Les États-Unis ont demandé à l’équipe internationale de Secret Rescue de prendre des contre-mesures. Le commandant a ordonné à tous les membres d'anéantir l'armée inconnue. Il est maintenant temps de sortir, le monde compte sur nous!</t>
  </si>
  <si>
    <t>Once a wicked organization schemed to destroy the world but it was wiped out by 8 pilots. 2 years later, a mighty, unknown army suddenly appeared and soon occupied the world. The United Nations Peace Keeping Force rushed in to intercept them but missed in the enemy [sic]. Their last reports say that the super weapons which had attacked the world 2 years ago still exist. But does the organization behind them still exist?
The U.N. has requested the International Secret Rescue team to take action. The commander was [sic] ordered all members to destroy them completely. Now, the time to sortie is upon us!</t>
  </si>
  <si>
    <t>ソニックウィングス 2</t>
  </si>
  <si>
    <t>Lorsque vous jouez à un jeu de combat, vous ne prenez que Big Bear, Zangief ou Muscle Power ? Vous revenez souvent à la série King of the Monsters, surtout le premier épisode ? Vous ne râtez aucun match de catch à la télévision et vous avez un poster de Hulk Hogan dans votre chambre ? SNK a pensé à vous ! Voici 3 Count Bout (Fire Suplex au Japon), un jeu 100% catch.
Si on compare bêtement 3 Count Bout à un jeu de combat en versus, eh bien il est limité, trop bourrin, trop difficile. Le hic est qu'il s'agit d'un jeu de catch. Les combinaisons sont nombreuses, les personnages attachants (si, si) et le mode Tag un vrai plaisir. On pourra toutefois lui reprocher sa difficulté trop élevée contre le CPU (finir le jeu est une absolue galère) et un certain manque de souplesse</t>
  </si>
  <si>
    <t>3 Count Bout by SNK Corporation attempts to take you into the world of professional wrestling by giving you control of one of many different wrestlers as you fight both in the ring and in the seedy underworld in your quest to become an accomplished wrestling champion. Choose from one of ten different characters, each with his own strengths and weaknesses, and employ your wrestling moves using a combination of three buttons. There are also a number of hidden moves and combinations which can be unlocked for even greater variety in the gameplay. When you have your opponent on the mat, keep him there until the count of three and you've won the match. In two-player mode, you can either take on your opponent in a match or wrestle tag team. This game uses the Neo-Geo MVS cartridge system.</t>
  </si>
  <si>
    <t>3 Count Bout / Fire Suplex</t>
  </si>
  <si>
    <t>Nous sommes en 2020, les robots font désormais partie de ce sport très américain qu'est le baseball. Sport très américain, mais sport hautement apprécié au Japon ! Encore un jeu de baseball, diront certains, quand on en a vu un, on les a tous vus... Mouais, moi je dis que c'est pas si sûr ! Surtout que celui-ci a pas mal d'originalités en réserve.
2020 Super Baseball n'est pas une daube, avec les deux ou trois nouveautés et originalités par rapport à son compère sorti un an avant, 2020 Super Baseball est un bon jeu de baseball, un bon jeu d'arcade.</t>
  </si>
  <si>
    <t>Super Baseball 2020 is a futuristic baseball video game. It was first released in Japan for the Neo Geo in 1991, and then it was later released in North America for the Mega Drive/Genesis (ported by NuFX and released by Electronic Arts) and Super Nintendo Entertainment System (released by Tradewest) in 1993.
The game follows the basic rules of baseball, but there are several upgrades since the game takes place in the year 2020. The most obvious difference from real baseball is that some of the characters in this game are robots. All the human characters are equipped with powerful armor, computer sensors, and jet-packs for improved offense and defensive skills.</t>
  </si>
  <si>
    <t>Le jeu consiste en un duel sportif au frisbee sur un terrain rectangulaire, hybride entre un court de tennis et une aire de volley-ball.
Les joueurs sont séparés par un filet au-dessus duquel ils doivent tour à tour renvoyer le disque dans le but d'atteindre une des trois cages de fond de cours derrière l'adversaire pour marquer des points. Le nombre de points engrangé lors d'une marque (trois ou cinq) est fonction de la position de la cage atteinte. Lorsque le frisbee termine sa course au sol, à la suite d'un lob par exemple, le dernier lanceur marque deux points. Le match se joue en deux sets gagnants. Une manche est remportée soit par le premier joueur marquant douze points, soit par le joueur arborant le score le plus élevé à l'issue du temps réglementaire (30 secondes par défaut).</t>
  </si>
  <si>
    <t>Windjammers (also known as Flying Power Disc in Japan) is a fast pace, sport arcade game released by Data East on the Neo Geo arcade system in 1994 and later on the Wii Virtual Console in Japan on June 22, 2010. Following the bankruptcy of Data East, the intellectual rights for this game were acquired by Paon</t>
  </si>
  <si>
    <t>L'histoire du jeu prolonge avec pertinence le chapitre Orochi tout en ouvrant une nouvelle voie. Il sera question de... Non, pas d'histoire ici ! La plupart des combattants ayant déjà participé au KOF se retrouvent pour une empoignade épique, avant d'affronter un Rugal plus ressuscité et déchaîné que jamais !
Nous voici face à un jeu fort attendu, et ce à plus d'un titre. D'abord il s'agit d'un King of Fighters, ce qui est déjà en soit toujours un petit évènement dans le monde du jeu de combat 2D. Ensuite il sort une année riche en titres Neo·Geo très forts : Blazing Star, Metal Slug 2, Real Bout Fatal Fury 2... Que du beau monde. Enfin SNK l'a annoncé comme un "dream match", autrement dit un épisode certes sans scénario, mais bien fourni, un condensé de ce que l'éditeur sait faire de mieux. Notre KOF '98 a donc d'ores et déjà beaucoup de pression car il se doit de réussir, il se doit d'être au minimum un très bon jeu. La pression est d'autant plus grande que Capcom a frappé fort avec ses Marvel Vs. Capcom et Street Fighter Alpha 3. Nous allons voir que SNK a tout fait pour lui donner les moyens de ses (grandes) ambitions..</t>
  </si>
  <si>
    <t>The All-Star dream battle is here at last: It's King of Fighters '98! Here come 38 of your favorite characters from the King of Fighters series. Your favorite characters and teams are back! Filled with new surprises like the Roulette Team Edit and Advantage System, King '98 will pop your cork with unrelenting excitement!
The King of Fighters '98 (given the subtitle Dream Match Never Ends in Japan and The Slugfest in the U.S.) is a 1998 fighting game released by SNK released for the Neo Geo arcade and home console. It is the fifth game in The King of Fighters series. This installment was advertised by SNK as a "special edition" of the series, as it featured most of the characters who appeared in the previous games (from KOF '94 to '97), regardless of whether the character was killed off in the series' ongoing storyline.</t>
  </si>
  <si>
    <t>The King of Fighters '98 - The Slugfest / King of Fighters '98 - dream match never ends</t>
  </si>
  <si>
    <t>Ah, Riding Hero a des arguments pour être un bon jeu de moto mais il traîne sa réalisation sommaire et sa jouabilité énervantes comme des boulets et il lui manque le petit "plus" qu'ont d'autres jeux : Super Hang-On et Racing Hero dans leurs versions arcade sont meilleurs, c'est sûr ! Sans compter que la version Mega Drive de Super Hang-On (sortie en 1989) possède un mode carrière assez intéressant. Il reste à Riding Hero son mode Story long et original.</t>
  </si>
  <si>
    <t>Riding Hero was produced by SNK in 1990.
Riding Hero is a motorcycle racing game with three modes of play: W.G.P. mode, R.P.G. (Story) mode, and Multi-Play mode.
In W.G.P mode, you pick your bike that you want to use, and then race up to ten world circuits, including France, Germany, Italy, U.S.A, Spain, Sweden, and more. You race against the top riders. Try to aim for the top.
R.P.G. mode is interactive. You travel between locations, and explore them, and speak to any people here. You start with no bike, so you must go to the Bike Shop and purchase one. Then with some help of the owner, you can race against up to six opponents. The more races you win, the more money you earn. Keep winning and you will be able to race the Suzuki 8-hour. During this mode, a timer will count down. If this expires, you must insert a coin in order to continue.
Multi-Play mode lets you "link" cabinets together so that two players can race each other side-by-side (current MAME version only supports single player)</t>
  </si>
  <si>
    <t>Riding Hero</t>
  </si>
  <si>
    <t>Soyons clair, les programmeurs de NG.Dev.Team n'ont pas inventé la poudre. Leur jeu est inspiré de Last Resort et de Pulstar sans aucune ambiguïté. Ils l'annoncent d'ailleurs comme un hommage aux grands titres de la Neo·Geo. Cela reste un jeu correct, 100% nouveau dans sa programmation (graphismes et musiques sont inédits), à défaut de l'être dans son concept. On retrouve un style très old school avec un apprentissage long et laborieux pour progresser. La réalisation encore faiblarde en comparaison des poids lourds de la neogeo, le manque chronique de lisibilité et l'absence de mode 2 joueurs lui coûtent cher. Même si l'effort reste louable, il faut avouer que la sauce ne prend pas vraiment, dommage.</t>
  </si>
  <si>
    <t>An evil empire from another galaxy is heading towards Earth. Barely 24 hours beforehand, they had penetrated the last line of defense in Earth's galaxy, the Arsion Laser Belt. Millions of innocent people perished in outer space colonies. 70% of earth's fleet was destroyed during first contact. Intelligence reports six days until their arrival. Conventional weapons cannot stop them. The last hope is in your hands: The Z-42 Warpstar. Warp into their territories and destroy their leader before they reach Earth.</t>
  </si>
  <si>
    <t>Data East nous offre un jeu qui évidemment copie sans vergogne ses concurrents, à commencer par Street Fighter II. Il y a cependant un effort d'originalité sur certains points visibles (ambiance graphique) et invisibles (jouabilité particulière). Même s'il passe inaperçu face aux poids lourds de la Neo·Geo, c'est un bon jeu.</t>
  </si>
  <si>
    <t>Sequel to Data East's Fighter's History.
Two new characters, Zazie Muhaba and Liu Yungmie, can be chosen for play, as well as the bosses Clown and Karnov, who now sports his classic platformer look. Most moves have been tweaked, like Ray's Wheel Kick, and new moves have been added, like Jean's Somersault Flip Kick. Hidden moves, such as Mizoguchi's Shotensai are also usable at any time during a match, without the need of super meters or anything like in recent fighting games.
The American version of Fighter's History Dynamite</t>
  </si>
  <si>
    <t>ファイターズヒストリーダイナマイト</t>
  </si>
  <si>
    <t>Saurus nous livre un titre fort étonnant en comparaison de sa taille : il est long, varié, prenant, techniquement réussi... Son principe peu évident au premier abord le prive de séduire les joueurs qui "zappent" rapidement. Mais pour les autres, le plaisir sera au rendez-vous. Il demande moins de rigueur qu'un Pulstar mais se montre plus long, aussi riche, doté d'une ambiance fort réussie et d'un mode de jeu à deux en simultané.
Il convient de préciser plusieurs choses. D'abord, Ironclad vous est peut-être davantage familier sous le nom de Chotetsu Brinkin'Ger. Ensuite, même s'il n'est commercialisé qu'en CD, il existe en prototype sous forme de cartouche. Enfin, il s'agit du jeu réputé l'un des plus rares de la Neo·Geo CD. L'intro ne laisse d'ailleurs aucun doute, le jeu est clairement conçu à la base pour un support cartouche : elle est succinte et composée d'images fixes fondues avec plus ou moins de bonheur.</t>
  </si>
  <si>
    <t>IRONCLAD is a side-scrolling shoot ’em up released in 1996. You maneuver a warship and team with the mighty Iron Clad in order to fight the Iron Mask Republic and save the Kingdom of Chop.
Your weaponry includes three main blast weapons upgradable by collecting more items, a charged attack you can use when Iron Clad is attached to your ship, three types of melee weapons you can brandish to show off your strength in close-range combat, a bomber that clears all enemy bullets, and finally shooting patterns that change based on whether the Iron Clad is attached or disconnected from your ship.
You can even select the stages you want, feeding your hunger for combat and allowing you to see different endings for each play through!</t>
  </si>
  <si>
    <t>超鉄ブリキンガー</t>
  </si>
  <si>
    <t>Choutetsu Brikin'ger - Iron clad</t>
  </si>
  <si>
    <t>Ghostlop est un jeu du genre bubble à la différence que le personnage lance une balle de couleur pour éliminer les boules de couleurs (qui ont la forme d'une tête de fantôme, d'où le nom d'ailleurs). Le principe est simple : le personnage choisi une direction, la couleur de sa balle (qu'il peux changer à tout moment) et la rattrape, en sachant que la balle bleue ne détruira pas la couleur rouge et inversement... Plus on en élimine, et plus elles s'entassent chez l'adversaire! D'autres boules de couleurs possèdent des caractéristiques particulières, une sorte de bonus, qu'il faudra viser pour nettoyer les grappes qui se sont formées au fur et à mesure. Très rapide, souvent agaçant, il faudra être d'une grande dextérité pour arriver à ses fins.</t>
  </si>
  <si>
    <t>Bruce and McCoy are 2 ghost hunters who have to eradicate all the Great King of Terror's minions to save the world from his threat.
This is a very rare prototype, never officially released.</t>
  </si>
  <si>
    <t>Ghostlop</t>
  </si>
  <si>
    <t>Football Frenzy n'est pas un chef d'œuvre de la Neo·Geo, encore moins une prouesse technique ou un enchantement pour les yeux. C'est un jeu de football américain correct mais qui ne tire en définitive que très faiblement parti de son support. Il est bon, saura contenter l'amateur de ce sport, tout en sachant qu'on peut trouver au moins aussi bien sur Super Nintendo, Mega Drive ou même dans le domaine de l'arcade.</t>
  </si>
  <si>
    <t>As manager of Grimsditch Rangers you have achieved the impossible by getting the team to the Cup final. It is now Wednesday and the final is on Saturday but everything that can go wrong is going wrong, the kit needs washing, bills paying, strikers wanting to leave are one of the many problems you will face to get your team ready for the final. Football Frenzy is a graphic text adventure with text describing your locations and pictures showing what you see. You type in commands with the keyboard to interact with the locations and various objects.</t>
  </si>
  <si>
    <t>Football Frenzy</t>
  </si>
  <si>
    <t>dragon's heaven est en fait un jeu inachevé et donc jamais sorti...
L'homme derrière le jeu a été retrouvé et il a été capable de révéler toutes sortes d'informations à ce sujet.
Après avoir visionné les séquences du jeu inachevé, le site japonais ITMedia a retrouvé le créateur Kengo Asai (via Mad Mans Cafe ), qui a travaillé sur d’autres jeux de combat comme The Last Blade , Schmeiser Robo et Voltage Fighter Gowcaizer .
Asai dit que le jeu, bien qu'il n'ait jamais de nom officiel, était d'abord connu en interne sous le nom de Darkseed . Quand il a été découvert qu'il y avait déjà un jeu appelé Darkseed , ils l'ont changé en Dragon's Heaven . Le développement a commencé en 1995 ou en 1996.
Il comportait quelques fonctionnalités intéressantes: les joueurs pouvaient suivre des chemins moraux «licites», «neutres» ou «chaotiques» en fonction des décisions prises après les combats, et les trois rounds de chaque combat auraient lieu à différents moments de la journée, ce qui donnerait des forces et des faiblesses aux personnages. cela dépendait du matin, du midi ou du soir.
En fin de compte, Dragon's Heaven a été annulé en raison de «problèmes de financement».</t>
  </si>
  <si>
    <t>Based on the later parts of the Dragonlance book Dragons of Autumn Twilight, the heroes descend into a ruined city in search of the disks of Mishakal.
The gameplay consists of horizontal fighting with a maze like map using doors to change the view. The party consists of the 8 Heroes of the Lance, using one at a time and the player can switch between them at any time. Each character has different types of attacks and spells making them more suited to fighting different enemies as well as acting as lives.
One of the AD&amp;D games that takes a break from the usual RPG style.</t>
  </si>
  <si>
    <t>dragons heaven</t>
  </si>
  <si>
    <t>Si Technôs espérait rivaliser avec Capcom ou SNK dans la cour des grands du fighting game, c'est raté. Si on le compare à des jeux de second choix comme Karnov's Revenge, Kaiser Knuckle ou Power Instinct 2, il a moins de mal à se distinguer. Double Dragon a pour lui son visuel plutôt attrayant, épaulé efficacement par ses zooms à l'amplitude impressionnante, l'aura de sa licence, légende parmi les légendes du beat them up, et l'ambiance nanardesque du film, pour peu qu'on le prenne au second degré.
Voilà un bon petit jeu qui aura beaucoup de mal à briller face à tant de concurrence, mais qui plaira sans nul doute à certains joueurs avertis.</t>
  </si>
  <si>
    <t>Double Dragon (ダブルドラゴン Daburu Doragon?)[4] is a 1987 beat 'em up video game developed by Technōs Japan and distributed in North America and Europe by Taito. The game is a spiritual and technological successor to Technos' earlier beat 'em up, Nekketsu Kōha Kunio-kun (released outside of Japan by Taito as Renegade), but introduced several additions such as two-player cooperative gameplay and the ability to arm oneself with an enemy's weapon after disarming them. Double Dragon is considered to be one of the first successful examples of the genre, resulting in the creation of two arcade sequels and several spinoffs, as well as inspiring other companies in creating their own beat 'em ups.
Originally an arcade game, home versions were released for the Nintendo Entertainment System, Sega Master System, Atari 2600, Atari 7800, Atari ST, Amiga, Amstrad CPC, Commodore 64, Game Boy, Genesis/Mega Drive and Atari Lynx, among other platforms during the series's height of popularity. A remake titled Double Dragon Advance was released for the Game Boy Advance in 2003. The NES version was re-released for the Wii's Virtual Console in North America on April 28, 2008 at a cost of 500 Wii Points.[5] Nintendo also released the Game Boy version on the Nintendo 3DS Virtual Console in 2011.</t>
  </si>
  <si>
    <t>Double Dragon</t>
  </si>
  <si>
    <t>Crouching Pony Hidden Dragon</t>
  </si>
  <si>
    <t>Plus joli, plus long, plus varié, plus réussi, Crossed Swords II surpasse sans aucun souci son vénérable aîné. C'est un bon jeu, le meilleur de son genre sur Neo·Geo... parmi trois, il est vrai. Il n'a pas un statut plus élevé à cause de la 2D empêchant une liberté de mouvement digne de Wolfenstein 3D ou Doom. Un peu anachronique à l'heure où le genre devient résolument en 3D, Crossed Swords II reste un jeu complet qui se montre bien plus abouti que son prédécesseur.</t>
  </si>
  <si>
    <t>Limited conversion of Original NeoGeoCd Game provided by razoola and neobitz.com. A pseudo first-person game similar to games like Dynamite Duke (Genesis), Punisher (NES), and of course Cross Swords 1 (Neo-Geo). You view your person from the back and enemies come from the background into the foreground where you attack them.The first addition is a cast of three characters to choose from (in contrast to the one character of the first game). You get choice of a knight, a female warrior with a dagger, and a ninja.</t>
  </si>
  <si>
    <t>クロススウォード II</t>
  </si>
  <si>
    <t>Crossed Swords 2</t>
  </si>
  <si>
    <t>Art of Fighting 3 se démarque vraiment de ses deux aînés. C'est un titre franchement à part qui a quelques défauts qui auraient pu être évités : nombre limité de personnages, musiques peu variées, animation parfois raide bien que très fluide. Cela ne doit pas occulter sa prise en mains améliorée, son ambiance réussie ainsi que sa qualité de réalisation d'un excellent niveau. Sans être le jeu ultime de SNK, Art of Fighting 3 est un très bon jeu de combat en 2D atypique qui, à l'image de ses glorieux aînés, mérite d'être découvert.</t>
  </si>
  <si>
    <t>Art of Fighting 3 featured a new cast of characters with the exception of Ryo and Robert. Yuri Sakazaki is seen in the game, but only as a side character in Ryo and Robert's story mode.
The story switched focus from the Sakazakis to Robert Garcia. Garcia disappears to search for an old childhood friend, Freia Lawrence, and he tracks her to GlassHill, Mexico. Freia is wanted by the game's main antagonist, Wyler, to complete a powerful elixir that was created by his and Freia's fathers. The drug affects users in a similar manner as the potion in The Strange Case of Dr Jekyll and Mr Hyde.
One of the game's characters, Kasumi Todoh, became a part of The King of Fighters cast. This game is the only one in the series to have a CD Drama Arranged Soundtrack.
It was re-released for the Wii's Virtual Console in North America on 21 March 2013 at a cost of 900 Wii Points.</t>
  </si>
  <si>
    <t>龍虎の拳 外伝</t>
  </si>
  <si>
    <t>Andro Dunos se montre très correct : couleurs bien choisies, musiques entraînantes, vaisseau au look mignon comme tout... Pas mauvais du tout, intéressant avec son système d'armement évolutif, prenant avec une ambiance sympathique, mais manquant un peu d'éclat, Andro Dunos fera passer un bon moment au joueur qui saura apprécier sa jouabilité.</t>
  </si>
  <si>
    <t>The invasion of an unknown life source is getting worse. Nobody knows if the defensive line or the heart of the enemy base is ruined first. With the people's hope, the most advanced fighter will be dispatched into multi-scrolling space.
Fight your way through seven stages in this horizontal-scrolling game, and defeat a boss at the end of each one. You start the game with four main weapons, which you can switch from with the click of a button. Some of these weapons are more powerful than others. You can also fire off a charged shot if your main weapon level is two or greater, simply by holding down the fire button for about two seconds. Using charged shots can do more damage to an enemy ship. If you happen to die, you will lose one power level from all four weapons. If all your lives are lost and are forced to continue, you will start again with your main weapon on the second power level and all three sub-weapons on the first power level.</t>
  </si>
  <si>
    <t>Andro Dunos</t>
  </si>
  <si>
    <t>released_at_WORLD</t>
  </si>
  <si>
    <t>released_at_JPN</t>
  </si>
  <si>
    <t>released_at_US</t>
  </si>
  <si>
    <t>released_at_PAL</t>
  </si>
  <si>
    <t>description_fr</t>
  </si>
  <si>
    <t>description_en</t>
  </si>
  <si>
    <t>name_jp</t>
  </si>
  <si>
    <t>name_en</t>
  </si>
  <si>
    <t>manufacturer_name</t>
  </si>
  <si>
    <t>manufacturer_id</t>
  </si>
  <si>
    <t>system_name</t>
  </si>
  <si>
    <t>system_id</t>
  </si>
  <si>
    <t>hfsdb_id</t>
  </si>
  <si>
    <t>17/07/1992 02:00:00</t>
  </si>
  <si>
    <t>17/03/1994 01:00:00</t>
  </si>
  <si>
    <t>21/02/2011 01:00:00</t>
  </si>
  <si>
    <t>24/07/1990 02:00:00</t>
  </si>
  <si>
    <t>23/07/1998 02:00:00</t>
  </si>
  <si>
    <t>17/02/1994 01:00:00</t>
  </si>
  <si>
    <t>20/09/1991 02:00:00</t>
  </si>
  <si>
    <t>25/03/1991 01:00:00</t>
  </si>
  <si>
    <t>24/09/1992 02:00:00</t>
  </si>
  <si>
    <t>28/03/2011 02:00:00</t>
  </si>
  <si>
    <t>15/04/1992 02:00:00</t>
  </si>
  <si>
    <t>26/04/1990 02:00:00</t>
  </si>
  <si>
    <t>19/01/1998 01:00:00</t>
  </si>
  <si>
    <t>14/03/1991 01:00:00</t>
  </si>
  <si>
    <t>20/05/1991 02:00:00</t>
  </si>
  <si>
    <t>27/05/1999 02:00:00</t>
  </si>
  <si>
    <t>27/11/1995 01:00:00</t>
  </si>
  <si>
    <t>25/07/1991 02:00:00</t>
  </si>
  <si>
    <t>20/06/1995 02:00:00</t>
  </si>
  <si>
    <t>25/11/1991 01:00:00</t>
  </si>
  <si>
    <t>27/03/1995 02:00:00</t>
  </si>
  <si>
    <t>16/09/1993 02:00:00</t>
  </si>
  <si>
    <t>28/06/1994 02:00:00</t>
  </si>
  <si>
    <t>24/01/1995 01:00:00</t>
  </si>
  <si>
    <t>26/11/1999 01:00:00</t>
  </si>
  <si>
    <t>25/01/1991 01:00:00</t>
  </si>
  <si>
    <t>25/05/1994 02:00:00</t>
  </si>
  <si>
    <t>29/06/1994 02:00:00</t>
  </si>
  <si>
    <t>25/02/1991 01:00:00</t>
  </si>
  <si>
    <t>25/05/1992 02:00:00</t>
  </si>
  <si>
    <t>20/09/1996 02:00:00</t>
  </si>
  <si>
    <t>23/03/1992 01:00:00</t>
  </si>
  <si>
    <t>30/08/1991 02:00:00</t>
  </si>
  <si>
    <t>21/03/1996 01:00:00</t>
  </si>
  <si>
    <t>20/03/2003 01:00:00</t>
  </si>
  <si>
    <t>19/04/1996 02:00:00</t>
  </si>
  <si>
    <t>23/02/1998 01:00:00</t>
  </si>
  <si>
    <t>23/03/2000 01:00:00</t>
  </si>
  <si>
    <t>27/03/2002 01:00:00</t>
  </si>
  <si>
    <t>13/11/2003 01:00:00</t>
  </si>
  <si>
    <t>19/03/1999 01:00:00</t>
  </si>
  <si>
    <t>27/07/1990 02:00:00</t>
  </si>
  <si>
    <t>17/01/1997 01:00:00</t>
  </si>
  <si>
    <t>16/03/1992 01:00:00</t>
  </si>
  <si>
    <t>28/03/1996 01:00:00</t>
  </si>
  <si>
    <t>29/01/1996 01:00:00</t>
  </si>
  <si>
    <t>28/05/1998 02:00:00</t>
  </si>
  <si>
    <t>27/01/2000 01:00:00</t>
  </si>
  <si>
    <t>30/04/1992 02:00:00</t>
  </si>
  <si>
    <t>27/05/1996 02:00:00</t>
  </si>
  <si>
    <t>24/05/1996 02:00:00</t>
  </si>
  <si>
    <t>22/12/1994 01:00:00</t>
  </si>
  <si>
    <t>19/07/1994 02:00:00</t>
  </si>
  <si>
    <t>24/12/2003 01:00:00</t>
  </si>
  <si>
    <t>19/10/1994 02:00:00</t>
  </si>
  <si>
    <t>27/09/1999 02:00:00</t>
  </si>
  <si>
    <t>28/08/1995 02:00:00</t>
  </si>
  <si>
    <t>28/11/1995 01:00:00</t>
  </si>
  <si>
    <t>20/11/1990 01:00:00</t>
  </si>
  <si>
    <t>13/06/1996 02:00:00</t>
  </si>
  <si>
    <t>21/12/1995 01:00:00</t>
  </si>
  <si>
    <t>19/03/1998 01:00:00</t>
  </si>
  <si>
    <t>28/01/1997 01:00:00</t>
  </si>
  <si>
    <t>20/12/1991 01:00:00</t>
  </si>
  <si>
    <t>28/10/1994 02:00:00</t>
  </si>
  <si>
    <t>15/11/1995 01:00:00</t>
  </si>
  <si>
    <t>25/10/1996 02:00:00</t>
  </si>
  <si>
    <t>15/11/2003 01:00:00</t>
  </si>
  <si>
    <t>22/04/2004 02:00:00</t>
  </si>
  <si>
    <t>25/04/1995 02:00:00</t>
  </si>
  <si>
    <t>18/02/1993 01:00:00</t>
  </si>
  <si>
    <t>18/07/2001 02:00:00</t>
  </si>
  <si>
    <t>24/07/2003 02:00:00</t>
  </si>
  <si>
    <t>14/02/1992 01:00:00</t>
  </si>
  <si>
    <t>16/12/1993 01:00:00</t>
  </si>
  <si>
    <t>27/09/1995 02:00:00</t>
  </si>
  <si>
    <t>24/09/1996 02:00:00</t>
  </si>
  <si>
    <t>24/12/1999 01:00:00</t>
  </si>
  <si>
    <t>14/12/1992 01:00:00</t>
  </si>
  <si>
    <t>19/04/1994 02:00:00</t>
  </si>
  <si>
    <t>25/08/1997 02:00:00</t>
  </si>
  <si>
    <t>25/08/1994 02:00:00</t>
  </si>
  <si>
    <t>25/07/1995 02:00:00</t>
  </si>
  <si>
    <t>30/07/1996 02:00:00</t>
  </si>
  <si>
    <t>28/07/1997 02:00:00</t>
  </si>
  <si>
    <t>24/06/1999 02:00:00</t>
  </si>
  <si>
    <t>26/07/2000 02:00:00</t>
  </si>
  <si>
    <t>15/11/2001 01:00:00</t>
  </si>
  <si>
    <t>25/11/1998 01:00:00</t>
  </si>
  <si>
    <t>16/10/1996 02:00:00</t>
  </si>
  <si>
    <t>24/06/1994 02:00:00</t>
  </si>
  <si>
    <t>25/05/1990 02:00:00</t>
  </si>
  <si>
    <t>25/11/1996 01:00:00</t>
  </si>
  <si>
    <t>20/11/1992 01:00:00</t>
  </si>
  <si>
    <t>18/09/1995 02:00:00</t>
  </si>
  <si>
    <t>26/11/1996 01:00:00</t>
  </si>
  <si>
    <t>28/07/1992 02:00:00</t>
  </si>
  <si>
    <t>28/04/1993 02:00:00</t>
  </si>
  <si>
    <t>26/04/1994 02:00:00</t>
  </si>
  <si>
    <t>25/05/1995 02:00:00</t>
  </si>
  <si>
    <t>13/09/1994 02:00:00</t>
  </si>
  <si>
    <t>25/03/1993 01:00:00</t>
  </si>
  <si>
    <t>hfs_id</t>
  </si>
  <si>
    <t>cphd</t>
  </si>
  <si>
    <t>ngmag-cphd</t>
  </si>
  <si>
    <t>Le Cortex</t>
  </si>
  <si>
    <t>NGM-437</t>
  </si>
  <si>
    <t>Crouching Poney Hidden Dragon Demo</t>
  </si>
  <si>
    <t>ngmag-columnsn</t>
  </si>
  <si>
    <t>Columns</t>
  </si>
  <si>
    <t>Homebrew</t>
  </si>
  <si>
    <t>check</t>
  </si>
  <si>
    <t>ngmag-vliner</t>
  </si>
  <si>
    <t>SNK / BrezzaSoft</t>
  </si>
  <si>
    <t>vliner</t>
  </si>
  <si>
    <t>Dyna / BrezzaSoft</t>
  </si>
  <si>
    <t>ngmag-lans2004</t>
  </si>
  <si>
    <t>ngmag-kof2k4se</t>
  </si>
  <si>
    <t>Dragon</t>
  </si>
  <si>
    <t>?</t>
  </si>
  <si>
    <t>CD port</t>
  </si>
  <si>
    <t>found</t>
  </si>
  <si>
    <t>descr main list</t>
  </si>
  <si>
    <t>backref</t>
  </si>
  <si>
    <t>id</t>
  </si>
  <si>
    <t>backid</t>
  </si>
  <si>
    <t>Column1</t>
  </si>
  <si>
    <t>Xeno Crisis</t>
  </si>
  <si>
    <t>ngmag-xcrisis</t>
  </si>
  <si>
    <t>Bitmap Bureau</t>
  </si>
  <si>
    <t>Time's Up</t>
  </si>
  <si>
    <t>ngmag-timesup</t>
  </si>
  <si>
    <t>NGF Dev. Inc</t>
  </si>
  <si>
    <t>Project Neon</t>
  </si>
  <si>
    <t>Fullset</t>
  </si>
  <si>
    <t>2022?</t>
  </si>
  <si>
    <t>ngmag-pneon</t>
  </si>
  <si>
    <t>ngmag-neotris</t>
  </si>
  <si>
    <t>Neotris</t>
  </si>
  <si>
    <t>Chipsonsteroids</t>
  </si>
  <si>
    <t>Neo XYX</t>
  </si>
  <si>
    <t>ngmag-neoxyx</t>
  </si>
  <si>
    <t>Neo_XYX</t>
  </si>
  <si>
    <t>Neo Pang</t>
  </si>
  <si>
    <t>ngmag-neopang</t>
  </si>
  <si>
    <t>Last Hope 1.5 Pink Bullets</t>
  </si>
  <si>
    <t>ngmag-lhpb</t>
  </si>
  <si>
    <t>ngmag-gunlord</t>
  </si>
  <si>
    <t>Fast Striker</t>
  </si>
  <si>
    <t>ngmag-faststriker</t>
  </si>
  <si>
    <t>ngmag-krautbuster</t>
  </si>
  <si>
    <t>Kraut Buster</t>
  </si>
  <si>
    <t>Abyssal Infants</t>
  </si>
  <si>
    <t>ngmag-abyssalinfants</t>
  </si>
  <si>
    <t>Kakoeimon</t>
  </si>
  <si>
    <t>Cabal</t>
  </si>
  <si>
    <t>iq_132</t>
  </si>
  <si>
    <t>ngmag-cabalng</t>
  </si>
  <si>
    <t>Unreleased</t>
  </si>
  <si>
    <t>ngmag-teot</t>
  </si>
  <si>
    <t>The Eye Of Typhoon / Fight Fever 2</t>
  </si>
  <si>
    <t>1996?</t>
  </si>
  <si>
    <t>ngmag-ntris3d</t>
  </si>
  <si>
    <t>Blastar</t>
  </si>
  <si>
    <t>Looptris</t>
  </si>
  <si>
    <t>Unlicenced</t>
  </si>
  <si>
    <t>Neo Thunder</t>
  </si>
  <si>
    <t>Hypernoid</t>
  </si>
  <si>
    <t>SantaBall</t>
  </si>
  <si>
    <t>Doom in the Deep</t>
  </si>
  <si>
    <t>Unnamed platformer</t>
  </si>
  <si>
    <t>NeoHomeBrew</t>
  </si>
  <si>
    <t>ngmag-neothndr</t>
  </si>
  <si>
    <t>Sebastian Mihai</t>
  </si>
  <si>
    <t>ngmag-hypernoid</t>
  </si>
  <si>
    <t>ngmag-santaball</t>
  </si>
  <si>
    <t>ngmag-doominthedeep</t>
  </si>
  <si>
    <t>ngmag-unnamedplatformer</t>
  </si>
  <si>
    <t>1991?</t>
  </si>
  <si>
    <t>ngmag-sunshine</t>
  </si>
  <si>
    <t>http://www.neogeoprotos.com/games/sunshine.htm</t>
  </si>
  <si>
    <t>ngmag-blockp</t>
  </si>
  <si>
    <t>ngmag-ffbrothers</t>
  </si>
  <si>
    <t>1989?</t>
  </si>
  <si>
    <t>1992?</t>
  </si>
  <si>
    <t>1998?</t>
  </si>
  <si>
    <t>ngmag-gangwars</t>
  </si>
  <si>
    <t>ngmag-ikariiiitherescue</t>
  </si>
  <si>
    <t>ngmag-superchampionbaseball</t>
  </si>
  <si>
    <t>ngmag-streetsmart</t>
  </si>
  <si>
    <t>ngmag-dunkstarbasketball</t>
  </si>
  <si>
    <t>ngmag-mysticwandngm</t>
  </si>
  <si>
    <t>ngmag-lastodyssey</t>
  </si>
  <si>
    <t>Astec-21</t>
  </si>
  <si>
    <t>1997?</t>
  </si>
  <si>
    <t>Saurus / Takumi</t>
  </si>
  <si>
    <t>NGM-258</t>
  </si>
  <si>
    <t>2000?</t>
  </si>
  <si>
    <t>SNK?</t>
  </si>
  <si>
    <t>1996/2009</t>
  </si>
  <si>
    <t>ngmag-warlocksoffates</t>
  </si>
  <si>
    <t>ngmag-magicmaster</t>
  </si>
  <si>
    <t>ngmag-karateninjasho</t>
  </si>
  <si>
    <t>ngmag-heberekepairpairwars</t>
  </si>
  <si>
    <t>Xeno_Crisis</t>
  </si>
  <si>
    <t>Inviyya</t>
  </si>
  <si>
    <t>Tigerskunk</t>
  </si>
  <si>
    <t>ngmag-ngm258</t>
  </si>
  <si>
    <t>ngmag-Tinviyya</t>
  </si>
  <si>
    <t>Game Type</t>
  </si>
  <si>
    <t>Licenced</t>
  </si>
  <si>
    <t>Game Generation</t>
  </si>
  <si>
    <t>NeoGeo Era</t>
  </si>
  <si>
    <t>Post NeoGeo</t>
  </si>
  <si>
    <t>Neo 2048</t>
  </si>
  <si>
    <t>ngmag-neo2048</t>
  </si>
  <si>
    <t>nicole_express</t>
  </si>
  <si>
    <t>Row Labels</t>
  </si>
  <si>
    <t>Grand Total</t>
  </si>
  <si>
    <t>Count of game_id</t>
  </si>
  <si>
    <t>NGEM2K</t>
  </si>
  <si>
    <t>ngmag-ngem2k</t>
  </si>
  <si>
    <t>https://schworak.com/games/?platform=24&amp;game=38014</t>
  </si>
  <si>
    <t>Poker Night</t>
  </si>
  <si>
    <t>https://schworak.com/games/?platform=24&amp;game=38017</t>
  </si>
  <si>
    <t>ngmag-pokernight</t>
  </si>
  <si>
    <t>NeoGeo 2-Player-Tetris</t>
  </si>
  <si>
    <t>ngmag-ng2ptetris</t>
  </si>
  <si>
    <t>Crim</t>
  </si>
  <si>
    <t>https://github.com/Crim/NeoGeo-2-Player-Tetris</t>
  </si>
  <si>
    <t>Jeff Kurtz</t>
  </si>
  <si>
    <t>https://wiki.neogeodev.org/index.php?title=Columns</t>
  </si>
  <si>
    <t>Codename - Blut Engel</t>
  </si>
  <si>
    <t>ngmag-codenameblutengel</t>
  </si>
  <si>
    <t>200x</t>
  </si>
  <si>
    <t>http://raregame.ru/file/15/Codename_-_Blutengel.zip</t>
  </si>
  <si>
    <t>Frog Feast</t>
  </si>
  <si>
    <t>ngmag-frogfeast</t>
  </si>
  <si>
    <t>Rastersoft</t>
  </si>
  <si>
    <t>https://frogfeast.rastersoft.net</t>
  </si>
  <si>
    <t>Jonas Indiana and the Lost Temple of Ra</t>
  </si>
  <si>
    <t>http://raregame.ru/file/15/Indiana_Jones.zip</t>
  </si>
  <si>
    <t>ngmag-jonasindiana</t>
  </si>
  <si>
    <t>name_fr</t>
  </si>
  <si>
    <t>name_de</t>
  </si>
  <si>
    <t>name_it</t>
  </si>
  <si>
    <t>name_es</t>
  </si>
  <si>
    <t>name_pt</t>
  </si>
  <si>
    <t>description_de</t>
  </si>
  <si>
    <t>description_it</t>
  </si>
  <si>
    <t>description_es</t>
  </si>
  <si>
    <t>description_jp</t>
  </si>
  <si>
    <t>description_pt</t>
  </si>
  <si>
    <t>Riding Hero (set 1)</t>
  </si>
  <si>
    <t>Mahjong Bakatonosama Manyuki</t>
  </si>
  <si>
    <t>Flip Shot</t>
  </si>
  <si>
    <t>Magical Drop 2</t>
  </si>
  <si>
    <t>Mahjong Kyo Retsuden</t>
  </si>
  <si>
    <t>Matrimelee / Shin Gouketsuji Ichizoku Toukon</t>
  </si>
  <si>
    <t>Pochi and Nyaa</t>
  </si>
  <si>
    <t>Metal Slug</t>
  </si>
  <si>
    <t>Column2</t>
  </si>
  <si>
    <t>Neo no Panepon</t>
  </si>
  <si>
    <t>ngmag-neonopanepon</t>
  </si>
  <si>
    <t>https://wiki.neogeodev.org/index.php?title=Neo_no_Panepon</t>
  </si>
  <si>
    <t>https://www.neo-geo.com/forums/index.php?threads/neogeo-homebrew-times-up.227388/</t>
  </si>
  <si>
    <t>NGF Dev. Inc / CeL</t>
  </si>
  <si>
    <t>Neo Pong</t>
  </si>
  <si>
    <t xml:space="preserve"> 	NeoDev Corporation</t>
  </si>
  <si>
    <t>ngmag-neopong</t>
  </si>
  <si>
    <t>https://www.winkawaks.org/roms/neogeo/neopong.htm</t>
  </si>
  <si>
    <t>http://sebastianmihai.com/neogeo-neo-thunder.html</t>
  </si>
  <si>
    <t>https://nicole.express/2021/high-speed-coding-neo-geo.html</t>
  </si>
  <si>
    <t>Neo Puzzle League</t>
  </si>
  <si>
    <t>ngmag-neopuzzleleague</t>
  </si>
  <si>
    <t>https://github.com/Robbbert/hbmame/blob/master/src/hbmame/drivers/neogeohb.cpp</t>
  </si>
  <si>
    <t>hbmame ID</t>
  </si>
  <si>
    <t>rom wanted</t>
  </si>
  <si>
    <t>054</t>
  </si>
  <si>
    <t>085</t>
  </si>
  <si>
    <t>yes</t>
  </si>
  <si>
    <t>091</t>
  </si>
  <si>
    <t>098</t>
  </si>
  <si>
    <t>205</t>
  </si>
  <si>
    <t>211</t>
  </si>
  <si>
    <t>229</t>
  </si>
  <si>
    <t>001</t>
  </si>
  <si>
    <t>004</t>
  </si>
  <si>
    <t>007</t>
  </si>
  <si>
    <t>021</t>
  </si>
  <si>
    <t>022</t>
  </si>
  <si>
    <t>023</t>
  </si>
  <si>
    <t>033</t>
  </si>
  <si>
    <t>038</t>
  </si>
  <si>
    <t>043</t>
  </si>
  <si>
    <t>045</t>
  </si>
  <si>
    <t>047</t>
  </si>
  <si>
    <t>048</t>
  </si>
  <si>
    <t>058</t>
  </si>
  <si>
    <t>062</t>
  </si>
  <si>
    <t>063</t>
  </si>
  <si>
    <t>065</t>
  </si>
  <si>
    <t>066</t>
  </si>
  <si>
    <t>069</t>
  </si>
  <si>
    <t>076</t>
  </si>
  <si>
    <t>079</t>
  </si>
  <si>
    <t>087</t>
  </si>
  <si>
    <t>092</t>
  </si>
  <si>
    <t>200</t>
  </si>
  <si>
    <t>215</t>
  </si>
  <si>
    <t>216</t>
  </si>
  <si>
    <t>219</t>
  </si>
  <si>
    <t>220</t>
  </si>
  <si>
    <t>222</t>
  </si>
  <si>
    <t>008</t>
  </si>
  <si>
    <t>026</t>
  </si>
  <si>
    <t>028</t>
  </si>
  <si>
    <t>035</t>
  </si>
  <si>
    <t>072</t>
  </si>
  <si>
    <t>077</t>
  </si>
  <si>
    <t>204</t>
  </si>
  <si>
    <t>210</t>
  </si>
  <si>
    <t>226</t>
  </si>
  <si>
    <t>258</t>
  </si>
  <si>
    <t>300</t>
  </si>
  <si>
    <t>301</t>
  </si>
  <si>
    <t>302</t>
  </si>
  <si>
    <t>303</t>
  </si>
  <si>
    <t>304</t>
  </si>
  <si>
    <t>305</t>
  </si>
  <si>
    <t>306</t>
  </si>
  <si>
    <t>307</t>
  </si>
  <si>
    <t>312</t>
  </si>
  <si>
    <t>313</t>
  </si>
  <si>
    <t>314</t>
  </si>
  <si>
    <t>315</t>
  </si>
  <si>
    <t>316</t>
  </si>
  <si>
    <t>317</t>
  </si>
  <si>
    <t>319</t>
  </si>
  <si>
    <t>323</t>
  </si>
  <si>
    <t>324</t>
  </si>
  <si>
    <t>325</t>
  </si>
  <si>
    <t>326</t>
  </si>
  <si>
    <t>327</t>
  </si>
  <si>
    <t>329</t>
  </si>
  <si>
    <t>330</t>
  </si>
  <si>
    <t>331</t>
  </si>
  <si>
    <t>332</t>
  </si>
  <si>
    <t>333</t>
  </si>
  <si>
    <t>335</t>
  </si>
  <si>
    <t>336</t>
  </si>
  <si>
    <t>337</t>
  </si>
  <si>
    <t>338</t>
  </si>
  <si>
    <t>339</t>
  </si>
  <si>
    <t>350</t>
  </si>
  <si>
    <t>351</t>
  </si>
  <si>
    <t>360</t>
  </si>
  <si>
    <t>361</t>
  </si>
  <si>
    <t>362</t>
  </si>
  <si>
    <t>363</t>
  </si>
  <si>
    <t>364</t>
  </si>
  <si>
    <t>365</t>
  </si>
  <si>
    <t>366</t>
  </si>
  <si>
    <t>367</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</si>
  <si>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</si>
  <si>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</si>
  <si>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</si>
  <si>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</si>
  <si>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</si>
  <si>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</si>
  <si>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</si>
  <si>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</si>
  <si>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</si>
  <si>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</si>
  <si>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</si>
  <si>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</si>
  <si>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</si>
  <si>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</si>
  <si>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</si>
  <si>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</si>
  <si>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</si>
  <si>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</si>
  <si>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</si>
  <si>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</si>
  <si>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</si>
  <si>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</si>
  <si>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</si>
  <si>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424</t>
  </si>
  <si>
    <t>425</t>
  </si>
  <si>
    <t>426</t>
  </si>
  <si>
    <t>427</t>
  </si>
  <si>
    <t>428</t>
  </si>
  <si>
    <t>429</t>
  </si>
  <si>
    <t>430</t>
  </si>
  <si>
    <t>431</t>
  </si>
  <si>
    <t>432</t>
  </si>
  <si>
    <t>433</t>
  </si>
  <si>
    <t>434</t>
  </si>
  <si>
    <t>435</t>
  </si>
  <si>
    <t>436</t>
  </si>
  <si>
    <t>437</t>
  </si>
  <si>
    <t>439</t>
  </si>
  <si>
    <t>440</t>
  </si>
  <si>
    <t>441</t>
  </si>
  <si>
    <t>442</t>
  </si>
  <si>
    <t>443</t>
  </si>
  <si>
    <t>444</t>
  </si>
  <si>
    <t>445</t>
  </si>
  <si>
    <t>446</t>
  </si>
  <si>
    <t>447</t>
  </si>
  <si>
    <t>449</t>
  </si>
  <si>
    <t>450</t>
  </si>
  <si>
    <t>451</t>
  </si>
  <si>
    <t>452</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</si>
  <si>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</si>
  <si>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</si>
  <si>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</si>
  <si>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</si>
  <si>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</si>
  <si>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</si>
  <si>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</si>
  <si>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</si>
  <si>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</si>
  <si>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</si>
  <si>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</si>
  <si>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</si>
  <si>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</si>
  <si>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</si>
  <si>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</si>
  <si>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</si>
  <si>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</si>
  <si>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</si>
  <si>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</si>
  <si>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</si>
  <si>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</si>
  <si>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</si>
  <si>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</si>
  <si>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</si>
  <si>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</si>
  <si>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</si>
  <si>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</si>
  <si>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</si>
  <si>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</si>
  <si>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</si>
  <si>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</si>
  <si>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</si>
  <si>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487</t>
  </si>
  <si>
    <t>488</t>
  </si>
  <si>
    <t>489</t>
  </si>
  <si>
    <t>490</t>
  </si>
  <si>
    <t>491</t>
  </si>
  <si>
    <t>492</t>
  </si>
  <si>
    <t>493</t>
  </si>
  <si>
    <t>494</t>
  </si>
  <si>
    <t>495</t>
  </si>
  <si>
    <t>496</t>
  </si>
  <si>
    <t>497</t>
  </si>
  <si>
    <t>498</t>
  </si>
  <si>
    <t>499</t>
  </si>
  <si>
    <t>800</t>
  </si>
  <si>
    <t>801</t>
  </si>
  <si>
    <t>802</t>
  </si>
  <si>
    <t>803</t>
  </si>
  <si>
    <t>804</t>
  </si>
  <si>
    <t>805</t>
  </si>
  <si>
    <t>806</t>
  </si>
  <si>
    <t>807</t>
  </si>
  <si>
    <t>808</t>
  </si>
  <si>
    <t>809</t>
  </si>
  <si>
    <t>810</t>
  </si>
  <si>
    <t>Released</t>
  </si>
  <si>
    <t>Title</t>
  </si>
  <si>
    <t>More info</t>
  </si>
  <si>
    <t>n/r</t>
  </si>
  <si>
    <t>Developer</t>
  </si>
  <si>
    <t>0008</t>
  </si>
  <si>
    <t>03E7</t>
  </si>
  <si>
    <t>FEDC</t>
  </si>
  <si>
    <t>5003</t>
  </si>
  <si>
    <t>5232</t>
  </si>
  <si>
    <t>0066</t>
  </si>
  <si>
    <t>FFFF</t>
  </si>
  <si>
    <t>2500</t>
  </si>
  <si>
    <t>2006</t>
  </si>
  <si>
    <t>2018</t>
  </si>
  <si>
    <t>09CC</t>
  </si>
  <si>
    <t>0202</t>
  </si>
  <si>
    <t>0273</t>
  </si>
  <si>
    <t>2011</t>
  </si>
  <si>
    <t>0052</t>
  </si>
  <si>
    <t>2008</t>
  </si>
  <si>
    <t>1234</t>
  </si>
  <si>
    <t>2012</t>
  </si>
  <si>
    <t>0276</t>
  </si>
  <si>
    <t>0275</t>
  </si>
  <si>
    <t>2009</t>
  </si>
  <si>
    <t>0269</t>
  </si>
  <si>
    <t>0245</t>
  </si>
  <si>
    <t>2016</t>
  </si>
  <si>
    <t>09C8</t>
  </si>
  <si>
    <t>2021</t>
  </si>
  <si>
    <t>2019</t>
  </si>
  <si>
    <t>2013</t>
  </si>
  <si>
    <t>0400</t>
  </si>
  <si>
    <t>0017</t>
  </si>
  <si>
    <t>2017</t>
  </si>
  <si>
    <t>7777</t>
  </si>
  <si>
    <t>BADA</t>
  </si>
  <si>
    <t>2014</t>
  </si>
  <si>
    <t>0600</t>
  </si>
  <si>
    <t>2020</t>
  </si>
  <si>
    <t>0280</t>
  </si>
  <si>
    <t>0083</t>
  </si>
  <si>
    <t>9999</t>
  </si>
  <si>
    <t>2015</t>
  </si>
  <si>
    <t>3CFB</t>
  </si>
  <si>
    <t>09C5</t>
  </si>
  <si>
    <t>0FAB</t>
  </si>
  <si>
    <t>0539</t>
  </si>
  <si>
    <t>0993</t>
  </si>
  <si>
    <t>07E1</t>
  </si>
  <si>
    <t>0300</t>
  </si>
  <si>
    <t>BB01</t>
  </si>
  <si>
    <t>Video System Co</t>
  </si>
  <si>
    <t>Samurai Showdown R.P.G. (also known as 'Shinsetsu Samurai Spirits Bushidoretsuden')</t>
  </si>
  <si>
    <t>ADK World</t>
  </si>
  <si>
    <t>Final Romance 2</t>
  </si>
  <si>
    <t>NeoGeo CD Special</t>
  </si>
  <si>
    <t>Zintrick</t>
  </si>
  <si>
    <t>King of Fighters 96 CD Collection</t>
  </si>
  <si>
    <t>Mahjong Kyo Retsuden / Real Mah-Jong Game</t>
  </si>
  <si>
    <t>Alpha Mission II / ASD Last Guardian II (MGD2 dump has extra sounds &amp; roms)</t>
  </si>
  <si>
    <t>Puzzled / JoyJoyKid (The MVS misses the war &amp; sun god sequence, AES misses demo)</t>
  </si>
  <si>
    <t>Quiz Daisousa Den / The Last Count Down</t>
  </si>
  <si>
    <t>Fatal Fury / Garou Densetsu</t>
  </si>
  <si>
    <t>Thrash Rally / Rally Chase</t>
  </si>
  <si>
    <t>Fatal Fury 2 / Garoudensetsu 2</t>
  </si>
  <si>
    <t>Mahjong Janshin / Quest of Jongmaster</t>
  </si>
  <si>
    <t>Fatal Fury Special / Garoudensetsu</t>
  </si>
  <si>
    <t>Samurai Shodown 2 / Samurai Spirits 2 / Saulabi Spirits 2</t>
  </si>
  <si>
    <t>Fatal Fury 3 / Garoudensetsu 3; The Battle of Destiny; Road to the Final Victory</t>
  </si>
  <si>
    <t>Street Hoop / Dunk Dream</t>
  </si>
  <si>
    <t>Samurai Shodown III / Fighters Swords</t>
  </si>
  <si>
    <t>Kabuki Klash / Far East of Eden</t>
  </si>
  <si>
    <t>Super Sidekicks 4 / SNK Football Championship</t>
  </si>
  <si>
    <t>Kizuna Encounter; Super Tag Battle</t>
  </si>
  <si>
    <t>Pleasure Goal / Futsal</t>
  </si>
  <si>
    <t>Ironclad / Brikin'ger</t>
  </si>
  <si>
    <t>Samurai Shodown 4 / Legend of a Warrior</t>
  </si>
  <si>
    <t>(The MVS misses the demo sequence)</t>
  </si>
  <si>
    <t>Denshi Sun Shine / Block Paradise</t>
  </si>
  <si>
    <t>Denshi Fun Fun Brothers</t>
  </si>
  <si>
    <t>Dunk Star</t>
  </si>
  <si>
    <t>Denshi Mystic Wand</t>
  </si>
  <si>
    <t>The Karate Ninja Show</t>
  </si>
  <si>
    <t>Warlocks of the Fates</t>
  </si>
  <si>
    <t>Q.P. (Quality People)</t>
  </si>
  <si>
    <t>Last Odyssey Pinball Fantasia</t>
  </si>
  <si>
    <t>Hebereke's Pair Pair Wars</t>
  </si>
  <si>
    <t>Dance RhythMIX</t>
  </si>
  <si>
    <t>Baseball Stars 3</t>
  </si>
  <si>
    <t>Death Match</t>
  </si>
  <si>
    <t>Fire Suplex 2</t>
  </si>
  <si>
    <t>Heavy Glove Boxing</t>
  </si>
  <si>
    <t>Magician Lord 2</t>
  </si>
  <si>
    <t>Ninja Gaiden (This may be Ninja Gaiden II, 1994, Tecmo)</t>
  </si>
  <si>
    <t>Reactor</t>
  </si>
  <si>
    <t>World Heroes Link-up</t>
  </si>
  <si>
    <t>Crystal Legacy (this may be an early name for Breakers)</t>
  </si>
  <si>
    <t>Super Volley 94 (this may be an early name for Power Spikes 2)</t>
  </si>
  <si>
    <t>All Stars Volley</t>
  </si>
  <si>
    <t>Puzzlekko Club</t>
  </si>
  <si>
    <t>Treasure of the Caribbean (may also be known as 'Carib No Zaihou')</t>
  </si>
  <si>
    <t>Ultimate 4 / King of Athlete</t>
  </si>
  <si>
    <t>Maseki Taisen Stoon</t>
  </si>
  <si>
    <t>The Eye of Typhoon</t>
  </si>
  <si>
    <t>Action Pac</t>
  </si>
  <si>
    <t>Kizuna Encounter Special Edition (could be "Kizuna Encounter 4way Battle") (could be "Fu'un Super Tag Battle Link-up")</t>
  </si>
  <si>
    <t>Mahou Juku Magic Master</t>
  </si>
  <si>
    <t>Neo Pool Master</t>
  </si>
  <si>
    <t>Ookiku Fukuramasete Gapporn</t>
  </si>
  <si>
    <t>Garou 2 / Mark of the Wolves Special</t>
  </si>
  <si>
    <t>Poker Kingdom / Bingo Island</t>
  </si>
  <si>
    <t>World Heroes 3</t>
  </si>
  <si>
    <t>Dragon's Heaven</t>
  </si>
  <si>
    <t>Neo Sparks (cancelled)</t>
  </si>
  <si>
    <t>TommyK (cancelled)</t>
  </si>
  <si>
    <t>Neo Dev Cart</t>
  </si>
  <si>
    <t>MVS Test Cart</t>
  </si>
  <si>
    <t>Crouching Tiger Hidden Dragon (hack of kof2001)</t>
  </si>
  <si>
    <t>King of Gladiator (hack of kof97)</t>
  </si>
  <si>
    <t>Lansquenet 2004 (hack of Shock Troopers 2nd squad)</t>
  </si>
  <si>
    <t>King of Fighters 10th Anniversary (hack of kof2002) (original number 5004,5008)</t>
  </si>
  <si>
    <t>King of Fighters 2004 EX (hack of kof2003)</t>
  </si>
  <si>
    <t>King of Fighters Special Edition 2004 (hack of kof2002)</t>
  </si>
  <si>
    <t>King of Fighters 10th Anniversary 2008 (hack of kof10th) (original number 5009)</t>
  </si>
  <si>
    <t>King of Fighters 10th Anniversary 2005 (hack of kof10th) (original number 5006)</t>
  </si>
  <si>
    <t>0271</t>
  </si>
  <si>
    <t>Shadow of the Beast demo</t>
  </si>
  <si>
    <t>Neo-Pac (pacman game)</t>
  </si>
  <si>
    <t>Neobitz demo (Jeff M. Kurtz is Neobitz)</t>
  </si>
  <si>
    <t>Blastar System Check</t>
  </si>
  <si>
    <t>Neo 2500 demo</t>
  </si>
  <si>
    <t>Codename: Blut Engel</t>
  </si>
  <si>
    <t>Codename: Blut Engel 2018</t>
  </si>
  <si>
    <t>NGYM2610</t>
  </si>
  <si>
    <t>WW2 demo</t>
  </si>
  <si>
    <t>Frog Feast demo</t>
  </si>
  <si>
    <t>Nyan Cat demo</t>
  </si>
  <si>
    <t>Neogeo 2-player Tetris</t>
  </si>
  <si>
    <t>Neo Castlevania demo</t>
  </si>
  <si>
    <t>Neo 3D demo</t>
  </si>
  <si>
    <t>Time's Up!</t>
  </si>
  <si>
    <t>Time's Up! demo</t>
  </si>
  <si>
    <t>Transparency demo</t>
  </si>
  <si>
    <t>Chip n Dale intro</t>
  </si>
  <si>
    <t>Darkwing Duck intro</t>
  </si>
  <si>
    <t>Ghostbusters intro</t>
  </si>
  <si>
    <t>Robocop intro</t>
  </si>
  <si>
    <t>Spiderman intro</t>
  </si>
  <si>
    <t>Teenage Mutant Ninja Turtles intro</t>
  </si>
  <si>
    <t>Duck Tales Intro</t>
  </si>
  <si>
    <t>Christmas/Happy New Year 2017 demo</t>
  </si>
  <si>
    <t>Hello World</t>
  </si>
  <si>
    <t>Neorom Jukebox</t>
  </si>
  <si>
    <t>Crouching Pony Hidden Dragon demo</t>
  </si>
  <si>
    <t>Primo demo</t>
  </si>
  <si>
    <t>Neo Geo Galaga demo</t>
  </si>
  <si>
    <t>Neo Geo Sound Test</t>
  </si>
  <si>
    <t>Bad Apple demo</t>
  </si>
  <si>
    <t>Santaball</t>
  </si>
  <si>
    <t>Sea Fighter</t>
  </si>
  <si>
    <t>Doom in the Deep (in development or cancelled)</t>
  </si>
  <si>
    <t>Monitor Test Tool</t>
  </si>
  <si>
    <t>Cosmic Tower (in development or cancelled)</t>
  </si>
  <si>
    <t>Neo-sprite demo (CD only)</t>
  </si>
  <si>
    <t>VIP2 demo (CD only) [nebula]</t>
  </si>
  <si>
    <t>VUmeter (CD only) [nebula]</t>
  </si>
  <si>
    <t>NGPhoenix (CD only)</t>
  </si>
  <si>
    <t>Neo Puzzle League (CD only) [nebula]</t>
  </si>
  <si>
    <t>Neo Geo Manic Panic</t>
  </si>
  <si>
    <t>MVSTest01</t>
  </si>
  <si>
    <t>KnackiBalls</t>
  </si>
  <si>
    <t>Unleashed (in development or cancelled)</t>
  </si>
  <si>
    <t>Astrosmash (in development or cancelled)</t>
  </si>
  <si>
    <t>Puzzle Crazy</t>
  </si>
  <si>
    <t>Puzzle Bobble Crazy beta</t>
  </si>
  <si>
    <t>NGD::ARK (Arkanoid port)</t>
  </si>
  <si>
    <t>NGD::AIR (ngdevgroup.com [dead])</t>
  </si>
  <si>
    <t>NGD::FIGHT</t>
  </si>
  <si>
    <t>4-player input test</t>
  </si>
  <si>
    <t>Sprite Experimenter</t>
  </si>
  <si>
    <t>Submarine Shooter (in development or cancelled)</t>
  </si>
  <si>
    <t>Neo Pong (neoponga)</t>
  </si>
  <si>
    <t>ADPCM-B Playback Demo</t>
  </si>
  <si>
    <t>Donkey Kong (in development or cancelled)</t>
  </si>
  <si>
    <t>ADPCM-A Playback Demo</t>
  </si>
  <si>
    <t>Twister in a mirror intro</t>
  </si>
  <si>
    <t>Sound-Loop Demo</t>
  </si>
  <si>
    <t>Ennemi Sprite Demo</t>
  </si>
  <si>
    <t>Neo Fight</t>
  </si>
  <si>
    <t>DatImage demo</t>
  </si>
  <si>
    <t>Mega Shocked Demo</t>
  </si>
  <si>
    <t>Tech Demo #1 (Street Fighter 2)</t>
  </si>
  <si>
    <t>Tech Demo #2</t>
  </si>
  <si>
    <t>Operation I.G.L.A. demo</t>
  </si>
  <si>
    <t>Raroggame</t>
  </si>
  <si>
    <t>Team Lernit</t>
  </si>
  <si>
    <t>Everlasting Summer: Samantha</t>
  </si>
  <si>
    <t>Vlad2000</t>
  </si>
  <si>
    <t>Venus Wars demo</t>
  </si>
  <si>
    <t>Double Dragon SpritePool Demo</t>
  </si>
  <si>
    <t>Shaman King demo</t>
  </si>
  <si>
    <t>Neo Geo Space Invaders</t>
  </si>
  <si>
    <t>Project Neon Caravan Edition</t>
  </si>
  <si>
    <t>New! Super Mario Bros Demo</t>
  </si>
  <si>
    <t>Bonus Stage</t>
  </si>
  <si>
    <t>New! Super Mario Bros</t>
  </si>
  <si>
    <t>Neo Black Tiger</t>
  </si>
  <si>
    <t>Cabal (Neo-Geo port)</t>
  </si>
  <si>
    <t>Neo Driftout Tech Demo</t>
  </si>
  <si>
    <t>Last Hope (lhbb = 0301)</t>
  </si>
  <si>
    <t>Last Hope Pink Bullets</t>
  </si>
  <si>
    <t>NEO XYX</t>
  </si>
  <si>
    <t xml:space="preserve">Kyle Hodgetts </t>
  </si>
  <si>
    <t xml:space="preserve">Neobitz </t>
  </si>
  <si>
    <t xml:space="preserve">Blastar </t>
  </si>
  <si>
    <t xml:space="preserve">Rastersoft </t>
  </si>
  <si>
    <t xml:space="preserve">Furrtek </t>
  </si>
  <si>
    <t xml:space="preserve">Crim </t>
  </si>
  <si>
    <t xml:space="preserve">Sebastian Mihai </t>
  </si>
  <si>
    <t xml:space="preserve">BarfHappy </t>
  </si>
  <si>
    <t xml:space="preserve">Oxygene </t>
  </si>
  <si>
    <t xml:space="preserve">NeoGeoFreak </t>
  </si>
  <si>
    <t xml:space="preserve">Raregame </t>
  </si>
  <si>
    <t xml:space="preserve">CeL </t>
  </si>
  <si>
    <t xml:space="preserve">Le Cortex </t>
  </si>
  <si>
    <t xml:space="preserve">Cristiano Bei </t>
  </si>
  <si>
    <t xml:space="preserve">M.Priewe </t>
  </si>
  <si>
    <t xml:space="preserve">kl3mousse </t>
  </si>
  <si>
    <t xml:space="preserve">RKGAMES </t>
  </si>
  <si>
    <t xml:space="preserve">Martinez Fabrice </t>
  </si>
  <si>
    <t xml:space="preserve">Jeff Ferrier </t>
  </si>
  <si>
    <t xml:space="preserve">Elrayzeur </t>
  </si>
  <si>
    <t xml:space="preserve">NGD </t>
  </si>
  <si>
    <t xml:space="preserve">Neodev </t>
  </si>
  <si>
    <t xml:space="preserve">freem </t>
  </si>
  <si>
    <t xml:space="preserve">Kannagi </t>
  </si>
  <si>
    <t xml:space="preserve">Mega Shocked </t>
  </si>
  <si>
    <t xml:space="preserve">Luis Miguel Mayor </t>
  </si>
  <si>
    <t xml:space="preserve">Vasily Familiya </t>
  </si>
  <si>
    <t xml:space="preserve">ine62/SAOH </t>
  </si>
  <si>
    <t xml:space="preserve">Totologic </t>
  </si>
  <si>
    <t xml:space="preserve">Fullset </t>
  </si>
  <si>
    <t xml:space="preserve">OzzyOuzo </t>
  </si>
  <si>
    <t xml:space="preserve">iq132 </t>
  </si>
  <si>
    <t xml:space="preserve">Kako Eimon </t>
  </si>
  <si>
    <t xml:space="preserve">NG:DEV.Team </t>
  </si>
  <si>
    <t xml:space="preserve">Bitmap Bureau </t>
  </si>
  <si>
    <t xml:space="preserve">Jeff Kurtz </t>
  </si>
  <si>
    <t>Neogeo Demo</t>
  </si>
  <si>
    <t>Charles Doty</t>
  </si>
  <si>
    <t>Riko</t>
  </si>
  <si>
    <t xml:space="preserve">tcdev </t>
  </si>
  <si>
    <t>unreleased commercial sets</t>
  </si>
  <si>
    <t>homebrews</t>
  </si>
  <si>
    <t>CD-only titles that may possibly exist as roms</t>
  </si>
  <si>
    <t>Normal games that have alternate titles (or other)</t>
  </si>
  <si>
    <t>Official? Titles</t>
  </si>
  <si>
    <t>game ID in rom</t>
  </si>
  <si>
    <t>GAME( 1996, crswd2bl, neogeo, neogeo_noslot, neogeo, neogeo_state, init_neogeo, ROT0, "Razoola", "Crossed Swords 2 (CD conversion)", MACHINE_SUPPORTS_SAVE )</t>
  </si>
  <si>
    <t>GAME( 1995, csw2, crswd2bl, neogeo_noslot, neogeo, neogeo_state, init_neogeo, ROT0, "hack", "Crossed Swords 2", MACHINE_NOT_WORKING | MACHINE_SUPPORTS_SAVE )</t>
  </si>
  <si>
    <t>GAME( 1995, fr2, neogeo, neogeo_noslot, neogeo, neogeo_state, init_neogeo, ROT0, "Video Systems Co.", "Idol Mahjong Final Romance 2", MACHINE_SUPPORTS_SAVE )</t>
  </si>
  <si>
    <t>GAME( 1995, fr2cd, fr2, neogeo_noslot, neogeo, neogeo_state, init_fr2ch, ROT0, "Video Systems Co.", "Idol Mahjong Final Romance 2 (CD Bootleg)", MACHINE_SUPPORTS_SAVE )</t>
  </si>
  <si>
    <t>GAME( 1995, fr2ch, fr2, neogeo_noslot, neogeo, neogeo_state, init_fr2ch, ROT0, "Video Systems Co.", "Idol Mahjong Final Romance 2 (CD to MVS conversion)", MACHINE_SUPPORTS_SAVE )</t>
  </si>
  <si>
    <t>GAME( 2009, zintrckbh, zintrckb, neogeo_noslot, neogeo, neogeo_state, init_neogeo, ROT0, "Yumeji", "ZinTricK (Enable hidden characters)", MACHINE_SUPPORTS_SAVE )</t>
  </si>
  <si>
    <t>GAME( 1996, zintrkcd, zintrckb, neogeo_noslot, neogeo, neogeo_state, init_neogeo, ROT0, "Razoola", "ZinTricK (CD conversion)", MACHINE_SUPPORTS_SAVE )</t>
  </si>
  <si>
    <t>GAME( 2010, zintrkm, zintrckb, neogeo_noslot, neogeo, neogeo_state, init_neogeo, ROT0, "Elrayseur", "ZinTricK (Music test)", MACHINE_SUPPORTS_SAVE )</t>
  </si>
  <si>
    <t>GAME( 2014, zintrkcd1, zintrckb, neogeo_noslot, neogeo, neogeo_state, init_neogeo, ROT0, "Razoola", "ZinTricK (CD test)", MACHINE_SUPPORTS_SAVE )</t>
  </si>
  <si>
    <t>GAME( 2009, zintricks01, zintrckb, neogeo_noslot, neogeo, neogeo_state, init_neogeo, ROT0, "hack", "ZinTricK (Unknown Hack)", MACHINE_SUPPORTS_SAVE )</t>
  </si>
  <si>
    <t>GAME( 2011, totc, neogeo, neogeo_noslot, neogeo, neogeo_state, init_neogeo, ROT0, "FACE Corporation / N.C.I - Le Cortex", "Treasure of the Caribbean", MACHINE_SUPPORTS_SAVE )</t>
  </si>
  <si>
    <t>GAME( 2021, abyssal, neogeo, neogeo_noslot, neogeo, neogeo_state, init_neogeo, ROT0, "Kako Eimon", "Abyssal Infants", MACHINE_SUPPORTS_SAVE )</t>
  </si>
  <si>
    <t>GAME( 2021, abyssal1, abyssal, neogeo_noslot, neogeo, neogeo_state, init_neogeo, ROT0, "Kako Eimon", "Abyssal Infants (newer version)", MACHINE_SUPPORTS_SAVE )</t>
  </si>
  <si>
    <t>GAME( 2016, akiradmo, neogeo, neogeo_noslot, neogeo, neogeo_state, init_neogeo, ROT0, "HP Man", "Akira Demo", MACHINE_SUPPORTS_SAVE )</t>
  </si>
  <si>
    <t>GAME( 2017, badapple, neogeo, neogeo_noslot, neogeo, neogeo_state, init_neogeo, ROT0, "BEY", "Bad Apple demo (v1)", MACHINE_SUPPORTS_SAVE )</t>
  </si>
  <si>
    <t>GAME( 2017, badapplea, badapple, neogeo_noslot, neogeo, neogeo_state, init_neogeo, ROT0, "BEY", "Bad Apple demo (v2)", MACHINE_SUPPORTS_SAVE )</t>
  </si>
  <si>
    <t>GAME( 2017, badappleb, badapple, neogeo_noslot, neogeo, neogeo_state, init_neogeo, ROT0, "HP Man", "Bad Apple demo (Giga Power Edition)", MACHINE_SUPPORTS_SAVE )</t>
  </si>
  <si>
    <t>GAME( 2002, beast, neogeo, neogeo_noslot, neogeo, neogeo_state, init_neogeo, ROT0, "Jeff Kurtz", "Shadow of the Beast (Neo Geo Demo)", MACHINE_IMPERFECT_GRAPHICS | MACHINE_SUPPORTS_SAVE )</t>
  </si>
  <si>
    <t>GAME( 2021, cabalng, neogeo, neogeo_noslot, neogeo, neogeo_state, init_neogeo, ROT0, "iq132", "Cabal (Neo-Geo port)", MACHINE_SUPPORTS_SAVE )</t>
  </si>
  <si>
    <t>GAME( 2021, cabalng1, cabalng, neogeo_noslot, neogeo, neogeo_state, init_neogeo, ROT0, "iq132", "Cabal (Neo-Geo port, sprite fix)", MACHINE_SUPPORTS_SAVE )</t>
  </si>
  <si>
    <t>GAME( 2019, caravan, neogeo, neogeo_noslot, neogeo, neogeo_state, init_neogeo, ROT0, "Fullset", "Project Neon Caravan Edition (Prealpha 0.4.19)", MACHINE_SUPPORTS_SAVE )</t>
  </si>
  <si>
    <t>GAME( 2006, cnbe, neogeo, neogeo_noslot, neogeo, neogeo_state, init_neogeo, ROT0, "Blastar", "Codename: Blut Engel (2006-01-19)(Homebrew)", MACHINE_SUPPORTS_SAVE )</t>
  </si>
  <si>
    <t>GAME( 2018, cnbe2018, cnbe, neogeo_noslot, neogeo, neogeo_state, init_neogeo, ROT0, "Blastar", "Codename: Blut Engel (2018-09-05)(Homebrew)", MACHINE_SUPPORTS_SAVE )</t>
  </si>
  <si>
    <t>GAME( 2009, cndi, neogeo, neogeo_noslot, neogeo, neogeo_state, init_neogeo, ROT0, "[Raregame]", "Chip n Dale (Intro demo v1)", MACHINE_IMPERFECT_SOUND | MACHINE_SUPPORTS_SAVE )</t>
  </si>
  <si>
    <t>GAME( 2009, cndia, cndi, neogeo_noslot, neogeo, neogeo_state, init_neogeo, ROT0, "[Raregame]", "Chip n Dale (Intro demo v2)", MACHINE_SUPPORTS_SAVE )</t>
  </si>
  <si>
    <t>GAME( 2013, cphd, neogeo, neogeo_noslot, neogeo, neogeo_state, init_neogeo, ROT0, "Le Cortex", "Crouching Pony Hidden Dragon Demo", MACHINE_SUPPORTS_SAVE )</t>
  </si>
  <si>
    <t>GAME( 1990, columnsn, neogeo, neogeo_noslot, neogeo, neogeo_state, init_neogeo, ROT0, "Jeff Kurtz", "Columns (NeoGeo)(Homebrew)", MACHINE_SUPPORTS_SAVE )</t>
  </si>
  <si>
    <t>GAME( 1990, columnsncd, columnsn, neogeo_noslot, neogeo, neogeo_state, init_neogeo, ROT0, "Jeff Kurtz", "Columns (CD conversion)", MACHINE_SUPPORTS_SAVE )</t>
  </si>
  <si>
    <t>GAME( 2018, ddsprdmo, neogeo, neogeo_noslot, neogeo, neogeo_state, init_neogeo, ROT0, "Vasily Familiya", "Double Dragon SpritePool demo", MACHINE_IS_INCOMPLETE | MACHINE_SUPPORTS_SAVE )</t>
  </si>
  <si>
    <t>GAME( 2018, ddsprdmo1, ddsprdmo, neogeo_noslot, neogeo, neogeo_state, init_neogeo, ROT0, "Vasily Familiya", "Double Dragon SpritePool demo (newer)", MACHINE_IS_INCOMPLETE | MACHINE_SUPPORTS_SAVE )</t>
  </si>
  <si>
    <t>GAME( 2016, didemo, neogeo, neogeo_noslot, neogeo, neogeo_state, init_neogeo, ROT0, "Mega Shocked", "DatImage demo", MACHINE_SUPPORTS_SAVE )</t>
  </si>
  <si>
    <t>GAME( 2009, dti, neogeo, neogeo_noslot, neogeo, neogeo_state, init_neogeo, ROT0, "[Raregame]", "Duck Tales (Intro demo v1)", MACHINE_IMPERFECT_SOUND | MACHINE_SUPPORTS_SAVE )</t>
  </si>
  <si>
    <t>GAME( 2009, dtia, dti, neogeo_noslot, neogeo, neogeo_state, init_neogeo, ROT0, "[Raregame]", "Duck Tales (Intro demo v2)", MACHINE_SUPPORTS_SAVE )</t>
  </si>
  <si>
    <t>GAME( 2009, dwi, neogeo, neogeo_noslot, neogeo, neogeo_state, init_neogeo, ROT0, "[Raregame]", "DarkWing Duck (Intro demo v1)", MACHINE_SUPPORTS_SAVE )</t>
  </si>
  <si>
    <t>GAME( 2009, dwia, dwi, neogeo_noslot, neogeo, neogeo_state, init_neogeo, ROT0, "[Raregame]", "DarkWing Duck (Intro demo v2)", MACHINE_SUPPORTS_SAVE )</t>
  </si>
  <si>
    <t>GAME( 2006, ffeast, neogeo, neogeo_noslot, neogeo, neogeo_state, init_neogeo, ROT0, "Rastersoft", "Frog Feast (NeoGeo)", MACHINE_SUPPORTS_SAVE )</t>
  </si>
  <si>
    <t>GAME( 2005, ffeastd, ffeast, neogeo_noslot, neogeo, neogeo_state, init_neogeo, ROT0, "Rastersoft", "Frog Feast Demo", MACHINE_SUPPORTS_SAVE )</t>
  </si>
  <si>
    <t>GAME( 2009, gbi, neogeo, neogeo_noslot, neogeo, neogeo_state, init_neogeo, ROT0, "[Raregame]", "GhostBusters (Intro demo)", MACHINE_SUPPORTS_SAVE )</t>
  </si>
  <si>
    <t>GAME( 2021, hypernoid, neogeo, neogeo_noslot, neogeo, neogeo_state, init_neogeo, ROT0, "M.Priewe", "Hypernoid (2021-11-28)", MACHINE_SUPPORTS_SAVE )</t>
  </si>
  <si>
    <t>GAME( 2018, igla, neogeo, neogeo_noslot, neogeo, neogeo_state, init_neogeo, ROT0, "Vasily Familiya", "Operation I.G.L.A. demo", MACHINE_IS_INCOMPLETE | MACHINE_SUPPORTS_SAVE )</t>
  </si>
  <si>
    <t>GAME( 2013, iocero, neogeo, neogeo_noslot, neogeo, neogeo_state, init_neogeo, ROT0, "iocerom", "Primo Demo", MACHINE_SUPPORTS_SAVE )</t>
  </si>
  <si>
    <t>GAME( 2018, lernit, neogeo, neogeo_noslot, neogeo, neogeo_state, init_neogeo, ROT0, "Vasily Familiya", "Team Lernit", MACHINE_IS_INCOMPLETE | MACHINE_SUPPORTS_SAVE )</t>
  </si>
  <si>
    <t>GAME( 2020, lhbb, lasthope, neogeo_noslot, neogeo, neogeo_state, init_neogeo, ROT0, "Elrayzeur", "Last Hope (Blue Bullets)", MACHINE_SUPPORTS_SAVE )</t>
  </si>
  <si>
    <t>GAME( 2007, lhcdb, lasthope, neogeo_noslot, neogeo, neogeo_state, init_neogeo, ROT0, "NG:Dev.Team", "Last Hope CD Beta", MACHINE_IMPERFECT_GRAPHICS | MACHINE_SUPPORTS_SAVE )</t>
  </si>
  <si>
    <t>GAME( 2007, lhcdba, lasthope, neogeo_noslot, neogeo, neogeo_state, init_neogeo, ROT0, "NG:Dev.Team", "Last Hope (Neo CD conversion)", MACHINE_IMPERFECT_GRAPHICS | MACHINE_SUPPORTS_SAVE )</t>
  </si>
  <si>
    <t>GAME( 2007, lhopecd, lasthope, neogeo_noslot, neogeo, neogeo_state, init_neogeo, ROT0, "NG:DEV.TEAM", "Last Hope JAP NGCD (Beta 1)", MACHINE_NOT_WORKING | MACHINE_SUPPORTS_SAVE )</t>
  </si>
  <si>
    <t>GAME( 2007, lhopecdh, lasthope, neogeo_noslot, neogeo, neogeo_state, init_neogeo, ROT0, "NG:DEV.TEAM", "Last Hope JAP NGCD (Beta 2)", MACHINE_NOT_WORKING | MACHINE_SUPPORTS_SAVE )</t>
  </si>
  <si>
    <t>GAME( 2021, looptris, neogeo, neogeo_noslot, neogeo, neogeo_state, init_neogeo, ROT0, "Blastar", "Looptris (2021-12-26)", MACHINE_SUPPORTS_SAVE )</t>
  </si>
  <si>
    <t>GAME( 2005, ltorb, neogeo, neogeo_noslot, neogeo, neogeo_state, init_neogeo, ROT0, "Blastar", "Jonas Indiana and The Lost Temple of RA (beta - 20050717)", MACHINE_SUPPORTS_SAVE )</t>
  </si>
  <si>
    <t>GAME( 2009, knacki, neogeo, neogeo_noslot, neogeo, neogeo_state, init_neogeo, ROT0, "Furrtek", "KnackiBalls", MACHINE_SUPPORTS_SAVE )</t>
  </si>
  <si>
    <t>GAME( 2021, ndo_a_td, neogeo, neogeo_noslot, neogeo, neogeo_state, init_neogeo, ROT0, "Blastar", "Neo Driftout Tech Demo", MACHINE_SUPPORTS_SAVE )</t>
  </si>
  <si>
    <t>GAME( 2004, neo2500, neogeo, neogeo_noslot, neogeo, neogeo_state, init_neogeo, ROT0, "Blastar", "Neo 2500 Demo", MACHINE_SUPPORTS_SAVE )</t>
  </si>
  <si>
    <t>GAME( 2012, neo3d, neogeo, neogeo_noslot, neogeo, neogeo_state, init_neogeo, ROT0, "Oxygene", "Neo 3D Demo", MACHINE_SUPPORTS_SAVE )</t>
  </si>
  <si>
    <t>GAME( 2004, neocstlv, neogeo, neogeo_noslot, neogeo, neogeo_state, init_neogeo, ROT0, "BarfHappy", "Neo Castlevania Demo", MACHINE_IS_INCOMPLETE | MACHINE_SUPPORTS_SAVE )</t>
  </si>
  <si>
    <t>GAME( 2003, neodemo, neogeo, neogeo_noslot, neogeo, neogeo_state, init_neogeo, ROT0, "Charles Doty", "Demo - NeoGeo", MACHINE_SUPPORTS_SAVE )</t>
  </si>
  <si>
    <t>GAME( 2015, neofightb, neofight, neogeo_noslot, neogeo, neogeo_state, init_neogeo, ROT0, "Kannagi", "Neogeo Sprite Demo (Neo Fight beta)", MACHINE_IS_INCOMPLETE | MACHINE_SUPPORTS_SAVE )</t>
  </si>
  <si>
    <t>GAME( 2015, neofighto, neofight, neogeo_noslot, neogeo, neogeo_state, init_neogeo, ROT0, "Kannagi", "Neo Fight (old)", MACHINE_IS_INCOMPLETE | MACHINE_SUPPORTS_SAVE )</t>
  </si>
  <si>
    <t>GAME( 2015, neofight, neogeo, neogeo_noslot, neogeo, neogeo_state, init_neogeo, ROT0, "Kannagi", "Neo Fight", MACHINE_IS_INCOMPLETE | MACHINE_SUPPORTS_SAVE )</t>
  </si>
  <si>
    <t>GAME( 2013, neogal1, neogeo, neogeo_noslot, neogeo, neogeo_state, init_neogeo, ROT0, "Cristiano Bei", "Neo Geo Galaga Demo R001", MACHINE_SUPPORTS_SAVE )</t>
  </si>
  <si>
    <t>GAME( 2013, neogal1d, neogal1, neogeo_noslot, neogeo, neogeo_state, init_neogeo, ROT0, "Cristiano Bei", "Neo Geo Galaga Demo R001 (debug)", MACHINE_SUPPORTS_SAVE )</t>
  </si>
  <si>
    <t>GAME( 2013, neogal1t, neogal1, neogeo_noslot, neogeo, neogeo_state, init_neogeo, ROT0, "Cristiano Bei", "Neo Geo Galaga Demo R001 (text)", MACHINE_SUPPORTS_SAVE )</t>
  </si>
  <si>
    <t>GAME( 2013, neogal2, neogal1, neogeo_noslot, neogeo, neogeo_state, init_neogeo, ROT0, "Cristiano Bei", "Neo Geo Galaga Demo R002", MACHINE_SUPPORTS_SAVE )</t>
  </si>
  <si>
    <t>GAME( 2002, neonopon, neogeo, neogeo_noslot, neogeo, neogeo_state, init_neogeo, ROT0, "Blastar", "Neo No Panepon V.0.2", MACHINE_IMPERFECT_GRAPHICS | MACHINE_SUPPORTS_SAVE )</t>
  </si>
  <si>
    <t>GAME( 2002, neonopon_d1, neonopon, neogeo_noslot, neogeo, neogeo_state, init_neogeo, ROT0, "Blastar", "Neo No Panepon (demo 1)", MACHINE_IMPERFECT_GRAPHICS | MACHINE_SUPPORTS_SAVE )</t>
  </si>
  <si>
    <t>GAME( 2002, neonopon_d2, neonopon, neogeo_noslot, neogeo, neogeo_state, init_neogeo, ROT0, "Blastar", "Neo No Panepon (demo 2)", MACHINE_IMPERFECT_GRAPHICS | MACHINE_SUPPORTS_SAVE )</t>
  </si>
  <si>
    <t>GAME( 2002, neonopon_d3, neonopon, neogeo_noslot, neogeo, neogeo_state, init_neogeo, ROT0, "Blastar", "Neo No Panepon (demo 3)", MACHINE_IMPERFECT_GRAPHICS | MACHINE_SUPPORTS_SAVE )</t>
  </si>
  <si>
    <t>GAME( 2010, neopang, neogeo, neogeo_noslot, neogeo, neogeo_state, init_neogeo, ROT0, "CeL", "Neo Pang", MACHINE_SUPPORTS_SAVE )</t>
  </si>
  <si>
    <t>GAME( 2002, neopong, neogeo, neogeo_noslot, neogeo, neogeo_state, init_neogeo, ROT0, "Neodev", "Neo Pong (v1.1)", MACHINE_IMPERFECT_GRAPHICS | MACHINE_SUPPORTS_SAVE )</t>
  </si>
  <si>
    <t>GAME( 2002, neoponga, neopong, no_watchdog, neogeo, neogeo_state, init_neogeo, ROT0, "Neodev", "Neo Pong (v1.0)", MACHINE_SUPPORTS_SAVE )</t>
  </si>
  <si>
    <t>GAME( 2010, neoromjb, neogeo, neogeo_noslot, neogeo, neogeo_state, init_neogeo, ROT0, "CeL", "Neo Rom Jukebox", MACHINE_SUPPORTS_SAVE )</t>
  </si>
  <si>
    <t>GAME( 2013, neotest, neogal1, neogeo_noslot, neogeo, neogeo_state, init_neogeo, ROT0, "BEY", "Neo Geo Sound Test", MACHINE_SUPPORTS_SAVE )</t>
  </si>
  <si>
    <t>GAME( 2012, neothund, neogeo, neogeo_noslot, neogeo, neogeo_state, init_neogeo, ROT0, "Sebastian Mihai", "Neo Thunder", MACHINE_SUPPORTS_SAVE )</t>
  </si>
  <si>
    <t>GAME( 2019, neotrisd1, neogeo, neogeo_noslot, neogeo, neogeo_state, init_neogeo, ROT0, "Totologic", "Neotris Demo 1", MACHINE_SUPPORTS_SAVE )</t>
  </si>
  <si>
    <t>GAME( 2020, neotrisd2, neotrisd1,neogeo_noslot, neogeo, neogeo_state, init_neogeo, ROT0, "Totologic", "Neotris Demo 2", MACHINE_SUPPORTS_SAVE )</t>
  </si>
  <si>
    <t>GAME( 2020, neotrisd3, neotrisd1,neogeo_noslot, neogeo, neogeo_state, init_neogeo, ROT0, "Totologic", "Neotris Demo 3", MACHINE_SUPPORTS_SAVE )</t>
  </si>
  <si>
    <t>GAME( 2020, bonusstage, neogeo, neogeo_noslot, neogeo, neogeo_state, init_neogeo, ROT0, "Totologic", "Bonus Stage", MACHINE_SUPPORTS_SAVE )</t>
  </si>
  <si>
    <t>GAME( 2020, nblktiger, neogeo, neogeo_noslot, neogeo, neogeo_state, init_neogeo, ROT0, "OzzyOuzo", "Neo Black Tiger", MACHINE_IS_INCOMPLETE | MACHINE_SUPPORTS_SAVE )</t>
  </si>
  <si>
    <t>GAME( 2006, ngem2k, neogeo, neogeo_noslot, neogeo, neogeo_state, init_neogeo, ROT0, "Blastar", "NGEM2K (Beta 2006-01-18)", MACHINE_SUPPORTS_SAVE )</t>
  </si>
  <si>
    <t>GAME( 2012, ngftdemo, neogeo, neogeo_noslot, neogeo, neogeo_state, init_neogeo, ROT0, "CeL", "NGF Transparency Demo", MACHINE_SUPPORTS_SAVE )</t>
  </si>
  <si>
    <t>GAME( 2014, ngmontst, neogeo, neogeo_noslot, neogeo, neogeo_state, init_neogeo, ROT0, "M.Priewe", "NeoGeo Monitor Test", MACHINE_SUPPORTS_SAVE )</t>
  </si>
  <si>
    <t>GAME( 2016, ngtd2, neogeo, neogeo_noslot, neogeo, neogeo_state, init_neogeo, ROT0, "Luis Miguel Mayor", "NeoGeo Tech Demo 2", MACHINE_SUPPORTS_SAVE )</t>
  </si>
  <si>
    <t>GAME( 2008, ngtetris, neogeo, neogeo_noslot, neogeo, neogeo_state, init_neogeo, ROT0, "Crim/Stephen", "NeoGeo 2-Player Tetris", MACHINE_SUPPORTS_SAVE )</t>
  </si>
  <si>
    <t>GAME( 2018, ngym2610, neogeo, neogeo_noslot, neogeo, neogeo_state, init_neogeo, ROT0, "Blastar", "NeoGeo YM2610 Test", MACHINE_SUPPORTS_SAVE )</t>
  </si>
  <si>
    <t>GAME( 2020, nsmb, neogeo, neogeo_noslot, neogeo, neogeo_state, init_neogeo, ROT0, "OzzyOuzo", "New! Super Mario Bros.", MACHINE_SUPPORTS_SAVE )</t>
  </si>
  <si>
    <t>GAME( 2020, nsmbd, neogeo, neogeo_noslot, neogeo, neogeo_state, init_neogeo, ROT0, "OzzyOuzo", "New! Super Mario Bros Demo Screen", MACHINE_SUPPORTS_SAVE )</t>
  </si>
  <si>
    <t>GAME( 2011, nyan, neogeo, neogeo_noslot, neogeo, neogeo_state, init_neogeo, ROT0, "Furrtek", "Nyan Cat demo (v1)", MACHINE_IMPERFECT_SOUND | MACHINE_SUPPORTS_SAVE )</t>
  </si>
  <si>
    <t>GAME( 2011, nyana, nyan, neogeo_noslot, neogeo, neogeo_state, init_neogeo, ROT0, "Furrtek", "Nyan Cat demo (v2)", MACHINE_IMPERFECT_SOUND | MACHINE_SUPPORTS_SAVE )</t>
  </si>
  <si>
    <t>GAME( 2015, pcmademo, neogeo, neogeo_noslot, neogeo, neogeo_state, init_neogeo, ROT0, "Freem", "ADPCM-A Playback Demo", MACHINE_SUPPORTS_SAVE )</t>
  </si>
  <si>
    <t>GAME( 2015, pcmbdemo, neogeo, neogeo_noslot, neogeo, neogeo_state, init_neogeo, ROT0, "Freem", "ADPCM-B Playback Demo", MACHINE_SUPPORTS_SAVE )</t>
  </si>
  <si>
    <t>GAME( 2003, poknight, neogeo, neogeo_noslot, neogeo, neogeo_state, init_neogeo, ROT0, "Jeff Kurtz", "Poker Night", MACHINE_SUPPORTS_SAVE )</t>
  </si>
  <si>
    <t>GAME( 2003, poknightcd, poknight, neogeo_noslot, neogeo, neogeo_state, init_neogeo, ROT0, "Jeff Kurtz", "Poker Night (CD)", MACHINE_SUPPORTS_SAVE )</t>
  </si>
  <si>
    <t>GAME( 2003, poknightfr, poknight, neogeo_noslot, neogeo, neogeo_state, init_neogeo, ROT0, "Jeff Kurtz", "Poker Night (French)", MACHINE_SUPPORTS_SAVE )</t>
  </si>
  <si>
    <t>GAME( 2018, raroggame, neogeo, neogeo_noslot, neogeo, neogeo_state, init_neogeo, ROT0, "Vasily Familiya", "Ryurik: Poteryannaya demo", MACHINE_IS_INCOMPLETE | MACHINE_SUPPORTS_SAVE )</t>
  </si>
  <si>
    <t>GAME( 2009, rci, neogeo, neogeo_noslot, neogeo, neogeo_state, init_neogeo, ROT0, "[Raregame]", "Robocop (Intro demo)", MACHINE_SUPPORTS_SAVE )</t>
  </si>
  <si>
    <t>GAME( 2018, samantha, neogeo, neogeo_noslot, neogeo, neogeo_state, init_neogeo, ROT0, "Vasily Familiya", "Everlasting Summer: Samantha demo", MACHINE_IS_INCOMPLETE | MACHINE_SUPPORTS_SAVE )</t>
  </si>
  <si>
    <t>GAME( 2012, santabll, neogeo, neogeo_noslot, neogeo, neogeo_state, init_neogeo, ROT0, "M.Priewe", "Santaball", MACHINE_SUPPORTS_SAVE )</t>
  </si>
  <si>
    <t>GAME( 2018, seafight, neogeo, neogeo_noslot, neogeo, neogeo_state, init_neogeo, ROT0, "kl3mousse", "Sea Fighter 0.01.009", MACHINE_SUPPORTS_SAVE )</t>
  </si>
  <si>
    <t>GAME( 2018, shaman16, neogeo, neogeo_noslot, neogeo, neogeo_state, init_neogeo, ROT0, "Vasily Familiya", "Shaman King demo 0.16", MACHINE_IS_INCOMPLETE | MACHINE_SUPPORTS_SAVE )</t>
  </si>
  <si>
    <t>GAME( 2018, shaman17, shaman16, neogeo_noslot, neogeo, neogeo_state, init_neogeo, ROT0, "Vasily Familiya", "Shaman King demo 0.17", MACHINE_IS_INCOMPLETE | MACHINE_SUPPORTS_SAVE )</t>
  </si>
  <si>
    <t>GAME( 2018, shaman18, shaman16, neogeo_noslot, neogeo, neogeo_state, init_neogeo, ROT0, "Vasily Familiya", "Shaman King demo 0.18", MACHINE_IS_INCOMPLETE | MACHINE_SUPPORTS_SAVE )</t>
  </si>
  <si>
    <t>GAME( 2019, shaman19, shaman16, neogeo_noslot, neogeo, neogeo_state, init_neogeo, ROT0, "Vasily Familiya", "Shaman King demo 0.19", MACHINE_IS_INCOMPLETE | MACHINE_SUPPORTS_SAVE )</t>
  </si>
  <si>
    <t>GAME( 2019, shaman20, shaman16, neogeo_noslot, neogeo, neogeo_state, init_neogeo, ROT0, "Vasily Familiya", "Shaman King demo 0.20", MACHINE_IS_INCOMPLETE | MACHINE_SUPPORTS_SAVE )</t>
  </si>
  <si>
    <t>GAME( 2019, shaman21, shaman16, neogeo_noslot, neogeo, neogeo_state, init_neogeo, ROT0, "Vasily Familiya", "Shaman King demo 0.21", MACHINE_IS_INCOMPLETE | MACHINE_SUPPORTS_SAVE )</t>
  </si>
  <si>
    <t>GAME( 2019, shaman22, shaman16, neogeo_noslot, neogeo, neogeo_state, init_neogeo, ROT0, "Vasily Familiya", "Shaman King demo 0.22", MACHINE_IS_INCOMPLETE | MACHINE_SUPPORTS_SAVE )</t>
  </si>
  <si>
    <t>GAME( 2019, shaman23, shaman16, neogeo_noslot, neogeo, neogeo_state, init_neogeo, ROT0, "Vasily Familiya", "Shaman King demo 0.23", MACHINE_IS_INCOMPLETE | MACHINE_SUPPORTS_SAVE )</t>
  </si>
  <si>
    <t>GAME( 2019, shaman24, shaman16, neogeo_noslot, neogeo, neogeo_state, init_neogeo, ROT0, "Vasily Familiya", "Shaman King demo 0.24", MACHINE_IS_INCOMPLETE | MACHINE_SUPPORTS_SAVE )</t>
  </si>
  <si>
    <t>GAME( 2009, smi, neogeo, neogeo_noslot, neogeo, neogeo_state, init_neogeo, ROT0, "[Raregame]", "Spiderman (Intro demo)", MACHINE_IMPERFECT_SOUND | MACHINE_SUPPORTS_SAVE )</t>
  </si>
  <si>
    <t>GAME( 2015, snddemo, neogeo, neogeo_noslot, neogeo, neogeo_state, init_neogeo, ROT0, "Freem", "Sound-Loop Demo", MACHINE_SUPPORTS_SAVE )</t>
  </si>
  <si>
    <t>GAME( 2011, spriteex, neogeo, neogeo_noslot, neogeo, neogeo_state, init_neogeo, ROT0, "Furrtek", "Sprite Experimenter", MACHINE_SUPPORTS_SAVE )</t>
  </si>
  <si>
    <t>GAME( 2000, syscheck, neogeo, neogeo_noslot, neogeo, neogeo_state, init_neogeo, ROT0, "Blastar", "Neo System Check (ver 1.0b)", MACHINE_SUPPORTS_SAVE )</t>
  </si>
  <si>
    <t>GAME( 2022, teotb, neogeo, neogeo_noslot, neogeo, neogeo_state, init_neogeo, ROT0, "OzzyOuzo", "The Eye of Typhoon (Tsunami Edition, beta)(2022-01-05)", MACHINE_SUPPORTS_SAVE )</t>
  </si>
  <si>
    <t>GAME( 2020, teotd, neogeo, neogeo_noslot, neogeo, neogeo_state, init_neogeo, ROT0, "OzzyOuzo", "The Eye of Typhoon (Tsunami Edition, demo)", MACHINE_SUPPORTS_SAVE )</t>
  </si>
  <si>
    <t>GAME( 2021, teotd2, neogeo, neogeo_noslot, neogeo, neogeo_state, init_neogeo, ROT0, "OzzyOuzo", "The Eye of Typhoon (Tsunami Edition, demo 2)", MACHINE_SUPPORTS_SAVE )</t>
  </si>
  <si>
    <t>GAME( 2021, teotd3, neogeo, neogeo_noslot, neogeo, neogeo_state, init_neogeo, ROT0, "OzzyOuzo", "The Eye of Typhoon (Tsunami Edition, alpha 5)", MACHINE_SUPPORTS_SAVE )</t>
  </si>
  <si>
    <t>GAME( 2000, test01, neogeo, neogeo_noslot, neogeo, neogeo_state, init_neogeo, ROT0, "Furrtek", "MVS Test 01", MACHINE_SUPPORTS_SAVE )</t>
  </si>
  <si>
    <t>GAME( 2012, timesup, neogeo, neogeo_noslot, neogeo, neogeo_state, init_neogeo, ROT0, "NGF Dev. Inc", "Time's Up!", MACHINE_SUPPORTS_SAVE )</t>
  </si>
  <si>
    <t>GAME( 2012, timesupd, neogeo, neogeo_noslot, neogeo, neogeo_state, init_neogeo, ROT0, "NGF Dev. Inc", "Time's Up! (Demo)", MACHINE_SUPPORTS_SAVE )</t>
  </si>
  <si>
    <t>GAME( 2009, tmnti, neogeo, neogeo_noslot, neogeo, neogeo_state, init_neogeo, ROT0, "[Raregame]", "Teenage Mutant Ninja Turtles (Intro demo v1)", MACHINE_SUPPORTS_SAVE )</t>
  </si>
  <si>
    <t>GAME( 2009, tmntia, tmnti, neogeo_noslot, neogeo, neogeo_state, init_neogeo, ROT0, "[Raregame]", "Teenage Mutant Ninja Turtles (Intro demo v2)", MACHINE_SUPPORTS_SAVE )</t>
  </si>
  <si>
    <t>GAME( 2015, twister, neogeo, neogeo_noslot, neogeo, neogeo_state, init_neogeo, ROT0, "Blastar", "Twister in a mirror intro", MACHINE_SUPPORTS_SAVE )</t>
  </si>
  <si>
    <t>GAME( 2019, venuswars, neogeo, neogeo_noslot, neogeo, neogeo_state, init_neogeo, ROT0, "Vasily Familiya", "Venus Wars demo", MACHINE_IS_INCOMPLETE | MACHINE_SUPPORTS_SAVE )</t>
  </si>
  <si>
    <t>GAME( 2018, vlad2000, neogeo, neogeo_noslot, neogeo, neogeo_state, init_neogeo, ROT0, "Vasily Familiya", "Vladivostok 2000 demo", MACHINE_IS_INCOMPLETE | MACHINE_SUPPORTS_SAVE )</t>
  </si>
  <si>
    <t>GAME( 2001, ww2demo, neogeo, neogeo_noslot, neogeo, neogeo_state, init_neogeo, ROT0, "Rastersoft", "WW2demo", MACHINE_IS_INCOMPLETE | MACHINE_SUPPORTS_SAVE )</t>
  </si>
  <si>
    <t>GAME( 2019, xeno, neogeo, neogeo_noslot, neogeo, neogeo_state, init_neogeo, ROT0, "Bitmap Bureau", "Xeno Crisis v1.0.0", MACHINE_SUPPORTS_SAVE )</t>
  </si>
  <si>
    <t>GAME( 2016, xmas2017, neogeo, neogeo_noslot, neogeo, neogeo_state, init_neogeo, ROT0, "Blastar", "Xmas/Happy New Year 2017 demo", MACHINE_SUPPORTS_SAVE )</t>
  </si>
  <si>
    <t>(blank)</t>
  </si>
  <si>
    <t>Unknown</t>
  </si>
  <si>
    <t>ngmag-wh2j</t>
  </si>
  <si>
    <t>Bootleg</t>
  </si>
  <si>
    <t>Stadium Stars</t>
  </si>
  <si>
    <t>Robocop</t>
  </si>
  <si>
    <t>ngmag-robocopi</t>
  </si>
  <si>
    <t>Sergi</t>
  </si>
  <si>
    <t>ngmag-beast</t>
  </si>
  <si>
    <t>??</t>
  </si>
  <si>
    <t>spiderman</t>
  </si>
  <si>
    <t>intro demo</t>
  </si>
  <si>
    <t>ngmag-spidermi</t>
  </si>
  <si>
    <t>ngmag-kog</t>
  </si>
  <si>
    <t>ms5pcb</t>
  </si>
  <si>
    <t>Metal Slug 5 PCB</t>
  </si>
  <si>
    <t>JAMMA</t>
  </si>
  <si>
    <t>ngmag-stadiumwars</t>
  </si>
  <si>
    <t>Super Bubble Pop Hack</t>
  </si>
  <si>
    <t>ngmag-sbphack</t>
  </si>
  <si>
    <t>Piko</t>
  </si>
  <si>
    <t>Invert inGame screenshots</t>
  </si>
  <si>
    <t>X</t>
  </si>
  <si>
    <t>Aggressors of Dark Kombat</t>
  </si>
  <si>
    <t>痛快 ガンガン 行進曲 Tsuukai GANGAN Koushinkyoku</t>
  </si>
  <si>
    <t>Art of Fighting</t>
  </si>
  <si>
    <t>龍虎の拳 Ryuuko no Ken</t>
  </si>
  <si>
    <t>龍虎の拳2 Ryuuko no Ken 2</t>
  </si>
  <si>
    <t>アート・オブ・ファイティング 龍虎の拳 外伝 Ryuuko no Ken Gaiden</t>
  </si>
  <si>
    <t>Art of Fighting 3</t>
  </si>
  <si>
    <t>Art of Fighting 2</t>
  </si>
  <si>
    <t>Block Paradise</t>
  </si>
  <si>
    <t>NGx-XXX</t>
  </si>
  <si>
    <t>Blue's Journey</t>
  </si>
  <si>
    <t>ラギ Raguy</t>
  </si>
  <si>
    <t>Choutetsu Brikin'ger / Iron Clad</t>
  </si>
  <si>
    <t>Dunk Star Basketball</t>
  </si>
  <si>
    <t>Far East of Eden - Kabuki Klash</t>
  </si>
  <si>
    <t>天外魔境 真伝 Tengai Makyou - Shin Den</t>
  </si>
  <si>
    <t>Fatal Fury - King of Fighters</t>
  </si>
  <si>
    <t>餓狼伝説 宿命の闘い Garou Densetsu - Shukumei no Tatakai</t>
  </si>
  <si>
    <t>Fatal Fury 2</t>
  </si>
  <si>
    <t>餓狼伝説2 ―新たなる闘い― Garou Densetsu 2 - Arata-naru Tatakai</t>
  </si>
  <si>
    <t>Fatal Fury 3 - Road to the Final Victory</t>
  </si>
  <si>
    <t>餓狼伝説3 ―遥かなる闘い― Garou Densetsu 3 - Haruka-naru Tatakai</t>
  </si>
  <si>
    <t>Fatal Fury Special</t>
  </si>
  <si>
    <t>餓狼伝説 スペシャル Garou Densetsu Special</t>
  </si>
  <si>
    <t>ファイトフィーバー Wang Jung Wang</t>
  </si>
  <si>
    <t>Fun Fun Brothers</t>
  </si>
  <si>
    <t>Gang Wars</t>
  </si>
  <si>
    <t>13/15</t>
  </si>
  <si>
    <t>武蔵厳流記 Musashi Ganryuki</t>
  </si>
  <si>
    <t>Hebereke Pair Pair Wars</t>
  </si>
  <si>
    <t>Ikari III - The Rescue</t>
  </si>
  <si>
    <t>Karate Ninja Sho</t>
  </si>
  <si>
    <t>Kizuna Encounter - Super Tag Battle</t>
  </si>
  <si>
    <t>風雲 スーパータッグバトル Fu'un Super Tag Battle</t>
  </si>
  <si>
    <t>Shock Troopers 2 hack</t>
  </si>
  <si>
    <t>Legend of Success Joe</t>
  </si>
  <si>
    <t>あしたのジョー伝説 Ashita no Joe Densetsu</t>
  </si>
  <si>
    <t>Magic Master</t>
  </si>
  <si>
    <t>Mahou Juku</t>
  </si>
  <si>
    <t>新・豪血寺一族 闘婚 Shin Gouketsuji Ichizoku Toukon</t>
  </si>
  <si>
    <t>Mystic Wand</t>
  </si>
  <si>
    <t>神凰拳 Shin-Oh-Ken</t>
  </si>
  <si>
    <t>Real Bout Fatal Fury</t>
  </si>
  <si>
    <t>リアルバウト 餓狼伝説 Real Bout Garou Densetsu</t>
  </si>
  <si>
    <t>Real Bout Fatal Fury 2 - The Newcomers</t>
  </si>
  <si>
    <t>リアルバウト餓狼伝説2 Real Bout Garou Densetsu 2 - The Newcomers</t>
  </si>
  <si>
    <t>Real Bout Fatal Fury Special</t>
  </si>
  <si>
    <t>リアルバウト餓狼伝説スペシャル Real Bout Garou Densetsu Special</t>
  </si>
  <si>
    <t>Savage Reign</t>
  </si>
  <si>
    <t>風雲黙示録 格闘創世 Fu'un Mokushiroku - Kakutou Sousei</t>
  </si>
  <si>
    <t>戦国伝承 Sengoku Denshou</t>
  </si>
  <si>
    <t>Sengoku 2</t>
  </si>
  <si>
    <t>戦国伝承2 Sengoku Denshou 2</t>
  </si>
  <si>
    <t>Sengoku 3</t>
  </si>
  <si>
    <t>戦国伝承2001 Sengoku Densho 2001</t>
  </si>
  <si>
    <t>Stakes Winner</t>
  </si>
  <si>
    <t>ステークスウィナー Stakes Winner - GI Kinzen Seiha e no Michi</t>
  </si>
  <si>
    <t>Street Smart</t>
  </si>
  <si>
    <t>Sun Shine</t>
  </si>
  <si>
    <t>Super Champion Baseball</t>
  </si>
  <si>
    <t>Super Dodge Ball</t>
  </si>
  <si>
    <t>くにおの熱血闘球伝説 Kunio no Nekketsu Toukyuu Densetsu</t>
  </si>
  <si>
    <t>Super Sidekicks</t>
  </si>
  <si>
    <t>得点王 Tokuten Ou</t>
  </si>
  <si>
    <t>Super Sidekicks 2 - The World Championship</t>
  </si>
  <si>
    <t>得点王2 Tokuten Ou 2 - Real Fight Football</t>
  </si>
  <si>
    <t>Super Sidekicks 3 - The Next Glory</t>
  </si>
  <si>
    <t>得点王3 栄光への挑戦 Tokuten Ou 3 - Eikou e no Michi</t>
  </si>
  <si>
    <t>The Irritating Maze</t>
  </si>
  <si>
    <t>ウルトラ電流イライラ棒 Ultra Denryu Iraira Bou</t>
  </si>
  <si>
    <t>The Last Blade</t>
  </si>
  <si>
    <t>Bakumatsu Roman - Gekka no Kenshi</t>
  </si>
  <si>
    <t>The Last Blade 2</t>
  </si>
  <si>
    <t>幕末浪漫第二幕 月華の剣士 Bakumatsu Roman - Dai Ni Maku Gekka no Kenshi</t>
  </si>
  <si>
    <t>The Ultimate 11 - The SNK Football Championship</t>
  </si>
  <si>
    <t>得点王 ～炎のリベロ～ Tokuten Ou - Honoo no Libero</t>
  </si>
  <si>
    <t>超人学園ゴウカイザー Gowcaizer Choujin Gakuen Gowcaizer</t>
  </si>
  <si>
    <t>Voltage Fighter</t>
  </si>
  <si>
    <t>Warlocks of Fates</t>
  </si>
  <si>
    <t>Shinryu Senki</t>
  </si>
  <si>
    <t>Oshidashi Zentrix</t>
  </si>
  <si>
    <t>Dragon's Heaven / DarkSeed</t>
  </si>
  <si>
    <t>game</t>
  </si>
  <si>
    <t>Page</t>
  </si>
  <si>
    <t>cover_1</t>
  </si>
  <si>
    <t>blank</t>
  </si>
  <si>
    <t>#</t>
  </si>
  <si>
    <t>credits</t>
  </si>
  <si>
    <t>Samurai Shodown</t>
  </si>
  <si>
    <t>サムライスピリッツ / Samurai Spirits</t>
  </si>
  <si>
    <t>Samurai Shodown II</t>
  </si>
  <si>
    <t>真 サムライスピリッツ 覇王丸地獄変 Haohmaru Jigokuhen / Shin Samurai Spirits</t>
  </si>
  <si>
    <t>Samurai Shodown III</t>
  </si>
  <si>
    <t>サムライスピリッツ 斬紅郎無双剣 / Samurai Spirits - Zankurou Musouken</t>
  </si>
  <si>
    <t>Samurai Shodown IV - Amakusa's Revenge</t>
  </si>
  <si>
    <t>サムライスピリッツ 天草降臨 / Samurai Spirits - Amakusa Kourin</t>
  </si>
  <si>
    <t>Samurai Shodown V</t>
  </si>
  <si>
    <t>サムライスピリッツ 零 / Samurai Spirits Zero</t>
  </si>
  <si>
    <t>Samurai Shodown V Special</t>
  </si>
  <si>
    <t>サムライスピリッツ零 SPECIAL / Samurai Spirits Zero Special</t>
  </si>
  <si>
    <t>https://www.fgbg.art/static/kof2k3-china2-fec9768e1ea49bffadf973ed542acbff.png</t>
  </si>
  <si>
    <t>https://www.fgbg.art/static/aodk_subway-388c2720e1179e02c079ac47dfb6d25e.gif</t>
  </si>
  <si>
    <t>https://www.fgbg.art/static/aof_john_theGuardian-f82b5420bea65e52634e3dd360903bd1.gif</t>
  </si>
  <si>
    <t>https://www.fgbg.art/static/aof2_gym-cad3286a5269bbd140af738c47bb1a43.gif</t>
  </si>
  <si>
    <t>https://www.fgbg.art/static/aof3_gasStation-16730740691cc3d0572653e12791e80d.gif</t>
  </si>
  <si>
    <t>https://www.fgbg.art/static/breakersRevenge_condor-0361aab3ef81ce9fe0c0f379c5bef67e.gif</t>
  </si>
  <si>
    <t>https://www.fgbg.art/static/doubleDragon_amon-64736318c97eb91ae56dddcc6acd9cfb.gif</t>
  </si>
  <si>
    <t>https://www.fgbg.art/static/ff_billyKane-2eeabc3e846a24f0b0532661db582600.gif</t>
  </si>
  <si>
    <t>https://www.fgbg.art/static/ff2_bigbear-3eb8256bd223a85bcf1c4af7e312e2df.gif</t>
  </si>
  <si>
    <t>https://www.fgbg.art/static/ff3_franco-d9391bb6bc056f7453f063ae7387e46d.gif</t>
  </si>
  <si>
    <t>https://www.fgbg.art/static/motw_hokutomaru-162019510b57d8c7d782751c7bf18cf4.gif</t>
  </si>
  <si>
    <t>https://www.fgbg.art/static/kabukiKlash_kabuki-48f536ed4931c27c6696bcce36dff5ba.gif</t>
  </si>
  <si>
    <t>https://www.fgbg.art/static/kof94_japan-e89f1bdeec5edd3c79006c5933b612f7.gif</t>
  </si>
  <si>
    <t>https://www.fgbg.art/static/kof95_japan-4a6b5214f65c4848fd59c57caefc6cc0.gif</t>
  </si>
  <si>
    <t>https://www.fgbg.art/static/kof96_tokyoAthena-f8bbc97e22b9300bc5cdeea4d44e1fbd.gif</t>
  </si>
  <si>
    <t>https://www.fgbg.art/static/kof97_usa-2f135bdd76179361f221a99b0b10b507.gif</t>
  </si>
  <si>
    <t>https://www.fgbg.art/static/kof98_traffic-1466123ce98fa5f303e3c955d1c50c72.gif</t>
  </si>
  <si>
    <t>https://www.fgbg.art/static/kof99_chineseKitchen-845ee9440dd6dad305e01ea37512b2a1.gif</t>
  </si>
  <si>
    <t>https://www.fgbg.art/static/kof2000_aquarium-b6b11001dc94fed42fd478be7fe1bee8.gif</t>
  </si>
  <si>
    <t>https://www.fgbg.art/static/kof2001_usa-cecb7974217a3404856e960c7d1cfad9.gif</t>
  </si>
  <si>
    <t>https://www.fgbg.art/static/kizunaEncounter_badAlley_day-337eb200e1e609e49ba3274784bcdd09.gif</t>
  </si>
  <si>
    <t>https://www.fgbg.art/static/lastblade_town-c073062134f959c02cb769ad2bdf592b.gif</t>
  </si>
  <si>
    <t>https://www.fgbg.art/static/lb2_shimijiPass-48cb62f9b004d5a822ec525bf0abb93b.gif</t>
  </si>
  <si>
    <t>https://www.fgbg.art/static/ninjaMasters_raiga-e457cef39566417fdbcc23471d6c0b1d.gif</t>
  </si>
  <si>
    <t>https://www.fgbg.art/static/rotd_StreetAtNight-65b9fd398462bf1d6837b10b83d39591.gif</t>
  </si>
  <si>
    <t>https://www.fgbg.art/static/ragnagard_gokuu-dc5f0baa633ed8e015b8093b41717e83.gif</t>
  </si>
  <si>
    <t>https://www.fgbg.art/static/rbff_eastSidePark-b80534c079e4ae52bde2a15bafab1f68.gif</t>
  </si>
  <si>
    <t>https://www.fgbg.art/static/rb2_xiangfei-41c74c89e51599008ab7b978dece106d.gif</t>
  </si>
  <si>
    <t>https://www.fgbg.art/static/rbs_beach-7f5f5b4d0c9806f9a591c6303e742a60.gif</t>
  </si>
  <si>
    <t>https://www.fgbg.art/static/ss_galford-d7098f1d65e40356c720e16e493d4caf.gif</t>
  </si>
  <si>
    <t>https://www.fgbg.art/static/ss2_genjuro-ce0fa4f3eb6644a1adfdf869492227ee.gif</t>
  </si>
  <si>
    <t>https://www.fgbg.art/static/ss3_rimiruru-309169357885b7adc022dc77672d6b3b.gif</t>
  </si>
  <si>
    <t>https://www.fgbg.art/static/ss4_beach-70ea9fbd5940f609c529f5c0d9fd512b.gif</t>
  </si>
  <si>
    <t>https://www.fgbg.art/static/ss5_boat-14615902fcf0edb69b5a117b5b7ad09f.gif</t>
  </si>
  <si>
    <t>https://www.fgbg.art/static/ss5s_mtFujiDay-7adb20b2807fb2e2caa3cdec50491984.gif</t>
  </si>
  <si>
    <t>https://www.fgbg.art/static/svc_chaos_tunnelThing-020baacdb42485dd0e545cf5c3ea4936.gif</t>
  </si>
  <si>
    <t>https://www.fgbg.art/static/gowcaizer_shaia-a90a5cf7f5963193174cec7c028bea16.gif</t>
  </si>
  <si>
    <t>https://www.fgbg.art/static/wakuWaku7_dandy-j3-35f1ca33329db438c5312715760c61c1.gif</t>
  </si>
  <si>
    <t>https://www.fgbg.art/static/wh_rasputen-f9d7946a9253b232b622b287a1ee06bf.gif</t>
  </si>
  <si>
    <t>https://www.fgbg.art/static/wh2_rasputen-5a8bbcdf51aa08c808ac6d5971550d3b.gif</t>
  </si>
  <si>
    <t>https://www.fgbg.art/static/ngbg_whp_downtown-cec6ffe9192a47c344fc477fdb385087.gif</t>
  </si>
  <si>
    <t>game_bg_shift</t>
  </si>
  <si>
    <t>game_bg_screenshot</t>
  </si>
  <si>
    <t>NeoGeo Resurrection</t>
  </si>
  <si>
    <t>MEGS</t>
  </si>
  <si>
    <t>https://db.hfsplay.fr/files/2019/10/16/blazstar03_GPkUF7V.gif</t>
  </si>
  <si>
    <t>(c) Year</t>
  </si>
  <si>
    <t>NGH</t>
  </si>
  <si>
    <r>
      <t>English Title / </t>
    </r>
    <r>
      <rPr>
        <b/>
        <i/>
        <sz val="12"/>
        <color theme="1"/>
        <rFont val="Times New Roman"/>
        <family val="1"/>
      </rPr>
      <t>Japanese Title</t>
    </r>
  </si>
  <si>
    <t>Meg Count</t>
  </si>
  <si>
    <t>Japanese AES</t>
  </si>
  <si>
    <t>English AES</t>
  </si>
  <si>
    <t>CD</t>
  </si>
  <si>
    <r>
      <t>3 Count Bout / </t>
    </r>
    <r>
      <rPr>
        <i/>
        <sz val="10"/>
        <color theme="1"/>
        <rFont val="Times New Roman"/>
        <family val="1"/>
      </rPr>
      <t>Fire Suplex</t>
    </r>
  </si>
  <si>
    <t>Yes</t>
  </si>
  <si>
    <t>4.23.93</t>
  </si>
  <si>
    <t>4.21.95</t>
  </si>
  <si>
    <t>Video Systems</t>
  </si>
  <si>
    <r>
      <t>Aero Fighters 2 / </t>
    </r>
    <r>
      <rPr>
        <i/>
        <sz val="10"/>
        <color theme="1"/>
        <rFont val="Times New Roman"/>
        <family val="1"/>
      </rPr>
      <t>Sonic Wings 2</t>
    </r>
  </si>
  <si>
    <t>8.26.94</t>
  </si>
  <si>
    <t>9.29.94</t>
  </si>
  <si>
    <r>
      <t>Aero Fighters 3 / </t>
    </r>
    <r>
      <rPr>
        <i/>
        <sz val="10"/>
        <color theme="1"/>
        <rFont val="Times New Roman"/>
        <family val="1"/>
      </rPr>
      <t>Sonic Wings 3</t>
    </r>
  </si>
  <si>
    <t>11.17.95</t>
  </si>
  <si>
    <t>12.8.95</t>
  </si>
  <si>
    <t>Aggressors of Dark Kombat / Tsukai Gan Gan Koshinkyoku</t>
  </si>
  <si>
    <t>1.13.95</t>
  </si>
  <si>
    <r>
      <t>Alpha Mission 2 / </t>
    </r>
    <r>
      <rPr>
        <i/>
        <sz val="10"/>
        <color theme="1"/>
        <rFont val="Times New Roman"/>
        <family val="1"/>
      </rPr>
      <t>ASO II : Last Guardian</t>
    </r>
  </si>
  <si>
    <t>7.1.91</t>
  </si>
  <si>
    <t> 7.1.91</t>
  </si>
  <si>
    <t>9.9.94</t>
  </si>
  <si>
    <t>7.17.92</t>
  </si>
  <si>
    <r>
      <t>Art of Fighting (</t>
    </r>
    <r>
      <rPr>
        <i/>
        <sz val="10"/>
        <color theme="1"/>
        <rFont val="Times New Roman"/>
        <family val="1"/>
      </rPr>
      <t>Ryuuko No Ken </t>
    </r>
    <r>
      <rPr>
        <sz val="10"/>
        <color theme="1"/>
        <rFont val="Times New Roman"/>
        <family val="1"/>
      </rPr>
      <t>series)</t>
    </r>
  </si>
  <si>
    <t>12.11.92</t>
  </si>
  <si>
    <t>3.11.94</t>
  </si>
  <si>
    <t>Art of Fighting 3: Path of the Warrior</t>
  </si>
  <si>
    <t>4.26.96</t>
  </si>
  <si>
    <t>9.14.96</t>
  </si>
  <si>
    <t>4.28.92</t>
  </si>
  <si>
    <t> 4.28.92</t>
  </si>
  <si>
    <t>2.19.98</t>
  </si>
  <si>
    <t>  </t>
  </si>
  <si>
    <t>Blue's Journey / Raguy</t>
  </si>
  <si>
    <t>10.31.94</t>
  </si>
  <si>
    <t>3.21.96</t>
  </si>
  <si>
    <t>8.9.91</t>
  </si>
  <si>
    <t>Bust-A-Move / Puzzle Bobble</t>
  </si>
  <si>
    <t>4.27.95</t>
  </si>
  <si>
    <r>
      <t>Bust-A-Move Again "EX" / </t>
    </r>
    <r>
      <rPr>
        <i/>
        <sz val="10"/>
        <color theme="1"/>
        <rFont val="Times New Roman"/>
        <family val="1"/>
      </rPr>
      <t>Puzzle Bobble 2</t>
    </r>
  </si>
  <si>
    <t>1.26.96</t>
  </si>
  <si>
    <t>10.1.91</t>
  </si>
  <si>
    <t>Technos</t>
  </si>
  <si>
    <t>3.31.95</t>
  </si>
  <si>
    <t>6.2.95</t>
  </si>
  <si>
    <t>Pallas</t>
  </si>
  <si>
    <t>11.10.91</t>
  </si>
  <si>
    <t>Fatal Fury (Garou Densetsu series)</t>
  </si>
  <si>
    <t>12.20.91</t>
  </si>
  <si>
    <t>3.5.93</t>
  </si>
  <si>
    <t>12.22.93</t>
  </si>
  <si>
    <t>Fatal Fury 3</t>
  </si>
  <si>
    <t>4.28.95</t>
  </si>
  <si>
    <t>2.21.92</t>
  </si>
  <si>
    <t>Galaxy Fight</t>
  </si>
  <si>
    <t>2.25.95</t>
  </si>
  <si>
    <t>Ganryu / Musashi Ganryuki</t>
  </si>
  <si>
    <t>Garou: Mark of the Wolves</t>
  </si>
  <si>
    <t>2.25.00</t>
  </si>
  <si>
    <t>3.17.95</t>
  </si>
  <si>
    <r>
      <t>Irritating Maze, The / </t>
    </r>
    <r>
      <rPr>
        <i/>
        <sz val="10"/>
        <color theme="1"/>
        <rFont val="Times New Roman"/>
        <family val="1"/>
      </rPr>
      <t>Ultra Denryuu Iararabou</t>
    </r>
  </si>
  <si>
    <r>
      <t>Kabuki Klash / </t>
    </r>
    <r>
      <rPr>
        <i/>
        <sz val="10"/>
        <color theme="1"/>
        <rFont val="Times New Roman"/>
        <family val="1"/>
      </rPr>
      <t>Tengai Makyo Shinden</t>
    </r>
  </si>
  <si>
    <t>7.2.95</t>
  </si>
  <si>
    <t>11.24.95</t>
  </si>
  <si>
    <t>Karnov's Revenge / Fighters History Dynamite</t>
  </si>
  <si>
    <t>4.28.94</t>
  </si>
  <si>
    <t>12.22.94</t>
  </si>
  <si>
    <t>King of Fighters '94</t>
  </si>
  <si>
    <t>10.1.94</t>
  </si>
  <si>
    <t>11.2.94</t>
  </si>
  <si>
    <t>King of Fighters '95</t>
  </si>
  <si>
    <t>9.1.95</t>
  </si>
  <si>
    <t>9.29.95</t>
  </si>
  <si>
    <t>King of Fighters '96</t>
  </si>
  <si>
    <t>9.27.96</t>
  </si>
  <si>
    <t>10.25.96</t>
  </si>
  <si>
    <t>King of Fighters '97</t>
  </si>
  <si>
    <t>9.25.97</t>
  </si>
  <si>
    <t>10.30.97</t>
  </si>
  <si>
    <t>King of Fighters '98</t>
  </si>
  <si>
    <t>9.23.98</t>
  </si>
  <si>
    <t>12.23.98</t>
  </si>
  <si>
    <t>King of Fighters '99</t>
  </si>
  <si>
    <t>9.23.99</t>
  </si>
  <si>
    <t>12.2.99</t>
  </si>
  <si>
    <t>King of Fighters 2000</t>
  </si>
  <si>
    <t>12.21.00</t>
  </si>
  <si>
    <t>King of Fighters 2001</t>
  </si>
  <si>
    <t>3.14.02 </t>
  </si>
  <si>
    <r>
      <t> </t>
    </r>
    <r>
      <rPr>
        <sz val="10"/>
        <color rgb="FF000000"/>
        <rFont val="Times New Roman"/>
        <family val="1"/>
      </rPr>
      <t>3.14.02</t>
    </r>
    <r>
      <rPr>
        <sz val="10"/>
        <color theme="1"/>
        <rFont val="Times New Roman"/>
        <family val="1"/>
      </rPr>
      <t> </t>
    </r>
    <r>
      <rPr>
        <b/>
        <sz val="7.5"/>
        <color theme="1"/>
        <rFont val="Arial"/>
        <family val="2"/>
      </rPr>
      <t>NEOSTORE</t>
    </r>
  </si>
  <si>
    <t>King of Fighters 2002</t>
  </si>
  <si>
    <r>
      <t>12.18.02</t>
    </r>
    <r>
      <rPr>
        <sz val="10"/>
        <color theme="1"/>
        <rFont val="Times New Roman"/>
        <family val="1"/>
      </rPr>
      <t> </t>
    </r>
    <r>
      <rPr>
        <b/>
        <sz val="7.5"/>
        <color theme="1"/>
        <rFont val="Arial"/>
        <family val="2"/>
      </rPr>
      <t>NEOSTORE</t>
    </r>
  </si>
  <si>
    <t>King of Fighters 2003</t>
  </si>
  <si>
    <t>PCB &amp; MVS</t>
  </si>
  <si>
    <t>3.18.04</t>
  </si>
  <si>
    <t>3.18.04 NEOSTORE</t>
  </si>
  <si>
    <t>King of the Monsters 2</t>
  </si>
  <si>
    <t>6.19.92</t>
  </si>
  <si>
    <t>Kizuna Encounter / Fu'un Super Tag Battle</t>
  </si>
  <si>
    <t>11.8.96</t>
  </si>
  <si>
    <t>Last Blade (Gekka no Kenshi series)</t>
  </si>
  <si>
    <t>1.29.98</t>
  </si>
  <si>
    <t>3.26.98</t>
  </si>
  <si>
    <t>Last Blade 2</t>
  </si>
  <si>
    <t>1.28.99</t>
  </si>
  <si>
    <t>2.27.99</t>
  </si>
  <si>
    <t>4.24.92</t>
  </si>
  <si>
    <t>Wave</t>
  </si>
  <si>
    <t>Legend of Success Joe / Ashita no Joe Densetsu</t>
  </si>
  <si>
    <t>8.30.91</t>
  </si>
  <si>
    <t>4.19.96</t>
  </si>
  <si>
    <t>5.24.96</t>
  </si>
  <si>
    <t>Magical Drop 3</t>
  </si>
  <si>
    <t>4.25.97</t>
  </si>
  <si>
    <t>Monolith</t>
  </si>
  <si>
    <r>
      <t>Mahjong</t>
    </r>
    <r>
      <rPr>
        <sz val="10"/>
        <color theme="1"/>
        <rFont val="Times New Roman"/>
        <family val="1"/>
      </rPr>
      <t> </t>
    </r>
    <r>
      <rPr>
        <i/>
        <sz val="10"/>
        <color theme="1"/>
        <rFont val="Times New Roman"/>
        <family val="1"/>
      </rPr>
      <t>Bakatonosama Manyuki</t>
    </r>
  </si>
  <si>
    <t>Mahjong Minnasano Okagesamadesu</t>
  </si>
  <si>
    <r>
      <t>Master of Syougi / </t>
    </r>
    <r>
      <rPr>
        <i/>
        <sz val="10"/>
        <color theme="1"/>
        <rFont val="Times New Roman"/>
        <family val="1"/>
      </rPr>
      <t>Shogi no Tatsujin</t>
    </r>
  </si>
  <si>
    <t>10.13.95</t>
  </si>
  <si>
    <t>10.20.95</t>
  </si>
  <si>
    <t>Matrimelee / Shin Goketsuji Ichizoku</t>
  </si>
  <si>
    <r>
      <t>5.29.03 </t>
    </r>
    <r>
      <rPr>
        <b/>
        <sz val="7.5"/>
        <color rgb="FF0000FF"/>
        <rFont val="Arial"/>
        <family val="2"/>
      </rPr>
      <t>NEOSTORE</t>
    </r>
  </si>
  <si>
    <r>
      <t>5.29.03</t>
    </r>
    <r>
      <rPr>
        <sz val="10"/>
        <color theme="1"/>
        <rFont val="Times New Roman"/>
        <family val="1"/>
      </rPr>
      <t> </t>
    </r>
    <r>
      <rPr>
        <b/>
        <sz val="7.5"/>
        <color rgb="FF0000FF"/>
        <rFont val="Arial"/>
        <family val="2"/>
      </rPr>
      <t>NEOSTORE</t>
    </r>
  </si>
  <si>
    <t>7.5.96</t>
  </si>
  <si>
    <t>Metal Slug 2</t>
  </si>
  <si>
    <t>4.2.98</t>
  </si>
  <si>
    <t>6.25.98</t>
  </si>
  <si>
    <t>Metal Slug X</t>
  </si>
  <si>
    <t>5.27.99</t>
  </si>
  <si>
    <t>6.1.00</t>
  </si>
  <si>
    <t>9.17.01</t>
  </si>
  <si>
    <t>6.12.02</t>
  </si>
  <si>
    <r>
      <t>PCB</t>
    </r>
    <r>
      <rPr>
        <sz val="10"/>
        <color theme="1"/>
        <rFont val="Times New Roman"/>
        <family val="1"/>
      </rPr>
      <t> &amp; </t>
    </r>
    <r>
      <rPr>
        <sz val="10"/>
        <color rgb="FF000000"/>
        <rFont val="Times New Roman"/>
        <family val="1"/>
      </rPr>
      <t>MVS</t>
    </r>
  </si>
  <si>
    <t>2.17.04</t>
  </si>
  <si>
    <t>Money Puzzle Exchanger / Money Idol Exchanger</t>
  </si>
  <si>
    <t>4.17.92</t>
  </si>
  <si>
    <t>NAM 1975</t>
  </si>
  <si>
    <t>Neo Driftout</t>
  </si>
  <si>
    <t>7.26.96</t>
  </si>
  <si>
    <t>Neo Geo Cup '98</t>
  </si>
  <si>
    <t>7.30.98</t>
  </si>
  <si>
    <t>Neo Turf Masters / Big Tournament Golf</t>
  </si>
  <si>
    <t>3.1.96</t>
  </si>
  <si>
    <t>5.1.96</t>
  </si>
  <si>
    <t>Gavaking / Eleven</t>
  </si>
  <si>
    <t>5.29.92</t>
  </si>
  <si>
    <t>Ninja Master's</t>
  </si>
  <si>
    <t>6.28.96</t>
  </si>
  <si>
    <r>
      <t>Pleasure Goal 5-on-5 Street Soccer / </t>
    </r>
    <r>
      <rPr>
        <i/>
        <sz val="10"/>
        <color theme="1"/>
        <rFont val="Times New Roman"/>
        <family val="1"/>
      </rPr>
      <t>Futsal</t>
    </r>
  </si>
  <si>
    <t> 7.19.96</t>
  </si>
  <si>
    <t>Video System</t>
  </si>
  <si>
    <r>
      <t>Pop 'N Bounce / </t>
    </r>
    <r>
      <rPr>
        <i/>
        <sz val="10"/>
        <color theme="1"/>
        <rFont val="Times New Roman"/>
        <family val="1"/>
      </rPr>
      <t>Gapporin</t>
    </r>
  </si>
  <si>
    <t>Power Spikes 2</t>
  </si>
  <si>
    <t>  3.18.95</t>
  </si>
  <si>
    <t>10.27.95</t>
  </si>
  <si>
    <t>Puzzled / Joy Joy Kid</t>
  </si>
  <si>
    <t>Puzzle de Pon!</t>
  </si>
  <si>
    <t>Puzzle de Pon! R</t>
  </si>
  <si>
    <t>Yubis</t>
  </si>
  <si>
    <r>
      <t>Quest of Jong Master / </t>
    </r>
    <r>
      <rPr>
        <i/>
        <sz val="10"/>
        <color theme="1"/>
        <rFont val="Times New Roman"/>
        <family val="1"/>
      </rPr>
      <t>Mahjong</t>
    </r>
    <r>
      <rPr>
        <sz val="10"/>
        <color theme="1"/>
        <rFont val="Times New Roman"/>
        <family val="1"/>
      </rPr>
      <t> </t>
    </r>
    <r>
      <rPr>
        <i/>
        <sz val="10"/>
        <color theme="1"/>
        <rFont val="Times New Roman"/>
        <family val="1"/>
      </rPr>
      <t>Janshin Densetsu</t>
    </r>
  </si>
  <si>
    <t>  3.31.95</t>
  </si>
  <si>
    <t>Quiz Daisousa Sen</t>
  </si>
  <si>
    <r>
      <t>Quiz</t>
    </r>
    <r>
      <rPr>
        <sz val="10"/>
        <color theme="1"/>
        <rFont val="Times New Roman"/>
        <family val="1"/>
      </rPr>
      <t> </t>
    </r>
    <r>
      <rPr>
        <i/>
        <sz val="10"/>
        <color theme="1"/>
        <rFont val="Times New Roman"/>
        <family val="1"/>
      </rPr>
      <t>King of Fighters</t>
    </r>
  </si>
  <si>
    <t>3.10.95</t>
  </si>
  <si>
    <t>4.7.95</t>
  </si>
  <si>
    <t>Quiz Meitantei Neo &amp; Geo</t>
  </si>
  <si>
    <t>9.20.02</t>
  </si>
  <si>
    <r>
      <t>Ragnagard / </t>
    </r>
    <r>
      <rPr>
        <i/>
        <sz val="10"/>
        <color theme="1"/>
        <rFont val="Times New Roman"/>
        <family val="1"/>
      </rPr>
      <t>Shinoken</t>
    </r>
  </si>
  <si>
    <t>8.23.96</t>
  </si>
  <si>
    <t>2.23.96</t>
  </si>
  <si>
    <t>2.28.97</t>
  </si>
  <si>
    <t>3.30.97</t>
  </si>
  <si>
    <t>Real Bout Fatal Fury 2</t>
  </si>
  <si>
    <t>4.29.98</t>
  </si>
  <si>
    <t>7.23.98</t>
  </si>
  <si>
    <t>5.26.95</t>
  </si>
  <si>
    <t>Samurai Shodown (Samurai Spirits series)</t>
  </si>
  <si>
    <t>8.11.93</t>
  </si>
  <si>
    <t>Samurai Shodown 2</t>
  </si>
  <si>
    <t>12.2.94</t>
  </si>
  <si>
    <t>12.15.94</t>
  </si>
  <si>
    <t>Samurai Shodown 3: Blades of Blood</t>
  </si>
  <si>
    <t>12.1.95</t>
  </si>
  <si>
    <t>12.29.95</t>
  </si>
  <si>
    <t>Samurai Shodown 4: Amakusa's Revenge</t>
  </si>
  <si>
    <t>11.29.96</t>
  </si>
  <si>
    <t>12.27.96</t>
  </si>
  <si>
    <t>Yuki Enterprise</t>
  </si>
  <si>
    <r>
      <t>Samurai Shodown 5 / </t>
    </r>
    <r>
      <rPr>
        <i/>
        <sz val="10"/>
        <color theme="1"/>
        <rFont val="Times New Roman"/>
        <family val="1"/>
      </rPr>
      <t>Samurai Spirits Zero</t>
    </r>
  </si>
  <si>
    <r>
      <t>12.11.03 </t>
    </r>
    <r>
      <rPr>
        <b/>
        <sz val="7.5"/>
        <color rgb="FF0000FF"/>
        <rFont val="Arial"/>
        <family val="2"/>
      </rPr>
      <t>NEOSTORE</t>
    </r>
  </si>
  <si>
    <r>
      <t>Samurai Shodown 5 Special / </t>
    </r>
    <r>
      <rPr>
        <i/>
        <sz val="10"/>
        <color theme="1"/>
        <rFont val="Times New Roman"/>
        <family val="1"/>
      </rPr>
      <t>Samurai Spirits Zero Special*</t>
    </r>
  </si>
  <si>
    <r>
      <t> 7.9.04 </t>
    </r>
    <r>
      <rPr>
        <b/>
        <sz val="7.5"/>
        <color rgb="FF0000FF"/>
        <rFont val="Arial"/>
        <family val="2"/>
      </rPr>
      <t>NEOSTORE</t>
    </r>
  </si>
  <si>
    <r>
      <t>7.9.04 </t>
    </r>
    <r>
      <rPr>
        <b/>
        <sz val="7.5"/>
        <color rgb="FF0000FF"/>
        <rFont val="Arial"/>
        <family val="2"/>
      </rPr>
      <t>NEOSTORE</t>
    </r>
  </si>
  <si>
    <t>Savage Reign / Fu'un Mokujiroku</t>
  </si>
  <si>
    <t>6.16.95</t>
  </si>
  <si>
    <t>4.9.93</t>
  </si>
  <si>
    <t>Sengoku 3 / Sengoku Legends 2001</t>
  </si>
  <si>
    <t> 10.25.01</t>
  </si>
  <si>
    <t>Shock Troopers 2nd Squad</t>
  </si>
  <si>
    <r>
      <t>6.24.9</t>
    </r>
    <r>
      <rPr>
        <sz val="10"/>
        <color rgb="FF0000FF"/>
        <rFont val="Times New Roman"/>
        <family val="1"/>
      </rPr>
      <t>9</t>
    </r>
  </si>
  <si>
    <t>3.13.92</t>
  </si>
  <si>
    <t>Spinmaster / Miracle Adventure</t>
  </si>
  <si>
    <t>2.18.94</t>
  </si>
  <si>
    <t>3.23.96</t>
  </si>
  <si>
    <t>12.13.96</t>
  </si>
  <si>
    <t>Street Hoop / Dunk Dream</t>
  </si>
  <si>
    <t>12.9.94</t>
  </si>
  <si>
    <t>1.20.95</t>
  </si>
  <si>
    <t>Super Baseball 2020</t>
  </si>
  <si>
    <t>10.25.91</t>
  </si>
  <si>
    <t>Super Dodge Ball / Nekketsu Toukyu Densetsu</t>
  </si>
  <si>
    <r>
      <t>Super Sidekicks (</t>
    </r>
    <r>
      <rPr>
        <i/>
        <sz val="10"/>
        <color theme="1"/>
        <rFont val="Times New Roman"/>
        <family val="1"/>
      </rPr>
      <t>Tokuten Oh </t>
    </r>
    <r>
      <rPr>
        <sz val="10"/>
        <color theme="1"/>
        <rFont val="Times New Roman"/>
        <family val="1"/>
      </rPr>
      <t>series)</t>
    </r>
  </si>
  <si>
    <t>2.19.93</t>
  </si>
  <si>
    <t>Super Sidekicks 2</t>
  </si>
  <si>
    <t>5.27.94</t>
  </si>
  <si>
    <t>Super Sidekicks 3</t>
  </si>
  <si>
    <t>6.23.95</t>
  </si>
  <si>
    <t>Super Sidekicks 4: The Ultimate 11</t>
  </si>
  <si>
    <t>12.20.96</t>
  </si>
  <si>
    <t>Super Spy, The</t>
  </si>
  <si>
    <t>SVC Chaos: SNK vs. Capcom</t>
  </si>
  <si>
    <t>PCB &amp; MVS</t>
  </si>
  <si>
    <r>
      <t> 11.14.03</t>
    </r>
    <r>
      <rPr>
        <sz val="7.5"/>
        <color theme="1"/>
        <rFont val="Times New Roman"/>
        <family val="1"/>
      </rPr>
      <t> </t>
    </r>
    <r>
      <rPr>
        <b/>
        <sz val="7.5"/>
        <color rgb="FF0000FF"/>
        <rFont val="Arial"/>
        <family val="2"/>
      </rPr>
      <t>NEOSTORE</t>
    </r>
  </si>
  <si>
    <r>
      <t>11.14.03 </t>
    </r>
    <r>
      <rPr>
        <b/>
        <sz val="7.5"/>
        <color rgb="FF0000FF"/>
        <rFont val="Arial"/>
        <family val="2"/>
      </rPr>
      <t>NEOSTORE</t>
    </r>
  </si>
  <si>
    <t>Thrash Rally (Rally Cross CD)</t>
  </si>
  <si>
    <t>Top Hunter</t>
  </si>
  <si>
    <t>6.24.94</t>
  </si>
  <si>
    <t>1.31.97</t>
  </si>
  <si>
    <t>2.21.97</t>
  </si>
  <si>
    <r>
      <t>Voltage Fighter Gowcaizer / </t>
    </r>
    <r>
      <rPr>
        <i/>
        <sz val="10"/>
        <color theme="1"/>
        <rFont val="Times New Roman"/>
        <family val="1"/>
      </rPr>
      <t>Chojin Gakuen Gowcaizer</t>
    </r>
  </si>
  <si>
    <t>Windjammers / Flying Power Disk</t>
  </si>
  <si>
    <t>4.8.94</t>
  </si>
  <si>
    <t>9.11.92</t>
  </si>
  <si>
    <t>6.4.93</t>
  </si>
  <si>
    <t>4.14.95</t>
  </si>
  <si>
    <t>6.10.94</t>
  </si>
  <si>
    <t>11.11.94</t>
  </si>
  <si>
    <t>6.30.95</t>
  </si>
  <si>
    <t>7.21.95</t>
  </si>
  <si>
    <r>
      <t>Zed Blade / </t>
    </r>
    <r>
      <rPr>
        <i/>
        <sz val="10"/>
        <color theme="1"/>
        <rFont val="Times New Roman"/>
        <family val="1"/>
      </rPr>
      <t>Operation Ragnarok</t>
    </r>
  </si>
  <si>
    <r>
      <t> </t>
    </r>
    <r>
      <rPr>
        <b/>
        <sz val="11"/>
        <color rgb="FFFFFFFF"/>
        <rFont val="Times New Roman"/>
        <family val="1"/>
      </rPr>
      <t>NEO·GEO CD Exclusive Titles</t>
    </r>
    <r>
      <rPr>
        <sz val="10"/>
        <color theme="1"/>
        <rFont val="Times New Roman"/>
        <family val="1"/>
      </rPr>
      <t> </t>
    </r>
  </si>
  <si>
    <r>
      <t>ADK World / </t>
    </r>
    <r>
      <rPr>
        <i/>
        <sz val="10"/>
        <color theme="1"/>
        <rFont val="Times New Roman"/>
        <family val="1"/>
      </rPr>
      <t>ADK Special</t>
    </r>
  </si>
  <si>
    <t>-</t>
  </si>
  <si>
    <t>11.10.95</t>
  </si>
  <si>
    <t>5.2.95</t>
  </si>
  <si>
    <t>Ironclad / Chotetsu Bri'kinger</t>
  </si>
  <si>
    <t>9.20.96</t>
  </si>
  <si>
    <t>King of Fighters '96 Collection</t>
  </si>
  <si>
    <t>2.14.97</t>
  </si>
  <si>
    <t>Mahjong Final Romance 2</t>
  </si>
  <si>
    <t>8.25.95</t>
  </si>
  <si>
    <t>Neo Geo CD Special</t>
  </si>
  <si>
    <t>12.22.96</t>
  </si>
  <si>
    <t>Samurai Shodown RPG</t>
  </si>
  <si>
    <t>6.27.97</t>
  </si>
  <si>
    <t>Zintrick / Oshidashi Zentrix</t>
  </si>
  <si>
    <t>3.22.96</t>
  </si>
  <si>
    <r>
      <t> </t>
    </r>
    <r>
      <rPr>
        <b/>
        <sz val="11"/>
        <color rgb="FFFFFFFF"/>
        <rFont val="Times New Roman"/>
        <family val="1"/>
      </rPr>
      <t>Non-Sequential &amp; Homebrew Titles</t>
    </r>
  </si>
  <si>
    <t>N/A</t>
  </si>
  <si>
    <t>Phenixsoft</t>
  </si>
  <si>
    <t>Crouching Tiger, Hidden Dragon 2003</t>
  </si>
  <si>
    <t>Game Room</t>
  </si>
  <si>
    <t>Brezzasoft</t>
  </si>
  <si>
    <t>Neo Bubble Pop</t>
  </si>
  <si>
    <t>ngmag-adkworld</t>
  </si>
  <si>
    <t>ADK ワールド</t>
  </si>
  <si>
    <t>The King of Fighters '96: NEOGEO Collection</t>
  </si>
  <si>
    <t>ngmag-kof96coll</t>
  </si>
  <si>
    <t>ngmag-ngcdspecial</t>
  </si>
  <si>
    <t>ngmag-sshodownrpg</t>
  </si>
  <si>
    <t>NGCD</t>
  </si>
  <si>
    <t>YES</t>
  </si>
  <si>
    <t>NO</t>
  </si>
  <si>
    <t>https://db.hfsplay.fr/files/2022/02/04/cafccf19-7a68-4373-9284-61aaee5bd345_lDOAb8Z.jpg</t>
  </si>
  <si>
    <t>Port</t>
  </si>
  <si>
    <t>Bootleg: This Plus version is a hack of "Metal Slug 4". It adds the ability to change, on the fly, the character status (normal→big→mummy→monkey) by pressing the Start button. You can press D to cycle through all possible weapons (except the 2-machinegun).</t>
  </si>
  <si>
    <t>ROM</t>
  </si>
  <si>
    <t>Supported platforms</t>
  </si>
  <si>
    <t>3 Count Bout</t>
  </si>
  <si>
    <t>ファイヤー・スープレックス Fire Suplex</t>
  </si>
  <si>
    <t>Aero Fighters 2</t>
  </si>
  <si>
    <t>ソニックウイングス2 Sonic Wings 2</t>
  </si>
  <si>
    <t>ソニックウイングス3 Sonic Wings 3</t>
  </si>
  <si>
    <t>Aero Fighters 3</t>
  </si>
  <si>
    <t>mvs scarcity</t>
  </si>
  <si>
    <t>aes scarcity</t>
  </si>
  <si>
    <t>ngcd scarcity</t>
  </si>
  <si>
    <t>ranking</t>
  </si>
  <si>
    <t>Alpha Mission II</t>
  </si>
  <si>
    <t>ASO II ラストガーディアン (ASO II - Last Guardian)</t>
  </si>
  <si>
    <t>Karnov's Revenge</t>
  </si>
  <si>
    <t>Mahjong Story</t>
  </si>
  <si>
    <t>麻雀狂列伝 Mahjong Kyo Retsuden</t>
  </si>
  <si>
    <t>Master of Shougi</t>
  </si>
  <si>
    <t>将棋の達人 Shougi no Tatsujin</t>
  </si>
  <si>
    <t>Neo Turf Masters</t>
  </si>
  <si>
    <t>ビッグトーナメントゴルフ Big Tournament Golf</t>
  </si>
  <si>
    <t>ニンジャマスターズ 覇王忍法帖 Haoh ninpo cho</t>
  </si>
  <si>
    <t>Power Instinct Matrimelee</t>
  </si>
  <si>
    <t>???</t>
  </si>
  <si>
    <t>ngmag-kof10thexplus</t>
  </si>
  <si>
    <t>looptrsp</t>
  </si>
  <si>
    <t>Looptris Plus: new mode (1P vs CPU)</t>
  </si>
  <si>
    <t>looptris</t>
  </si>
  <si>
    <t>ngmag-yoyoshuriken</t>
  </si>
  <si>
    <t>Yo-Yo Shuriken</t>
  </si>
  <si>
    <t>JapanGameOnline.com</t>
  </si>
  <si>
    <t>Xevious</t>
  </si>
  <si>
    <t>ngmag-xevious</t>
  </si>
  <si>
    <t>Super Xevious</t>
  </si>
  <si>
    <t>ngmag-sxevious</t>
  </si>
  <si>
    <t>Galaxian</t>
  </si>
  <si>
    <t>ngmag-galaxian</t>
  </si>
  <si>
    <t>debugdips-ngcomwiki-ref</t>
  </si>
  <si>
    <t>ngmag-punkycircus</t>
  </si>
  <si>
    <t>Punky Circus</t>
  </si>
  <si>
    <t>PixelHeart</t>
  </si>
  <si>
    <t>パンキー サーカス</t>
  </si>
  <si>
    <t>http://www.neogeosoft.com/</t>
  </si>
  <si>
    <t>Source</t>
  </si>
  <si>
    <t>Source info</t>
  </si>
  <si>
    <t xml:space="preserve">to credit? </t>
  </si>
  <si>
    <t>Credit EN</t>
  </si>
  <si>
    <t>Credit FR</t>
  </si>
  <si>
    <t>HFS DB</t>
  </si>
  <si>
    <t>https://db.hfsplay.fr/</t>
  </si>
  <si>
    <t>MAME</t>
  </si>
  <si>
    <t>HBMAME</t>
  </si>
  <si>
    <t>https://emulation.gametechwiki.com/images/3/35/Logo_HBMAME.png</t>
  </si>
  <si>
    <t>Logo URL</t>
  </si>
  <si>
    <t>neogeo_excludesoftdips</t>
  </si>
  <si>
    <t>rom count per game</t>
  </si>
  <si>
    <t>Cyborg Force</t>
  </si>
  <si>
    <t>ngmag-cyborgforce</t>
  </si>
  <si>
    <t>Neo Byte Force</t>
  </si>
  <si>
    <t>In development</t>
  </si>
  <si>
    <t>abyssalinfants</t>
  </si>
  <si>
    <t>main rom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</si>
</sst>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4" x14ac:knownFonts="1">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b/>
      <sz val="11"/>
      <color theme="1"/>
      <name val="Calibri"/>
      <family val="2"/>
      <scheme val="minor"/>
    </font>
    <font>
      <u/>
      <sz val="11"/>
      <color theme="10"/>
      <name val="Calibri"/>
      <family val="2"/>
      <scheme val="minor"/>
    </font>
    <font>
      <b/>
      <sz val="11"/>
      <color theme="3"/>
      <name val="Calibri"/>
      <family val="2"/>
      <scheme val="minor"/>
    </font>
    <font>
      <sz val="8"/>
      <name val="Calibri"/>
      <family val="2"/>
      <scheme val="minor"/>
    </font>
    <font>
      <sz val="8"/>
      <color theme="1"/>
      <name val="Calibri"/>
      <family val="2"/>
      <scheme val="minor"/>
    </font>
    <font>
      <sz val="11"/>
      <color rgb="FF9C5700"/>
      <name val="Calibri"/>
      <family val="2"/>
      <scheme val="minor"/>
    </font>
    <font>
      <sz val="11"/>
      <color rgb="FF3F3F76"/>
      <name val="Calibri"/>
      <family val="2"/>
      <scheme val="minor"/>
    </font>
    <font>
      <sz val="11"/>
      <color theme="1"/>
      <name val="Times New Roman"/>
      <family val="1"/>
    </font>
    <font>
      <b/>
      <sz val="12"/>
      <color theme="1"/>
      <name val="Times New Roman"/>
      <family val="1"/>
    </font>
    <font>
      <b/>
      <i/>
      <sz val="12"/>
      <color theme="1"/>
      <name val="Times New Roman"/>
      <family val="1"/>
    </font>
    <font>
      <sz val="10"/>
      <color theme="1"/>
      <name val="Times New Roman"/>
      <family val="1"/>
    </font>
    <font>
      <i/>
      <sz val="10"/>
      <color theme="1"/>
      <name val="Times New Roman"/>
      <family val="1"/>
    </font>
    <font>
      <sz val="10"/>
      <color rgb="FF000000"/>
      <name val="Times New Roman"/>
      <family val="1"/>
    </font>
    <font>
      <b/>
      <sz val="7.5"/>
      <color theme="1"/>
      <name val="Arial"/>
      <family val="2"/>
    </font>
    <font>
      <b/>
      <sz val="7.5"/>
      <color rgb="FF0000FF"/>
      <name val="Arial"/>
      <family val="2"/>
    </font>
    <font>
      <sz val="10"/>
      <color rgb="FF0000FF"/>
      <name val="Times New Roman"/>
      <family val="1"/>
    </font>
    <font>
      <sz val="7.5"/>
      <color theme="1"/>
      <name val="Times New Roman"/>
      <family val="1"/>
    </font>
    <font>
      <b/>
      <sz val="11"/>
      <color rgb="FFFFFFFF"/>
      <name val="Times New Roman"/>
      <family val="1"/>
    </font>
    <font>
      <b/>
      <sz val="10"/>
      <color theme="1"/>
      <name val="Times New Roman"/>
      <family val="1"/>
    </font>
    <font>
      <sz val="5"/>
      <color rgb="FFCE9178"/>
      <name val="Consolas"/>
      <family val="3"/>
    </font>
  </fonts>
  <fills count="17">
    <fill>
      <patternFill patternType="none"/>
    </fill>
    <fill>
      <patternFill patternType="gray125"/>
    </fill>
    <fill>
      <patternFill patternType="solid">
        <fgColor rgb="FFC6EFCE"/>
      </patternFill>
    </fill>
    <fill>
      <patternFill patternType="solid">
        <fgColor rgb="FFFFC7CE"/>
      </patternFill>
    </fill>
    <fill>
      <patternFill patternType="solid">
        <fgColor rgb="FFFFFFCC"/>
      </patternFill>
    </fill>
    <fill>
      <patternFill patternType="solid">
        <fgColor theme="4"/>
        <bgColor theme="4"/>
      </patternFill>
    </fill>
    <fill>
      <patternFill patternType="solid">
        <fgColor theme="4" tint="0.79998168889431442"/>
        <bgColor theme="4" tint="0.79998168889431442"/>
      </patternFill>
    </fill>
    <fill>
      <patternFill patternType="solid">
        <fgColor rgb="FFFFEB9C"/>
      </patternFill>
    </fill>
    <fill>
      <patternFill patternType="solid">
        <fgColor rgb="FFFFCC99"/>
      </patternFill>
    </fill>
    <fill>
      <patternFill patternType="solid">
        <fgColor rgb="FFC0C0C0"/>
        <bgColor indexed="64"/>
      </patternFill>
    </fill>
    <fill>
      <patternFill patternType="solid">
        <fgColor rgb="FFFFFFFF"/>
        <bgColor indexed="64"/>
      </patternFill>
    </fill>
    <fill>
      <patternFill patternType="solid">
        <fgColor rgb="FF00FF00"/>
        <bgColor indexed="64"/>
      </patternFill>
    </fill>
    <fill>
      <patternFill patternType="solid">
        <fgColor rgb="FF808080"/>
        <bgColor indexed="64"/>
      </patternFill>
    </fill>
    <fill>
      <patternFill patternType="solid">
        <fgColor rgb="FF00FFFF"/>
        <bgColor indexed="64"/>
      </patternFill>
    </fill>
    <fill>
      <patternFill patternType="solid">
        <fgColor rgb="FFFFFF00"/>
        <bgColor indexed="64"/>
      </patternFill>
    </fill>
    <fill>
      <patternFill patternType="solid">
        <fgColor rgb="FFFF0000"/>
        <bgColor indexed="64"/>
      </patternFill>
    </fill>
    <fill>
      <patternFill patternType="solid">
        <fgColor rgb="FF000000"/>
        <bgColor indexed="64"/>
      </patternFill>
    </fill>
  </fills>
  <borders count="23">
    <border>
      <left/>
      <right/>
      <top/>
      <bottom/>
      <diagonal/>
    </border>
    <border>
      <left style="thin">
        <color rgb="FFB2B2B2"/>
      </left>
      <right style="thin">
        <color rgb="FFB2B2B2"/>
      </right>
      <top style="thin">
        <color rgb="FFB2B2B2"/>
      </top>
      <bottom style="thin">
        <color rgb="FFB2B2B2"/>
      </bottom>
      <diagonal/>
    </border>
    <border>
      <left/>
      <right/>
      <top/>
      <bottom style="thin">
        <color rgb="FFB2B2B2"/>
      </bottom>
      <diagonal/>
    </border>
    <border>
      <left/>
      <right style="thin">
        <color rgb="FFB2B2B2"/>
      </right>
      <top style="thin">
        <color rgb="FFB2B2B2"/>
      </top>
      <bottom style="thin">
        <color rgb="FFB2B2B2"/>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rgb="FFB2B2B2"/>
      </left>
      <right style="thin">
        <color rgb="FFB2B2B2"/>
      </right>
      <top/>
      <bottom/>
      <diagonal/>
    </border>
    <border>
      <left style="thin">
        <color rgb="FF7F7F7F"/>
      </left>
      <right style="thin">
        <color rgb="FF7F7F7F"/>
      </right>
      <top style="thin">
        <color rgb="FF7F7F7F"/>
      </top>
      <bottom style="thin">
        <color rgb="FF7F7F7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7F7F7F"/>
      </left>
      <right style="thin">
        <color rgb="FF7F7F7F"/>
      </right>
      <top style="thin">
        <color rgb="FF7F7F7F"/>
      </top>
      <bottom/>
      <diagonal/>
    </border>
    <border>
      <left style="thin">
        <color rgb="FF000000"/>
      </left>
      <right style="thin">
        <color rgb="FF000000"/>
      </right>
      <top/>
      <bottom/>
      <diagonal/>
    </border>
  </borders>
  <cellStyleXfs count="8">
    <xf numFmtId="0" fontId="0" fillId="0" borderId="0"/>
    <xf numFmtId="0" fontId="2" fillId="2" borderId="0" applyNumberFormat="0" applyBorder="0" applyAlignment="0" applyProtection="0"/>
    <xf numFmtId="0" fontId="3" fillId="3" borderId="0" applyNumberFormat="0" applyBorder="0" applyAlignment="0" applyProtection="0"/>
    <xf numFmtId="0" fontId="1" fillId="4" borderId="1" applyNumberFormat="0" applyFont="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9" fillId="7" borderId="0" applyNumberFormat="0" applyBorder="0" applyAlignment="0" applyProtection="0"/>
    <xf numFmtId="0" fontId="10" fillId="8" borderId="8" applyNumberFormat="0" applyAlignment="0" applyProtection="0"/>
  </cellStyleXfs>
  <cellXfs count="86">
    <xf numFmtId="0" fontId="0" fillId="0" borderId="0" xfId="0"/>
    <xf numFmtId="0" fontId="4" fillId="0" borderId="0" xfId="0" applyFont="1"/>
    <xf numFmtId="0" fontId="2" fillId="2" borderId="0" xfId="1"/>
    <xf numFmtId="0" fontId="3" fillId="3" borderId="0" xfId="2"/>
    <xf numFmtId="0" fontId="2" fillId="4" borderId="1" xfId="3" applyFont="1"/>
    <xf numFmtId="0" fontId="4" fillId="4" borderId="1" xfId="3" applyFont="1"/>
    <xf numFmtId="0" fontId="2" fillId="4" borderId="3" xfId="3" applyFont="1" applyBorder="1"/>
    <xf numFmtId="0" fontId="0" fillId="0" borderId="2" xfId="0" applyBorder="1"/>
    <xf numFmtId="0" fontId="5" fillId="0" borderId="0" xfId="4"/>
    <xf numFmtId="0" fontId="2" fillId="4" borderId="2" xfId="3" applyFont="1" applyBorder="1"/>
    <xf numFmtId="0" fontId="0" fillId="6" borderId="4" xfId="0" applyFill="1" applyBorder="1"/>
    <xf numFmtId="0" fontId="0" fillId="0" borderId="4" xfId="0" applyBorder="1"/>
    <xf numFmtId="0" fontId="0" fillId="6" borderId="5" xfId="0" applyFill="1" applyBorder="1"/>
    <xf numFmtId="0" fontId="0" fillId="0" borderId="5" xfId="0" applyBorder="1"/>
    <xf numFmtId="0" fontId="6" fillId="0" borderId="0" xfId="5"/>
    <xf numFmtId="164" fontId="0" fillId="0" borderId="0" xfId="0" applyNumberFormat="1"/>
    <xf numFmtId="0" fontId="6" fillId="5" borderId="4" xfId="5" applyFill="1" applyBorder="1"/>
    <xf numFmtId="0" fontId="6" fillId="5" borderId="5" xfId="5" applyFill="1" applyBorder="1"/>
    <xf numFmtId="22" fontId="0" fillId="0" borderId="0" xfId="0" applyNumberFormat="1"/>
    <xf numFmtId="0" fontId="0" fillId="0" borderId="0" xfId="0" applyAlignment="1">
      <alignment wrapText="1"/>
    </xf>
    <xf numFmtId="0" fontId="0" fillId="6" borderId="6" xfId="0" applyFill="1" applyBorder="1"/>
    <xf numFmtId="0" fontId="0" fillId="0" borderId="6" xfId="0" applyBorder="1"/>
    <xf numFmtId="22" fontId="0" fillId="0" borderId="6" xfId="0" applyNumberFormat="1" applyBorder="1"/>
    <xf numFmtId="0" fontId="2" fillId="4" borderId="7" xfId="3" applyFont="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vertical="center" wrapText="1"/>
    </xf>
    <xf numFmtId="0" fontId="0" fillId="0" borderId="0" xfId="0" quotePrefix="1"/>
    <xf numFmtId="0" fontId="8" fillId="0" borderId="0" xfId="0" applyFont="1" applyAlignment="1">
      <alignment vertical="center" wrapText="1"/>
    </xf>
    <xf numFmtId="0" fontId="8" fillId="0" borderId="0" xfId="0" applyFont="1"/>
    <xf numFmtId="0" fontId="0" fillId="0" borderId="2" xfId="0" applyBorder="1" applyAlignment="1">
      <alignment horizontal="center"/>
    </xf>
    <xf numFmtId="0" fontId="0" fillId="0" borderId="0" xfId="0" applyAlignment="1">
      <alignment horizontal="center"/>
    </xf>
    <xf numFmtId="0" fontId="9" fillId="7" borderId="0" xfId="6" applyAlignment="1">
      <alignment horizontal="center"/>
    </xf>
    <xf numFmtId="0" fontId="10" fillId="8" borderId="8" xfId="7"/>
    <xf numFmtId="0" fontId="12" fillId="10" borderId="9" xfId="0" applyFont="1" applyFill="1" applyBorder="1" applyAlignment="1">
      <alignment horizontal="center" vertical="center" wrapText="1"/>
    </xf>
    <xf numFmtId="0" fontId="14" fillId="9" borderId="9" xfId="0" applyFont="1" applyFill="1" applyBorder="1" applyAlignment="1">
      <alignment horizontal="center" vertical="center" wrapText="1"/>
    </xf>
    <xf numFmtId="0" fontId="14" fillId="9" borderId="9" xfId="0" applyFont="1" applyFill="1" applyBorder="1" applyAlignment="1">
      <alignment vertical="center" wrapText="1"/>
    </xf>
    <xf numFmtId="0" fontId="16" fillId="9" borderId="9" xfId="0" applyFont="1" applyFill="1" applyBorder="1" applyAlignment="1">
      <alignment horizontal="center" vertical="center" wrapText="1"/>
    </xf>
    <xf numFmtId="0" fontId="5" fillId="9" borderId="9" xfId="4" applyFill="1" applyBorder="1" applyAlignment="1">
      <alignment horizontal="center" vertical="center" wrapText="1"/>
    </xf>
    <xf numFmtId="0" fontId="14" fillId="11" borderId="9" xfId="0" applyFont="1" applyFill="1" applyBorder="1" applyAlignment="1">
      <alignment horizontal="center" vertical="center" wrapText="1"/>
    </xf>
    <xf numFmtId="0" fontId="5" fillId="11" borderId="9" xfId="4" applyFill="1" applyBorder="1" applyAlignment="1">
      <alignment horizontal="center" vertical="center" wrapText="1"/>
    </xf>
    <xf numFmtId="0" fontId="11" fillId="12" borderId="9" xfId="0" applyFont="1" applyFill="1" applyBorder="1" applyAlignment="1">
      <alignment horizontal="center" vertical="center" wrapText="1"/>
    </xf>
    <xf numFmtId="0" fontId="14" fillId="12" borderId="9" xfId="0" applyFont="1" applyFill="1" applyBorder="1" applyAlignment="1">
      <alignment horizontal="center" vertical="center" wrapText="1"/>
    </xf>
    <xf numFmtId="0" fontId="5" fillId="9" borderId="9" xfId="4" applyFill="1" applyBorder="1" applyAlignment="1">
      <alignment vertical="center" wrapText="1"/>
    </xf>
    <xf numFmtId="0" fontId="5" fillId="13" borderId="9" xfId="4" applyFill="1" applyBorder="1" applyAlignment="1">
      <alignment horizontal="center" vertical="center" wrapText="1"/>
    </xf>
    <xf numFmtId="0" fontId="5" fillId="14" borderId="9" xfId="4" applyFill="1" applyBorder="1" applyAlignment="1">
      <alignment horizontal="center" vertical="center" wrapText="1"/>
    </xf>
    <xf numFmtId="0" fontId="15" fillId="9" borderId="9" xfId="0" applyFont="1" applyFill="1" applyBorder="1" applyAlignment="1">
      <alignment vertical="center" wrapText="1"/>
    </xf>
    <xf numFmtId="0" fontId="16" fillId="11" borderId="9" xfId="0" applyFont="1" applyFill="1" applyBorder="1" applyAlignment="1">
      <alignment horizontal="center" vertical="center" wrapText="1"/>
    </xf>
    <xf numFmtId="0" fontId="14" fillId="15" borderId="9" xfId="0" applyFont="1" applyFill="1" applyBorder="1" applyAlignment="1">
      <alignment horizontal="center" vertical="center" wrapText="1"/>
    </xf>
    <xf numFmtId="0" fontId="16" fillId="15" borderId="9" xfId="0" applyFont="1" applyFill="1" applyBorder="1" applyAlignment="1">
      <alignment horizontal="center" vertical="center" wrapText="1"/>
    </xf>
    <xf numFmtId="0" fontId="5" fillId="15" borderId="9" xfId="4" applyFill="1" applyBorder="1" applyAlignment="1">
      <alignment horizontal="center" vertical="center" wrapText="1"/>
    </xf>
    <xf numFmtId="0" fontId="19" fillId="11" borderId="9" xfId="0" applyFont="1" applyFill="1" applyBorder="1" applyAlignment="1">
      <alignment horizontal="center" vertical="center" wrapText="1"/>
    </xf>
    <xf numFmtId="0" fontId="20" fillId="12" borderId="9" xfId="0" applyFont="1" applyFill="1" applyBorder="1" applyAlignment="1">
      <alignment horizontal="center" vertical="center" wrapText="1"/>
    </xf>
    <xf numFmtId="11" fontId="14" fillId="9" borderId="9" xfId="0" applyNumberFormat="1" applyFont="1" applyFill="1" applyBorder="1" applyAlignment="1">
      <alignment horizontal="center" vertical="center" wrapText="1"/>
    </xf>
    <xf numFmtId="0" fontId="14" fillId="10" borderId="9" xfId="0" applyFont="1" applyFill="1" applyBorder="1" applyAlignment="1">
      <alignment horizontal="center" vertical="center" wrapText="1"/>
    </xf>
    <xf numFmtId="0" fontId="3" fillId="3" borderId="4" xfId="2" applyBorder="1"/>
    <xf numFmtId="0" fontId="9" fillId="7" borderId="0" xfId="6" applyBorder="1" applyAlignment="1">
      <alignment horizontal="center"/>
    </xf>
    <xf numFmtId="0" fontId="10" fillId="8" borderId="21" xfId="7" applyBorder="1"/>
    <xf numFmtId="0" fontId="12" fillId="10" borderId="22" xfId="0" applyFont="1" applyFill="1" applyBorder="1" applyAlignment="1">
      <alignment horizontal="center" vertical="center" wrapText="1"/>
    </xf>
    <xf numFmtId="0" fontId="14" fillId="9" borderId="0" xfId="0" applyFont="1" applyFill="1" applyAlignment="1">
      <alignment horizontal="center" vertical="center" wrapText="1"/>
    </xf>
    <xf numFmtId="0" fontId="0" fillId="0" borderId="9" xfId="0" applyBorder="1"/>
    <xf numFmtId="0" fontId="23" fillId="0" borderId="0" xfId="0" applyFont="1" applyAlignment="1">
      <alignment vertical="center"/>
    </xf>
    <xf numFmtId="0" fontId="14" fillId="9" borderId="10" xfId="0" applyFont="1" applyFill="1" applyBorder="1" applyAlignment="1">
      <alignment horizontal="center" vertical="center" wrapText="1"/>
    </xf>
    <xf numFmtId="0" fontId="14" fillId="9" borderId="12" xfId="0" applyFont="1" applyFill="1" applyBorder="1" applyAlignment="1">
      <alignment horizontal="center" vertical="center" wrapText="1"/>
    </xf>
    <xf numFmtId="0" fontId="14" fillId="9" borderId="11" xfId="0" applyFont="1" applyFill="1" applyBorder="1" applyAlignment="1">
      <alignment horizontal="center" vertical="center" wrapText="1"/>
    </xf>
    <xf numFmtId="0" fontId="14" fillId="12" borderId="10" xfId="0" applyFont="1" applyFill="1" applyBorder="1" applyAlignment="1">
      <alignment horizontal="center" vertical="center" wrapText="1"/>
    </xf>
    <xf numFmtId="0" fontId="14" fillId="12" borderId="11" xfId="0" applyFont="1" applyFill="1" applyBorder="1" applyAlignment="1">
      <alignment horizontal="center" vertical="center" wrapText="1"/>
    </xf>
    <xf numFmtId="0" fontId="14" fillId="16" borderId="10" xfId="0" applyFont="1" applyFill="1" applyBorder="1" applyAlignment="1">
      <alignment horizontal="center" vertical="center" wrapText="1"/>
    </xf>
    <xf numFmtId="0" fontId="14" fillId="16" borderId="12" xfId="0" applyFont="1" applyFill="1" applyBorder="1" applyAlignment="1">
      <alignment horizontal="center" vertical="center" wrapText="1"/>
    </xf>
    <xf numFmtId="0" fontId="14" fillId="16" borderId="11" xfId="0" applyFont="1" applyFill="1" applyBorder="1" applyAlignment="1">
      <alignment horizontal="center" vertical="center" wrapText="1"/>
    </xf>
    <xf numFmtId="0" fontId="11" fillId="12" borderId="13" xfId="0" applyFont="1" applyFill="1" applyBorder="1" applyAlignment="1">
      <alignment horizontal="center" vertical="center" wrapText="1"/>
    </xf>
    <xf numFmtId="0" fontId="11" fillId="12" borderId="14" xfId="0" applyFont="1" applyFill="1" applyBorder="1" applyAlignment="1">
      <alignment horizontal="center" vertical="center" wrapText="1"/>
    </xf>
    <xf numFmtId="0" fontId="11" fillId="12" borderId="15" xfId="0" applyFont="1" applyFill="1" applyBorder="1" applyAlignment="1">
      <alignment horizontal="center" vertical="center" wrapText="1"/>
    </xf>
    <xf numFmtId="0" fontId="11" fillId="12" borderId="16" xfId="0" applyFont="1" applyFill="1" applyBorder="1" applyAlignment="1">
      <alignment horizontal="center" vertical="center" wrapText="1"/>
    </xf>
    <xf numFmtId="0" fontId="11" fillId="12" borderId="0" xfId="0" applyFont="1" applyFill="1" applyAlignment="1">
      <alignment horizontal="center" vertical="center" wrapText="1"/>
    </xf>
    <xf numFmtId="0" fontId="11" fillId="12" borderId="17" xfId="0" applyFont="1" applyFill="1" applyBorder="1" applyAlignment="1">
      <alignment horizontal="center" vertical="center" wrapText="1"/>
    </xf>
    <xf numFmtId="0" fontId="11" fillId="12" borderId="18" xfId="0" applyFont="1" applyFill="1" applyBorder="1" applyAlignment="1">
      <alignment horizontal="center" vertical="center" wrapText="1"/>
    </xf>
    <xf numFmtId="0" fontId="11" fillId="12" borderId="19" xfId="0" applyFont="1" applyFill="1" applyBorder="1" applyAlignment="1">
      <alignment horizontal="center" vertical="center" wrapText="1"/>
    </xf>
    <xf numFmtId="0" fontId="11" fillId="12" borderId="20" xfId="0" applyFont="1" applyFill="1" applyBorder="1" applyAlignment="1">
      <alignment horizontal="center" vertical="center" wrapText="1"/>
    </xf>
    <xf numFmtId="0" fontId="21" fillId="16" borderId="10" xfId="0" applyFont="1" applyFill="1" applyBorder="1" applyAlignment="1">
      <alignment horizontal="center" vertical="center" wrapText="1"/>
    </xf>
    <xf numFmtId="0" fontId="21" fillId="16" borderId="12" xfId="0" applyFont="1" applyFill="1" applyBorder="1" applyAlignment="1">
      <alignment horizontal="center" vertical="center" wrapText="1"/>
    </xf>
    <xf numFmtId="0" fontId="21" fillId="16" borderId="11" xfId="0" applyFont="1" applyFill="1" applyBorder="1" applyAlignment="1">
      <alignment horizontal="center" vertical="center" wrapText="1"/>
    </xf>
    <xf numFmtId="0" fontId="22" fillId="12" borderId="10" xfId="0" applyFont="1" applyFill="1" applyBorder="1" applyAlignment="1">
      <alignment horizontal="center" vertical="center" wrapText="1"/>
    </xf>
    <xf numFmtId="0" fontId="22" fillId="12" borderId="12" xfId="0" applyFont="1" applyFill="1" applyBorder="1" applyAlignment="1">
      <alignment horizontal="center" vertical="center" wrapText="1"/>
    </xf>
    <xf numFmtId="0" fontId="22" fillId="12" borderId="11" xfId="0" applyFont="1" applyFill="1" applyBorder="1" applyAlignment="1">
      <alignment horizontal="center" vertical="center" wrapText="1"/>
    </xf>
  </cellXfs>
  <cellStyles count="8">
    <cellStyle name="Bad" xfId="2" builtinId="27"/>
    <cellStyle name="Good" xfId="1" builtinId="26"/>
    <cellStyle name="Heading 4" xfId="5" builtinId="19"/>
    <cellStyle name="Hyperlink" xfId="4" builtinId="8"/>
    <cellStyle name="Input" xfId="7" builtinId="20"/>
    <cellStyle name="Neutral" xfId="6" builtinId="28"/>
    <cellStyle name="Normal" xfId="0" builtinId="0"/>
    <cellStyle name="Note" xfId="3" builtinId="10"/>
  </cellStyles>
  <dxfs count="45">
    <dxf>
      <alignment horizontal="general" vertical="bottom" textRotation="0" wrapText="1" indent="0" justifyLastLine="0" shrinkToFit="0" readingOrder="0"/>
    </dxf>
    <dxf>
      <alignment horizontal="general" vertical="bottom" textRotation="0" wrapText="1" indent="0" justifyLastLine="0" shrinkToFit="0" readingOrder="0"/>
    </dxf>
    <dxf>
      <numFmt numFmtId="27" formatCode="m/d/yyyy\ h:mm"/>
    </dxf>
    <dxf>
      <numFmt numFmtId="27" formatCode="m/d/yyyy\ h:mm"/>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
      <numFmt numFmtId="0" formatCode="General"/>
    </dxf>
    <dxf>
      <border outline="0">
        <bottom style="thin">
          <color rgb="FFB2B2B2"/>
        </bottom>
      </border>
    </dxf>
    <dxf>
      <numFmt numFmtId="0" formatCode="General"/>
    </dxf>
    <dxf>
      <numFmt numFmtId="0" formatCode="General"/>
    </dxf>
    <dxf>
      <border outline="0">
        <bottom style="thin">
          <color rgb="FFB2B2B2"/>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19</xdr:row>
      <xdr:rowOff>0</xdr:rowOff>
    </xdr:from>
    <xdr:to>
      <xdr:col>4</xdr:col>
      <xdr:colOff>87086</xdr:colOff>
      <xdr:row>19</xdr:row>
      <xdr:rowOff>87086</xdr:rowOff>
    </xdr:to>
    <xdr:pic>
      <xdr:nvPicPr>
        <xdr:cNvPr id="2" name="Picture 1">
          <a:extLst>
            <a:ext uri="{FF2B5EF4-FFF2-40B4-BE49-F238E27FC236}">
              <a16:creationId xmlns:a16="http://schemas.microsoft.com/office/drawing/2014/main" id="{B524ACCF-4DCF-403B-8347-3FACD9D09B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9429" y="11049000"/>
          <a:ext cx="87085" cy="870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39</xdr:row>
      <xdr:rowOff>0</xdr:rowOff>
    </xdr:from>
    <xdr:to>
      <xdr:col>4</xdr:col>
      <xdr:colOff>87086</xdr:colOff>
      <xdr:row>39</xdr:row>
      <xdr:rowOff>87086</xdr:rowOff>
    </xdr:to>
    <xdr:pic>
      <xdr:nvPicPr>
        <xdr:cNvPr id="3" name="Picture 2">
          <a:extLst>
            <a:ext uri="{FF2B5EF4-FFF2-40B4-BE49-F238E27FC236}">
              <a16:creationId xmlns:a16="http://schemas.microsoft.com/office/drawing/2014/main" id="{2D42589E-2092-434A-9241-68AD17A989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9429" y="19278600"/>
          <a:ext cx="87085" cy="870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58</xdr:row>
      <xdr:rowOff>0</xdr:rowOff>
    </xdr:from>
    <xdr:to>
      <xdr:col>4</xdr:col>
      <xdr:colOff>87086</xdr:colOff>
      <xdr:row>58</xdr:row>
      <xdr:rowOff>87086</xdr:rowOff>
    </xdr:to>
    <xdr:pic>
      <xdr:nvPicPr>
        <xdr:cNvPr id="4" name="Picture 3">
          <a:extLst>
            <a:ext uri="{FF2B5EF4-FFF2-40B4-BE49-F238E27FC236}">
              <a16:creationId xmlns:a16="http://schemas.microsoft.com/office/drawing/2014/main" id="{BCCE16FA-41D9-4E44-8083-78D8839322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9429" y="30752143"/>
          <a:ext cx="87085" cy="870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77</xdr:row>
      <xdr:rowOff>0</xdr:rowOff>
    </xdr:from>
    <xdr:to>
      <xdr:col>4</xdr:col>
      <xdr:colOff>87086</xdr:colOff>
      <xdr:row>77</xdr:row>
      <xdr:rowOff>87086</xdr:rowOff>
    </xdr:to>
    <xdr:pic>
      <xdr:nvPicPr>
        <xdr:cNvPr id="5" name="Picture 4">
          <a:extLst>
            <a:ext uri="{FF2B5EF4-FFF2-40B4-BE49-F238E27FC236}">
              <a16:creationId xmlns:a16="http://schemas.microsoft.com/office/drawing/2014/main" id="{81104617-2D44-47A6-9B69-CF129F177F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9429" y="40745229"/>
          <a:ext cx="87085" cy="870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89</xdr:row>
      <xdr:rowOff>0</xdr:rowOff>
    </xdr:from>
    <xdr:to>
      <xdr:col>4</xdr:col>
      <xdr:colOff>87086</xdr:colOff>
      <xdr:row>89</xdr:row>
      <xdr:rowOff>87086</xdr:rowOff>
    </xdr:to>
    <xdr:pic>
      <xdr:nvPicPr>
        <xdr:cNvPr id="6" name="Picture 5">
          <a:extLst>
            <a:ext uri="{FF2B5EF4-FFF2-40B4-BE49-F238E27FC236}">
              <a16:creationId xmlns:a16="http://schemas.microsoft.com/office/drawing/2014/main" id="{8109514D-61D1-4EF6-A101-057427D2D7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9429" y="46427571"/>
          <a:ext cx="87085" cy="870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90</xdr:row>
      <xdr:rowOff>0</xdr:rowOff>
    </xdr:from>
    <xdr:to>
      <xdr:col>4</xdr:col>
      <xdr:colOff>87086</xdr:colOff>
      <xdr:row>90</xdr:row>
      <xdr:rowOff>87086</xdr:rowOff>
    </xdr:to>
    <xdr:pic>
      <xdr:nvPicPr>
        <xdr:cNvPr id="7" name="Picture 6">
          <a:extLst>
            <a:ext uri="{FF2B5EF4-FFF2-40B4-BE49-F238E27FC236}">
              <a16:creationId xmlns:a16="http://schemas.microsoft.com/office/drawing/2014/main" id="{B72AB8A4-B8F8-4A7A-92C1-DB5EC56347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9429" y="46754143"/>
          <a:ext cx="87085" cy="870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106</xdr:row>
      <xdr:rowOff>0</xdr:rowOff>
    </xdr:from>
    <xdr:to>
      <xdr:col>4</xdr:col>
      <xdr:colOff>87086</xdr:colOff>
      <xdr:row>106</xdr:row>
      <xdr:rowOff>87086</xdr:rowOff>
    </xdr:to>
    <xdr:pic>
      <xdr:nvPicPr>
        <xdr:cNvPr id="8" name="Picture 7">
          <a:extLst>
            <a:ext uri="{FF2B5EF4-FFF2-40B4-BE49-F238E27FC236}">
              <a16:creationId xmlns:a16="http://schemas.microsoft.com/office/drawing/2014/main" id="{C725F0B9-1F5C-4181-8471-90771E186E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9429" y="53753657"/>
          <a:ext cx="87085" cy="870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118</xdr:row>
      <xdr:rowOff>0</xdr:rowOff>
    </xdr:from>
    <xdr:to>
      <xdr:col>4</xdr:col>
      <xdr:colOff>87086</xdr:colOff>
      <xdr:row>118</xdr:row>
      <xdr:rowOff>87086</xdr:rowOff>
    </xdr:to>
    <xdr:pic>
      <xdr:nvPicPr>
        <xdr:cNvPr id="9" name="Picture 8">
          <a:extLst>
            <a:ext uri="{FF2B5EF4-FFF2-40B4-BE49-F238E27FC236}">
              <a16:creationId xmlns:a16="http://schemas.microsoft.com/office/drawing/2014/main" id="{C22187FA-7D6E-46DB-BDD1-B22F14E36D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9429" y="61961486"/>
          <a:ext cx="87085" cy="870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119</xdr:row>
      <xdr:rowOff>0</xdr:rowOff>
    </xdr:from>
    <xdr:to>
      <xdr:col>4</xdr:col>
      <xdr:colOff>87086</xdr:colOff>
      <xdr:row>119</xdr:row>
      <xdr:rowOff>87086</xdr:rowOff>
    </xdr:to>
    <xdr:pic>
      <xdr:nvPicPr>
        <xdr:cNvPr id="10" name="Picture 9">
          <a:extLst>
            <a:ext uri="{FF2B5EF4-FFF2-40B4-BE49-F238E27FC236}">
              <a16:creationId xmlns:a16="http://schemas.microsoft.com/office/drawing/2014/main" id="{A874DF3D-2C47-46C2-88B5-1EE043EE4D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9429" y="62331600"/>
          <a:ext cx="87085" cy="870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135</xdr:row>
      <xdr:rowOff>0</xdr:rowOff>
    </xdr:from>
    <xdr:to>
      <xdr:col>4</xdr:col>
      <xdr:colOff>87086</xdr:colOff>
      <xdr:row>135</xdr:row>
      <xdr:rowOff>87086</xdr:rowOff>
    </xdr:to>
    <xdr:pic>
      <xdr:nvPicPr>
        <xdr:cNvPr id="11" name="Picture 10">
          <a:extLst>
            <a:ext uri="{FF2B5EF4-FFF2-40B4-BE49-F238E27FC236}">
              <a16:creationId xmlns:a16="http://schemas.microsoft.com/office/drawing/2014/main" id="{B8CFB508-BD77-47DA-859B-9197505AA1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9429" y="71268771"/>
          <a:ext cx="87085" cy="870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154</xdr:row>
      <xdr:rowOff>0</xdr:rowOff>
    </xdr:from>
    <xdr:to>
      <xdr:col>4</xdr:col>
      <xdr:colOff>87086</xdr:colOff>
      <xdr:row>154</xdr:row>
      <xdr:rowOff>87086</xdr:rowOff>
    </xdr:to>
    <xdr:pic>
      <xdr:nvPicPr>
        <xdr:cNvPr id="12" name="Picture 11">
          <a:extLst>
            <a:ext uri="{FF2B5EF4-FFF2-40B4-BE49-F238E27FC236}">
              <a16:creationId xmlns:a16="http://schemas.microsoft.com/office/drawing/2014/main" id="{225EC387-3419-4B7A-A843-5B0760F97B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9429" y="81153000"/>
          <a:ext cx="87085" cy="870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183</xdr:row>
      <xdr:rowOff>0</xdr:rowOff>
    </xdr:from>
    <xdr:to>
      <xdr:col>4</xdr:col>
      <xdr:colOff>87086</xdr:colOff>
      <xdr:row>183</xdr:row>
      <xdr:rowOff>87086</xdr:rowOff>
    </xdr:to>
    <xdr:pic>
      <xdr:nvPicPr>
        <xdr:cNvPr id="13" name="Picture 12">
          <a:extLst>
            <a:ext uri="{FF2B5EF4-FFF2-40B4-BE49-F238E27FC236}">
              <a16:creationId xmlns:a16="http://schemas.microsoft.com/office/drawing/2014/main" id="{39D93086-4E54-4661-8A55-42552B7793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59429" y="91940743"/>
          <a:ext cx="87085" cy="870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ement Artaud" refreshedDate="45219.298199537036" createdVersion="7" refreshedVersion="8" minRefreshableVersion="3" recordCount="233" xr:uid="{E0E17D56-45E5-4D00-BCEA-5F9AA2C347C7}">
  <cacheSource type="worksheet">
    <worksheetSource name="GamesTable"/>
  </cacheSource>
  <cacheFields count="28">
    <cacheField name="Page" numFmtId="0">
      <sharedItems/>
    </cacheField>
    <cacheField name="#" numFmtId="0">
      <sharedItems containsNonDate="0" containsString="0" containsBlank="1"/>
    </cacheField>
    <cacheField name="game_id" numFmtId="0">
      <sharedItems containsBlank="1"/>
    </cacheField>
    <cacheField name="game title" numFmtId="0">
      <sharedItems containsBlank="1"/>
    </cacheField>
    <cacheField name="year" numFmtId="0">
      <sharedItems containsBlank="1" containsMixedTypes="1" containsNumber="1" containsInteger="1" minValue="1991" maxValue="2023"/>
    </cacheField>
    <cacheField name="publisher" numFmtId="0">
      <sharedItems containsBlank="1"/>
    </cacheField>
    <cacheField name="alt_title" numFmtId="0">
      <sharedItems containsBlank="1"/>
    </cacheField>
    <cacheField name="wiki" numFmtId="0">
      <sharedItems containsBlank="1"/>
    </cacheField>
    <cacheField name="IGDB id" numFmtId="0">
      <sharedItems containsString="0" containsBlank="1" containsNumber="1" containsInteger="1" minValue="1404" maxValue="75512"/>
    </cacheField>
    <cacheField name="hfs_id" numFmtId="0">
      <sharedItems containsString="0" containsBlank="1" containsNumber="1" containsInteger="1" minValue="29801" maxValue="255975"/>
    </cacheField>
    <cacheField name="Game Type" numFmtId="0">
      <sharedItems containsBlank="1" count="12">
        <m/>
        <s v="Licenced"/>
        <s v="Homebrew"/>
        <s v="Unreleased"/>
        <s v="Port"/>
        <s v="Unlicenced"/>
        <s v="Hack"/>
        <s v="intro demo"/>
        <s v="Bootleg"/>
        <s v="Homebrew port" u="1"/>
        <s v="Port / from NGCD" u="1"/>
        <s v="Unreleased Homebrew" u="1"/>
      </sharedItems>
    </cacheField>
    <cacheField name="Game Generation" numFmtId="0">
      <sharedItems containsBlank="1" count="4">
        <m/>
        <s v="NeoGeo Era"/>
        <s v="Post NeoGeo"/>
        <s v="NeoGeo Resurrection"/>
      </sharedItems>
    </cacheField>
    <cacheField name="Invert inGame screenshots" numFmtId="0">
      <sharedItems containsBlank="1"/>
    </cacheField>
    <cacheField name="game_bg_screenshot" numFmtId="0">
      <sharedItems containsBlank="1"/>
    </cacheField>
    <cacheField name="game_bg_shift" numFmtId="0">
      <sharedItems containsString="0" containsBlank="1" containsNumber="1" containsInteger="1" minValue="0" maxValue="500"/>
    </cacheField>
    <cacheField name="NGx-XXX" numFmtId="0">
      <sharedItems containsBlank="1" containsMixedTypes="1" containsNumber="1" containsInteger="1" minValue="1" maxValue="272"/>
    </cacheField>
    <cacheField name="MEGS" numFmtId="0">
      <sharedItems containsString="0" containsBlank="1" containsNumber="1" containsInteger="1" minValue="1" maxValue="1560"/>
    </cacheField>
    <cacheField name="Supported platforms" numFmtId="0">
      <sharedItems containsBlank="1"/>
    </cacheField>
    <cacheField name="JAMMA" numFmtId="0">
      <sharedItems containsBlank="1"/>
    </cacheField>
    <cacheField name="MVS" numFmtId="0">
      <sharedItems containsBlank="1"/>
    </cacheField>
    <cacheField name="AES" numFmtId="0">
      <sharedItems containsBlank="1"/>
    </cacheField>
    <cacheField name="NGCD" numFmtId="0">
      <sharedItems containsBlank="1"/>
    </cacheField>
    <cacheField name="ROM" numFmtId="0">
      <sharedItems containsBlank="1"/>
    </cacheField>
    <cacheField name="mvs scarcity" numFmtId="0">
      <sharedItems containsBlank="1" containsMixedTypes="1" containsNumber="1" containsInteger="1" minValue="1" maxValue="4"/>
    </cacheField>
    <cacheField name="aes scarcity" numFmtId="0">
      <sharedItems containsBlank="1" containsMixedTypes="1" containsNumber="1" containsInteger="1" minValue="1" maxValue="5"/>
    </cacheField>
    <cacheField name="ngcd scarcity" numFmtId="0">
      <sharedItems containsBlank="1" containsMixedTypes="1" containsNumber="1" containsInteger="1" minValue="1" maxValue="4"/>
    </cacheField>
    <cacheField name="ranking" numFmtId="0">
      <sharedItems containsString="0" containsBlank="1" containsNumber="1" containsInteger="1" minValue="1" maxValue="5"/>
    </cacheField>
    <cacheField name="debugdips-ngcomwiki-ref"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
  <r>
    <s v="cover_1"/>
    <m/>
    <m/>
    <m/>
    <m/>
    <m/>
    <m/>
    <m/>
    <m/>
    <m/>
    <x v="0"/>
    <x v="0"/>
    <m/>
    <m/>
    <m/>
    <m/>
    <m/>
    <m/>
    <m/>
    <m/>
    <m/>
    <m/>
    <m/>
    <m/>
    <m/>
    <m/>
    <m/>
    <m/>
  </r>
  <r>
    <s v="blank"/>
    <m/>
    <m/>
    <m/>
    <m/>
    <m/>
    <m/>
    <m/>
    <m/>
    <m/>
    <x v="0"/>
    <x v="0"/>
    <m/>
    <m/>
    <m/>
    <m/>
    <m/>
    <m/>
    <m/>
    <m/>
    <m/>
    <m/>
    <m/>
    <m/>
    <m/>
    <m/>
    <m/>
    <m/>
  </r>
  <r>
    <s v="credits"/>
    <m/>
    <m/>
    <m/>
    <m/>
    <m/>
    <m/>
    <m/>
    <m/>
    <m/>
    <x v="0"/>
    <x v="0"/>
    <m/>
    <m/>
    <m/>
    <m/>
    <m/>
    <m/>
    <m/>
    <m/>
    <m/>
    <m/>
    <m/>
    <m/>
    <m/>
    <m/>
    <m/>
    <m/>
  </r>
  <r>
    <s v="game"/>
    <m/>
    <s v="ngmag-2020bb"/>
    <s v="2020 Super Baseball"/>
    <s v="1991"/>
    <s v="SNK / Pallas"/>
    <s v="2020年スーパーベースボール"/>
    <s v="Super_Baseball_2020"/>
    <n v="39665"/>
    <n v="73881"/>
    <x v="1"/>
    <x v="1"/>
    <m/>
    <m/>
    <m/>
    <n v="30"/>
    <n v="46"/>
    <s v="MVSAESNGCD"/>
    <s v="NO"/>
    <s v="YES"/>
    <s v="YES"/>
    <s v="YES"/>
    <m/>
    <n v="2"/>
    <n v="1"/>
    <n v="1"/>
    <n v="3"/>
    <m/>
  </r>
  <r>
    <s v="game"/>
    <m/>
    <s v="ngmag-3countb"/>
    <s v="3 Count Bout"/>
    <s v="1993"/>
    <s v="SNK"/>
    <s v="ファイヤー・スープレックス Fire Suplex"/>
    <s v="3_Count_Bout"/>
    <n v="6734"/>
    <n v="73887"/>
    <x v="1"/>
    <x v="1"/>
    <m/>
    <m/>
    <m/>
    <n v="43"/>
    <n v="106"/>
    <s v="MVSAESNGCD"/>
    <s v="NO"/>
    <s v="YES"/>
    <s v="YES"/>
    <s v="YES"/>
    <m/>
    <n v="1"/>
    <n v="1"/>
    <n v="2"/>
    <n v="2"/>
    <s v="3 Count Bout / Fire Suplex [ne7]"/>
  </r>
  <r>
    <s v="game"/>
    <m/>
    <s v="ngmag-abyssalinfants"/>
    <s v="Abyssal Infants"/>
    <n v="2021"/>
    <s v="Kakoeimon"/>
    <m/>
    <m/>
    <m/>
    <n v="255400"/>
    <x v="2"/>
    <x v="2"/>
    <m/>
    <m/>
    <m/>
    <m/>
    <m/>
    <s v="ROM"/>
    <s v="NO"/>
    <s v="NO"/>
    <s v="NO"/>
    <s v="NO"/>
    <s v="YES"/>
    <m/>
    <m/>
    <m/>
    <m/>
    <m/>
  </r>
  <r>
    <s v="game"/>
    <m/>
    <s v="ngmag-adkworld"/>
    <s v="ADK World"/>
    <n v="1995"/>
    <s v="ADK"/>
    <s v="ADK ワールド"/>
    <m/>
    <m/>
    <n v="252643"/>
    <x v="1"/>
    <x v="1"/>
    <s v="X"/>
    <m/>
    <m/>
    <n v="91"/>
    <m/>
    <s v="NGCD"/>
    <s v="NO"/>
    <s v="NO"/>
    <s v="NO"/>
    <s v="YES"/>
    <m/>
    <m/>
    <m/>
    <m/>
    <m/>
    <m/>
  </r>
  <r>
    <s v="game"/>
    <m/>
    <s v="ngmag-sonicwi2"/>
    <s v="Aero Fighters 2"/>
    <s v="1994"/>
    <s v="Video System Co."/>
    <s v="ソニックウイングス2 Sonic Wings 2"/>
    <s v="Aero_Fighters_2"/>
    <n v="6773"/>
    <n v="74020"/>
    <x v="1"/>
    <x v="1"/>
    <m/>
    <s v="https://db.hfsplay.fr/files/2022/02/04/cafccf19-7a68-4373-9284-61aaee5bd345_lDOAb8Z.jpg"/>
    <n v="500"/>
    <n v="75"/>
    <n v="102"/>
    <s v="MVSAESNGCD"/>
    <s v="NO"/>
    <s v="YES"/>
    <s v="YES"/>
    <s v="YES"/>
    <m/>
    <n v="3"/>
    <n v="3"/>
    <n v="1"/>
    <n v="3"/>
    <m/>
  </r>
  <r>
    <s v="game"/>
    <m/>
    <s v="ngmag-sonicwi3"/>
    <s v="Aero Fighters 3"/>
    <s v="1995"/>
    <s v="Video System Co."/>
    <s v="ソニックウイングス3 Sonic Wings 3"/>
    <s v="Aero_Fighters_3"/>
    <n v="55051"/>
    <n v="74021"/>
    <x v="1"/>
    <x v="1"/>
    <m/>
    <m/>
    <m/>
    <n v="97"/>
    <n v="154"/>
    <s v="MVSAESNGCD"/>
    <s v="NO"/>
    <s v="YES"/>
    <s v="YES"/>
    <s v="YES"/>
    <m/>
    <n v="3"/>
    <n v="2"/>
    <n v="2"/>
    <n v="3"/>
    <s v="Aero Fighters 3 / Sonic Wings 3 [ne7]"/>
  </r>
  <r>
    <s v="game"/>
    <m/>
    <s v="ngmag-aodk"/>
    <s v="Aggressors of Dark Kombat"/>
    <s v="1994"/>
    <s v="ADK / SNK"/>
    <s v="痛快 ガンガン 行進曲 Tsuukai GANGAN Koushinkyoku"/>
    <s v="Aggressors_of_Dark_Kombat"/>
    <n v="39336"/>
    <n v="74043"/>
    <x v="1"/>
    <x v="1"/>
    <m/>
    <s v="https://www.fgbg.art/static/aodk_subway-388c2720e1179e02c079ac47dfb6d25e.gif"/>
    <n v="40"/>
    <n v="74"/>
    <n v="178"/>
    <s v="MVSAESNGCD"/>
    <s v="NO"/>
    <s v="YES"/>
    <s v="YES"/>
    <s v="YES"/>
    <m/>
    <n v="2"/>
    <n v="2"/>
    <n v="1"/>
    <n v="1"/>
    <m/>
  </r>
  <r>
    <s v="game"/>
    <m/>
    <s v="ngmag-alpham2"/>
    <s v="Alpha Mission II"/>
    <s v="1991"/>
    <s v="SNK"/>
    <s v="ASO II ラストガーディアン (ASO II - Last Guardian)"/>
    <s v="Alpha_Mission_II"/>
    <n v="13681"/>
    <n v="74141"/>
    <x v="1"/>
    <x v="1"/>
    <m/>
    <m/>
    <m/>
    <n v="7"/>
    <n v="47"/>
    <s v="MVSAESNGCD"/>
    <s v="NO"/>
    <s v="YES"/>
    <s v="YES"/>
    <s v="YES"/>
    <m/>
    <n v="2"/>
    <n v="2"/>
    <n v="2"/>
    <n v="2"/>
    <s v="ASO II / Alpha Mission II [ne7]"/>
  </r>
  <r>
    <s v="game"/>
    <m/>
    <s v="ngmag-androdun"/>
    <s v="Andro Dunos "/>
    <s v="1992"/>
    <s v="SNK"/>
    <s v="アンドロデュノス"/>
    <s v="Andro_Dunos"/>
    <n v="39622"/>
    <n v="29801"/>
    <x v="1"/>
    <x v="1"/>
    <m/>
    <m/>
    <m/>
    <n v="49"/>
    <n v="32"/>
    <s v="MVSAES"/>
    <s v="NO"/>
    <s v="YES"/>
    <s v="YES"/>
    <s v="NO"/>
    <m/>
    <n v="3"/>
    <n v="2"/>
    <m/>
    <n v="3"/>
    <m/>
  </r>
  <r>
    <s v="game"/>
    <m/>
    <s v="ngmag-aof"/>
    <s v="Art of Fighting"/>
    <s v="1992"/>
    <s v="SNK"/>
    <s v="龍虎の拳 Ryuuko no Ken"/>
    <s v="Art_of_Fighting"/>
    <n v="4514"/>
    <n v="74315"/>
    <x v="1"/>
    <x v="1"/>
    <m/>
    <s v="https://www.fgbg.art/static/aof_john_theGuardian-f82b5420bea65e52634e3dd360903bd1.gif"/>
    <n v="30"/>
    <n v="44"/>
    <n v="102"/>
    <s v="MVSAESNGCD"/>
    <s v="NO"/>
    <s v="YES"/>
    <s v="YES"/>
    <s v="YES"/>
    <m/>
    <n v="1"/>
    <n v="1"/>
    <n v="2"/>
    <n v="3"/>
    <s v="Art of Fighting"/>
  </r>
  <r>
    <s v="game"/>
    <m/>
    <s v="ngmag-aof2"/>
    <s v="Art of Fighting 2"/>
    <s v="1994"/>
    <s v="SNK"/>
    <s v="龍虎の拳2 Ryuuko no Ken 2"/>
    <m/>
    <n v="6556"/>
    <n v="74316"/>
    <x v="1"/>
    <x v="1"/>
    <m/>
    <s v="https://www.fgbg.art/static/aof2_gym-cad3286a5269bbd140af738c47bb1a43.gif"/>
    <n v="30"/>
    <n v="56"/>
    <n v="178"/>
    <s v="MVSAESNGCD"/>
    <s v="NO"/>
    <s v="YES"/>
    <s v="YES"/>
    <s v="YES"/>
    <m/>
    <n v="1"/>
    <n v="1"/>
    <n v="2"/>
    <n v="4"/>
    <s v="Art of Fighting 2"/>
  </r>
  <r>
    <s v="game"/>
    <m/>
    <s v="ngmag-aof3"/>
    <s v="Art of Fighting 3"/>
    <s v="1996"/>
    <s v="SNK"/>
    <s v="アート・オブ・ファイティング 龍虎の拳 外伝 Ryuuko no Ken Gaiden"/>
    <m/>
    <m/>
    <n v="29804"/>
    <x v="1"/>
    <x v="1"/>
    <m/>
    <s v="https://www.fgbg.art/static/aof3_gasStation-16730740691cc3d0572653e12791e80d.gif"/>
    <n v="30"/>
    <n v="96"/>
    <n v="298"/>
    <s v="MVSAESNGCD"/>
    <s v="NO"/>
    <s v="YES"/>
    <s v="YES"/>
    <s v="YES"/>
    <m/>
    <n v="1"/>
    <n v="4"/>
    <n v="2"/>
    <n v="4"/>
    <s v="Art of Fighting 3"/>
  </r>
  <r>
    <s v="game"/>
    <m/>
    <s v="ngmag-bakatono"/>
    <s v="Bakatonosama Mahjong Manyuuki "/>
    <s v="1991"/>
    <s v="Monolith Corp."/>
    <s v="バカ殿様 麻雀漫遊記"/>
    <m/>
    <n v="47575"/>
    <n v="74466"/>
    <x v="1"/>
    <x v="1"/>
    <s v="X"/>
    <m/>
    <m/>
    <n v="36"/>
    <n v="48"/>
    <s v="MVSAES"/>
    <s v="NO"/>
    <s v="YES"/>
    <s v="YES"/>
    <s v="NO"/>
    <m/>
    <n v="2"/>
    <n v="3"/>
    <m/>
    <n v="2"/>
    <m/>
  </r>
  <r>
    <s v="game"/>
    <m/>
    <s v="ngmag-b2b"/>
    <s v="Bang Bang Busters"/>
    <s v="2001"/>
    <s v="Visco"/>
    <s v="バンバン バスターズ"/>
    <s v="Bang_Bang_Busters"/>
    <n v="40189"/>
    <n v="74495"/>
    <x v="3"/>
    <x v="1"/>
    <m/>
    <m/>
    <m/>
    <m/>
    <n v="66"/>
    <s v=""/>
    <m/>
    <m/>
    <m/>
    <m/>
    <m/>
    <m/>
    <m/>
    <m/>
    <m/>
    <m/>
  </r>
  <r>
    <s v="game"/>
    <m/>
    <s v="ngmag-bangbead"/>
    <s v="Bang Bead"/>
    <s v="2000"/>
    <s v="Visco"/>
    <s v="バン・ビード"/>
    <m/>
    <m/>
    <n v="74496"/>
    <x v="1"/>
    <x v="1"/>
    <m/>
    <m/>
    <m/>
    <n v="259"/>
    <n v="170"/>
    <s v="MVSAES"/>
    <s v="NO"/>
    <s v="YES"/>
    <s v="YES"/>
    <s v="NO"/>
    <m/>
    <m/>
    <m/>
    <m/>
    <m/>
    <m/>
  </r>
  <r>
    <s v="game"/>
    <m/>
    <s v="ngmag-bstars"/>
    <s v="Baseball Stars Professional"/>
    <s v="1990"/>
    <s v="SNK"/>
    <s v="ベースボールスターズ プロフェッショナル（ベースタ・プロ）"/>
    <s v="Baseball_Stars_Professional"/>
    <n v="39595"/>
    <n v="74516"/>
    <x v="1"/>
    <x v="1"/>
    <m/>
    <m/>
    <m/>
    <n v="2"/>
    <n v="50"/>
    <s v="MVSNGCD"/>
    <s v="NO"/>
    <s v="YES"/>
    <s v="NO"/>
    <s v="YES"/>
    <m/>
    <n v="1"/>
    <n v="1"/>
    <n v="3"/>
    <n v="3"/>
    <m/>
  </r>
  <r>
    <s v="game"/>
    <m/>
    <s v="ngmag-bstars2"/>
    <s v="Baseball Stars 2"/>
    <s v="1992"/>
    <s v="SNK"/>
    <s v="ベースボールスターズ2"/>
    <s v="Baseball_Stars_2"/>
    <n v="9942"/>
    <n v="74515"/>
    <x v="1"/>
    <x v="1"/>
    <m/>
    <m/>
    <m/>
    <n v="41"/>
    <n v="68"/>
    <s v="MVSAESNGCD"/>
    <s v="NO"/>
    <s v="YES"/>
    <s v="YES"/>
    <s v="YES"/>
    <m/>
    <n v="2"/>
    <n v="2"/>
    <n v="2"/>
    <n v="4"/>
    <m/>
  </r>
  <r>
    <s v="game"/>
    <m/>
    <s v="ngmag-flipshot"/>
    <s v="Battle Flip Shot"/>
    <n v="1998"/>
    <s v="Visco"/>
    <s v="フリップショット"/>
    <s v="Battle_Flip_Shot"/>
    <n v="75463"/>
    <n v="74550"/>
    <x v="1"/>
    <x v="1"/>
    <m/>
    <m/>
    <m/>
    <n v="247"/>
    <n v="46"/>
    <s v="MVSAESNGCD"/>
    <s v="NO"/>
    <s v="YES"/>
    <s v="YES"/>
    <s v="YES"/>
    <m/>
    <m/>
    <m/>
    <m/>
    <m/>
    <m/>
  </r>
  <r>
    <s v="game"/>
    <m/>
    <s v="ngmag-blazstar"/>
    <s v="Blazing Star"/>
    <n v="1998"/>
    <s v="Yumekobo"/>
    <s v="ブレイジングスター"/>
    <s v="Blazing_Star"/>
    <n v="10500"/>
    <n v="74800"/>
    <x v="1"/>
    <x v="1"/>
    <m/>
    <s v="https://db.hfsplay.fr/files/2019/10/16/blazstar03_GPkUF7V.gif"/>
    <n v="0"/>
    <n v="239"/>
    <n v="346"/>
    <s v="MVSAES"/>
    <s v="NO"/>
    <s v="YES"/>
    <s v="YES"/>
    <s v="NO"/>
    <m/>
    <n v="2"/>
    <n v="4"/>
    <m/>
    <n v="5"/>
    <m/>
  </r>
  <r>
    <s v="game"/>
    <m/>
    <s v="ngmag-blockp"/>
    <s v="Block Paradise"/>
    <s v="1991?"/>
    <s v="Alpha Denshi Co."/>
    <m/>
    <m/>
    <m/>
    <m/>
    <x v="3"/>
    <x v="2"/>
    <m/>
    <m/>
    <m/>
    <n v="12"/>
    <m/>
    <s v=""/>
    <m/>
    <m/>
    <m/>
    <m/>
    <m/>
    <m/>
    <m/>
    <m/>
    <m/>
    <m/>
  </r>
  <r>
    <s v="game"/>
    <m/>
    <s v="ngmag-bjourney"/>
    <s v="Blue's Journey"/>
    <s v="1990"/>
    <s v="Alpha Denshi Co."/>
    <s v="ラギ Raguy"/>
    <s v="Blue's_Journey"/>
    <n v="39653"/>
    <n v="74841"/>
    <x v="1"/>
    <x v="1"/>
    <m/>
    <m/>
    <m/>
    <n v="22"/>
    <n v="50"/>
    <s v="MVSAESNGCD"/>
    <s v="NO"/>
    <s v="YES"/>
    <s v="YES"/>
    <s v="YES"/>
    <m/>
    <n v="2"/>
    <n v="1"/>
    <n v="1"/>
    <n v="3"/>
    <m/>
  </r>
  <r>
    <s v="game"/>
    <m/>
    <s v="ngmag-breakers"/>
    <s v="Breakers"/>
    <s v="1996"/>
    <s v="Visco"/>
    <s v="ブレイカーズ"/>
    <s v="Breakers_(1996_video_game)"/>
    <n v="72533"/>
    <n v="74943"/>
    <x v="1"/>
    <x v="1"/>
    <m/>
    <m/>
    <m/>
    <n v="230"/>
    <n v="210"/>
    <s v="MVSAESNGCD"/>
    <s v="NO"/>
    <s v="YES"/>
    <s v="YES"/>
    <s v="YES"/>
    <m/>
    <n v="4"/>
    <n v="4"/>
    <n v="2"/>
    <n v="4"/>
    <s v="Breakers [evilwasabi]"/>
  </r>
  <r>
    <s v="game"/>
    <m/>
    <s v="ngmag-breakrev"/>
    <s v="Breakers Revenge"/>
    <s v="1998"/>
    <s v="Visco"/>
    <s v="ブレイカーズ・リベンジ"/>
    <m/>
    <n v="39558"/>
    <n v="74944"/>
    <x v="1"/>
    <x v="1"/>
    <m/>
    <s v="https://www.fgbg.art/static/breakersRevenge_condor-0361aab3ef81ce9fe0c0f379c5bef67e.gif"/>
    <n v="30"/>
    <n v="245"/>
    <n v="242"/>
    <s v="MVSAES"/>
    <s v="NO"/>
    <s v="YES"/>
    <s v="YES"/>
    <s v="NO"/>
    <m/>
    <m/>
    <m/>
    <m/>
    <m/>
    <s v="Breakers Revenge"/>
  </r>
  <r>
    <s v="game"/>
    <m/>
    <s v="ngmag-burningf"/>
    <s v="Burning Fight "/>
    <s v="1991"/>
    <s v="SNK"/>
    <s v="バーニングファイト"/>
    <s v="Burning_Fight"/>
    <n v="39557"/>
    <n v="75011"/>
    <x v="1"/>
    <x v="1"/>
    <m/>
    <m/>
    <m/>
    <n v="18"/>
    <n v="54"/>
    <s v="MVSAESNGCD"/>
    <s v="NO"/>
    <s v="YES"/>
    <s v="YES"/>
    <s v="YES"/>
    <m/>
    <n v="1"/>
    <n v="3"/>
    <n v="2"/>
    <n v="2"/>
    <m/>
  </r>
  <r>
    <s v="game"/>
    <m/>
    <s v="ngmag-cabalng"/>
    <s v="Cabal"/>
    <s v="2022?"/>
    <s v="iq_132"/>
    <m/>
    <m/>
    <m/>
    <m/>
    <x v="4"/>
    <x v="2"/>
    <m/>
    <m/>
    <m/>
    <m/>
    <m/>
    <s v=""/>
    <m/>
    <m/>
    <m/>
    <m/>
    <m/>
    <m/>
    <m/>
    <m/>
    <m/>
    <m/>
  </r>
  <r>
    <s v="game"/>
    <m/>
    <s v="ngmag-ctomaday"/>
    <s v="Captain Tomaday"/>
    <s v="1999"/>
    <s v="Visco"/>
    <s v="キャプテン・トマディ"/>
    <m/>
    <n v="40981"/>
    <n v="75129"/>
    <x v="1"/>
    <x v="1"/>
    <m/>
    <m/>
    <m/>
    <n v="249"/>
    <n v="106"/>
    <s v="MVSAES"/>
    <s v="NO"/>
    <s v="YES"/>
    <s v="YES"/>
    <s v="NO"/>
    <m/>
    <m/>
    <m/>
    <m/>
    <m/>
    <m/>
  </r>
  <r>
    <s v="game"/>
    <m/>
    <s v="ngmag-marukodq"/>
    <s v="Chibi Maruko-chan: Maruko Deluxe Quiz"/>
    <s v="1995"/>
    <s v="Takara"/>
    <s v="ちびまる子ちゃん まる子デラックスクイズ"/>
    <m/>
    <n v="47574"/>
    <n v="75307"/>
    <x v="1"/>
    <x v="1"/>
    <m/>
    <m/>
    <m/>
    <n v="206"/>
    <n v="118"/>
    <s v="MVSAES"/>
    <s v="NO"/>
    <s v="YES"/>
    <s v="YES"/>
    <s v="NO"/>
    <m/>
    <n v="2"/>
    <n v="5"/>
    <m/>
    <n v="1"/>
    <m/>
  </r>
  <r>
    <s v="game"/>
    <m/>
    <s v="ngmag-ironclad"/>
    <s v="Choutetsu Brikin'ger / Iron Clad"/>
    <s v="1996/2009"/>
    <s v="Saurus"/>
    <s v=""/>
    <s v="Ironclad_(video_game)"/>
    <m/>
    <n v="29835"/>
    <x v="3"/>
    <x v="1"/>
    <s v="X"/>
    <m/>
    <m/>
    <n v="220"/>
    <n v="178"/>
    <s v="NGCD"/>
    <s v="NO"/>
    <s v="NO"/>
    <s v="NO"/>
    <s v="YES"/>
    <m/>
    <m/>
    <m/>
    <m/>
    <m/>
    <s v="Iron Clad [SuperGun + Xian Xi]"/>
  </r>
  <r>
    <s v="game"/>
    <m/>
    <s v="ngmag-codenameblutengel"/>
    <s v="Codename - Blut Engel"/>
    <n v="2006"/>
    <s v="Blastar"/>
    <s v="http://raregame.ru/file/15/Codename_-_Blutengel.zip"/>
    <m/>
    <m/>
    <m/>
    <x v="2"/>
    <x v="2"/>
    <m/>
    <m/>
    <m/>
    <m/>
    <m/>
    <s v=""/>
    <m/>
    <m/>
    <m/>
    <m/>
    <m/>
    <m/>
    <m/>
    <m/>
    <m/>
    <m/>
  </r>
  <r>
    <s v="game"/>
    <m/>
    <s v="ngmag-columnsn"/>
    <s v="Columns"/>
    <n v="2002"/>
    <s v="Jeff Kurtz"/>
    <s v="https://wiki.neogeodev.org/index.php?title=Columns"/>
    <m/>
    <m/>
    <n v="252980"/>
    <x v="4"/>
    <x v="3"/>
    <m/>
    <m/>
    <m/>
    <m/>
    <n v="1"/>
    <s v=""/>
    <m/>
    <m/>
    <m/>
    <m/>
    <m/>
    <m/>
    <m/>
    <m/>
    <m/>
    <m/>
  </r>
  <r>
    <s v="game"/>
    <m/>
    <s v="ngmag-crsword"/>
    <s v="Crossed Swords "/>
    <s v="1991"/>
    <s v="Alpha Denshi Co."/>
    <s v="クロスソード"/>
    <s v="Crossed_Swords_(video_game)"/>
    <n v="39642"/>
    <n v="75570"/>
    <x v="1"/>
    <x v="1"/>
    <m/>
    <m/>
    <m/>
    <n v="37"/>
    <n v="50"/>
    <s v="MVSAESNGCD"/>
    <s v="NO"/>
    <s v="YES"/>
    <s v="YES"/>
    <s v="YES"/>
    <m/>
    <n v="2"/>
    <n v="1"/>
    <n v="1"/>
    <n v="2"/>
    <m/>
  </r>
  <r>
    <s v="game"/>
    <m/>
    <s v="ngmag-crswd2bl"/>
    <s v="Crossed Swords 2"/>
    <s v="1995"/>
    <s v="bootleg"/>
    <s v=""/>
    <s v="Crossed_Swords_II"/>
    <m/>
    <n v="29815"/>
    <x v="4"/>
    <x v="1"/>
    <m/>
    <m/>
    <m/>
    <n v="54"/>
    <n v="70"/>
    <s v="NGCD"/>
    <s v="NO"/>
    <s v="NO"/>
    <s v="NO"/>
    <s v="YES"/>
    <m/>
    <m/>
    <m/>
    <m/>
    <m/>
    <m/>
  </r>
  <r>
    <s v="game"/>
    <m/>
    <s v="ngmag-cphd"/>
    <s v="Crouching Pony Hidden Dragon"/>
    <n v="2013"/>
    <s v="Le Cortex"/>
    <m/>
    <m/>
    <m/>
    <n v="29816"/>
    <x v="2"/>
    <x v="3"/>
    <m/>
    <m/>
    <m/>
    <m/>
    <n v="28"/>
    <s v=""/>
    <m/>
    <m/>
    <m/>
    <m/>
    <m/>
    <m/>
    <m/>
    <m/>
    <m/>
    <m/>
  </r>
  <r>
    <s v="game"/>
    <m/>
    <s v="ngmag-cyberlip"/>
    <s v="Cyber-Lip "/>
    <s v="1990"/>
    <s v="SNK"/>
    <s v="サイバーリップ"/>
    <s v="Cyber-Lip"/>
    <n v="71622"/>
    <n v="75628"/>
    <x v="1"/>
    <x v="1"/>
    <m/>
    <m/>
    <m/>
    <n v="10"/>
    <n v="50"/>
    <s v="MVSAESNGCD"/>
    <s v="NO"/>
    <s v="YES"/>
    <s v="YES"/>
    <s v="YES"/>
    <m/>
    <s v="?"/>
    <s v="?"/>
    <s v="?"/>
    <n v="2"/>
    <m/>
  </r>
  <r>
    <s v="game"/>
    <m/>
    <s v="ngmag-diggerma"/>
    <s v="Digger Man"/>
    <s v="2000"/>
    <s v="Kyle Hodgetts"/>
    <m/>
    <m/>
    <m/>
    <n v="75871"/>
    <x v="3"/>
    <x v="1"/>
    <m/>
    <m/>
    <m/>
    <m/>
    <n v="44"/>
    <s v=""/>
    <m/>
    <m/>
    <m/>
    <m/>
    <m/>
    <m/>
    <m/>
    <m/>
    <m/>
    <m/>
  </r>
  <r>
    <s v="game"/>
    <m/>
    <s v="ngmag-doominthedeep"/>
    <s v="Doom in the Deep"/>
    <s v="?"/>
    <s v="NeoHomeBrew"/>
    <m/>
    <m/>
    <m/>
    <m/>
    <x v="2"/>
    <x v="2"/>
    <m/>
    <m/>
    <m/>
    <m/>
    <m/>
    <s v=""/>
    <m/>
    <m/>
    <m/>
    <m/>
    <m/>
    <m/>
    <m/>
    <m/>
    <m/>
    <m/>
  </r>
  <r>
    <s v="game"/>
    <m/>
    <s v="ngmag-doubledr"/>
    <s v="Double Dragon "/>
    <s v="1995"/>
    <s v="Technos Japan"/>
    <s v="ダブルドラゴン"/>
    <s v="Double_Dragon_(Neo_Geo)"/>
    <n v="13880"/>
    <n v="29818"/>
    <x v="1"/>
    <x v="1"/>
    <s v="X"/>
    <s v="https://www.fgbg.art/static/doubleDragon_amon-64736318c97eb91ae56dddcc6acd9cfb.gif"/>
    <n v="30"/>
    <n v="82"/>
    <n v="178"/>
    <s v="MVSAESNGCD"/>
    <s v="NO"/>
    <s v="YES"/>
    <s v="YES"/>
    <s v="YES"/>
    <m/>
    <n v="1"/>
    <n v="3"/>
    <n v="2"/>
    <n v="3"/>
    <s v="Double Dragon"/>
  </r>
  <r>
    <s v="game"/>
    <m/>
    <s v="ngmag-dragonsh"/>
    <s v="Dragon's Heaven / DarkSeed"/>
    <s v="1997"/>
    <s v="Face"/>
    <s v=""/>
    <m/>
    <m/>
    <n v="29819"/>
    <x v="3"/>
    <x v="1"/>
    <m/>
    <m/>
    <m/>
    <m/>
    <m/>
    <s v=""/>
    <m/>
    <m/>
    <m/>
    <m/>
    <m/>
    <m/>
    <m/>
    <m/>
    <m/>
    <m/>
  </r>
  <r>
    <s v="game"/>
    <m/>
    <s v="ngmag-dunkstarbasketball"/>
    <s v="Dunk Star Basketball"/>
    <s v="1992?"/>
    <s v="Sammy"/>
    <m/>
    <m/>
    <m/>
    <m/>
    <x v="3"/>
    <x v="2"/>
    <m/>
    <m/>
    <m/>
    <n v="28"/>
    <m/>
    <s v=""/>
    <m/>
    <m/>
    <m/>
    <m/>
    <m/>
    <m/>
    <m/>
    <m/>
    <m/>
    <m/>
  </r>
  <r>
    <s v="game"/>
    <m/>
    <s v="ngmag-eightman"/>
    <s v="Eight Man "/>
    <s v="1991"/>
    <s v="SNK / Pallas"/>
    <s v="8マン"/>
    <s v="8_Man"/>
    <n v="40976"/>
    <n v="76163"/>
    <x v="1"/>
    <x v="1"/>
    <m/>
    <m/>
    <m/>
    <n v="25"/>
    <n v="46"/>
    <s v="MVSAES"/>
    <s v="NO"/>
    <s v="YES"/>
    <s v="YES"/>
    <s v="NO"/>
    <m/>
    <n v="1"/>
    <n v="2"/>
    <m/>
    <n v="2"/>
    <m/>
  </r>
  <r>
    <s v="game"/>
    <m/>
    <s v="ngmag-kabukikl"/>
    <s v="Far East of Eden - Kabuki Klash"/>
    <s v="1995"/>
    <s v="Hudson"/>
    <s v="天外魔境 真伝 Tengai Makyou - Shin Den"/>
    <s v="Far_East_of_Eden:_Kabuki_Klash"/>
    <n v="39554"/>
    <n v="76300"/>
    <x v="1"/>
    <x v="1"/>
    <m/>
    <s v="https://www.fgbg.art/static/kabukiKlash_kabuki-48f536ed4931c27c6696bcce36dff5ba.gif"/>
    <n v="35"/>
    <n v="92"/>
    <n v="202"/>
    <s v="MVSAESNGCD"/>
    <s v="NO"/>
    <s v="YES"/>
    <s v="YES"/>
    <s v="YES"/>
    <m/>
    <n v="2"/>
    <n v="2"/>
    <n v="2"/>
    <n v="2"/>
    <s v="Kabuki Klash / Far East of Eden [ne7+kagami007]"/>
  </r>
  <r>
    <s v="game"/>
    <m/>
    <s v="ngmag-faststriker"/>
    <s v="Fast Striker"/>
    <n v="2010"/>
    <s v="NG:DEV.TEAM"/>
    <m/>
    <m/>
    <m/>
    <n v="252973"/>
    <x v="5"/>
    <x v="3"/>
    <m/>
    <m/>
    <m/>
    <m/>
    <n v="1560"/>
    <s v=""/>
    <s v="NO"/>
    <m/>
    <m/>
    <m/>
    <m/>
    <m/>
    <m/>
    <m/>
    <m/>
    <m/>
  </r>
  <r>
    <s v="game"/>
    <m/>
    <s v="ngmag-fatfury1"/>
    <s v="Fatal Fury - King of Fighters"/>
    <s v="1991"/>
    <s v="SNK"/>
    <s v="餓狼伝説 宿命の闘い Garou Densetsu - Shukumei no Tatakai"/>
    <s v="Fatal_Fury:_King_of_Fighters"/>
    <n v="5386"/>
    <n v="76316"/>
    <x v="1"/>
    <x v="1"/>
    <m/>
    <s v="https://www.fgbg.art/static/ff_billyKane-2eeabc3e846a24f0b0532661db582600.gif"/>
    <n v="20"/>
    <n v="33"/>
    <n v="55"/>
    <s v="MVSAESNGCD"/>
    <s v="NO"/>
    <s v="YES"/>
    <s v="YES"/>
    <s v="YES"/>
    <m/>
    <n v="1"/>
    <n v="2"/>
    <n v="2"/>
    <n v="3"/>
    <m/>
  </r>
  <r>
    <s v="game"/>
    <m/>
    <s v="ngmag-fatfury2"/>
    <s v="Fatal Fury 2"/>
    <s v="1992"/>
    <s v="SNK"/>
    <s v="餓狼伝説2 ―新たなる闘い― Garou Densetsu 2 - Arata-naru Tatakai"/>
    <s v="Fatal_Fury_2#Fighters"/>
    <n v="4435"/>
    <n v="76317"/>
    <x v="1"/>
    <x v="1"/>
    <m/>
    <s v="https://www.fgbg.art/static/ff2_bigbear-3eb8256bd223a85bcf1c4af7e312e2df.gif"/>
    <n v="35"/>
    <n v="47"/>
    <n v="106"/>
    <s v="MVSAESNGCD"/>
    <s v="NO"/>
    <s v="YES"/>
    <s v="YES"/>
    <s v="YES"/>
    <m/>
    <n v="1"/>
    <n v="1"/>
    <n v="2"/>
    <n v="3"/>
    <s v="Fatal Fury 2 [ne7]"/>
  </r>
  <r>
    <s v="game"/>
    <m/>
    <s v="ngmag-fatfursp"/>
    <s v="Fatal Fury Special"/>
    <s v="1993"/>
    <s v="SNK"/>
    <s v="餓狼伝説 スペシャル Garou Densetsu Special"/>
    <s v="Fatal_Fury_Special"/>
    <n v="71128"/>
    <n v="76319"/>
    <x v="1"/>
    <x v="1"/>
    <m/>
    <m/>
    <m/>
    <n v="58"/>
    <n v="150"/>
    <s v="MVSAESNGCD"/>
    <s v="NO"/>
    <s v="YES"/>
    <s v="YES"/>
    <s v="YES"/>
    <m/>
    <n v="1"/>
    <n v="1"/>
    <n v="1"/>
    <n v="4"/>
    <s v="Fatal Fury Special [bonuskun]"/>
  </r>
  <r>
    <s v="game"/>
    <m/>
    <s v="ngmag-fatfury3"/>
    <s v="Fatal Fury 3 - Road to the Final Victory"/>
    <s v="1995"/>
    <s v="SNK"/>
    <s v="餓狼伝説3 ―遥かなる闘い― Garou Densetsu 3 - Haruka-naru Tatakai"/>
    <s v="Fatal_Fury_3:_Road_to_the_Final_Victory"/>
    <n v="6690"/>
    <n v="76318"/>
    <x v="1"/>
    <x v="1"/>
    <m/>
    <s v="https://www.fgbg.art/static/ff3_franco-d9391bb6bc056f7453f063ae7387e46d.gif"/>
    <n v="35"/>
    <n v="69"/>
    <n v="266"/>
    <s v="MVSAESNGCD"/>
    <s v="NO"/>
    <s v="YES"/>
    <s v="YES"/>
    <s v="YES"/>
    <m/>
    <n v="2"/>
    <n v="2"/>
    <n v="1"/>
    <n v="4"/>
    <s v="Fatal Fury 3 [ne7+kagami007]"/>
  </r>
  <r>
    <s v="game"/>
    <m/>
    <s v="ngmag-fightfev"/>
    <s v="Fight Fever"/>
    <s v="1994"/>
    <s v="Viccom"/>
    <s v="ファイトフィーバー Wang Jung Wang"/>
    <s v="Fight_Fever"/>
    <n v="39553"/>
    <n v="76339"/>
    <x v="1"/>
    <x v="1"/>
    <m/>
    <m/>
    <m/>
    <n v="60"/>
    <n v="98"/>
    <s v="MVSAES"/>
    <s v="NO"/>
    <s v="YES"/>
    <s v="YES"/>
    <s v="NO"/>
    <m/>
    <m/>
    <m/>
    <m/>
    <m/>
    <m/>
  </r>
  <r>
    <s v="game"/>
    <m/>
    <s v="ngmag-fbfrenzy"/>
    <s v="Football Frenzy "/>
    <s v="1992"/>
    <s v="SNK"/>
    <s v="フットボールフレンジー"/>
    <s v="Football_Frenzy"/>
    <n v="39649"/>
    <n v="29827"/>
    <x v="1"/>
    <x v="1"/>
    <m/>
    <m/>
    <m/>
    <n v="34"/>
    <n v="48"/>
    <s v="MVSAESNGCD"/>
    <s v="NO"/>
    <s v="YES"/>
    <s v="YES"/>
    <s v="YES"/>
    <m/>
    <n v="1"/>
    <n v="1"/>
    <n v="1"/>
    <n v="2"/>
    <m/>
  </r>
  <r>
    <s v="game"/>
    <m/>
    <s v="ngmag-frogfeast"/>
    <s v="Frog Feast"/>
    <n v="2006"/>
    <s v="Rastersoft"/>
    <s v="https://frogfeast.rastersoft.net"/>
    <m/>
    <m/>
    <m/>
    <x v="2"/>
    <x v="2"/>
    <m/>
    <m/>
    <m/>
    <m/>
    <m/>
    <s v=""/>
    <m/>
    <m/>
    <m/>
    <m/>
    <m/>
    <m/>
    <m/>
    <m/>
    <m/>
    <m/>
  </r>
  <r>
    <s v="game"/>
    <m/>
    <s v="ngmag-ffbrothers"/>
    <s v="Fun Fun Brothers"/>
    <s v="1998?"/>
    <s v="Alpha Denshi Co."/>
    <m/>
    <m/>
    <m/>
    <m/>
    <x v="3"/>
    <x v="2"/>
    <m/>
    <m/>
    <m/>
    <n v="26"/>
    <m/>
    <s v=""/>
    <m/>
    <m/>
    <m/>
    <m/>
    <m/>
    <m/>
    <m/>
    <m/>
    <m/>
    <m/>
  </r>
  <r>
    <s v="game"/>
    <m/>
    <s v="ngmag-galaxian"/>
    <s v="Galaxian"/>
    <n v="2023"/>
    <m/>
    <m/>
    <m/>
    <m/>
    <n v="255399"/>
    <x v="4"/>
    <x v="0"/>
    <m/>
    <m/>
    <m/>
    <m/>
    <m/>
    <m/>
    <m/>
    <m/>
    <m/>
    <m/>
    <m/>
    <m/>
    <m/>
    <m/>
    <m/>
    <m/>
  </r>
  <r>
    <s v="game"/>
    <m/>
    <s v="ngmag-galaxyfg"/>
    <s v="Galaxy Fight - Universal Warriors"/>
    <s v="1995"/>
    <s v="Sunsoft"/>
    <s v="ギャラクシーファイト ユニバーサル ウォリアーズ"/>
    <s v="Galaxy_Fight:_Universal_Warriors"/>
    <n v="39531"/>
    <n v="76588"/>
    <x v="1"/>
    <x v="1"/>
    <m/>
    <m/>
    <m/>
    <n v="78"/>
    <n v="169"/>
    <s v="MVSAESNGCD"/>
    <s v="NO"/>
    <s v="YES"/>
    <s v="YES"/>
    <s v="YES"/>
    <m/>
    <n v="2"/>
    <n v="2"/>
    <n v="2"/>
    <n v="2"/>
    <m/>
  </r>
  <r>
    <s v="game"/>
    <m/>
    <s v="ngmag-gangwars"/>
    <s v="Gang Wars"/>
    <s v="1989?"/>
    <s v="Alpha Denshi Co."/>
    <m/>
    <m/>
    <m/>
    <m/>
    <x v="3"/>
    <x v="2"/>
    <m/>
    <m/>
    <m/>
    <s v="13/15"/>
    <m/>
    <s v=""/>
    <m/>
    <m/>
    <m/>
    <m/>
    <m/>
    <m/>
    <m/>
    <m/>
    <m/>
    <m/>
  </r>
  <r>
    <s v="game"/>
    <m/>
    <s v="ngmag-ganryu"/>
    <s v="Ganryu"/>
    <s v="1999"/>
    <s v="Visco"/>
    <s v="武蔵厳流記 Musashi Ganryuki"/>
    <s v="Ganryu_(video_game)"/>
    <n v="39891"/>
    <n v="76681"/>
    <x v="1"/>
    <x v="1"/>
    <s v="X"/>
    <m/>
    <m/>
    <n v="252"/>
    <n v="178"/>
    <s v="MVSAES"/>
    <s v="NO"/>
    <s v="YES"/>
    <s v="YES"/>
    <s v="NO"/>
    <m/>
    <m/>
    <m/>
    <m/>
    <m/>
    <m/>
  </r>
  <r>
    <s v="game"/>
    <m/>
    <s v="ngmag-garou"/>
    <s v="Garou - Mark of the Wolves "/>
    <s v="1999"/>
    <s v="SNK"/>
    <s v="餓狼"/>
    <s v="Garou:_Mark_of_the_Wolves"/>
    <n v="10605"/>
    <n v="76686"/>
    <x v="1"/>
    <x v="1"/>
    <m/>
    <s v="https://www.fgbg.art/static/motw_hokutomaru-162019510b57d8c7d782751c7bf18cf4.gif"/>
    <n v="30"/>
    <n v="253"/>
    <n v="688"/>
    <s v="MVSAES"/>
    <s v="NO"/>
    <s v="YES"/>
    <s v="YES"/>
    <s v="NO"/>
    <m/>
    <n v="3"/>
    <n v="3"/>
    <n v="2"/>
    <n v="5"/>
    <s v="Garou Mark of the Wolves"/>
  </r>
  <r>
    <s v="game"/>
    <m/>
    <s v="ngmag-gpilots"/>
    <s v="Ghost Pilots "/>
    <s v="1991"/>
    <s v="SNK"/>
    <s v="ゴーストパイロット"/>
    <s v="Ghost_Pilots"/>
    <n v="39734"/>
    <n v="76728"/>
    <x v="1"/>
    <x v="1"/>
    <m/>
    <m/>
    <m/>
    <n v="20"/>
    <n v="55"/>
    <s v="MVSAESNGCD"/>
    <s v="NO"/>
    <s v="YES"/>
    <s v="YES"/>
    <s v="YES"/>
    <m/>
    <n v="2"/>
    <n v="1"/>
    <n v="2"/>
    <n v="2"/>
    <m/>
  </r>
  <r>
    <s v="game"/>
    <m/>
    <s v="ngmag-ghostlop"/>
    <s v="Ghostlop"/>
    <s v="1996"/>
    <s v="Data East Corporation"/>
    <s v=""/>
    <m/>
    <n v="40126"/>
    <n v="29832"/>
    <x v="3"/>
    <x v="1"/>
    <m/>
    <m/>
    <m/>
    <m/>
    <n v="3"/>
    <s v=""/>
    <m/>
    <m/>
    <m/>
    <m/>
    <m/>
    <m/>
    <m/>
    <m/>
    <m/>
    <m/>
  </r>
  <r>
    <s v="game"/>
    <m/>
    <s v="ngmag-goalx3"/>
    <s v="Goal! Goal! Goal!"/>
    <s v="1995"/>
    <s v="Visco"/>
    <s v="ゴール! ゴール! ゴール!"/>
    <s v="Goal!_Goal!_Goal!"/>
    <n v="39549"/>
    <n v="76777"/>
    <x v="1"/>
    <x v="1"/>
    <s v="X"/>
    <m/>
    <m/>
    <n v="209"/>
    <n v="110"/>
    <s v="MVSAES"/>
    <s v="NO"/>
    <s v="YES"/>
    <s v="YES"/>
    <s v="NO"/>
    <m/>
    <m/>
    <m/>
    <m/>
    <m/>
    <m/>
  </r>
  <r>
    <s v="game"/>
    <m/>
    <s v="ngmag-gunlord"/>
    <s v="Gunlord"/>
    <n v="2012"/>
    <s v="NG:DEV.TEAM"/>
    <m/>
    <m/>
    <m/>
    <n v="252974"/>
    <x v="5"/>
    <x v="3"/>
    <m/>
    <m/>
    <m/>
    <m/>
    <n v="624"/>
    <s v=""/>
    <m/>
    <m/>
    <m/>
    <m/>
    <m/>
    <m/>
    <m/>
    <m/>
    <m/>
    <m/>
  </r>
  <r>
    <s v="game"/>
    <m/>
    <s v="ngmag-gururin"/>
    <s v="Gururin"/>
    <s v="1994"/>
    <s v="Face"/>
    <s v="ぐるりん"/>
    <s v="Gururin"/>
    <n v="40123"/>
    <n v="77006"/>
    <x v="1"/>
    <x v="1"/>
    <m/>
    <m/>
    <m/>
    <n v="67"/>
    <n v="40"/>
    <s v="MVSAES"/>
    <s v="NO"/>
    <s v="YES"/>
    <s v="YES"/>
    <s v="NO"/>
    <m/>
    <m/>
    <m/>
    <m/>
    <m/>
    <m/>
  </r>
  <r>
    <s v="game"/>
    <m/>
    <s v="ngmag-heberekepairpairwars"/>
    <s v="Hebereke Pair Pair Wars"/>
    <s v="1997?"/>
    <s v="Sunsoft"/>
    <m/>
    <m/>
    <m/>
    <m/>
    <x v="3"/>
    <x v="2"/>
    <m/>
    <m/>
    <m/>
    <n v="226"/>
    <m/>
    <s v=""/>
    <m/>
    <m/>
    <m/>
    <m/>
    <m/>
    <m/>
    <m/>
    <m/>
    <m/>
    <m/>
  </r>
  <r>
    <s v="game"/>
    <m/>
    <s v="ngmag-hypernoid"/>
    <s v="Hypernoid"/>
    <s v="2022?"/>
    <s v="NeoHomeBrew"/>
    <m/>
    <m/>
    <m/>
    <n v="253112"/>
    <x v="2"/>
    <x v="3"/>
    <m/>
    <m/>
    <m/>
    <m/>
    <n v="11"/>
    <s v=""/>
    <m/>
    <m/>
    <m/>
    <m/>
    <m/>
    <m/>
    <m/>
    <m/>
    <m/>
    <m/>
  </r>
  <r>
    <s v="game"/>
    <m/>
    <s v="ngmag-froman2b"/>
    <s v="Idol Mahjong Final Romance 2"/>
    <n v="1995"/>
    <s v="CD port"/>
    <m/>
    <m/>
    <m/>
    <n v="77259"/>
    <x v="4"/>
    <x v="1"/>
    <m/>
    <m/>
    <m/>
    <n v="98"/>
    <m/>
    <s v="NGCD"/>
    <s v="NO"/>
    <s v="NO"/>
    <s v="NO"/>
    <s v="YES"/>
    <m/>
    <m/>
    <m/>
    <m/>
    <m/>
    <m/>
  </r>
  <r>
    <s v="game"/>
    <m/>
    <s v="ngmag-ikariiiitherescue"/>
    <s v="Ikari III - The Rescue"/>
    <s v="1989?"/>
    <s v="Alpha Denshi Co."/>
    <m/>
    <m/>
    <m/>
    <m/>
    <x v="3"/>
    <x v="2"/>
    <m/>
    <m/>
    <m/>
    <s v="13/15"/>
    <m/>
    <s v=""/>
    <m/>
    <m/>
    <m/>
    <m/>
    <m/>
    <m/>
    <m/>
    <m/>
    <m/>
    <m/>
  </r>
  <r>
    <s v="game"/>
    <m/>
    <s v="ngmag-Tinviyya"/>
    <s v="Inviyya"/>
    <s v="2022?"/>
    <s v="Tigerskunk"/>
    <m/>
    <m/>
    <m/>
    <m/>
    <x v="2"/>
    <x v="2"/>
    <m/>
    <m/>
    <m/>
    <m/>
    <m/>
    <s v=""/>
    <m/>
    <m/>
    <m/>
    <m/>
    <m/>
    <m/>
    <m/>
    <m/>
    <m/>
    <m/>
  </r>
  <r>
    <s v="game"/>
    <m/>
    <s v="ngmag-janshin"/>
    <s v="Janshin Densetsu - Quest of Jongmaster"/>
    <n v="1991"/>
    <s v="Aicom"/>
    <s v="雀神伝説"/>
    <m/>
    <n v="75458"/>
    <n v="77514"/>
    <x v="1"/>
    <x v="1"/>
    <m/>
    <m/>
    <m/>
    <n v="48"/>
    <n v="82"/>
    <s v="MVSAESNGCD"/>
    <s v="NO"/>
    <s v="YES"/>
    <s v="YES"/>
    <s v="YES"/>
    <m/>
    <m/>
    <m/>
    <m/>
    <m/>
    <m/>
  </r>
  <r>
    <s v="game"/>
    <m/>
    <s v="ngmag-jockeygp"/>
    <s v="Jockey Grand Prix "/>
    <s v="2001"/>
    <s v="Sun Amusement / BrezzaSoft"/>
    <s v=""/>
    <m/>
    <n v="47597"/>
    <n v="77431"/>
    <x v="1"/>
    <x v="1"/>
    <m/>
    <m/>
    <m/>
    <n v="8"/>
    <m/>
    <s v=""/>
    <m/>
    <m/>
    <m/>
    <m/>
    <m/>
    <m/>
    <m/>
    <m/>
    <m/>
    <m/>
  </r>
  <r>
    <s v="game"/>
    <m/>
    <s v="ngmag-jonasindiana"/>
    <s v="Jonas Indiana and the Lost Temple of Ra"/>
    <s v="200x"/>
    <s v="Blastar"/>
    <s v="http://raregame.ru/file/15/Indiana_Jones.zip"/>
    <m/>
    <m/>
    <m/>
    <x v="2"/>
    <x v="2"/>
    <m/>
    <m/>
    <m/>
    <m/>
    <m/>
    <s v=""/>
    <m/>
    <m/>
    <m/>
    <m/>
    <m/>
    <m/>
    <m/>
    <m/>
    <m/>
    <m/>
  </r>
  <r>
    <s v="game"/>
    <m/>
    <s v="ngmag-karateninjasho"/>
    <s v="Karate Ninja Sho"/>
    <s v="1997?"/>
    <s v="Yumekobo"/>
    <m/>
    <m/>
    <m/>
    <m/>
    <x v="3"/>
    <x v="2"/>
    <m/>
    <m/>
    <m/>
    <n v="110"/>
    <m/>
    <s v=""/>
    <m/>
    <m/>
    <m/>
    <m/>
    <m/>
    <m/>
    <m/>
    <m/>
    <m/>
    <m/>
  </r>
  <r>
    <s v="game"/>
    <m/>
    <s v="ngmag-karnovr"/>
    <s v="Karnov's Revenge"/>
    <s v="1994"/>
    <s v="Data East Corporation"/>
    <s v="ファイターズヒストリー・ダイナマイト"/>
    <s v="Karnov's_Revenge"/>
    <n v="39546"/>
    <n v="29837"/>
    <x v="1"/>
    <x v="1"/>
    <m/>
    <m/>
    <m/>
    <n v="66"/>
    <n v="122"/>
    <s v="MVSAESNGCD"/>
    <s v="NO"/>
    <s v="YES"/>
    <s v="YES"/>
    <s v="YES"/>
    <m/>
    <n v="1"/>
    <n v="1"/>
    <n v="1"/>
    <n v="4"/>
    <m/>
  </r>
  <r>
    <s v="game"/>
    <m/>
    <s v="ngmag-kog"/>
    <s v="King of Gladiator"/>
    <n v="2003"/>
    <s v="bootleg"/>
    <m/>
    <m/>
    <m/>
    <n v="77590"/>
    <x v="6"/>
    <x v="1"/>
    <m/>
    <m/>
    <m/>
    <m/>
    <m/>
    <s v=""/>
    <m/>
    <m/>
    <m/>
    <m/>
    <m/>
    <m/>
    <m/>
    <m/>
    <m/>
    <m/>
  </r>
  <r>
    <s v="game"/>
    <m/>
    <s v="ngmag-kotm"/>
    <s v="King of the Monsters "/>
    <s v="1991"/>
    <s v="SNK"/>
    <s v="キング・オブ・ザ・モンスターズ"/>
    <s v="King_of_the_Monsters_(video_game)"/>
    <n v="6800"/>
    <n v="77591"/>
    <x v="1"/>
    <x v="1"/>
    <m/>
    <m/>
    <m/>
    <n v="16"/>
    <n v="55"/>
    <s v="MVSAES"/>
    <s v="NO"/>
    <s v="YES"/>
    <s v="YES"/>
    <s v="NO"/>
    <m/>
    <n v="1"/>
    <n v="1"/>
    <m/>
    <n v="2"/>
    <m/>
  </r>
  <r>
    <s v="game"/>
    <m/>
    <s v="ngmag-kotm2"/>
    <s v="King of the Monsters 2 - The Next Thing "/>
    <s v="1992"/>
    <s v="SNK"/>
    <s v="キング・オブ・ザ・モンスターズ2 ―ネクストシング―"/>
    <s v="King_of_the_Monsters_2"/>
    <m/>
    <n v="77592"/>
    <x v="1"/>
    <x v="1"/>
    <s v="X"/>
    <m/>
    <m/>
    <n v="39"/>
    <n v="74"/>
    <s v="MVSAESNGCD"/>
    <s v="NO"/>
    <s v="YES"/>
    <s v="YES"/>
    <s v="YES"/>
    <m/>
    <n v="1"/>
    <n v="2"/>
    <n v="2"/>
    <n v="3"/>
    <s v="King of the Monsters 2 [ne7]"/>
  </r>
  <r>
    <s v="game"/>
    <m/>
    <s v="ngmag-kizuna"/>
    <s v="Kizuna Encounter - Super Tag Battle"/>
    <s v="1996"/>
    <s v="SNK"/>
    <s v="風雲 スーパータッグバトル Fu'un Super Tag Battle"/>
    <s v="Kizuna_Encounter"/>
    <n v="39530"/>
    <n v="77608"/>
    <x v="1"/>
    <x v="1"/>
    <m/>
    <s v="https://www.fgbg.art/static/kizunaEncounter_badAlley_day-337eb200e1e609e49ba3274784bcdd09.gif"/>
    <n v="33"/>
    <n v="216"/>
    <n v="242"/>
    <s v="MVSAES"/>
    <s v="NO"/>
    <s v="YES"/>
    <s v="YES"/>
    <s v="NO"/>
    <m/>
    <n v="2"/>
    <n v="4"/>
    <m/>
    <n v="4"/>
    <m/>
  </r>
  <r>
    <s v="game"/>
    <m/>
    <s v="ngmag-knchance"/>
    <s v="Knight's Chance"/>
    <n v="2013"/>
    <s v="Neobitz"/>
    <m/>
    <m/>
    <n v="75478"/>
    <n v="252870"/>
    <x v="5"/>
    <x v="3"/>
    <m/>
    <m/>
    <m/>
    <m/>
    <m/>
    <s v=""/>
    <m/>
    <m/>
    <m/>
    <m/>
    <m/>
    <m/>
    <m/>
    <m/>
    <m/>
    <m/>
  </r>
  <r>
    <s v="game"/>
    <m/>
    <s v="ngmag-krautbuster"/>
    <s v="Kraut Buster"/>
    <n v="2019"/>
    <s v="NG:DEV.TEAM"/>
    <m/>
    <m/>
    <m/>
    <n v="252972"/>
    <x v="5"/>
    <x v="3"/>
    <m/>
    <m/>
    <m/>
    <m/>
    <n v="808"/>
    <s v=""/>
    <m/>
    <m/>
    <m/>
    <m/>
    <m/>
    <m/>
    <m/>
    <m/>
    <m/>
    <m/>
  </r>
  <r>
    <s v="game"/>
    <m/>
    <s v="ngmag-lans2004"/>
    <s v="Lansquenet 2004"/>
    <n v="2004"/>
    <s v="Unknown"/>
    <s v="Shock Troopers 2 hack"/>
    <m/>
    <m/>
    <n v="77728"/>
    <x v="6"/>
    <x v="1"/>
    <m/>
    <m/>
    <m/>
    <m/>
    <m/>
    <s v=""/>
    <m/>
    <m/>
    <m/>
    <m/>
    <m/>
    <m/>
    <m/>
    <m/>
    <m/>
    <m/>
  </r>
  <r>
    <s v="game"/>
    <m/>
    <s v="ngmag-lasthope"/>
    <s v="Last Hope"/>
    <s v="2005"/>
    <s v="NG:DEV.TEAM"/>
    <s v=""/>
    <s v="Last_Hope_(video_game)"/>
    <m/>
    <n v="29841"/>
    <x v="5"/>
    <x v="3"/>
    <m/>
    <m/>
    <m/>
    <m/>
    <m/>
    <s v=""/>
    <m/>
    <m/>
    <m/>
    <m/>
    <m/>
    <m/>
    <m/>
    <m/>
    <m/>
    <m/>
  </r>
  <r>
    <s v="game"/>
    <m/>
    <s v="ngmag-lhpb"/>
    <s v="Last Hope 1.5 Pink Bullets"/>
    <n v="2009"/>
    <s v="NG:DEV.TEAM"/>
    <m/>
    <m/>
    <m/>
    <n v="252975"/>
    <x v="5"/>
    <x v="3"/>
    <m/>
    <m/>
    <m/>
    <m/>
    <n v="186"/>
    <s v=""/>
    <m/>
    <m/>
    <m/>
    <m/>
    <m/>
    <m/>
    <m/>
    <m/>
    <m/>
    <m/>
  </r>
  <r>
    <s v="game"/>
    <m/>
    <s v="ngmag-lastodyssey"/>
    <s v="Last Odyssey Pinball Fantasia"/>
    <s v="1996?"/>
    <s v="Monolith Corp."/>
    <m/>
    <m/>
    <m/>
    <m/>
    <x v="3"/>
    <x v="2"/>
    <m/>
    <m/>
    <m/>
    <n v="72"/>
    <m/>
    <s v=""/>
    <m/>
    <m/>
    <m/>
    <m/>
    <m/>
    <m/>
    <m/>
    <m/>
    <m/>
    <m/>
  </r>
  <r>
    <s v="game"/>
    <m/>
    <s v="ngmag-lresort"/>
    <s v="Last Resort"/>
    <s v="1992"/>
    <s v="SNK"/>
    <s v="ラストリゾート"/>
    <s v="Last_Resort_(video_game)"/>
    <n v="36750"/>
    <n v="77753"/>
    <x v="1"/>
    <x v="1"/>
    <s v="X"/>
    <m/>
    <m/>
    <n v="24"/>
    <n v="45"/>
    <s v="MVSAESNGCD"/>
    <s v="NO"/>
    <s v="YES"/>
    <s v="YES"/>
    <s v="YES"/>
    <m/>
    <n v="2"/>
    <n v="2"/>
    <n v="2"/>
    <n v="4"/>
    <m/>
  </r>
  <r>
    <s v="game"/>
    <m/>
    <s v="ngmag-lbowling"/>
    <s v="League Bowling "/>
    <n v="1991"/>
    <s v="SNK"/>
    <s v="リーグボウリング"/>
    <s v="League_Bowling"/>
    <n v="40206"/>
    <n v="77768"/>
    <x v="1"/>
    <x v="1"/>
    <m/>
    <m/>
    <m/>
    <n v="19"/>
    <n v="26"/>
    <s v="MVSAESNGCD"/>
    <s v="NO"/>
    <s v="YES"/>
    <s v="YES"/>
    <s v="YES"/>
    <m/>
    <n v="2"/>
    <n v="2"/>
    <n v="2"/>
    <n v="4"/>
    <m/>
  </r>
  <r>
    <s v="game"/>
    <m/>
    <s v="ngmag-legendos"/>
    <s v="Legend of Success Joe"/>
    <s v="1991"/>
    <s v="SNK / Wave"/>
    <s v="あしたのジョー伝説 Ashita no Joe Densetsu"/>
    <s v="Legend_of_Success_Joe"/>
    <n v="47580"/>
    <n v="77775"/>
    <x v="1"/>
    <x v="1"/>
    <s v="X"/>
    <m/>
    <m/>
    <n v="29"/>
    <n v="50"/>
    <s v="MVSAES"/>
    <s v="NO"/>
    <s v="YES"/>
    <s v="YES"/>
    <s v="NO"/>
    <m/>
    <n v="3"/>
    <n v="3"/>
    <m/>
    <n v="1"/>
    <m/>
  </r>
  <r>
    <s v="game"/>
    <m/>
    <s v="ngmag-ntris3d"/>
    <s v="Looptris"/>
    <n v="2022"/>
    <s v="Blastar"/>
    <m/>
    <m/>
    <m/>
    <n v="252945"/>
    <x v="2"/>
    <x v="3"/>
    <m/>
    <m/>
    <m/>
    <m/>
    <m/>
    <s v=""/>
    <m/>
    <m/>
    <m/>
    <m/>
    <m/>
    <m/>
    <m/>
    <m/>
    <m/>
    <m/>
  </r>
  <r>
    <s v="game"/>
    <m/>
    <s v="ngmag-magicmaster"/>
    <s v="Magic Master"/>
    <s v="1997?"/>
    <s v="Saurus / Takumi"/>
    <s v="Mahou Juku"/>
    <m/>
    <m/>
    <m/>
    <x v="3"/>
    <x v="2"/>
    <m/>
    <m/>
    <m/>
    <m/>
    <m/>
    <s v=""/>
    <m/>
    <m/>
    <m/>
    <m/>
    <m/>
    <m/>
    <m/>
    <m/>
    <m/>
    <m/>
  </r>
  <r>
    <s v="game"/>
    <m/>
    <s v="ngmag-magdrop2"/>
    <s v="Magical Drop II"/>
    <s v="1996"/>
    <s v="Data East Corporation"/>
    <s v="マジカルドロップ2"/>
    <m/>
    <n v="39348"/>
    <n v="77972"/>
    <x v="1"/>
    <x v="1"/>
    <s v="X"/>
    <m/>
    <m/>
    <n v="221"/>
    <n v="82"/>
    <s v="MVSAESNGCD"/>
    <s v="NO"/>
    <s v="YES"/>
    <s v="YES"/>
    <s v="YES"/>
    <m/>
    <n v="2"/>
    <n v="4"/>
    <n v="3"/>
    <n v="4"/>
    <m/>
  </r>
  <r>
    <s v="game"/>
    <m/>
    <s v="ngmag-magdrop3"/>
    <s v="Magical Drop III"/>
    <s v="1997"/>
    <s v="Data East Corporation"/>
    <s v="マジカルドロップIII"/>
    <m/>
    <n v="39347"/>
    <n v="77973"/>
    <x v="1"/>
    <x v="1"/>
    <m/>
    <m/>
    <m/>
    <n v="233"/>
    <n v="174"/>
    <s v="MVSAES"/>
    <s v="NO"/>
    <s v="YES"/>
    <s v="YES"/>
    <s v="NO"/>
    <m/>
    <n v="2"/>
    <n v="4"/>
    <m/>
    <n v="5"/>
    <m/>
  </r>
  <r>
    <s v="game"/>
    <m/>
    <s v="ngmag-maglord"/>
    <s v="Magician Lord "/>
    <s v="1990"/>
    <s v="Alpha Denshi Co."/>
    <s v="マジシャンロード"/>
    <s v="Magician_Lord"/>
    <n v="19109"/>
    <n v="77989"/>
    <x v="1"/>
    <x v="1"/>
    <m/>
    <m/>
    <m/>
    <n v="5"/>
    <n v="46"/>
    <s v="MVSAESNGCD"/>
    <s v="NO"/>
    <s v="YES"/>
    <s v="YES"/>
    <s v="YES"/>
    <m/>
    <n v="2"/>
    <n v="2"/>
    <n v="2"/>
    <n v="4"/>
    <m/>
  </r>
  <r>
    <s v="game"/>
    <m/>
    <s v="ngmag-mahretsu"/>
    <s v="Mahjong Story"/>
    <s v="1990"/>
    <s v="SNK"/>
    <s v="麻雀狂列伝 Mahjong Kyo Retsuden"/>
    <m/>
    <n v="75450"/>
    <n v="78089"/>
    <x v="1"/>
    <x v="1"/>
    <m/>
    <m/>
    <m/>
    <n v="4"/>
    <n v="42"/>
    <s v="MVSAESNGCD"/>
    <s v="NO"/>
    <s v="YES"/>
    <s v="YES"/>
    <s v="YES"/>
    <m/>
    <n v="1"/>
    <n v="2"/>
    <n v="2"/>
    <n v="1"/>
    <m/>
  </r>
  <r>
    <s v="game"/>
    <m/>
    <s v="ngmag-mslug"/>
    <s v="Metal Slug - Super Vehicle-001"/>
    <s v="1996"/>
    <s v="Nazca"/>
    <s v="メタルスラッグ"/>
    <s v="Metal_Slug_(1996_video_game)"/>
    <m/>
    <n v="78353"/>
    <x v="1"/>
    <x v="1"/>
    <m/>
    <m/>
    <n v="50"/>
    <n v="201"/>
    <n v="193"/>
    <s v="MVSAESNGCD"/>
    <s v="NO"/>
    <s v="YES"/>
    <s v="YES"/>
    <s v="YES"/>
    <m/>
    <n v="1"/>
    <n v="5"/>
    <n v="2"/>
    <n v="5"/>
    <s v="Metal Slug [ne7]"/>
  </r>
  <r>
    <s v="game"/>
    <m/>
    <s v="ngmag-mslug2"/>
    <s v="Metal Slug 2 - Super Vehicle-001/II "/>
    <s v="1998"/>
    <s v="SNK"/>
    <s v="メタルスラッグ2"/>
    <s v="Metal_Slug_2"/>
    <n v="1407"/>
    <n v="78354"/>
    <x v="1"/>
    <x v="1"/>
    <m/>
    <m/>
    <m/>
    <n v="241"/>
    <n v="362"/>
    <s v="MVSAESNGCD"/>
    <s v="NO"/>
    <s v="YES"/>
    <s v="YES"/>
    <s v="YES"/>
    <m/>
    <n v="2"/>
    <n v="4"/>
    <n v="2"/>
    <n v="4"/>
    <s v="Metal Slug 2 [ne7]"/>
  </r>
  <r>
    <s v="game"/>
    <m/>
    <s v="ngmag-mslugx"/>
    <s v="Metal Slug X - Super Vehicle-001 "/>
    <s v="1999"/>
    <s v="SNK"/>
    <s v="メタルスラッグX"/>
    <m/>
    <n v="18840"/>
    <n v="78364"/>
    <x v="1"/>
    <x v="1"/>
    <s v="X"/>
    <m/>
    <m/>
    <n v="250"/>
    <n v="506"/>
    <s v="MVSAES"/>
    <s v="NO"/>
    <s v="YES"/>
    <s v="YES"/>
    <s v="NO"/>
    <m/>
    <n v="2"/>
    <n v="4"/>
    <m/>
    <n v="5"/>
    <s v="Metal Slug X [Wasabi]"/>
  </r>
  <r>
    <s v="game"/>
    <m/>
    <s v="ngmag-mslug3"/>
    <s v="Metal Slug 3 "/>
    <s v="2000"/>
    <s v="SNK"/>
    <s v="メタルスラッグ 3"/>
    <s v="Metal_Slug_3"/>
    <n v="1404"/>
    <n v="78356"/>
    <x v="1"/>
    <x v="1"/>
    <m/>
    <m/>
    <m/>
    <n v="256"/>
    <n v="708"/>
    <s v="MVSAES"/>
    <s v="NO"/>
    <s v="YES"/>
    <s v="YES"/>
    <s v="NO"/>
    <m/>
    <n v="1"/>
    <n v="2"/>
    <m/>
    <n v="5"/>
    <s v="Metal Slug 3 [bonuskun]"/>
  </r>
  <r>
    <s v="game"/>
    <m/>
    <s v="ngmag-mslug4"/>
    <s v="Metal Slug 4 "/>
    <s v="2002"/>
    <s v="Mega / Noise Factory / Playmore"/>
    <s v="メタルスラッグ4"/>
    <s v="Metal_Slug_4"/>
    <n v="1409"/>
    <n v="78358"/>
    <x v="1"/>
    <x v="1"/>
    <s v="X"/>
    <m/>
    <m/>
    <n v="263"/>
    <n v="553"/>
    <s v="MVSAES"/>
    <s v="NO"/>
    <s v="YES"/>
    <s v="YES"/>
    <s v="NO"/>
    <m/>
    <n v="1"/>
    <n v="2"/>
    <m/>
    <n v="4"/>
    <s v="Metal Slug 4"/>
  </r>
  <r>
    <s v="game"/>
    <m/>
    <s v="ngmag-mslug5"/>
    <s v="Metal Slug 5 "/>
    <s v="2003"/>
    <s v="SNK Playmore"/>
    <s v="メタルスラッグ5"/>
    <s v="Metal_Slug_5"/>
    <n v="1410"/>
    <n v="78361"/>
    <x v="1"/>
    <x v="1"/>
    <m/>
    <m/>
    <m/>
    <n v="268"/>
    <n v="708"/>
    <s v="JAMMAMVSAES"/>
    <s v="YES"/>
    <s v="YES"/>
    <s v="YES"/>
    <s v="NO"/>
    <m/>
    <n v="3"/>
    <n v="3"/>
    <m/>
    <n v="5"/>
    <s v="Metal Slug 5 [hellishtempura]"/>
  </r>
  <r>
    <s v="game"/>
    <m/>
    <s v="ngmag-minasan"/>
    <s v="Minasan no Okagesamadesu! Dai Sugoroku Taikai "/>
    <s v="1990"/>
    <s v="Monolith Corp."/>
    <s v="みなさんのおかげさまです！ 大スゴロク大会"/>
    <m/>
    <n v="64013"/>
    <n v="78406"/>
    <x v="1"/>
    <x v="1"/>
    <s v="X"/>
    <m/>
    <m/>
    <n v="27"/>
    <n v="54"/>
    <s v="MVSAES"/>
    <s v="NO"/>
    <s v="YES"/>
    <s v="YES"/>
    <s v="NO"/>
    <m/>
    <n v="1"/>
    <n v="1"/>
    <m/>
    <n v="1"/>
    <m/>
  </r>
  <r>
    <s v="game"/>
    <m/>
    <s v="ngmag-miexchng"/>
    <s v="Money Puzzle Exchanger / Money Idol Exchanger"/>
    <s v="1997"/>
    <s v="Face"/>
    <s v="マネーアイドルエクスチェンジャー"/>
    <s v="Money_Puzzle_Exchanger"/>
    <n v="37280"/>
    <n v="78484"/>
    <x v="1"/>
    <x v="1"/>
    <m/>
    <m/>
    <m/>
    <n v="231"/>
    <n v="78"/>
    <s v="MVSAES"/>
    <s v="NO"/>
    <s v="YES"/>
    <s v="YES"/>
    <s v="NO"/>
    <m/>
    <m/>
    <m/>
    <m/>
    <m/>
    <s v="Money Puzzle Exchanger [ne7+Kagami007]"/>
  </r>
  <r>
    <s v="game"/>
    <m/>
    <s v="ngmag-mutnat"/>
    <s v="Mutation Nation "/>
    <s v="1992"/>
    <s v="SNK"/>
    <s v="ミューテイション ネイション"/>
    <s v="Mutation_Nation"/>
    <n v="39522"/>
    <n v="78643"/>
    <x v="1"/>
    <x v="1"/>
    <m/>
    <m/>
    <m/>
    <n v="14"/>
    <n v="54"/>
    <s v="MVSAESNGCD"/>
    <s v="NO"/>
    <s v="YES"/>
    <s v="YES"/>
    <s v="YES"/>
    <m/>
    <n v="2"/>
    <n v="2"/>
    <n v="2"/>
    <n v="4"/>
    <m/>
  </r>
  <r>
    <s v="game"/>
    <m/>
    <s v="ngmag-mysticwandngm"/>
    <s v="Mystic Wand"/>
    <s v="1992?"/>
    <s v="Alpha Denshi Co."/>
    <m/>
    <m/>
    <m/>
    <m/>
    <x v="3"/>
    <x v="2"/>
    <m/>
    <m/>
    <m/>
    <n v="35"/>
    <m/>
    <s v=""/>
    <m/>
    <m/>
    <m/>
    <m/>
    <m/>
    <m/>
    <m/>
    <m/>
    <m/>
    <m/>
  </r>
  <r>
    <s v="game"/>
    <m/>
    <s v="ngmag-nam1975"/>
    <s v="NAM-1975 "/>
    <s v="1990"/>
    <s v="SNK"/>
    <s v="ナム1975"/>
    <s v="NAM-1975"/>
    <n v="28409"/>
    <n v="78662"/>
    <x v="1"/>
    <x v="1"/>
    <m/>
    <m/>
    <m/>
    <n v="1"/>
    <n v="46"/>
    <s v="MVSAESNGCD"/>
    <s v="NO"/>
    <s v="YES"/>
    <s v="YES"/>
    <s v="YES"/>
    <m/>
    <n v="1"/>
    <n v="2"/>
    <n v="2"/>
    <n v="3"/>
    <m/>
  </r>
  <r>
    <s v="game"/>
    <m/>
    <s v="ngmag-neo2048"/>
    <s v="Neo 2048"/>
    <n v="2021"/>
    <s v="nicole_express"/>
    <s v="https://nicole.express/2021/high-speed-coding-neo-geo.html"/>
    <m/>
    <m/>
    <m/>
    <x v="2"/>
    <x v="2"/>
    <m/>
    <m/>
    <m/>
    <m/>
    <m/>
    <s v=""/>
    <m/>
    <m/>
    <m/>
    <m/>
    <m/>
    <m/>
    <m/>
    <m/>
    <m/>
    <m/>
  </r>
  <r>
    <s v="game"/>
    <m/>
    <s v="ngmag-neobombe"/>
    <s v="Neo Bomberman"/>
    <s v="1997"/>
    <s v="Hudson"/>
    <s v="ネオ・ボンバーマン"/>
    <s v="Neo_Bomberman"/>
    <n v="39463"/>
    <n v="78706"/>
    <x v="1"/>
    <x v="1"/>
    <s v="X"/>
    <m/>
    <m/>
    <n v="93"/>
    <n v="138"/>
    <s v="MVSAES"/>
    <s v="NO"/>
    <s v="YES"/>
    <s v="YES"/>
    <s v="NO"/>
    <m/>
    <m/>
    <m/>
    <m/>
    <m/>
    <m/>
  </r>
  <r>
    <s v="game"/>
    <m/>
    <s v="ngmag-neodrift"/>
    <s v="Neo Drift Out - New Technology"/>
    <s v="1996"/>
    <s v="Visco"/>
    <s v="NEOドリフトアウト"/>
    <s v="Neo_Drift_Out:_New_Technology"/>
    <n v="39600"/>
    <n v="78707"/>
    <x v="1"/>
    <x v="1"/>
    <s v="X"/>
    <m/>
    <m/>
    <n v="213"/>
    <n v="106"/>
    <s v="MVSAESNGCD"/>
    <s v="NO"/>
    <s v="YES"/>
    <s v="YES"/>
    <s v="YES"/>
    <m/>
    <m/>
    <m/>
    <m/>
    <m/>
    <s v="Neo Drift Out [ne7]"/>
  </r>
  <r>
    <s v="game"/>
    <m/>
    <s v="ngmag-ngcdspecial"/>
    <s v="Neo Geo CD Special"/>
    <n v="1995"/>
    <s v="SNK"/>
    <m/>
    <m/>
    <m/>
    <n v="252664"/>
    <x v="1"/>
    <x v="1"/>
    <m/>
    <m/>
    <m/>
    <n v="205"/>
    <m/>
    <s v="NGCD"/>
    <s v="NO"/>
    <s v="NO"/>
    <s v="NO"/>
    <s v="YES"/>
    <m/>
    <m/>
    <m/>
    <m/>
    <m/>
    <m/>
  </r>
  <r>
    <s v="game"/>
    <m/>
    <s v="ngmag-neomrdo"/>
    <s v="Neo Mr. Do!"/>
    <s v="1996"/>
    <s v="Visco"/>
    <s v=""/>
    <s v="Mr._Do!#Ports_and_sequels"/>
    <n v="39540"/>
    <n v="78708"/>
    <x v="1"/>
    <x v="1"/>
    <s v="X"/>
    <m/>
    <m/>
    <n v="207"/>
    <n v="50"/>
    <s v="MVSAES"/>
    <s v="NO"/>
    <s v="YES"/>
    <s v="YES"/>
    <s v="NO"/>
    <m/>
    <m/>
    <m/>
    <m/>
    <m/>
    <m/>
  </r>
  <r>
    <s v="game"/>
    <m/>
    <s v="ngmag-neonopanepon"/>
    <s v="Neo no Panepon"/>
    <n v="2002"/>
    <s v="Blastar"/>
    <s v="https://wiki.neogeodev.org/index.php?title=Neo_no_Panepon"/>
    <m/>
    <m/>
    <m/>
    <x v="2"/>
    <x v="2"/>
    <m/>
    <m/>
    <m/>
    <m/>
    <m/>
    <s v=""/>
    <m/>
    <m/>
    <m/>
    <m/>
    <m/>
    <m/>
    <m/>
    <m/>
    <m/>
    <m/>
  </r>
  <r>
    <s v="game"/>
    <m/>
    <s v="ngmag-neopang"/>
    <s v="Neo Pang"/>
    <n v="2010"/>
    <s v="NGF Dev. Inc / CeL"/>
    <s v="https://www.neo-geo.com/forums/index.php?threads/neogeo-homebrew-times-up.227388/"/>
    <m/>
    <m/>
    <n v="252961"/>
    <x v="2"/>
    <x v="3"/>
    <m/>
    <m/>
    <m/>
    <m/>
    <m/>
    <s v=""/>
    <m/>
    <m/>
    <m/>
    <m/>
    <m/>
    <m/>
    <m/>
    <m/>
    <m/>
    <m/>
  </r>
  <r>
    <s v="game"/>
    <m/>
    <s v="ngmag-neopong"/>
    <s v="Neo Pong"/>
    <n v="2002"/>
    <s v=" _x0009_NeoDev Corporation"/>
    <s v="https://www.winkawaks.org/roms/neogeo/neopong.htm"/>
    <m/>
    <m/>
    <m/>
    <x v="2"/>
    <x v="2"/>
    <m/>
    <m/>
    <m/>
    <m/>
    <m/>
    <s v=""/>
    <m/>
    <m/>
    <m/>
    <m/>
    <m/>
    <m/>
    <m/>
    <m/>
    <m/>
    <m/>
  </r>
  <r>
    <s v="game"/>
    <m/>
    <s v="ngmag-neopuzzleleague"/>
    <s v="Neo Puzzle League"/>
    <n v="2005"/>
    <s v="Blastar"/>
    <m/>
    <m/>
    <m/>
    <m/>
    <x v="2"/>
    <x v="2"/>
    <m/>
    <m/>
    <m/>
    <m/>
    <m/>
    <s v=""/>
    <m/>
    <m/>
    <m/>
    <m/>
    <m/>
    <m/>
    <m/>
    <m/>
    <m/>
    <m/>
  </r>
  <r>
    <s v="game"/>
    <m/>
    <s v="ngmag-neothndr"/>
    <s v="Neo Thunder"/>
    <n v="2012"/>
    <s v="Sebastian Mihai"/>
    <s v="http://sebastianmihai.com/neogeo-neo-thunder.html"/>
    <m/>
    <m/>
    <m/>
    <x v="2"/>
    <x v="2"/>
    <m/>
    <m/>
    <m/>
    <m/>
    <m/>
    <s v=""/>
    <m/>
    <m/>
    <m/>
    <m/>
    <m/>
    <m/>
    <m/>
    <m/>
    <m/>
    <m/>
  </r>
  <r>
    <s v="game"/>
    <m/>
    <s v="ngmag-turfmast"/>
    <s v="Neo Turf Masters"/>
    <s v="1996"/>
    <s v="Nazca"/>
    <s v="ビッグトーナメントゴルフ Big Tournament Golf"/>
    <s v="Neo_Turf_Masters"/>
    <n v="20323"/>
    <n v="78709"/>
    <x v="1"/>
    <x v="1"/>
    <m/>
    <m/>
    <m/>
    <n v="200"/>
    <n v="133"/>
    <s v="MVSAESNGCD"/>
    <s v="NO"/>
    <s v="YES"/>
    <s v="YES"/>
    <s v="YES"/>
    <m/>
    <n v="2"/>
    <n v="5"/>
    <n v="3"/>
    <n v="5"/>
    <s v="Neo Turf Masters / Big Tournament Golf [ne7]"/>
  </r>
  <r>
    <s v="game"/>
    <m/>
    <s v="ngmag-neoxyx"/>
    <s v="Neo XYX"/>
    <n v="2013"/>
    <s v="NG:DEV.TEAM"/>
    <m/>
    <s v="Neo_XYX"/>
    <m/>
    <n v="252976"/>
    <x v="5"/>
    <x v="3"/>
    <m/>
    <m/>
    <m/>
    <m/>
    <n v="264"/>
    <s v=""/>
    <m/>
    <m/>
    <m/>
    <m/>
    <m/>
    <m/>
    <m/>
    <m/>
    <m/>
    <m/>
  </r>
  <r>
    <s v="game"/>
    <m/>
    <s v="ngmag-ng2ptetris"/>
    <s v="NeoGeo 2-Player-Tetris"/>
    <n v="2008"/>
    <s v="Crim"/>
    <s v="https://github.com/Crim/NeoGeo-2-Player-Tetris"/>
    <m/>
    <m/>
    <m/>
    <x v="2"/>
    <x v="2"/>
    <m/>
    <m/>
    <m/>
    <m/>
    <m/>
    <s v=""/>
    <m/>
    <m/>
    <m/>
    <m/>
    <m/>
    <m/>
    <m/>
    <m/>
    <m/>
    <m/>
  </r>
  <r>
    <s v="game"/>
    <m/>
    <s v="ngmag-neocup98"/>
    <s v="Neo-Geo Cup '98 - The Road to the Victory"/>
    <s v="1998"/>
    <s v="SNK"/>
    <s v="ネオジオカップ'98 ザ・ロード・トゥ・ザ・ヴィクトリー"/>
    <s v="Neo_Geo_Cup_'98:_The_Road_to_the_Victory"/>
    <n v="39529"/>
    <n v="78710"/>
    <x v="1"/>
    <x v="1"/>
    <s v="X"/>
    <m/>
    <m/>
    <n v="244"/>
    <n v="162"/>
    <s v="MVSAES"/>
    <s v="NO"/>
    <s v="YES"/>
    <s v="YES"/>
    <s v="NO"/>
    <m/>
    <n v="1"/>
    <n v="2"/>
    <m/>
    <n v="4"/>
    <m/>
  </r>
  <r>
    <s v="game"/>
    <m/>
    <s v="ngmag-neotris"/>
    <s v="Neotris"/>
    <n v="2021"/>
    <s v="Chipsonsteroids"/>
    <m/>
    <m/>
    <m/>
    <n v="252979"/>
    <x v="5"/>
    <x v="3"/>
    <m/>
    <m/>
    <m/>
    <m/>
    <n v="326"/>
    <s v=""/>
    <m/>
    <m/>
    <m/>
    <m/>
    <m/>
    <m/>
    <m/>
    <m/>
    <m/>
    <m/>
  </r>
  <r>
    <s v="game"/>
    <m/>
    <s v="ngmag-ngem2k"/>
    <s v="NGEM2K"/>
    <s v="?"/>
    <s v="?"/>
    <s v="https://schworak.com/games/?platform=24&amp;game=38014"/>
    <m/>
    <m/>
    <m/>
    <x v="2"/>
    <x v="2"/>
    <m/>
    <m/>
    <m/>
    <m/>
    <m/>
    <s v=""/>
    <m/>
    <m/>
    <m/>
    <m/>
    <m/>
    <m/>
    <m/>
    <m/>
    <m/>
    <m/>
  </r>
  <r>
    <s v="game"/>
    <m/>
    <s v="ngmag-ngm258"/>
    <s v="NGM-258"/>
    <s v="2000?"/>
    <s v="SNK?"/>
    <m/>
    <m/>
    <m/>
    <m/>
    <x v="3"/>
    <x v="2"/>
    <m/>
    <m/>
    <m/>
    <m/>
    <m/>
    <s v=""/>
    <m/>
    <m/>
    <m/>
    <m/>
    <m/>
    <m/>
    <m/>
    <m/>
    <m/>
    <m/>
  </r>
  <r>
    <s v="game"/>
    <m/>
    <s v="ngmag-nitd"/>
    <s v="Nightmare in the Dark"/>
    <s v="2000"/>
    <s v="Eleven / Gavaking"/>
    <s v="ナイトメアインザダーク"/>
    <s v="Nightmare_in_the_Dark"/>
    <n v="40992"/>
    <n v="78780"/>
    <x v="1"/>
    <x v="1"/>
    <m/>
    <m/>
    <m/>
    <n v="260"/>
    <n v="166"/>
    <s v="MVSAES"/>
    <s v="NO"/>
    <s v="YES"/>
    <s v="YES"/>
    <s v="NO"/>
    <m/>
    <m/>
    <m/>
    <m/>
    <m/>
    <m/>
  </r>
  <r>
    <s v="game"/>
    <m/>
    <s v="ngmag-ncombat"/>
    <s v="Ninja Combat "/>
    <s v="1990"/>
    <s v="Alpha Denshi Co."/>
    <s v="ニンジャコンバット"/>
    <s v="Ninja_Combat"/>
    <n v="39889"/>
    <n v="78786"/>
    <x v="1"/>
    <x v="1"/>
    <m/>
    <m/>
    <m/>
    <n v="9"/>
    <n v="46"/>
    <s v="MVSAESNGCD"/>
    <s v="NO"/>
    <s v="YES"/>
    <s v="YES"/>
    <s v="YES"/>
    <m/>
    <n v="1"/>
    <n v="1"/>
    <n v="2"/>
    <n v="3"/>
    <m/>
  </r>
  <r>
    <s v="game"/>
    <m/>
    <s v="ngmag-ncommand"/>
    <s v="Ninja Commando"/>
    <s v="1992"/>
    <s v="Alpha Denshi Co."/>
    <s v="ニンジャコマンドー"/>
    <s v="Ninja_Commando"/>
    <n v="39951"/>
    <n v="78787"/>
    <x v="1"/>
    <x v="1"/>
    <s v="X"/>
    <m/>
    <m/>
    <n v="50"/>
    <n v="54"/>
    <s v="MVSAESNGCD"/>
    <s v="NO"/>
    <s v="YES"/>
    <s v="YES"/>
    <s v="YES"/>
    <m/>
    <n v="2"/>
    <n v="1"/>
    <n v="2"/>
    <n v="3"/>
    <m/>
  </r>
  <r>
    <s v="game"/>
    <m/>
    <s v="ngmag-ninjamas"/>
    <s v="Ninja Master's"/>
    <s v="1996"/>
    <s v="ADK / SNK"/>
    <s v="ニンジャマスターズ 覇王忍法帖 Haoh ninpo cho"/>
    <s v="Ninja_Master's"/>
    <n v="39458"/>
    <n v="78793"/>
    <x v="1"/>
    <x v="1"/>
    <m/>
    <s v="https://www.fgbg.art/static/ninjaMasters_raiga-e457cef39566417fdbcc23471d6c0b1d.gif"/>
    <n v="35"/>
    <n v="217"/>
    <n v="330"/>
    <s v="MVSAESNGCD"/>
    <s v="NO"/>
    <s v="YES"/>
    <s v="YES"/>
    <s v="YES"/>
    <m/>
    <n v="3"/>
    <n v="4"/>
    <n v="3"/>
    <n v="4"/>
    <m/>
  </r>
  <r>
    <s v="game"/>
    <m/>
    <s v="ngmag-overtop"/>
    <s v="Over Top"/>
    <s v="1996"/>
    <s v="ADK"/>
    <s v="オーバートップ"/>
    <s v="Over_Top"/>
    <n v="64011"/>
    <n v="78934"/>
    <x v="1"/>
    <x v="1"/>
    <s v="X"/>
    <m/>
    <m/>
    <n v="212"/>
    <n v="212"/>
    <s v="MVSAESNGCD"/>
    <s v="NO"/>
    <s v="YES"/>
    <s v="YES"/>
    <s v="YES"/>
    <m/>
    <n v="3"/>
    <n v="4"/>
    <n v="4"/>
    <n v="3"/>
    <m/>
  </r>
  <r>
    <s v="game"/>
    <m/>
    <s v="ngmag-panicbom"/>
    <s v="Panic Bomber"/>
    <s v="1994"/>
    <s v="Eighting / Hudson"/>
    <s v="ボンバーマン　パニックボンバー"/>
    <s v="Bomberman:_Panic_Bomber"/>
    <n v="39663"/>
    <n v="79004"/>
    <x v="1"/>
    <x v="1"/>
    <s v="X"/>
    <m/>
    <m/>
    <n v="73"/>
    <n v="46"/>
    <s v="MVSAES"/>
    <s v="NO"/>
    <s v="YES"/>
    <s v="YES"/>
    <s v="NO"/>
    <m/>
    <m/>
    <m/>
    <m/>
    <m/>
    <m/>
  </r>
  <r>
    <s v="game"/>
    <m/>
    <s v="ngmag-pgoal"/>
    <s v="Pleasure Goal / Futsal - 5 on 5 Mini Soccer "/>
    <s v="1996"/>
    <s v="Saurus"/>
    <s v="フットサル"/>
    <m/>
    <n v="75464"/>
    <n v="79266"/>
    <x v="1"/>
    <x v="1"/>
    <s v="X"/>
    <m/>
    <m/>
    <n v="219"/>
    <n v="146"/>
    <s v="MVSAESNGCD"/>
    <s v="NO"/>
    <s v="YES"/>
    <s v="YES"/>
    <s v="YES"/>
    <m/>
    <m/>
    <m/>
    <m/>
    <m/>
    <s v="Pleasure Goal [ne7]"/>
  </r>
  <r>
    <s v="game"/>
    <m/>
    <s v="ngmag-pnyaa"/>
    <s v="Pochi and Nyaa "/>
    <s v="2003"/>
    <s v="Aiky / Taito"/>
    <s v="ポチッとにゃ～"/>
    <s v="Pochi_and_Nyaa"/>
    <n v="40188"/>
    <n v="79275"/>
    <x v="1"/>
    <x v="1"/>
    <s v="X"/>
    <m/>
    <m/>
    <n v="267"/>
    <n v="172"/>
    <s v="MVSAESNGCD"/>
    <s v="NO"/>
    <s v="YES"/>
    <s v="YES"/>
    <s v="YES"/>
    <m/>
    <m/>
    <m/>
    <m/>
    <m/>
    <m/>
  </r>
  <r>
    <s v="game"/>
    <m/>
    <s v="ngmag-pokernight"/>
    <s v="Poker Night"/>
    <s v="?"/>
    <s v="?"/>
    <s v="https://schworak.com/games/?platform=24&amp;game=38017"/>
    <m/>
    <m/>
    <m/>
    <x v="2"/>
    <x v="2"/>
    <m/>
    <m/>
    <m/>
    <m/>
    <m/>
    <s v=""/>
    <m/>
    <m/>
    <m/>
    <m/>
    <m/>
    <m/>
    <m/>
    <m/>
    <m/>
    <m/>
  </r>
  <r>
    <s v="game"/>
    <m/>
    <s v="ngmag-popbounc"/>
    <s v="Pop 'n Bounce / Gapporin"/>
    <s v="1997"/>
    <s v="Video System Co."/>
    <s v="ガッポリン"/>
    <m/>
    <m/>
    <n v="79337"/>
    <x v="1"/>
    <x v="1"/>
    <m/>
    <m/>
    <m/>
    <n v="237"/>
    <n v="58"/>
    <s v="MVSAESNGCD"/>
    <s v="NO"/>
    <s v="YES"/>
    <s v="YES"/>
    <s v="YES"/>
    <m/>
    <m/>
    <m/>
    <m/>
    <m/>
    <m/>
  </r>
  <r>
    <s v="game"/>
    <m/>
    <s v="ngmag-matrim"/>
    <s v="Power Instinct Matrimelee"/>
    <n v="2003"/>
    <s v="Noise Factory / Atlus"/>
    <s v="新・豪血寺一族 闘婚 Shin Gouketsuji Ichizoku Toukon"/>
    <s v="Matrimelee"/>
    <m/>
    <n v="78252"/>
    <x v="1"/>
    <x v="1"/>
    <s v="X"/>
    <m/>
    <m/>
    <n v="266"/>
    <n v="646"/>
    <s v="MVSAES"/>
    <s v="NO"/>
    <s v="YES"/>
    <s v="YES"/>
    <s v="NO"/>
    <m/>
    <n v="2"/>
    <n v="2"/>
    <m/>
    <n v="3"/>
    <m/>
  </r>
  <r>
    <s v="game"/>
    <m/>
    <s v="ngmag-pspikes2"/>
    <s v="Power Spikes II "/>
    <n v="1995"/>
    <s v="Video System Co."/>
    <s v="パワースパイクスII"/>
    <s v="Power_Spikes_II"/>
    <n v="39979"/>
    <n v="79387"/>
    <x v="1"/>
    <x v="1"/>
    <s v="X"/>
    <m/>
    <m/>
    <n v="68"/>
    <n v="82"/>
    <s v="MVSAESNGCD"/>
    <s v="NO"/>
    <s v="YES"/>
    <s v="YES"/>
    <s v="YES"/>
    <m/>
    <m/>
    <m/>
    <m/>
    <m/>
    <m/>
  </r>
  <r>
    <s v="game"/>
    <m/>
    <s v="ngmag-preisle2"/>
    <s v="Prehistoric Isle 2"/>
    <s v="1999"/>
    <s v="Yumekobo / Saurus"/>
    <s v="原始島2"/>
    <s v="Prehistoric_Isle_2"/>
    <n v="39280"/>
    <n v="79396"/>
    <x v="1"/>
    <x v="1"/>
    <m/>
    <m/>
    <m/>
    <n v="255"/>
    <n v="478"/>
    <s v="MVSAES"/>
    <s v="NO"/>
    <s v="YES"/>
    <s v="YES"/>
    <s v="NO"/>
    <m/>
    <m/>
    <m/>
    <m/>
    <m/>
    <m/>
  </r>
  <r>
    <s v="game"/>
    <m/>
    <s v="ngmag-pneon"/>
    <s v="Project Neon"/>
    <s v="2022?"/>
    <s v="Fullset"/>
    <m/>
    <m/>
    <m/>
    <m/>
    <x v="5"/>
    <x v="2"/>
    <m/>
    <m/>
    <m/>
    <m/>
    <m/>
    <s v=""/>
    <m/>
    <m/>
    <m/>
    <m/>
    <m/>
    <m/>
    <m/>
    <m/>
    <m/>
    <m/>
  </r>
  <r>
    <s v="game"/>
    <m/>
    <s v="ngmag-pulstar"/>
    <s v="Pulstar"/>
    <s v="1995"/>
    <s v="Aicom"/>
    <s v="パルスター"/>
    <s v="Pulstar_(video_game)"/>
    <n v="7255"/>
    <n v="79452"/>
    <x v="1"/>
    <x v="1"/>
    <m/>
    <m/>
    <m/>
    <n v="89"/>
    <n v="305"/>
    <s v="MVSNGCD"/>
    <s v="NO"/>
    <s v="YES"/>
    <s v="NO"/>
    <s v="YES"/>
    <m/>
    <m/>
    <m/>
    <m/>
    <m/>
    <m/>
  </r>
  <r>
    <s v="game"/>
    <m/>
    <s v="ngmag-punkycircus"/>
    <s v="Punky Circus"/>
    <n v="2023"/>
    <s v="PixelHeart"/>
    <s v="パンキー サーカス"/>
    <m/>
    <m/>
    <n v="255975"/>
    <x v="1"/>
    <x v="3"/>
    <m/>
    <m/>
    <m/>
    <m/>
    <m/>
    <m/>
    <m/>
    <m/>
    <m/>
    <m/>
    <m/>
    <m/>
    <m/>
    <m/>
    <m/>
    <m/>
  </r>
  <r>
    <s v="game"/>
    <m/>
    <s v="ngmag-pbobblen"/>
    <s v="Puzzle Bobble / Bust-A-Move "/>
    <s v="1994"/>
    <s v="Taito"/>
    <s v="パズルボブル"/>
    <s v="Puzzle_Bobble"/>
    <n v="28391"/>
    <n v="79476"/>
    <x v="1"/>
    <x v="1"/>
    <m/>
    <m/>
    <m/>
    <n v="83"/>
    <n v="32"/>
    <s v="MVSAESNGCD"/>
    <s v="NO"/>
    <s v="YES"/>
    <s v="YES"/>
    <s v="YES"/>
    <m/>
    <m/>
    <m/>
    <m/>
    <m/>
    <s v="Puzzle Bobble / Bust A Move [kagami007]"/>
  </r>
  <r>
    <s v="game"/>
    <m/>
    <s v="ngmag-pbobbl2n"/>
    <s v="Puzzle Bobble 2 / Bust-A-Move Again "/>
    <s v="1999"/>
    <s v="Taito (SNK license)"/>
    <s v="パズルボブル 2"/>
    <s v="Puzzle_Bobble_2"/>
    <m/>
    <n v="79478"/>
    <x v="1"/>
    <x v="1"/>
    <m/>
    <m/>
    <m/>
    <n v="248"/>
    <n v="46"/>
    <s v="MVSAES"/>
    <s v="NO"/>
    <s v="YES"/>
    <s v="YES"/>
    <s v="NO"/>
    <m/>
    <m/>
    <m/>
    <m/>
    <m/>
    <m/>
  </r>
  <r>
    <s v="game"/>
    <m/>
    <s v="ngmag-puzzledp"/>
    <s v="Puzzle De Pon!"/>
    <s v="1995"/>
    <s v="Visco"/>
    <s v="パズルdeポン！"/>
    <s v="Puzzle_De_Pon"/>
    <n v="39983"/>
    <n v="79486"/>
    <x v="1"/>
    <x v="1"/>
    <s v="X"/>
    <m/>
    <m/>
    <n v="202"/>
    <n v="30"/>
    <s v="MVSAES"/>
    <s v="NO"/>
    <s v="YES"/>
    <s v="YES"/>
    <s v="NO"/>
    <m/>
    <m/>
    <m/>
    <m/>
    <m/>
    <m/>
  </r>
  <r>
    <s v="game"/>
    <m/>
    <s v="ngmag-puzzldpr"/>
    <s v="Puzzle De Pon! R!"/>
    <n v="1996"/>
    <s v="Visco"/>
    <s v="パズル de ポン! R"/>
    <s v="Puzzle_De_Pon!_R!"/>
    <n v="47579"/>
    <n v="79487"/>
    <x v="1"/>
    <x v="1"/>
    <m/>
    <m/>
    <m/>
    <n v="235"/>
    <n v="32"/>
    <s v="MVSAES"/>
    <s v="NO"/>
    <s v="YES"/>
    <s v="YES"/>
    <s v="NO"/>
    <m/>
    <m/>
    <m/>
    <m/>
    <m/>
    <m/>
  </r>
  <r>
    <s v="game"/>
    <m/>
    <s v="ngmag-joyjoy"/>
    <s v="Puzzled / Joy Joy Kid "/>
    <s v="1990"/>
    <s v="SNK"/>
    <s v="ジョイジョイキッド"/>
    <s v="Puzzled_(video_game)"/>
    <n v="40970"/>
    <n v="79499"/>
    <x v="1"/>
    <x v="1"/>
    <m/>
    <m/>
    <m/>
    <n v="21"/>
    <n v="22"/>
    <s v="MVSNGCD"/>
    <s v="NO"/>
    <s v="YES"/>
    <s v="NO"/>
    <s v="YES"/>
    <m/>
    <m/>
    <m/>
    <m/>
    <m/>
    <m/>
  </r>
  <r>
    <s v="game"/>
    <m/>
    <s v="ngmag-quizdais"/>
    <s v="Quiz Daisousa Sen - The Last Count Down "/>
    <s v="1991"/>
    <s v="SNK"/>
    <s v="クイズ大捜査線"/>
    <m/>
    <n v="64010"/>
    <n v="79561"/>
    <x v="1"/>
    <x v="1"/>
    <m/>
    <m/>
    <m/>
    <n v="23"/>
    <n v="34"/>
    <s v="MVS"/>
    <s v="NO"/>
    <s v="YES"/>
    <s v="NO"/>
    <s v="NO"/>
    <m/>
    <m/>
    <m/>
    <m/>
    <m/>
    <m/>
  </r>
  <r>
    <s v="game"/>
    <m/>
    <s v="ngmag-quizkof"/>
    <s v="Quiz King of Fighters "/>
    <s v="1995"/>
    <s v="Saurus (SNK license)"/>
    <s v="クイズ キングオブファイターズ"/>
    <m/>
    <n v="51692"/>
    <n v="79576"/>
    <x v="1"/>
    <x v="1"/>
    <s v="X"/>
    <m/>
    <m/>
    <n v="80"/>
    <n v="122"/>
    <s v="MVSNGCD"/>
    <s v="NO"/>
    <s v="YES"/>
    <s v="NO"/>
    <s v="YES"/>
    <m/>
    <m/>
    <m/>
    <m/>
    <m/>
    <m/>
  </r>
  <r>
    <s v="game"/>
    <m/>
    <s v="ngmag-quizdai2"/>
    <s v="Quiz Meitantei Neo &amp; Geo - Quiz Daisousa Sen Part 2 "/>
    <s v="1992"/>
    <s v="SNK"/>
    <s v="クイズ迷探偵ネオ＆ジオ ―クイズ大走査線PART2―"/>
    <m/>
    <n v="64009"/>
    <n v="79579"/>
    <x v="1"/>
    <x v="1"/>
    <s v="X"/>
    <m/>
    <m/>
    <n v="42"/>
    <n v="50"/>
    <s v="MVS"/>
    <s v="NO"/>
    <s v="YES"/>
    <s v="NO"/>
    <s v="NO"/>
    <m/>
    <m/>
    <m/>
    <m/>
    <m/>
    <m/>
  </r>
  <r>
    <s v="game"/>
    <m/>
    <s v="ngmag-rotd"/>
    <s v="Rage of the Dragons "/>
    <s v="2002"/>
    <s v="Evoga / Playmore"/>
    <s v="レイジ・オブ・ザ・ドラゴンズ"/>
    <s v="Rage_of_the_Dragons"/>
    <n v="39589"/>
    <n v="79655"/>
    <x v="1"/>
    <x v="1"/>
    <s v="X"/>
    <s v="https://www.fgbg.art/static/rotd_StreetAtNight-65b9fd398462bf1d6837b10b83d39591.gif"/>
    <n v="33"/>
    <n v="264"/>
    <n v="564"/>
    <s v="MVS"/>
    <s v="NO"/>
    <s v="YES"/>
    <s v="NO"/>
    <s v="NO"/>
    <m/>
    <m/>
    <m/>
    <m/>
    <m/>
    <m/>
  </r>
  <r>
    <s v="game"/>
    <m/>
    <s v="ngmag-ragnagrd"/>
    <s v="Ragnagard"/>
    <s v="1996"/>
    <s v="Saurus"/>
    <s v="神凰拳 Shin-Oh-Ken"/>
    <s v="Ragnagard"/>
    <n v="40201"/>
    <n v="79656"/>
    <x v="1"/>
    <x v="1"/>
    <s v="X"/>
    <s v="https://www.fgbg.art/static/ragnagard_gokuu-dc5f0baa633ed8e015b8093b41717e83.gif"/>
    <n v="30"/>
    <n v="218"/>
    <n v="338"/>
    <s v="MVSNGCD"/>
    <s v="NO"/>
    <s v="YES"/>
    <s v="NO"/>
    <s v="YES"/>
    <m/>
    <m/>
    <m/>
    <m/>
    <m/>
    <m/>
  </r>
  <r>
    <s v="game"/>
    <m/>
    <s v="ngmag-razion"/>
    <s v="Razion Ex"/>
    <n v="2014"/>
    <s v="NG:DEV.TEAM"/>
    <m/>
    <s v="Razion"/>
    <n v="75512"/>
    <n v="252977"/>
    <x v="5"/>
    <x v="3"/>
    <m/>
    <m/>
    <m/>
    <m/>
    <n v="1560"/>
    <s v=""/>
    <m/>
    <m/>
    <m/>
    <m/>
    <m/>
    <m/>
    <m/>
    <m/>
    <m/>
    <m/>
  </r>
  <r>
    <s v="game"/>
    <m/>
    <s v="ngmag-rbff1"/>
    <s v="Real Bout Fatal Fury"/>
    <s v="1995"/>
    <s v="SNK"/>
    <s v="リアルバウト 餓狼伝説 Real Bout Garou Densetsu"/>
    <s v="Real_Bout_Fatal_Fury"/>
    <n v="39520"/>
    <n v="79707"/>
    <x v="1"/>
    <x v="1"/>
    <s v="X"/>
    <s v="https://www.fgbg.art/static/rbff_eastSidePark-b80534c079e4ae52bde2a15bafab1f68.gif"/>
    <n v="30"/>
    <n v="95"/>
    <n v="346"/>
    <s v="MVSNGCD"/>
    <s v="NO"/>
    <s v="YES"/>
    <s v="NO"/>
    <s v="YES"/>
    <m/>
    <m/>
    <m/>
    <m/>
    <m/>
    <s v="Real Bout Fatal Fury [ne7]"/>
  </r>
  <r>
    <s v="game"/>
    <m/>
    <s v="ngmag-rbff2"/>
    <s v="Real Bout Fatal Fury 2 - The Newcomers"/>
    <s v="1998"/>
    <s v="SNK"/>
    <s v="リアルバウト餓狼伝説2 Real Bout Garou Densetsu 2 - The Newcomers"/>
    <s v="Real_Bout_Fatal_Fury_2:_The_Newcomers"/>
    <n v="46787"/>
    <n v="79709"/>
    <x v="1"/>
    <x v="1"/>
    <m/>
    <s v="https://www.fgbg.art/static/rb2_xiangfei-41c74c89e51599008ab7b978dece106d.gif"/>
    <n v="33"/>
    <n v="240"/>
    <n v="539"/>
    <s v="MVSNGCD"/>
    <s v="NO"/>
    <s v="YES"/>
    <s v="NO"/>
    <s v="YES"/>
    <m/>
    <m/>
    <m/>
    <m/>
    <m/>
    <s v="Real Bout Fatal Fury 2 [bonuskun]"/>
  </r>
  <r>
    <s v="game"/>
    <m/>
    <s v="ngmag-rbffspec"/>
    <s v="Real Bout Fatal Fury Special"/>
    <s v="1996"/>
    <s v="SNK"/>
    <s v="リアルバウト餓狼伝説スペシャル Real Bout Garou Densetsu Special"/>
    <s v="Real_Bout_Fatal_Fury_Special"/>
    <n v="39521"/>
    <n v="79710"/>
    <x v="1"/>
    <x v="1"/>
    <m/>
    <s v="https://www.fgbg.art/static/rbs_beach-7f5f5b4d0c9806f9a591c6303e742a60.gif"/>
    <n v="30"/>
    <n v="223"/>
    <n v="394"/>
    <s v="MVSNGCD"/>
    <s v="NO"/>
    <s v="YES"/>
    <s v="NO"/>
    <s v="YES"/>
    <m/>
    <m/>
    <m/>
    <m/>
    <m/>
    <s v="Real Bout Fatal Fury Special [Meta-Ukyo]"/>
  </r>
  <r>
    <s v="game"/>
    <m/>
    <s v="ngmag-ridhero"/>
    <s v="Riding Hero "/>
    <s v="1990"/>
    <s v="SNK"/>
    <s v="ライディングヒーロー"/>
    <s v="Riding_Hero"/>
    <n v="39961"/>
    <n v="29885"/>
    <x v="1"/>
    <x v="1"/>
    <m/>
    <m/>
    <m/>
    <n v="6"/>
    <n v="46"/>
    <s v="MVSNGCD"/>
    <s v="NO"/>
    <s v="YES"/>
    <s v="NO"/>
    <s v="YES"/>
    <m/>
    <m/>
    <m/>
    <m/>
    <m/>
    <m/>
  </r>
  <r>
    <s v="game"/>
    <m/>
    <s v="ngmag-roboarmy"/>
    <s v="Robo Army"/>
    <s v="1991"/>
    <s v="SNK"/>
    <s v="ロボアーミー"/>
    <s v="Robo_Army"/>
    <n v="46786"/>
    <n v="79803"/>
    <x v="1"/>
    <x v="1"/>
    <m/>
    <m/>
    <m/>
    <n v="32"/>
    <n v="45"/>
    <s v="MVSNGCD"/>
    <s v="NO"/>
    <s v="YES"/>
    <s v="NO"/>
    <s v="YES"/>
    <m/>
    <m/>
    <m/>
    <m/>
    <m/>
    <s v="Robo Army [ne7]"/>
  </r>
  <r>
    <s v="game"/>
    <m/>
    <s v="ngmag-robocopi"/>
    <s v="Robocop"/>
    <n v="2009"/>
    <s v="Sergi"/>
    <m/>
    <m/>
    <m/>
    <m/>
    <x v="2"/>
    <x v="2"/>
    <m/>
    <m/>
    <m/>
    <m/>
    <m/>
    <s v=""/>
    <m/>
    <m/>
    <m/>
    <m/>
    <m/>
    <m/>
    <m/>
    <m/>
    <m/>
    <m/>
  </r>
  <r>
    <s v="game"/>
    <m/>
    <s v="ngmag-samsho"/>
    <s v="Samurai Shodown"/>
    <s v="1993"/>
    <s v="SNK"/>
    <s v="サムライスピリッツ / Samurai Spirits"/>
    <s v="Samurai_Shodown_(1993_video_game)"/>
    <n v="4260"/>
    <n v="79932"/>
    <x v="1"/>
    <x v="1"/>
    <s v="X"/>
    <s v="https://www.fgbg.art/static/ss_galford-d7098f1d65e40356c720e16e493d4caf.gif"/>
    <n v="50"/>
    <n v="45"/>
    <n v="118"/>
    <s v="MVSNGCD"/>
    <s v="NO"/>
    <s v="YES"/>
    <s v="NO"/>
    <s v="YES"/>
    <m/>
    <m/>
    <m/>
    <m/>
    <m/>
    <s v="Samurai Shodown"/>
  </r>
  <r>
    <s v="game"/>
    <m/>
    <s v="ngmag-samsho2"/>
    <s v="Samurai Shodown II"/>
    <s v="1994"/>
    <s v="SNK"/>
    <s v="真 サムライスピリッツ 覇王丸地獄変 Haohmaru Jigokuhen / Shin Samurai Spirits"/>
    <s v="Samurai_Shodown_II"/>
    <n v="19986"/>
    <n v="79934"/>
    <x v="1"/>
    <x v="1"/>
    <s v="X"/>
    <s v="https://www.fgbg.art/static/ss2_genjuro-ce0fa4f3eb6644a1adfdf869492227ee.gif"/>
    <n v="30"/>
    <n v="63"/>
    <n v="202"/>
    <s v="MVSNGCD"/>
    <s v="NO"/>
    <s v="YES"/>
    <s v="NO"/>
    <s v="YES"/>
    <m/>
    <m/>
    <m/>
    <m/>
    <m/>
    <s v="Samurai Shodown II [bonuskun]"/>
  </r>
  <r>
    <s v="game"/>
    <m/>
    <s v="ngmag-samsho3"/>
    <s v="Samurai Shodown III"/>
    <s v="1995"/>
    <s v="SNK"/>
    <s v="サムライスピリッツ 斬紅郎無双剣 / Samurai Spirits - Zankurou Musouken"/>
    <s v="Samurai_Shodown_III"/>
    <n v="19987"/>
    <n v="79935"/>
    <x v="1"/>
    <x v="1"/>
    <s v="X"/>
    <s v="https://www.fgbg.art/static/ss3_rimiruru-309169357885b7adc022dc77672d6b3b.gif"/>
    <n v="40"/>
    <n v="87"/>
    <n v="282"/>
    <s v="MVSNGCD"/>
    <s v="NO"/>
    <s v="YES"/>
    <s v="NO"/>
    <s v="YES"/>
    <m/>
    <m/>
    <m/>
    <m/>
    <m/>
    <s v="Samurai Showdown III [bonuskun]"/>
  </r>
  <r>
    <s v="game"/>
    <m/>
    <s v="ngmag-samsho4"/>
    <s v="Samurai Shodown IV - Amakusa's Revenge"/>
    <s v="1996"/>
    <s v="SNK"/>
    <s v="サムライスピリッツ 天草降臨 / Samurai Spirits - Amakusa Kourin"/>
    <s v="Samurai_Shodown_IV"/>
    <n v="19988"/>
    <n v="79936"/>
    <x v="1"/>
    <x v="1"/>
    <s v="X"/>
    <s v="https://www.fgbg.art/static/ss4_beach-70ea9fbd5940f609c529f5c0d9fd512b.gif"/>
    <n v="30"/>
    <n v="222"/>
    <n v="378"/>
    <s v="MVSNGCD"/>
    <s v="NO"/>
    <s v="YES"/>
    <s v="NO"/>
    <s v="YES"/>
    <m/>
    <m/>
    <m/>
    <m/>
    <m/>
    <s v="Samurai Shodown IV [bonuskun]"/>
  </r>
  <r>
    <s v="game"/>
    <m/>
    <s v="ngmag-samsho5"/>
    <s v="Samurai Shodown V"/>
    <s v="2003"/>
    <s v="Yuki Enterprise / SNK Playmore"/>
    <s v="サムライスピリッツ 零 / Samurai Spirits Zero"/>
    <s v="Samurai_Shodown_V"/>
    <n v="6026"/>
    <n v="79937"/>
    <x v="1"/>
    <x v="1"/>
    <m/>
    <s v="https://www.fgbg.art/static/ss5_boat-14615902fcf0edb69b5a117b5b7ad09f.gif"/>
    <n v="40"/>
    <n v="270"/>
    <n v="708"/>
    <s v="MVS"/>
    <s v="NO"/>
    <s v="YES"/>
    <s v="NO"/>
    <s v="NO"/>
    <m/>
    <m/>
    <m/>
    <m/>
    <m/>
    <s v="Samurai Shodown V [kagami007]"/>
  </r>
  <r>
    <s v="game"/>
    <m/>
    <s v="ngmag-samsh5sp"/>
    <s v="Samurai Shodown V Special"/>
    <s v="2004"/>
    <s v="Yuki Enterprise / SNK Playmore"/>
    <s v="サムライスピリッツ零 SPECIAL / Samurai Spirits Zero Special"/>
    <s v="Samurai_Shodown_V_Special"/>
    <n v="39566"/>
    <n v="79939"/>
    <x v="1"/>
    <x v="1"/>
    <m/>
    <s v="https://www.fgbg.art/static/ss5s_mtFujiDay-7adb20b2807fb2e2caa3cdec50491984.gif"/>
    <n v="35"/>
    <n v="272"/>
    <n v="708"/>
    <s v="MVS"/>
    <s v="NO"/>
    <s v="YES"/>
    <s v="NO"/>
    <s v="NO"/>
    <m/>
    <m/>
    <m/>
    <m/>
    <m/>
    <s v="Samurai Shodown V: Special"/>
  </r>
  <r>
    <s v="game"/>
    <m/>
    <s v="ngmag-sshodownrpg"/>
    <s v="Samurai Shodown RPG"/>
    <n v="1995"/>
    <s v="SNK"/>
    <m/>
    <m/>
    <m/>
    <n v="247123"/>
    <x v="1"/>
    <x v="1"/>
    <s v="X"/>
    <m/>
    <m/>
    <n v="85"/>
    <m/>
    <s v="NGCD"/>
    <s v="NO"/>
    <s v="NO"/>
    <s v="NO"/>
    <s v="YES"/>
    <m/>
    <m/>
    <m/>
    <m/>
    <m/>
    <m/>
  </r>
  <r>
    <s v="game"/>
    <m/>
    <s v="ngmag-santaball"/>
    <s v="SantaBall"/>
    <n v="2015"/>
    <s v="NeoHomeBrew"/>
    <m/>
    <m/>
    <m/>
    <m/>
    <x v="2"/>
    <x v="2"/>
    <m/>
    <m/>
    <m/>
    <m/>
    <m/>
    <s v=""/>
    <m/>
    <m/>
    <m/>
    <m/>
    <m/>
    <m/>
    <m/>
    <m/>
    <m/>
    <m/>
  </r>
  <r>
    <s v="game"/>
    <m/>
    <s v="ngmag-savagere"/>
    <s v="Savage Reign"/>
    <s v="1995"/>
    <s v="SNK"/>
    <s v="風雲黙示録 格闘創世 Fu'un Mokushiroku - Kakutou Sousei"/>
    <s v="Savage_Reign"/>
    <n v="39565"/>
    <n v="79969"/>
    <x v="1"/>
    <x v="1"/>
    <m/>
    <m/>
    <m/>
    <n v="59"/>
    <n v="190"/>
    <s v="MVSNGCD"/>
    <s v="NO"/>
    <s v="YES"/>
    <s v="NO"/>
    <s v="YES"/>
    <m/>
    <m/>
    <m/>
    <m/>
    <m/>
    <s v="Savage Reign"/>
  </r>
  <r>
    <s v="game"/>
    <m/>
    <s v="ngmag-sengoku"/>
    <s v="Sengoku"/>
    <s v="1991"/>
    <s v="SNK"/>
    <s v="戦国伝承 Sengoku Denshou"/>
    <s v="Sengoku_(1991_video_game)"/>
    <n v="5433"/>
    <n v="80051"/>
    <x v="1"/>
    <x v="1"/>
    <m/>
    <m/>
    <m/>
    <n v="17"/>
    <n v="55"/>
    <s v="MVSNGCD"/>
    <s v="NO"/>
    <s v="YES"/>
    <s v="NO"/>
    <s v="YES"/>
    <m/>
    <m/>
    <m/>
    <m/>
    <m/>
    <m/>
  </r>
  <r>
    <s v="game"/>
    <m/>
    <s v="ngmag-sengoku2"/>
    <s v="Sengoku 2"/>
    <s v="1993"/>
    <s v="SNK"/>
    <s v="戦国伝承2 Sengoku Denshou 2"/>
    <s v="Sengoku_2"/>
    <n v="46785"/>
    <n v="80052"/>
    <x v="1"/>
    <x v="1"/>
    <m/>
    <m/>
    <m/>
    <n v="40"/>
    <n v="74"/>
    <s v="MVSNGCD"/>
    <s v="NO"/>
    <s v="YES"/>
    <s v="NO"/>
    <s v="YES"/>
    <m/>
    <m/>
    <m/>
    <m/>
    <m/>
    <m/>
  </r>
  <r>
    <s v="game"/>
    <m/>
    <s v="ngmag-sengoku3"/>
    <s v="Sengoku 3"/>
    <s v="2001"/>
    <s v="Noise Factory / SNK"/>
    <s v="戦国伝承2001 Sengoku Densho 2001"/>
    <s v="Sengoku_3"/>
    <n v="46784"/>
    <n v="80053"/>
    <x v="1"/>
    <x v="1"/>
    <m/>
    <m/>
    <m/>
    <n v="261"/>
    <n v="364"/>
    <s v="MVS"/>
    <s v="NO"/>
    <s v="YES"/>
    <s v="NO"/>
    <s v="NO"/>
    <m/>
    <m/>
    <m/>
    <m/>
    <m/>
    <m/>
  </r>
  <r>
    <s v="game"/>
    <m/>
    <s v="ngmag-beast"/>
    <s v="Shadow of the Beast demo"/>
    <s v="??"/>
    <s v="Jeff Kurtz"/>
    <m/>
    <m/>
    <m/>
    <m/>
    <x v="2"/>
    <x v="2"/>
    <m/>
    <m/>
    <m/>
    <m/>
    <m/>
    <s v=""/>
    <m/>
    <m/>
    <m/>
    <m/>
    <m/>
    <m/>
    <m/>
    <m/>
    <m/>
    <m/>
  </r>
  <r>
    <s v="game"/>
    <m/>
    <s v="ngmag-shocktro"/>
    <s v="Shock Troopers "/>
    <s v="1997"/>
    <s v="Saurus"/>
    <s v="ショックトルーパーズ"/>
    <s v="Shock_Troopers"/>
    <n v="47598"/>
    <n v="80124"/>
    <x v="1"/>
    <x v="1"/>
    <s v="X"/>
    <m/>
    <m/>
    <n v="238"/>
    <n v="346"/>
    <s v="MVSAES"/>
    <s v="NO"/>
    <s v="YES"/>
    <s v="YES"/>
    <s v="NO"/>
    <m/>
    <m/>
    <m/>
    <m/>
    <m/>
    <m/>
  </r>
  <r>
    <s v="game"/>
    <m/>
    <s v="ngmag-shocktr2"/>
    <s v="Shock Troopers - 2nd Squad"/>
    <s v="1998"/>
    <s v="Saurus"/>
    <s v="ショックトルーパーズ セカンドスカッド"/>
    <s v="Shock_Troopers:_2nd_Squad"/>
    <m/>
    <n v="80125"/>
    <x v="1"/>
    <x v="1"/>
    <s v="X"/>
    <m/>
    <m/>
    <n v="246"/>
    <n v="514"/>
    <s v="MVS"/>
    <s v="NO"/>
    <s v="YES"/>
    <s v="NO"/>
    <s v="NO"/>
    <m/>
    <m/>
    <m/>
    <m/>
    <m/>
    <s v="Shock Troopers 2 [ne7]"/>
  </r>
  <r>
    <s v="game"/>
    <m/>
    <s v="ngmag-moshougi"/>
    <s v="Master of Shougi"/>
    <n v="1995"/>
    <s v="ADK / SNK"/>
    <s v="将棋の達人 Shougi no Tatsujin"/>
    <s v="Sh%C5%8Dgi_no_Tatsujin:_Master_of_Syougi"/>
    <n v="75451"/>
    <n v="80911"/>
    <x v="1"/>
    <x v="1"/>
    <s v="X"/>
    <m/>
    <m/>
    <n v="203"/>
    <n v="58"/>
    <s v="MVSAESNGCD"/>
    <s v="NO"/>
    <s v="YES"/>
    <s v="YES"/>
    <s v="YES"/>
    <m/>
    <n v="1"/>
    <n v="3"/>
    <n v="2"/>
    <n v="2"/>
    <m/>
  </r>
  <r>
    <s v="game"/>
    <m/>
    <s v="ngmag-svc"/>
    <s v="SNK vs. Capcom - SVC Chaos "/>
    <s v="2003"/>
    <s v="Playmore / Capcom"/>
    <s v="エス・エヌ・ケイ バーサス カプコン エスブイシー カオス"/>
    <s v="SNK_vs._Capcom:_SVC_Chaos"/>
    <n v="6184"/>
    <n v="80260"/>
    <x v="1"/>
    <x v="1"/>
    <s v="X"/>
    <s v="https://www.fgbg.art/static/svc_chaos_tunnelThing-020baacdb42485dd0e545cf5c3ea4936.gif"/>
    <n v="30"/>
    <n v="269"/>
    <n v="708"/>
    <s v="JAMMAMVS"/>
    <s v="YES"/>
    <s v="YES"/>
    <s v="NO"/>
    <s v="NO"/>
    <m/>
    <m/>
    <m/>
    <m/>
    <m/>
    <s v="SNK vs Capcom Chaos"/>
  </r>
  <r>
    <s v="game"/>
    <m/>
    <s v="ngmag-socbrawl"/>
    <s v="Soccer Brawl "/>
    <n v="1992"/>
    <s v="SNK"/>
    <s v="サッカーブロール"/>
    <s v="Soccer_Brawl"/>
    <n v="39843"/>
    <n v="80272"/>
    <x v="1"/>
    <x v="1"/>
    <m/>
    <m/>
    <m/>
    <n v="31"/>
    <n v="46"/>
    <s v="MVSNGCD"/>
    <s v="NO"/>
    <s v="YES"/>
    <s v="NO"/>
    <s v="YES"/>
    <m/>
    <m/>
    <m/>
    <m/>
    <m/>
    <m/>
  </r>
  <r>
    <s v="game"/>
    <m/>
    <s v="ngmag-spidermi"/>
    <s v="spiderman"/>
    <n v="2009"/>
    <s v="Sergi"/>
    <m/>
    <m/>
    <m/>
    <m/>
    <x v="7"/>
    <x v="2"/>
    <m/>
    <m/>
    <m/>
    <m/>
    <m/>
    <s v=""/>
    <m/>
    <m/>
    <m/>
    <m/>
    <m/>
    <m/>
    <m/>
    <m/>
    <m/>
    <m/>
  </r>
  <r>
    <s v="game"/>
    <m/>
    <s v="ngmag-spinmast"/>
    <s v="Spin Master / Miracle Adventure"/>
    <s v="1993"/>
    <s v="Data East Corporation"/>
    <s v="ミラクルアドベンチャー"/>
    <s v="Spinmaster"/>
    <n v="15469"/>
    <n v="80457"/>
    <x v="1"/>
    <x v="1"/>
    <m/>
    <m/>
    <m/>
    <n v="62"/>
    <n v="90"/>
    <s v="MVS"/>
    <s v="NO"/>
    <s v="YES"/>
    <s v="NO"/>
    <s v="NO"/>
    <m/>
    <m/>
    <m/>
    <m/>
    <m/>
    <m/>
  </r>
  <r>
    <s v="game"/>
    <m/>
    <s v="ngmag-stadiumwars"/>
    <s v="Stadium Stars"/>
    <s v="??"/>
    <s v="??"/>
    <m/>
    <m/>
    <m/>
    <m/>
    <x v="2"/>
    <x v="2"/>
    <m/>
    <m/>
    <m/>
    <m/>
    <m/>
    <s v=""/>
    <m/>
    <m/>
    <m/>
    <m/>
    <m/>
    <m/>
    <m/>
    <m/>
    <m/>
    <m/>
  </r>
  <r>
    <s v="game"/>
    <m/>
    <s v="ngmag-stakwin"/>
    <s v="Stakes Winner"/>
    <s v="1995"/>
    <s v="Saurus"/>
    <s v="ステークスウィナー Stakes Winner - GI Kinzen Seiha e no Michi"/>
    <s v="Stakes_Winner"/>
    <m/>
    <n v="80497"/>
    <x v="1"/>
    <x v="1"/>
    <s v="X"/>
    <m/>
    <m/>
    <n v="88"/>
    <n v="98"/>
    <s v="MVSNGCD"/>
    <s v="NO"/>
    <s v="YES"/>
    <s v="NO"/>
    <s v="YES"/>
    <m/>
    <m/>
    <m/>
    <m/>
    <m/>
    <m/>
  </r>
  <r>
    <s v="game"/>
    <m/>
    <s v="ngmag-stakwin2"/>
    <s v="Stakes Winner 2"/>
    <s v="1996"/>
    <s v="Saurus"/>
    <s v="ステークスウィナー2"/>
    <m/>
    <n v="39626"/>
    <n v="80498"/>
    <x v="1"/>
    <x v="1"/>
    <m/>
    <m/>
    <m/>
    <n v="227"/>
    <n v="178"/>
    <s v="MVS"/>
    <s v="NO"/>
    <s v="YES"/>
    <s v="NO"/>
    <s v="NO"/>
    <m/>
    <m/>
    <m/>
    <m/>
    <m/>
    <m/>
  </r>
  <r>
    <s v="game"/>
    <m/>
    <s v="ngmag-strhoop"/>
    <s v="Street Hoop / Street Slam / Dunk Dream "/>
    <s v="1994"/>
    <s v="Data East Corporation"/>
    <s v="ダンク・ドリーム"/>
    <s v="Street_Slam"/>
    <n v="46820"/>
    <n v="80603"/>
    <x v="1"/>
    <x v="1"/>
    <m/>
    <m/>
    <m/>
    <n v="79"/>
    <n v="94"/>
    <s v="MVSNGCD"/>
    <s v="NO"/>
    <s v="YES"/>
    <s v="NO"/>
    <s v="YES"/>
    <m/>
    <m/>
    <m/>
    <m/>
    <m/>
    <m/>
  </r>
  <r>
    <s v="game"/>
    <m/>
    <s v="ngmag-streetsmart"/>
    <s v="Street Smart"/>
    <s v="1989?"/>
    <s v="Alpha Denshi Co."/>
    <m/>
    <m/>
    <m/>
    <m/>
    <x v="3"/>
    <x v="2"/>
    <m/>
    <m/>
    <m/>
    <s v="13/15"/>
    <m/>
    <s v=""/>
    <m/>
    <m/>
    <m/>
    <m/>
    <m/>
    <m/>
    <m/>
    <m/>
    <m/>
    <m/>
  </r>
  <r>
    <s v="game"/>
    <m/>
    <s v="ngmag-s1945p"/>
    <s v="Strikers 1945 Plus"/>
    <s v="1999"/>
    <s v="Psikyo"/>
    <s v=""/>
    <s v="Strikers_1945_Plus"/>
    <n v="72911"/>
    <n v="80624"/>
    <x v="1"/>
    <x v="1"/>
    <m/>
    <m/>
    <m/>
    <n v="254"/>
    <n v="681"/>
    <s v="MVSAES"/>
    <s v="NO"/>
    <s v="YES"/>
    <s v="YES"/>
    <s v="NO"/>
    <m/>
    <m/>
    <m/>
    <m/>
    <m/>
    <m/>
  </r>
  <r>
    <s v="game"/>
    <m/>
    <s v="ngmag-sunshine"/>
    <s v="Sun Shine"/>
    <s v="1991?"/>
    <s v="Alpha Denshi Co."/>
    <m/>
    <m/>
    <m/>
    <m/>
    <x v="3"/>
    <x v="2"/>
    <m/>
    <m/>
    <m/>
    <n v="8"/>
    <m/>
    <s v=""/>
    <m/>
    <m/>
    <m/>
    <m/>
    <m/>
    <m/>
    <m/>
    <m/>
    <m/>
    <m/>
  </r>
  <r>
    <s v="game"/>
    <m/>
    <s v="ngmag-sbp"/>
    <s v="Super Bubble Pop "/>
    <s v="2004"/>
    <s v="Vektorlogic"/>
    <s v=""/>
    <m/>
    <m/>
    <n v="80669"/>
    <x v="5"/>
    <x v="1"/>
    <s v="X"/>
    <m/>
    <m/>
    <n v="105"/>
    <m/>
    <s v=""/>
    <m/>
    <m/>
    <m/>
    <m/>
    <m/>
    <m/>
    <m/>
    <m/>
    <m/>
    <m/>
  </r>
  <r>
    <s v="game"/>
    <m/>
    <s v="ngmag-sbphack"/>
    <s v="Super Bubble Pop Hack"/>
    <s v="2022?"/>
    <s v="Piko"/>
    <m/>
    <m/>
    <m/>
    <m/>
    <x v="6"/>
    <x v="2"/>
    <m/>
    <m/>
    <m/>
    <m/>
    <m/>
    <s v=""/>
    <m/>
    <m/>
    <m/>
    <m/>
    <m/>
    <m/>
    <m/>
    <m/>
    <m/>
    <m/>
  </r>
  <r>
    <s v="game"/>
    <m/>
    <s v="ngmag-superchampionbaseball"/>
    <s v="Super Champion Baseball"/>
    <s v="1989?"/>
    <s v="Alpha Denshi Co."/>
    <m/>
    <m/>
    <m/>
    <m/>
    <x v="3"/>
    <x v="2"/>
    <m/>
    <m/>
    <m/>
    <s v="13/15"/>
    <m/>
    <s v=""/>
    <m/>
    <m/>
    <m/>
    <m/>
    <m/>
    <m/>
    <m/>
    <m/>
    <m/>
    <m/>
  </r>
  <r>
    <s v="game"/>
    <m/>
    <s v="ngmag-sdodgeb"/>
    <s v="Super Dodge Ball"/>
    <s v="1996"/>
    <s v="Technos Japan"/>
    <s v="くにおの熱血闘球伝説 Kunio no Nekketsu Toukyuu Densetsu"/>
    <s v="Super_Dodge_Ball_(Neo_Geo)"/>
    <m/>
    <n v="80698"/>
    <x v="1"/>
    <x v="1"/>
    <m/>
    <m/>
    <m/>
    <n v="208"/>
    <n v="190"/>
    <s v="MVSAES"/>
    <s v="NO"/>
    <s v="YES"/>
    <s v="YES"/>
    <s v="NO"/>
    <m/>
    <m/>
    <m/>
    <m/>
    <m/>
    <m/>
  </r>
  <r>
    <s v="game"/>
    <m/>
    <s v="ngmag-ssideki"/>
    <s v="Super Sidekicks"/>
    <s v="1992"/>
    <s v="SNK"/>
    <s v="得点王 Tokuten Ou"/>
    <s v="Super_Sidekicks_(video_game)"/>
    <n v="52191"/>
    <n v="80805"/>
    <x v="1"/>
    <x v="1"/>
    <m/>
    <m/>
    <m/>
    <n v="52"/>
    <n v="54"/>
    <s v="MVSNGCD"/>
    <s v="NO"/>
    <s v="YES"/>
    <s v="NO"/>
    <s v="YES"/>
    <m/>
    <m/>
    <m/>
    <m/>
    <m/>
    <m/>
  </r>
  <r>
    <s v="game"/>
    <m/>
    <s v="ngmag-ssideki2"/>
    <s v="Super Sidekicks 2 - The World Championship"/>
    <s v="1994"/>
    <s v="SNK"/>
    <s v="得点王2 Tokuten Ou 2 - Real Fight Football"/>
    <s v="Super_Sidekicks_2:_The_World_Championship"/>
    <n v="39497"/>
    <n v="80806"/>
    <x v="1"/>
    <x v="1"/>
    <m/>
    <m/>
    <m/>
    <n v="61"/>
    <n v="106"/>
    <s v="MVSNGCD"/>
    <s v="NO"/>
    <s v="YES"/>
    <s v="NO"/>
    <s v="YES"/>
    <m/>
    <m/>
    <m/>
    <m/>
    <m/>
    <m/>
  </r>
  <r>
    <s v="game"/>
    <m/>
    <s v="ngmag-ssideki3"/>
    <s v="Super Sidekicks 3 - The Next Glory"/>
    <s v="1995"/>
    <s v="SNK"/>
    <s v="得点王3 栄光への挑戦 Tokuten Ou 3 - Eikou e no Michi"/>
    <s v="Super_Sidekicks_3:_The_Next_Glory"/>
    <n v="39332"/>
    <n v="80807"/>
    <x v="1"/>
    <x v="1"/>
    <m/>
    <m/>
    <m/>
    <n v="81"/>
    <n v="158"/>
    <s v="MVSNGCD"/>
    <s v="NO"/>
    <s v="YES"/>
    <s v="NO"/>
    <s v="YES"/>
    <m/>
    <m/>
    <m/>
    <m/>
    <m/>
    <m/>
  </r>
  <r>
    <s v="game"/>
    <m/>
    <s v="ngmag-sxevious"/>
    <s v="Super Xevious"/>
    <n v="2023"/>
    <m/>
    <m/>
    <m/>
    <m/>
    <n v="255398"/>
    <x v="0"/>
    <x v="0"/>
    <m/>
    <m/>
    <m/>
    <m/>
    <m/>
    <m/>
    <m/>
    <m/>
    <m/>
    <m/>
    <m/>
    <m/>
    <m/>
    <m/>
    <m/>
    <m/>
  </r>
  <r>
    <s v="game"/>
    <m/>
    <s v="ngmag-twsoc96"/>
    <s v="Tecmo World Soccer '96"/>
    <s v="1996"/>
    <s v="Tecmo"/>
    <s v="テクモワールドサッカー '96"/>
    <s v="Tecmo_World_Soccer_'96"/>
    <n v="39963"/>
    <n v="81007"/>
    <x v="1"/>
    <x v="1"/>
    <m/>
    <m/>
    <m/>
    <n v="86"/>
    <n v="122"/>
    <s v="MVSAESNGCD"/>
    <s v="NO"/>
    <s v="YES"/>
    <s v="YES"/>
    <s v="YES"/>
    <m/>
    <m/>
    <m/>
    <m/>
    <m/>
    <m/>
  </r>
  <r>
    <s v="game"/>
    <m/>
    <s v="ngmag-teot"/>
    <s v="The Eye Of Typhoon / Fight Fever 2"/>
    <s v="1996?"/>
    <s v="Viccom"/>
    <m/>
    <m/>
    <m/>
    <n v="252946"/>
    <x v="3"/>
    <x v="3"/>
    <s v="X"/>
    <m/>
    <m/>
    <n v="99"/>
    <m/>
    <s v=""/>
    <m/>
    <m/>
    <m/>
    <m/>
    <m/>
    <m/>
    <m/>
    <m/>
    <m/>
    <m/>
  </r>
  <r>
    <s v="game"/>
    <m/>
    <s v="ngmag-irrmaze"/>
    <s v="The Irritating Maze"/>
    <s v="1997"/>
    <s v="SNK / Saurus"/>
    <s v="ウルトラ電流イライラ棒 Ultra Denryu Iraira Bou"/>
    <m/>
    <n v="47599"/>
    <n v="81129"/>
    <x v="1"/>
    <x v="1"/>
    <m/>
    <m/>
    <m/>
    <n v="236"/>
    <n v="106"/>
    <s v="MVSAES"/>
    <s v="NO"/>
    <s v="YES"/>
    <s v="YES"/>
    <s v="NO"/>
    <m/>
    <m/>
    <m/>
    <m/>
    <m/>
    <m/>
  </r>
  <r>
    <s v="game"/>
    <m/>
    <s v="ngmag-kof94"/>
    <s v="The King of Fighters '94 "/>
    <s v="1994"/>
    <s v="SNK"/>
    <s v="ザ・キング・オブ・ファイターズ '94"/>
    <s v="The_King_of_Fighters_'94"/>
    <n v="15426"/>
    <n v="81140"/>
    <x v="1"/>
    <x v="1"/>
    <m/>
    <s v="https://www.fgbg.art/static/kof94_japan-e89f1bdeec5edd3c79006c5933b612f7.gif"/>
    <n v="20"/>
    <n v="55"/>
    <n v="196"/>
    <s v="MVSAESNGCD"/>
    <s v="NO"/>
    <s v="YES"/>
    <s v="YES"/>
    <s v="YES"/>
    <m/>
    <n v="1"/>
    <n v="2"/>
    <n v="1"/>
    <n v="4"/>
    <s v="King of Fighters '94 [bonuskun]"/>
  </r>
  <r>
    <s v="game"/>
    <m/>
    <s v="ngmag-kof95"/>
    <s v="The King of Fighters '95 "/>
    <s v="1995"/>
    <s v="SNK"/>
    <s v="ザ・キング・オブ・ファイターズ '95"/>
    <s v="The_King_of_Fighters_'95"/>
    <n v="15427"/>
    <n v="81141"/>
    <x v="1"/>
    <x v="1"/>
    <m/>
    <s v="https://www.fgbg.art/static/kof95_japan-4a6b5214f65c4848fd59c57caefc6cc0.gif"/>
    <n v="35"/>
    <n v="84"/>
    <n v="250"/>
    <s v="MVSAESNGCD"/>
    <s v="NO"/>
    <s v="YES"/>
    <s v="YES"/>
    <s v="YES"/>
    <m/>
    <n v="1"/>
    <n v="1"/>
    <n v="1"/>
    <n v="5"/>
    <s v="King of Fighters '95 [bonuskun]"/>
  </r>
  <r>
    <s v="game"/>
    <m/>
    <s v="ngmag-kof96"/>
    <s v="The King of Fighters '96 "/>
    <s v="1996"/>
    <s v="SNK"/>
    <s v="ザ・キング・オブ・ファイターズ '96"/>
    <s v="The_King_of_Fighters_'96"/>
    <n v="12588"/>
    <n v="81142"/>
    <x v="1"/>
    <x v="1"/>
    <m/>
    <s v="https://www.fgbg.art/static/kof96_tokyoAthena-f8bbc97e22b9300bc5cdeea4d44e1fbd.gif"/>
    <n v="25"/>
    <n v="214"/>
    <n v="362"/>
    <s v="MVSAESNGCD"/>
    <s v="NO"/>
    <s v="YES"/>
    <s v="YES"/>
    <s v="YES"/>
    <m/>
    <n v="1"/>
    <n v="3"/>
    <n v="1"/>
    <n v="5"/>
    <s v="King of Fighters '96 [bonuskun]"/>
  </r>
  <r>
    <s v="game"/>
    <m/>
    <s v="ngmag-kof96coll"/>
    <s v="The King of Fighters '96: NEOGEO Collection"/>
    <n v="1996"/>
    <s v="SNK"/>
    <m/>
    <m/>
    <m/>
    <n v="252692"/>
    <x v="1"/>
    <x v="1"/>
    <m/>
    <m/>
    <m/>
    <n v="229"/>
    <m/>
    <s v="NGCD"/>
    <s v="NO"/>
    <s v="NO"/>
    <s v="NO"/>
    <s v="YES"/>
    <m/>
    <m/>
    <m/>
    <m/>
    <m/>
    <m/>
  </r>
  <r>
    <s v="game"/>
    <m/>
    <s v="ngmag-kof97"/>
    <s v="The King of Fighters '97 "/>
    <s v="1997"/>
    <s v="SNK"/>
    <s v="ザ・キング・オブ・ファイターズ '97"/>
    <s v="The_King_of_Fighters_'97"/>
    <n v="15428"/>
    <n v="81143"/>
    <x v="1"/>
    <x v="1"/>
    <m/>
    <s v="https://www.fgbg.art/static/kof97_usa-2f135bdd76179361f221a99b0b10b507.gif"/>
    <n v="30"/>
    <n v="232"/>
    <n v="460"/>
    <s v="MVSAESNGCD"/>
    <s v="NO"/>
    <s v="YES"/>
    <s v="YES"/>
    <s v="YES"/>
    <m/>
    <n v="1"/>
    <n v="2"/>
    <n v="1"/>
    <n v="4"/>
    <s v="King of Fighters '97 [bonuskun]"/>
  </r>
  <r>
    <s v="game"/>
    <m/>
    <s v="ngmag-kof98"/>
    <s v="The King of Fighters '98 - The Slugfest"/>
    <s v="1998"/>
    <s v="SNK"/>
    <s v="ザ・キング・オブ・ファイターズ '98"/>
    <s v="The_King_of_Fighters_'98"/>
    <n v="15429"/>
    <n v="29916"/>
    <x v="1"/>
    <x v="1"/>
    <m/>
    <s v="https://www.fgbg.art/static/kof98_traffic-1466123ce98fa5f303e3c955d1c50c72.gif"/>
    <n v="30"/>
    <n v="242"/>
    <n v="683"/>
    <s v="MVSAESNGCD"/>
    <s v="NO"/>
    <s v="YES"/>
    <s v="YES"/>
    <s v="YES"/>
    <m/>
    <n v="1"/>
    <n v="1"/>
    <n v="1"/>
    <n v="5"/>
    <s v="King of Fighters '98 [bonuskun]"/>
  </r>
  <r>
    <s v="game"/>
    <m/>
    <s v="ngmag-kof99"/>
    <s v="The King of Fighters '99 - Millennium Battle "/>
    <s v="1999"/>
    <s v="SNK"/>
    <s v="ザ・キング・オブ・ファイターズ '99"/>
    <s v="The_King_of_Fighters_'99"/>
    <n v="15430"/>
    <n v="81148"/>
    <x v="1"/>
    <x v="1"/>
    <m/>
    <s v="https://www.fgbg.art/static/kof99_chineseKitchen-845ee9440dd6dad305e01ea37512b2a1.gif"/>
    <n v="30"/>
    <n v="251"/>
    <n v="673"/>
    <s v="MVSAESNGCD"/>
    <s v="NO"/>
    <s v="YES"/>
    <s v="YES"/>
    <s v="YES"/>
    <m/>
    <n v="1"/>
    <n v="2"/>
    <n v="1"/>
    <n v="4"/>
    <s v="King of Fighters '99 [bonuskun / Thomas Giboin]"/>
  </r>
  <r>
    <s v="game"/>
    <m/>
    <s v="ngmag-kof2000"/>
    <s v="The King of Fighters 2000 "/>
    <s v="2000"/>
    <s v="SNK"/>
    <s v="ザ・キング・オブ・ファイターズ 2000"/>
    <s v="The_King_of_Fighters_2000"/>
    <n v="15431"/>
    <n v="81152"/>
    <x v="1"/>
    <x v="1"/>
    <m/>
    <s v="https://www.fgbg.art/static/kof2000_aquarium-b6b11001dc94fed42fd478be7fe1bee8.gif"/>
    <n v="30"/>
    <n v="257"/>
    <n v="688"/>
    <s v="MVSAES"/>
    <s v="NO"/>
    <s v="YES"/>
    <s v="YES"/>
    <s v="NO"/>
    <m/>
    <n v="1"/>
    <n v="1"/>
    <m/>
    <n v="5"/>
    <s v="King of Fighters 2000 [bonuskun]"/>
  </r>
  <r>
    <s v="game"/>
    <m/>
    <s v="ngmag-kof2001"/>
    <s v="The King of Fighters 2001 "/>
    <s v="2001"/>
    <s v="Eolith / SNK"/>
    <s v="ザ・キング・オブ・ファイターズ 2001"/>
    <s v="The_King_of_Fighters_2001"/>
    <n v="15432"/>
    <n v="81153"/>
    <x v="1"/>
    <x v="1"/>
    <m/>
    <s v="https://www.fgbg.art/static/kof2001_usa-cecb7974217a3404856e960c7d1cfad9.gif"/>
    <n v="30"/>
    <n v="262"/>
    <n v="681"/>
    <s v="MVSAES"/>
    <s v="NO"/>
    <s v="YES"/>
    <s v="YES"/>
    <s v="NO"/>
    <m/>
    <n v="1"/>
    <n v="2"/>
    <m/>
    <n v="4"/>
    <s v="King of Fighters 2001 [kagami007]"/>
  </r>
  <r>
    <s v="game"/>
    <m/>
    <s v="ngmag-kof2002"/>
    <s v="The King of Fighters 2002 "/>
    <s v="2002"/>
    <s v="Eolith / Playmore"/>
    <s v="ザ・キング・オブ・ファイターズ 2002"/>
    <s v="The_King_of_Fighters_2002"/>
    <n v="5884"/>
    <n v="81154"/>
    <x v="1"/>
    <x v="1"/>
    <m/>
    <m/>
    <m/>
    <n v="265"/>
    <n v="681"/>
    <s v="MVSAES"/>
    <s v="NO"/>
    <s v="YES"/>
    <s v="YES"/>
    <s v="NO"/>
    <m/>
    <n v="1"/>
    <n v="2"/>
    <m/>
    <n v="4"/>
    <s v="King of Fighters 2002 [MR Sakaki]"/>
  </r>
  <r>
    <s v="game"/>
    <m/>
    <s v="ngmag-kof2003"/>
    <s v="The King of Fighters 2003 "/>
    <s v="2003"/>
    <s v="SNK Playmore"/>
    <s v="ザ・キング・オブ・ファイターズ 2003"/>
    <s v="The_King_of_Fighters_2003"/>
    <n v="15433"/>
    <n v="81158"/>
    <x v="1"/>
    <x v="1"/>
    <m/>
    <s v="https://www.fgbg.art/static/kof2k3-china2-fec9768e1ea49bffadf973ed542acbff.png"/>
    <n v="30"/>
    <n v="271"/>
    <n v="716"/>
    <s v="JAMMAMVSAES"/>
    <s v="YES"/>
    <s v="YES"/>
    <s v="YES"/>
    <s v="NO"/>
    <m/>
    <n v="1"/>
    <n v="2"/>
    <m/>
    <n v="4"/>
    <s v="King of Fighters 2003"/>
  </r>
  <r>
    <s v="game"/>
    <m/>
    <s v="ngmag-kof2k4se"/>
    <s v="The King of Fighters Special Edition 2004"/>
    <n v="2004"/>
    <s v="Dragon"/>
    <m/>
    <m/>
    <m/>
    <n v="81162"/>
    <x v="6"/>
    <x v="1"/>
    <m/>
    <m/>
    <m/>
    <m/>
    <m/>
    <s v=""/>
    <m/>
    <m/>
    <m/>
    <m/>
    <m/>
    <m/>
    <m/>
    <m/>
    <m/>
    <m/>
  </r>
  <r>
    <s v="game"/>
    <m/>
    <s v="ngmag-kof10thexplus"/>
    <s v="The King of Fighters 10th Anniversary Extra Plus"/>
    <s v="200x"/>
    <s v="???"/>
    <m/>
    <m/>
    <m/>
    <n v="81151"/>
    <x v="6"/>
    <x v="1"/>
    <m/>
    <m/>
    <m/>
    <m/>
    <m/>
    <s v="MVS"/>
    <s v="NO"/>
    <s v="YES"/>
    <s v="NO"/>
    <s v="NO"/>
    <m/>
    <m/>
    <m/>
    <m/>
    <m/>
    <m/>
  </r>
  <r>
    <s v="game"/>
    <m/>
    <s v="ngmag-lastblad"/>
    <s v="The Last Blade"/>
    <s v="1997"/>
    <s v="SNK"/>
    <s v="Bakumatsu Roman - Gekka no Kenshi"/>
    <s v="The_Last_Blade"/>
    <n v="22844"/>
    <n v="81167"/>
    <x v="1"/>
    <x v="1"/>
    <m/>
    <s v="https://www.fgbg.art/static/lastblade_town-c073062134f959c02cb769ad2bdf592b.gif"/>
    <n v="30"/>
    <n v="234"/>
    <n v="474"/>
    <s v="MVSAESNGCD"/>
    <s v="NO"/>
    <s v="YES"/>
    <s v="YES"/>
    <s v="YES"/>
    <m/>
    <n v="1"/>
    <n v="3"/>
    <n v="2"/>
    <n v="4"/>
    <s v="Last Blade [ne7]"/>
  </r>
  <r>
    <s v="game"/>
    <m/>
    <s v="ngmag-lastbld2"/>
    <s v="The Last Blade 2"/>
    <s v="1998"/>
    <s v="SNK"/>
    <s v="幕末浪漫第二幕 月華の剣士 Bakumatsu Roman - Dai Ni Maku Gekka no Kenshi"/>
    <s v="The_Last_Blade_2"/>
    <m/>
    <n v="81168"/>
    <x v="1"/>
    <x v="1"/>
    <m/>
    <s v="https://www.fgbg.art/static/lb2_shimijiPass-48cb62f9b004d5a822ec525bf0abb93b.gif"/>
    <n v="30"/>
    <n v="243"/>
    <n v="554"/>
    <s v="MVSAESNGCD"/>
    <s v="NO"/>
    <s v="YES"/>
    <s v="YES"/>
    <s v="YES"/>
    <m/>
    <n v="3"/>
    <n v="3"/>
    <n v="2"/>
    <n v="5"/>
    <s v="Last Blade 2 [kagami007]"/>
  </r>
  <r>
    <s v="game"/>
    <m/>
    <s v="ngmag-superspy"/>
    <s v="The Super Spy "/>
    <s v="1990"/>
    <s v="SNK"/>
    <s v="ザ・スーパースパイ"/>
    <s v="The_Super_Spy"/>
    <n v="46838"/>
    <n v="81210"/>
    <x v="1"/>
    <x v="1"/>
    <m/>
    <m/>
    <m/>
    <n v="11"/>
    <n v="55"/>
    <s v="MVSNGCD"/>
    <s v="NO"/>
    <s v="YES"/>
    <s v="NO"/>
    <s v="YES"/>
    <m/>
    <m/>
    <m/>
    <m/>
    <m/>
    <m/>
  </r>
  <r>
    <s v="game"/>
    <m/>
    <s v="ngmag-ssideki4"/>
    <s v="The Ultimate 11 - The SNK Football Championship"/>
    <s v="1996"/>
    <s v="SNK"/>
    <s v="得点王 ～炎のリベロ～ Tokuten Ou - Honoo no Libero"/>
    <s v="The_Ultimate_11:_SNK_Football_Championship"/>
    <n v="39537"/>
    <n v="81216"/>
    <x v="1"/>
    <x v="1"/>
    <m/>
    <m/>
    <m/>
    <n v="215"/>
    <n v="226"/>
    <s v="MVS"/>
    <s v="NO"/>
    <s v="YES"/>
    <s v="NO"/>
    <s v="NO"/>
    <m/>
    <m/>
    <m/>
    <m/>
    <m/>
    <s v="Ultimate 11 / Super Sidekicks 4 [ne7]"/>
  </r>
  <r>
    <s v="game"/>
    <m/>
    <s v="ngmag-trally"/>
    <s v="Thrash Rally "/>
    <s v="1991"/>
    <s v="Alpha Denshi Co."/>
    <s v="スラッシュ ラリー"/>
    <s v="Thrash_Rally"/>
    <n v="46521"/>
    <n v="81222"/>
    <x v="1"/>
    <x v="1"/>
    <m/>
    <m/>
    <m/>
    <n v="38"/>
    <n v="46"/>
    <s v="MVSNGCD"/>
    <s v="NO"/>
    <s v="YES"/>
    <s v="NO"/>
    <s v="YES"/>
    <m/>
    <m/>
    <m/>
    <m/>
    <m/>
    <m/>
  </r>
  <r>
    <s v="game"/>
    <m/>
    <s v="ngmag-timesup"/>
    <s v="Time's Up"/>
    <n v="2012"/>
    <s v="NGF Dev. Inc"/>
    <m/>
    <m/>
    <m/>
    <m/>
    <x v="2"/>
    <x v="2"/>
    <m/>
    <m/>
    <m/>
    <m/>
    <m/>
    <s v=""/>
    <m/>
    <m/>
    <m/>
    <m/>
    <m/>
    <m/>
    <m/>
    <m/>
    <m/>
    <m/>
  </r>
  <r>
    <s v="game"/>
    <m/>
    <s v="ngmag-tophuntr"/>
    <s v="Top Hunter - Roddy &amp; Cathy "/>
    <s v="1994"/>
    <s v="SNK"/>
    <s v="トップハンター"/>
    <s v="Top_Hunter:_Roddy_%26_Cathy"/>
    <n v="46520"/>
    <n v="81325"/>
    <x v="1"/>
    <x v="1"/>
    <m/>
    <m/>
    <m/>
    <n v="46"/>
    <n v="110"/>
    <s v="MVSNGCD"/>
    <s v="NO"/>
    <s v="YES"/>
    <s v="NO"/>
    <s v="YES"/>
    <m/>
    <m/>
    <m/>
    <m/>
    <m/>
    <s v="Top Hunter [ne7]"/>
  </r>
  <r>
    <s v="game"/>
    <m/>
    <s v="ngmag-tpgolf"/>
    <s v="Top Player's Golf "/>
    <s v="1990"/>
    <s v="SNK"/>
    <s v="トッププレイヤーズ・ゴルフ"/>
    <s v="Top_Player's_Golf"/>
    <n v="40471"/>
    <n v="81328"/>
    <x v="1"/>
    <x v="1"/>
    <m/>
    <m/>
    <m/>
    <n v="3"/>
    <n v="62"/>
    <s v="MVSNGCD"/>
    <s v="NO"/>
    <s v="YES"/>
    <s v="NO"/>
    <s v="YES"/>
    <m/>
    <m/>
    <m/>
    <m/>
    <m/>
    <m/>
  </r>
  <r>
    <s v="game"/>
    <m/>
    <s v="ngmag-totc"/>
    <s v="Treasures of The Caribbean"/>
    <s v="2010"/>
    <s v="Face / NCI"/>
    <s v=""/>
    <m/>
    <n v="47591"/>
    <m/>
    <x v="3"/>
    <x v="2"/>
    <m/>
    <m/>
    <m/>
    <m/>
    <m/>
    <s v=""/>
    <m/>
    <m/>
    <m/>
    <m/>
    <m/>
    <m/>
    <m/>
    <m/>
    <m/>
    <m/>
  </r>
  <r>
    <s v="game"/>
    <m/>
    <s v="ngmag-twinspri"/>
    <s v="Twinkle Star Sprites"/>
    <s v="1996"/>
    <s v="ADK / SNK"/>
    <s v="ティンクルスター スプライツ"/>
    <s v="Twinkle_Star_Sprites"/>
    <n v="35378"/>
    <n v="81518"/>
    <x v="1"/>
    <x v="1"/>
    <m/>
    <m/>
    <m/>
    <n v="224"/>
    <n v="146"/>
    <s v="MVSNGCD"/>
    <s v="NO"/>
    <s v="YES"/>
    <s v="NO"/>
    <s v="YES"/>
    <m/>
    <m/>
    <m/>
    <m/>
    <m/>
    <m/>
  </r>
  <r>
    <s v="game"/>
    <m/>
    <s v="ngmag-unnamedplatformer"/>
    <s v="Unnamed platformer"/>
    <s v="2022?"/>
    <s v="Blastar"/>
    <m/>
    <m/>
    <m/>
    <m/>
    <x v="2"/>
    <x v="2"/>
    <m/>
    <m/>
    <m/>
    <m/>
    <m/>
    <s v=""/>
    <m/>
    <m/>
    <m/>
    <m/>
    <m/>
    <m/>
    <m/>
    <m/>
    <m/>
    <m/>
  </r>
  <r>
    <s v="game"/>
    <m/>
    <s v="ngmag-viewpoin"/>
    <s v="Viewpoint"/>
    <s v="1992"/>
    <s v="Sammy / Aicom"/>
    <s v="ビューポイント"/>
    <s v="Viewpoint_(video_game)"/>
    <n v="20707"/>
    <n v="81663"/>
    <x v="1"/>
    <x v="1"/>
    <m/>
    <m/>
    <m/>
    <n v="51"/>
    <n v="74"/>
    <s v="MVSNGCD"/>
    <s v="NO"/>
    <s v="YES"/>
    <s v="NO"/>
    <s v="YES"/>
    <m/>
    <m/>
    <m/>
    <m/>
    <m/>
    <m/>
  </r>
  <r>
    <s v="game"/>
    <m/>
    <s v="ngmag-vliner"/>
    <s v="V-Liner"/>
    <n v="2001"/>
    <s v="SNK / BrezzaSoft"/>
    <m/>
    <m/>
    <m/>
    <n v="81606"/>
    <x v="1"/>
    <x v="1"/>
    <m/>
    <m/>
    <m/>
    <m/>
    <m/>
    <s v=""/>
    <m/>
    <m/>
    <m/>
    <m/>
    <m/>
    <m/>
    <m/>
    <m/>
    <m/>
    <m/>
  </r>
  <r>
    <s v="game"/>
    <m/>
    <s v="ngmag-gowcaizr"/>
    <s v="Voltage Fighter"/>
    <s v="1995"/>
    <s v="Technos Japan"/>
    <s v="超人学園ゴウカイザー Gowcaizer Choujin Gakuen Gowcaizer"/>
    <s v="Voltage_Fighter_Gowcaizer"/>
    <n v="39590"/>
    <n v="81723"/>
    <x v="1"/>
    <x v="1"/>
    <m/>
    <s v="https://www.fgbg.art/static/gowcaizer_shaia-a90a5cf7f5963193174cec7c028bea16.gif"/>
    <n v="55"/>
    <n v="94"/>
    <n v="186"/>
    <s v="MVSNGCD"/>
    <s v="NO"/>
    <s v="YES"/>
    <s v="NO"/>
    <s v="YES"/>
    <m/>
    <m/>
    <m/>
    <m/>
    <m/>
    <m/>
  </r>
  <r>
    <s v="game"/>
    <m/>
    <s v="ngmag-wakuwak7"/>
    <s v="Waku Waku 7"/>
    <s v="1996"/>
    <s v="Sunsoft"/>
    <s v="わくわく7"/>
    <s v="Waku_Waku_7"/>
    <n v="27593"/>
    <n v="81779"/>
    <x v="1"/>
    <x v="1"/>
    <m/>
    <s v="https://www.fgbg.art/static/wakuWaku7_dandy-j3-35f1ca33329db438c5312715760c61c1.gif"/>
    <n v="55"/>
    <n v="225"/>
    <n v="259"/>
    <s v="MVS"/>
    <s v="NO"/>
    <s v="YES"/>
    <s v="NO"/>
    <s v="NO"/>
    <m/>
    <m/>
    <m/>
    <m/>
    <m/>
    <m/>
  </r>
  <r>
    <s v="game"/>
    <m/>
    <s v="ngmag-warlocksoffates"/>
    <s v="Warlocks of Fates"/>
    <s v="1996?"/>
    <s v="Astec-21"/>
    <s v="Shinryu Senki"/>
    <m/>
    <m/>
    <m/>
    <x v="3"/>
    <x v="2"/>
    <m/>
    <m/>
    <m/>
    <n v="77"/>
    <m/>
    <s v=""/>
    <m/>
    <m/>
    <m/>
    <m/>
    <m/>
    <m/>
    <m/>
    <m/>
    <m/>
    <m/>
  </r>
  <r>
    <s v="game"/>
    <m/>
    <s v="ngmag-wjammers"/>
    <s v="Windjammers / Flying Power Disc"/>
    <s v="1994"/>
    <s v="Data East Corporation"/>
    <s v="フライングパワーディスク"/>
    <s v="Windjammers_(video_game)"/>
    <n v="11222"/>
    <n v="29933"/>
    <x v="1"/>
    <x v="1"/>
    <m/>
    <m/>
    <m/>
    <n v="65"/>
    <n v="74"/>
    <s v="MVSNGCD"/>
    <s v="NO"/>
    <s v="YES"/>
    <s v="NO"/>
    <s v="YES"/>
    <m/>
    <m/>
    <m/>
    <m/>
    <m/>
    <m/>
  </r>
  <r>
    <s v="game"/>
    <m/>
    <s v="ngmag-wh1"/>
    <s v="World Heroes "/>
    <s v="1992"/>
    <s v="Alpha Denshi Co."/>
    <s v="ワールドヒーローズ"/>
    <s v="World_Heroes_(video_game)"/>
    <n v="4463"/>
    <n v="81971"/>
    <x v="1"/>
    <x v="1"/>
    <m/>
    <s v="https://www.fgbg.art/static/wh_rasputen-f9d7946a9253b232b622b287a1ee06bf.gif"/>
    <n v="35"/>
    <n v="53"/>
    <n v="82"/>
    <s v="MVSNGCD"/>
    <s v="NO"/>
    <s v="YES"/>
    <s v="NO"/>
    <s v="YES"/>
    <m/>
    <m/>
    <m/>
    <m/>
    <m/>
    <m/>
  </r>
  <r>
    <s v="game"/>
    <m/>
    <s v="ngmag-wh2"/>
    <s v="World Heroes 2 "/>
    <s v="1993"/>
    <s v="ADK"/>
    <s v="ワールドヒーローズ2"/>
    <s v="World_Heroes_2"/>
    <n v="37251"/>
    <n v="81972"/>
    <x v="1"/>
    <x v="1"/>
    <m/>
    <s v="https://www.fgbg.art/static/wh2_rasputen-5a8bbcdf51aa08c808ac6d5971550d3b.gif"/>
    <n v="35"/>
    <n v="57"/>
    <n v="146"/>
    <s v="MVSNGCD"/>
    <s v="NO"/>
    <s v="YES"/>
    <s v="NO"/>
    <s v="YES"/>
    <m/>
    <m/>
    <m/>
    <m/>
    <m/>
    <m/>
  </r>
  <r>
    <s v="game"/>
    <m/>
    <s v="ngmag-wh2j"/>
    <s v="World Heroes 2 Jet"/>
    <n v="1994"/>
    <s v="ADK"/>
    <s v="ワールドヒーローズ 2 JET"/>
    <m/>
    <m/>
    <n v="81973"/>
    <x v="1"/>
    <x v="1"/>
    <m/>
    <m/>
    <m/>
    <n v="64"/>
    <n v="178"/>
    <s v="MVSNGCD"/>
    <s v="NO"/>
    <s v="YES"/>
    <s v="NO"/>
    <s v="YES"/>
    <m/>
    <m/>
    <m/>
    <m/>
    <m/>
    <m/>
  </r>
  <r>
    <s v="game"/>
    <m/>
    <s v="ngmag-whp"/>
    <s v="World Heroes Perfect"/>
    <s v="1995"/>
    <s v="ADK / SNK"/>
    <s v="ワールドヒーローズ パーフェクト"/>
    <s v="World_Heroes_Perfect"/>
    <n v="46779"/>
    <n v="81974"/>
    <x v="1"/>
    <x v="1"/>
    <m/>
    <s v="https://www.fgbg.art/static/ngbg_whp_downtown-cec6ffe9192a47c344fc477fdb385087.gif"/>
    <n v="30"/>
    <n v="90"/>
    <n v="226"/>
    <s v="MVSNGCD"/>
    <s v="NO"/>
    <s v="YES"/>
    <s v="NO"/>
    <s v="YES"/>
    <m/>
    <m/>
    <m/>
    <m/>
    <m/>
    <m/>
  </r>
  <r>
    <s v="game"/>
    <m/>
    <s v="ngmag-xcrisis"/>
    <s v="Xeno Crisis"/>
    <n v="2021"/>
    <s v="Bitmap Bureau"/>
    <m/>
    <s v="Xeno_Crisis"/>
    <m/>
    <n v="252867"/>
    <x v="5"/>
    <x v="3"/>
    <m/>
    <m/>
    <m/>
    <m/>
    <n v="306"/>
    <s v=""/>
    <m/>
    <m/>
    <m/>
    <m/>
    <m/>
    <m/>
    <m/>
    <m/>
    <m/>
    <m/>
  </r>
  <r>
    <s v="game"/>
    <m/>
    <s v="ngmag-xevious"/>
    <s v="Xevious"/>
    <n v="2023"/>
    <m/>
    <m/>
    <m/>
    <m/>
    <n v="255397"/>
    <x v="0"/>
    <x v="0"/>
    <m/>
    <m/>
    <m/>
    <m/>
    <m/>
    <m/>
    <m/>
    <m/>
    <m/>
    <m/>
    <m/>
    <m/>
    <m/>
    <m/>
    <m/>
    <m/>
  </r>
  <r>
    <s v="game"/>
    <m/>
    <s v="ngmag-yoyoshuriken"/>
    <s v="Yo-Yo Shuriken"/>
    <n v="2023"/>
    <s v="JapanGameOnline.com"/>
    <m/>
    <m/>
    <m/>
    <n v="255967"/>
    <x v="5"/>
    <x v="3"/>
    <m/>
    <m/>
    <m/>
    <m/>
    <n v="94"/>
    <s v="MVSAESNGCD"/>
    <s v="NO"/>
    <s v="YES"/>
    <s v="YES"/>
    <s v="YES"/>
    <m/>
    <m/>
    <m/>
    <m/>
    <m/>
    <m/>
  </r>
  <r>
    <s v="game"/>
    <m/>
    <s v="ngmag-zedblade"/>
    <s v="Zed Blade / Operation Ragnarok"/>
    <s v="1994"/>
    <s v="NMK"/>
    <s v="作戦名ラグナロク"/>
    <s v="Zed_Blade"/>
    <n v="39345"/>
    <n v="82067"/>
    <x v="1"/>
    <x v="1"/>
    <m/>
    <m/>
    <m/>
    <n v="76"/>
    <n v="110"/>
    <s v="MVSAESNGCD"/>
    <s v="NO"/>
    <s v="YES"/>
    <s v="YES"/>
    <s v="YES"/>
    <m/>
    <m/>
    <m/>
    <m/>
    <m/>
    <m/>
  </r>
  <r>
    <s v="game"/>
    <m/>
    <s v="ngmag-zintrckb"/>
    <s v="Zintrick"/>
    <s v="1996"/>
    <s v="bootleg"/>
    <s v="Oshidashi Zentrix"/>
    <m/>
    <m/>
    <n v="82095"/>
    <x v="8"/>
    <x v="1"/>
    <m/>
    <m/>
    <m/>
    <n v="211"/>
    <n v="74"/>
    <s v="NGCD"/>
    <s v="NO"/>
    <s v="NO"/>
    <s v="NO"/>
    <s v="YES"/>
    <m/>
    <m/>
    <m/>
    <m/>
    <m/>
    <m/>
  </r>
  <r>
    <s v="game"/>
    <m/>
    <s v="ngmag-zupapa"/>
    <s v="Zupapa!"/>
    <s v="2001"/>
    <s v="SNK"/>
    <s v="ズパパ！"/>
    <s v="ZuPaPa!"/>
    <n v="47577"/>
    <n v="82117"/>
    <x v="1"/>
    <x v="1"/>
    <m/>
    <m/>
    <m/>
    <n v="70"/>
    <n v="46"/>
    <s v="MVS"/>
    <s v="NO"/>
    <s v="YES"/>
    <s v="NO"/>
    <s v="NO"/>
    <m/>
    <m/>
    <m/>
    <m/>
    <m/>
    <m/>
  </r>
  <r>
    <s v="blank"/>
    <m/>
    <m/>
    <m/>
    <m/>
    <m/>
    <m/>
    <m/>
    <m/>
    <m/>
    <x v="0"/>
    <x v="0"/>
    <m/>
    <m/>
    <m/>
    <m/>
    <m/>
    <m/>
    <m/>
    <m/>
    <m/>
    <m/>
    <m/>
    <m/>
    <m/>
    <m/>
    <m/>
    <m/>
  </r>
  <r>
    <s v="blank"/>
    <m/>
    <m/>
    <m/>
    <m/>
    <m/>
    <m/>
    <m/>
    <m/>
    <m/>
    <x v="0"/>
    <x v="0"/>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DEF7FC-890D-4095-8946-B74720F0D1F0}"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B27" firstHeaderRow="1" firstDataRow="1" firstDataCol="1"/>
  <pivotFields count="28">
    <pivotField showAll="0"/>
    <pivotField showAll="0"/>
    <pivotField dataField="1" showAll="0"/>
    <pivotField showAll="0"/>
    <pivotField showAll="0"/>
    <pivotField showAll="0"/>
    <pivotField showAll="0"/>
    <pivotField showAll="0"/>
    <pivotField showAll="0"/>
    <pivotField showAll="0"/>
    <pivotField axis="axisRow" showAll="0">
      <items count="13">
        <item x="6"/>
        <item x="2"/>
        <item m="1" x="9"/>
        <item x="1"/>
        <item m="1" x="10"/>
        <item x="5"/>
        <item x="3"/>
        <item m="1" x="11"/>
        <item x="0"/>
        <item x="4"/>
        <item x="7"/>
        <item x="8"/>
        <item t="default"/>
      </items>
    </pivotField>
    <pivotField axis="axisRow"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1"/>
    <field x="10"/>
  </rowFields>
  <rowItems count="24">
    <i>
      <x/>
    </i>
    <i r="1">
      <x/>
    </i>
    <i r="1">
      <x v="3"/>
    </i>
    <i r="1">
      <x v="5"/>
    </i>
    <i r="1">
      <x v="6"/>
    </i>
    <i r="1">
      <x v="9"/>
    </i>
    <i r="1">
      <x v="11"/>
    </i>
    <i>
      <x v="1"/>
    </i>
    <i r="1">
      <x/>
    </i>
    <i r="1">
      <x v="1"/>
    </i>
    <i r="1">
      <x v="5"/>
    </i>
    <i r="1">
      <x v="6"/>
    </i>
    <i r="1">
      <x v="9"/>
    </i>
    <i r="1">
      <x v="10"/>
    </i>
    <i>
      <x v="2"/>
    </i>
    <i r="1">
      <x v="8"/>
    </i>
    <i r="1">
      <x v="9"/>
    </i>
    <i>
      <x v="3"/>
    </i>
    <i r="1">
      <x v="1"/>
    </i>
    <i r="1">
      <x v="3"/>
    </i>
    <i r="1">
      <x v="5"/>
    </i>
    <i r="1">
      <x v="6"/>
    </i>
    <i r="1">
      <x v="9"/>
    </i>
    <i t="grand">
      <x/>
    </i>
  </rowItems>
  <colItems count="1">
    <i/>
  </colItems>
  <dataFields count="1">
    <dataField name="Count of game_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C1A4C95-B7A0-4956-A6E0-49500D2E2700}" name="GamesTable5" displayName="GamesTable5" ref="A1:AB4" totalsRowShown="0" headerRowBorderDxfId="44">
  <autoFilter ref="A1:AB4" xr:uid="{E847C461-F85B-45FA-BD54-114737AD5211}"/>
  <tableColumns count="28">
    <tableColumn id="11" xr3:uid="{D477AAEE-DFA6-4520-9E2E-D8003D58DBFE}" name="Page"/>
    <tableColumn id="10" xr3:uid="{7353F8CD-A8DB-46A5-B9E7-61AA593E9B88}" name="#"/>
    <tableColumn id="1" xr3:uid="{2537402E-326B-4EA9-80DE-A2F9CB538D42}" name="game_id"/>
    <tableColumn id="2" xr3:uid="{B4B3055C-5AA5-4396-8FBF-64B1030FB4BC}" name="game title"/>
    <tableColumn id="3" xr3:uid="{AAB457EA-18AB-404D-AB5A-7413B1BCB8C2}" name="year"/>
    <tableColumn id="4" xr3:uid="{97821B7F-AAE4-4716-8307-B404914DCC1B}" name="publisher"/>
    <tableColumn id="7" xr3:uid="{A4107570-522C-40F9-B375-4EE48128D7D8}" name="alt_title"/>
    <tableColumn id="13" xr3:uid="{193CC2CE-D76E-4490-BB11-9506D33592CB}" name="wiki"/>
    <tableColumn id="14" xr3:uid="{7C5E8CC4-939B-46E5-8CC5-406CFFE054DC}" name="IGDB id"/>
    <tableColumn id="5" xr3:uid="{87B65371-8891-4A57-B22E-33C35E0C0704}" name="hfs_id" dataDxfId="43"/>
    <tableColumn id="6" xr3:uid="{923F39BC-F86F-4EC9-8431-6620291E4846}" name="Game Type"/>
    <tableColumn id="8" xr3:uid="{60326E4D-7E1B-4B53-B529-03FBD63EE151}" name="Game Generation"/>
    <tableColumn id="9" xr3:uid="{A4053002-137B-42EE-882B-07BF2DC6860B}" name="Invert inGame screenshots"/>
    <tableColumn id="12" xr3:uid="{A68CCB20-AC8A-4C89-A181-FA8BB6CB88B3}" name="game_bg_screenshot"/>
    <tableColumn id="15" xr3:uid="{721D05BE-640C-4F0B-AF77-DE9A55465195}" name="game_bg_shift"/>
    <tableColumn id="16" xr3:uid="{9A6B17DC-AC11-4E2C-A69E-6306F3F442DD}" name="NGx-XXX"/>
    <tableColumn id="17" xr3:uid="{8A5CD30C-F04E-44A8-9CF5-9B3C25E3BDCC}" name="MEGS"/>
    <tableColumn id="18" xr3:uid="{44CAC505-2CB9-42A1-A4E1-6A0F6B6C15E4}" name="Supported platforms" dataDxfId="42">
      <calculatedColumnFormula xml:space="preserve">
IF(GamesTable[[#This Row],[JAMMA]]="YES","JAMMA","")&amp;
IF(GamesTable[[#This Row],[MVS]]="YES","MVS","")&amp;
IF(GamesTable[[#This Row],[AES]]="YES","AES","")&amp;
IF(GamesTable[[#This Row],[NGCD]]="YES","NGCD","")&amp;
IF(GamesTable[[#This Row],[ROM]]="YES","ROM","")</calculatedColumnFormula>
    </tableColumn>
    <tableColumn id="19" xr3:uid="{0828994F-FDCA-4849-96F5-816126B1CC16}" name="JAMMA"/>
    <tableColumn id="20" xr3:uid="{C55A6EE0-D8EA-4A03-B5F5-BBA3D2F57724}" name="MVS"/>
    <tableColumn id="21" xr3:uid="{1ADD8D65-FC94-45AF-8522-26060F52B5F9}" name="AES"/>
    <tableColumn id="22" xr3:uid="{656129C2-12DD-446C-ABA2-29CE7A4724D0}" name="NGCD"/>
    <tableColumn id="23" xr3:uid="{616B512C-1309-4694-AB57-44D697D31AD0}" name="ROM"/>
    <tableColumn id="24" xr3:uid="{7A7222F5-08B4-460B-9857-22E52598CB0F}" name="mvs scarcity"/>
    <tableColumn id="25" xr3:uid="{C0FAAA7C-E0E3-49A5-B044-73FB2AEEAA54}" name="aes scarcity"/>
    <tableColumn id="26" xr3:uid="{BED650FC-61B2-4635-882E-01F9C5AB6B52}" name="ngcd scarcity"/>
    <tableColumn id="27" xr3:uid="{DF36B2A2-B1B3-49BD-99DB-994BF09843B0}" name="ranking"/>
    <tableColumn id="28" xr3:uid="{A493A559-F43A-4415-BD39-3FB78AAFF94F}" name="debugdips-ngcomwiki-ref"/>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47C461-F85B-45FA-BD54-114737AD5211}" name="GamesTable" displayName="GamesTable" ref="A1:AB235" totalsRowShown="0" headerRowBorderDxfId="41">
  <autoFilter ref="A1:AB235" xr:uid="{E847C461-F85B-45FA-BD54-114737AD5211}"/>
  <tableColumns count="28">
    <tableColumn id="12" xr3:uid="{5F5ADDA1-96A5-4185-A17E-3849A9BEA940}" name="Page"/>
    <tableColumn id="11" xr3:uid="{47C137FC-D5F3-4D9A-B214-DD85372C5845}" name="#"/>
    <tableColumn id="1" xr3:uid="{55D07CB8-9E4B-4923-BB1A-0A32FA2FB12C}" name="game_id"/>
    <tableColumn id="2" xr3:uid="{C4837D4E-6CD5-4F63-A970-FC62004296DB}" name="game title"/>
    <tableColumn id="3" xr3:uid="{9BB11E90-F27B-42EB-80AB-D0C9CC224E86}" name="year"/>
    <tableColumn id="4" xr3:uid="{A7C04EEA-87FD-455B-9E45-F6DE6ABA3B01}" name="publisher"/>
    <tableColumn id="7" xr3:uid="{777E8B67-9985-45E2-B2EF-B6F77469821B}" name="alt_title"/>
    <tableColumn id="13" xr3:uid="{25973CFE-5006-477B-BFE2-44DE8CE7B285}" name="wiki"/>
    <tableColumn id="14" xr3:uid="{D8A892D1-3841-476E-8125-375E085B5963}" name="IGDB id"/>
    <tableColumn id="5" xr3:uid="{AB712D35-8ED3-40F8-ABC6-45F5C9DAEB4C}" name="hfs_id" dataDxfId="40"/>
    <tableColumn id="6" xr3:uid="{BF41F5BD-7DB5-4210-9B1B-E4256666A8B9}" name="Game Type"/>
    <tableColumn id="8" xr3:uid="{237513B8-182B-4A97-BFD5-1DC83CE57024}" name="Game Generation"/>
    <tableColumn id="9" xr3:uid="{09F84F5E-754F-4E13-B02F-8713031814DE}" name="Invert inGame screenshots" dataDxfId="39" dataCellStyle="Neutral"/>
    <tableColumn id="15" xr3:uid="{DDD219F4-2929-45D4-94C3-D595A96F318E}" name="game_bg_screenshot" dataCellStyle="Input"/>
    <tableColumn id="16" xr3:uid="{66384C31-74E5-46FE-A867-E924E583CA83}" name="game_bg_shift" dataCellStyle="Input"/>
    <tableColumn id="10" xr3:uid="{124630EC-54F4-447E-9ABD-59A9C8B79FA4}" name="NGx-XXX"/>
    <tableColumn id="17" xr3:uid="{0B538785-941D-4030-A29F-7CAE9D042E0B}" name="MEGS"/>
    <tableColumn id="22" xr3:uid="{B5651739-7B54-4F2E-9AF9-DE62D812A1D1}" name="Supported platforms" dataDxfId="38"/>
    <tableColumn id="18" xr3:uid="{4DC66861-A814-43F1-9801-DFE303D03048}" name="JAMMA" dataDxfId="37"/>
    <tableColumn id="19" xr3:uid="{B425A592-7638-48BA-9F2A-BF00D641BBBE}" name="MVS" dataDxfId="36"/>
    <tableColumn id="20" xr3:uid="{D1263C0B-72C0-4485-81B3-742847F14426}" name="AES" dataDxfId="35"/>
    <tableColumn id="21" xr3:uid="{4F2B4ECD-724E-4158-A1B0-FE64E97F4647}" name="NGCD" dataDxfId="34"/>
    <tableColumn id="23" xr3:uid="{1983AED5-9D91-47C7-B14C-678DA66C9C7E}" name="ROM" dataDxfId="33"/>
    <tableColumn id="24" xr3:uid="{4C0CE62C-F78A-4DAA-9184-AC5DFE73A715}" name="mvs scarcity" dataDxfId="32"/>
    <tableColumn id="25" xr3:uid="{46FBE124-F635-467D-B9AA-4A13176B039F}" name="aes scarcity" dataDxfId="31"/>
    <tableColumn id="26" xr3:uid="{C5C6F379-BC1B-4FE6-A123-8D97BA25B42C}" name="ngcd scarcity" dataDxfId="30"/>
    <tableColumn id="27" xr3:uid="{053258E3-3581-4C53-B855-7D0AAE78C9E5}" name="ranking" dataDxfId="29"/>
    <tableColumn id="29" xr3:uid="{B3761795-4917-4581-852D-9C4122CEE828}" name="main rom" dataDxfId="2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C3F11C-6499-41F8-AADA-87D9CBAD77C5}" name="Table2" displayName="Table2" ref="A1:M167" totalsRowShown="0">
  <autoFilter ref="A1:M167" xr:uid="{3BC3F11C-6499-41F8-AADA-87D9CBAD77C5}">
    <filterColumn colId="8">
      <filters>
        <filter val="NO"/>
      </filters>
    </filterColumn>
  </autoFilter>
  <sortState xmlns:xlrd2="http://schemas.microsoft.com/office/spreadsheetml/2017/richdata2" ref="A2:I167">
    <sortCondition ref="H159:H167"/>
  </sortState>
  <tableColumns count="13">
    <tableColumn id="3" xr3:uid="{1184D5DF-48A3-43F0-B1D2-E627BF019F47}" name="game_id"/>
    <tableColumn id="18" xr3:uid="{EDA4B710-2143-4587-B14F-1EC85AD2B7B8}" name="dups?" dataDxfId="27">
      <calculatedColumnFormula>COUNTIF(A:A,Table2[[#This Row],[game_id]])</calculatedColumnFormula>
    </tableColumn>
    <tableColumn id="4" xr3:uid="{5B740C40-2643-40FD-84BE-E7B08CA8D388}" name="game title"/>
    <tableColumn id="5" xr3:uid="{50BED58B-4986-4A50-93E6-E1B04A85BC45}" name="year"/>
    <tableColumn id="9" xr3:uid="{50AB81CE-135A-47A3-9BB9-13ECA2E6B2C3}" name="IGDB id"/>
    <tableColumn id="15" xr3:uid="{E36CAD0B-9A7C-4ED0-B595-6CC770028ACB}" name="Similarity"/>
    <tableColumn id="16" xr3:uid="{7EE6AB94-9331-4270-9819-11495875517F}" name="IGDB_id"/>
    <tableColumn id="17" xr3:uid="{99FCCD95-2BE8-45B4-BD5F-299CD9534EB8}" name="game name in IGDB"/>
    <tableColumn id="19" xr3:uid="{62DBD6D2-9956-4C29-8614-8184F68CCA5E}" name="found in main game index?" dataDxfId="26">
      <calculatedColumnFormula>IF(ISERROR(VLOOKUP(Table2[[#This Row],[IGDB_id]],GamesTable[IGDB id],1,0)),"NO","yes")</calculatedColumnFormula>
    </tableColumn>
    <tableColumn id="1" xr3:uid="{D21C5E87-6969-44C0-AE68-E761D47A6DAA}" name="found" dataDxfId="25">
      <calculatedColumnFormula>IF(ISERROR(VLOOKUP(A2,GamesTable[game_id],1,0)),"not found","found")</calculatedColumnFormula>
    </tableColumn>
    <tableColumn id="2" xr3:uid="{3BB8F8C1-FB6F-4FCA-BF21-9CE720667CCE}" name="descr main list" dataDxfId="24">
      <calculatedColumnFormula>VLOOKUP(Table2[[#This Row],[game_id]],GamesTable[[game_id]:[game title]],2,0)</calculatedColumnFormula>
    </tableColumn>
    <tableColumn id="6" xr3:uid="{6FE5D3C8-D9C9-4BD1-A58D-0BCE696A7558}" name="backref" dataDxfId="23">
      <calculatedColumnFormula>VLOOKUP(VLOOKUP(Table2[[#This Row],[game_id]],GamesTable[[game_id]:[IGDB id]],7,0),G:H,2,0)</calculatedColumnFormula>
    </tableColumn>
    <tableColumn id="7" xr3:uid="{95670F4E-5948-468B-941A-F5977C194D52}" name="backid" dataDxfId="22">
      <calculatedColumnFormula>VLOOKUP(Table2[[#This Row],[game_id]],GamesTable[[game_id]:[IGDB id]],7,0)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F17C160-988C-4064-BAF9-3174D2DCB26A}" name="hfs_table9" displayName="hfs_table9" ref="A1:W189" totalsRowShown="0">
  <autoFilter ref="A1:W189" xr:uid="{9F17C160-988C-4064-BAF9-3174D2DCB26A}"/>
  <tableColumns count="23">
    <tableColumn id="1" xr3:uid="{49B818EE-92A3-4E87-9474-A9438981D6FF}" name="id"/>
    <tableColumn id="2" xr3:uid="{EA78B925-F7D7-47E0-8287-074B95D7F437}" name="system_id"/>
    <tableColumn id="3" xr3:uid="{B00DCD55-9FEA-48E3-BCA3-039EFD89885F}" name="system_name" dataDxfId="21"/>
    <tableColumn id="4" xr3:uid="{95594E63-DD36-4DE5-B710-F157AF515A0C}" name="manufacturer_id"/>
    <tableColumn id="5" xr3:uid="{83F51CA6-138C-4975-A155-4C3AF13C63A0}" name="manufacturer_name" dataDxfId="20"/>
    <tableColumn id="6" xr3:uid="{EB0FE3EF-0E00-4951-8BF6-4DF60491D548}" name="name_en" dataDxfId="19"/>
    <tableColumn id="7" xr3:uid="{E63DFD5E-2E72-431A-9D6B-CF3005A167E1}" name="name_fr" dataDxfId="18"/>
    <tableColumn id="8" xr3:uid="{CBA35825-4803-43F4-B2A2-984787E9B49D}" name="name_de" dataDxfId="17"/>
    <tableColumn id="9" xr3:uid="{21EC9867-85EA-4B7D-BE66-D1F891209E45}" name="name_it" dataDxfId="16"/>
    <tableColumn id="10" xr3:uid="{CA02C452-D20E-4593-9736-B1C7A4E993CE}" name="name_es" dataDxfId="15"/>
    <tableColumn id="11" xr3:uid="{121865AD-22C1-4843-B661-4F50C0AA30E2}" name="name_jp" dataDxfId="14"/>
    <tableColumn id="12" xr3:uid="{79A17128-ECA2-443A-9DD3-8140985D0649}" name="name_pt" dataDxfId="13"/>
    <tableColumn id="13" xr3:uid="{79AEC94C-2138-4820-A291-415C125E49B3}" name="description_en" dataDxfId="12"/>
    <tableColumn id="14" xr3:uid="{2676D8AA-B789-41DF-9DAB-A32A6D32D72D}" name="description_fr" dataDxfId="11"/>
    <tableColumn id="15" xr3:uid="{37F39036-BE20-4D4F-8C2D-5BA7C0B79767}" name="description_de" dataDxfId="10"/>
    <tableColumn id="16" xr3:uid="{9E5B8A6C-3527-447F-A85C-F3AC9CE1A2B2}" name="description_it" dataDxfId="9"/>
    <tableColumn id="17" xr3:uid="{08A6E89E-5D7A-4355-BBE4-A745A39A6FF0}" name="description_es" dataDxfId="8"/>
    <tableColumn id="18" xr3:uid="{683CF864-D504-4387-A5C2-E6AFBFDC9A6A}" name="description_jp" dataDxfId="7"/>
    <tableColumn id="19" xr3:uid="{C5917B16-F817-4119-833D-0945BB6B0A8A}" name="description_pt" dataDxfId="6"/>
    <tableColumn id="20" xr3:uid="{2548E712-E4D4-4838-8768-3E7A49D72174}" name="released_at_PAL" dataDxfId="5"/>
    <tableColumn id="21" xr3:uid="{85644E0C-0E9E-4172-A9D3-1FA7E11548A6}" name="released_at_US" dataDxfId="4"/>
    <tableColumn id="22" xr3:uid="{AD66204D-3081-42BE-A598-9847846E5484}" name="released_at_JPN" dataDxfId="3"/>
    <tableColumn id="23" xr3:uid="{4BDE6917-2231-4828-914F-D03A57E24745}" name="released_at_WORLD" dataDxf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DB7B23C-34C9-434E-A85A-EB49BE96AC61}" name="Table5" displayName="Table5" ref="A1:F14" totalsRowShown="0">
  <autoFilter ref="A1:F14" xr:uid="{0DB7B23C-34C9-434E-A85A-EB49BE96AC61}"/>
  <tableColumns count="6">
    <tableColumn id="1" xr3:uid="{13A0900E-7930-4B71-82D9-DC6482450024}" name="Source"/>
    <tableColumn id="2" xr3:uid="{72CA188D-5A24-486B-BF80-0DDCA7AC19CC}" name="Source info"/>
    <tableColumn id="3" xr3:uid="{337C72DF-6573-42BF-80FC-C560C6AF1FB5}" name="to credit? "/>
    <tableColumn id="4" xr3:uid="{E627C1EC-E4E3-4E5E-B62A-D8FD9D702712}" name="Credit EN" dataDxfId="1"/>
    <tableColumn id="5" xr3:uid="{B36EDFB2-DC23-4183-B628-9817F608632E}" name="Credit FR" dataDxfId="0"/>
    <tableColumn id="6" xr3:uid="{7A3E439B-DD1C-4468-82C1-00426066988B}" name="Logo URL"/>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D32C237-09B9-4B04-BC6D-CC27E6831D7E}" name="Table3" displayName="Table3" ref="A1:I196" totalsRowShown="0">
  <autoFilter ref="A1:I196" xr:uid="{7824A6A7-420B-4B5B-8239-8DD3133FE27C}"/>
  <tableColumns count="9">
    <tableColumn id="1" xr3:uid="{91A3EFC5-038D-43B7-9F4A-7F85CC40A704}" name="hbmame ID"/>
    <tableColumn id="2" xr3:uid="{8B2BF553-1B8F-40B4-8CFB-8ACB94878F1E}" name="rom wanted"/>
    <tableColumn id="3" xr3:uid="{AECB934F-2498-4365-948E-27F3038A925B}" name="Released"/>
    <tableColumn id="4" xr3:uid="{8D6198DA-179A-4287-BCBA-3CBFA140B3AC}" name="game ID in rom"/>
    <tableColumn id="5" xr3:uid="{1BD014A6-E060-43BF-883B-F9C9FCC4E080}" name="Title"/>
    <tableColumn id="6" xr3:uid="{8F058394-19AA-485E-AB02-5724B9017E1A}" name="Developer"/>
    <tableColumn id="7" xr3:uid="{D44848D7-4B72-4E1F-A71E-7AB8A7178EF9}" name="More info"/>
    <tableColumn id="8" xr3:uid="{574441C4-7B38-4D60-A3D8-44F8CC403200}" name="Column1"/>
    <tableColumn id="9" xr3:uid="{B23D2A45-1C26-4D75-9E4A-9C753A1508CD}" name="Column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ww.winkawaks.org/roms/neogeo/neopong.htm" TargetMode="External"/><Relationship Id="rId3" Type="http://schemas.openxmlformats.org/officeDocument/2006/relationships/hyperlink" Target="https://github.com/Crim/NeoGeo-2-Player-Tetris" TargetMode="External"/><Relationship Id="rId7" Type="http://schemas.openxmlformats.org/officeDocument/2006/relationships/hyperlink" Target="https://wiki.neogeodev.org/index.php?title=Neo_no_Panepon" TargetMode="External"/><Relationship Id="rId2" Type="http://schemas.openxmlformats.org/officeDocument/2006/relationships/hyperlink" Target="https://schworak.com/games/?platform=24&amp;game=38017" TargetMode="External"/><Relationship Id="rId1" Type="http://schemas.openxmlformats.org/officeDocument/2006/relationships/hyperlink" Target="https://schworak.com/games/?platform=24&amp;game=38014" TargetMode="External"/><Relationship Id="rId6" Type="http://schemas.openxmlformats.org/officeDocument/2006/relationships/hyperlink" Target="http://raregame.ru/file/15/Indiana_Jones.zip" TargetMode="External"/><Relationship Id="rId11" Type="http://schemas.openxmlformats.org/officeDocument/2006/relationships/table" Target="../tables/table2.xml"/><Relationship Id="rId5" Type="http://schemas.openxmlformats.org/officeDocument/2006/relationships/hyperlink" Target="https://frogfeast.rastersoft.net/" TargetMode="External"/><Relationship Id="rId10" Type="http://schemas.openxmlformats.org/officeDocument/2006/relationships/printerSettings" Target="../printerSettings/printerSettings2.bin"/><Relationship Id="rId4" Type="http://schemas.openxmlformats.org/officeDocument/2006/relationships/hyperlink" Target="http://raregame.ru/file/15/Codename_-_Blutengel.zip" TargetMode="External"/><Relationship Id="rId9" Type="http://schemas.openxmlformats.org/officeDocument/2006/relationships/hyperlink" Target="http://sebastianmihai.com/neogeo-neo-thunder.html"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www.neo-geo.com/snk/carts/mvs/KARNOV'.jpg" TargetMode="External"/><Relationship Id="rId299" Type="http://schemas.openxmlformats.org/officeDocument/2006/relationships/hyperlink" Target="http://www.neo-geo.com/snk/carts/jap/ss1.jpg" TargetMode="External"/><Relationship Id="rId21" Type="http://schemas.openxmlformats.org/officeDocument/2006/relationships/hyperlink" Target="http://www.neo-geo.com/snk/carts/us/aof.jpg" TargetMode="External"/><Relationship Id="rId63" Type="http://schemas.openxmlformats.org/officeDocument/2006/relationships/hyperlink" Target="http://www.neo-geo.com/reviews/neo-reviews/cyberlip/cyberlip.html" TargetMode="External"/><Relationship Id="rId159" Type="http://schemas.openxmlformats.org/officeDocument/2006/relationships/hyperlink" Target="http://www.neo-geo.com/reviews/neo-reviews/kizuna/kizuna.htm" TargetMode="External"/><Relationship Id="rId324" Type="http://schemas.openxmlformats.org/officeDocument/2006/relationships/hyperlink" Target="http://www.neo-geo.com/snk/carts/jap/sengoku2.jpg" TargetMode="External"/><Relationship Id="rId366" Type="http://schemas.openxmlformats.org/officeDocument/2006/relationships/hyperlink" Target="http://www.neo-geo.com/snk/carts/jap/sidekicks3.jpg" TargetMode="External"/><Relationship Id="rId170" Type="http://schemas.openxmlformats.org/officeDocument/2006/relationships/hyperlink" Target="http://www.neo-geo.com/snk/carts/us/lastblade2.jpg" TargetMode="External"/><Relationship Id="rId226" Type="http://schemas.openxmlformats.org/officeDocument/2006/relationships/hyperlink" Target="http://www.neo-geo.com/snk/inserts/jap/nam75.jpg" TargetMode="External"/><Relationship Id="rId268" Type="http://schemas.openxmlformats.org/officeDocument/2006/relationships/hyperlink" Target="http://www.neo-geo.com/snk/carts/mvs/PUZZLE%20DE%20PON.jpg" TargetMode="External"/><Relationship Id="rId32" Type="http://schemas.openxmlformats.org/officeDocument/2006/relationships/hyperlink" Target="http://www.neo-geo.com/snk/carts/mvs/BASEBALL%20PRO.jpg" TargetMode="External"/><Relationship Id="rId74" Type="http://schemas.openxmlformats.org/officeDocument/2006/relationships/hyperlink" Target="http://www.neo-geo.com/snk/carts/us/8man.jpg" TargetMode="External"/><Relationship Id="rId128" Type="http://schemas.openxmlformats.org/officeDocument/2006/relationships/hyperlink" Target="http://www.neo-geo.com/snk/carts/jap/kof96.jpg" TargetMode="External"/><Relationship Id="rId335" Type="http://schemas.openxmlformats.org/officeDocument/2006/relationships/hyperlink" Target="http://www.neo-geo.com/snk/inserts/jap/soccerbrawl.jpg" TargetMode="External"/><Relationship Id="rId377" Type="http://schemas.openxmlformats.org/officeDocument/2006/relationships/hyperlink" Target="http://www.neo-geo.com/snk/carts/mvs/THRASH%20RALLY.jpg" TargetMode="External"/><Relationship Id="rId5" Type="http://schemas.openxmlformats.org/officeDocument/2006/relationships/hyperlink" Target="http://www.neo-geo.com/snk/inserts/jap/sonicwings2.jpg" TargetMode="External"/><Relationship Id="rId181" Type="http://schemas.openxmlformats.org/officeDocument/2006/relationships/hyperlink" Target="http://www.neo-geo.com/snk/carts/jap/legendjoe.jpg" TargetMode="External"/><Relationship Id="rId237" Type="http://schemas.openxmlformats.org/officeDocument/2006/relationships/hyperlink" Target="http://www.neo-geo.com/snk/carts/jap/btg.jpg" TargetMode="External"/><Relationship Id="rId402" Type="http://schemas.openxmlformats.org/officeDocument/2006/relationships/hyperlink" Target="http://www.neo-geo.com/snk/carts/us/windjammers.jpg" TargetMode="External"/><Relationship Id="rId279" Type="http://schemas.openxmlformats.org/officeDocument/2006/relationships/hyperlink" Target="http://www.neo-geo.com/snk/carts/jap/shinoken.jpg" TargetMode="External"/><Relationship Id="rId43" Type="http://schemas.openxmlformats.org/officeDocument/2006/relationships/hyperlink" Target="http://www.neo-geo.com/snk/carts/mvs/BLUE'SJOURNEY.jpg" TargetMode="External"/><Relationship Id="rId139" Type="http://schemas.openxmlformats.org/officeDocument/2006/relationships/hyperlink" Target="http://www.neo-geo.com/snk/carts/mvs/KOF99.jpg" TargetMode="External"/><Relationship Id="rId290" Type="http://schemas.openxmlformats.org/officeDocument/2006/relationships/hyperlink" Target="http://www.neo-geo.com/snk/carts/us/realbout2.jpg" TargetMode="External"/><Relationship Id="rId304" Type="http://schemas.openxmlformats.org/officeDocument/2006/relationships/hyperlink" Target="http://www.neo-geo.com/snk/carts/us/ss2.jpg" TargetMode="External"/><Relationship Id="rId346" Type="http://schemas.openxmlformats.org/officeDocument/2006/relationships/hyperlink" Target="http://www.neo-geo.com/snk/carts/jap/stakeswinner2.jpg" TargetMode="External"/><Relationship Id="rId388" Type="http://schemas.openxmlformats.org/officeDocument/2006/relationships/hyperlink" Target="http://www.neo-geo.com/snk/carts/mvs/TWINKLESTAR.jpg" TargetMode="External"/><Relationship Id="rId85" Type="http://schemas.openxmlformats.org/officeDocument/2006/relationships/hyperlink" Target="https://www.neo-geo.com/snk/carts/jap/fatalfuryspecial.jpg" TargetMode="External"/><Relationship Id="rId150" Type="http://schemas.openxmlformats.org/officeDocument/2006/relationships/hyperlink" Target="http://www.neostore.com/detail.asp?ProductID=1080" TargetMode="External"/><Relationship Id="rId192" Type="http://schemas.openxmlformats.org/officeDocument/2006/relationships/hyperlink" Target="http://www.neo-geo.com/snk/carts/jap/cartons/mahjong-retsuden.jpg" TargetMode="External"/><Relationship Id="rId206" Type="http://schemas.openxmlformats.org/officeDocument/2006/relationships/hyperlink" Target="http://www.neo-geo.com/reviews/neo-reviews/msx/msxa.html" TargetMode="External"/><Relationship Id="rId413" Type="http://schemas.openxmlformats.org/officeDocument/2006/relationships/hyperlink" Target="http://www.neo-geo.com/snk/inserts/jap/worldheroesjet.jpg" TargetMode="External"/><Relationship Id="rId248" Type="http://schemas.openxmlformats.org/officeDocument/2006/relationships/hyperlink" Target="http://www.neo-geo.com/snk/carts/us/ninjacommando.jpg" TargetMode="External"/><Relationship Id="rId12" Type="http://schemas.openxmlformats.org/officeDocument/2006/relationships/hyperlink" Target="http://www.neo-geo.com/snk/carts/us/adk.jpg" TargetMode="External"/><Relationship Id="rId108" Type="http://schemas.openxmlformats.org/officeDocument/2006/relationships/hyperlink" Target="http://www.neo-geo.com/snk/carts/jap/cartons/ghostpilots.jpg" TargetMode="External"/><Relationship Id="rId315" Type="http://schemas.openxmlformats.org/officeDocument/2006/relationships/hyperlink" Target="http://www.neo-geo.com/snk/carts/mvs/SAVAGE%20REIGN.jpg" TargetMode="External"/><Relationship Id="rId357" Type="http://schemas.openxmlformats.org/officeDocument/2006/relationships/hyperlink" Target="http://www.neo-geo.com/reviews/neo-reviews/superdball/superdodgeball1.html" TargetMode="External"/><Relationship Id="rId54" Type="http://schemas.openxmlformats.org/officeDocument/2006/relationships/hyperlink" Target="http://www.neo-geo.com/snk/carts/mvs/BUSTAMU.jpg" TargetMode="External"/><Relationship Id="rId96" Type="http://schemas.openxmlformats.org/officeDocument/2006/relationships/hyperlink" Target="http://www.neo-geo.com/snk/carts/us/footballfrenzy.jpg" TargetMode="External"/><Relationship Id="rId161" Type="http://schemas.openxmlformats.org/officeDocument/2006/relationships/hyperlink" Target="http://www.neo-geo.com/snk/carts/jap/kizuna.jpg" TargetMode="External"/><Relationship Id="rId217" Type="http://schemas.openxmlformats.org/officeDocument/2006/relationships/hyperlink" Target="http://www.neo-geo.com/snk/carts/us/ms4.jpg" TargetMode="External"/><Relationship Id="rId399" Type="http://schemas.openxmlformats.org/officeDocument/2006/relationships/hyperlink" Target="http://www.neo-geo.com/reviews/neo-reviews/windjam/windjam.html" TargetMode="External"/><Relationship Id="rId259" Type="http://schemas.openxmlformats.org/officeDocument/2006/relationships/hyperlink" Target="http://www.neo-geo.com/snk/carts/mvs/PWSPIKE2.jpg" TargetMode="External"/><Relationship Id="rId424" Type="http://schemas.openxmlformats.org/officeDocument/2006/relationships/hyperlink" Target="http://members.tripod.com/fresa/proto/games/digger_man.htm" TargetMode="External"/><Relationship Id="rId23" Type="http://schemas.openxmlformats.org/officeDocument/2006/relationships/hyperlink" Target="http://www.neo-geo.com/snk/carts/mvs/ARTOFFIGHTING2.jpg" TargetMode="External"/><Relationship Id="rId119" Type="http://schemas.openxmlformats.org/officeDocument/2006/relationships/hyperlink" Target="http://www.neo-geo.com/snk/carts/us/karnovrev.jpg" TargetMode="External"/><Relationship Id="rId270" Type="http://schemas.openxmlformats.org/officeDocument/2006/relationships/hyperlink" Target="http://www.neo-geo.com/snk/carts/mvs/PUZZLE%20DE%20PONR.jpg" TargetMode="External"/><Relationship Id="rId326" Type="http://schemas.openxmlformats.org/officeDocument/2006/relationships/hyperlink" Target="http://www.neo-geo.com/reviews/neo-reviews/sengoku3/sengoku3b.html" TargetMode="External"/><Relationship Id="rId65" Type="http://schemas.openxmlformats.org/officeDocument/2006/relationships/hyperlink" Target="http://www.neo-geo.com/snk/carts/jap/cartons/cyber-lip.jpg" TargetMode="External"/><Relationship Id="rId130" Type="http://schemas.openxmlformats.org/officeDocument/2006/relationships/hyperlink" Target="http://www.neo-geo.com/reviews/neo-reviews/kof97/kof97.htm" TargetMode="External"/><Relationship Id="rId368" Type="http://schemas.openxmlformats.org/officeDocument/2006/relationships/hyperlink" Target="http://www.neo-geo.com/snk/carts/mvs/SIDE%20KICKS4.jpg" TargetMode="External"/><Relationship Id="rId172" Type="http://schemas.openxmlformats.org/officeDocument/2006/relationships/hyperlink" Target="http://www.neo-geo.com/snk/carts/mvs/LAST%20RESORT.jpg" TargetMode="External"/><Relationship Id="rId228" Type="http://schemas.openxmlformats.org/officeDocument/2006/relationships/hyperlink" Target="http://www.neo-geo.com/reviews/neo-reviews/neobomberman/neobomerman.htm" TargetMode="External"/><Relationship Id="rId281" Type="http://schemas.openxmlformats.org/officeDocument/2006/relationships/hyperlink" Target="http://www.neo-geo.com/snk/carts/jap/realbout.jpg" TargetMode="External"/><Relationship Id="rId337" Type="http://schemas.openxmlformats.org/officeDocument/2006/relationships/hyperlink" Target="http://www.neo-geo.com/reviews/neo-reviews/spinmaster/spinmaster1.html" TargetMode="External"/><Relationship Id="rId34" Type="http://schemas.openxmlformats.org/officeDocument/2006/relationships/hyperlink" Target="http://www.neo-geo.com/snk/carts/us/baseballpro.jpg" TargetMode="External"/><Relationship Id="rId76" Type="http://schemas.openxmlformats.org/officeDocument/2006/relationships/hyperlink" Target="http://www.neo-geo.com/snk/carts/mvs/FATALFURY.jpg" TargetMode="External"/><Relationship Id="rId141" Type="http://schemas.openxmlformats.org/officeDocument/2006/relationships/hyperlink" Target="http://www.neo-geo.com/snk/carts/us/kof99.jpg" TargetMode="External"/><Relationship Id="rId379" Type="http://schemas.openxmlformats.org/officeDocument/2006/relationships/hyperlink" Target="http://www.neo-geo.com/snk/carts/us/thrashrally.jpg" TargetMode="External"/><Relationship Id="rId7" Type="http://schemas.openxmlformats.org/officeDocument/2006/relationships/hyperlink" Target="http://www.neo-geo.com/snk/carts/mvs/SONICWINGS3.jpg" TargetMode="External"/><Relationship Id="rId183" Type="http://schemas.openxmlformats.org/officeDocument/2006/relationships/hyperlink" Target="http://www.neo-geo.com/snk/carts/mvs/magical%20drop2.jpg" TargetMode="External"/><Relationship Id="rId239" Type="http://schemas.openxmlformats.org/officeDocument/2006/relationships/hyperlink" Target="http://www.neo-geo.com/reviews/neo-reviews/nitd/nitd.html" TargetMode="External"/><Relationship Id="rId390" Type="http://schemas.openxmlformats.org/officeDocument/2006/relationships/hyperlink" Target="http://www.neo-geo.com/reviews/neo-reviews/viewpoint/viewpoint.html" TargetMode="External"/><Relationship Id="rId404" Type="http://schemas.openxmlformats.org/officeDocument/2006/relationships/hyperlink" Target="http://www.neo-geo.com/snk/carts/mvs/WH.jpg" TargetMode="External"/><Relationship Id="rId250" Type="http://schemas.openxmlformats.org/officeDocument/2006/relationships/hyperlink" Target="http://www.neo-geo.com/snk/carts/mvs/NINJAMASTE.jpg" TargetMode="External"/><Relationship Id="rId292" Type="http://schemas.openxmlformats.org/officeDocument/2006/relationships/hyperlink" Target="http://www.neo-geo.com/snk/carts/us/ridinghero.jpg" TargetMode="External"/><Relationship Id="rId306" Type="http://schemas.openxmlformats.org/officeDocument/2006/relationships/hyperlink" Target="http://www.neo-geo.com/snk/carts/mvs/SAMURAI3.jpg" TargetMode="External"/><Relationship Id="rId45" Type="http://schemas.openxmlformats.org/officeDocument/2006/relationships/hyperlink" Target="http://www.neo-geo.com/snk/carts/us/bluesjourney.jpg" TargetMode="External"/><Relationship Id="rId87" Type="http://schemas.openxmlformats.org/officeDocument/2006/relationships/hyperlink" Target="http://www.neo-geo.com/reviews/neo-reviews/ff3/ff3.htm" TargetMode="External"/><Relationship Id="rId110" Type="http://schemas.openxmlformats.org/officeDocument/2006/relationships/hyperlink" Target="http://www.neo-geo.com/snk/carts/mvs/GOALGOALGOAL.jpg" TargetMode="External"/><Relationship Id="rId348" Type="http://schemas.openxmlformats.org/officeDocument/2006/relationships/hyperlink" Target="http://www.neo-geo.com/snk/carts/mvs/STREETHOOP.jpg" TargetMode="External"/><Relationship Id="rId152" Type="http://schemas.openxmlformats.org/officeDocument/2006/relationships/hyperlink" Target="http://www.neo-geo.com/snk/carts/mvs/KING%20OF%20THE.jpg" TargetMode="External"/><Relationship Id="rId194" Type="http://schemas.openxmlformats.org/officeDocument/2006/relationships/hyperlink" Target="http://www.neo-geo.com/snk/carts/jap/mahjong-minashanno.jpg" TargetMode="External"/><Relationship Id="rId208" Type="http://schemas.openxmlformats.org/officeDocument/2006/relationships/hyperlink" Target="http://www.neo-geo.com/snk/carts/jap/msx.jpg" TargetMode="External"/><Relationship Id="rId415" Type="http://schemas.openxmlformats.org/officeDocument/2006/relationships/hyperlink" Target="http://www.neo-geo.com/reviews/neo-reviews/whp/whp.html" TargetMode="External"/><Relationship Id="rId261" Type="http://schemas.openxmlformats.org/officeDocument/2006/relationships/hyperlink" Target="http://www.neo-geo.com/snk/carts/mvs/PREISTORICA.jpg" TargetMode="External"/><Relationship Id="rId14" Type="http://schemas.openxmlformats.org/officeDocument/2006/relationships/hyperlink" Target="http://www.neo-geo.com/snk/carts/jap/cartons/aso2.jpg" TargetMode="External"/><Relationship Id="rId56" Type="http://schemas.openxmlformats.org/officeDocument/2006/relationships/hyperlink" Target="http://www.neo-geo.com/reviews/neo-reviews/captain_tomaday/captain_tomaday.html" TargetMode="External"/><Relationship Id="rId317" Type="http://schemas.openxmlformats.org/officeDocument/2006/relationships/hyperlink" Target="http://www.neo-geo.com/snk/carts/us/savagereign.jpg" TargetMode="External"/><Relationship Id="rId359" Type="http://schemas.openxmlformats.org/officeDocument/2006/relationships/hyperlink" Target="http://www.neo-geo.com/snk/carts/mvs/supersidekicks.jpg" TargetMode="External"/><Relationship Id="rId98" Type="http://schemas.openxmlformats.org/officeDocument/2006/relationships/hyperlink" Target="http://www.neo-geo.com/snk/carts/jap/galaxyfight.jpg" TargetMode="External"/><Relationship Id="rId121" Type="http://schemas.openxmlformats.org/officeDocument/2006/relationships/hyperlink" Target="http://www.neo-geo.com/snk/inserts/jap/kof94.jpg" TargetMode="External"/><Relationship Id="rId163" Type="http://schemas.openxmlformats.org/officeDocument/2006/relationships/hyperlink" Target="http://www.neo-geo.com/reviews/neo-reviews/lastblade/lastblade.html" TargetMode="External"/><Relationship Id="rId219" Type="http://schemas.openxmlformats.org/officeDocument/2006/relationships/hyperlink" Target="http://www.neo-geo.com/snk/carts/us/ms5.jpg" TargetMode="External"/><Relationship Id="rId370" Type="http://schemas.openxmlformats.org/officeDocument/2006/relationships/hyperlink" Target="http://www.neo-geo.com/snk/carts/us/ultimate11.jpg" TargetMode="External"/><Relationship Id="rId426" Type="http://schemas.openxmlformats.org/officeDocument/2006/relationships/printerSettings" Target="../printerSettings/printerSettings3.bin"/><Relationship Id="rId230" Type="http://schemas.openxmlformats.org/officeDocument/2006/relationships/hyperlink" Target="http://www.neo-geo.com/snk/carts/mvs/NEODRIFTOUT.jpg" TargetMode="External"/><Relationship Id="rId25" Type="http://schemas.openxmlformats.org/officeDocument/2006/relationships/hyperlink" Target="http://www.neo-geo.com/snk/carts/us/aof2.jpg" TargetMode="External"/><Relationship Id="rId67" Type="http://schemas.openxmlformats.org/officeDocument/2006/relationships/hyperlink" Target="http://www.neo-geo.com/reviews/neo-reviews/doubledragon/dd.html" TargetMode="External"/><Relationship Id="rId272" Type="http://schemas.openxmlformats.org/officeDocument/2006/relationships/hyperlink" Target="http://www.neo-geo.com/snk/carts/mvs/QIZKINGOFFIGHTE.jpg" TargetMode="External"/><Relationship Id="rId328" Type="http://schemas.openxmlformats.org/officeDocument/2006/relationships/hyperlink" Target="http://www.neo-geo.com/snk/carts/jap/sengoku3.jpg" TargetMode="External"/><Relationship Id="rId132" Type="http://schemas.openxmlformats.org/officeDocument/2006/relationships/hyperlink" Target="https://www.neo-geo.com/snk/carts/jap/kof97.jpg" TargetMode="External"/><Relationship Id="rId174" Type="http://schemas.openxmlformats.org/officeDocument/2006/relationships/hyperlink" Target="http://www.neo-geo.com/snk/carts/euro/lastresort.jpg" TargetMode="External"/><Relationship Id="rId381" Type="http://schemas.openxmlformats.org/officeDocument/2006/relationships/hyperlink" Target="http://www.neo-geo.com/snk/carts/mvs/TOP%20HUNTER.jpg" TargetMode="External"/><Relationship Id="rId241" Type="http://schemas.openxmlformats.org/officeDocument/2006/relationships/hyperlink" Target="http://www.neo-geo.com/reviews/neo-reviews/ninja_combat/ninja_combat.html" TargetMode="External"/><Relationship Id="rId36" Type="http://schemas.openxmlformats.org/officeDocument/2006/relationships/hyperlink" Target="http://www.neo-geo.com/snk/carts/mvs/BASEBALLS2.jpg" TargetMode="External"/><Relationship Id="rId283" Type="http://schemas.openxmlformats.org/officeDocument/2006/relationships/hyperlink" Target="http://www.neo-geo.com/reviews/neo-reviews/rbspecial/rbspecial.html" TargetMode="External"/><Relationship Id="rId339" Type="http://schemas.openxmlformats.org/officeDocument/2006/relationships/hyperlink" Target="http://www.neo-geo.com/snk/carts/jap/miracleadv.jpg" TargetMode="External"/><Relationship Id="rId78" Type="http://schemas.openxmlformats.org/officeDocument/2006/relationships/hyperlink" Target="http://www.neo-geo.com/snk/carts/us/fatalfury.jpg" TargetMode="External"/><Relationship Id="rId101" Type="http://schemas.openxmlformats.org/officeDocument/2006/relationships/hyperlink" Target="http://www.neo-geo.com/snk/carts/mvs/GANRYU.jpg" TargetMode="External"/><Relationship Id="rId143" Type="http://schemas.openxmlformats.org/officeDocument/2006/relationships/hyperlink" Target="http://www.neo-geo.com/snk/carts/mvs/KOF2000.jpg" TargetMode="External"/><Relationship Id="rId185" Type="http://schemas.openxmlformats.org/officeDocument/2006/relationships/hyperlink" Target="http://www.neo-geo.com/reviews/neo-reviews/md3/md3.html" TargetMode="External"/><Relationship Id="rId350" Type="http://schemas.openxmlformats.org/officeDocument/2006/relationships/hyperlink" Target="http://www.neo-geo.com/snk/carts/us/streethoop.jpg" TargetMode="External"/><Relationship Id="rId406" Type="http://schemas.openxmlformats.org/officeDocument/2006/relationships/hyperlink" Target="http://www.neo-geo.com/snk/inserts/euro/wh.jpg" TargetMode="External"/><Relationship Id="rId9" Type="http://schemas.openxmlformats.org/officeDocument/2006/relationships/hyperlink" Target="http://www.neo-geo.com/reviews/neo-reviews/adk/adk1.html" TargetMode="External"/><Relationship Id="rId210" Type="http://schemas.openxmlformats.org/officeDocument/2006/relationships/hyperlink" Target="http://www.neo-geo.com/reviews/neo-reviews/ms3/metalslug3.html" TargetMode="External"/><Relationship Id="rId392" Type="http://schemas.openxmlformats.org/officeDocument/2006/relationships/hyperlink" Target="http://www.neo-geo.com/snk/carts/jap/viewpoint.jpg" TargetMode="External"/><Relationship Id="rId252" Type="http://schemas.openxmlformats.org/officeDocument/2006/relationships/hyperlink" Target="http://www.neo-geo.com/snk/carts/us/ninjamasters.jpg" TargetMode="External"/><Relationship Id="rId294" Type="http://schemas.openxmlformats.org/officeDocument/2006/relationships/hyperlink" Target="http://www.neo-geo.com/snk/carts/mvs/ROBOARMY.jpg" TargetMode="External"/><Relationship Id="rId308" Type="http://schemas.openxmlformats.org/officeDocument/2006/relationships/hyperlink" Target="http://www.neo-geo.com/snk/carts/us/ss3.jpg" TargetMode="External"/><Relationship Id="rId47" Type="http://schemas.openxmlformats.org/officeDocument/2006/relationships/hyperlink" Target="http://www.neo-geo.com/snk/carts/jap/breakers.jpg" TargetMode="External"/><Relationship Id="rId89" Type="http://schemas.openxmlformats.org/officeDocument/2006/relationships/hyperlink" Target="http://www.neo-geo.com/snk/inserts/jap/fatalfury3.jpg" TargetMode="External"/><Relationship Id="rId112" Type="http://schemas.openxmlformats.org/officeDocument/2006/relationships/hyperlink" Target="http://www.neo-geo.com/snk/carts/mvs/GURURIN.jpg" TargetMode="External"/><Relationship Id="rId154" Type="http://schemas.openxmlformats.org/officeDocument/2006/relationships/hyperlink" Target="http://www.neo-geo.com/snk/carts/us/kom.jpg" TargetMode="External"/><Relationship Id="rId361" Type="http://schemas.openxmlformats.org/officeDocument/2006/relationships/hyperlink" Target="http://www.neo-geo.com/snk/inserts/euro/ssk.jpg" TargetMode="External"/><Relationship Id="rId196" Type="http://schemas.openxmlformats.org/officeDocument/2006/relationships/hyperlink" Target="http://www.neo-geo.com/reviews/neo-reviews/Matrimelee/Matrimelee1.html" TargetMode="External"/><Relationship Id="rId417" Type="http://schemas.openxmlformats.org/officeDocument/2006/relationships/hyperlink" Target="http://www.neo-geo.com/snk/carts/jap/whp.jpg" TargetMode="External"/><Relationship Id="rId16" Type="http://schemas.openxmlformats.org/officeDocument/2006/relationships/hyperlink" Target="http://www.neo-geo.com/snk/carts/mvs/ANDRODUNOS.jpg" TargetMode="External"/><Relationship Id="rId221" Type="http://schemas.openxmlformats.org/officeDocument/2006/relationships/hyperlink" Target="http://www.neo-geo.com/snk/carts/mvs/MONEY%20PUZZ.jpg" TargetMode="External"/><Relationship Id="rId263" Type="http://schemas.openxmlformats.org/officeDocument/2006/relationships/hyperlink" Target="http://www.neo-geo.com/snk/carts/mvs/PULSTAR.jpg" TargetMode="External"/><Relationship Id="rId319" Type="http://schemas.openxmlformats.org/officeDocument/2006/relationships/hyperlink" Target="http://www.neo-geo.com/snk/carts/mvs/SENGOKU.jpg" TargetMode="External"/><Relationship Id="rId58" Type="http://schemas.openxmlformats.org/officeDocument/2006/relationships/hyperlink" Target="http://www.neo-geo.com/snk/carts/jap/chibiquiz.jpg" TargetMode="External"/><Relationship Id="rId123" Type="http://schemas.openxmlformats.org/officeDocument/2006/relationships/hyperlink" Target="http://www.neo-geo.com/snk/carts/mvs/KOF'95.jpg" TargetMode="External"/><Relationship Id="rId330" Type="http://schemas.openxmlformats.org/officeDocument/2006/relationships/hyperlink" Target="http://www.neo-geo.com/reviews/neo-reviews/shocktroop1/shocktroopersa.html" TargetMode="External"/><Relationship Id="rId165" Type="http://schemas.openxmlformats.org/officeDocument/2006/relationships/hyperlink" Target="http://www.neo-geo.com/snk/carts/jap/lastblade.jpg" TargetMode="External"/><Relationship Id="rId372" Type="http://schemas.openxmlformats.org/officeDocument/2006/relationships/hyperlink" Target="http://www.neo-geo.com/snk/carts/mvs/SPR%20SPY.jpg" TargetMode="External"/><Relationship Id="rId232" Type="http://schemas.openxmlformats.org/officeDocument/2006/relationships/hyperlink" Target="http://www.neo-geo.com/snk/carts/jap/neocup98.jpg" TargetMode="External"/><Relationship Id="rId274" Type="http://schemas.openxmlformats.org/officeDocument/2006/relationships/hyperlink" Target="http://www.neo-geo.com/snk/carts/jap/quiz-detective2.jpg" TargetMode="External"/><Relationship Id="rId27" Type="http://schemas.openxmlformats.org/officeDocument/2006/relationships/hyperlink" Target="http://www.neo-geo.com/snk/carts/mvs/ART%20OF%20FIGH%203.jpg" TargetMode="External"/><Relationship Id="rId69" Type="http://schemas.openxmlformats.org/officeDocument/2006/relationships/hyperlink" Target="http://www.neo-geo.com/snk/carts/jap/doubledragon.jpg" TargetMode="External"/><Relationship Id="rId134" Type="http://schemas.openxmlformats.org/officeDocument/2006/relationships/hyperlink" Target="http://www.neo-geo.com/reviews/neo-reviews/kof98/kof98.html" TargetMode="External"/><Relationship Id="rId80" Type="http://schemas.openxmlformats.org/officeDocument/2006/relationships/hyperlink" Target="http://www.neo-geo.com/snk/carts/mvs/FATALFURY2.jpg" TargetMode="External"/><Relationship Id="rId176" Type="http://schemas.openxmlformats.org/officeDocument/2006/relationships/hyperlink" Target="http://www.neo-geo.com/snk/carts/mvs/LEAGUE%20BOW.jpg" TargetMode="External"/><Relationship Id="rId341" Type="http://schemas.openxmlformats.org/officeDocument/2006/relationships/hyperlink" Target="http://www.neo-geo.com/snk/carts/mvs/STAKESWINNER.jpg" TargetMode="External"/><Relationship Id="rId383" Type="http://schemas.openxmlformats.org/officeDocument/2006/relationships/hyperlink" Target="http://www.neo-geo.com/snk/carts/us/tophunter.jpg" TargetMode="External"/><Relationship Id="rId201" Type="http://schemas.openxmlformats.org/officeDocument/2006/relationships/hyperlink" Target="http://www.neo-geo.com/snk/carts/us/metalslug.jpg" TargetMode="External"/><Relationship Id="rId243" Type="http://schemas.openxmlformats.org/officeDocument/2006/relationships/hyperlink" Target="http://www.neo-geo.com/snk/carts/jap/cartons/ninjacombat.jpg" TargetMode="External"/><Relationship Id="rId285" Type="http://schemas.openxmlformats.org/officeDocument/2006/relationships/hyperlink" Target="http://www.neo-geo.com/snk/carts/jap/realboutspecial.jpg" TargetMode="External"/><Relationship Id="rId38" Type="http://schemas.openxmlformats.org/officeDocument/2006/relationships/hyperlink" Target="http://www.neo-geo.com/snk/carts/us/baseballstars2.jpg" TargetMode="External"/><Relationship Id="rId103" Type="http://schemas.openxmlformats.org/officeDocument/2006/relationships/hyperlink" Target="http://www.neo-geo.com/snk/carts/mvs/motw.jpg" TargetMode="External"/><Relationship Id="rId310" Type="http://schemas.openxmlformats.org/officeDocument/2006/relationships/hyperlink" Target="http://www.neo-geo.com/snk/carts/mvs/SAMURAI4.jpg" TargetMode="External"/><Relationship Id="rId70" Type="http://schemas.openxmlformats.org/officeDocument/2006/relationships/hyperlink" Target="http://www.neo-geo.com/snk/carts/us/doubledragon.jpg" TargetMode="External"/><Relationship Id="rId91" Type="http://schemas.openxmlformats.org/officeDocument/2006/relationships/hyperlink" Target="http://www.neo-geo.com/snk/carts/mvs/FIGHTFEVER.jpg" TargetMode="External"/><Relationship Id="rId145" Type="http://schemas.openxmlformats.org/officeDocument/2006/relationships/hyperlink" Target="http://www.neo-geo.com/reviews/neo-reviews/kof2k1/kof2k1.htm" TargetMode="External"/><Relationship Id="rId166" Type="http://schemas.openxmlformats.org/officeDocument/2006/relationships/hyperlink" Target="http://www.neo-geo.com/snk/carts/us/lastblade.jpg" TargetMode="External"/><Relationship Id="rId187" Type="http://schemas.openxmlformats.org/officeDocument/2006/relationships/hyperlink" Target="http://www.neo-geo.com/snk/carts/jap/magicaldrop3.jpg" TargetMode="External"/><Relationship Id="rId331" Type="http://schemas.openxmlformats.org/officeDocument/2006/relationships/hyperlink" Target="http://www.neo-geo.com/snk/carts/mvs/SHOCKTROOP1.jpg" TargetMode="External"/><Relationship Id="rId352" Type="http://schemas.openxmlformats.org/officeDocument/2006/relationships/hyperlink" Target="http://www.neo-geo.com/snk/carts/mvs/STRIKER1945.jpg" TargetMode="External"/><Relationship Id="rId373" Type="http://schemas.openxmlformats.org/officeDocument/2006/relationships/hyperlink" Target="http://www.neo-geo.com/snk/carts/jap/cartons/superspy.jpg" TargetMode="External"/><Relationship Id="rId394" Type="http://schemas.openxmlformats.org/officeDocument/2006/relationships/hyperlink" Target="http://www.neo-geo.com/snk/carts/jap/gowcaizer.jpg" TargetMode="External"/><Relationship Id="rId408" Type="http://schemas.openxmlformats.org/officeDocument/2006/relationships/hyperlink" Target="http://www.neo-geo.com/snk/carts/mvs/WH2.jpg" TargetMode="External"/><Relationship Id="rId1" Type="http://schemas.openxmlformats.org/officeDocument/2006/relationships/hyperlink" Target="http://www.neo-geo.com/snk/carts/mvs/3countbout.jpg" TargetMode="External"/><Relationship Id="rId212" Type="http://schemas.openxmlformats.org/officeDocument/2006/relationships/hyperlink" Target="http://www.neo-geo.com/snk/carts/jap/metalslug3.jpg" TargetMode="External"/><Relationship Id="rId233" Type="http://schemas.openxmlformats.org/officeDocument/2006/relationships/hyperlink" Target="http://www.neo-geo.com/reviews/neo-reviews/neomrdo/neomrdo.html" TargetMode="External"/><Relationship Id="rId254" Type="http://schemas.openxmlformats.org/officeDocument/2006/relationships/hyperlink" Target="http://www.neo-geo.com/snk/carts/mvs/OVERTOP.jpg" TargetMode="External"/><Relationship Id="rId28" Type="http://schemas.openxmlformats.org/officeDocument/2006/relationships/hyperlink" Target="http://www.neo-geo.com/snk/carts/jap/aof3.jpg" TargetMode="External"/><Relationship Id="rId49" Type="http://schemas.openxmlformats.org/officeDocument/2006/relationships/hyperlink" Target="http://www.neo-geo.com/reviews/neo-reviews/BurningFigt/burnfight.htm" TargetMode="External"/><Relationship Id="rId114" Type="http://schemas.openxmlformats.org/officeDocument/2006/relationships/hyperlink" Target="http://www.neo-geo.com/snk/carts/mvs/KABUKIKLASH.jpg" TargetMode="External"/><Relationship Id="rId275" Type="http://schemas.openxmlformats.org/officeDocument/2006/relationships/hyperlink" Target="http://www.neo-geo.com/snk/carts/mvs/rotd.jpg" TargetMode="External"/><Relationship Id="rId296" Type="http://schemas.openxmlformats.org/officeDocument/2006/relationships/hyperlink" Target="http://www.neo-geo.com/snk/inserts/euro/roboarmy.jpg" TargetMode="External"/><Relationship Id="rId300" Type="http://schemas.openxmlformats.org/officeDocument/2006/relationships/hyperlink" Target="http://www.neo-geo.com/snk/carts/us/ss1.jpg" TargetMode="External"/><Relationship Id="rId60" Type="http://schemas.openxmlformats.org/officeDocument/2006/relationships/hyperlink" Target="http://www.neo-geo.com/snk/carts/mvs/CROSSED.jpg" TargetMode="External"/><Relationship Id="rId81" Type="http://schemas.openxmlformats.org/officeDocument/2006/relationships/hyperlink" Target="http://www.neo-geo.com/snk/inserts/jap/fatalfury2.jpg" TargetMode="External"/><Relationship Id="rId135" Type="http://schemas.openxmlformats.org/officeDocument/2006/relationships/hyperlink" Target="http://www.neo-geo.com/snk/carts/mvs/KOF98.jpg" TargetMode="External"/><Relationship Id="rId156" Type="http://schemas.openxmlformats.org/officeDocument/2006/relationships/hyperlink" Target="http://www.neo-geo.com/snk/carts/mvs/kom2.jpg" TargetMode="External"/><Relationship Id="rId177" Type="http://schemas.openxmlformats.org/officeDocument/2006/relationships/hyperlink" Target="http://www.neo-geo.com/snk/carts/jap/cartons/leaguebowling.jpg" TargetMode="External"/><Relationship Id="rId198" Type="http://schemas.openxmlformats.org/officeDocument/2006/relationships/hyperlink" Target="http://www.neo-geo.com/reviews/neo-reviews/metalslug/metalslug1.html" TargetMode="External"/><Relationship Id="rId321" Type="http://schemas.openxmlformats.org/officeDocument/2006/relationships/hyperlink" Target="http://www.neo-geo.com/snk/carts/us/sengoku.jpg" TargetMode="External"/><Relationship Id="rId342" Type="http://schemas.openxmlformats.org/officeDocument/2006/relationships/hyperlink" Target="http://www.neo-geo.com/snk/inserts/jap/stakeswinner.jpg" TargetMode="External"/><Relationship Id="rId363" Type="http://schemas.openxmlformats.org/officeDocument/2006/relationships/hyperlink" Target="http://www.neo-geo.com/snk/inserts/jap/ssk2.jpg" TargetMode="External"/><Relationship Id="rId384" Type="http://schemas.openxmlformats.org/officeDocument/2006/relationships/hyperlink" Target="http://www.neo-geo.com/snk/carts/mvs/topplayergolf.jpg" TargetMode="External"/><Relationship Id="rId419" Type="http://schemas.openxmlformats.org/officeDocument/2006/relationships/hyperlink" Target="http://www.neo-geo.com/snk/carts/mvs/ZEDBLADE.jpg" TargetMode="External"/><Relationship Id="rId202" Type="http://schemas.openxmlformats.org/officeDocument/2006/relationships/hyperlink" Target="http://www.neo-geo.com/reviews/neo-reviews/ms2/ms2.html" TargetMode="External"/><Relationship Id="rId223" Type="http://schemas.openxmlformats.org/officeDocument/2006/relationships/hyperlink" Target="http://www.neo-geo.com/snk/inserts/jap/mutationnation.jpg" TargetMode="External"/><Relationship Id="rId244" Type="http://schemas.openxmlformats.org/officeDocument/2006/relationships/hyperlink" Target="http://www.neo-geo.com/snk/carts/us/ninjacombat.jpg" TargetMode="External"/><Relationship Id="rId18" Type="http://schemas.openxmlformats.org/officeDocument/2006/relationships/hyperlink" Target="http://www.neo-geo.com/snk/carts/us/androdunos.jpg" TargetMode="External"/><Relationship Id="rId39" Type="http://schemas.openxmlformats.org/officeDocument/2006/relationships/hyperlink" Target="http://www.neo-geo.com/reviews/neo-reviews/blazingstar/bs.htm" TargetMode="External"/><Relationship Id="rId265" Type="http://schemas.openxmlformats.org/officeDocument/2006/relationships/hyperlink" Target="http://www.neo-geo.com/reviews/neo-reviews/puzzled/puzzled.html" TargetMode="External"/><Relationship Id="rId286" Type="http://schemas.openxmlformats.org/officeDocument/2006/relationships/hyperlink" Target="http://www.neo-geo.com/snk/inserts/euro/realboutspecial.jpg" TargetMode="External"/><Relationship Id="rId50" Type="http://schemas.openxmlformats.org/officeDocument/2006/relationships/hyperlink" Target="http://www.neo-geo.com/snk/carts/mvs/BURNING%20FIGHT.jpg" TargetMode="External"/><Relationship Id="rId104" Type="http://schemas.openxmlformats.org/officeDocument/2006/relationships/hyperlink" Target="http://www.neo-geo.com/snk/carts/jap/motw.jpg" TargetMode="External"/><Relationship Id="rId125" Type="http://schemas.openxmlformats.org/officeDocument/2006/relationships/hyperlink" Target="http://www.neo-geo.com/snk/carts/us/kof95.jpg" TargetMode="External"/><Relationship Id="rId146" Type="http://schemas.openxmlformats.org/officeDocument/2006/relationships/hyperlink" Target="http://www.neo-geo.com/snk/carts/mvs/kof2001.jpg" TargetMode="External"/><Relationship Id="rId167" Type="http://schemas.openxmlformats.org/officeDocument/2006/relationships/hyperlink" Target="http://www.neo-geo.com/reviews/neo-reviews/lastblade2/lastblade2b.html" TargetMode="External"/><Relationship Id="rId188" Type="http://schemas.openxmlformats.org/officeDocument/2006/relationships/hyperlink" Target="http://www.neo-geo.com/snk/inserts/jap/magicianlord.jpg" TargetMode="External"/><Relationship Id="rId311" Type="http://schemas.openxmlformats.org/officeDocument/2006/relationships/hyperlink" Target="http://www.neo-geo.com/snk/carts/jap/ss4.jpg" TargetMode="External"/><Relationship Id="rId332" Type="http://schemas.openxmlformats.org/officeDocument/2006/relationships/hyperlink" Target="http://www.neo-geo.com/reviews/neo-reviews/shocktroop2/st2a.html" TargetMode="External"/><Relationship Id="rId353" Type="http://schemas.openxmlformats.org/officeDocument/2006/relationships/hyperlink" Target="http://www.neo-geo.com/reviews/neo-reviews/superbb2020/sbb2020.html" TargetMode="External"/><Relationship Id="rId374" Type="http://schemas.openxmlformats.org/officeDocument/2006/relationships/hyperlink" Target="http://www.neo-geo.com/snk/carts/us/superspy.jpg" TargetMode="External"/><Relationship Id="rId395" Type="http://schemas.openxmlformats.org/officeDocument/2006/relationships/hyperlink" Target="http://www.neo-geo.com/snk/carts/us/vfg.jpg" TargetMode="External"/><Relationship Id="rId409" Type="http://schemas.openxmlformats.org/officeDocument/2006/relationships/hyperlink" Target="http://www.neo-geo.com/snk/inserts/jap/worldheroes2.jpg" TargetMode="External"/><Relationship Id="rId71" Type="http://schemas.openxmlformats.org/officeDocument/2006/relationships/hyperlink" Target="http://www.neo-geo.com/reviews/neo-reviews/eight-man/eightman.htm" TargetMode="External"/><Relationship Id="rId92" Type="http://schemas.openxmlformats.org/officeDocument/2006/relationships/hyperlink" Target="http://www.neo-geo.com/snk/carts/mvs/FLIPSHOT.jpg" TargetMode="External"/><Relationship Id="rId213" Type="http://schemas.openxmlformats.org/officeDocument/2006/relationships/hyperlink" Target="http://www.neostore.com/store/ms3/ms3-cart.jpg" TargetMode="External"/><Relationship Id="rId234" Type="http://schemas.openxmlformats.org/officeDocument/2006/relationships/hyperlink" Target="http://www.neo-geo.com/snk/carts/mvs/NEOMRDO.jpg" TargetMode="External"/><Relationship Id="rId420" Type="http://schemas.openxmlformats.org/officeDocument/2006/relationships/hyperlink" Target="http://www.neo-geo.com/reviews/neo-reviews/zupapa/zupapa1.html" TargetMode="External"/><Relationship Id="rId2" Type="http://schemas.openxmlformats.org/officeDocument/2006/relationships/hyperlink" Target="http://www.neo-geo.com/snk/carts/jap/firesuplex.jpg" TargetMode="External"/><Relationship Id="rId29" Type="http://schemas.openxmlformats.org/officeDocument/2006/relationships/hyperlink" Target="http://www.neo-geo.com/snk/carts/us/aof3.jpg" TargetMode="External"/><Relationship Id="rId255" Type="http://schemas.openxmlformats.org/officeDocument/2006/relationships/hyperlink" Target="http://www.neo-geo.com/snk/carts/jap/overtop.jpg" TargetMode="External"/><Relationship Id="rId276" Type="http://schemas.openxmlformats.org/officeDocument/2006/relationships/hyperlink" Target="http://www.neo-geo.com/snk/carts/jap/rotd.jpg" TargetMode="External"/><Relationship Id="rId297" Type="http://schemas.openxmlformats.org/officeDocument/2006/relationships/hyperlink" Target="http://www.neo-geo.com/reviews/neo-reviews/samurai_shodown/samurai_shodown.html" TargetMode="External"/><Relationship Id="rId40" Type="http://schemas.openxmlformats.org/officeDocument/2006/relationships/hyperlink" Target="http://www.neo-geo.com/snk/carts/mvs/BLAZINGSTAR.jpg" TargetMode="External"/><Relationship Id="rId115" Type="http://schemas.openxmlformats.org/officeDocument/2006/relationships/hyperlink" Target="http://www.neo-geo.com/snk/carts/jap/kabuki.jpg" TargetMode="External"/><Relationship Id="rId136" Type="http://schemas.openxmlformats.org/officeDocument/2006/relationships/hyperlink" Target="http://www.neo-geo.com/snk/carts/jap/kof98.jpg" TargetMode="External"/><Relationship Id="rId157" Type="http://schemas.openxmlformats.org/officeDocument/2006/relationships/hyperlink" Target="http://www.neo-geo.com/snk/inserts/jap/kom2.jpg" TargetMode="External"/><Relationship Id="rId178" Type="http://schemas.openxmlformats.org/officeDocument/2006/relationships/hyperlink" Target="http://www.neo-geo.com/snk/carts/us/leaguebowling.jpg" TargetMode="External"/><Relationship Id="rId301" Type="http://schemas.openxmlformats.org/officeDocument/2006/relationships/hyperlink" Target="http://www.neo-geo.com/reviews/neo-reviews/samurai2/samurai2.html" TargetMode="External"/><Relationship Id="rId322" Type="http://schemas.openxmlformats.org/officeDocument/2006/relationships/hyperlink" Target="http://www.neo-geo.com/reviews/neo-reviews/sengoku2/sengoku2.html" TargetMode="External"/><Relationship Id="rId343" Type="http://schemas.openxmlformats.org/officeDocument/2006/relationships/hyperlink" Target="http://www.neo-geo.com/snk/carts/us/stakeswinner.jpg" TargetMode="External"/><Relationship Id="rId364" Type="http://schemas.openxmlformats.org/officeDocument/2006/relationships/hyperlink" Target="http://www.neo-geo.com/snk/carts/us/supersidekicks2.jpg" TargetMode="External"/><Relationship Id="rId61" Type="http://schemas.openxmlformats.org/officeDocument/2006/relationships/hyperlink" Target="http://www.neo-geo.com/snk/inserts/jap/crossedswords.jpg" TargetMode="External"/><Relationship Id="rId82" Type="http://schemas.openxmlformats.org/officeDocument/2006/relationships/hyperlink" Target="http://www.neo-geo.com/snk/carts/us/fatalfury2.jpg" TargetMode="External"/><Relationship Id="rId199" Type="http://schemas.openxmlformats.org/officeDocument/2006/relationships/hyperlink" Target="http://www.neo-geo.com/snk/carts/mvs/metal%20slug.jpg" TargetMode="External"/><Relationship Id="rId203" Type="http://schemas.openxmlformats.org/officeDocument/2006/relationships/hyperlink" Target="http://www.neo-geo.com/snk/carts/mvs/metal%20slug2.jpg" TargetMode="External"/><Relationship Id="rId385" Type="http://schemas.openxmlformats.org/officeDocument/2006/relationships/hyperlink" Target="http://www.neo-geo.com/snk/carts/jap/cartons/top-players-golf.jpg" TargetMode="External"/><Relationship Id="rId19" Type="http://schemas.openxmlformats.org/officeDocument/2006/relationships/hyperlink" Target="http://www.neo-geo.com/snk/carts/mvs/ART%20OF%20FIGHTING.jpg" TargetMode="External"/><Relationship Id="rId224" Type="http://schemas.openxmlformats.org/officeDocument/2006/relationships/hyperlink" Target="http://www.neo-geo.com/snk/carts/us/mutationnation.jpg" TargetMode="External"/><Relationship Id="rId245" Type="http://schemas.openxmlformats.org/officeDocument/2006/relationships/hyperlink" Target="http://www.neo-geo.com/reviews/neo-reviews/ninjacom/ninjacomm.html" TargetMode="External"/><Relationship Id="rId266" Type="http://schemas.openxmlformats.org/officeDocument/2006/relationships/hyperlink" Target="http://www.neo-geo.com/snk/carts/jap/cartons/joyjoykid.jpg" TargetMode="External"/><Relationship Id="rId287" Type="http://schemas.openxmlformats.org/officeDocument/2006/relationships/hyperlink" Target="http://www.neo-geo.com/reviews/neo-reviews/rbff2/rbff2a.html" TargetMode="External"/><Relationship Id="rId410" Type="http://schemas.openxmlformats.org/officeDocument/2006/relationships/hyperlink" Target="http://www.neo-geo.com/snk/carts/us/wh2.jpg" TargetMode="External"/><Relationship Id="rId30" Type="http://schemas.openxmlformats.org/officeDocument/2006/relationships/hyperlink" Target="http://www.neo-geo.com/reviews/neo-reviews/bangbead/bangbead.html" TargetMode="External"/><Relationship Id="rId105" Type="http://schemas.openxmlformats.org/officeDocument/2006/relationships/hyperlink" Target="http://www.neo-geo.com/snk/carts/us/motw.jpg" TargetMode="External"/><Relationship Id="rId126" Type="http://schemas.openxmlformats.org/officeDocument/2006/relationships/hyperlink" Target="http://www.neo-geo.com/reviews/neo-reviews/kof96/kof96.html" TargetMode="External"/><Relationship Id="rId147" Type="http://schemas.openxmlformats.org/officeDocument/2006/relationships/hyperlink" Target="http://www.neo-geo.com/snk/carts/jap/kof2001.jpg" TargetMode="External"/><Relationship Id="rId168" Type="http://schemas.openxmlformats.org/officeDocument/2006/relationships/hyperlink" Target="http://www.neo-geo.com/snk/carts/mvs/lastblade2.jpg" TargetMode="External"/><Relationship Id="rId312" Type="http://schemas.openxmlformats.org/officeDocument/2006/relationships/hyperlink" Target="http://www.neo-geo.com/snk/carts/us/ss4.jpg" TargetMode="External"/><Relationship Id="rId333" Type="http://schemas.openxmlformats.org/officeDocument/2006/relationships/hyperlink" Target="http://www.neo-geo.com/snk/carts/mvs/SHOCKTROOP2.jpg" TargetMode="External"/><Relationship Id="rId354" Type="http://schemas.openxmlformats.org/officeDocument/2006/relationships/hyperlink" Target="http://www.neo-geo.com/snk/carts/mvs/2020SUPERBAS.jpg" TargetMode="External"/><Relationship Id="rId51" Type="http://schemas.openxmlformats.org/officeDocument/2006/relationships/hyperlink" Target="http://www.neo-geo.com/snk/inserts/jap/burningfight.jpg" TargetMode="External"/><Relationship Id="rId72" Type="http://schemas.openxmlformats.org/officeDocument/2006/relationships/hyperlink" Target="http://www.neo-geo.com/snk/carts/mvs/8%20MAN.jpg" TargetMode="External"/><Relationship Id="rId93" Type="http://schemas.openxmlformats.org/officeDocument/2006/relationships/hyperlink" Target="http://www.neo-geo.com/reviews/neo-reviews/fb-frenzy/footballfrenzy.html" TargetMode="External"/><Relationship Id="rId189" Type="http://schemas.openxmlformats.org/officeDocument/2006/relationships/hyperlink" Target="http://www.neo-geo.com/snk/carts/us/magicianlord.jpg" TargetMode="External"/><Relationship Id="rId375" Type="http://schemas.openxmlformats.org/officeDocument/2006/relationships/hyperlink" Target="http://www.neo-geo.com/snk/carts/mvs/TECMO96.jpg" TargetMode="External"/><Relationship Id="rId396" Type="http://schemas.openxmlformats.org/officeDocument/2006/relationships/hyperlink" Target="http://www.neo-geo.com/reviews/neo-reviews/ww7/ww7-2.html" TargetMode="External"/><Relationship Id="rId3" Type="http://schemas.openxmlformats.org/officeDocument/2006/relationships/hyperlink" Target="http://www.neo-geo.com/snk/carts/us/3countbout.jpg" TargetMode="External"/><Relationship Id="rId214" Type="http://schemas.openxmlformats.org/officeDocument/2006/relationships/hyperlink" Target="http://www.neo-geo.com/reviews/neo-reviews/ms4/metalslug4-1.html" TargetMode="External"/><Relationship Id="rId235" Type="http://schemas.openxmlformats.org/officeDocument/2006/relationships/hyperlink" Target="http://www.neo-geo.com/reviews/neo-reviews/ntm/ntm.html" TargetMode="External"/><Relationship Id="rId256" Type="http://schemas.openxmlformats.org/officeDocument/2006/relationships/hyperlink" Target="http://www.neo-geo.com/snk/carts/mvs/PANICBOMBER.jpg" TargetMode="External"/><Relationship Id="rId277" Type="http://schemas.openxmlformats.org/officeDocument/2006/relationships/hyperlink" Target="http://www.neo-geo.com/snk/carts/us/rotd.jpg" TargetMode="External"/><Relationship Id="rId298" Type="http://schemas.openxmlformats.org/officeDocument/2006/relationships/hyperlink" Target="http://www.neo-geo.com/snk/carts/mvs/SAMURAI1.jpg" TargetMode="External"/><Relationship Id="rId400" Type="http://schemas.openxmlformats.org/officeDocument/2006/relationships/hyperlink" Target="http://www.neo-geo.com/snk/carts/mvs/WINJAMMERS.jpg" TargetMode="External"/><Relationship Id="rId421" Type="http://schemas.openxmlformats.org/officeDocument/2006/relationships/hyperlink" Target="http://www.neo-geo.com/snk/carts/mvs/zupapa.jpg" TargetMode="External"/><Relationship Id="rId116" Type="http://schemas.openxmlformats.org/officeDocument/2006/relationships/hyperlink" Target="http://www.neo-geo.com/reviews/neo-reviews/karnovsr/KR.html" TargetMode="External"/><Relationship Id="rId137" Type="http://schemas.openxmlformats.org/officeDocument/2006/relationships/hyperlink" Target="http://www.neo-geo.com/snk/carts/us/kof98.jpg" TargetMode="External"/><Relationship Id="rId158" Type="http://schemas.openxmlformats.org/officeDocument/2006/relationships/hyperlink" Target="http://www.neo-geo.com/snk/carts/us/kom2.jpg" TargetMode="External"/><Relationship Id="rId302" Type="http://schemas.openxmlformats.org/officeDocument/2006/relationships/hyperlink" Target="http://www.neo-geo.com/snk/carts/mvs/SAMURAI2.jpg" TargetMode="External"/><Relationship Id="rId323" Type="http://schemas.openxmlformats.org/officeDocument/2006/relationships/hyperlink" Target="http://www.neo-geo.com/snk/carts/mvs/SENGOKU2.jpg" TargetMode="External"/><Relationship Id="rId344" Type="http://schemas.openxmlformats.org/officeDocument/2006/relationships/hyperlink" Target="http://www.neo-geo.com/reviews/neo-reviews/sw2/sw2.html" TargetMode="External"/><Relationship Id="rId20" Type="http://schemas.openxmlformats.org/officeDocument/2006/relationships/hyperlink" Target="http://www.neo-geo.com/snk/inserts/jap/aof.jpg" TargetMode="External"/><Relationship Id="rId41" Type="http://schemas.openxmlformats.org/officeDocument/2006/relationships/hyperlink" Target="http://www.neo-geo.com/snk/carts/jap/blazingstar.jpg" TargetMode="External"/><Relationship Id="rId62" Type="http://schemas.openxmlformats.org/officeDocument/2006/relationships/hyperlink" Target="http://www.neo-geo.com/snk/carts/us/crossedswords.jpg" TargetMode="External"/><Relationship Id="rId83" Type="http://schemas.openxmlformats.org/officeDocument/2006/relationships/hyperlink" Target="http://www.neo-geo.com/reviews/neo-reviews/ffspecial/ffspecial.html" TargetMode="External"/><Relationship Id="rId179" Type="http://schemas.openxmlformats.org/officeDocument/2006/relationships/hyperlink" Target="http://www.neo-geo.com/reviews/neo-reviews/legendjoe/legend.htm" TargetMode="External"/><Relationship Id="rId365" Type="http://schemas.openxmlformats.org/officeDocument/2006/relationships/hyperlink" Target="http://www.neo-geo.com/snk/carts/mvs/SIDEKICKS3.jpg" TargetMode="External"/><Relationship Id="rId386" Type="http://schemas.openxmlformats.org/officeDocument/2006/relationships/hyperlink" Target="http://www.neo-geo.com/snk/carts/us/topgolf.jpg" TargetMode="External"/><Relationship Id="rId190" Type="http://schemas.openxmlformats.org/officeDocument/2006/relationships/hyperlink" Target="http://www.neo-geo.com/snk/carts/mvs/majong%20baka.jpg" TargetMode="External"/><Relationship Id="rId204" Type="http://schemas.openxmlformats.org/officeDocument/2006/relationships/hyperlink" Target="http://www.neo-geo.com/snk/carts/jap/metalslug2.jpg" TargetMode="External"/><Relationship Id="rId225" Type="http://schemas.openxmlformats.org/officeDocument/2006/relationships/hyperlink" Target="http://www.neo-geo.com/reviews/neo-reviews/nam75/nam-1975a.htm" TargetMode="External"/><Relationship Id="rId246" Type="http://schemas.openxmlformats.org/officeDocument/2006/relationships/hyperlink" Target="http://www.neo-geo.com/snk/carts/mvs/NINJACOMMAND.jpg" TargetMode="External"/><Relationship Id="rId267" Type="http://schemas.openxmlformats.org/officeDocument/2006/relationships/hyperlink" Target="http://www.neo-geo.com/snk/carts/us/puzzled.jpg" TargetMode="External"/><Relationship Id="rId288" Type="http://schemas.openxmlformats.org/officeDocument/2006/relationships/hyperlink" Target="http://www.neo-geo.com/snk/carts/mvs/REALBOUT2.jpg" TargetMode="External"/><Relationship Id="rId411" Type="http://schemas.openxmlformats.org/officeDocument/2006/relationships/hyperlink" Target="http://www.neo-geo.com/reviews/neo-reviews/wh2j/wh2j.html" TargetMode="External"/><Relationship Id="rId106" Type="http://schemas.openxmlformats.org/officeDocument/2006/relationships/hyperlink" Target="http://www.neo-geo.com/reviews/neo-reviews/ghostpilots/ghost.html" TargetMode="External"/><Relationship Id="rId127" Type="http://schemas.openxmlformats.org/officeDocument/2006/relationships/hyperlink" Target="http://www.neo-geo.com/snk/carts/mvs/KOF'96.jpg" TargetMode="External"/><Relationship Id="rId313" Type="http://schemas.openxmlformats.org/officeDocument/2006/relationships/hyperlink" Target="http://www.neo-geo.com/snk/carts/mvs/samurai5.jpg" TargetMode="External"/><Relationship Id="rId10" Type="http://schemas.openxmlformats.org/officeDocument/2006/relationships/hyperlink" Target="http://www.neo-geo.com/snk/carts/mvs/ADK.jpg" TargetMode="External"/><Relationship Id="rId31" Type="http://schemas.openxmlformats.org/officeDocument/2006/relationships/hyperlink" Target="http://www.neo-geo.com/snk/carts/mvs/BANGBEAD.jpg" TargetMode="External"/><Relationship Id="rId52" Type="http://schemas.openxmlformats.org/officeDocument/2006/relationships/hyperlink" Target="http://www.neo-geo.com/snk/carts/us/burningfight.jpg" TargetMode="External"/><Relationship Id="rId73" Type="http://schemas.openxmlformats.org/officeDocument/2006/relationships/hyperlink" Target="http://www.neo-geo.com/snk/carts/jap/8man.jpg" TargetMode="External"/><Relationship Id="rId94" Type="http://schemas.openxmlformats.org/officeDocument/2006/relationships/hyperlink" Target="http://www.neo-geo.com/snk/carts/mvs/FOOTBALFRENZY.jpg" TargetMode="External"/><Relationship Id="rId148" Type="http://schemas.openxmlformats.org/officeDocument/2006/relationships/hyperlink" Target="http://www.neo-geo.com/reviews/neo-reviews/kof2k2/kof2k2.htm" TargetMode="External"/><Relationship Id="rId169" Type="http://schemas.openxmlformats.org/officeDocument/2006/relationships/hyperlink" Target="http://www.neo-geo.com/snk/carts/jap/lastblade2.jpg" TargetMode="External"/><Relationship Id="rId334" Type="http://schemas.openxmlformats.org/officeDocument/2006/relationships/hyperlink" Target="http://www.neo-geo.com/snk/carts/mvs/SOCCERBRAWL.jpg" TargetMode="External"/><Relationship Id="rId355" Type="http://schemas.openxmlformats.org/officeDocument/2006/relationships/hyperlink" Target="http://www.neo-geo.com/snk/carts/jap/2020bb.jpg" TargetMode="External"/><Relationship Id="rId376" Type="http://schemas.openxmlformats.org/officeDocument/2006/relationships/hyperlink" Target="http://www.neo-geo.com/reviews/neo-reviews/thrash_rally/thrashrally.html" TargetMode="External"/><Relationship Id="rId397" Type="http://schemas.openxmlformats.org/officeDocument/2006/relationships/hyperlink" Target="http://www.neo-geo.com/snk/carts/mvs/wakuwaku7.jpg" TargetMode="External"/><Relationship Id="rId4" Type="http://schemas.openxmlformats.org/officeDocument/2006/relationships/hyperlink" Target="http://www.neo-geo.com/snk/carts/mvs/AEROF2.jpg" TargetMode="External"/><Relationship Id="rId180" Type="http://schemas.openxmlformats.org/officeDocument/2006/relationships/hyperlink" Target="http://www.neo-geo.com/snk/carts/mvs/legend.jpg" TargetMode="External"/><Relationship Id="rId215" Type="http://schemas.openxmlformats.org/officeDocument/2006/relationships/hyperlink" Target="http://www.neo-geo.com/snk/carts/mvs/ms4kit.jpg" TargetMode="External"/><Relationship Id="rId236" Type="http://schemas.openxmlformats.org/officeDocument/2006/relationships/hyperlink" Target="http://www.neo-geo.com/snk/carts/mvs/NEO%20TURF%20MASTER.jpg" TargetMode="External"/><Relationship Id="rId257" Type="http://schemas.openxmlformats.org/officeDocument/2006/relationships/hyperlink" Target="http://www.neo-geo.com/snk/carts/mvs/PLEASUREGOAL.jpg" TargetMode="External"/><Relationship Id="rId278" Type="http://schemas.openxmlformats.org/officeDocument/2006/relationships/hyperlink" Target="http://www.neo-geo.com/snk/carts/mvs/RAGNAGARD.jpg" TargetMode="External"/><Relationship Id="rId401" Type="http://schemas.openxmlformats.org/officeDocument/2006/relationships/hyperlink" Target="http://www.neo-geo.com/snk/carts/jap/flyingpowerdisk.jpg" TargetMode="External"/><Relationship Id="rId422" Type="http://schemas.openxmlformats.org/officeDocument/2006/relationships/hyperlink" Target="http://www.neo-geo.com/reviews/neo-reviews/Ironclad/ironclad.html" TargetMode="External"/><Relationship Id="rId303" Type="http://schemas.openxmlformats.org/officeDocument/2006/relationships/hyperlink" Target="http://www.neo-geo.com/snk/carts/jap/ss2.jpg" TargetMode="External"/><Relationship Id="rId42" Type="http://schemas.openxmlformats.org/officeDocument/2006/relationships/hyperlink" Target="http://www.neo-geo.com/reviews/neo-reviews/bluesJ/bluesjour.htm" TargetMode="External"/><Relationship Id="rId84" Type="http://schemas.openxmlformats.org/officeDocument/2006/relationships/hyperlink" Target="http://www.neo-geo.com/snk/carts/mvs/FATALFURYSPEC.jpg" TargetMode="External"/><Relationship Id="rId138" Type="http://schemas.openxmlformats.org/officeDocument/2006/relationships/hyperlink" Target="http://www.neo-geo.com/reviews/neo-reviews/kof99/kof99.htm" TargetMode="External"/><Relationship Id="rId345" Type="http://schemas.openxmlformats.org/officeDocument/2006/relationships/hyperlink" Target="http://www.neo-geo.com/snk/carts/mvs/STAKESWINNER2.jpg" TargetMode="External"/><Relationship Id="rId387" Type="http://schemas.openxmlformats.org/officeDocument/2006/relationships/hyperlink" Target="http://www.neo-geo.com/reviews/neo-reviews/twinklestar/twinklestar.html" TargetMode="External"/><Relationship Id="rId191" Type="http://schemas.openxmlformats.org/officeDocument/2006/relationships/hyperlink" Target="http://www.neo-geo.com/snk/carts/jap/mahjong-bakatonosama.jpg" TargetMode="External"/><Relationship Id="rId205" Type="http://schemas.openxmlformats.org/officeDocument/2006/relationships/hyperlink" Target="http://www.neo-geo.com/snk/carts/us/ms2.jpg" TargetMode="External"/><Relationship Id="rId247" Type="http://schemas.openxmlformats.org/officeDocument/2006/relationships/hyperlink" Target="http://www.neo-geo.com/snk/inserts/jap/ninjacommando.jpg" TargetMode="External"/><Relationship Id="rId412" Type="http://schemas.openxmlformats.org/officeDocument/2006/relationships/hyperlink" Target="http://www.neo-geo.com/snk/carts/mvs/WH2JET.jpg" TargetMode="External"/><Relationship Id="rId107" Type="http://schemas.openxmlformats.org/officeDocument/2006/relationships/hyperlink" Target="http://www.neo-geo.com/snk/carts/mvs/GHOSTPILOT.jpg" TargetMode="External"/><Relationship Id="rId289" Type="http://schemas.openxmlformats.org/officeDocument/2006/relationships/hyperlink" Target="http://www.neo-geo.com/snk/carts/jap/realbout2.jpg" TargetMode="External"/><Relationship Id="rId11" Type="http://schemas.openxmlformats.org/officeDocument/2006/relationships/hyperlink" Target="http://www.neo-geo.com/snk/inserts/jap/adk.jpg" TargetMode="External"/><Relationship Id="rId53" Type="http://schemas.openxmlformats.org/officeDocument/2006/relationships/hyperlink" Target="http://www.neo-geo.com/reviews/neo-reviews/bust-a-move/bust-a-move1.html" TargetMode="External"/><Relationship Id="rId149" Type="http://schemas.openxmlformats.org/officeDocument/2006/relationships/hyperlink" Target="http://www.neo-geo.com/snk/carts/mvs/KOF2002.jpg" TargetMode="External"/><Relationship Id="rId314" Type="http://schemas.openxmlformats.org/officeDocument/2006/relationships/hyperlink" Target="http://www.neo-geo.com/reviews/neo-reviews/Savagereign/savager.html" TargetMode="External"/><Relationship Id="rId356" Type="http://schemas.openxmlformats.org/officeDocument/2006/relationships/hyperlink" Target="http://www.neo-geo.com/snk/carts/us/2020superbb.jpg" TargetMode="External"/><Relationship Id="rId398" Type="http://schemas.openxmlformats.org/officeDocument/2006/relationships/hyperlink" Target="http://www.neo-geo.com/snk/carts/jap/ww7.jpg" TargetMode="External"/><Relationship Id="rId95" Type="http://schemas.openxmlformats.org/officeDocument/2006/relationships/hyperlink" Target="http://www.neo-geo.com/snk/inserts/jap/footballfrenzy.jpg" TargetMode="External"/><Relationship Id="rId160" Type="http://schemas.openxmlformats.org/officeDocument/2006/relationships/hyperlink" Target="http://www.neo-geo.com/snk/carts/mvs/SUPER%20TAG%20KIZUNA.jpg" TargetMode="External"/><Relationship Id="rId216" Type="http://schemas.openxmlformats.org/officeDocument/2006/relationships/hyperlink" Target="http://www.neo-geo.com/snk/carts/jap/metalslug4.jpg" TargetMode="External"/><Relationship Id="rId423" Type="http://schemas.openxmlformats.org/officeDocument/2006/relationships/hyperlink" Target="http://www.neo-geo.com/reviews/neo-reviews/Zintrick/zintrick.html" TargetMode="External"/><Relationship Id="rId258" Type="http://schemas.openxmlformats.org/officeDocument/2006/relationships/hyperlink" Target="http://www.neo-geo.com/snk/carts/mvs/POPANDBOUNCE.jpg" TargetMode="External"/><Relationship Id="rId22" Type="http://schemas.openxmlformats.org/officeDocument/2006/relationships/hyperlink" Target="http://www.neo-geo.com/reviews/neo-reviews/aof2/aof2a.html" TargetMode="External"/><Relationship Id="rId64" Type="http://schemas.openxmlformats.org/officeDocument/2006/relationships/hyperlink" Target="http://www.neo-geo.com/snk/carts/mvs/CIBER%20LIP.jpg" TargetMode="External"/><Relationship Id="rId118" Type="http://schemas.openxmlformats.org/officeDocument/2006/relationships/hyperlink" Target="http://www.neo-geo.com/snk/carts/jap/fhdynamite.jpg" TargetMode="External"/><Relationship Id="rId325" Type="http://schemas.openxmlformats.org/officeDocument/2006/relationships/hyperlink" Target="http://www.neo-geo.com/snk/carts/us/sengoku2.jpg" TargetMode="External"/><Relationship Id="rId367" Type="http://schemas.openxmlformats.org/officeDocument/2006/relationships/hyperlink" Target="http://www.neo-geo.com/snk/carts/us/supersidekicks3.jpg" TargetMode="External"/><Relationship Id="rId171" Type="http://schemas.openxmlformats.org/officeDocument/2006/relationships/hyperlink" Target="http://www.neo-geo.com/reviews/neo-reviews/last-resort/LastResort.htm" TargetMode="External"/><Relationship Id="rId227" Type="http://schemas.openxmlformats.org/officeDocument/2006/relationships/hyperlink" Target="http://www.neo-geo.com/snk/carts/us/nam75.jpg" TargetMode="External"/><Relationship Id="rId269" Type="http://schemas.openxmlformats.org/officeDocument/2006/relationships/hyperlink" Target="http://www.neo-geo.com/reviews/neo-reviews/puzzledeponr/puzzledeponr.html" TargetMode="External"/><Relationship Id="rId33" Type="http://schemas.openxmlformats.org/officeDocument/2006/relationships/hyperlink" Target="http://www.neo-geo.com/snk/carts/jap/cartons/baseballstars.jpg" TargetMode="External"/><Relationship Id="rId129" Type="http://schemas.openxmlformats.org/officeDocument/2006/relationships/hyperlink" Target="http://www.neo-geo.com/snk/carts/us/kof96.jpg" TargetMode="External"/><Relationship Id="rId280" Type="http://schemas.openxmlformats.org/officeDocument/2006/relationships/hyperlink" Target="http://www.neo-geo.com/snk/carts/mvs/REALBOUT.jpg" TargetMode="External"/><Relationship Id="rId336" Type="http://schemas.openxmlformats.org/officeDocument/2006/relationships/hyperlink" Target="http://www.neo-geo.com/snk/carts/us/soccerbrawl.jpg" TargetMode="External"/><Relationship Id="rId75" Type="http://schemas.openxmlformats.org/officeDocument/2006/relationships/hyperlink" Target="http://www.neo-geo.com/reviews/neo-reviews/ff/ff.html" TargetMode="External"/><Relationship Id="rId140" Type="http://schemas.openxmlformats.org/officeDocument/2006/relationships/hyperlink" Target="http://www.neo-geo.com/snk/carts/jap/kof99.jpg" TargetMode="External"/><Relationship Id="rId182" Type="http://schemas.openxmlformats.org/officeDocument/2006/relationships/hyperlink" Target="http://www.neo-geo.com/reviews/neo-reviews/md2/md2.html" TargetMode="External"/><Relationship Id="rId378" Type="http://schemas.openxmlformats.org/officeDocument/2006/relationships/hyperlink" Target="http://www.neo-geo.com/snk/inserts/jap/thrashrally.jpg" TargetMode="External"/><Relationship Id="rId403" Type="http://schemas.openxmlformats.org/officeDocument/2006/relationships/hyperlink" Target="http://www.neo-geo.com/reviews/neo-reviews/wh/wh.html" TargetMode="External"/><Relationship Id="rId6" Type="http://schemas.openxmlformats.org/officeDocument/2006/relationships/hyperlink" Target="http://www.neo-geo.com/snk/carts/us/aerofighters2.jpg" TargetMode="External"/><Relationship Id="rId238" Type="http://schemas.openxmlformats.org/officeDocument/2006/relationships/hyperlink" Target="http://www.neo-geo.com/snk/carts/us/neoturfmasters.jpg" TargetMode="External"/><Relationship Id="rId291" Type="http://schemas.openxmlformats.org/officeDocument/2006/relationships/hyperlink" Target="http://www.neo-geo.com/snk/carts/jap/cartons/ridinghero.jpg" TargetMode="External"/><Relationship Id="rId305" Type="http://schemas.openxmlformats.org/officeDocument/2006/relationships/hyperlink" Target="http://www.neo-geo.com/reviews/neo-reviews/samurai3/ss3.htm" TargetMode="External"/><Relationship Id="rId347" Type="http://schemas.openxmlformats.org/officeDocument/2006/relationships/hyperlink" Target="http://www.neo-geo.com/reviews/neo-reviews/streethoop/streethoop.html" TargetMode="External"/><Relationship Id="rId44" Type="http://schemas.openxmlformats.org/officeDocument/2006/relationships/hyperlink" Target="http://www.neo-geo.com/snk/carts/jap/cartons/raguy.jpg" TargetMode="External"/><Relationship Id="rId86" Type="http://schemas.openxmlformats.org/officeDocument/2006/relationships/hyperlink" Target="http://www.neo-geo.com/snk/carts/us/fatalfuryspecial.jpg" TargetMode="External"/><Relationship Id="rId151" Type="http://schemas.openxmlformats.org/officeDocument/2006/relationships/hyperlink" Target="http://www.neo-geo.com/reviews/neo-reviews/kingofmonsters/kom.html" TargetMode="External"/><Relationship Id="rId389" Type="http://schemas.openxmlformats.org/officeDocument/2006/relationships/hyperlink" Target="http://www.neo-geo.com/snk/carts/jap/tss.jpg" TargetMode="External"/><Relationship Id="rId193" Type="http://schemas.openxmlformats.org/officeDocument/2006/relationships/hyperlink" Target="http://www.neo-geo.com/reviews/neo-reviews/minasan/mahj-mno.htm" TargetMode="External"/><Relationship Id="rId207" Type="http://schemas.openxmlformats.org/officeDocument/2006/relationships/hyperlink" Target="http://www.neo-geo.com/snk/carts/mvs/METAL%20SLUGX.jpg" TargetMode="External"/><Relationship Id="rId249" Type="http://schemas.openxmlformats.org/officeDocument/2006/relationships/hyperlink" Target="http://www.neo-geo.com/reviews/neo-reviews/ninjamas/ninjamas1.html" TargetMode="External"/><Relationship Id="rId414" Type="http://schemas.openxmlformats.org/officeDocument/2006/relationships/hyperlink" Target="http://www.neo-geo.com/snk/carts/us/wh2jet.jpg" TargetMode="External"/><Relationship Id="rId13" Type="http://schemas.openxmlformats.org/officeDocument/2006/relationships/hyperlink" Target="http://www.neo-geo.com/snk/carts/mvs/alphamission2.jpg" TargetMode="External"/><Relationship Id="rId109" Type="http://schemas.openxmlformats.org/officeDocument/2006/relationships/hyperlink" Target="http://www.neo-geo.com/snk/carts/us/ghostpilots.jpg" TargetMode="External"/><Relationship Id="rId260" Type="http://schemas.openxmlformats.org/officeDocument/2006/relationships/hyperlink" Target="http://www.neo-geo.com/reviews/neo-reviews/pi2/pi2.html" TargetMode="External"/><Relationship Id="rId316" Type="http://schemas.openxmlformats.org/officeDocument/2006/relationships/hyperlink" Target="http://www.neo-geo.com/snk/carts/jap/savage.jpg" TargetMode="External"/><Relationship Id="rId55" Type="http://schemas.openxmlformats.org/officeDocument/2006/relationships/hyperlink" Target="http://www.neo-geo.com/snk/carts/mvs/bamex.jpg" TargetMode="External"/><Relationship Id="rId97" Type="http://schemas.openxmlformats.org/officeDocument/2006/relationships/hyperlink" Target="http://www.neo-geo.com/snk/carts/mvs/galaxyfight.jpg" TargetMode="External"/><Relationship Id="rId120" Type="http://schemas.openxmlformats.org/officeDocument/2006/relationships/hyperlink" Target="http://www.neo-geo.com/snk/carts/mvs/KOF94.jpg" TargetMode="External"/><Relationship Id="rId358" Type="http://schemas.openxmlformats.org/officeDocument/2006/relationships/hyperlink" Target="http://www.neo-geo.com/snk/carts/mvs/SUPERDODGEBAL.jpg" TargetMode="External"/><Relationship Id="rId162" Type="http://schemas.openxmlformats.org/officeDocument/2006/relationships/hyperlink" Target="http://www.neo-geo.com/snk/carts/us/kizuna.jpg" TargetMode="External"/><Relationship Id="rId218" Type="http://schemas.openxmlformats.org/officeDocument/2006/relationships/hyperlink" Target="http://www.neo-geo.com/snk/carts/jap/ms5.jpg" TargetMode="External"/><Relationship Id="rId425" Type="http://schemas.openxmlformats.org/officeDocument/2006/relationships/hyperlink" Target="http://www.neo-geo.com/snk/carts/mvs/VLINER.jpg" TargetMode="External"/><Relationship Id="rId271" Type="http://schemas.openxmlformats.org/officeDocument/2006/relationships/hyperlink" Target="http://www.neo-geo.com/snk/carts/jap/quiz-detective.jpg" TargetMode="External"/><Relationship Id="rId24" Type="http://schemas.openxmlformats.org/officeDocument/2006/relationships/hyperlink" Target="http://www.neo-geo.com/snk/carts/jap/aof2.jpg" TargetMode="External"/><Relationship Id="rId66" Type="http://schemas.openxmlformats.org/officeDocument/2006/relationships/hyperlink" Target="http://www.neo-geo.com/snk/carts/us/cyberlip.jpg" TargetMode="External"/><Relationship Id="rId131" Type="http://schemas.openxmlformats.org/officeDocument/2006/relationships/hyperlink" Target="http://www.neo-geo.com/snk/carts/mvs/KOF'97.jpg" TargetMode="External"/><Relationship Id="rId327" Type="http://schemas.openxmlformats.org/officeDocument/2006/relationships/hyperlink" Target="http://www.neo-geo.com/snk/carts/mvs/SENGOKU3.jpg" TargetMode="External"/><Relationship Id="rId369" Type="http://schemas.openxmlformats.org/officeDocument/2006/relationships/hyperlink" Target="http://www.neo-geo.com/snk/carts/jap/ultimate11.jpg" TargetMode="External"/><Relationship Id="rId173" Type="http://schemas.openxmlformats.org/officeDocument/2006/relationships/hyperlink" Target="http://www.neo-geo.com/snk/inserts/jap/lastresort.jpg" TargetMode="External"/><Relationship Id="rId229" Type="http://schemas.openxmlformats.org/officeDocument/2006/relationships/hyperlink" Target="http://www.neo-geo.com/snk/carts/mvs/NEOBOMBERMA.jpg" TargetMode="External"/><Relationship Id="rId380" Type="http://schemas.openxmlformats.org/officeDocument/2006/relationships/hyperlink" Target="http://www.neo-geo.com/reviews/neo-reviews/tophunter/tophunter.html" TargetMode="External"/><Relationship Id="rId240" Type="http://schemas.openxmlformats.org/officeDocument/2006/relationships/hyperlink" Target="http://www.neo-geo.com/snk/carts/mvs/NIGHTMERE%20IN.jpg" TargetMode="External"/><Relationship Id="rId35" Type="http://schemas.openxmlformats.org/officeDocument/2006/relationships/hyperlink" Target="http://www.neo-geo.com/reviews/neo-reviews/bbs2/bbs2.html" TargetMode="External"/><Relationship Id="rId77" Type="http://schemas.openxmlformats.org/officeDocument/2006/relationships/hyperlink" Target="http://www.neo-geo.com/snk/inserts/jap/fatalfury.jpg" TargetMode="External"/><Relationship Id="rId100" Type="http://schemas.openxmlformats.org/officeDocument/2006/relationships/hyperlink" Target="http://www.neo-geo.com/reviews/neo-reviews/ganryu/ganryu.htm" TargetMode="External"/><Relationship Id="rId282" Type="http://schemas.openxmlformats.org/officeDocument/2006/relationships/hyperlink" Target="http://www.neo-geo.com/snk/carts/us/realbout.jpg" TargetMode="External"/><Relationship Id="rId338" Type="http://schemas.openxmlformats.org/officeDocument/2006/relationships/hyperlink" Target="http://www.neo-geo.com/snk/carts/mvs/SPINMASTER.jpg" TargetMode="External"/><Relationship Id="rId8" Type="http://schemas.openxmlformats.org/officeDocument/2006/relationships/hyperlink" Target="http://www.neo-geo.com/snk/carts/jap/sonicwings3.jpg" TargetMode="External"/><Relationship Id="rId142" Type="http://schemas.openxmlformats.org/officeDocument/2006/relationships/hyperlink" Target="http://www.neo-geo.com/reviews/neo-reviews/kof2k/kof2k-2.htm" TargetMode="External"/><Relationship Id="rId184" Type="http://schemas.openxmlformats.org/officeDocument/2006/relationships/hyperlink" Target="http://www.neo-geo.com/snk/carts/jap/magicaldrop2.jpg" TargetMode="External"/><Relationship Id="rId391" Type="http://schemas.openxmlformats.org/officeDocument/2006/relationships/hyperlink" Target="http://www.neo-geo.com/snk/carts/mvs/viewpoint.jpg" TargetMode="External"/><Relationship Id="rId405" Type="http://schemas.openxmlformats.org/officeDocument/2006/relationships/hyperlink" Target="http://www.neo-geo.com/snk/inserts/jap/worldheroes.jpg" TargetMode="External"/><Relationship Id="rId251" Type="http://schemas.openxmlformats.org/officeDocument/2006/relationships/hyperlink" Target="http://www.neo-geo.com/snk/carts/jap/ninjamasters.jpg" TargetMode="External"/><Relationship Id="rId46" Type="http://schemas.openxmlformats.org/officeDocument/2006/relationships/hyperlink" Target="http://www.neo-geo.com/snk/carts/mvs/BREAKERS.jpg" TargetMode="External"/><Relationship Id="rId293" Type="http://schemas.openxmlformats.org/officeDocument/2006/relationships/hyperlink" Target="http://www.neo-geo.com/reviews/neo-reviews/roboarmy/roboarmy.htm" TargetMode="External"/><Relationship Id="rId307" Type="http://schemas.openxmlformats.org/officeDocument/2006/relationships/hyperlink" Target="http://www.neo-geo.com/snk/carts/jap/ss3.jpg" TargetMode="External"/><Relationship Id="rId349" Type="http://schemas.openxmlformats.org/officeDocument/2006/relationships/hyperlink" Target="http://www.neo-geo.com/snk/carts/jap/dunkdreams.jpg" TargetMode="External"/><Relationship Id="rId88" Type="http://schemas.openxmlformats.org/officeDocument/2006/relationships/hyperlink" Target="http://www.neo-geo.com/snk/carts/mvs/FATALFURY3.jpg" TargetMode="External"/><Relationship Id="rId111" Type="http://schemas.openxmlformats.org/officeDocument/2006/relationships/hyperlink" Target="http://www.neo-geo.com/reviews/neo-reviews/Gururin/gururin.html" TargetMode="External"/><Relationship Id="rId153" Type="http://schemas.openxmlformats.org/officeDocument/2006/relationships/hyperlink" Target="http://www.neo-geo.com/snk/carts/jap/cartons/kom.jpg" TargetMode="External"/><Relationship Id="rId195" Type="http://schemas.openxmlformats.org/officeDocument/2006/relationships/hyperlink" Target="http://www.neo-geo.com/snk/carts/jap/masterofsyougi.jpg" TargetMode="External"/><Relationship Id="rId209" Type="http://schemas.openxmlformats.org/officeDocument/2006/relationships/hyperlink" Target="http://www.neo-geo.com/snk/carts/us/msx.jpg" TargetMode="External"/><Relationship Id="rId360" Type="http://schemas.openxmlformats.org/officeDocument/2006/relationships/hyperlink" Target="http://www.neo-geo.com/snk/inserts/jap/ssk.jpg" TargetMode="External"/><Relationship Id="rId416" Type="http://schemas.openxmlformats.org/officeDocument/2006/relationships/hyperlink" Target="http://www.neo-geo.com/snk/carts/mvs/WHPERFECT.jpg" TargetMode="External"/><Relationship Id="rId220" Type="http://schemas.openxmlformats.org/officeDocument/2006/relationships/hyperlink" Target="http://www.neo-geo.com/reviews/neo-reviews/mpex/mpe.html" TargetMode="External"/><Relationship Id="rId15" Type="http://schemas.openxmlformats.org/officeDocument/2006/relationships/hyperlink" Target="http://www.neo-geo.com/snk/carts/us/alphamission2.jpg" TargetMode="External"/><Relationship Id="rId57" Type="http://schemas.openxmlformats.org/officeDocument/2006/relationships/hyperlink" Target="http://www.neo-geo.com/snk/carts/mvs/CAPITAINTOMAD.jpg" TargetMode="External"/><Relationship Id="rId262" Type="http://schemas.openxmlformats.org/officeDocument/2006/relationships/hyperlink" Target="http://www.neo-geo.com/reviews/neo-reviews/pulstar/pulstar.html" TargetMode="External"/><Relationship Id="rId318" Type="http://schemas.openxmlformats.org/officeDocument/2006/relationships/hyperlink" Target="http://www.neo-geo.com/reviews/neo-reviews/sengoku/sengoku.html" TargetMode="External"/><Relationship Id="rId99" Type="http://schemas.openxmlformats.org/officeDocument/2006/relationships/hyperlink" Target="http://www.neo-geo.com/snk/carts/us/galaxyfight.jpg" TargetMode="External"/><Relationship Id="rId122" Type="http://schemas.openxmlformats.org/officeDocument/2006/relationships/hyperlink" Target="http://www.neo-geo.com/snk/carts/us/kof94.jpg" TargetMode="External"/><Relationship Id="rId164" Type="http://schemas.openxmlformats.org/officeDocument/2006/relationships/hyperlink" Target="http://www.neo-geo.com/snk/carts/mvs/LAST%20BLADE.jpg" TargetMode="External"/><Relationship Id="rId371" Type="http://schemas.openxmlformats.org/officeDocument/2006/relationships/hyperlink" Target="http://www.neo-geo.com/reviews/neo-reviews/super_spy/superspy2.htm" TargetMode="External"/><Relationship Id="rId427" Type="http://schemas.openxmlformats.org/officeDocument/2006/relationships/drawing" Target="../drawings/drawing1.xml"/><Relationship Id="rId26" Type="http://schemas.openxmlformats.org/officeDocument/2006/relationships/hyperlink" Target="http://www.neo-geo.com/reviews/neo-reviews/aof3/aof3.html" TargetMode="External"/><Relationship Id="rId231" Type="http://schemas.openxmlformats.org/officeDocument/2006/relationships/hyperlink" Target="http://www.neo-geo.com/snk/carts/mvs/NEOGEOCUP98.jpg" TargetMode="External"/><Relationship Id="rId273" Type="http://schemas.openxmlformats.org/officeDocument/2006/relationships/hyperlink" Target="http://www.neo-geo.com/snk/carts/jap/quizkof.jpg" TargetMode="External"/><Relationship Id="rId329" Type="http://schemas.openxmlformats.org/officeDocument/2006/relationships/hyperlink" Target="http://www.neo-geo.com/snk/carts/us/sengoku3.jpg" TargetMode="External"/><Relationship Id="rId68" Type="http://schemas.openxmlformats.org/officeDocument/2006/relationships/hyperlink" Target="http://www.neo-geo.com/snk/carts/mvs/DOUBLEDRAGON.jpg" TargetMode="External"/><Relationship Id="rId133" Type="http://schemas.openxmlformats.org/officeDocument/2006/relationships/hyperlink" Target="http://www.neo-geo.com/snk/carts/us/kof97.jpg" TargetMode="External"/><Relationship Id="rId175" Type="http://schemas.openxmlformats.org/officeDocument/2006/relationships/hyperlink" Target="http://www.neo-geo.com/reviews/neo-reviews/lbowling/lbowl.htm" TargetMode="External"/><Relationship Id="rId340" Type="http://schemas.openxmlformats.org/officeDocument/2006/relationships/hyperlink" Target="http://www.neo-geo.com/snk/carts/us/spinmaster.jpg" TargetMode="External"/><Relationship Id="rId200" Type="http://schemas.openxmlformats.org/officeDocument/2006/relationships/hyperlink" Target="http://www.neo-geo.com/snk/carts/jap/metalslug.jpg" TargetMode="External"/><Relationship Id="rId382" Type="http://schemas.openxmlformats.org/officeDocument/2006/relationships/hyperlink" Target="http://www.neo-geo.com/snk/inserts/jap/tophunter.jpg" TargetMode="External"/><Relationship Id="rId242" Type="http://schemas.openxmlformats.org/officeDocument/2006/relationships/hyperlink" Target="http://www.neo-geo.com/snk/carts/mvs/NINJA%20KOMBAT.jpg" TargetMode="External"/><Relationship Id="rId284" Type="http://schemas.openxmlformats.org/officeDocument/2006/relationships/hyperlink" Target="http://www.neo-geo.com/snk/carts/mvs/REALBOUTSPEC.jpg" TargetMode="External"/><Relationship Id="rId37" Type="http://schemas.openxmlformats.org/officeDocument/2006/relationships/hyperlink" Target="http://www.neo-geo.com/snk/inserts/jap/baseballstars2.jpg" TargetMode="External"/><Relationship Id="rId79" Type="http://schemas.openxmlformats.org/officeDocument/2006/relationships/hyperlink" Target="http://www.neo-geo.com/reviews/neo-reviews/ff2/Ff2a.html" TargetMode="External"/><Relationship Id="rId102" Type="http://schemas.openxmlformats.org/officeDocument/2006/relationships/hyperlink" Target="http://www.neo-geo.com/reviews/neo-reviews/motw/motw3.html" TargetMode="External"/><Relationship Id="rId144" Type="http://schemas.openxmlformats.org/officeDocument/2006/relationships/hyperlink" Target="http://www.neo-geo.com/snk/carts/jap/kof2000.jpg" TargetMode="External"/><Relationship Id="rId90" Type="http://schemas.openxmlformats.org/officeDocument/2006/relationships/hyperlink" Target="http://www.neo-geo.com/snk/carts/us/fatalfury3.jpg" TargetMode="External"/><Relationship Id="rId186" Type="http://schemas.openxmlformats.org/officeDocument/2006/relationships/hyperlink" Target="http://www.neo-geo.com/snk/carts/mvs/magical%20drop3.jpg" TargetMode="External"/><Relationship Id="rId351" Type="http://schemas.openxmlformats.org/officeDocument/2006/relationships/hyperlink" Target="http://www.neo-geo.com/reviews/neo-reviews/strikers45/strikers.html" TargetMode="External"/><Relationship Id="rId393" Type="http://schemas.openxmlformats.org/officeDocument/2006/relationships/hyperlink" Target="http://www.neo-geo.com/snk/carts/us/viewpoint.jpg" TargetMode="External"/><Relationship Id="rId407" Type="http://schemas.openxmlformats.org/officeDocument/2006/relationships/hyperlink" Target="http://www.neo-geo.com/reviews/neo-reviews/wh2/wh2.html" TargetMode="External"/><Relationship Id="rId211" Type="http://schemas.openxmlformats.org/officeDocument/2006/relationships/hyperlink" Target="http://www.neo-geo.com/snk/carts/mvs/metal%20slug3.jpg" TargetMode="External"/><Relationship Id="rId253" Type="http://schemas.openxmlformats.org/officeDocument/2006/relationships/hyperlink" Target="http://www.neo-geo.com/reviews/neo-reviews/Overtop/overtop.html" TargetMode="External"/><Relationship Id="rId295" Type="http://schemas.openxmlformats.org/officeDocument/2006/relationships/hyperlink" Target="http://www.neo-geo.com/snk/carts/jap/roboarmy.jpg" TargetMode="External"/><Relationship Id="rId309" Type="http://schemas.openxmlformats.org/officeDocument/2006/relationships/hyperlink" Target="http://www.neo-geo.com/reviews/neo-reviews/samurai4/samurai4a.html" TargetMode="External"/><Relationship Id="rId48" Type="http://schemas.openxmlformats.org/officeDocument/2006/relationships/hyperlink" Target="http://www.neo-geo.com/snk/carts/mvs/BREAKERSREVEN.jpg" TargetMode="External"/><Relationship Id="rId113" Type="http://schemas.openxmlformats.org/officeDocument/2006/relationships/hyperlink" Target="http://www.neo-geo.com/snk/carts/mvs/IRRITATINGMAZE.jpg" TargetMode="External"/><Relationship Id="rId320" Type="http://schemas.openxmlformats.org/officeDocument/2006/relationships/hyperlink" Target="http://www.neo-geo.com/snk/carts/jap/cartons/sengoku.jpg" TargetMode="External"/><Relationship Id="rId155" Type="http://schemas.openxmlformats.org/officeDocument/2006/relationships/hyperlink" Target="http://www.neo-geo.com/reviews/neo-reviews/kom2/kom2.html" TargetMode="External"/><Relationship Id="rId197" Type="http://schemas.openxmlformats.org/officeDocument/2006/relationships/hyperlink" Target="http://www.neo-geo.com/snk/carts/mvs/matrimelee.jpg" TargetMode="External"/><Relationship Id="rId362" Type="http://schemas.openxmlformats.org/officeDocument/2006/relationships/hyperlink" Target="http://www.neo-geo.com/snk/carts/mvs/SIDEKICKS2.jpg" TargetMode="External"/><Relationship Id="rId418" Type="http://schemas.openxmlformats.org/officeDocument/2006/relationships/hyperlink" Target="http://www.neo-geo.com/snk/carts/us/whp.jpg" TargetMode="External"/><Relationship Id="rId222" Type="http://schemas.openxmlformats.org/officeDocument/2006/relationships/hyperlink" Target="http://www.neo-geo.com/snk/carts/mvs/MUTATIONNATIO.jpg" TargetMode="External"/><Relationship Id="rId264" Type="http://schemas.openxmlformats.org/officeDocument/2006/relationships/hyperlink" Target="http://www.neo-geo.com/snk/carts/jap/pulstar.jpg" TargetMode="External"/><Relationship Id="rId17" Type="http://schemas.openxmlformats.org/officeDocument/2006/relationships/hyperlink" Target="http://www.neo-geo.com/snk/inserts/jap/androdunos.jpg" TargetMode="External"/><Relationship Id="rId59" Type="http://schemas.openxmlformats.org/officeDocument/2006/relationships/hyperlink" Target="http://www.neo-geo.com/reviews/neo-reviews/CrossedSwords/crossedswords.html" TargetMode="External"/><Relationship Id="rId124" Type="http://schemas.openxmlformats.org/officeDocument/2006/relationships/hyperlink" Target="http://www.neo-geo.com/snk/carts/jap/kof94.jpg" TargetMode="Externa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hyperlink" Target="https://www.mobygames.com/info/faq6" TargetMode="External"/></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9922D-53E7-4036-9C3A-324CB7800727}">
  <dimension ref="A1:AB12"/>
  <sheetViews>
    <sheetView tabSelected="1" zoomScaleNormal="100" workbookViewId="0">
      <selection activeCell="C4" sqref="C4"/>
    </sheetView>
  </sheetViews>
  <sheetFormatPr defaultRowHeight="15" x14ac:dyDescent="0.25"/>
  <cols>
    <col min="1" max="1" width="11.5703125" customWidth="1"/>
    <col min="2" max="3" width="18.28515625" customWidth="1"/>
    <col min="4" max="4" width="38.140625" customWidth="1"/>
    <col min="5" max="5" width="6.7109375" bestFit="1" customWidth="1"/>
    <col min="6" max="6" width="19" bestFit="1" customWidth="1"/>
    <col min="7" max="7" width="34.28515625" bestFit="1" customWidth="1"/>
    <col min="8" max="8" width="43" bestFit="1" customWidth="1"/>
    <col min="9" max="10" width="17.85546875" customWidth="1"/>
    <col min="12" max="12" width="17.85546875" bestFit="1" customWidth="1"/>
    <col min="13" max="13" width="25.42578125" bestFit="1" customWidth="1"/>
    <col min="14" max="14" width="33.140625" customWidth="1"/>
    <col min="18" max="18" width="20.42578125" bestFit="1" customWidth="1"/>
    <col min="22" max="22" width="13" bestFit="1" customWidth="1"/>
  </cols>
  <sheetData>
    <row r="1" spans="1:28" s="7" customFormat="1" x14ac:dyDescent="0.25">
      <c r="A1" s="4" t="s">
        <v>9837</v>
      </c>
      <c r="B1" s="4" t="s">
        <v>9840</v>
      </c>
      <c r="C1" s="4" t="s">
        <v>7769</v>
      </c>
      <c r="D1" s="4" t="s">
        <v>7770</v>
      </c>
      <c r="E1" s="4" t="s">
        <v>7761</v>
      </c>
      <c r="F1" s="4" t="s">
        <v>7760</v>
      </c>
      <c r="G1" s="6" t="s">
        <v>1218</v>
      </c>
      <c r="H1" s="9" t="s">
        <v>7932</v>
      </c>
      <c r="I1" s="9" t="s">
        <v>8158</v>
      </c>
      <c r="J1" s="7" t="s">
        <v>8978</v>
      </c>
      <c r="K1" s="7" t="s">
        <v>9085</v>
      </c>
      <c r="L1" s="7" t="s">
        <v>9087</v>
      </c>
      <c r="M1" s="31" t="s">
        <v>9752</v>
      </c>
      <c r="N1" s="7" t="s">
        <v>9896</v>
      </c>
      <c r="O1" s="7" t="s">
        <v>9895</v>
      </c>
      <c r="P1" s="7" t="s">
        <v>9763</v>
      </c>
      <c r="Q1" s="7" t="s">
        <v>9898</v>
      </c>
      <c r="R1" s="7" t="s">
        <v>10179</v>
      </c>
      <c r="S1" s="7" t="s">
        <v>9747</v>
      </c>
      <c r="T1" s="7" t="s">
        <v>106</v>
      </c>
      <c r="U1" s="7" t="s">
        <v>35</v>
      </c>
      <c r="V1" s="7" t="s">
        <v>10172</v>
      </c>
      <c r="W1" s="7" t="s">
        <v>10178</v>
      </c>
      <c r="X1" s="7" t="s">
        <v>10186</v>
      </c>
      <c r="Y1" s="7" t="s">
        <v>10187</v>
      </c>
      <c r="Z1" s="7" t="s">
        <v>10188</v>
      </c>
      <c r="AA1" s="7" t="s">
        <v>10189</v>
      </c>
      <c r="AB1" s="7" t="s">
        <v>10215</v>
      </c>
    </row>
    <row r="2" spans="1:28" x14ac:dyDescent="0.25">
      <c r="A2" t="s">
        <v>9836</v>
      </c>
      <c r="C2" t="s">
        <v>7889</v>
      </c>
      <c r="D2" t="s">
        <v>10182</v>
      </c>
      <c r="E2" t="s">
        <v>393</v>
      </c>
      <c r="F2" t="s">
        <v>2929</v>
      </c>
      <c r="G2" t="s">
        <v>10183</v>
      </c>
      <c r="H2" t="s">
        <v>8095</v>
      </c>
      <c r="I2">
        <v>6773</v>
      </c>
      <c r="J2">
        <v>74020</v>
      </c>
      <c r="K2" t="s">
        <v>9086</v>
      </c>
      <c r="L2" t="s">
        <v>9088</v>
      </c>
      <c r="M2" s="33"/>
      <c r="N2" s="34" t="s">
        <v>10175</v>
      </c>
      <c r="O2" s="34">
        <v>500</v>
      </c>
      <c r="P2">
        <v>75</v>
      </c>
      <c r="Q2">
        <v>102</v>
      </c>
      <c r="R2" t="str">
        <f xml:space="preserve">
IF(GamesTable[[#This Row],[JAMMA]]="YES","JAMMA","")&amp;
IF(GamesTable[[#This Row],[MVS]]="YES","MVS","")&amp;
IF(GamesTable[[#This Row],[AES]]="YES","AES","")&amp;
IF(GamesTable[[#This Row],[NGCD]]="YES","NGCD","")&amp;
IF(GamesTable[[#This Row],[ROM]]="YES","ROM","")</f>
        <v/>
      </c>
      <c r="S2" t="s">
        <v>10174</v>
      </c>
      <c r="T2" t="s">
        <v>10173</v>
      </c>
      <c r="U2" t="s">
        <v>10173</v>
      </c>
      <c r="V2" t="s">
        <v>10173</v>
      </c>
      <c r="X2">
        <v>3</v>
      </c>
      <c r="Y2">
        <v>3</v>
      </c>
      <c r="Z2">
        <v>1</v>
      </c>
      <c r="AA2">
        <v>3</v>
      </c>
      <c r="AB2" t="s">
        <v>4947</v>
      </c>
    </row>
    <row r="3" spans="1:28" x14ac:dyDescent="0.25">
      <c r="A3" t="s">
        <v>9836</v>
      </c>
      <c r="C3" t="s">
        <v>7911</v>
      </c>
      <c r="D3" t="s">
        <v>9404</v>
      </c>
      <c r="E3" t="s">
        <v>1280</v>
      </c>
      <c r="F3" t="s">
        <v>194</v>
      </c>
      <c r="G3" t="s">
        <v>9834</v>
      </c>
      <c r="J3">
        <v>82095</v>
      </c>
      <c r="K3" t="s">
        <v>9734</v>
      </c>
      <c r="L3" t="s">
        <v>9088</v>
      </c>
      <c r="M3" s="33"/>
      <c r="N3" s="34"/>
      <c r="O3" s="34"/>
      <c r="P3">
        <v>211</v>
      </c>
      <c r="Q3">
        <v>74</v>
      </c>
      <c r="R3" t="str">
        <f xml:space="preserve">
IF(GamesTable[[#This Row],[JAMMA]]="YES","JAMMA","")&amp;
IF(GamesTable[[#This Row],[MVS]]="YES","MVS","")&amp;
IF(GamesTable[[#This Row],[AES]]="YES","AES","")&amp;
IF(GamesTable[[#This Row],[NGCD]]="YES","NGCD","")&amp;
IF(GamesTable[[#This Row],[ROM]]="YES","ROM","")</f>
        <v/>
      </c>
      <c r="S3" t="s">
        <v>10174</v>
      </c>
      <c r="T3" t="s">
        <v>10174</v>
      </c>
      <c r="U3" t="s">
        <v>10174</v>
      </c>
      <c r="V3" t="s">
        <v>10173</v>
      </c>
    </row>
    <row r="4" spans="1:28" x14ac:dyDescent="0.25">
      <c r="A4" t="s">
        <v>9836</v>
      </c>
      <c r="C4" t="s">
        <v>7912</v>
      </c>
      <c r="D4" t="s">
        <v>5036</v>
      </c>
      <c r="E4" t="s">
        <v>959</v>
      </c>
      <c r="F4" t="s">
        <v>1912</v>
      </c>
      <c r="G4" t="s">
        <v>5035</v>
      </c>
      <c r="H4" t="s">
        <v>8021</v>
      </c>
      <c r="I4">
        <v>47577</v>
      </c>
      <c r="J4">
        <v>82117</v>
      </c>
      <c r="K4" t="s">
        <v>9086</v>
      </c>
      <c r="L4" t="s">
        <v>9088</v>
      </c>
      <c r="M4" s="33"/>
      <c r="N4" s="58"/>
      <c r="O4" s="58"/>
      <c r="P4">
        <v>70</v>
      </c>
      <c r="Q4">
        <v>46</v>
      </c>
      <c r="R4" t="str">
        <f xml:space="preserve">
IF(GamesTable[[#This Row],[JAMMA]]="YES","JAMMA","")&amp;
IF(GamesTable[[#This Row],[MVS]]="YES","MVS","")&amp;
IF(GamesTable[[#This Row],[AES]]="YES","AES","")&amp;
IF(GamesTable[[#This Row],[NGCD]]="YES","NGCD","")&amp;
IF(GamesTable[[#This Row],[ROM]]="YES","ROM","")</f>
        <v/>
      </c>
      <c r="S4" t="s">
        <v>10174</v>
      </c>
      <c r="T4" t="s">
        <v>10173</v>
      </c>
      <c r="U4" t="s">
        <v>10174</v>
      </c>
      <c r="V4" t="s">
        <v>10174</v>
      </c>
    </row>
    <row r="5" spans="1:28" x14ac:dyDescent="0.25">
      <c r="A5" t="s">
        <v>9836</v>
      </c>
      <c r="C5" t="s">
        <v>9026</v>
      </c>
      <c r="D5" t="s">
        <v>9027</v>
      </c>
      <c r="E5">
        <v>2019</v>
      </c>
      <c r="F5" t="s">
        <v>86</v>
      </c>
      <c r="J5">
        <v>252972</v>
      </c>
      <c r="K5" t="s">
        <v>9041</v>
      </c>
      <c r="L5" t="s">
        <v>9897</v>
      </c>
      <c r="M5" s="33"/>
      <c r="N5" s="34"/>
      <c r="O5" s="34"/>
      <c r="Q5">
        <v>808</v>
      </c>
      <c r="R5" t="str">
        <f xml:space="preserve">
IF(GamesTable[[#This Row],[JAMMA]]="YES","JAMMA","")&amp;
IF(GamesTable[[#This Row],[MVS]]="YES","MVS","")&amp;
IF(GamesTable[[#This Row],[AES]]="YES","AES","")&amp;
IF(GamesTable[[#This Row],[NGCD]]="YES","NGCD","")&amp;
IF(GamesTable[[#This Row],[ROM]]="YES","ROM","")</f>
        <v>MVSAESNGCD</v>
      </c>
    </row>
    <row r="6" spans="1:28" x14ac:dyDescent="0.25">
      <c r="A6" s="21" t="s">
        <v>9836</v>
      </c>
      <c r="B6" s="11"/>
      <c r="C6" s="11" t="s">
        <v>9029</v>
      </c>
      <c r="D6" s="11" t="s">
        <v>9028</v>
      </c>
      <c r="E6" s="11">
        <v>2021</v>
      </c>
      <c r="F6" s="11" t="s">
        <v>9030</v>
      </c>
      <c r="G6" s="11"/>
      <c r="H6" s="11"/>
      <c r="I6" s="11"/>
      <c r="J6" s="11">
        <v>255400</v>
      </c>
      <c r="K6" s="11" t="s">
        <v>8986</v>
      </c>
      <c r="L6" s="11" t="s">
        <v>9089</v>
      </c>
      <c r="R6" t="str">
        <f xml:space="preserve">
IF(GamesTable[[#This Row],[JAMMA]]="YES","JAMMA","")&amp;
IF(GamesTable[[#This Row],[MVS]]="YES","MVS","")&amp;
IF(GamesTable[[#This Row],[AES]]="YES","AES","")&amp;
IF(GamesTable[[#This Row],[NGCD]]="YES","NGCD","")&amp;
IF(GamesTable[[#This Row],[ROM]]="YES","ROM","")</f>
        <v>MVSAESNGCD</v>
      </c>
    </row>
    <row r="7" spans="1:28" x14ac:dyDescent="0.25">
      <c r="A7" t="s">
        <v>9836</v>
      </c>
      <c r="C7" t="s">
        <v>7779</v>
      </c>
      <c r="D7" t="s">
        <v>9756</v>
      </c>
      <c r="E7" t="s">
        <v>5639</v>
      </c>
      <c r="F7" t="s">
        <v>1912</v>
      </c>
      <c r="G7" t="s">
        <v>9757</v>
      </c>
      <c r="H7" t="s">
        <v>8027</v>
      </c>
      <c r="I7">
        <v>4514</v>
      </c>
      <c r="J7">
        <v>74315</v>
      </c>
      <c r="K7" t="s">
        <v>9086</v>
      </c>
      <c r="L7" t="s">
        <v>9088</v>
      </c>
      <c r="M7" s="33"/>
      <c r="N7" s="34" t="s">
        <v>9856</v>
      </c>
      <c r="O7" s="34">
        <v>30</v>
      </c>
      <c r="P7">
        <v>44</v>
      </c>
      <c r="Q7">
        <v>102</v>
      </c>
      <c r="R7" t="str">
        <f xml:space="preserve">
IF(GamesTable[[#This Row],[JAMMA]]="YES","JAMMA","")&amp;
IF(GamesTable[[#This Row],[MVS]]="YES","MVS","")&amp;
IF(GamesTable[[#This Row],[AES]]="YES","AES","")&amp;
IF(GamesTable[[#This Row],[NGCD]]="YES","NGCD","")&amp;
IF(GamesTable[[#This Row],[ROM]]="YES","ROM","")</f>
        <v>ROM</v>
      </c>
      <c r="S7" t="s">
        <v>10174</v>
      </c>
      <c r="T7" t="s">
        <v>10173</v>
      </c>
      <c r="U7" t="s">
        <v>10173</v>
      </c>
      <c r="V7" t="s">
        <v>10173</v>
      </c>
      <c r="X7">
        <v>1</v>
      </c>
      <c r="Y7">
        <v>1</v>
      </c>
      <c r="Z7">
        <v>2</v>
      </c>
      <c r="AA7">
        <v>3</v>
      </c>
      <c r="AB7" t="s">
        <v>6020</v>
      </c>
    </row>
    <row r="8" spans="1:28" x14ac:dyDescent="0.25">
      <c r="A8" t="s">
        <v>9836</v>
      </c>
      <c r="C8" t="s">
        <v>7913</v>
      </c>
      <c r="D8" t="s">
        <v>9761</v>
      </c>
      <c r="E8" t="s">
        <v>393</v>
      </c>
      <c r="F8" t="s">
        <v>1912</v>
      </c>
      <c r="G8" t="s">
        <v>9758</v>
      </c>
      <c r="I8">
        <v>6556</v>
      </c>
      <c r="J8">
        <v>74316</v>
      </c>
      <c r="K8" t="s">
        <v>9086</v>
      </c>
      <c r="L8" t="s">
        <v>9088</v>
      </c>
      <c r="M8" s="33"/>
      <c r="N8" s="34" t="s">
        <v>9857</v>
      </c>
      <c r="O8" s="34">
        <v>30</v>
      </c>
      <c r="P8">
        <v>56</v>
      </c>
      <c r="Q8">
        <v>178</v>
      </c>
      <c r="R8" t="str">
        <f xml:space="preserve">
IF(GamesTable[[#This Row],[JAMMA]]="YES","JAMMA","")&amp;
IF(GamesTable[[#This Row],[MVS]]="YES","MVS","")&amp;
IF(GamesTable[[#This Row],[AES]]="YES","AES","")&amp;
IF(GamesTable[[#This Row],[NGCD]]="YES","NGCD","")&amp;
IF(GamesTable[[#This Row],[ROM]]="YES","ROM","")</f>
        <v>NGCD</v>
      </c>
      <c r="S8" t="s">
        <v>10174</v>
      </c>
      <c r="T8" t="s">
        <v>10173</v>
      </c>
      <c r="U8" t="s">
        <v>10173</v>
      </c>
      <c r="V8" t="s">
        <v>10173</v>
      </c>
      <c r="X8">
        <v>1</v>
      </c>
      <c r="Y8">
        <v>1</v>
      </c>
      <c r="Z8">
        <v>2</v>
      </c>
      <c r="AA8">
        <v>4</v>
      </c>
      <c r="AB8" t="s">
        <v>5549</v>
      </c>
    </row>
    <row r="9" spans="1:28" x14ac:dyDescent="0.25">
      <c r="A9" t="s">
        <v>9836</v>
      </c>
      <c r="C9" t="s">
        <v>7881</v>
      </c>
      <c r="D9" t="s">
        <v>9842</v>
      </c>
      <c r="E9" t="s">
        <v>5315</v>
      </c>
      <c r="F9" t="s">
        <v>1912</v>
      </c>
      <c r="G9" t="s">
        <v>9843</v>
      </c>
      <c r="H9" t="s">
        <v>8136</v>
      </c>
      <c r="I9">
        <v>4260</v>
      </c>
      <c r="J9">
        <v>79932</v>
      </c>
      <c r="K9" t="s">
        <v>9086</v>
      </c>
      <c r="L9" t="s">
        <v>9088</v>
      </c>
      <c r="M9" s="33" t="s">
        <v>9753</v>
      </c>
      <c r="N9" s="34" t="s">
        <v>9883</v>
      </c>
      <c r="O9" s="34">
        <v>50</v>
      </c>
      <c r="P9">
        <v>45</v>
      </c>
      <c r="Q9">
        <v>118</v>
      </c>
      <c r="R9" t="str">
        <f xml:space="preserve">
IF(GamesTable[[#This Row],[JAMMA]]="YES","JAMMA","")&amp;
IF(GamesTable[[#This Row],[MVS]]="YES","MVS","")&amp;
IF(GamesTable[[#This Row],[AES]]="YES","AES","")&amp;
IF(GamesTable[[#This Row],[NGCD]]="YES","NGCD","")&amp;
IF(GamesTable[[#This Row],[ROM]]="YES","ROM","")</f>
        <v>MVSAESNGCD</v>
      </c>
      <c r="S9" t="s">
        <v>10174</v>
      </c>
      <c r="T9" t="s">
        <v>10173</v>
      </c>
      <c r="U9" t="s">
        <v>10174</v>
      </c>
      <c r="V9" t="s">
        <v>10173</v>
      </c>
      <c r="AB9" t="s">
        <v>5970</v>
      </c>
    </row>
    <row r="10" spans="1:28" x14ac:dyDescent="0.25">
      <c r="A10" t="s">
        <v>9836</v>
      </c>
      <c r="C10" t="s">
        <v>7924</v>
      </c>
      <c r="D10" t="s">
        <v>9848</v>
      </c>
      <c r="E10" t="s">
        <v>1280</v>
      </c>
      <c r="F10" t="s">
        <v>1912</v>
      </c>
      <c r="G10" t="s">
        <v>9849</v>
      </c>
      <c r="H10" t="s">
        <v>8137</v>
      </c>
      <c r="I10">
        <v>19988</v>
      </c>
      <c r="J10">
        <v>79936</v>
      </c>
      <c r="K10" t="s">
        <v>9086</v>
      </c>
      <c r="L10" t="s">
        <v>9088</v>
      </c>
      <c r="M10" s="33" t="s">
        <v>9753</v>
      </c>
      <c r="N10" s="34" t="s">
        <v>9886</v>
      </c>
      <c r="O10" s="34">
        <v>30</v>
      </c>
      <c r="P10">
        <v>222</v>
      </c>
      <c r="Q10">
        <v>378</v>
      </c>
      <c r="R10" t="str">
        <f xml:space="preserve">
IF(GamesTable[[#This Row],[JAMMA]]="YES","JAMMA","")&amp;
IF(GamesTable[[#This Row],[MVS]]="YES","MVS","")&amp;
IF(GamesTable[[#This Row],[AES]]="YES","AES","")&amp;
IF(GamesTable[[#This Row],[NGCD]]="YES","NGCD","")&amp;
IF(GamesTable[[#This Row],[ROM]]="YES","ROM","")</f>
        <v>MVSAESNGCD</v>
      </c>
      <c r="S10" t="s">
        <v>10174</v>
      </c>
      <c r="T10" t="s">
        <v>10173</v>
      </c>
      <c r="U10" t="s">
        <v>10174</v>
      </c>
      <c r="V10" t="s">
        <v>10173</v>
      </c>
      <c r="AB10" t="s">
        <v>3375</v>
      </c>
    </row>
    <row r="11" spans="1:28" x14ac:dyDescent="0.25">
      <c r="A11" t="s">
        <v>9836</v>
      </c>
      <c r="C11" t="s">
        <v>7925</v>
      </c>
      <c r="D11" t="s">
        <v>9850</v>
      </c>
      <c r="E11" t="s">
        <v>195</v>
      </c>
      <c r="F11" t="s">
        <v>1374</v>
      </c>
      <c r="G11" t="s">
        <v>9851</v>
      </c>
      <c r="H11" t="s">
        <v>8090</v>
      </c>
      <c r="I11">
        <v>6026</v>
      </c>
      <c r="J11">
        <v>79937</v>
      </c>
      <c r="K11" t="s">
        <v>9086</v>
      </c>
      <c r="L11" t="s">
        <v>9088</v>
      </c>
      <c r="M11" s="33"/>
      <c r="N11" s="34" t="s">
        <v>9887</v>
      </c>
      <c r="O11" s="34">
        <v>40</v>
      </c>
      <c r="P11">
        <v>270</v>
      </c>
      <c r="Q11">
        <v>708</v>
      </c>
      <c r="R11" t="str">
        <f xml:space="preserve">
IF(GamesTable[[#This Row],[JAMMA]]="YES","JAMMA","")&amp;
IF(GamesTable[[#This Row],[MVS]]="YES","MVS","")&amp;
IF(GamesTable[[#This Row],[AES]]="YES","AES","")&amp;
IF(GamesTable[[#This Row],[NGCD]]="YES","NGCD","")&amp;
IF(GamesTable[[#This Row],[ROM]]="YES","ROM","")</f>
        <v>MVSAESNGCD</v>
      </c>
      <c r="S11" t="s">
        <v>10174</v>
      </c>
      <c r="T11" t="s">
        <v>10173</v>
      </c>
      <c r="U11" t="s">
        <v>10174</v>
      </c>
      <c r="V11" t="s">
        <v>10174</v>
      </c>
      <c r="AB11" t="s">
        <v>270</v>
      </c>
    </row>
    <row r="12" spans="1:28" x14ac:dyDescent="0.25">
      <c r="A12" t="s">
        <v>9836</v>
      </c>
      <c r="C12" t="s">
        <v>7880</v>
      </c>
      <c r="D12" t="s">
        <v>9852</v>
      </c>
      <c r="E12" t="s">
        <v>143</v>
      </c>
      <c r="F12" t="s">
        <v>1374</v>
      </c>
      <c r="G12" t="s">
        <v>9853</v>
      </c>
      <c r="H12" t="s">
        <v>8089</v>
      </c>
      <c r="I12">
        <v>39566</v>
      </c>
      <c r="J12">
        <v>79939</v>
      </c>
      <c r="K12" t="s">
        <v>9086</v>
      </c>
      <c r="L12" t="s">
        <v>9088</v>
      </c>
      <c r="M12" s="33"/>
      <c r="N12" s="34" t="s">
        <v>9888</v>
      </c>
      <c r="O12" s="34">
        <v>35</v>
      </c>
      <c r="P12">
        <v>272</v>
      </c>
      <c r="Q12">
        <v>708</v>
      </c>
      <c r="R12" t="str">
        <f xml:space="preserve">
IF(GamesTable[[#This Row],[JAMMA]]="YES","JAMMA","")&amp;
IF(GamesTable[[#This Row],[MVS]]="YES","MVS","")&amp;
IF(GamesTable[[#This Row],[AES]]="YES","AES","")&amp;
IF(GamesTable[[#This Row],[NGCD]]="YES","NGCD","")&amp;
IF(GamesTable[[#This Row],[ROM]]="YES","ROM","")</f>
        <v>MVSAESNGCD</v>
      </c>
      <c r="S12" t="s">
        <v>10174</v>
      </c>
      <c r="T12" t="s">
        <v>10173</v>
      </c>
      <c r="U12" t="s">
        <v>10174</v>
      </c>
      <c r="V12" t="s">
        <v>10174</v>
      </c>
      <c r="AB12" t="s">
        <v>1367</v>
      </c>
    </row>
  </sheetData>
  <phoneticPr fontId="7" type="noConversion"/>
  <pageMargins left="0.7" right="0.7" top="0.75" bottom="0.75" header="0.3" footer="0.3"/>
  <pageSetup orientation="portrait" horizontalDpi="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9F89C-59C9-45A8-91AB-6F78C0A01CB9}">
  <sheetPr codeName="Sheet1">
    <tabColor rgb="FF00B0F0"/>
  </sheetPr>
  <dimension ref="A1:AC235"/>
  <sheetViews>
    <sheetView zoomScaleNormal="100" workbookViewId="0">
      <pane xSplit="5" ySplit="1" topLeftCell="S124" activePane="bottomRight" state="frozen"/>
      <selection pane="topRight" activeCell="F1" sqref="F1"/>
      <selection pane="bottomLeft" activeCell="A2" sqref="A2"/>
      <selection pane="bottomRight" activeCell="A159" sqref="A159:XFD161"/>
    </sheetView>
  </sheetViews>
  <sheetFormatPr defaultRowHeight="15" x14ac:dyDescent="0.25"/>
  <cols>
    <col min="1" max="1" width="16.28515625" bestFit="1" customWidth="1"/>
    <col min="2" max="2" width="4.140625" bestFit="1" customWidth="1"/>
    <col min="3" max="3" width="16.28515625" customWidth="1"/>
    <col min="4" max="4" width="74.5703125" bestFit="1" customWidth="1"/>
    <col min="5" max="5" width="6.7109375" bestFit="1" customWidth="1"/>
    <col min="6" max="6" width="11.28515625" customWidth="1"/>
    <col min="7" max="8" width="20.85546875" customWidth="1"/>
    <col min="9" max="9" width="9.28515625" bestFit="1" customWidth="1"/>
    <col min="11" max="11" width="19.85546875" bestFit="1" customWidth="1"/>
    <col min="12" max="12" width="17.85546875" bestFit="1" customWidth="1"/>
    <col min="13" max="13" width="25.42578125" style="32" bestFit="1" customWidth="1"/>
    <col min="14" max="14" width="63.7109375" bestFit="1" customWidth="1"/>
    <col min="15" max="15" width="15.28515625" bestFit="1" customWidth="1"/>
    <col min="18" max="18" width="14.140625" bestFit="1" customWidth="1"/>
    <col min="28" max="28" width="17.5703125" customWidth="1"/>
  </cols>
  <sheetData>
    <row r="1" spans="1:29" x14ac:dyDescent="0.25">
      <c r="A1" s="4" t="s">
        <v>9837</v>
      </c>
      <c r="B1" s="4" t="s">
        <v>9840</v>
      </c>
      <c r="C1" s="4" t="s">
        <v>7769</v>
      </c>
      <c r="D1" s="4" t="s">
        <v>7770</v>
      </c>
      <c r="E1" s="4" t="s">
        <v>7761</v>
      </c>
      <c r="F1" s="4" t="s">
        <v>7760</v>
      </c>
      <c r="G1" s="6" t="s">
        <v>1218</v>
      </c>
      <c r="H1" s="9" t="s">
        <v>7932</v>
      </c>
      <c r="I1" s="9" t="s">
        <v>8158</v>
      </c>
      <c r="J1" s="7" t="s">
        <v>8978</v>
      </c>
      <c r="K1" s="7" t="s">
        <v>9085</v>
      </c>
      <c r="L1" s="7" t="s">
        <v>9087</v>
      </c>
      <c r="M1" s="31" t="s">
        <v>9752</v>
      </c>
      <c r="N1" s="7" t="s">
        <v>9896</v>
      </c>
      <c r="O1" s="7" t="s">
        <v>9895</v>
      </c>
      <c r="P1" s="7" t="s">
        <v>9763</v>
      </c>
      <c r="Q1" s="7" t="s">
        <v>9898</v>
      </c>
      <c r="R1" s="7" t="s">
        <v>10179</v>
      </c>
      <c r="S1" s="7" t="s">
        <v>9747</v>
      </c>
      <c r="T1" s="7" t="s">
        <v>106</v>
      </c>
      <c r="U1" s="7" t="s">
        <v>35</v>
      </c>
      <c r="V1" s="7" t="s">
        <v>10172</v>
      </c>
      <c r="W1" s="7" t="s">
        <v>10178</v>
      </c>
      <c r="X1" s="7" t="s">
        <v>10186</v>
      </c>
      <c r="Y1" s="7" t="s">
        <v>10187</v>
      </c>
      <c r="Z1" s="7" t="s">
        <v>10188</v>
      </c>
      <c r="AA1" s="7" t="s">
        <v>10189</v>
      </c>
      <c r="AB1" s="7" t="s">
        <v>10239</v>
      </c>
    </row>
    <row r="2" spans="1:29" x14ac:dyDescent="0.25">
      <c r="A2" t="s">
        <v>9838</v>
      </c>
      <c r="M2" s="33"/>
      <c r="N2" s="58"/>
      <c r="O2" s="58"/>
    </row>
    <row r="3" spans="1:29" x14ac:dyDescent="0.25">
      <c r="A3" t="s">
        <v>9839</v>
      </c>
      <c r="M3" s="33"/>
      <c r="N3" s="58"/>
      <c r="O3" s="58"/>
    </row>
    <row r="4" spans="1:29" x14ac:dyDescent="0.25">
      <c r="A4" t="s">
        <v>9841</v>
      </c>
      <c r="M4" s="33"/>
      <c r="N4" s="58"/>
      <c r="O4" s="58"/>
    </row>
    <row r="5" spans="1:29" x14ac:dyDescent="0.25">
      <c r="A5" t="s">
        <v>9836</v>
      </c>
      <c r="C5" t="s">
        <v>7774</v>
      </c>
      <c r="D5" t="s">
        <v>7937</v>
      </c>
      <c r="E5" t="s">
        <v>6279</v>
      </c>
      <c r="F5" t="s">
        <v>6518</v>
      </c>
      <c r="G5" t="s">
        <v>6508</v>
      </c>
      <c r="H5" t="s">
        <v>8022</v>
      </c>
      <c r="I5">
        <v>39665</v>
      </c>
      <c r="J5">
        <v>73881</v>
      </c>
      <c r="K5" t="s">
        <v>9086</v>
      </c>
      <c r="L5" t="s">
        <v>9088</v>
      </c>
      <c r="M5" s="33"/>
      <c r="N5" s="34"/>
      <c r="O5" s="34"/>
      <c r="P5">
        <v>30</v>
      </c>
      <c r="Q5">
        <v>46</v>
      </c>
      <c r="R5" t="str">
        <f xml:space="preserve">
IF(GamesTable[[#This Row],[JAMMA]]="YES","JAMMA","")&amp;
IF(GamesTable[[#This Row],[MVS]]="YES","MVS","")&amp;
IF(GamesTable[[#This Row],[AES]]="YES","AES","")&amp;
IF(GamesTable[[#This Row],[NGCD]]="YES","NGCD","")&amp;
IF(GamesTable[[#This Row],[ROM]]="YES","ROM","")</f>
        <v>MVSAESNGCD</v>
      </c>
      <c r="S5" t="s">
        <v>10174</v>
      </c>
      <c r="T5" t="s">
        <v>10173</v>
      </c>
      <c r="U5" t="s">
        <v>10173</v>
      </c>
      <c r="V5" t="s">
        <v>10173</v>
      </c>
      <c r="X5">
        <v>2</v>
      </c>
      <c r="Y5">
        <v>1</v>
      </c>
      <c r="Z5">
        <v>1</v>
      </c>
      <c r="AA5">
        <v>3</v>
      </c>
      <c r="AB5" t="s">
        <v>6513</v>
      </c>
    </row>
    <row r="6" spans="1:29" x14ac:dyDescent="0.25">
      <c r="A6" t="s">
        <v>9836</v>
      </c>
      <c r="C6" t="s">
        <v>7775</v>
      </c>
      <c r="D6" t="s">
        <v>10180</v>
      </c>
      <c r="E6" t="s">
        <v>5315</v>
      </c>
      <c r="F6" t="s">
        <v>1912</v>
      </c>
      <c r="G6" t="s">
        <v>10181</v>
      </c>
      <c r="H6" t="s">
        <v>8023</v>
      </c>
      <c r="I6">
        <v>6734</v>
      </c>
      <c r="J6">
        <v>73887</v>
      </c>
      <c r="K6" t="s">
        <v>9086</v>
      </c>
      <c r="L6" t="s">
        <v>9088</v>
      </c>
      <c r="M6" s="33"/>
      <c r="N6" s="34"/>
      <c r="O6" s="34"/>
      <c r="P6">
        <v>43</v>
      </c>
      <c r="Q6">
        <v>106</v>
      </c>
      <c r="R6" t="str">
        <f xml:space="preserve">
IF(GamesTable[[#This Row],[JAMMA]]="YES","JAMMA","")&amp;
IF(GamesTable[[#This Row],[MVS]]="YES","MVS","")&amp;
IF(GamesTable[[#This Row],[AES]]="YES","AES","")&amp;
IF(GamesTable[[#This Row],[NGCD]]="YES","NGCD","")&amp;
IF(GamesTable[[#This Row],[ROM]]="YES","ROM","")</f>
        <v>MVSAESNGCD</v>
      </c>
      <c r="S6" t="s">
        <v>10174</v>
      </c>
      <c r="T6" t="s">
        <v>10173</v>
      </c>
      <c r="U6" t="s">
        <v>10173</v>
      </c>
      <c r="V6" t="s">
        <v>10173</v>
      </c>
      <c r="X6">
        <v>1</v>
      </c>
      <c r="Y6">
        <v>1</v>
      </c>
      <c r="Z6">
        <v>2</v>
      </c>
      <c r="AA6">
        <v>2</v>
      </c>
      <c r="AB6" t="s">
        <v>6052</v>
      </c>
      <c r="AC6" s="62"/>
    </row>
    <row r="7" spans="1:29" x14ac:dyDescent="0.25">
      <c r="A7" t="s">
        <v>9836</v>
      </c>
      <c r="C7" t="s">
        <v>9029</v>
      </c>
      <c r="D7" t="s">
        <v>9028</v>
      </c>
      <c r="E7">
        <v>2021</v>
      </c>
      <c r="F7" t="s">
        <v>9030</v>
      </c>
      <c r="J7">
        <v>255400</v>
      </c>
      <c r="K7" t="s">
        <v>8986</v>
      </c>
      <c r="L7" t="s">
        <v>9089</v>
      </c>
      <c r="M7" s="33"/>
      <c r="N7" s="34"/>
      <c r="O7" s="34"/>
      <c r="R7" t="str">
        <f xml:space="preserve">
IF(GamesTable[[#This Row],[JAMMA]]="YES","JAMMA","")&amp;
IF(GamesTable[[#This Row],[MVS]]="YES","MVS","")&amp;
IF(GamesTable[[#This Row],[AES]]="YES","AES","")&amp;
IF(GamesTable[[#This Row],[NGCD]]="YES","NGCD","")&amp;
IF(GamesTable[[#This Row],[ROM]]="YES","ROM","")</f>
        <v>ROM</v>
      </c>
      <c r="S7" t="s">
        <v>10174</v>
      </c>
      <c r="T7" t="s">
        <v>10174</v>
      </c>
      <c r="U7" t="s">
        <v>10174</v>
      </c>
      <c r="V7" t="s">
        <v>10174</v>
      </c>
      <c r="W7" t="s">
        <v>10173</v>
      </c>
      <c r="AB7" t="s">
        <v>10238</v>
      </c>
    </row>
    <row r="8" spans="1:29" x14ac:dyDescent="0.25">
      <c r="A8" t="s">
        <v>9836</v>
      </c>
      <c r="C8" t="s">
        <v>10166</v>
      </c>
      <c r="D8" t="s">
        <v>9401</v>
      </c>
      <c r="E8">
        <v>1995</v>
      </c>
      <c r="F8" t="s">
        <v>3770</v>
      </c>
      <c r="G8" t="s">
        <v>10167</v>
      </c>
      <c r="J8">
        <v>252643</v>
      </c>
      <c r="K8" t="s">
        <v>9086</v>
      </c>
      <c r="L8" t="s">
        <v>9088</v>
      </c>
      <c r="M8" s="57" t="s">
        <v>9753</v>
      </c>
      <c r="N8" s="34"/>
      <c r="O8" s="34"/>
      <c r="P8">
        <v>91</v>
      </c>
      <c r="R8" t="str">
        <f xml:space="preserve">
IF(GamesTable[[#This Row],[JAMMA]]="YES","JAMMA","")&amp;
IF(GamesTable[[#This Row],[MVS]]="YES","MVS","")&amp;
IF(GamesTable[[#This Row],[AES]]="YES","AES","")&amp;
IF(GamesTable[[#This Row],[NGCD]]="YES","NGCD","")&amp;
IF(GamesTable[[#This Row],[ROM]]="YES","ROM","")</f>
        <v>NGCD</v>
      </c>
      <c r="S8" t="s">
        <v>10174</v>
      </c>
      <c r="T8" t="s">
        <v>10174</v>
      </c>
      <c r="U8" t="s">
        <v>10174</v>
      </c>
      <c r="V8" t="s">
        <v>10173</v>
      </c>
    </row>
    <row r="9" spans="1:29" x14ac:dyDescent="0.25">
      <c r="A9" t="s">
        <v>9836</v>
      </c>
      <c r="C9" t="s">
        <v>7889</v>
      </c>
      <c r="D9" t="s">
        <v>10182</v>
      </c>
      <c r="E9" t="s">
        <v>393</v>
      </c>
      <c r="F9" t="s">
        <v>2929</v>
      </c>
      <c r="G9" t="s">
        <v>10183</v>
      </c>
      <c r="H9" t="s">
        <v>8095</v>
      </c>
      <c r="I9">
        <v>6773</v>
      </c>
      <c r="J9">
        <v>74020</v>
      </c>
      <c r="K9" t="s">
        <v>9086</v>
      </c>
      <c r="L9" t="s">
        <v>9088</v>
      </c>
      <c r="M9" s="33"/>
      <c r="N9" s="34" t="s">
        <v>10175</v>
      </c>
      <c r="O9" s="34">
        <v>500</v>
      </c>
      <c r="P9">
        <v>75</v>
      </c>
      <c r="Q9">
        <v>102</v>
      </c>
      <c r="R9" t="str">
        <f xml:space="preserve">
IF(GamesTable[[#This Row],[JAMMA]]="YES","JAMMA","")&amp;
IF(GamesTable[[#This Row],[MVS]]="YES","MVS","")&amp;
IF(GamesTable[[#This Row],[AES]]="YES","AES","")&amp;
IF(GamesTable[[#This Row],[NGCD]]="YES","NGCD","")&amp;
IF(GamesTable[[#This Row],[ROM]]="YES","ROM","")</f>
        <v>MVSAESNGCD</v>
      </c>
      <c r="S9" t="s">
        <v>10174</v>
      </c>
      <c r="T9" t="s">
        <v>10173</v>
      </c>
      <c r="U9" t="s">
        <v>10173</v>
      </c>
      <c r="V9" t="s">
        <v>10173</v>
      </c>
      <c r="X9">
        <v>3</v>
      </c>
      <c r="Y9">
        <v>3</v>
      </c>
      <c r="Z9">
        <v>1</v>
      </c>
      <c r="AA9">
        <v>3</v>
      </c>
      <c r="AB9" t="s">
        <v>4947</v>
      </c>
    </row>
    <row r="10" spans="1:29" x14ac:dyDescent="0.25">
      <c r="A10" t="s">
        <v>9836</v>
      </c>
      <c r="C10" t="s">
        <v>7890</v>
      </c>
      <c r="D10" t="s">
        <v>10185</v>
      </c>
      <c r="E10" t="s">
        <v>1239</v>
      </c>
      <c r="F10" t="s">
        <v>2929</v>
      </c>
      <c r="G10" t="s">
        <v>10184</v>
      </c>
      <c r="H10" t="s">
        <v>8096</v>
      </c>
      <c r="I10">
        <v>55051</v>
      </c>
      <c r="J10">
        <v>74021</v>
      </c>
      <c r="K10" t="s">
        <v>9086</v>
      </c>
      <c r="L10" t="s">
        <v>9088</v>
      </c>
      <c r="M10" s="33"/>
      <c r="N10" s="34"/>
      <c r="O10" s="34"/>
      <c r="P10">
        <v>97</v>
      </c>
      <c r="Q10">
        <v>154</v>
      </c>
      <c r="R10" t="str">
        <f xml:space="preserve">
IF(GamesTable[[#This Row],[JAMMA]]="YES","JAMMA","")&amp;
IF(GamesTable[[#This Row],[MVS]]="YES","MVS","")&amp;
IF(GamesTable[[#This Row],[AES]]="YES","AES","")&amp;
IF(GamesTable[[#This Row],[NGCD]]="YES","NGCD","")&amp;
IF(GamesTable[[#This Row],[ROM]]="YES","ROM","")</f>
        <v>MVSAESNGCD</v>
      </c>
      <c r="S10" t="s">
        <v>10174</v>
      </c>
      <c r="T10" t="s">
        <v>10173</v>
      </c>
      <c r="U10" t="s">
        <v>10173</v>
      </c>
      <c r="V10" t="s">
        <v>10173</v>
      </c>
      <c r="X10">
        <v>3</v>
      </c>
      <c r="Y10">
        <v>2</v>
      </c>
      <c r="Z10">
        <v>2</v>
      </c>
      <c r="AA10">
        <v>3</v>
      </c>
      <c r="AB10" t="s">
        <v>4015</v>
      </c>
      <c r="AC10" s="62"/>
    </row>
    <row r="11" spans="1:29" x14ac:dyDescent="0.25">
      <c r="A11" t="s">
        <v>9836</v>
      </c>
      <c r="C11" t="s">
        <v>7778</v>
      </c>
      <c r="D11" t="s">
        <v>9754</v>
      </c>
      <c r="E11" t="s">
        <v>393</v>
      </c>
      <c r="F11" t="s">
        <v>3275</v>
      </c>
      <c r="G11" t="s">
        <v>9755</v>
      </c>
      <c r="H11" t="s">
        <v>8026</v>
      </c>
      <c r="I11">
        <v>39336</v>
      </c>
      <c r="J11">
        <v>74043</v>
      </c>
      <c r="K11" t="s">
        <v>9086</v>
      </c>
      <c r="L11" t="s">
        <v>9088</v>
      </c>
      <c r="M11" s="33"/>
      <c r="N11" s="34" t="s">
        <v>9855</v>
      </c>
      <c r="O11" s="34">
        <v>40</v>
      </c>
      <c r="P11">
        <v>74</v>
      </c>
      <c r="Q11">
        <v>178</v>
      </c>
      <c r="R11" t="str">
        <f xml:space="preserve">
IF(GamesTable[[#This Row],[JAMMA]]="YES","JAMMA","")&amp;
IF(GamesTable[[#This Row],[MVS]]="YES","MVS","")&amp;
IF(GamesTable[[#This Row],[AES]]="YES","AES","")&amp;
IF(GamesTable[[#This Row],[NGCD]]="YES","NGCD","")&amp;
IF(GamesTable[[#This Row],[ROM]]="YES","ROM","")</f>
        <v>MVSAESNGCD</v>
      </c>
      <c r="S11" t="s">
        <v>10174</v>
      </c>
      <c r="T11" t="s">
        <v>10173</v>
      </c>
      <c r="U11" t="s">
        <v>10173</v>
      </c>
      <c r="V11" t="s">
        <v>10173</v>
      </c>
      <c r="X11">
        <v>2</v>
      </c>
      <c r="Y11">
        <v>2</v>
      </c>
      <c r="Z11">
        <v>1</v>
      </c>
      <c r="AA11">
        <v>1</v>
      </c>
      <c r="AB11" t="s">
        <v>4991</v>
      </c>
    </row>
    <row r="12" spans="1:29" x14ac:dyDescent="0.25">
      <c r="A12" t="s">
        <v>9836</v>
      </c>
      <c r="C12" t="s">
        <v>7776</v>
      </c>
      <c r="D12" t="s">
        <v>10190</v>
      </c>
      <c r="E12" t="s">
        <v>6279</v>
      </c>
      <c r="F12" t="s">
        <v>1912</v>
      </c>
      <c r="G12" t="s">
        <v>10191</v>
      </c>
      <c r="H12" t="s">
        <v>8024</v>
      </c>
      <c r="I12">
        <v>13681</v>
      </c>
      <c r="J12">
        <v>74141</v>
      </c>
      <c r="K12" t="s">
        <v>9086</v>
      </c>
      <c r="L12" t="s">
        <v>9088</v>
      </c>
      <c r="M12" s="33"/>
      <c r="N12" s="34"/>
      <c r="O12" s="34"/>
      <c r="P12">
        <v>7</v>
      </c>
      <c r="Q12">
        <v>47</v>
      </c>
      <c r="R12" t="str">
        <f xml:space="preserve">
IF(GamesTable[[#This Row],[JAMMA]]="YES","JAMMA","")&amp;
IF(GamesTable[[#This Row],[MVS]]="YES","MVS","")&amp;
IF(GamesTable[[#This Row],[AES]]="YES","AES","")&amp;
IF(GamesTable[[#This Row],[NGCD]]="YES","NGCD","")&amp;
IF(GamesTable[[#This Row],[ROM]]="YES","ROM","")</f>
        <v>MVSAESNGCD</v>
      </c>
      <c r="S12" t="s">
        <v>10174</v>
      </c>
      <c r="T12" t="s">
        <v>10173</v>
      </c>
      <c r="U12" t="s">
        <v>10173</v>
      </c>
      <c r="V12" t="s">
        <v>10173</v>
      </c>
      <c r="X12">
        <v>2</v>
      </c>
      <c r="Y12">
        <v>2</v>
      </c>
      <c r="Z12">
        <v>2</v>
      </c>
      <c r="AA12">
        <v>2</v>
      </c>
      <c r="AB12" t="s">
        <v>7403</v>
      </c>
      <c r="AC12" s="62"/>
    </row>
    <row r="13" spans="1:29" x14ac:dyDescent="0.25">
      <c r="A13" t="s">
        <v>9836</v>
      </c>
      <c r="C13" t="s">
        <v>7777</v>
      </c>
      <c r="D13" t="s">
        <v>7943</v>
      </c>
      <c r="E13" t="s">
        <v>5639</v>
      </c>
      <c r="F13" t="s">
        <v>1912</v>
      </c>
      <c r="G13" t="s">
        <v>5806</v>
      </c>
      <c r="H13" t="s">
        <v>8025</v>
      </c>
      <c r="I13">
        <v>39622</v>
      </c>
      <c r="J13">
        <v>29801</v>
      </c>
      <c r="K13" t="s">
        <v>9086</v>
      </c>
      <c r="L13" t="s">
        <v>9088</v>
      </c>
      <c r="M13" s="33"/>
      <c r="N13" s="34"/>
      <c r="O13" s="34"/>
      <c r="P13">
        <v>49</v>
      </c>
      <c r="Q13">
        <v>32</v>
      </c>
      <c r="R13" t="str">
        <f xml:space="preserve">
IF(GamesTable[[#This Row],[JAMMA]]="YES","JAMMA","")&amp;
IF(GamesTable[[#This Row],[MVS]]="YES","MVS","")&amp;
IF(GamesTable[[#This Row],[AES]]="YES","AES","")&amp;
IF(GamesTable[[#This Row],[NGCD]]="YES","NGCD","")&amp;
IF(GamesTable[[#This Row],[ROM]]="YES","ROM","")</f>
        <v>MVSAES</v>
      </c>
      <c r="S13" t="s">
        <v>10174</v>
      </c>
      <c r="T13" t="s">
        <v>10173</v>
      </c>
      <c r="U13" t="s">
        <v>10173</v>
      </c>
      <c r="V13" t="s">
        <v>10174</v>
      </c>
      <c r="X13">
        <v>3</v>
      </c>
      <c r="Y13">
        <v>2</v>
      </c>
      <c r="AA13">
        <v>3</v>
      </c>
      <c r="AB13" t="s">
        <v>5816</v>
      </c>
    </row>
    <row r="14" spans="1:29" x14ac:dyDescent="0.25">
      <c r="A14" t="s">
        <v>9836</v>
      </c>
      <c r="C14" t="s">
        <v>7779</v>
      </c>
      <c r="D14" t="s">
        <v>9756</v>
      </c>
      <c r="E14" t="s">
        <v>5639</v>
      </c>
      <c r="F14" t="s">
        <v>1912</v>
      </c>
      <c r="G14" t="s">
        <v>9757</v>
      </c>
      <c r="H14" t="s">
        <v>8027</v>
      </c>
      <c r="I14">
        <v>4514</v>
      </c>
      <c r="J14">
        <v>74315</v>
      </c>
      <c r="K14" t="s">
        <v>9086</v>
      </c>
      <c r="L14" t="s">
        <v>9088</v>
      </c>
      <c r="M14" s="33"/>
      <c r="N14" s="34" t="s">
        <v>9856</v>
      </c>
      <c r="O14" s="34">
        <v>30</v>
      </c>
      <c r="P14">
        <v>44</v>
      </c>
      <c r="Q14">
        <v>102</v>
      </c>
      <c r="R14" t="str">
        <f xml:space="preserve">
IF(GamesTable[[#This Row],[JAMMA]]="YES","JAMMA","")&amp;
IF(GamesTable[[#This Row],[MVS]]="YES","MVS","")&amp;
IF(GamesTable[[#This Row],[AES]]="YES","AES","")&amp;
IF(GamesTable[[#This Row],[NGCD]]="YES","NGCD","")&amp;
IF(GamesTable[[#This Row],[ROM]]="YES","ROM","")</f>
        <v>MVSAESNGCD</v>
      </c>
      <c r="S14" t="s">
        <v>10174</v>
      </c>
      <c r="T14" t="s">
        <v>10173</v>
      </c>
      <c r="U14" t="s">
        <v>10173</v>
      </c>
      <c r="V14" t="s">
        <v>10173</v>
      </c>
      <c r="X14">
        <v>1</v>
      </c>
      <c r="Y14">
        <v>1</v>
      </c>
      <c r="Z14">
        <v>2</v>
      </c>
      <c r="AA14">
        <v>3</v>
      </c>
      <c r="AB14" t="s">
        <v>6020</v>
      </c>
    </row>
    <row r="15" spans="1:29" x14ac:dyDescent="0.25">
      <c r="A15" t="s">
        <v>9836</v>
      </c>
      <c r="C15" t="s">
        <v>7913</v>
      </c>
      <c r="D15" t="s">
        <v>9761</v>
      </c>
      <c r="E15" t="s">
        <v>393</v>
      </c>
      <c r="F15" t="s">
        <v>1912</v>
      </c>
      <c r="G15" t="s">
        <v>9758</v>
      </c>
      <c r="I15">
        <v>6556</v>
      </c>
      <c r="J15">
        <v>74316</v>
      </c>
      <c r="K15" t="s">
        <v>9086</v>
      </c>
      <c r="L15" t="s">
        <v>9088</v>
      </c>
      <c r="M15" s="33"/>
      <c r="N15" s="34" t="s">
        <v>9857</v>
      </c>
      <c r="O15" s="34">
        <v>30</v>
      </c>
      <c r="P15">
        <v>56</v>
      </c>
      <c r="Q15">
        <v>178</v>
      </c>
      <c r="R15" t="str">
        <f xml:space="preserve">
IF(GamesTable[[#This Row],[JAMMA]]="YES","JAMMA","")&amp;
IF(GamesTable[[#This Row],[MVS]]="YES","MVS","")&amp;
IF(GamesTable[[#This Row],[AES]]="YES","AES","")&amp;
IF(GamesTable[[#This Row],[NGCD]]="YES","NGCD","")&amp;
IF(GamesTable[[#This Row],[ROM]]="YES","ROM","")</f>
        <v>MVSAESNGCD</v>
      </c>
      <c r="S15" t="s">
        <v>10174</v>
      </c>
      <c r="T15" t="s">
        <v>10173</v>
      </c>
      <c r="U15" t="s">
        <v>10173</v>
      </c>
      <c r="V15" t="s">
        <v>10173</v>
      </c>
      <c r="X15">
        <v>1</v>
      </c>
      <c r="Y15">
        <v>1</v>
      </c>
      <c r="Z15">
        <v>2</v>
      </c>
      <c r="AA15">
        <v>4</v>
      </c>
      <c r="AB15" t="s">
        <v>5549</v>
      </c>
    </row>
    <row r="16" spans="1:29" x14ac:dyDescent="0.25">
      <c r="A16" t="s">
        <v>9836</v>
      </c>
      <c r="C16" t="s">
        <v>7914</v>
      </c>
      <c r="D16" t="s">
        <v>9760</v>
      </c>
      <c r="E16" t="s">
        <v>1280</v>
      </c>
      <c r="F16" t="s">
        <v>1912</v>
      </c>
      <c r="G16" t="s">
        <v>9759</v>
      </c>
      <c r="J16">
        <v>29804</v>
      </c>
      <c r="K16" t="s">
        <v>9086</v>
      </c>
      <c r="L16" t="s">
        <v>9088</v>
      </c>
      <c r="M16" s="33"/>
      <c r="N16" s="34" t="s">
        <v>9858</v>
      </c>
      <c r="O16" s="34">
        <v>30</v>
      </c>
      <c r="P16">
        <v>96</v>
      </c>
      <c r="Q16">
        <v>298</v>
      </c>
      <c r="R16" t="str">
        <f xml:space="preserve">
IF(GamesTable[[#This Row],[JAMMA]]="YES","JAMMA","")&amp;
IF(GamesTable[[#This Row],[MVS]]="YES","MVS","")&amp;
IF(GamesTable[[#This Row],[AES]]="YES","AES","")&amp;
IF(GamesTable[[#This Row],[NGCD]]="YES","NGCD","")&amp;
IF(GamesTable[[#This Row],[ROM]]="YES","ROM","")</f>
        <v>MVSAESNGCD</v>
      </c>
      <c r="S16" t="s">
        <v>10174</v>
      </c>
      <c r="T16" t="s">
        <v>10173</v>
      </c>
      <c r="U16" t="s">
        <v>10173</v>
      </c>
      <c r="V16" t="s">
        <v>10173</v>
      </c>
      <c r="X16">
        <v>1</v>
      </c>
      <c r="Y16">
        <v>4</v>
      </c>
      <c r="Z16">
        <v>2</v>
      </c>
      <c r="AA16">
        <v>4</v>
      </c>
      <c r="AB16" t="s">
        <v>4058</v>
      </c>
    </row>
    <row r="17" spans="1:28" x14ac:dyDescent="0.25">
      <c r="A17" t="s">
        <v>9836</v>
      </c>
      <c r="C17" t="s">
        <v>7781</v>
      </c>
      <c r="D17" t="s">
        <v>7946</v>
      </c>
      <c r="E17" t="s">
        <v>6279</v>
      </c>
      <c r="F17" t="s">
        <v>6341</v>
      </c>
      <c r="G17" t="s">
        <v>6332</v>
      </c>
      <c r="I17">
        <v>47575</v>
      </c>
      <c r="J17">
        <v>74466</v>
      </c>
      <c r="K17" t="s">
        <v>9086</v>
      </c>
      <c r="L17" t="s">
        <v>9088</v>
      </c>
      <c r="M17" s="33" t="s">
        <v>9753</v>
      </c>
      <c r="N17" s="34"/>
      <c r="O17" s="34"/>
      <c r="P17">
        <v>36</v>
      </c>
      <c r="Q17">
        <v>48</v>
      </c>
      <c r="R17" t="str">
        <f xml:space="preserve">
IF(GamesTable[[#This Row],[JAMMA]]="YES","JAMMA","")&amp;
IF(GamesTable[[#This Row],[MVS]]="YES","MVS","")&amp;
IF(GamesTable[[#This Row],[AES]]="YES","AES","")&amp;
IF(GamesTable[[#This Row],[NGCD]]="YES","NGCD","")&amp;
IF(GamesTable[[#This Row],[ROM]]="YES","ROM","")</f>
        <v>MVSAES</v>
      </c>
      <c r="S17" t="s">
        <v>10174</v>
      </c>
      <c r="T17" t="s">
        <v>10173</v>
      </c>
      <c r="U17" t="s">
        <v>10173</v>
      </c>
      <c r="V17" t="s">
        <v>10174</v>
      </c>
      <c r="X17">
        <v>2</v>
      </c>
      <c r="Y17">
        <v>3</v>
      </c>
      <c r="AA17">
        <v>2</v>
      </c>
      <c r="AB17" t="s">
        <v>6343</v>
      </c>
    </row>
    <row r="18" spans="1:28" x14ac:dyDescent="0.25">
      <c r="A18" t="s">
        <v>9836</v>
      </c>
      <c r="C18" t="s">
        <v>7780</v>
      </c>
      <c r="D18" t="s">
        <v>2425</v>
      </c>
      <c r="E18" t="s">
        <v>959</v>
      </c>
      <c r="F18" t="s">
        <v>1859</v>
      </c>
      <c r="G18" t="s">
        <v>2424</v>
      </c>
      <c r="H18" t="s">
        <v>8124</v>
      </c>
      <c r="I18">
        <v>40189</v>
      </c>
      <c r="J18">
        <v>74495</v>
      </c>
      <c r="K18" t="s">
        <v>9034</v>
      </c>
      <c r="L18" t="s">
        <v>9088</v>
      </c>
      <c r="M18" s="33"/>
      <c r="N18" s="34"/>
      <c r="O18" s="34"/>
      <c r="Q18">
        <v>66</v>
      </c>
      <c r="R18" t="str">
        <f xml:space="preserve">
IF(GamesTable[[#This Row],[JAMMA]]="YES","JAMMA","")&amp;
IF(GamesTable[[#This Row],[MVS]]="YES","MVS","")&amp;
IF(GamesTable[[#This Row],[AES]]="YES","AES","")&amp;
IF(GamesTable[[#This Row],[NGCD]]="YES","NGCD","")&amp;
IF(GamesTable[[#This Row],[ROM]]="YES","ROM","")</f>
        <v/>
      </c>
      <c r="AB18" t="s">
        <v>2426</v>
      </c>
    </row>
    <row r="19" spans="1:28" x14ac:dyDescent="0.25">
      <c r="A19" t="s">
        <v>9836</v>
      </c>
      <c r="C19" t="s">
        <v>7782</v>
      </c>
      <c r="D19" t="s">
        <v>1860</v>
      </c>
      <c r="E19" t="s">
        <v>113</v>
      </c>
      <c r="F19" t="s">
        <v>1859</v>
      </c>
      <c r="G19" t="s">
        <v>1853</v>
      </c>
      <c r="J19">
        <v>74496</v>
      </c>
      <c r="K19" t="s">
        <v>9086</v>
      </c>
      <c r="L19" t="s">
        <v>9088</v>
      </c>
      <c r="M19" s="33"/>
      <c r="N19" s="34"/>
      <c r="O19" s="34"/>
      <c r="P19">
        <v>259</v>
      </c>
      <c r="Q19">
        <v>170</v>
      </c>
      <c r="R19" t="str">
        <f xml:space="preserve">
IF(GamesTable[[#This Row],[JAMMA]]="YES","JAMMA","")&amp;
IF(GamesTable[[#This Row],[MVS]]="YES","MVS","")&amp;
IF(GamesTable[[#This Row],[AES]]="YES","AES","")&amp;
IF(GamesTable[[#This Row],[NGCD]]="YES","NGCD","")&amp;
IF(GamesTable[[#This Row],[ROM]]="YES","ROM","")</f>
        <v>MVSAES</v>
      </c>
      <c r="S19" t="s">
        <v>10174</v>
      </c>
      <c r="T19" t="s">
        <v>10173</v>
      </c>
      <c r="U19" t="s">
        <v>10173</v>
      </c>
      <c r="V19" t="s">
        <v>10174</v>
      </c>
      <c r="AB19" t="s">
        <v>1861</v>
      </c>
    </row>
    <row r="20" spans="1:28" x14ac:dyDescent="0.25">
      <c r="A20" t="s">
        <v>9836</v>
      </c>
      <c r="C20" t="s">
        <v>7787</v>
      </c>
      <c r="D20" t="s">
        <v>7941</v>
      </c>
      <c r="E20" t="s">
        <v>3906</v>
      </c>
      <c r="F20" t="s">
        <v>1912</v>
      </c>
      <c r="G20" t="s">
        <v>7690</v>
      </c>
      <c r="H20" t="s">
        <v>8030</v>
      </c>
      <c r="I20">
        <v>39595</v>
      </c>
      <c r="J20">
        <v>74516</v>
      </c>
      <c r="K20" t="s">
        <v>9086</v>
      </c>
      <c r="L20" t="s">
        <v>9088</v>
      </c>
      <c r="M20" s="33"/>
      <c r="N20" s="34"/>
      <c r="O20" s="34"/>
      <c r="P20">
        <v>2</v>
      </c>
      <c r="Q20">
        <v>50</v>
      </c>
      <c r="R20" t="str">
        <f xml:space="preserve">
IF(GamesTable[[#This Row],[JAMMA]]="YES","JAMMA","")&amp;
IF(GamesTable[[#This Row],[MVS]]="YES","MVS","")&amp;
IF(GamesTable[[#This Row],[AES]]="YES","AES","")&amp;
IF(GamesTable[[#This Row],[NGCD]]="YES","NGCD","")&amp;
IF(GamesTable[[#This Row],[ROM]]="YES","ROM","")</f>
        <v>MVSNGCD</v>
      </c>
      <c r="S20" t="s">
        <v>10174</v>
      </c>
      <c r="T20" t="s">
        <v>10173</v>
      </c>
      <c r="U20" t="s">
        <v>10174</v>
      </c>
      <c r="V20" t="s">
        <v>10173</v>
      </c>
      <c r="X20">
        <v>1</v>
      </c>
      <c r="Y20">
        <v>1</v>
      </c>
      <c r="Z20">
        <v>3</v>
      </c>
      <c r="AA20">
        <v>3</v>
      </c>
      <c r="AB20" t="s">
        <v>7683</v>
      </c>
    </row>
    <row r="21" spans="1:28" x14ac:dyDescent="0.25">
      <c r="A21" t="s">
        <v>9836</v>
      </c>
      <c r="C21" t="s">
        <v>7915</v>
      </c>
      <c r="D21" t="s">
        <v>6119</v>
      </c>
      <c r="E21" t="s">
        <v>5639</v>
      </c>
      <c r="F21" t="s">
        <v>1912</v>
      </c>
      <c r="G21" t="s">
        <v>6110</v>
      </c>
      <c r="H21" t="s">
        <v>8031</v>
      </c>
      <c r="I21">
        <v>9942</v>
      </c>
      <c r="J21">
        <v>74515</v>
      </c>
      <c r="K21" t="s">
        <v>9086</v>
      </c>
      <c r="L21" t="s">
        <v>9088</v>
      </c>
      <c r="M21" s="33"/>
      <c r="N21" s="34"/>
      <c r="O21" s="34"/>
      <c r="P21">
        <v>41</v>
      </c>
      <c r="Q21">
        <v>68</v>
      </c>
      <c r="R21" t="str">
        <f xml:space="preserve">
IF(GamesTable[[#This Row],[JAMMA]]="YES","JAMMA","")&amp;
IF(GamesTable[[#This Row],[MVS]]="YES","MVS","")&amp;
IF(GamesTable[[#This Row],[AES]]="YES","AES","")&amp;
IF(GamesTable[[#This Row],[NGCD]]="YES","NGCD","")&amp;
IF(GamesTable[[#This Row],[ROM]]="YES","ROM","")</f>
        <v>MVSAESNGCD</v>
      </c>
      <c r="S21" t="s">
        <v>10174</v>
      </c>
      <c r="T21" t="s">
        <v>10173</v>
      </c>
      <c r="U21" t="s">
        <v>10173</v>
      </c>
      <c r="V21" t="s">
        <v>10173</v>
      </c>
      <c r="X21">
        <v>2</v>
      </c>
      <c r="Y21">
        <v>2</v>
      </c>
      <c r="Z21">
        <v>2</v>
      </c>
      <c r="AA21">
        <v>4</v>
      </c>
      <c r="AB21" t="s">
        <v>6120</v>
      </c>
    </row>
    <row r="22" spans="1:28" x14ac:dyDescent="0.25">
      <c r="A22" t="s">
        <v>9836</v>
      </c>
      <c r="C22" t="s">
        <v>7803</v>
      </c>
      <c r="D22" t="s">
        <v>2478</v>
      </c>
      <c r="E22">
        <v>1998</v>
      </c>
      <c r="F22" t="s">
        <v>1859</v>
      </c>
      <c r="G22" t="s">
        <v>2469</v>
      </c>
      <c r="H22" t="s">
        <v>8040</v>
      </c>
      <c r="I22">
        <v>75463</v>
      </c>
      <c r="J22">
        <v>74550</v>
      </c>
      <c r="K22" t="s">
        <v>9086</v>
      </c>
      <c r="L22" t="s">
        <v>9088</v>
      </c>
      <c r="M22" s="33"/>
      <c r="N22" s="34"/>
      <c r="O22" s="34"/>
      <c r="P22">
        <v>247</v>
      </c>
      <c r="Q22">
        <v>46</v>
      </c>
      <c r="R22" t="str">
        <f xml:space="preserve">
IF(GamesTable[[#This Row],[JAMMA]]="YES","JAMMA","")&amp;
IF(GamesTable[[#This Row],[MVS]]="YES","MVS","")&amp;
IF(GamesTable[[#This Row],[AES]]="YES","AES","")&amp;
IF(GamesTable[[#This Row],[NGCD]]="YES","NGCD","")&amp;
IF(GamesTable[[#This Row],[ROM]]="YES","ROM","")</f>
        <v>MVSAESNGCD</v>
      </c>
      <c r="S22" t="s">
        <v>10174</v>
      </c>
      <c r="T22" t="s">
        <v>10173</v>
      </c>
      <c r="U22" t="s">
        <v>10173</v>
      </c>
      <c r="V22" t="s">
        <v>10173</v>
      </c>
      <c r="AB22" t="s">
        <v>2479</v>
      </c>
    </row>
    <row r="23" spans="1:28" x14ac:dyDescent="0.25">
      <c r="A23" t="s">
        <v>9836</v>
      </c>
      <c r="C23" t="s">
        <v>7784</v>
      </c>
      <c r="D23" t="s">
        <v>2855</v>
      </c>
      <c r="E23">
        <v>1998</v>
      </c>
      <c r="F23" t="s">
        <v>2854</v>
      </c>
      <c r="G23" t="s">
        <v>2845</v>
      </c>
      <c r="H23" t="s">
        <v>8028</v>
      </c>
      <c r="I23">
        <v>10500</v>
      </c>
      <c r="J23">
        <v>74800</v>
      </c>
      <c r="K23" t="s">
        <v>9086</v>
      </c>
      <c r="L23" t="s">
        <v>9088</v>
      </c>
      <c r="M23" s="33"/>
      <c r="N23" s="34" t="s">
        <v>9899</v>
      </c>
      <c r="O23" s="34">
        <v>0</v>
      </c>
      <c r="P23">
        <v>239</v>
      </c>
      <c r="Q23">
        <v>346</v>
      </c>
      <c r="R23" t="str">
        <f xml:space="preserve">
IF(GamesTable[[#This Row],[JAMMA]]="YES","JAMMA","")&amp;
IF(GamesTable[[#This Row],[MVS]]="YES","MVS","")&amp;
IF(GamesTable[[#This Row],[AES]]="YES","AES","")&amp;
IF(GamesTable[[#This Row],[NGCD]]="YES","NGCD","")&amp;
IF(GamesTable[[#This Row],[ROM]]="YES","ROM","")</f>
        <v>MVSAES</v>
      </c>
      <c r="S23" t="s">
        <v>10174</v>
      </c>
      <c r="T23" t="s">
        <v>10173</v>
      </c>
      <c r="U23" t="s">
        <v>10173</v>
      </c>
      <c r="V23" t="s">
        <v>10174</v>
      </c>
      <c r="X23">
        <v>2</v>
      </c>
      <c r="Y23">
        <v>4</v>
      </c>
      <c r="AA23">
        <v>5</v>
      </c>
      <c r="AB23" t="s">
        <v>2856</v>
      </c>
    </row>
    <row r="24" spans="1:28" x14ac:dyDescent="0.25">
      <c r="A24" t="s">
        <v>9836</v>
      </c>
      <c r="C24" t="s">
        <v>9057</v>
      </c>
      <c r="D24" t="s">
        <v>9762</v>
      </c>
      <c r="E24" t="s">
        <v>9054</v>
      </c>
      <c r="F24" t="s">
        <v>5638</v>
      </c>
      <c r="K24" t="s">
        <v>9034</v>
      </c>
      <c r="L24" t="s">
        <v>9089</v>
      </c>
      <c r="M24" s="33"/>
      <c r="N24" s="34"/>
      <c r="O24" s="34"/>
      <c r="P24">
        <v>12</v>
      </c>
      <c r="R24" t="str">
        <f xml:space="preserve">
IF(GamesTable[[#This Row],[JAMMA]]="YES","JAMMA","")&amp;
IF(GamesTable[[#This Row],[MVS]]="YES","MVS","")&amp;
IF(GamesTable[[#This Row],[AES]]="YES","AES","")&amp;
IF(GamesTable[[#This Row],[NGCD]]="YES","NGCD","")&amp;
IF(GamesTable[[#This Row],[ROM]]="YES","ROM","")</f>
        <v/>
      </c>
    </row>
    <row r="25" spans="1:28" x14ac:dyDescent="0.25">
      <c r="A25" t="s">
        <v>9836</v>
      </c>
      <c r="C25" t="s">
        <v>7783</v>
      </c>
      <c r="D25" t="s">
        <v>9764</v>
      </c>
      <c r="E25" t="s">
        <v>3906</v>
      </c>
      <c r="F25" t="s">
        <v>5638</v>
      </c>
      <c r="G25" t="s">
        <v>9765</v>
      </c>
      <c r="H25" t="s">
        <v>8111</v>
      </c>
      <c r="I25">
        <v>39653</v>
      </c>
      <c r="J25">
        <v>74841</v>
      </c>
      <c r="K25" t="s">
        <v>9086</v>
      </c>
      <c r="L25" t="s">
        <v>9088</v>
      </c>
      <c r="M25" s="33"/>
      <c r="N25" s="34"/>
      <c r="O25" s="34"/>
      <c r="P25">
        <v>22</v>
      </c>
      <c r="Q25">
        <v>50</v>
      </c>
      <c r="R25" t="str">
        <f xml:space="preserve">
IF(GamesTable[[#This Row],[JAMMA]]="YES","JAMMA","")&amp;
IF(GamesTable[[#This Row],[MVS]]="YES","MVS","")&amp;
IF(GamesTable[[#This Row],[AES]]="YES","AES","")&amp;
IF(GamesTable[[#This Row],[NGCD]]="YES","NGCD","")&amp;
IF(GamesTable[[#This Row],[ROM]]="YES","ROM","")</f>
        <v>MVSAESNGCD</v>
      </c>
      <c r="S25" t="s">
        <v>10174</v>
      </c>
      <c r="T25" t="s">
        <v>10173</v>
      </c>
      <c r="U25" t="s">
        <v>10173</v>
      </c>
      <c r="V25" t="s">
        <v>10173</v>
      </c>
      <c r="X25">
        <v>2</v>
      </c>
      <c r="Y25">
        <v>1</v>
      </c>
      <c r="Z25">
        <v>1</v>
      </c>
      <c r="AA25">
        <v>3</v>
      </c>
      <c r="AB25" t="s">
        <v>6774</v>
      </c>
    </row>
    <row r="26" spans="1:28" x14ac:dyDescent="0.25">
      <c r="A26" t="s">
        <v>9836</v>
      </c>
      <c r="C26" t="s">
        <v>7785</v>
      </c>
      <c r="D26" t="s">
        <v>3149</v>
      </c>
      <c r="E26" t="s">
        <v>1280</v>
      </c>
      <c r="F26" t="s">
        <v>1859</v>
      </c>
      <c r="G26" t="s">
        <v>3143</v>
      </c>
      <c r="H26" t="s">
        <v>8029</v>
      </c>
      <c r="I26">
        <v>72533</v>
      </c>
      <c r="J26">
        <v>74943</v>
      </c>
      <c r="K26" t="s">
        <v>9086</v>
      </c>
      <c r="L26" t="s">
        <v>9088</v>
      </c>
      <c r="M26" s="33"/>
      <c r="N26" s="34"/>
      <c r="O26" s="34"/>
      <c r="P26">
        <v>230</v>
      </c>
      <c r="Q26">
        <v>210</v>
      </c>
      <c r="R26" t="str">
        <f xml:space="preserve">
IF(GamesTable[[#This Row],[JAMMA]]="YES","JAMMA","")&amp;
IF(GamesTable[[#This Row],[MVS]]="YES","MVS","")&amp;
IF(GamesTable[[#This Row],[AES]]="YES","AES","")&amp;
IF(GamesTable[[#This Row],[NGCD]]="YES","NGCD","")&amp;
IF(GamesTable[[#This Row],[ROM]]="YES","ROM","")</f>
        <v>MVSAESNGCD</v>
      </c>
      <c r="S26" t="s">
        <v>10174</v>
      </c>
      <c r="T26" t="s">
        <v>10173</v>
      </c>
      <c r="U26" t="s">
        <v>10173</v>
      </c>
      <c r="V26" t="s">
        <v>10173</v>
      </c>
      <c r="X26">
        <v>4</v>
      </c>
      <c r="Y26">
        <v>4</v>
      </c>
      <c r="Z26">
        <v>2</v>
      </c>
      <c r="AA26">
        <v>4</v>
      </c>
      <c r="AB26" t="s">
        <v>3150</v>
      </c>
    </row>
    <row r="27" spans="1:28" x14ac:dyDescent="0.25">
      <c r="A27" t="s">
        <v>9836</v>
      </c>
      <c r="C27" t="s">
        <v>7786</v>
      </c>
      <c r="D27" t="s">
        <v>2558</v>
      </c>
      <c r="E27" t="s">
        <v>1101</v>
      </c>
      <c r="F27" t="s">
        <v>1859</v>
      </c>
      <c r="G27" t="s">
        <v>2552</v>
      </c>
      <c r="I27">
        <v>39558</v>
      </c>
      <c r="J27">
        <v>74944</v>
      </c>
      <c r="K27" t="s">
        <v>9086</v>
      </c>
      <c r="L27" t="s">
        <v>9088</v>
      </c>
      <c r="M27" s="33"/>
      <c r="N27" s="34" t="s">
        <v>9859</v>
      </c>
      <c r="O27" s="34">
        <v>30</v>
      </c>
      <c r="P27">
        <v>245</v>
      </c>
      <c r="Q27">
        <v>242</v>
      </c>
      <c r="R27" t="str">
        <f xml:space="preserve">
IF(GamesTable[[#This Row],[JAMMA]]="YES","JAMMA","")&amp;
IF(GamesTable[[#This Row],[MVS]]="YES","MVS","")&amp;
IF(GamesTable[[#This Row],[AES]]="YES","AES","")&amp;
IF(GamesTable[[#This Row],[NGCD]]="YES","NGCD","")&amp;
IF(GamesTable[[#This Row],[ROM]]="YES","ROM","")</f>
        <v>MVSAES</v>
      </c>
      <c r="S27" t="s">
        <v>10174</v>
      </c>
      <c r="T27" t="s">
        <v>10173</v>
      </c>
      <c r="U27" t="s">
        <v>10173</v>
      </c>
      <c r="V27" t="s">
        <v>10174</v>
      </c>
      <c r="AB27" t="s">
        <v>2559</v>
      </c>
    </row>
    <row r="28" spans="1:28" x14ac:dyDescent="0.25">
      <c r="A28" t="s">
        <v>9836</v>
      </c>
      <c r="C28" t="s">
        <v>7788</v>
      </c>
      <c r="D28" t="s">
        <v>7947</v>
      </c>
      <c r="E28" t="s">
        <v>6279</v>
      </c>
      <c r="F28" t="s">
        <v>1912</v>
      </c>
      <c r="G28" t="s">
        <v>7098</v>
      </c>
      <c r="H28" t="s">
        <v>8032</v>
      </c>
      <c r="I28">
        <v>39557</v>
      </c>
      <c r="J28">
        <v>75011</v>
      </c>
      <c r="K28" t="s">
        <v>9086</v>
      </c>
      <c r="L28" t="s">
        <v>9088</v>
      </c>
      <c r="M28" s="33"/>
      <c r="N28" s="34"/>
      <c r="O28" s="34"/>
      <c r="P28">
        <v>18</v>
      </c>
      <c r="Q28">
        <v>54</v>
      </c>
      <c r="R28" t="str">
        <f xml:space="preserve">
IF(GamesTable[[#This Row],[JAMMA]]="YES","JAMMA","")&amp;
IF(GamesTable[[#This Row],[MVS]]="YES","MVS","")&amp;
IF(GamesTable[[#This Row],[AES]]="YES","AES","")&amp;
IF(GamesTable[[#This Row],[NGCD]]="YES","NGCD","")&amp;
IF(GamesTable[[#This Row],[ROM]]="YES","ROM","")</f>
        <v>MVSAESNGCD</v>
      </c>
      <c r="S28" t="s">
        <v>10174</v>
      </c>
      <c r="T28" t="s">
        <v>10173</v>
      </c>
      <c r="U28" t="s">
        <v>10173</v>
      </c>
      <c r="V28" t="s">
        <v>10173</v>
      </c>
      <c r="X28">
        <v>1</v>
      </c>
      <c r="Y28">
        <v>3</v>
      </c>
      <c r="Z28">
        <v>2</v>
      </c>
      <c r="AA28">
        <v>2</v>
      </c>
      <c r="AB28" t="s">
        <v>6968</v>
      </c>
    </row>
    <row r="29" spans="1:28" x14ac:dyDescent="0.25">
      <c r="A29" t="s">
        <v>9836</v>
      </c>
      <c r="C29" t="s">
        <v>9033</v>
      </c>
      <c r="D29" t="s">
        <v>9031</v>
      </c>
      <c r="E29" t="s">
        <v>9011</v>
      </c>
      <c r="F29" t="s">
        <v>9032</v>
      </c>
      <c r="K29" t="s">
        <v>10176</v>
      </c>
      <c r="L29" t="s">
        <v>9089</v>
      </c>
      <c r="M29" s="33"/>
      <c r="N29" s="34"/>
      <c r="O29" s="34"/>
      <c r="R29" t="str">
        <f xml:space="preserve">
IF(GamesTable[[#This Row],[JAMMA]]="YES","JAMMA","")&amp;
IF(GamesTable[[#This Row],[MVS]]="YES","MVS","")&amp;
IF(GamesTable[[#This Row],[AES]]="YES","AES","")&amp;
IF(GamesTable[[#This Row],[NGCD]]="YES","NGCD","")&amp;
IF(GamesTable[[#This Row],[ROM]]="YES","ROM","")</f>
        <v/>
      </c>
    </row>
    <row r="30" spans="1:28" x14ac:dyDescent="0.25">
      <c r="A30" t="s">
        <v>9836</v>
      </c>
      <c r="C30" t="s">
        <v>7791</v>
      </c>
      <c r="D30" t="s">
        <v>2404</v>
      </c>
      <c r="E30" t="s">
        <v>1053</v>
      </c>
      <c r="F30" t="s">
        <v>1859</v>
      </c>
      <c r="G30" t="s">
        <v>2398</v>
      </c>
      <c r="I30">
        <v>40981</v>
      </c>
      <c r="J30">
        <v>75129</v>
      </c>
      <c r="K30" t="s">
        <v>9086</v>
      </c>
      <c r="L30" t="s">
        <v>9088</v>
      </c>
      <c r="M30" s="33"/>
      <c r="N30" s="34"/>
      <c r="O30" s="34"/>
      <c r="P30">
        <v>249</v>
      </c>
      <c r="Q30">
        <v>106</v>
      </c>
      <c r="R30" t="str">
        <f xml:space="preserve">
IF(GamesTable[[#This Row],[JAMMA]]="YES","JAMMA","")&amp;
IF(GamesTable[[#This Row],[MVS]]="YES","MVS","")&amp;
IF(GamesTable[[#This Row],[AES]]="YES","AES","")&amp;
IF(GamesTable[[#This Row],[NGCD]]="YES","NGCD","")&amp;
IF(GamesTable[[#This Row],[ROM]]="YES","ROM","")</f>
        <v>MVSAES</v>
      </c>
      <c r="S30" t="s">
        <v>10174</v>
      </c>
      <c r="T30" t="s">
        <v>10173</v>
      </c>
      <c r="U30" t="s">
        <v>10173</v>
      </c>
      <c r="V30" t="s">
        <v>10174</v>
      </c>
      <c r="AB30" t="s">
        <v>2405</v>
      </c>
    </row>
    <row r="31" spans="1:28" x14ac:dyDescent="0.25">
      <c r="A31" t="s">
        <v>9836</v>
      </c>
      <c r="C31" t="s">
        <v>7841</v>
      </c>
      <c r="D31" t="s">
        <v>3883</v>
      </c>
      <c r="E31" t="s">
        <v>1239</v>
      </c>
      <c r="F31" t="s">
        <v>3882</v>
      </c>
      <c r="G31" t="s">
        <v>3873</v>
      </c>
      <c r="I31">
        <v>47574</v>
      </c>
      <c r="J31">
        <v>75307</v>
      </c>
      <c r="K31" t="s">
        <v>9086</v>
      </c>
      <c r="L31" t="s">
        <v>9088</v>
      </c>
      <c r="M31" s="33"/>
      <c r="N31" s="34"/>
      <c r="O31" s="34"/>
      <c r="P31">
        <v>206</v>
      </c>
      <c r="Q31">
        <v>118</v>
      </c>
      <c r="R31" t="str">
        <f xml:space="preserve">
IF(GamesTable[[#This Row],[JAMMA]]="YES","JAMMA","")&amp;
IF(GamesTable[[#This Row],[MVS]]="YES","MVS","")&amp;
IF(GamesTable[[#This Row],[AES]]="YES","AES","")&amp;
IF(GamesTable[[#This Row],[NGCD]]="YES","NGCD","")&amp;
IF(GamesTable[[#This Row],[ROM]]="YES","ROM","")</f>
        <v>MVSAES</v>
      </c>
      <c r="S31" t="s">
        <v>10174</v>
      </c>
      <c r="T31" t="s">
        <v>10173</v>
      </c>
      <c r="U31" t="s">
        <v>10173</v>
      </c>
      <c r="V31" t="s">
        <v>10174</v>
      </c>
      <c r="X31">
        <v>2</v>
      </c>
      <c r="Y31">
        <v>5</v>
      </c>
      <c r="AA31">
        <v>1</v>
      </c>
      <c r="AB31" t="s">
        <v>3884</v>
      </c>
    </row>
    <row r="32" spans="1:28" x14ac:dyDescent="0.25">
      <c r="A32" t="s">
        <v>9836</v>
      </c>
      <c r="C32" t="s">
        <v>7813</v>
      </c>
      <c r="D32" t="s">
        <v>9766</v>
      </c>
      <c r="E32" t="s">
        <v>9075</v>
      </c>
      <c r="F32" t="s">
        <v>2520</v>
      </c>
      <c r="G32" t="s">
        <v>7768</v>
      </c>
      <c r="H32" t="s">
        <v>8048</v>
      </c>
      <c r="J32">
        <v>29835</v>
      </c>
      <c r="K32" t="s">
        <v>9034</v>
      </c>
      <c r="L32" t="s">
        <v>9088</v>
      </c>
      <c r="M32" s="33" t="s">
        <v>9753</v>
      </c>
      <c r="N32" s="34"/>
      <c r="O32" s="34"/>
      <c r="P32">
        <v>220</v>
      </c>
      <c r="Q32">
        <v>178</v>
      </c>
      <c r="R32" t="str">
        <f xml:space="preserve">
IF(GamesTable[[#This Row],[JAMMA]]="YES","JAMMA","")&amp;
IF(GamesTable[[#This Row],[MVS]]="YES","MVS","")&amp;
IF(GamesTable[[#This Row],[AES]]="YES","AES","")&amp;
IF(GamesTable[[#This Row],[NGCD]]="YES","NGCD","")&amp;
IF(GamesTable[[#This Row],[ROM]]="YES","ROM","")</f>
        <v>NGCD</v>
      </c>
      <c r="S32" t="s">
        <v>10174</v>
      </c>
      <c r="T32" t="s">
        <v>10174</v>
      </c>
      <c r="U32" t="s">
        <v>10174</v>
      </c>
      <c r="V32" t="s">
        <v>10173</v>
      </c>
      <c r="AB32" t="s">
        <v>3435</v>
      </c>
    </row>
    <row r="33" spans="1:28" x14ac:dyDescent="0.25">
      <c r="A33" t="s">
        <v>9836</v>
      </c>
      <c r="C33" t="s">
        <v>9109</v>
      </c>
      <c r="D33" t="s">
        <v>9108</v>
      </c>
      <c r="E33">
        <v>2006</v>
      </c>
      <c r="F33" t="s">
        <v>9039</v>
      </c>
      <c r="G33" s="8" t="s">
        <v>9111</v>
      </c>
      <c r="K33" t="s">
        <v>8986</v>
      </c>
      <c r="L33" t="s">
        <v>9089</v>
      </c>
      <c r="M33" s="33"/>
      <c r="N33" s="34"/>
      <c r="O33" s="34"/>
      <c r="R33" t="str">
        <f xml:space="preserve">
IF(GamesTable[[#This Row],[JAMMA]]="YES","JAMMA","")&amp;
IF(GamesTable[[#This Row],[MVS]]="YES","MVS","")&amp;
IF(GamesTable[[#This Row],[AES]]="YES","AES","")&amp;
IF(GamesTable[[#This Row],[NGCD]]="YES","NGCD","")&amp;
IF(GamesTable[[#This Row],[ROM]]="YES","ROM","")</f>
        <v/>
      </c>
    </row>
    <row r="34" spans="1:28" x14ac:dyDescent="0.25">
      <c r="A34" t="s">
        <v>9836</v>
      </c>
      <c r="C34" t="s">
        <v>8984</v>
      </c>
      <c r="D34" t="s">
        <v>8985</v>
      </c>
      <c r="E34">
        <v>2002</v>
      </c>
      <c r="F34" t="s">
        <v>9106</v>
      </c>
      <c r="G34" t="s">
        <v>9107</v>
      </c>
      <c r="J34">
        <v>252980</v>
      </c>
      <c r="K34" t="s">
        <v>10176</v>
      </c>
      <c r="L34" t="s">
        <v>9897</v>
      </c>
      <c r="M34" s="33"/>
      <c r="N34" s="34"/>
      <c r="O34" s="34"/>
      <c r="Q34">
        <v>1</v>
      </c>
      <c r="R34" t="str">
        <f xml:space="preserve">
IF(GamesTable[[#This Row],[JAMMA]]="YES","JAMMA","")&amp;
IF(GamesTable[[#This Row],[MVS]]="YES","MVS","")&amp;
IF(GamesTable[[#This Row],[AES]]="YES","AES","")&amp;
IF(GamesTable[[#This Row],[NGCD]]="YES","NGCD","")&amp;
IF(GamesTable[[#This Row],[ROM]]="YES","ROM","")</f>
        <v/>
      </c>
    </row>
    <row r="35" spans="1:28" x14ac:dyDescent="0.25">
      <c r="A35" t="s">
        <v>9836</v>
      </c>
      <c r="C35" t="s">
        <v>7790</v>
      </c>
      <c r="D35" t="s">
        <v>7948</v>
      </c>
      <c r="E35" t="s">
        <v>6279</v>
      </c>
      <c r="F35" t="s">
        <v>5638</v>
      </c>
      <c r="G35" t="s">
        <v>6300</v>
      </c>
      <c r="H35" t="s">
        <v>8033</v>
      </c>
      <c r="I35">
        <v>39642</v>
      </c>
      <c r="J35">
        <v>75570</v>
      </c>
      <c r="K35" t="s">
        <v>9086</v>
      </c>
      <c r="L35" t="s">
        <v>9088</v>
      </c>
      <c r="M35" s="33"/>
      <c r="N35" s="34"/>
      <c r="O35" s="34"/>
      <c r="P35">
        <v>37</v>
      </c>
      <c r="Q35">
        <v>50</v>
      </c>
      <c r="R35" t="str">
        <f xml:space="preserve">
IF(GamesTable[[#This Row],[JAMMA]]="YES","JAMMA","")&amp;
IF(GamesTable[[#This Row],[MVS]]="YES","MVS","")&amp;
IF(GamesTable[[#This Row],[AES]]="YES","AES","")&amp;
IF(GamesTable[[#This Row],[NGCD]]="YES","NGCD","")&amp;
IF(GamesTable[[#This Row],[ROM]]="YES","ROM","")</f>
        <v>MVSAESNGCD</v>
      </c>
      <c r="S35" t="s">
        <v>10174</v>
      </c>
      <c r="T35" t="s">
        <v>10173</v>
      </c>
      <c r="U35" t="s">
        <v>10173</v>
      </c>
      <c r="V35" t="s">
        <v>10173</v>
      </c>
      <c r="X35">
        <v>2</v>
      </c>
      <c r="Y35">
        <v>1</v>
      </c>
      <c r="Z35">
        <v>1</v>
      </c>
      <c r="AA35">
        <v>2</v>
      </c>
      <c r="AB35" t="s">
        <v>6310</v>
      </c>
    </row>
    <row r="36" spans="1:28" x14ac:dyDescent="0.25">
      <c r="A36" t="s">
        <v>9836</v>
      </c>
      <c r="C36" t="s">
        <v>7789</v>
      </c>
      <c r="D36" t="s">
        <v>8856</v>
      </c>
      <c r="E36" t="s">
        <v>1239</v>
      </c>
      <c r="F36" t="s">
        <v>194</v>
      </c>
      <c r="G36" t="s">
        <v>7768</v>
      </c>
      <c r="H36" t="s">
        <v>8125</v>
      </c>
      <c r="J36">
        <v>29815</v>
      </c>
      <c r="K36" t="s">
        <v>10176</v>
      </c>
      <c r="L36" t="s">
        <v>9088</v>
      </c>
      <c r="M36" s="33"/>
      <c r="N36" s="34"/>
      <c r="O36" s="34"/>
      <c r="P36">
        <v>54</v>
      </c>
      <c r="Q36">
        <v>70</v>
      </c>
      <c r="R36" t="str">
        <f xml:space="preserve">
IF(GamesTable[[#This Row],[JAMMA]]="YES","JAMMA","")&amp;
IF(GamesTable[[#This Row],[MVS]]="YES","MVS","")&amp;
IF(GamesTable[[#This Row],[AES]]="YES","AES","")&amp;
IF(GamesTable[[#This Row],[NGCD]]="YES","NGCD","")&amp;
IF(GamesTable[[#This Row],[ROM]]="YES","ROM","")</f>
        <v>NGCD</v>
      </c>
      <c r="S36" t="s">
        <v>10174</v>
      </c>
      <c r="T36" t="s">
        <v>10174</v>
      </c>
      <c r="U36" t="s">
        <v>10174</v>
      </c>
      <c r="V36" t="s">
        <v>10173</v>
      </c>
      <c r="AB36" t="s">
        <v>1241</v>
      </c>
    </row>
    <row r="37" spans="1:28" x14ac:dyDescent="0.25">
      <c r="A37" t="s">
        <v>9836</v>
      </c>
      <c r="C37" t="s">
        <v>8980</v>
      </c>
      <c r="D37" t="s">
        <v>8852</v>
      </c>
      <c r="E37">
        <v>2013</v>
      </c>
      <c r="F37" t="s">
        <v>8981</v>
      </c>
      <c r="J37">
        <v>29816</v>
      </c>
      <c r="K37" t="s">
        <v>8986</v>
      </c>
      <c r="L37" t="s">
        <v>9897</v>
      </c>
      <c r="M37" s="33"/>
      <c r="N37" s="34"/>
      <c r="O37" s="34"/>
      <c r="Q37">
        <v>28</v>
      </c>
      <c r="R37" t="str">
        <f xml:space="preserve">
IF(GamesTable[[#This Row],[JAMMA]]="YES","JAMMA","")&amp;
IF(GamesTable[[#This Row],[MVS]]="YES","MVS","")&amp;
IF(GamesTable[[#This Row],[AES]]="YES","AES","")&amp;
IF(GamesTable[[#This Row],[NGCD]]="YES","NGCD","")&amp;
IF(GamesTable[[#This Row],[ROM]]="YES","ROM","")</f>
        <v/>
      </c>
      <c r="AB37" t="s">
        <v>8979</v>
      </c>
    </row>
    <row r="38" spans="1:28" x14ac:dyDescent="0.25">
      <c r="A38" t="s">
        <v>9836</v>
      </c>
      <c r="C38" t="s">
        <v>7792</v>
      </c>
      <c r="D38" t="s">
        <v>7949</v>
      </c>
      <c r="E38" t="s">
        <v>3906</v>
      </c>
      <c r="F38" t="s">
        <v>1912</v>
      </c>
      <c r="G38" t="s">
        <v>7296</v>
      </c>
      <c r="H38" t="s">
        <v>8018</v>
      </c>
      <c r="I38">
        <v>71622</v>
      </c>
      <c r="J38">
        <v>75628</v>
      </c>
      <c r="K38" t="s">
        <v>9086</v>
      </c>
      <c r="L38" t="s">
        <v>9088</v>
      </c>
      <c r="M38" s="33"/>
      <c r="N38" s="34"/>
      <c r="O38" s="34"/>
      <c r="P38">
        <v>10</v>
      </c>
      <c r="Q38">
        <v>50</v>
      </c>
      <c r="R38" t="str">
        <f xml:space="preserve">
IF(GamesTable[[#This Row],[JAMMA]]="YES","JAMMA","")&amp;
IF(GamesTable[[#This Row],[MVS]]="YES","MVS","")&amp;
IF(GamesTable[[#This Row],[AES]]="YES","AES","")&amp;
IF(GamesTable[[#This Row],[NGCD]]="YES","NGCD","")&amp;
IF(GamesTable[[#This Row],[ROM]]="YES","ROM","")</f>
        <v>MVSAESNGCD</v>
      </c>
      <c r="S38" t="s">
        <v>10174</v>
      </c>
      <c r="T38" t="s">
        <v>10173</v>
      </c>
      <c r="U38" t="s">
        <v>10173</v>
      </c>
      <c r="V38" t="s">
        <v>10173</v>
      </c>
      <c r="X38" t="s">
        <v>8995</v>
      </c>
      <c r="Y38" t="s">
        <v>8995</v>
      </c>
      <c r="Z38" t="s">
        <v>8995</v>
      </c>
      <c r="AA38">
        <v>2</v>
      </c>
      <c r="AB38" t="s">
        <v>7306</v>
      </c>
    </row>
    <row r="39" spans="1:28" x14ac:dyDescent="0.25">
      <c r="A39" t="s">
        <v>9836</v>
      </c>
      <c r="C39" t="s">
        <v>10235</v>
      </c>
      <c r="D39" t="s">
        <v>10234</v>
      </c>
      <c r="E39">
        <v>2024</v>
      </c>
      <c r="F39" t="s">
        <v>10236</v>
      </c>
      <c r="J39">
        <v>255984</v>
      </c>
      <c r="K39" t="s">
        <v>8986</v>
      </c>
      <c r="L39" t="s">
        <v>10237</v>
      </c>
      <c r="M39" s="33"/>
      <c r="N39" s="34"/>
      <c r="O39" s="34"/>
    </row>
    <row r="40" spans="1:28" x14ac:dyDescent="0.25">
      <c r="A40" t="s">
        <v>9836</v>
      </c>
      <c r="C40" t="s">
        <v>7793</v>
      </c>
      <c r="D40" t="s">
        <v>8759</v>
      </c>
      <c r="E40" t="s">
        <v>113</v>
      </c>
      <c r="F40" t="s">
        <v>112</v>
      </c>
      <c r="J40">
        <v>75871</v>
      </c>
      <c r="K40" t="s">
        <v>9034</v>
      </c>
      <c r="L40" t="s">
        <v>9088</v>
      </c>
      <c r="M40" s="33"/>
      <c r="N40" s="34"/>
      <c r="O40" s="34"/>
      <c r="Q40" s="60">
        <v>44</v>
      </c>
      <c r="R40" t="str">
        <f xml:space="preserve">
IF(GamesTable[[#This Row],[JAMMA]]="YES","JAMMA","")&amp;
IF(GamesTable[[#This Row],[MVS]]="YES","MVS","")&amp;
IF(GamesTable[[#This Row],[AES]]="YES","AES","")&amp;
IF(GamesTable[[#This Row],[NGCD]]="YES","NGCD","")&amp;
IF(GamesTable[[#This Row],[ROM]]="YES","ROM","")</f>
        <v/>
      </c>
      <c r="AB40" t="s">
        <v>115</v>
      </c>
    </row>
    <row r="41" spans="1:28" x14ac:dyDescent="0.25">
      <c r="A41" t="s">
        <v>9836</v>
      </c>
      <c r="C41" t="s">
        <v>9052</v>
      </c>
      <c r="D41" t="s">
        <v>9045</v>
      </c>
      <c r="E41" t="s">
        <v>8995</v>
      </c>
      <c r="F41" t="s">
        <v>9047</v>
      </c>
      <c r="K41" t="s">
        <v>8986</v>
      </c>
      <c r="L41" t="s">
        <v>9089</v>
      </c>
      <c r="M41" s="33"/>
      <c r="N41" s="34"/>
      <c r="O41" s="34"/>
      <c r="R41" t="str">
        <f xml:space="preserve">
IF(GamesTable[[#This Row],[JAMMA]]="YES","JAMMA","")&amp;
IF(GamesTable[[#This Row],[MVS]]="YES","MVS","")&amp;
IF(GamesTable[[#This Row],[AES]]="YES","AES","")&amp;
IF(GamesTable[[#This Row],[NGCD]]="YES","NGCD","")&amp;
IF(GamesTable[[#This Row],[ROM]]="YES","ROM","")</f>
        <v/>
      </c>
    </row>
    <row r="42" spans="1:28" x14ac:dyDescent="0.25">
      <c r="A42" t="s">
        <v>9836</v>
      </c>
      <c r="C42" t="s">
        <v>7794</v>
      </c>
      <c r="D42" t="s">
        <v>7950</v>
      </c>
      <c r="E42" t="s">
        <v>1239</v>
      </c>
      <c r="F42" t="s">
        <v>3827</v>
      </c>
      <c r="G42" t="s">
        <v>4685</v>
      </c>
      <c r="H42" t="s">
        <v>8034</v>
      </c>
      <c r="I42">
        <v>13880</v>
      </c>
      <c r="J42">
        <v>29818</v>
      </c>
      <c r="K42" t="s">
        <v>9086</v>
      </c>
      <c r="L42" t="s">
        <v>9088</v>
      </c>
      <c r="M42" s="33" t="s">
        <v>9753</v>
      </c>
      <c r="N42" s="34" t="s">
        <v>9860</v>
      </c>
      <c r="O42" s="34">
        <v>30</v>
      </c>
      <c r="P42">
        <v>82</v>
      </c>
      <c r="Q42" s="61">
        <v>178</v>
      </c>
      <c r="R42" t="str">
        <f xml:space="preserve">
IF(GamesTable[[#This Row],[JAMMA]]="YES","JAMMA","")&amp;
IF(GamesTable[[#This Row],[MVS]]="YES","MVS","")&amp;
IF(GamesTable[[#This Row],[AES]]="YES","AES","")&amp;
IF(GamesTable[[#This Row],[NGCD]]="YES","NGCD","")&amp;
IF(GamesTable[[#This Row],[ROM]]="YES","ROM","")</f>
        <v>MVSAESNGCD</v>
      </c>
      <c r="S42" t="s">
        <v>10174</v>
      </c>
      <c r="T42" t="s">
        <v>10173</v>
      </c>
      <c r="U42" t="s">
        <v>10173</v>
      </c>
      <c r="V42" t="s">
        <v>10173</v>
      </c>
      <c r="X42">
        <v>1</v>
      </c>
      <c r="Y42">
        <v>3</v>
      </c>
      <c r="Z42">
        <v>2</v>
      </c>
      <c r="AA42">
        <v>3</v>
      </c>
      <c r="AB42" t="s">
        <v>4692</v>
      </c>
    </row>
    <row r="43" spans="1:28" x14ac:dyDescent="0.25">
      <c r="A43" t="s">
        <v>9836</v>
      </c>
      <c r="C43" t="s">
        <v>7795</v>
      </c>
      <c r="D43" t="s">
        <v>9835</v>
      </c>
      <c r="E43" t="s">
        <v>1145</v>
      </c>
      <c r="F43" t="s">
        <v>1302</v>
      </c>
      <c r="G43" t="s">
        <v>7768</v>
      </c>
      <c r="J43">
        <v>29819</v>
      </c>
      <c r="K43" t="s">
        <v>9034</v>
      </c>
      <c r="L43" t="s">
        <v>9088</v>
      </c>
      <c r="M43" s="33"/>
      <c r="N43" s="34"/>
      <c r="O43" s="34"/>
      <c r="R43" t="str">
        <f xml:space="preserve">
IF(GamesTable[[#This Row],[JAMMA]]="YES","JAMMA","")&amp;
IF(GamesTable[[#This Row],[MVS]]="YES","MVS","")&amp;
IF(GamesTable[[#This Row],[AES]]="YES","AES","")&amp;
IF(GamesTable[[#This Row],[NGCD]]="YES","NGCD","")&amp;
IF(GamesTable[[#This Row],[ROM]]="YES","ROM","")</f>
        <v/>
      </c>
      <c r="AB43" t="s">
        <v>1304</v>
      </c>
    </row>
    <row r="44" spans="1:28" x14ac:dyDescent="0.25">
      <c r="A44" t="s">
        <v>9836</v>
      </c>
      <c r="C44" t="s">
        <v>9066</v>
      </c>
      <c r="D44" t="s">
        <v>9767</v>
      </c>
      <c r="E44" t="s">
        <v>9060</v>
      </c>
      <c r="F44" t="s">
        <v>8378</v>
      </c>
      <c r="K44" t="s">
        <v>9034</v>
      </c>
      <c r="L44" t="s">
        <v>9089</v>
      </c>
      <c r="M44" s="33"/>
      <c r="N44" s="34"/>
      <c r="O44" s="34"/>
      <c r="P44">
        <v>28</v>
      </c>
      <c r="R44" t="str">
        <f xml:space="preserve">
IF(GamesTable[[#This Row],[JAMMA]]="YES","JAMMA","")&amp;
IF(GamesTable[[#This Row],[MVS]]="YES","MVS","")&amp;
IF(GamesTable[[#This Row],[AES]]="YES","AES","")&amp;
IF(GamesTable[[#This Row],[NGCD]]="YES","NGCD","")&amp;
IF(GamesTable[[#This Row],[ROM]]="YES","ROM","")</f>
        <v/>
      </c>
    </row>
    <row r="45" spans="1:28" x14ac:dyDescent="0.25">
      <c r="A45" t="s">
        <v>9836</v>
      </c>
      <c r="C45" t="s">
        <v>7796</v>
      </c>
      <c r="D45" t="s">
        <v>7951</v>
      </c>
      <c r="E45" t="s">
        <v>6279</v>
      </c>
      <c r="F45" t="s">
        <v>6518</v>
      </c>
      <c r="G45" t="s">
        <v>6614</v>
      </c>
      <c r="H45" t="s">
        <v>8035</v>
      </c>
      <c r="I45">
        <v>40976</v>
      </c>
      <c r="J45">
        <v>76163</v>
      </c>
      <c r="K45" t="s">
        <v>9086</v>
      </c>
      <c r="L45" t="s">
        <v>9088</v>
      </c>
      <c r="M45" s="33"/>
      <c r="N45" s="34"/>
      <c r="O45" s="34"/>
      <c r="P45">
        <v>25</v>
      </c>
      <c r="Q45">
        <v>46</v>
      </c>
      <c r="R45" t="str">
        <f xml:space="preserve">
IF(GamesTable[[#This Row],[JAMMA]]="YES","JAMMA","")&amp;
IF(GamesTable[[#This Row],[MVS]]="YES","MVS","")&amp;
IF(GamesTable[[#This Row],[AES]]="YES","AES","")&amp;
IF(GamesTable[[#This Row],[NGCD]]="YES","NGCD","")&amp;
IF(GamesTable[[#This Row],[ROM]]="YES","ROM","")</f>
        <v>MVSAES</v>
      </c>
      <c r="S45" t="s">
        <v>10174</v>
      </c>
      <c r="T45" t="s">
        <v>10173</v>
      </c>
      <c r="U45" t="s">
        <v>10173</v>
      </c>
      <c r="V45" t="s">
        <v>10174</v>
      </c>
      <c r="X45">
        <v>1</v>
      </c>
      <c r="Y45">
        <v>2</v>
      </c>
      <c r="AA45">
        <v>2</v>
      </c>
      <c r="AB45" t="s">
        <v>6624</v>
      </c>
    </row>
    <row r="46" spans="1:28" x14ac:dyDescent="0.25">
      <c r="A46" t="s">
        <v>9836</v>
      </c>
      <c r="C46" t="s">
        <v>7818</v>
      </c>
      <c r="D46" t="s">
        <v>9768</v>
      </c>
      <c r="E46" t="s">
        <v>1239</v>
      </c>
      <c r="F46" t="s">
        <v>4214</v>
      </c>
      <c r="G46" t="s">
        <v>9769</v>
      </c>
      <c r="H46" t="s">
        <v>8050</v>
      </c>
      <c r="I46">
        <v>39554</v>
      </c>
      <c r="J46">
        <v>76300</v>
      </c>
      <c r="K46" t="s">
        <v>9086</v>
      </c>
      <c r="L46" t="s">
        <v>9088</v>
      </c>
      <c r="M46" s="33"/>
      <c r="N46" s="34" t="s">
        <v>9865</v>
      </c>
      <c r="O46" s="34">
        <v>35</v>
      </c>
      <c r="P46">
        <v>92</v>
      </c>
      <c r="Q46">
        <v>202</v>
      </c>
      <c r="R46" t="str">
        <f xml:space="preserve">
IF(GamesTable[[#This Row],[JAMMA]]="YES","JAMMA","")&amp;
IF(GamesTable[[#This Row],[MVS]]="YES","MVS","")&amp;
IF(GamesTable[[#This Row],[AES]]="YES","AES","")&amp;
IF(GamesTable[[#This Row],[NGCD]]="YES","NGCD","")&amp;
IF(GamesTable[[#This Row],[ROM]]="YES","ROM","")</f>
        <v>MVSAESNGCD</v>
      </c>
      <c r="S46" t="s">
        <v>10174</v>
      </c>
      <c r="T46" t="s">
        <v>10173</v>
      </c>
      <c r="U46" t="s">
        <v>10173</v>
      </c>
      <c r="V46" t="s">
        <v>10173</v>
      </c>
      <c r="X46">
        <v>2</v>
      </c>
      <c r="Y46">
        <v>2</v>
      </c>
      <c r="Z46">
        <v>2</v>
      </c>
      <c r="AA46">
        <v>2</v>
      </c>
      <c r="AB46" t="s">
        <v>4254</v>
      </c>
    </row>
    <row r="47" spans="1:28" x14ac:dyDescent="0.25">
      <c r="A47" t="s">
        <v>9836</v>
      </c>
      <c r="C47" t="s">
        <v>9025</v>
      </c>
      <c r="D47" t="s">
        <v>9024</v>
      </c>
      <c r="E47">
        <v>2010</v>
      </c>
      <c r="F47" t="s">
        <v>86</v>
      </c>
      <c r="J47">
        <v>252973</v>
      </c>
      <c r="K47" t="s">
        <v>9041</v>
      </c>
      <c r="L47" t="s">
        <v>9897</v>
      </c>
      <c r="M47" s="33"/>
      <c r="N47" s="34"/>
      <c r="O47" s="34"/>
      <c r="Q47">
        <v>1560</v>
      </c>
      <c r="R47" t="str">
        <f xml:space="preserve">
IF(GamesTable[[#This Row],[JAMMA]]="YES","JAMMA","")&amp;
IF(GamesTable[[#This Row],[MVS]]="YES","MVS","")&amp;
IF(GamesTable[[#This Row],[AES]]="YES","AES","")&amp;
IF(GamesTable[[#This Row],[NGCD]]="YES","NGCD","")&amp;
IF(GamesTable[[#This Row],[ROM]]="YES","ROM","")</f>
        <v/>
      </c>
      <c r="S47" t="s">
        <v>10174</v>
      </c>
    </row>
    <row r="48" spans="1:28" x14ac:dyDescent="0.25">
      <c r="A48" t="s">
        <v>9836</v>
      </c>
      <c r="C48" t="s">
        <v>7798</v>
      </c>
      <c r="D48" t="s">
        <v>9770</v>
      </c>
      <c r="E48" t="s">
        <v>6279</v>
      </c>
      <c r="F48" t="s">
        <v>1912</v>
      </c>
      <c r="G48" t="s">
        <v>9771</v>
      </c>
      <c r="H48" t="s">
        <v>8122</v>
      </c>
      <c r="I48">
        <v>5386</v>
      </c>
      <c r="J48">
        <v>76316</v>
      </c>
      <c r="K48" t="s">
        <v>9086</v>
      </c>
      <c r="L48" t="s">
        <v>9088</v>
      </c>
      <c r="M48" s="33"/>
      <c r="N48" s="34" t="s">
        <v>9861</v>
      </c>
      <c r="O48" s="34">
        <v>20</v>
      </c>
      <c r="P48">
        <v>33</v>
      </c>
      <c r="Q48">
        <v>55</v>
      </c>
      <c r="R48" t="str">
        <f xml:space="preserve">
IF(GamesTable[[#This Row],[JAMMA]]="YES","JAMMA","")&amp;
IF(GamesTable[[#This Row],[MVS]]="YES","MVS","")&amp;
IF(GamesTable[[#This Row],[AES]]="YES","AES","")&amp;
IF(GamesTable[[#This Row],[NGCD]]="YES","NGCD","")&amp;
IF(GamesTable[[#This Row],[ROM]]="YES","ROM","")</f>
        <v>MVSAESNGCD</v>
      </c>
      <c r="S48" t="s">
        <v>10174</v>
      </c>
      <c r="T48" t="s">
        <v>10173</v>
      </c>
      <c r="U48" t="s">
        <v>10173</v>
      </c>
      <c r="V48" t="s">
        <v>10173</v>
      </c>
      <c r="X48">
        <v>1</v>
      </c>
      <c r="Y48">
        <v>2</v>
      </c>
      <c r="Z48">
        <v>2</v>
      </c>
      <c r="AA48">
        <v>3</v>
      </c>
      <c r="AB48" t="s">
        <v>6410</v>
      </c>
    </row>
    <row r="49" spans="1:28" x14ac:dyDescent="0.25">
      <c r="A49" t="s">
        <v>9836</v>
      </c>
      <c r="C49" t="s">
        <v>7799</v>
      </c>
      <c r="D49" t="s">
        <v>9772</v>
      </c>
      <c r="E49" t="s">
        <v>5639</v>
      </c>
      <c r="F49" t="s">
        <v>1912</v>
      </c>
      <c r="G49" t="s">
        <v>9773</v>
      </c>
      <c r="H49" t="s">
        <v>8126</v>
      </c>
      <c r="I49">
        <v>4435</v>
      </c>
      <c r="J49">
        <v>76317</v>
      </c>
      <c r="K49" t="s">
        <v>9086</v>
      </c>
      <c r="L49" t="s">
        <v>9088</v>
      </c>
      <c r="M49" s="33"/>
      <c r="N49" s="34" t="s">
        <v>9862</v>
      </c>
      <c r="O49" s="34">
        <v>35</v>
      </c>
      <c r="P49">
        <v>47</v>
      </c>
      <c r="Q49">
        <v>106</v>
      </c>
      <c r="R49" t="str">
        <f xml:space="preserve">
IF(GamesTable[[#This Row],[JAMMA]]="YES","JAMMA","")&amp;
IF(GamesTable[[#This Row],[MVS]]="YES","MVS","")&amp;
IF(GamesTable[[#This Row],[AES]]="YES","AES","")&amp;
IF(GamesTable[[#This Row],[NGCD]]="YES","NGCD","")&amp;
IF(GamesTable[[#This Row],[ROM]]="YES","ROM","")</f>
        <v>MVSAESNGCD</v>
      </c>
      <c r="S49" t="s">
        <v>10174</v>
      </c>
      <c r="T49" t="s">
        <v>10173</v>
      </c>
      <c r="U49" t="s">
        <v>10173</v>
      </c>
      <c r="V49" t="s">
        <v>10173</v>
      </c>
      <c r="X49">
        <v>1</v>
      </c>
      <c r="Y49">
        <v>1</v>
      </c>
      <c r="Z49">
        <v>2</v>
      </c>
      <c r="AA49">
        <v>3</v>
      </c>
      <c r="AB49" t="s">
        <v>5871</v>
      </c>
    </row>
    <row r="50" spans="1:28" x14ac:dyDescent="0.25">
      <c r="A50" t="s">
        <v>9836</v>
      </c>
      <c r="C50" t="s">
        <v>7797</v>
      </c>
      <c r="D50" t="s">
        <v>9776</v>
      </c>
      <c r="E50" t="s">
        <v>5315</v>
      </c>
      <c r="F50" t="s">
        <v>1912</v>
      </c>
      <c r="G50" t="s">
        <v>9777</v>
      </c>
      <c r="H50" t="s">
        <v>8036</v>
      </c>
      <c r="I50">
        <v>71128</v>
      </c>
      <c r="J50">
        <v>76319</v>
      </c>
      <c r="K50" t="s">
        <v>9086</v>
      </c>
      <c r="L50" t="s">
        <v>9088</v>
      </c>
      <c r="M50" s="33"/>
      <c r="N50" s="34"/>
      <c r="O50" s="34"/>
      <c r="P50">
        <v>58</v>
      </c>
      <c r="Q50">
        <v>150</v>
      </c>
      <c r="R50" t="str">
        <f xml:space="preserve">
IF(GamesTable[[#This Row],[JAMMA]]="YES","JAMMA","")&amp;
IF(GamesTable[[#This Row],[MVS]]="YES","MVS","")&amp;
IF(GamesTable[[#This Row],[AES]]="YES","AES","")&amp;
IF(GamesTable[[#This Row],[NGCD]]="YES","NGCD","")&amp;
IF(GamesTable[[#This Row],[ROM]]="YES","ROM","")</f>
        <v>MVSAESNGCD</v>
      </c>
      <c r="S50" t="s">
        <v>10174</v>
      </c>
      <c r="T50" t="s">
        <v>10173</v>
      </c>
      <c r="U50" t="s">
        <v>10173</v>
      </c>
      <c r="V50" t="s">
        <v>10173</v>
      </c>
      <c r="X50">
        <v>1</v>
      </c>
      <c r="Y50">
        <v>1</v>
      </c>
      <c r="Z50">
        <v>1</v>
      </c>
      <c r="AA50">
        <v>4</v>
      </c>
      <c r="AB50" t="s">
        <v>5452</v>
      </c>
    </row>
    <row r="51" spans="1:28" x14ac:dyDescent="0.25">
      <c r="A51" t="s">
        <v>9836</v>
      </c>
      <c r="C51" t="s">
        <v>7800</v>
      </c>
      <c r="D51" t="s">
        <v>9774</v>
      </c>
      <c r="E51" t="s">
        <v>1239</v>
      </c>
      <c r="F51" t="s">
        <v>1912</v>
      </c>
      <c r="G51" t="s">
        <v>9775</v>
      </c>
      <c r="H51" t="s">
        <v>8037</v>
      </c>
      <c r="I51">
        <v>6690</v>
      </c>
      <c r="J51">
        <v>76318</v>
      </c>
      <c r="K51" t="s">
        <v>9086</v>
      </c>
      <c r="L51" t="s">
        <v>9088</v>
      </c>
      <c r="M51" s="33"/>
      <c r="N51" s="34" t="s">
        <v>9863</v>
      </c>
      <c r="O51" s="34">
        <v>35</v>
      </c>
      <c r="P51">
        <v>69</v>
      </c>
      <c r="Q51">
        <v>266</v>
      </c>
      <c r="R51" t="str">
        <f xml:space="preserve">
IF(GamesTable[[#This Row],[JAMMA]]="YES","JAMMA","")&amp;
IF(GamesTable[[#This Row],[MVS]]="YES","MVS","")&amp;
IF(GamesTable[[#This Row],[AES]]="YES","AES","")&amp;
IF(GamesTable[[#This Row],[NGCD]]="YES","NGCD","")&amp;
IF(GamesTable[[#This Row],[ROM]]="YES","ROM","")</f>
        <v>MVSAESNGCD</v>
      </c>
      <c r="S51" t="s">
        <v>10174</v>
      </c>
      <c r="T51" t="s">
        <v>10173</v>
      </c>
      <c r="U51" t="s">
        <v>10173</v>
      </c>
      <c r="V51" t="s">
        <v>10173</v>
      </c>
      <c r="X51">
        <v>2</v>
      </c>
      <c r="Y51">
        <v>2</v>
      </c>
      <c r="Z51">
        <v>1</v>
      </c>
      <c r="AA51">
        <v>4</v>
      </c>
      <c r="AB51" t="s">
        <v>5063</v>
      </c>
    </row>
    <row r="52" spans="1:28" x14ac:dyDescent="0.25">
      <c r="A52" t="s">
        <v>9836</v>
      </c>
      <c r="C52" t="s">
        <v>7802</v>
      </c>
      <c r="D52" t="s">
        <v>8736</v>
      </c>
      <c r="E52" t="s">
        <v>393</v>
      </c>
      <c r="F52" t="s">
        <v>5384</v>
      </c>
      <c r="G52" t="s">
        <v>9778</v>
      </c>
      <c r="H52" t="s">
        <v>8039</v>
      </c>
      <c r="I52">
        <v>39553</v>
      </c>
      <c r="J52">
        <v>76339</v>
      </c>
      <c r="K52" t="s">
        <v>9086</v>
      </c>
      <c r="L52" t="s">
        <v>9088</v>
      </c>
      <c r="M52" s="33"/>
      <c r="N52" s="34"/>
      <c r="O52" s="34"/>
      <c r="P52">
        <v>60</v>
      </c>
      <c r="Q52">
        <v>98</v>
      </c>
      <c r="R52" t="str">
        <f xml:space="preserve">
IF(GamesTable[[#This Row],[JAMMA]]="YES","JAMMA","")&amp;
IF(GamesTable[[#This Row],[MVS]]="YES","MVS","")&amp;
IF(GamesTable[[#This Row],[AES]]="YES","AES","")&amp;
IF(GamesTable[[#This Row],[NGCD]]="YES","NGCD","")&amp;
IF(GamesTable[[#This Row],[ROM]]="YES","ROM","")</f>
        <v>MVSAES</v>
      </c>
      <c r="S52" t="s">
        <v>10174</v>
      </c>
      <c r="T52" t="s">
        <v>10173</v>
      </c>
      <c r="U52" t="s">
        <v>10173</v>
      </c>
      <c r="V52" t="s">
        <v>10174</v>
      </c>
      <c r="AB52" t="s">
        <v>5379</v>
      </c>
    </row>
    <row r="53" spans="1:28" x14ac:dyDescent="0.25">
      <c r="A53" t="s">
        <v>9836</v>
      </c>
      <c r="C53" t="s">
        <v>7801</v>
      </c>
      <c r="D53" t="s">
        <v>7956</v>
      </c>
      <c r="E53" t="s">
        <v>5639</v>
      </c>
      <c r="F53" t="s">
        <v>1912</v>
      </c>
      <c r="G53" t="s">
        <v>6365</v>
      </c>
      <c r="H53" t="s">
        <v>8038</v>
      </c>
      <c r="I53">
        <v>39649</v>
      </c>
      <c r="J53">
        <v>29827</v>
      </c>
      <c r="K53" t="s">
        <v>9086</v>
      </c>
      <c r="L53" t="s">
        <v>9088</v>
      </c>
      <c r="M53" s="33"/>
      <c r="N53" s="34"/>
      <c r="O53" s="34"/>
      <c r="P53">
        <v>34</v>
      </c>
      <c r="Q53">
        <v>48</v>
      </c>
      <c r="R53" t="str">
        <f xml:space="preserve">
IF(GamesTable[[#This Row],[JAMMA]]="YES","JAMMA","")&amp;
IF(GamesTable[[#This Row],[MVS]]="YES","MVS","")&amp;
IF(GamesTable[[#This Row],[AES]]="YES","AES","")&amp;
IF(GamesTable[[#This Row],[NGCD]]="YES","NGCD","")&amp;
IF(GamesTable[[#This Row],[ROM]]="YES","ROM","")</f>
        <v>MVSAESNGCD</v>
      </c>
      <c r="S53" t="s">
        <v>10174</v>
      </c>
      <c r="T53" t="s">
        <v>10173</v>
      </c>
      <c r="U53" t="s">
        <v>10173</v>
      </c>
      <c r="V53" t="s">
        <v>10173</v>
      </c>
      <c r="X53">
        <v>1</v>
      </c>
      <c r="Y53">
        <v>1</v>
      </c>
      <c r="Z53">
        <v>1</v>
      </c>
      <c r="AA53">
        <v>2</v>
      </c>
      <c r="AB53" t="s">
        <v>6375</v>
      </c>
    </row>
    <row r="54" spans="1:28" x14ac:dyDescent="0.25">
      <c r="A54" t="s">
        <v>9836</v>
      </c>
      <c r="C54" t="s">
        <v>9113</v>
      </c>
      <c r="D54" t="s">
        <v>9112</v>
      </c>
      <c r="E54">
        <v>2006</v>
      </c>
      <c r="F54" t="s">
        <v>9114</v>
      </c>
      <c r="G54" s="8" t="s">
        <v>9115</v>
      </c>
      <c r="K54" t="s">
        <v>8986</v>
      </c>
      <c r="L54" t="s">
        <v>9089</v>
      </c>
      <c r="M54" s="33"/>
      <c r="N54" s="34"/>
      <c r="O54" s="34"/>
      <c r="R54" t="str">
        <f xml:space="preserve">
IF(GamesTable[[#This Row],[JAMMA]]="YES","JAMMA","")&amp;
IF(GamesTable[[#This Row],[MVS]]="YES","MVS","")&amp;
IF(GamesTable[[#This Row],[AES]]="YES","AES","")&amp;
IF(GamesTable[[#This Row],[NGCD]]="YES","NGCD","")&amp;
IF(GamesTable[[#This Row],[ROM]]="YES","ROM","")</f>
        <v/>
      </c>
    </row>
    <row r="55" spans="1:28" x14ac:dyDescent="0.25">
      <c r="A55" t="s">
        <v>9836</v>
      </c>
      <c r="C55" t="s">
        <v>9058</v>
      </c>
      <c r="D55" t="s">
        <v>9779</v>
      </c>
      <c r="E55" t="s">
        <v>9061</v>
      </c>
      <c r="F55" t="s">
        <v>5638</v>
      </c>
      <c r="K55" t="s">
        <v>9034</v>
      </c>
      <c r="L55" t="s">
        <v>9089</v>
      </c>
      <c r="M55" s="33"/>
      <c r="N55" s="34"/>
      <c r="O55" s="34"/>
      <c r="P55">
        <v>26</v>
      </c>
      <c r="R55" t="str">
        <f xml:space="preserve">
IF(GamesTable[[#This Row],[JAMMA]]="YES","JAMMA","")&amp;
IF(GamesTable[[#This Row],[MVS]]="YES","MVS","")&amp;
IF(GamesTable[[#This Row],[AES]]="YES","AES","")&amp;
IF(GamesTable[[#This Row],[NGCD]]="YES","NGCD","")&amp;
IF(GamesTable[[#This Row],[ROM]]="YES","ROM","")</f>
        <v/>
      </c>
    </row>
    <row r="56" spans="1:28" x14ac:dyDescent="0.25">
      <c r="A56" t="s">
        <v>9836</v>
      </c>
      <c r="C56" t="s">
        <v>10214</v>
      </c>
      <c r="D56" t="s">
        <v>10213</v>
      </c>
      <c r="E56">
        <v>2023</v>
      </c>
      <c r="J56">
        <v>255399</v>
      </c>
      <c r="K56" t="s">
        <v>10176</v>
      </c>
      <c r="L56" t="s">
        <v>9897</v>
      </c>
      <c r="M56" s="33"/>
      <c r="N56" s="34"/>
      <c r="O56" s="34"/>
    </row>
    <row r="57" spans="1:28" x14ac:dyDescent="0.25">
      <c r="A57" t="s">
        <v>9836</v>
      </c>
      <c r="C57" t="s">
        <v>7805</v>
      </c>
      <c r="D57" t="s">
        <v>4878</v>
      </c>
      <c r="E57" t="s">
        <v>1239</v>
      </c>
      <c r="F57" t="s">
        <v>3242</v>
      </c>
      <c r="G57" t="s">
        <v>4872</v>
      </c>
      <c r="H57" t="s">
        <v>8042</v>
      </c>
      <c r="I57">
        <v>39531</v>
      </c>
      <c r="J57">
        <v>76588</v>
      </c>
      <c r="K57" t="s">
        <v>9086</v>
      </c>
      <c r="L57" t="s">
        <v>9088</v>
      </c>
      <c r="M57" s="33"/>
      <c r="N57" s="34"/>
      <c r="O57" s="34"/>
      <c r="P57">
        <v>78</v>
      </c>
      <c r="Q57">
        <v>169</v>
      </c>
      <c r="R57" t="str">
        <f xml:space="preserve">
IF(GamesTable[[#This Row],[JAMMA]]="YES","JAMMA","")&amp;
IF(GamesTable[[#This Row],[MVS]]="YES","MVS","")&amp;
IF(GamesTable[[#This Row],[AES]]="YES","AES","")&amp;
IF(GamesTable[[#This Row],[NGCD]]="YES","NGCD","")&amp;
IF(GamesTable[[#This Row],[ROM]]="YES","ROM","")</f>
        <v>MVSAESNGCD</v>
      </c>
      <c r="S57" t="s">
        <v>10174</v>
      </c>
      <c r="T57" t="s">
        <v>10173</v>
      </c>
      <c r="U57" t="s">
        <v>10173</v>
      </c>
      <c r="V57" t="s">
        <v>10173</v>
      </c>
      <c r="X57">
        <v>2</v>
      </c>
      <c r="Y57">
        <v>2</v>
      </c>
      <c r="Z57">
        <v>2</v>
      </c>
      <c r="AA57">
        <v>2</v>
      </c>
      <c r="AB57" t="s">
        <v>4879</v>
      </c>
    </row>
    <row r="58" spans="1:28" x14ac:dyDescent="0.25">
      <c r="A58" t="s">
        <v>9836</v>
      </c>
      <c r="C58" t="s">
        <v>9062</v>
      </c>
      <c r="D58" t="s">
        <v>9780</v>
      </c>
      <c r="E58" t="s">
        <v>9059</v>
      </c>
      <c r="F58" t="s">
        <v>5638</v>
      </c>
      <c r="K58" t="s">
        <v>9034</v>
      </c>
      <c r="L58" t="s">
        <v>9089</v>
      </c>
      <c r="M58" s="33"/>
      <c r="N58" s="34"/>
      <c r="O58" s="34"/>
      <c r="P58" t="s">
        <v>9781</v>
      </c>
      <c r="R58" t="str">
        <f xml:space="preserve">
IF(GamesTable[[#This Row],[JAMMA]]="YES","JAMMA","")&amp;
IF(GamesTable[[#This Row],[MVS]]="YES","MVS","")&amp;
IF(GamesTable[[#This Row],[AES]]="YES","AES","")&amp;
IF(GamesTable[[#This Row],[NGCD]]="YES","NGCD","")&amp;
IF(GamesTable[[#This Row],[ROM]]="YES","ROM","")</f>
        <v/>
      </c>
    </row>
    <row r="59" spans="1:28" x14ac:dyDescent="0.25">
      <c r="A59" t="s">
        <v>9836</v>
      </c>
      <c r="C59" t="s">
        <v>7806</v>
      </c>
      <c r="D59" t="s">
        <v>8020</v>
      </c>
      <c r="E59" t="s">
        <v>1053</v>
      </c>
      <c r="F59" t="s">
        <v>1859</v>
      </c>
      <c r="G59" t="s">
        <v>9782</v>
      </c>
      <c r="H59" t="s">
        <v>8043</v>
      </c>
      <c r="I59">
        <v>39891</v>
      </c>
      <c r="J59">
        <v>76681</v>
      </c>
      <c r="K59" t="s">
        <v>9086</v>
      </c>
      <c r="L59" t="s">
        <v>9088</v>
      </c>
      <c r="M59" s="33" t="s">
        <v>9753</v>
      </c>
      <c r="N59" s="34"/>
      <c r="O59" s="34"/>
      <c r="P59">
        <v>252</v>
      </c>
      <c r="Q59">
        <v>178</v>
      </c>
      <c r="R59" t="str">
        <f xml:space="preserve">
IF(GamesTable[[#This Row],[JAMMA]]="YES","JAMMA","")&amp;
IF(GamesTable[[#This Row],[MVS]]="YES","MVS","")&amp;
IF(GamesTable[[#This Row],[AES]]="YES","AES","")&amp;
IF(GamesTable[[#This Row],[NGCD]]="YES","NGCD","")&amp;
IF(GamesTable[[#This Row],[ROM]]="YES","ROM","")</f>
        <v>MVSAES</v>
      </c>
      <c r="S59" t="s">
        <v>10174</v>
      </c>
      <c r="T59" t="s">
        <v>10173</v>
      </c>
      <c r="U59" t="s">
        <v>10173</v>
      </c>
      <c r="V59" t="s">
        <v>10174</v>
      </c>
      <c r="AB59" t="s">
        <v>2201</v>
      </c>
    </row>
    <row r="60" spans="1:28" x14ac:dyDescent="0.25">
      <c r="A60" t="s">
        <v>9836</v>
      </c>
      <c r="C60" t="s">
        <v>7807</v>
      </c>
      <c r="D60" t="s">
        <v>7958</v>
      </c>
      <c r="E60" t="s">
        <v>1053</v>
      </c>
      <c r="F60" t="s">
        <v>1912</v>
      </c>
      <c r="G60" t="s">
        <v>2153</v>
      </c>
      <c r="H60" t="s">
        <v>8044</v>
      </c>
      <c r="I60">
        <v>10605</v>
      </c>
      <c r="J60">
        <v>76686</v>
      </c>
      <c r="K60" t="s">
        <v>9086</v>
      </c>
      <c r="L60" t="s">
        <v>9088</v>
      </c>
      <c r="M60" s="33"/>
      <c r="N60" s="34" t="s">
        <v>9864</v>
      </c>
      <c r="O60" s="34">
        <v>30</v>
      </c>
      <c r="P60">
        <v>253</v>
      </c>
      <c r="Q60">
        <v>688</v>
      </c>
      <c r="R60" t="str">
        <f xml:space="preserve">
IF(GamesTable[[#This Row],[JAMMA]]="YES","JAMMA","")&amp;
IF(GamesTable[[#This Row],[MVS]]="YES","MVS","")&amp;
IF(GamesTable[[#This Row],[AES]]="YES","AES","")&amp;
IF(GamesTable[[#This Row],[NGCD]]="YES","NGCD","")&amp;
IF(GamesTable[[#This Row],[ROM]]="YES","ROM","")</f>
        <v>MVSAES</v>
      </c>
      <c r="S60" t="s">
        <v>10174</v>
      </c>
      <c r="T60" t="s">
        <v>10173</v>
      </c>
      <c r="U60" t="s">
        <v>10173</v>
      </c>
      <c r="V60" t="s">
        <v>10174</v>
      </c>
      <c r="X60">
        <v>3</v>
      </c>
      <c r="Y60">
        <v>3</v>
      </c>
      <c r="Z60">
        <v>2</v>
      </c>
      <c r="AA60">
        <v>5</v>
      </c>
      <c r="AB60" t="s">
        <v>1048</v>
      </c>
    </row>
    <row r="61" spans="1:28" x14ac:dyDescent="0.25">
      <c r="A61" t="s">
        <v>9836</v>
      </c>
      <c r="C61" t="s">
        <v>7811</v>
      </c>
      <c r="D61" t="s">
        <v>7959</v>
      </c>
      <c r="E61" t="s">
        <v>6279</v>
      </c>
      <c r="F61" t="s">
        <v>1912</v>
      </c>
      <c r="G61" t="s">
        <v>6890</v>
      </c>
      <c r="H61" t="s">
        <v>8047</v>
      </c>
      <c r="I61">
        <v>39734</v>
      </c>
      <c r="J61">
        <v>76728</v>
      </c>
      <c r="K61" t="s">
        <v>9086</v>
      </c>
      <c r="L61" t="s">
        <v>9088</v>
      </c>
      <c r="M61" s="33"/>
      <c r="N61" s="34"/>
      <c r="O61" s="34"/>
      <c r="P61">
        <v>20</v>
      </c>
      <c r="Q61">
        <v>55</v>
      </c>
      <c r="R61" t="str">
        <f xml:space="preserve">
IF(GamesTable[[#This Row],[JAMMA]]="YES","JAMMA","")&amp;
IF(GamesTable[[#This Row],[MVS]]="YES","MVS","")&amp;
IF(GamesTable[[#This Row],[AES]]="YES","AES","")&amp;
IF(GamesTable[[#This Row],[NGCD]]="YES","NGCD","")&amp;
IF(GamesTable[[#This Row],[ROM]]="YES","ROM","")</f>
        <v>MVSAESNGCD</v>
      </c>
      <c r="S61" t="s">
        <v>10174</v>
      </c>
      <c r="T61" t="s">
        <v>10173</v>
      </c>
      <c r="U61" t="s">
        <v>10173</v>
      </c>
      <c r="V61" t="s">
        <v>10173</v>
      </c>
      <c r="X61">
        <v>2</v>
      </c>
      <c r="Y61">
        <v>1</v>
      </c>
      <c r="Z61">
        <v>2</v>
      </c>
      <c r="AA61">
        <v>2</v>
      </c>
      <c r="AB61" t="s">
        <v>6855</v>
      </c>
    </row>
    <row r="62" spans="1:28" x14ac:dyDescent="0.25">
      <c r="A62" t="s">
        <v>9836</v>
      </c>
      <c r="C62" t="s">
        <v>7808</v>
      </c>
      <c r="D62" t="s">
        <v>8842</v>
      </c>
      <c r="E62" t="s">
        <v>1280</v>
      </c>
      <c r="F62" t="s">
        <v>3073</v>
      </c>
      <c r="G62" t="s">
        <v>7768</v>
      </c>
      <c r="I62">
        <v>40126</v>
      </c>
      <c r="J62">
        <v>29832</v>
      </c>
      <c r="K62" t="s">
        <v>9034</v>
      </c>
      <c r="L62" t="s">
        <v>9088</v>
      </c>
      <c r="M62" s="33"/>
      <c r="N62" s="34"/>
      <c r="O62" s="34"/>
      <c r="Q62">
        <v>3</v>
      </c>
      <c r="R62" t="str">
        <f xml:space="preserve">
IF(GamesTable[[#This Row],[JAMMA]]="YES","JAMMA","")&amp;
IF(GamesTable[[#This Row],[MVS]]="YES","MVS","")&amp;
IF(GamesTable[[#This Row],[AES]]="YES","AES","")&amp;
IF(GamesTable[[#This Row],[NGCD]]="YES","NGCD","")&amp;
IF(GamesTable[[#This Row],[ROM]]="YES","ROM","")</f>
        <v/>
      </c>
      <c r="AB62" t="s">
        <v>3170</v>
      </c>
    </row>
    <row r="63" spans="1:28" x14ac:dyDescent="0.25">
      <c r="A63" t="s">
        <v>9836</v>
      </c>
      <c r="C63" t="s">
        <v>7809</v>
      </c>
      <c r="D63" t="s">
        <v>3799</v>
      </c>
      <c r="E63" t="s">
        <v>1239</v>
      </c>
      <c r="F63" t="s">
        <v>1859</v>
      </c>
      <c r="G63" t="s">
        <v>3794</v>
      </c>
      <c r="H63" t="s">
        <v>8045</v>
      </c>
      <c r="I63">
        <v>39549</v>
      </c>
      <c r="J63">
        <v>76777</v>
      </c>
      <c r="K63" t="s">
        <v>9086</v>
      </c>
      <c r="L63" t="s">
        <v>9088</v>
      </c>
      <c r="M63" s="33" t="s">
        <v>9753</v>
      </c>
      <c r="N63" s="34"/>
      <c r="O63" s="34"/>
      <c r="P63">
        <v>209</v>
      </c>
      <c r="Q63">
        <v>110</v>
      </c>
      <c r="R63" t="str">
        <f xml:space="preserve">
IF(GamesTable[[#This Row],[JAMMA]]="YES","JAMMA","")&amp;
IF(GamesTable[[#This Row],[MVS]]="YES","MVS","")&amp;
IF(GamesTable[[#This Row],[AES]]="YES","AES","")&amp;
IF(GamesTable[[#This Row],[NGCD]]="YES","NGCD","")&amp;
IF(GamesTable[[#This Row],[ROM]]="YES","ROM","")</f>
        <v>MVSAES</v>
      </c>
      <c r="S63" t="s">
        <v>10174</v>
      </c>
      <c r="T63" t="s">
        <v>10173</v>
      </c>
      <c r="U63" t="s">
        <v>10173</v>
      </c>
      <c r="V63" t="s">
        <v>10174</v>
      </c>
      <c r="AB63" t="s">
        <v>3800</v>
      </c>
    </row>
    <row r="64" spans="1:28" x14ac:dyDescent="0.25">
      <c r="A64" t="s">
        <v>9836</v>
      </c>
      <c r="C64" t="s">
        <v>9023</v>
      </c>
      <c r="D64" t="s">
        <v>8291</v>
      </c>
      <c r="E64">
        <v>2012</v>
      </c>
      <c r="F64" t="s">
        <v>86</v>
      </c>
      <c r="J64">
        <v>252974</v>
      </c>
      <c r="K64" t="s">
        <v>9041</v>
      </c>
      <c r="L64" t="s">
        <v>9897</v>
      </c>
      <c r="M64" s="33"/>
      <c r="N64" s="34"/>
      <c r="O64" s="34"/>
      <c r="Q64">
        <v>624</v>
      </c>
      <c r="R64" t="str">
        <f xml:space="preserve">
IF(GamesTable[[#This Row],[JAMMA]]="YES","JAMMA","")&amp;
IF(GamesTable[[#This Row],[MVS]]="YES","MVS","")&amp;
IF(GamesTable[[#This Row],[AES]]="YES","AES","")&amp;
IF(GamesTable[[#This Row],[NGCD]]="YES","NGCD","")&amp;
IF(GamesTable[[#This Row],[ROM]]="YES","ROM","")</f>
        <v/>
      </c>
    </row>
    <row r="65" spans="1:28" x14ac:dyDescent="0.25">
      <c r="A65" t="s">
        <v>9836</v>
      </c>
      <c r="C65" t="s">
        <v>7812</v>
      </c>
      <c r="D65" t="s">
        <v>5108</v>
      </c>
      <c r="E65" t="s">
        <v>393</v>
      </c>
      <c r="F65" t="s">
        <v>1302</v>
      </c>
      <c r="G65" t="s">
        <v>5099</v>
      </c>
      <c r="H65" t="s">
        <v>5108</v>
      </c>
      <c r="I65">
        <v>40123</v>
      </c>
      <c r="J65">
        <v>77006</v>
      </c>
      <c r="K65" t="s">
        <v>9086</v>
      </c>
      <c r="L65" t="s">
        <v>9088</v>
      </c>
      <c r="M65" s="33"/>
      <c r="N65" s="34"/>
      <c r="O65" s="34"/>
      <c r="P65">
        <v>67</v>
      </c>
      <c r="Q65">
        <v>40</v>
      </c>
      <c r="R65" t="str">
        <f xml:space="preserve">
IF(GamesTable[[#This Row],[JAMMA]]="YES","JAMMA","")&amp;
IF(GamesTable[[#This Row],[MVS]]="YES","MVS","")&amp;
IF(GamesTable[[#This Row],[AES]]="YES","AES","")&amp;
IF(GamesTable[[#This Row],[NGCD]]="YES","NGCD","")&amp;
IF(GamesTable[[#This Row],[ROM]]="YES","ROM","")</f>
        <v>MVSAES</v>
      </c>
      <c r="S65" t="s">
        <v>10174</v>
      </c>
      <c r="T65" t="s">
        <v>10173</v>
      </c>
      <c r="U65" t="s">
        <v>10173</v>
      </c>
      <c r="V65" t="s">
        <v>10174</v>
      </c>
      <c r="AB65" t="s">
        <v>5109</v>
      </c>
    </row>
    <row r="66" spans="1:28" x14ac:dyDescent="0.25">
      <c r="A66" t="s">
        <v>9836</v>
      </c>
      <c r="C66" t="s">
        <v>9079</v>
      </c>
      <c r="D66" t="s">
        <v>9783</v>
      </c>
      <c r="E66" t="s">
        <v>9070</v>
      </c>
      <c r="F66" t="s">
        <v>3242</v>
      </c>
      <c r="K66" t="s">
        <v>9034</v>
      </c>
      <c r="L66" t="s">
        <v>9089</v>
      </c>
      <c r="M66" s="33"/>
      <c r="N66" s="34"/>
      <c r="O66" s="34"/>
      <c r="P66">
        <v>226</v>
      </c>
      <c r="R66" t="str">
        <f xml:space="preserve">
IF(GamesTable[[#This Row],[JAMMA]]="YES","JAMMA","")&amp;
IF(GamesTable[[#This Row],[MVS]]="YES","MVS","")&amp;
IF(GamesTable[[#This Row],[AES]]="YES","AES","")&amp;
IF(GamesTable[[#This Row],[NGCD]]="YES","NGCD","")&amp;
IF(GamesTable[[#This Row],[ROM]]="YES","ROM","")</f>
        <v/>
      </c>
    </row>
    <row r="67" spans="1:28" x14ac:dyDescent="0.25">
      <c r="A67" t="s">
        <v>9836</v>
      </c>
      <c r="C67" t="s">
        <v>9050</v>
      </c>
      <c r="D67" t="s">
        <v>9043</v>
      </c>
      <c r="E67" t="s">
        <v>9011</v>
      </c>
      <c r="F67" t="s">
        <v>9047</v>
      </c>
      <c r="J67">
        <v>253112</v>
      </c>
      <c r="K67" t="s">
        <v>8986</v>
      </c>
      <c r="L67" t="s">
        <v>9897</v>
      </c>
      <c r="M67" s="33"/>
      <c r="N67" s="34"/>
      <c r="O67" s="34"/>
      <c r="Q67">
        <v>11</v>
      </c>
      <c r="R67" t="str">
        <f xml:space="preserve">
IF(GamesTable[[#This Row],[JAMMA]]="YES","JAMMA","")&amp;
IF(GamesTable[[#This Row],[MVS]]="YES","MVS","")&amp;
IF(GamesTable[[#This Row],[AES]]="YES","AES","")&amp;
IF(GamesTable[[#This Row],[NGCD]]="YES","NGCD","")&amp;
IF(GamesTable[[#This Row],[ROM]]="YES","ROM","")</f>
        <v/>
      </c>
    </row>
    <row r="68" spans="1:28" x14ac:dyDescent="0.25">
      <c r="A68" t="s">
        <v>9836</v>
      </c>
      <c r="C68" t="s">
        <v>7804</v>
      </c>
      <c r="D68" t="s">
        <v>8717</v>
      </c>
      <c r="E68">
        <v>1995</v>
      </c>
      <c r="F68" t="s">
        <v>8996</v>
      </c>
      <c r="J68">
        <v>77259</v>
      </c>
      <c r="K68" t="s">
        <v>10176</v>
      </c>
      <c r="L68" t="s">
        <v>9088</v>
      </c>
      <c r="M68" s="33"/>
      <c r="N68" s="34"/>
      <c r="O68" s="34"/>
      <c r="P68">
        <v>98</v>
      </c>
      <c r="R68" t="str">
        <f xml:space="preserve">
IF(GamesTable[[#This Row],[JAMMA]]="YES","JAMMA","")&amp;
IF(GamesTable[[#This Row],[MVS]]="YES","MVS","")&amp;
IF(GamesTable[[#This Row],[AES]]="YES","AES","")&amp;
IF(GamesTable[[#This Row],[NGCD]]="YES","NGCD","")&amp;
IF(GamesTable[[#This Row],[ROM]]="YES","ROM","")</f>
        <v>NGCD</v>
      </c>
      <c r="S68" t="s">
        <v>10174</v>
      </c>
      <c r="T68" t="s">
        <v>10174</v>
      </c>
      <c r="U68" t="s">
        <v>10174</v>
      </c>
      <c r="V68" t="s">
        <v>10173</v>
      </c>
      <c r="AB68" t="s">
        <v>1261</v>
      </c>
    </row>
    <row r="69" spans="1:28" x14ac:dyDescent="0.25">
      <c r="A69" t="s">
        <v>9836</v>
      </c>
      <c r="C69" t="s">
        <v>9063</v>
      </c>
      <c r="D69" t="s">
        <v>9784</v>
      </c>
      <c r="E69" t="s">
        <v>9059</v>
      </c>
      <c r="F69" t="s">
        <v>5638</v>
      </c>
      <c r="K69" t="s">
        <v>9034</v>
      </c>
      <c r="L69" t="s">
        <v>9089</v>
      </c>
      <c r="M69" s="33"/>
      <c r="N69" s="34"/>
      <c r="O69" s="34"/>
      <c r="P69" t="s">
        <v>9781</v>
      </c>
      <c r="R69" t="str">
        <f xml:space="preserve">
IF(GamesTable[[#This Row],[JAMMA]]="YES","JAMMA","")&amp;
IF(GamesTable[[#This Row],[MVS]]="YES","MVS","")&amp;
IF(GamesTable[[#This Row],[AES]]="YES","AES","")&amp;
IF(GamesTable[[#This Row],[NGCD]]="YES","NGCD","")&amp;
IF(GamesTable[[#This Row],[ROM]]="YES","ROM","")</f>
        <v/>
      </c>
    </row>
    <row r="70" spans="1:28" x14ac:dyDescent="0.25">
      <c r="A70" t="s">
        <v>9836</v>
      </c>
      <c r="C70" t="s">
        <v>9084</v>
      </c>
      <c r="D70" t="s">
        <v>9081</v>
      </c>
      <c r="E70" t="s">
        <v>9011</v>
      </c>
      <c r="F70" t="s">
        <v>9082</v>
      </c>
      <c r="K70" t="s">
        <v>8986</v>
      </c>
      <c r="L70" t="s">
        <v>9089</v>
      </c>
      <c r="M70" s="33"/>
      <c r="N70" s="34"/>
      <c r="O70" s="34"/>
      <c r="R70" t="str">
        <f xml:space="preserve">
IF(GamesTable[[#This Row],[JAMMA]]="YES","JAMMA","")&amp;
IF(GamesTable[[#This Row],[MVS]]="YES","MVS","")&amp;
IF(GamesTable[[#This Row],[AES]]="YES","AES","")&amp;
IF(GamesTable[[#This Row],[NGCD]]="YES","NGCD","")&amp;
IF(GamesTable[[#This Row],[ROM]]="YES","ROM","")</f>
        <v/>
      </c>
    </row>
    <row r="71" spans="1:28" x14ac:dyDescent="0.25">
      <c r="A71" t="s">
        <v>9836</v>
      </c>
      <c r="C71" t="s">
        <v>7815</v>
      </c>
      <c r="D71" t="s">
        <v>5838</v>
      </c>
      <c r="E71">
        <v>1991</v>
      </c>
      <c r="F71" t="s">
        <v>4347</v>
      </c>
      <c r="G71" t="s">
        <v>5829</v>
      </c>
      <c r="I71">
        <v>75458</v>
      </c>
      <c r="J71">
        <v>77514</v>
      </c>
      <c r="K71" t="s">
        <v>9086</v>
      </c>
      <c r="L71" t="s">
        <v>9088</v>
      </c>
      <c r="M71" s="33"/>
      <c r="N71" s="34"/>
      <c r="O71" s="34"/>
      <c r="P71">
        <v>48</v>
      </c>
      <c r="Q71">
        <v>82</v>
      </c>
      <c r="R71" t="str">
        <f xml:space="preserve">
IF(GamesTable[[#This Row],[JAMMA]]="YES","JAMMA","")&amp;
IF(GamesTable[[#This Row],[MVS]]="YES","MVS","")&amp;
IF(GamesTable[[#This Row],[AES]]="YES","AES","")&amp;
IF(GamesTable[[#This Row],[NGCD]]="YES","NGCD","")&amp;
IF(GamesTable[[#This Row],[ROM]]="YES","ROM","")</f>
        <v>MVSAESNGCD</v>
      </c>
      <c r="S71" t="s">
        <v>10174</v>
      </c>
      <c r="T71" t="s">
        <v>10173</v>
      </c>
      <c r="U71" t="s">
        <v>10173</v>
      </c>
      <c r="V71" t="s">
        <v>10173</v>
      </c>
      <c r="AB71" t="s">
        <v>5839</v>
      </c>
    </row>
    <row r="72" spans="1:28" x14ac:dyDescent="0.25">
      <c r="A72" t="s">
        <v>9836</v>
      </c>
      <c r="C72" t="s">
        <v>7816</v>
      </c>
      <c r="D72" t="s">
        <v>7960</v>
      </c>
      <c r="E72" t="s">
        <v>959</v>
      </c>
      <c r="F72" t="s">
        <v>1322</v>
      </c>
      <c r="G72" t="s">
        <v>7768</v>
      </c>
      <c r="I72">
        <v>47597</v>
      </c>
      <c r="J72">
        <v>77431</v>
      </c>
      <c r="K72" t="s">
        <v>9086</v>
      </c>
      <c r="L72" t="s">
        <v>9088</v>
      </c>
      <c r="M72" s="33"/>
      <c r="N72" s="34"/>
      <c r="O72" s="34"/>
      <c r="P72">
        <v>8</v>
      </c>
      <c r="R72" t="str">
        <f xml:space="preserve">
IF(GamesTable[[#This Row],[JAMMA]]="YES","JAMMA","")&amp;
IF(GamesTable[[#This Row],[MVS]]="YES","MVS","")&amp;
IF(GamesTable[[#This Row],[AES]]="YES","AES","")&amp;
IF(GamesTable[[#This Row],[NGCD]]="YES","NGCD","")&amp;
IF(GamesTable[[#This Row],[ROM]]="YES","ROM","")</f>
        <v/>
      </c>
      <c r="AB72" t="s">
        <v>1317</v>
      </c>
    </row>
    <row r="73" spans="1:28" x14ac:dyDescent="0.25">
      <c r="A73" t="s">
        <v>9836</v>
      </c>
      <c r="C73" t="s">
        <v>9118</v>
      </c>
      <c r="D73" t="s">
        <v>9116</v>
      </c>
      <c r="E73" t="s">
        <v>9110</v>
      </c>
      <c r="F73" t="s">
        <v>9039</v>
      </c>
      <c r="G73" s="8" t="s">
        <v>9117</v>
      </c>
      <c r="K73" t="s">
        <v>8986</v>
      </c>
      <c r="L73" t="s">
        <v>9089</v>
      </c>
      <c r="M73" s="33"/>
      <c r="N73" s="34"/>
      <c r="O73" s="34"/>
      <c r="R73" t="str">
        <f xml:space="preserve">
IF(GamesTable[[#This Row],[JAMMA]]="YES","JAMMA","")&amp;
IF(GamesTable[[#This Row],[MVS]]="YES","MVS","")&amp;
IF(GamesTable[[#This Row],[AES]]="YES","AES","")&amp;
IF(GamesTable[[#This Row],[NGCD]]="YES","NGCD","")&amp;
IF(GamesTable[[#This Row],[ROM]]="YES","ROM","")</f>
        <v/>
      </c>
    </row>
    <row r="74" spans="1:28" x14ac:dyDescent="0.25">
      <c r="A74" t="s">
        <v>9836</v>
      </c>
      <c r="C74" t="s">
        <v>9078</v>
      </c>
      <c r="D74" t="s">
        <v>9785</v>
      </c>
      <c r="E74" t="s">
        <v>9070</v>
      </c>
      <c r="F74" t="s">
        <v>2854</v>
      </c>
      <c r="K74" t="s">
        <v>9034</v>
      </c>
      <c r="L74" t="s">
        <v>9089</v>
      </c>
      <c r="M74" s="33"/>
      <c r="N74" s="34"/>
      <c r="O74" s="34"/>
      <c r="P74">
        <v>110</v>
      </c>
      <c r="R74" t="str">
        <f xml:space="preserve">
IF(GamesTable[[#This Row],[JAMMA]]="YES","JAMMA","")&amp;
IF(GamesTable[[#This Row],[MVS]]="YES","MVS","")&amp;
IF(GamesTable[[#This Row],[AES]]="YES","AES","")&amp;
IF(GamesTable[[#This Row],[NGCD]]="YES","NGCD","")&amp;
IF(GamesTable[[#This Row],[ROM]]="YES","ROM","")</f>
        <v/>
      </c>
    </row>
    <row r="75" spans="1:28" x14ac:dyDescent="0.25">
      <c r="A75" t="s">
        <v>9836</v>
      </c>
      <c r="C75" t="s">
        <v>7819</v>
      </c>
      <c r="D75" t="s">
        <v>10192</v>
      </c>
      <c r="E75" t="s">
        <v>393</v>
      </c>
      <c r="F75" t="s">
        <v>3073</v>
      </c>
      <c r="G75" t="s">
        <v>5134</v>
      </c>
      <c r="H75" t="s">
        <v>8112</v>
      </c>
      <c r="I75">
        <v>39546</v>
      </c>
      <c r="J75">
        <v>29837</v>
      </c>
      <c r="K75" t="s">
        <v>9086</v>
      </c>
      <c r="L75" t="s">
        <v>9088</v>
      </c>
      <c r="M75" s="33"/>
      <c r="N75" s="34"/>
      <c r="O75" s="34"/>
      <c r="P75">
        <v>66</v>
      </c>
      <c r="Q75">
        <v>122</v>
      </c>
      <c r="R75" t="str">
        <f xml:space="preserve">
IF(GamesTable[[#This Row],[JAMMA]]="YES","JAMMA","")&amp;
IF(GamesTable[[#This Row],[MVS]]="YES","MVS","")&amp;
IF(GamesTable[[#This Row],[AES]]="YES","AES","")&amp;
IF(GamesTable[[#This Row],[NGCD]]="YES","NGCD","")&amp;
IF(GamesTable[[#This Row],[ROM]]="YES","ROM","")</f>
        <v>MVSAESNGCD</v>
      </c>
      <c r="S75" t="s">
        <v>10174</v>
      </c>
      <c r="T75" t="s">
        <v>10173</v>
      </c>
      <c r="U75" t="s">
        <v>10173</v>
      </c>
      <c r="V75" t="s">
        <v>10173</v>
      </c>
      <c r="X75">
        <v>1</v>
      </c>
      <c r="Y75">
        <v>1</v>
      </c>
      <c r="Z75">
        <v>1</v>
      </c>
      <c r="AA75">
        <v>4</v>
      </c>
      <c r="AB75" t="s">
        <v>5144</v>
      </c>
    </row>
    <row r="76" spans="1:28" x14ac:dyDescent="0.25">
      <c r="A76" t="s">
        <v>9836</v>
      </c>
      <c r="C76" t="s">
        <v>9744</v>
      </c>
      <c r="D76" t="s">
        <v>8709</v>
      </c>
      <c r="E76">
        <v>2003</v>
      </c>
      <c r="F76" t="s">
        <v>194</v>
      </c>
      <c r="J76">
        <v>77590</v>
      </c>
      <c r="K76" t="s">
        <v>8355</v>
      </c>
      <c r="L76" t="s">
        <v>9088</v>
      </c>
      <c r="M76" s="33"/>
      <c r="N76" s="34"/>
      <c r="O76" s="34"/>
      <c r="R76" t="str">
        <f xml:space="preserve">
IF(GamesTable[[#This Row],[JAMMA]]="YES","JAMMA","")&amp;
IF(GamesTable[[#This Row],[MVS]]="YES","MVS","")&amp;
IF(GamesTable[[#This Row],[AES]]="YES","AES","")&amp;
IF(GamesTable[[#This Row],[NGCD]]="YES","NGCD","")&amp;
IF(GamesTable[[#This Row],[ROM]]="YES","ROM","")</f>
        <v/>
      </c>
      <c r="AB76" t="s">
        <v>1147</v>
      </c>
    </row>
    <row r="77" spans="1:28" x14ac:dyDescent="0.25">
      <c r="A77" t="s">
        <v>9836</v>
      </c>
      <c r="C77" t="s">
        <v>7830</v>
      </c>
      <c r="D77" t="s">
        <v>7971</v>
      </c>
      <c r="E77" t="s">
        <v>6279</v>
      </c>
      <c r="F77" t="s">
        <v>1912</v>
      </c>
      <c r="G77" t="s">
        <v>7170</v>
      </c>
      <c r="H77" t="s">
        <v>8056</v>
      </c>
      <c r="I77">
        <v>6800</v>
      </c>
      <c r="J77">
        <v>77591</v>
      </c>
      <c r="K77" t="s">
        <v>9086</v>
      </c>
      <c r="L77" t="s">
        <v>9088</v>
      </c>
      <c r="M77" s="33"/>
      <c r="N77" s="34"/>
      <c r="O77" s="34"/>
      <c r="P77">
        <v>16</v>
      </c>
      <c r="Q77">
        <v>55</v>
      </c>
      <c r="R77" t="str">
        <f xml:space="preserve">
IF(GamesTable[[#This Row],[JAMMA]]="YES","JAMMA","")&amp;
IF(GamesTable[[#This Row],[MVS]]="YES","MVS","")&amp;
IF(GamesTable[[#This Row],[AES]]="YES","AES","")&amp;
IF(GamesTable[[#This Row],[NGCD]]="YES","NGCD","")&amp;
IF(GamesTable[[#This Row],[ROM]]="YES","ROM","")</f>
        <v>MVSAES</v>
      </c>
      <c r="S77" t="s">
        <v>10174</v>
      </c>
      <c r="T77" t="s">
        <v>10173</v>
      </c>
      <c r="U77" t="s">
        <v>10173</v>
      </c>
      <c r="V77" t="s">
        <v>10174</v>
      </c>
      <c r="X77">
        <v>1</v>
      </c>
      <c r="Y77">
        <v>1</v>
      </c>
      <c r="AA77">
        <v>2</v>
      </c>
      <c r="AB77" t="s">
        <v>7175</v>
      </c>
    </row>
    <row r="78" spans="1:28" x14ac:dyDescent="0.25">
      <c r="A78" t="s">
        <v>9836</v>
      </c>
      <c r="C78" t="s">
        <v>7916</v>
      </c>
      <c r="D78" t="s">
        <v>7972</v>
      </c>
      <c r="E78" t="s">
        <v>5639</v>
      </c>
      <c r="F78" t="s">
        <v>1912</v>
      </c>
      <c r="G78" t="s">
        <v>6234</v>
      </c>
      <c r="H78" t="s">
        <v>8057</v>
      </c>
      <c r="J78">
        <v>77592</v>
      </c>
      <c r="K78" t="s">
        <v>9086</v>
      </c>
      <c r="L78" t="s">
        <v>9088</v>
      </c>
      <c r="M78" s="33" t="s">
        <v>9753</v>
      </c>
      <c r="N78" s="34"/>
      <c r="O78" s="34"/>
      <c r="P78">
        <v>39</v>
      </c>
      <c r="Q78">
        <v>74</v>
      </c>
      <c r="R78" t="str">
        <f xml:space="preserve">
IF(GamesTable[[#This Row],[JAMMA]]="YES","JAMMA","")&amp;
IF(GamesTable[[#This Row],[MVS]]="YES","MVS","")&amp;
IF(GamesTable[[#This Row],[AES]]="YES","AES","")&amp;
IF(GamesTable[[#This Row],[NGCD]]="YES","NGCD","")&amp;
IF(GamesTable[[#This Row],[ROM]]="YES","ROM","")</f>
        <v>MVSAESNGCD</v>
      </c>
      <c r="S78" t="s">
        <v>10174</v>
      </c>
      <c r="T78" t="s">
        <v>10173</v>
      </c>
      <c r="U78" t="s">
        <v>10173</v>
      </c>
      <c r="V78" t="s">
        <v>10173</v>
      </c>
      <c r="X78">
        <v>1</v>
      </c>
      <c r="Y78">
        <v>2</v>
      </c>
      <c r="Z78">
        <v>2</v>
      </c>
      <c r="AA78">
        <v>3</v>
      </c>
      <c r="AB78" t="s">
        <v>6204</v>
      </c>
    </row>
    <row r="79" spans="1:28" x14ac:dyDescent="0.25">
      <c r="A79" t="s">
        <v>9836</v>
      </c>
      <c r="C79" t="s">
        <v>7820</v>
      </c>
      <c r="D79" t="s">
        <v>9786</v>
      </c>
      <c r="E79" t="s">
        <v>1280</v>
      </c>
      <c r="F79" t="s">
        <v>1912</v>
      </c>
      <c r="G79" t="s">
        <v>9787</v>
      </c>
      <c r="H79" t="s">
        <v>8051</v>
      </c>
      <c r="I79">
        <v>39530</v>
      </c>
      <c r="J79">
        <v>77608</v>
      </c>
      <c r="K79" t="s">
        <v>9086</v>
      </c>
      <c r="L79" t="s">
        <v>9088</v>
      </c>
      <c r="M79" s="33"/>
      <c r="N79" s="34" t="s">
        <v>9874</v>
      </c>
      <c r="O79" s="34">
        <v>33</v>
      </c>
      <c r="P79">
        <v>216</v>
      </c>
      <c r="Q79">
        <v>242</v>
      </c>
      <c r="R79" t="str">
        <f xml:space="preserve">
IF(GamesTable[[#This Row],[JAMMA]]="YES","JAMMA","")&amp;
IF(GamesTable[[#This Row],[MVS]]="YES","MVS","")&amp;
IF(GamesTable[[#This Row],[AES]]="YES","AES","")&amp;
IF(GamesTable[[#This Row],[NGCD]]="YES","NGCD","")&amp;
IF(GamesTable[[#This Row],[ROM]]="YES","ROM","")</f>
        <v>MVSAES</v>
      </c>
      <c r="S79" t="s">
        <v>10174</v>
      </c>
      <c r="T79" t="s">
        <v>10173</v>
      </c>
      <c r="U79" t="s">
        <v>10173</v>
      </c>
      <c r="V79" t="s">
        <v>10174</v>
      </c>
      <c r="X79">
        <v>2</v>
      </c>
      <c r="Y79">
        <v>4</v>
      </c>
      <c r="AA79">
        <v>4</v>
      </c>
      <c r="AB79" t="s">
        <v>3614</v>
      </c>
    </row>
    <row r="80" spans="1:28" x14ac:dyDescent="0.25">
      <c r="A80" t="s">
        <v>9836</v>
      </c>
      <c r="C80" t="s">
        <v>8167</v>
      </c>
      <c r="D80" t="s">
        <v>8168</v>
      </c>
      <c r="E80">
        <v>2013</v>
      </c>
      <c r="F80" t="s">
        <v>8169</v>
      </c>
      <c r="I80">
        <v>75478</v>
      </c>
      <c r="J80">
        <v>252870</v>
      </c>
      <c r="K80" t="s">
        <v>9041</v>
      </c>
      <c r="L80" t="s">
        <v>9897</v>
      </c>
      <c r="M80" s="33"/>
      <c r="N80" s="34"/>
      <c r="O80" s="34"/>
      <c r="R80" t="str">
        <f xml:space="preserve">
IF(GamesTable[[#This Row],[JAMMA]]="YES","JAMMA","")&amp;
IF(GamesTable[[#This Row],[MVS]]="YES","MVS","")&amp;
IF(GamesTable[[#This Row],[AES]]="YES","AES","")&amp;
IF(GamesTable[[#This Row],[NGCD]]="YES","NGCD","")&amp;
IF(GamesTable[[#This Row],[ROM]]="YES","ROM","")</f>
        <v/>
      </c>
    </row>
    <row r="81" spans="1:28" x14ac:dyDescent="0.25">
      <c r="A81" t="s">
        <v>9836</v>
      </c>
      <c r="C81" t="s">
        <v>9026</v>
      </c>
      <c r="D81" t="s">
        <v>9027</v>
      </c>
      <c r="E81">
        <v>2019</v>
      </c>
      <c r="F81" t="s">
        <v>86</v>
      </c>
      <c r="J81">
        <v>252972</v>
      </c>
      <c r="K81" t="s">
        <v>9041</v>
      </c>
      <c r="L81" t="s">
        <v>9897</v>
      </c>
      <c r="M81" s="33"/>
      <c r="N81" s="34"/>
      <c r="O81" s="34"/>
      <c r="Q81">
        <v>808</v>
      </c>
      <c r="R81" t="str">
        <f xml:space="preserve">
IF(GamesTable[[#This Row],[JAMMA]]="YES","JAMMA","")&amp;
IF(GamesTable[[#This Row],[MVS]]="YES","MVS","")&amp;
IF(GamesTable[[#This Row],[AES]]="YES","AES","")&amp;
IF(GamesTable[[#This Row],[NGCD]]="YES","NGCD","")&amp;
IF(GamesTable[[#This Row],[ROM]]="YES","ROM","")</f>
        <v/>
      </c>
    </row>
    <row r="82" spans="1:28" x14ac:dyDescent="0.25">
      <c r="A82" t="s">
        <v>9836</v>
      </c>
      <c r="B82" s="18"/>
      <c r="C82" s="18" t="s">
        <v>8992</v>
      </c>
      <c r="D82" t="s">
        <v>8695</v>
      </c>
      <c r="E82">
        <v>2004</v>
      </c>
      <c r="F82" t="s">
        <v>9732</v>
      </c>
      <c r="G82" t="s">
        <v>9788</v>
      </c>
      <c r="J82">
        <v>77728</v>
      </c>
      <c r="K82" t="s">
        <v>8355</v>
      </c>
      <c r="L82" t="s">
        <v>9088</v>
      </c>
      <c r="M82" s="33"/>
      <c r="N82" s="34"/>
      <c r="O82" s="34"/>
      <c r="R82" t="str">
        <f xml:space="preserve">
IF(GamesTable[[#This Row],[JAMMA]]="YES","JAMMA","")&amp;
IF(GamesTable[[#This Row],[MVS]]="YES","MVS","")&amp;
IF(GamesTable[[#This Row],[AES]]="YES","AES","")&amp;
IF(GamesTable[[#This Row],[NGCD]]="YES","NGCD","")&amp;
IF(GamesTable[[#This Row],[ROM]]="YES","ROM","")</f>
        <v/>
      </c>
      <c r="AB82" t="s">
        <v>1103</v>
      </c>
    </row>
    <row r="83" spans="1:28" x14ac:dyDescent="0.25">
      <c r="A83" t="s">
        <v>9836</v>
      </c>
      <c r="C83" t="s">
        <v>7833</v>
      </c>
      <c r="D83" t="s">
        <v>88</v>
      </c>
      <c r="E83" t="s">
        <v>87</v>
      </c>
      <c r="F83" t="s">
        <v>86</v>
      </c>
      <c r="G83" t="s">
        <v>7768</v>
      </c>
      <c r="H83" t="s">
        <v>8129</v>
      </c>
      <c r="J83">
        <v>29841</v>
      </c>
      <c r="K83" t="s">
        <v>9041</v>
      </c>
      <c r="L83" t="s">
        <v>9897</v>
      </c>
      <c r="M83" s="33"/>
      <c r="N83" s="34"/>
      <c r="O83" s="34"/>
      <c r="R83" t="str">
        <f xml:space="preserve">
IF(GamesTable[[#This Row],[JAMMA]]="YES","JAMMA","")&amp;
IF(GamesTable[[#This Row],[MVS]]="YES","MVS","")&amp;
IF(GamesTable[[#This Row],[AES]]="YES","AES","")&amp;
IF(GamesTable[[#This Row],[NGCD]]="YES","NGCD","")&amp;
IF(GamesTable[[#This Row],[ROM]]="YES","ROM","")</f>
        <v/>
      </c>
      <c r="AB83" t="s">
        <v>89</v>
      </c>
    </row>
    <row r="84" spans="1:28" x14ac:dyDescent="0.25">
      <c r="A84" t="s">
        <v>9836</v>
      </c>
      <c r="C84" t="s">
        <v>9022</v>
      </c>
      <c r="D84" t="s">
        <v>9021</v>
      </c>
      <c r="E84">
        <v>2009</v>
      </c>
      <c r="F84" t="s">
        <v>86</v>
      </c>
      <c r="J84">
        <v>252975</v>
      </c>
      <c r="K84" t="s">
        <v>9041</v>
      </c>
      <c r="L84" t="s">
        <v>9897</v>
      </c>
      <c r="M84" s="33"/>
      <c r="N84" s="34"/>
      <c r="O84" s="34"/>
      <c r="Q84">
        <v>186</v>
      </c>
      <c r="R84" t="str">
        <f xml:space="preserve">
IF(GamesTable[[#This Row],[JAMMA]]="YES","JAMMA","")&amp;
IF(GamesTable[[#This Row],[MVS]]="YES","MVS","")&amp;
IF(GamesTable[[#This Row],[AES]]="YES","AES","")&amp;
IF(GamesTable[[#This Row],[NGCD]]="YES","NGCD","")&amp;
IF(GamesTable[[#This Row],[ROM]]="YES","ROM","")</f>
        <v/>
      </c>
    </row>
    <row r="85" spans="1:28" x14ac:dyDescent="0.25">
      <c r="A85" t="s">
        <v>9836</v>
      </c>
      <c r="C85" t="s">
        <v>9068</v>
      </c>
      <c r="D85" t="s">
        <v>9433</v>
      </c>
      <c r="E85" t="s">
        <v>9037</v>
      </c>
      <c r="F85" t="s">
        <v>6341</v>
      </c>
      <c r="K85" t="s">
        <v>9034</v>
      </c>
      <c r="L85" t="s">
        <v>9089</v>
      </c>
      <c r="M85" s="33"/>
      <c r="N85" s="34"/>
      <c r="O85" s="34"/>
      <c r="P85">
        <v>72</v>
      </c>
      <c r="R85" t="str">
        <f xml:space="preserve">
IF(GamesTable[[#This Row],[JAMMA]]="YES","JAMMA","")&amp;
IF(GamesTable[[#This Row],[MVS]]="YES","MVS","")&amp;
IF(GamesTable[[#This Row],[AES]]="YES","AES","")&amp;
IF(GamesTable[[#This Row],[NGCD]]="YES","NGCD","")&amp;
IF(GamesTable[[#This Row],[ROM]]="YES","ROM","")</f>
        <v/>
      </c>
    </row>
    <row r="86" spans="1:28" x14ac:dyDescent="0.25">
      <c r="A86" t="s">
        <v>9836</v>
      </c>
      <c r="C86" t="s">
        <v>7836</v>
      </c>
      <c r="D86" t="s">
        <v>6703</v>
      </c>
      <c r="E86" t="s">
        <v>5639</v>
      </c>
      <c r="F86" t="s">
        <v>1912</v>
      </c>
      <c r="G86" t="s">
        <v>6697</v>
      </c>
      <c r="H86" t="s">
        <v>8062</v>
      </c>
      <c r="I86">
        <v>36750</v>
      </c>
      <c r="J86">
        <v>77753</v>
      </c>
      <c r="K86" t="s">
        <v>9086</v>
      </c>
      <c r="L86" t="s">
        <v>9088</v>
      </c>
      <c r="M86" s="33" t="s">
        <v>9753</v>
      </c>
      <c r="N86" s="34"/>
      <c r="O86" s="34"/>
      <c r="P86">
        <v>24</v>
      </c>
      <c r="Q86">
        <v>45</v>
      </c>
      <c r="R86" t="str">
        <f xml:space="preserve">
IF(GamesTable[[#This Row],[JAMMA]]="YES","JAMMA","")&amp;
IF(GamesTable[[#This Row],[MVS]]="YES","MVS","")&amp;
IF(GamesTable[[#This Row],[AES]]="YES","AES","")&amp;
IF(GamesTable[[#This Row],[NGCD]]="YES","NGCD","")&amp;
IF(GamesTable[[#This Row],[ROM]]="YES","ROM","")</f>
        <v>MVSAESNGCD</v>
      </c>
      <c r="S86" t="s">
        <v>10174</v>
      </c>
      <c r="T86" t="s">
        <v>10173</v>
      </c>
      <c r="U86" t="s">
        <v>10173</v>
      </c>
      <c r="V86" t="s">
        <v>10173</v>
      </c>
      <c r="X86">
        <v>2</v>
      </c>
      <c r="Y86">
        <v>2</v>
      </c>
      <c r="Z86">
        <v>2</v>
      </c>
      <c r="AA86">
        <v>4</v>
      </c>
      <c r="AB86" t="s">
        <v>6670</v>
      </c>
    </row>
    <row r="87" spans="1:28" x14ac:dyDescent="0.25">
      <c r="A87" t="s">
        <v>9836</v>
      </c>
      <c r="C87" t="s">
        <v>7834</v>
      </c>
      <c r="D87" t="s">
        <v>7974</v>
      </c>
      <c r="E87">
        <v>1991</v>
      </c>
      <c r="F87" t="s">
        <v>1912</v>
      </c>
      <c r="G87" t="s">
        <v>6918</v>
      </c>
      <c r="H87" t="s">
        <v>8060</v>
      </c>
      <c r="I87">
        <v>40206</v>
      </c>
      <c r="J87">
        <v>77768</v>
      </c>
      <c r="K87" t="s">
        <v>9086</v>
      </c>
      <c r="L87" t="s">
        <v>9088</v>
      </c>
      <c r="M87" s="33"/>
      <c r="N87" s="34"/>
      <c r="O87" s="34"/>
      <c r="P87">
        <v>19</v>
      </c>
      <c r="Q87">
        <v>26</v>
      </c>
      <c r="R87" t="str">
        <f xml:space="preserve">
IF(GamesTable[[#This Row],[JAMMA]]="YES","JAMMA","")&amp;
IF(GamesTable[[#This Row],[MVS]]="YES","MVS","")&amp;
IF(GamesTable[[#This Row],[AES]]="YES","AES","")&amp;
IF(GamesTable[[#This Row],[NGCD]]="YES","NGCD","")&amp;
IF(GamesTable[[#This Row],[ROM]]="YES","ROM","")</f>
        <v>MVSAESNGCD</v>
      </c>
      <c r="S87" t="s">
        <v>10174</v>
      </c>
      <c r="T87" t="s">
        <v>10173</v>
      </c>
      <c r="U87" t="s">
        <v>10173</v>
      </c>
      <c r="V87" t="s">
        <v>10173</v>
      </c>
      <c r="X87">
        <v>2</v>
      </c>
      <c r="Y87">
        <v>2</v>
      </c>
      <c r="Z87">
        <v>2</v>
      </c>
      <c r="AA87">
        <v>4</v>
      </c>
      <c r="AB87" t="s">
        <v>6925</v>
      </c>
    </row>
    <row r="88" spans="1:28" x14ac:dyDescent="0.25">
      <c r="A88" t="s">
        <v>9836</v>
      </c>
      <c r="C88" t="s">
        <v>7835</v>
      </c>
      <c r="D88" t="s">
        <v>9789</v>
      </c>
      <c r="E88" t="s">
        <v>6279</v>
      </c>
      <c r="F88" t="s">
        <v>6557</v>
      </c>
      <c r="G88" t="s">
        <v>9790</v>
      </c>
      <c r="H88" t="s">
        <v>8061</v>
      </c>
      <c r="I88">
        <v>47580</v>
      </c>
      <c r="J88">
        <v>77775</v>
      </c>
      <c r="K88" t="s">
        <v>9086</v>
      </c>
      <c r="L88" t="s">
        <v>9088</v>
      </c>
      <c r="M88" s="33" t="s">
        <v>9753</v>
      </c>
      <c r="N88" s="34"/>
      <c r="O88" s="34"/>
      <c r="P88">
        <v>29</v>
      </c>
      <c r="Q88">
        <v>50</v>
      </c>
      <c r="R88" t="str">
        <f xml:space="preserve">
IF(GamesTable[[#This Row],[JAMMA]]="YES","JAMMA","")&amp;
IF(GamesTable[[#This Row],[MVS]]="YES","MVS","")&amp;
IF(GamesTable[[#This Row],[AES]]="YES","AES","")&amp;
IF(GamesTable[[#This Row],[NGCD]]="YES","NGCD","")&amp;
IF(GamesTable[[#This Row],[ROM]]="YES","ROM","")</f>
        <v>MVSAES</v>
      </c>
      <c r="S88" t="s">
        <v>10174</v>
      </c>
      <c r="T88" t="s">
        <v>10173</v>
      </c>
      <c r="U88" t="s">
        <v>10173</v>
      </c>
      <c r="V88" t="s">
        <v>10174</v>
      </c>
      <c r="X88">
        <v>3</v>
      </c>
      <c r="Y88">
        <v>3</v>
      </c>
      <c r="AA88">
        <v>1</v>
      </c>
      <c r="AB88" t="s">
        <v>6559</v>
      </c>
    </row>
    <row r="89" spans="1:28" x14ac:dyDescent="0.25">
      <c r="A89" t="s">
        <v>9836</v>
      </c>
      <c r="C89" t="s">
        <v>9038</v>
      </c>
      <c r="D89" t="s">
        <v>9040</v>
      </c>
      <c r="E89">
        <v>2022</v>
      </c>
      <c r="F89" t="s">
        <v>9039</v>
      </c>
      <c r="J89">
        <v>252945</v>
      </c>
      <c r="K89" t="s">
        <v>8986</v>
      </c>
      <c r="L89" t="s">
        <v>9897</v>
      </c>
      <c r="M89" s="33"/>
      <c r="N89" s="34"/>
      <c r="O89" s="34"/>
      <c r="R89" t="str">
        <f xml:space="preserve">
IF(GamesTable[[#This Row],[JAMMA]]="YES","JAMMA","")&amp;
IF(GamesTable[[#This Row],[MVS]]="YES","MVS","")&amp;
IF(GamesTable[[#This Row],[AES]]="YES","AES","")&amp;
IF(GamesTable[[#This Row],[NGCD]]="YES","NGCD","")&amp;
IF(GamesTable[[#This Row],[ROM]]="YES","ROM","")</f>
        <v/>
      </c>
      <c r="AB89" t="s">
        <v>10205</v>
      </c>
    </row>
    <row r="90" spans="1:28" x14ac:dyDescent="0.25">
      <c r="A90" t="s">
        <v>9836</v>
      </c>
      <c r="C90" t="s">
        <v>9077</v>
      </c>
      <c r="D90" t="s">
        <v>9791</v>
      </c>
      <c r="E90" t="s">
        <v>9070</v>
      </c>
      <c r="F90" t="s">
        <v>9071</v>
      </c>
      <c r="G90" t="s">
        <v>9792</v>
      </c>
      <c r="K90" t="s">
        <v>9034</v>
      </c>
      <c r="L90" t="s">
        <v>9089</v>
      </c>
      <c r="M90" s="33"/>
      <c r="N90" s="34"/>
      <c r="O90" s="34"/>
      <c r="R90" t="str">
        <f xml:space="preserve">
IF(GamesTable[[#This Row],[JAMMA]]="YES","JAMMA","")&amp;
IF(GamesTable[[#This Row],[MVS]]="YES","MVS","")&amp;
IF(GamesTable[[#This Row],[AES]]="YES","AES","")&amp;
IF(GamesTable[[#This Row],[NGCD]]="YES","NGCD","")&amp;
IF(GamesTable[[#This Row],[ROM]]="YES","ROM","")</f>
        <v/>
      </c>
    </row>
    <row r="91" spans="1:28" x14ac:dyDescent="0.25">
      <c r="A91" t="s">
        <v>9836</v>
      </c>
      <c r="C91" t="s">
        <v>7837</v>
      </c>
      <c r="D91" t="s">
        <v>3412</v>
      </c>
      <c r="E91" t="s">
        <v>1280</v>
      </c>
      <c r="F91" t="s">
        <v>3073</v>
      </c>
      <c r="G91" t="s">
        <v>3403</v>
      </c>
      <c r="I91">
        <v>39348</v>
      </c>
      <c r="J91">
        <v>77972</v>
      </c>
      <c r="K91" t="s">
        <v>9086</v>
      </c>
      <c r="L91" t="s">
        <v>9088</v>
      </c>
      <c r="M91" s="33" t="s">
        <v>9753</v>
      </c>
      <c r="N91" s="34"/>
      <c r="O91" s="34"/>
      <c r="P91">
        <v>221</v>
      </c>
      <c r="Q91">
        <v>82</v>
      </c>
      <c r="R91" t="str">
        <f xml:space="preserve">
IF(GamesTable[[#This Row],[JAMMA]]="YES","JAMMA","")&amp;
IF(GamesTable[[#This Row],[MVS]]="YES","MVS","")&amp;
IF(GamesTable[[#This Row],[AES]]="YES","AES","")&amp;
IF(GamesTable[[#This Row],[NGCD]]="YES","NGCD","")&amp;
IF(GamesTable[[#This Row],[ROM]]="YES","ROM","")</f>
        <v>MVSAESNGCD</v>
      </c>
      <c r="S91" t="s">
        <v>10174</v>
      </c>
      <c r="T91" t="s">
        <v>10173</v>
      </c>
      <c r="U91" t="s">
        <v>10173</v>
      </c>
      <c r="V91" t="s">
        <v>10173</v>
      </c>
      <c r="X91">
        <v>2</v>
      </c>
      <c r="Y91">
        <v>4</v>
      </c>
      <c r="Z91">
        <v>3</v>
      </c>
      <c r="AA91">
        <v>4</v>
      </c>
      <c r="AB91" t="s">
        <v>3413</v>
      </c>
    </row>
    <row r="92" spans="1:28" x14ac:dyDescent="0.25">
      <c r="A92" t="s">
        <v>9836</v>
      </c>
      <c r="C92" t="s">
        <v>7838</v>
      </c>
      <c r="D92" t="s">
        <v>3074</v>
      </c>
      <c r="E92" t="s">
        <v>1145</v>
      </c>
      <c r="F92" t="s">
        <v>3073</v>
      </c>
      <c r="G92" t="s">
        <v>3064</v>
      </c>
      <c r="I92">
        <v>39347</v>
      </c>
      <c r="J92">
        <v>77973</v>
      </c>
      <c r="K92" t="s">
        <v>9086</v>
      </c>
      <c r="L92" t="s">
        <v>9088</v>
      </c>
      <c r="M92" s="33"/>
      <c r="N92" s="34"/>
      <c r="O92" s="34"/>
      <c r="P92">
        <v>233</v>
      </c>
      <c r="Q92">
        <v>174</v>
      </c>
      <c r="R92" t="str">
        <f xml:space="preserve">
IF(GamesTable[[#This Row],[JAMMA]]="YES","JAMMA","")&amp;
IF(GamesTable[[#This Row],[MVS]]="YES","MVS","")&amp;
IF(GamesTable[[#This Row],[AES]]="YES","AES","")&amp;
IF(GamesTable[[#This Row],[NGCD]]="YES","NGCD","")&amp;
IF(GamesTable[[#This Row],[ROM]]="YES","ROM","")</f>
        <v>MVSAES</v>
      </c>
      <c r="S92" t="s">
        <v>10174</v>
      </c>
      <c r="T92" t="s">
        <v>10173</v>
      </c>
      <c r="U92" t="s">
        <v>10173</v>
      </c>
      <c r="V92" t="s">
        <v>10174</v>
      </c>
      <c r="X92">
        <v>2</v>
      </c>
      <c r="Y92">
        <v>4</v>
      </c>
      <c r="AA92">
        <v>5</v>
      </c>
      <c r="AB92" t="s">
        <v>3075</v>
      </c>
    </row>
    <row r="93" spans="1:28" x14ac:dyDescent="0.25">
      <c r="A93" t="s">
        <v>9836</v>
      </c>
      <c r="C93" t="s">
        <v>7839</v>
      </c>
      <c r="D93" t="s">
        <v>7975</v>
      </c>
      <c r="E93" t="s">
        <v>3906</v>
      </c>
      <c r="F93" t="s">
        <v>5638</v>
      </c>
      <c r="G93" t="s">
        <v>7528</v>
      </c>
      <c r="H93" t="s">
        <v>8063</v>
      </c>
      <c r="I93">
        <v>19109</v>
      </c>
      <c r="J93">
        <v>77989</v>
      </c>
      <c r="K93" t="s">
        <v>9086</v>
      </c>
      <c r="L93" t="s">
        <v>9088</v>
      </c>
      <c r="M93" s="33"/>
      <c r="N93" s="34"/>
      <c r="O93" s="34"/>
      <c r="P93">
        <v>5</v>
      </c>
      <c r="Q93">
        <v>46</v>
      </c>
      <c r="R93" t="str">
        <f xml:space="preserve">
IF(GamesTable[[#This Row],[JAMMA]]="YES","JAMMA","")&amp;
IF(GamesTable[[#This Row],[MVS]]="YES","MVS","")&amp;
IF(GamesTable[[#This Row],[AES]]="YES","AES","")&amp;
IF(GamesTable[[#This Row],[NGCD]]="YES","NGCD","")&amp;
IF(GamesTable[[#This Row],[ROM]]="YES","ROM","")</f>
        <v>MVSAESNGCD</v>
      </c>
      <c r="S93" t="s">
        <v>10174</v>
      </c>
      <c r="T93" t="s">
        <v>10173</v>
      </c>
      <c r="U93" t="s">
        <v>10173</v>
      </c>
      <c r="V93" t="s">
        <v>10173</v>
      </c>
      <c r="X93">
        <v>2</v>
      </c>
      <c r="Y93">
        <v>2</v>
      </c>
      <c r="Z93">
        <v>2</v>
      </c>
      <c r="AA93">
        <v>4</v>
      </c>
      <c r="AB93" t="s">
        <v>7532</v>
      </c>
    </row>
    <row r="94" spans="1:28" x14ac:dyDescent="0.25">
      <c r="A94" t="s">
        <v>9836</v>
      </c>
      <c r="C94" t="s">
        <v>7840</v>
      </c>
      <c r="D94" t="s">
        <v>10193</v>
      </c>
      <c r="E94" t="s">
        <v>3906</v>
      </c>
      <c r="F94" t="s">
        <v>1912</v>
      </c>
      <c r="G94" t="s">
        <v>10194</v>
      </c>
      <c r="I94">
        <v>75450</v>
      </c>
      <c r="J94">
        <v>78089</v>
      </c>
      <c r="K94" t="s">
        <v>9086</v>
      </c>
      <c r="L94" t="s">
        <v>9088</v>
      </c>
      <c r="M94" s="33"/>
      <c r="N94" s="34"/>
      <c r="O94" s="34"/>
      <c r="P94">
        <v>4</v>
      </c>
      <c r="Q94">
        <v>42</v>
      </c>
      <c r="R94" t="str">
        <f xml:space="preserve">
IF(GamesTable[[#This Row],[JAMMA]]="YES","JAMMA","")&amp;
IF(GamesTable[[#This Row],[MVS]]="YES","MVS","")&amp;
IF(GamesTable[[#This Row],[AES]]="YES","AES","")&amp;
IF(GamesTable[[#This Row],[NGCD]]="YES","NGCD","")&amp;
IF(GamesTable[[#This Row],[ROM]]="YES","ROM","")</f>
        <v>MVSAESNGCD</v>
      </c>
      <c r="S94" t="s">
        <v>10174</v>
      </c>
      <c r="T94" t="s">
        <v>10173</v>
      </c>
      <c r="U94" t="s">
        <v>10173</v>
      </c>
      <c r="V94" t="s">
        <v>10173</v>
      </c>
      <c r="X94">
        <v>1</v>
      </c>
      <c r="Y94">
        <v>2</v>
      </c>
      <c r="Z94">
        <v>2</v>
      </c>
      <c r="AA94">
        <v>1</v>
      </c>
      <c r="AB94" t="s">
        <v>7585</v>
      </c>
    </row>
    <row r="95" spans="1:28" x14ac:dyDescent="0.25">
      <c r="A95" t="s">
        <v>9836</v>
      </c>
      <c r="C95" t="s">
        <v>7846</v>
      </c>
      <c r="D95" t="s">
        <v>3950</v>
      </c>
      <c r="E95" t="s">
        <v>1280</v>
      </c>
      <c r="F95" t="s">
        <v>3949</v>
      </c>
      <c r="G95" t="s">
        <v>3943</v>
      </c>
      <c r="H95" t="s">
        <v>7935</v>
      </c>
      <c r="J95">
        <v>78353</v>
      </c>
      <c r="K95" t="s">
        <v>9086</v>
      </c>
      <c r="L95" t="s">
        <v>9088</v>
      </c>
      <c r="M95" s="33"/>
      <c r="N95" s="34"/>
      <c r="O95" s="34">
        <v>50</v>
      </c>
      <c r="P95">
        <v>201</v>
      </c>
      <c r="Q95">
        <v>193</v>
      </c>
      <c r="R95" t="str">
        <f xml:space="preserve">
IF(GamesTable[[#This Row],[JAMMA]]="YES","JAMMA","")&amp;
IF(GamesTable[[#This Row],[MVS]]="YES","MVS","")&amp;
IF(GamesTable[[#This Row],[AES]]="YES","AES","")&amp;
IF(GamesTable[[#This Row],[NGCD]]="YES","NGCD","")&amp;
IF(GamesTable[[#This Row],[ROM]]="YES","ROM","")</f>
        <v>MVSAESNGCD</v>
      </c>
      <c r="S95" t="s">
        <v>10174</v>
      </c>
      <c r="T95" t="s">
        <v>10173</v>
      </c>
      <c r="U95" t="s">
        <v>10173</v>
      </c>
      <c r="V95" t="s">
        <v>10173</v>
      </c>
      <c r="X95">
        <v>1</v>
      </c>
      <c r="Y95">
        <v>5</v>
      </c>
      <c r="Z95">
        <v>2</v>
      </c>
      <c r="AA95">
        <v>5</v>
      </c>
      <c r="AB95" t="s">
        <v>3951</v>
      </c>
    </row>
    <row r="96" spans="1:28" x14ac:dyDescent="0.25">
      <c r="A96" t="s">
        <v>9836</v>
      </c>
      <c r="C96" t="s">
        <v>7917</v>
      </c>
      <c r="D96" t="s">
        <v>7978</v>
      </c>
      <c r="E96" t="s">
        <v>1101</v>
      </c>
      <c r="F96" t="s">
        <v>1912</v>
      </c>
      <c r="G96" t="s">
        <v>2739</v>
      </c>
      <c r="H96" t="s">
        <v>7933</v>
      </c>
      <c r="I96">
        <v>1407</v>
      </c>
      <c r="J96">
        <v>78354</v>
      </c>
      <c r="K96" t="s">
        <v>9086</v>
      </c>
      <c r="L96" t="s">
        <v>9088</v>
      </c>
      <c r="M96" s="33"/>
      <c r="N96" s="34"/>
      <c r="O96" s="34"/>
      <c r="P96">
        <v>241</v>
      </c>
      <c r="Q96">
        <v>362</v>
      </c>
      <c r="R96" t="str">
        <f xml:space="preserve">
IF(GamesTable[[#This Row],[JAMMA]]="YES","JAMMA","")&amp;
IF(GamesTable[[#This Row],[MVS]]="YES","MVS","")&amp;
IF(GamesTable[[#This Row],[AES]]="YES","AES","")&amp;
IF(GamesTable[[#This Row],[NGCD]]="YES","NGCD","")&amp;
IF(GamesTable[[#This Row],[ROM]]="YES","ROM","")</f>
        <v>MVSAESNGCD</v>
      </c>
      <c r="S96" t="s">
        <v>10174</v>
      </c>
      <c r="T96" t="s">
        <v>10173</v>
      </c>
      <c r="U96" t="s">
        <v>10173</v>
      </c>
      <c r="V96" t="s">
        <v>10173</v>
      </c>
      <c r="X96">
        <v>2</v>
      </c>
      <c r="Y96">
        <v>4</v>
      </c>
      <c r="Z96">
        <v>2</v>
      </c>
      <c r="AA96">
        <v>4</v>
      </c>
      <c r="AB96" t="s">
        <v>2749</v>
      </c>
    </row>
    <row r="97" spans="1:28" x14ac:dyDescent="0.25">
      <c r="A97" t="s">
        <v>9836</v>
      </c>
      <c r="C97" t="s">
        <v>7921</v>
      </c>
      <c r="D97" t="s">
        <v>7982</v>
      </c>
      <c r="E97" t="s">
        <v>1053</v>
      </c>
      <c r="F97" t="s">
        <v>1912</v>
      </c>
      <c r="G97" t="s">
        <v>2368</v>
      </c>
      <c r="I97">
        <v>18840</v>
      </c>
      <c r="J97">
        <v>78364</v>
      </c>
      <c r="K97" t="s">
        <v>9086</v>
      </c>
      <c r="L97" t="s">
        <v>9088</v>
      </c>
      <c r="M97" s="33" t="s">
        <v>9753</v>
      </c>
      <c r="N97" s="34"/>
      <c r="O97" s="34"/>
      <c r="P97">
        <v>250</v>
      </c>
      <c r="Q97">
        <v>506</v>
      </c>
      <c r="R97" t="str">
        <f xml:space="preserve">
IF(GamesTable[[#This Row],[JAMMA]]="YES","JAMMA","")&amp;
IF(GamesTable[[#This Row],[MVS]]="YES","MVS","")&amp;
IF(GamesTable[[#This Row],[AES]]="YES","AES","")&amp;
IF(GamesTable[[#This Row],[NGCD]]="YES","NGCD","")&amp;
IF(GamesTable[[#This Row],[ROM]]="YES","ROM","")</f>
        <v>MVSAES</v>
      </c>
      <c r="S97" t="s">
        <v>10174</v>
      </c>
      <c r="T97" t="s">
        <v>10173</v>
      </c>
      <c r="U97" t="s">
        <v>10173</v>
      </c>
      <c r="V97" t="s">
        <v>10174</v>
      </c>
      <c r="X97">
        <v>2</v>
      </c>
      <c r="Y97">
        <v>4</v>
      </c>
      <c r="AA97">
        <v>5</v>
      </c>
      <c r="AB97" t="s">
        <v>2379</v>
      </c>
    </row>
    <row r="98" spans="1:28" x14ac:dyDescent="0.25">
      <c r="A98" t="s">
        <v>9836</v>
      </c>
      <c r="C98" t="s">
        <v>7918</v>
      </c>
      <c r="D98" t="s">
        <v>7979</v>
      </c>
      <c r="E98" t="s">
        <v>113</v>
      </c>
      <c r="F98" t="s">
        <v>1912</v>
      </c>
      <c r="G98" t="s">
        <v>1927</v>
      </c>
      <c r="H98" t="s">
        <v>8066</v>
      </c>
      <c r="I98">
        <v>1404</v>
      </c>
      <c r="J98">
        <v>78356</v>
      </c>
      <c r="K98" t="s">
        <v>9086</v>
      </c>
      <c r="L98" t="s">
        <v>9088</v>
      </c>
      <c r="M98" s="33"/>
      <c r="N98" s="34"/>
      <c r="O98" s="34"/>
      <c r="P98">
        <v>256</v>
      </c>
      <c r="Q98">
        <v>708</v>
      </c>
      <c r="R98" t="str">
        <f xml:space="preserve">
IF(GamesTable[[#This Row],[JAMMA]]="YES","JAMMA","")&amp;
IF(GamesTable[[#This Row],[MVS]]="YES","MVS","")&amp;
IF(GamesTable[[#This Row],[AES]]="YES","AES","")&amp;
IF(GamesTable[[#This Row],[NGCD]]="YES","NGCD","")&amp;
IF(GamesTable[[#This Row],[ROM]]="YES","ROM","")</f>
        <v>MVSAES</v>
      </c>
      <c r="S98" t="s">
        <v>10174</v>
      </c>
      <c r="T98" t="s">
        <v>10173</v>
      </c>
      <c r="U98" t="s">
        <v>10173</v>
      </c>
      <c r="V98" t="s">
        <v>10174</v>
      </c>
      <c r="X98">
        <v>1</v>
      </c>
      <c r="Y98">
        <v>2</v>
      </c>
      <c r="AA98">
        <v>5</v>
      </c>
      <c r="AB98" t="s">
        <v>1007</v>
      </c>
    </row>
    <row r="99" spans="1:28" x14ac:dyDescent="0.25">
      <c r="A99" t="s">
        <v>9836</v>
      </c>
      <c r="C99" t="s">
        <v>7919</v>
      </c>
      <c r="D99" t="s">
        <v>7980</v>
      </c>
      <c r="E99" t="s">
        <v>547</v>
      </c>
      <c r="F99" t="s">
        <v>1719</v>
      </c>
      <c r="G99" t="s">
        <v>1709</v>
      </c>
      <c r="H99" t="s">
        <v>8067</v>
      </c>
      <c r="I99">
        <v>1409</v>
      </c>
      <c r="J99">
        <v>78358</v>
      </c>
      <c r="K99" t="s">
        <v>9086</v>
      </c>
      <c r="L99" t="s">
        <v>9088</v>
      </c>
      <c r="M99" s="33" t="s">
        <v>9753</v>
      </c>
      <c r="N99" s="34"/>
      <c r="O99" s="34"/>
      <c r="P99">
        <v>263</v>
      </c>
      <c r="Q99">
        <v>553</v>
      </c>
      <c r="R99" t="str">
        <f xml:space="preserve">
IF(GamesTable[[#This Row],[JAMMA]]="YES","JAMMA","")&amp;
IF(GamesTable[[#This Row],[MVS]]="YES","MVS","")&amp;
IF(GamesTable[[#This Row],[AES]]="YES","AES","")&amp;
IF(GamesTable[[#This Row],[NGCD]]="YES","NGCD","")&amp;
IF(GamesTable[[#This Row],[ROM]]="YES","ROM","")</f>
        <v>MVSAES</v>
      </c>
      <c r="S99" t="s">
        <v>10174</v>
      </c>
      <c r="T99" t="s">
        <v>10173</v>
      </c>
      <c r="U99" t="s">
        <v>10173</v>
      </c>
      <c r="V99" t="s">
        <v>10174</v>
      </c>
      <c r="X99">
        <v>1</v>
      </c>
      <c r="Y99">
        <v>2</v>
      </c>
      <c r="AA99">
        <v>4</v>
      </c>
      <c r="AB99" t="s">
        <v>859</v>
      </c>
    </row>
    <row r="100" spans="1:28" x14ac:dyDescent="0.25">
      <c r="A100" t="s">
        <v>9836</v>
      </c>
      <c r="C100" t="s">
        <v>7920</v>
      </c>
      <c r="D100" t="s">
        <v>7981</v>
      </c>
      <c r="E100" t="s">
        <v>195</v>
      </c>
      <c r="F100" t="s">
        <v>1436</v>
      </c>
      <c r="G100" t="s">
        <v>1562</v>
      </c>
      <c r="H100" t="s">
        <v>8068</v>
      </c>
      <c r="I100">
        <v>1410</v>
      </c>
      <c r="J100">
        <v>78361</v>
      </c>
      <c r="K100" t="s">
        <v>9086</v>
      </c>
      <c r="L100" t="s">
        <v>9088</v>
      </c>
      <c r="M100" s="33"/>
      <c r="N100" s="34"/>
      <c r="O100" s="34"/>
      <c r="P100">
        <v>268</v>
      </c>
      <c r="Q100">
        <v>708</v>
      </c>
      <c r="R100" t="str">
        <f xml:space="preserve">
IF(GamesTable[[#This Row],[JAMMA]]="YES","JAMMA","")&amp;
IF(GamesTable[[#This Row],[MVS]]="YES","MVS","")&amp;
IF(GamesTable[[#This Row],[AES]]="YES","AES","")&amp;
IF(GamesTable[[#This Row],[NGCD]]="YES","NGCD","")&amp;
IF(GamesTable[[#This Row],[ROM]]="YES","ROM","")</f>
        <v>JAMMAMVSAES</v>
      </c>
      <c r="S100" t="s">
        <v>10173</v>
      </c>
      <c r="T100" t="s">
        <v>10173</v>
      </c>
      <c r="U100" t="s">
        <v>10173</v>
      </c>
      <c r="V100" t="s">
        <v>10174</v>
      </c>
      <c r="X100">
        <v>3</v>
      </c>
      <c r="Y100">
        <v>3</v>
      </c>
      <c r="AA100">
        <v>5</v>
      </c>
      <c r="AB100" t="s">
        <v>9745</v>
      </c>
    </row>
    <row r="101" spans="1:28" x14ac:dyDescent="0.25">
      <c r="A101" t="s">
        <v>9836</v>
      </c>
      <c r="C101" t="s">
        <v>7844</v>
      </c>
      <c r="D101" t="s">
        <v>7977</v>
      </c>
      <c r="E101" t="s">
        <v>3906</v>
      </c>
      <c r="F101" t="s">
        <v>6341</v>
      </c>
      <c r="G101" t="s">
        <v>6582</v>
      </c>
      <c r="I101">
        <v>64013</v>
      </c>
      <c r="J101">
        <v>78406</v>
      </c>
      <c r="K101" t="s">
        <v>9086</v>
      </c>
      <c r="L101" t="s">
        <v>9088</v>
      </c>
      <c r="M101" s="33" t="s">
        <v>9753</v>
      </c>
      <c r="N101" s="34"/>
      <c r="O101" s="34"/>
      <c r="P101">
        <v>27</v>
      </c>
      <c r="Q101">
        <v>54</v>
      </c>
      <c r="R101" t="str">
        <f xml:space="preserve">
IF(GamesTable[[#This Row],[JAMMA]]="YES","JAMMA","")&amp;
IF(GamesTable[[#This Row],[MVS]]="YES","MVS","")&amp;
IF(GamesTable[[#This Row],[AES]]="YES","AES","")&amp;
IF(GamesTable[[#This Row],[NGCD]]="YES","NGCD","")&amp;
IF(GamesTable[[#This Row],[ROM]]="YES","ROM","")</f>
        <v>MVSAES</v>
      </c>
      <c r="S101" t="s">
        <v>10174</v>
      </c>
      <c r="T101" t="s">
        <v>10173</v>
      </c>
      <c r="U101" t="s">
        <v>10173</v>
      </c>
      <c r="V101" t="s">
        <v>10174</v>
      </c>
      <c r="X101">
        <v>1</v>
      </c>
      <c r="Y101">
        <v>1</v>
      </c>
      <c r="AA101">
        <v>1</v>
      </c>
      <c r="AB101" t="s">
        <v>6592</v>
      </c>
    </row>
    <row r="102" spans="1:28" x14ac:dyDescent="0.25">
      <c r="A102" t="s">
        <v>9836</v>
      </c>
      <c r="C102" t="s">
        <v>7843</v>
      </c>
      <c r="D102" t="s">
        <v>3125</v>
      </c>
      <c r="E102" t="s">
        <v>1145</v>
      </c>
      <c r="F102" t="s">
        <v>1302</v>
      </c>
      <c r="G102" t="s">
        <v>3116</v>
      </c>
      <c r="H102" t="s">
        <v>8064</v>
      </c>
      <c r="I102">
        <v>37280</v>
      </c>
      <c r="J102">
        <v>78484</v>
      </c>
      <c r="K102" t="s">
        <v>9086</v>
      </c>
      <c r="L102" t="s">
        <v>9088</v>
      </c>
      <c r="M102" s="33"/>
      <c r="N102" s="34"/>
      <c r="O102" s="34"/>
      <c r="P102">
        <v>231</v>
      </c>
      <c r="Q102">
        <v>78</v>
      </c>
      <c r="R102" t="str">
        <f xml:space="preserve">
IF(GamesTable[[#This Row],[JAMMA]]="YES","JAMMA","")&amp;
IF(GamesTable[[#This Row],[MVS]]="YES","MVS","")&amp;
IF(GamesTable[[#This Row],[AES]]="YES","AES","")&amp;
IF(GamesTable[[#This Row],[NGCD]]="YES","NGCD","")&amp;
IF(GamesTable[[#This Row],[ROM]]="YES","ROM","")</f>
        <v>MVSAES</v>
      </c>
      <c r="S102" t="s">
        <v>10174</v>
      </c>
      <c r="T102" t="s">
        <v>10173</v>
      </c>
      <c r="U102" t="s">
        <v>10173</v>
      </c>
      <c r="V102" t="s">
        <v>10174</v>
      </c>
      <c r="AB102" t="s">
        <v>3126</v>
      </c>
    </row>
    <row r="103" spans="1:28" x14ac:dyDescent="0.25">
      <c r="A103" t="s">
        <v>9836</v>
      </c>
      <c r="C103" t="s">
        <v>7847</v>
      </c>
      <c r="D103" t="s">
        <v>7983</v>
      </c>
      <c r="E103" t="s">
        <v>5639</v>
      </c>
      <c r="F103" t="s">
        <v>1912</v>
      </c>
      <c r="G103" t="s">
        <v>7210</v>
      </c>
      <c r="H103" t="s">
        <v>8069</v>
      </c>
      <c r="I103">
        <v>39522</v>
      </c>
      <c r="J103">
        <v>78643</v>
      </c>
      <c r="K103" t="s">
        <v>9086</v>
      </c>
      <c r="L103" t="s">
        <v>9088</v>
      </c>
      <c r="M103" s="33"/>
      <c r="N103" s="34"/>
      <c r="O103" s="34"/>
      <c r="P103">
        <v>14</v>
      </c>
      <c r="Q103">
        <v>54</v>
      </c>
      <c r="R103" t="str">
        <f xml:space="preserve">
IF(GamesTable[[#This Row],[JAMMA]]="YES","JAMMA","")&amp;
IF(GamesTable[[#This Row],[MVS]]="YES","MVS","")&amp;
IF(GamesTable[[#This Row],[AES]]="YES","AES","")&amp;
IF(GamesTable[[#This Row],[NGCD]]="YES","NGCD","")&amp;
IF(GamesTable[[#This Row],[ROM]]="YES","ROM","")</f>
        <v>MVSAESNGCD</v>
      </c>
      <c r="S103" t="s">
        <v>10174</v>
      </c>
      <c r="T103" t="s">
        <v>10173</v>
      </c>
      <c r="U103" t="s">
        <v>10173</v>
      </c>
      <c r="V103" t="s">
        <v>10173</v>
      </c>
      <c r="X103">
        <v>2</v>
      </c>
      <c r="Y103">
        <v>2</v>
      </c>
      <c r="Z103">
        <v>2</v>
      </c>
      <c r="AA103">
        <v>4</v>
      </c>
      <c r="AB103" t="s">
        <v>7220</v>
      </c>
    </row>
    <row r="104" spans="1:28" x14ac:dyDescent="0.25">
      <c r="A104" t="s">
        <v>9836</v>
      </c>
      <c r="C104" t="s">
        <v>9067</v>
      </c>
      <c r="D104" t="s">
        <v>9794</v>
      </c>
      <c r="E104" t="s">
        <v>9060</v>
      </c>
      <c r="F104" t="s">
        <v>5638</v>
      </c>
      <c r="K104" t="s">
        <v>9034</v>
      </c>
      <c r="L104" t="s">
        <v>9089</v>
      </c>
      <c r="M104" s="33"/>
      <c r="N104" s="34"/>
      <c r="O104" s="34"/>
      <c r="P104">
        <v>35</v>
      </c>
      <c r="R104" t="str">
        <f xml:space="preserve">
IF(GamesTable[[#This Row],[JAMMA]]="YES","JAMMA","")&amp;
IF(GamesTable[[#This Row],[MVS]]="YES","MVS","")&amp;
IF(GamesTable[[#This Row],[AES]]="YES","AES","")&amp;
IF(GamesTable[[#This Row],[NGCD]]="YES","NGCD","")&amp;
IF(GamesTable[[#This Row],[ROM]]="YES","ROM","")</f>
        <v/>
      </c>
    </row>
    <row r="105" spans="1:28" x14ac:dyDescent="0.25">
      <c r="A105" t="s">
        <v>9836</v>
      </c>
      <c r="C105" t="s">
        <v>7848</v>
      </c>
      <c r="D105" t="s">
        <v>7984</v>
      </c>
      <c r="E105" t="s">
        <v>3906</v>
      </c>
      <c r="F105" t="s">
        <v>1912</v>
      </c>
      <c r="G105" t="s">
        <v>7729</v>
      </c>
      <c r="H105" t="s">
        <v>8019</v>
      </c>
      <c r="I105">
        <v>28409</v>
      </c>
      <c r="J105">
        <v>78662</v>
      </c>
      <c r="K105" t="s">
        <v>9086</v>
      </c>
      <c r="L105" t="s">
        <v>9088</v>
      </c>
      <c r="M105" s="33"/>
      <c r="N105" s="34"/>
      <c r="O105" s="34"/>
      <c r="P105">
        <v>1</v>
      </c>
      <c r="Q105">
        <v>46</v>
      </c>
      <c r="R105" t="str">
        <f xml:space="preserve">
IF(GamesTable[[#This Row],[JAMMA]]="YES","JAMMA","")&amp;
IF(GamesTable[[#This Row],[MVS]]="YES","MVS","")&amp;
IF(GamesTable[[#This Row],[AES]]="YES","AES","")&amp;
IF(GamesTable[[#This Row],[NGCD]]="YES","NGCD","")&amp;
IF(GamesTable[[#This Row],[ROM]]="YES","ROM","")</f>
        <v>MVSAESNGCD</v>
      </c>
      <c r="S105" t="s">
        <v>10174</v>
      </c>
      <c r="T105" t="s">
        <v>10173</v>
      </c>
      <c r="U105" t="s">
        <v>10173</v>
      </c>
      <c r="V105" t="s">
        <v>10173</v>
      </c>
      <c r="X105">
        <v>1</v>
      </c>
      <c r="Y105">
        <v>2</v>
      </c>
      <c r="Z105">
        <v>2</v>
      </c>
      <c r="AA105">
        <v>3</v>
      </c>
      <c r="AB105" t="s">
        <v>7738</v>
      </c>
    </row>
    <row r="106" spans="1:28" x14ac:dyDescent="0.25">
      <c r="A106" t="s">
        <v>9836</v>
      </c>
      <c r="C106" t="s">
        <v>9091</v>
      </c>
      <c r="D106" t="s">
        <v>9090</v>
      </c>
      <c r="E106">
        <v>2021</v>
      </c>
      <c r="F106" t="s">
        <v>9092</v>
      </c>
      <c r="G106" t="s">
        <v>9148</v>
      </c>
      <c r="K106" t="s">
        <v>8986</v>
      </c>
      <c r="L106" t="s">
        <v>9089</v>
      </c>
      <c r="M106" s="33"/>
      <c r="N106" s="34"/>
      <c r="O106" s="34"/>
      <c r="R106" t="str">
        <f xml:space="preserve">
IF(GamesTable[[#This Row],[JAMMA]]="YES","JAMMA","")&amp;
IF(GamesTable[[#This Row],[MVS]]="YES","MVS","")&amp;
IF(GamesTable[[#This Row],[AES]]="YES","AES","")&amp;
IF(GamesTable[[#This Row],[NGCD]]="YES","NGCD","")&amp;
IF(GamesTable[[#This Row],[ROM]]="YES","ROM","")</f>
        <v/>
      </c>
    </row>
    <row r="107" spans="1:28" x14ac:dyDescent="0.25">
      <c r="A107" t="s">
        <v>9836</v>
      </c>
      <c r="C107" t="s">
        <v>7851</v>
      </c>
      <c r="D107" t="s">
        <v>4215</v>
      </c>
      <c r="E107" t="s">
        <v>1145</v>
      </c>
      <c r="F107" t="s">
        <v>4214</v>
      </c>
      <c r="G107" t="s">
        <v>4205</v>
      </c>
      <c r="H107" t="s">
        <v>8071</v>
      </c>
      <c r="I107">
        <v>39463</v>
      </c>
      <c r="J107">
        <v>78706</v>
      </c>
      <c r="K107" t="s">
        <v>9086</v>
      </c>
      <c r="L107" t="s">
        <v>9088</v>
      </c>
      <c r="M107" s="33" t="s">
        <v>9753</v>
      </c>
      <c r="N107" s="34"/>
      <c r="O107" s="34"/>
      <c r="P107">
        <v>93</v>
      </c>
      <c r="Q107">
        <v>138</v>
      </c>
      <c r="R107" t="str">
        <f xml:space="preserve">
IF(GamesTable[[#This Row],[JAMMA]]="YES","JAMMA","")&amp;
IF(GamesTable[[#This Row],[MVS]]="YES","MVS","")&amp;
IF(GamesTable[[#This Row],[AES]]="YES","AES","")&amp;
IF(GamesTable[[#This Row],[NGCD]]="YES","NGCD","")&amp;
IF(GamesTable[[#This Row],[ROM]]="YES","ROM","")</f>
        <v>MVSAES</v>
      </c>
      <c r="S107" t="s">
        <v>10174</v>
      </c>
      <c r="T107" t="s">
        <v>10173</v>
      </c>
      <c r="U107" t="s">
        <v>10173</v>
      </c>
      <c r="V107" t="s">
        <v>10174</v>
      </c>
      <c r="AB107" t="s">
        <v>4216</v>
      </c>
    </row>
    <row r="108" spans="1:28" x14ac:dyDescent="0.25">
      <c r="A108" t="s">
        <v>9836</v>
      </c>
      <c r="C108" t="s">
        <v>7853</v>
      </c>
      <c r="D108" t="s">
        <v>3735</v>
      </c>
      <c r="E108" t="s">
        <v>1280</v>
      </c>
      <c r="F108" t="s">
        <v>1859</v>
      </c>
      <c r="G108" t="s">
        <v>3729</v>
      </c>
      <c r="H108" t="s">
        <v>8072</v>
      </c>
      <c r="I108">
        <v>39600</v>
      </c>
      <c r="J108">
        <v>78707</v>
      </c>
      <c r="K108" t="s">
        <v>9086</v>
      </c>
      <c r="L108" t="s">
        <v>9088</v>
      </c>
      <c r="M108" s="33" t="s">
        <v>9753</v>
      </c>
      <c r="N108" s="34"/>
      <c r="O108" s="34"/>
      <c r="P108">
        <v>213</v>
      </c>
      <c r="Q108">
        <v>106</v>
      </c>
      <c r="R108" t="str">
        <f xml:space="preserve">
IF(GamesTable[[#This Row],[JAMMA]]="YES","JAMMA","")&amp;
IF(GamesTable[[#This Row],[MVS]]="YES","MVS","")&amp;
IF(GamesTable[[#This Row],[AES]]="YES","AES","")&amp;
IF(GamesTable[[#This Row],[NGCD]]="YES","NGCD","")&amp;
IF(GamesTable[[#This Row],[ROM]]="YES","ROM","")</f>
        <v>MVSAESNGCD</v>
      </c>
      <c r="S108" t="s">
        <v>10174</v>
      </c>
      <c r="T108" t="s">
        <v>10173</v>
      </c>
      <c r="U108" t="s">
        <v>10173</v>
      </c>
      <c r="V108" t="s">
        <v>10173</v>
      </c>
      <c r="AB108" t="s">
        <v>3736</v>
      </c>
    </row>
    <row r="109" spans="1:28" x14ac:dyDescent="0.25">
      <c r="A109" t="s">
        <v>9836</v>
      </c>
      <c r="C109" t="s">
        <v>10170</v>
      </c>
      <c r="D109" t="s">
        <v>10153</v>
      </c>
      <c r="E109">
        <v>1995</v>
      </c>
      <c r="F109" t="s">
        <v>1912</v>
      </c>
      <c r="J109">
        <v>252664</v>
      </c>
      <c r="K109" t="s">
        <v>9086</v>
      </c>
      <c r="L109" t="s">
        <v>9088</v>
      </c>
      <c r="M109" s="57"/>
      <c r="N109" s="34"/>
      <c r="O109" s="34"/>
      <c r="P109">
        <v>205</v>
      </c>
      <c r="R109" t="str">
        <f xml:space="preserve">
IF(GamesTable[[#This Row],[JAMMA]]="YES","JAMMA","")&amp;
IF(GamesTable[[#This Row],[MVS]]="YES","MVS","")&amp;
IF(GamesTable[[#This Row],[AES]]="YES","AES","")&amp;
IF(GamesTable[[#This Row],[NGCD]]="YES","NGCD","")&amp;
IF(GamesTable[[#This Row],[ROM]]="YES","ROM","")</f>
        <v>NGCD</v>
      </c>
      <c r="S109" t="s">
        <v>10174</v>
      </c>
      <c r="T109" t="s">
        <v>10174</v>
      </c>
      <c r="U109" t="s">
        <v>10174</v>
      </c>
      <c r="V109" t="s">
        <v>10173</v>
      </c>
    </row>
    <row r="110" spans="1:28" x14ac:dyDescent="0.25">
      <c r="A110" t="s">
        <v>9836</v>
      </c>
      <c r="C110" t="s">
        <v>7854</v>
      </c>
      <c r="D110" t="s">
        <v>3850</v>
      </c>
      <c r="E110" t="s">
        <v>1280</v>
      </c>
      <c r="F110" t="s">
        <v>1859</v>
      </c>
      <c r="G110" t="s">
        <v>7768</v>
      </c>
      <c r="H110" t="s">
        <v>8132</v>
      </c>
      <c r="I110">
        <v>39540</v>
      </c>
      <c r="J110">
        <v>78708</v>
      </c>
      <c r="K110" t="s">
        <v>9086</v>
      </c>
      <c r="L110" t="s">
        <v>9088</v>
      </c>
      <c r="M110" s="33" t="s">
        <v>9753</v>
      </c>
      <c r="N110" s="34"/>
      <c r="O110" s="34"/>
      <c r="P110">
        <v>207</v>
      </c>
      <c r="Q110">
        <v>50</v>
      </c>
      <c r="R110" t="str">
        <f xml:space="preserve">
IF(GamesTable[[#This Row],[JAMMA]]="YES","JAMMA","")&amp;
IF(GamesTable[[#This Row],[MVS]]="YES","MVS","")&amp;
IF(GamesTable[[#This Row],[AES]]="YES","AES","")&amp;
IF(GamesTable[[#This Row],[NGCD]]="YES","NGCD","")&amp;
IF(GamesTable[[#This Row],[ROM]]="YES","ROM","")</f>
        <v>MVSAES</v>
      </c>
      <c r="S110" t="s">
        <v>10174</v>
      </c>
      <c r="T110" t="s">
        <v>10173</v>
      </c>
      <c r="U110" t="s">
        <v>10173</v>
      </c>
      <c r="V110" t="s">
        <v>10174</v>
      </c>
      <c r="AB110" t="s">
        <v>3851</v>
      </c>
    </row>
    <row r="111" spans="1:28" x14ac:dyDescent="0.25">
      <c r="A111" t="s">
        <v>9836</v>
      </c>
      <c r="C111" t="s">
        <v>9139</v>
      </c>
      <c r="D111" t="s">
        <v>9138</v>
      </c>
      <c r="E111">
        <v>2002</v>
      </c>
      <c r="F111" t="s">
        <v>9039</v>
      </c>
      <c r="G111" s="8" t="s">
        <v>9140</v>
      </c>
      <c r="K111" t="s">
        <v>8986</v>
      </c>
      <c r="L111" t="s">
        <v>9089</v>
      </c>
      <c r="M111" s="33"/>
      <c r="N111" s="34"/>
      <c r="O111" s="34"/>
      <c r="R111" t="str">
        <f xml:space="preserve">
IF(GamesTable[[#This Row],[JAMMA]]="YES","JAMMA","")&amp;
IF(GamesTable[[#This Row],[MVS]]="YES","MVS","")&amp;
IF(GamesTable[[#This Row],[AES]]="YES","AES","")&amp;
IF(GamesTable[[#This Row],[NGCD]]="YES","NGCD","")&amp;
IF(GamesTable[[#This Row],[ROM]]="YES","ROM","")</f>
        <v/>
      </c>
    </row>
    <row r="112" spans="1:28" x14ac:dyDescent="0.25">
      <c r="A112" t="s">
        <v>9836</v>
      </c>
      <c r="C112" t="s">
        <v>9020</v>
      </c>
      <c r="D112" t="s">
        <v>9019</v>
      </c>
      <c r="E112">
        <v>2010</v>
      </c>
      <c r="F112" t="s">
        <v>9142</v>
      </c>
      <c r="G112" t="s">
        <v>9141</v>
      </c>
      <c r="J112">
        <v>252961</v>
      </c>
      <c r="K112" t="s">
        <v>8986</v>
      </c>
      <c r="L112" t="s">
        <v>9897</v>
      </c>
      <c r="M112" s="33"/>
      <c r="N112" s="34"/>
      <c r="O112" s="34"/>
      <c r="R112" t="str">
        <f xml:space="preserve">
IF(GamesTable[[#This Row],[JAMMA]]="YES","JAMMA","")&amp;
IF(GamesTable[[#This Row],[MVS]]="YES","MVS","")&amp;
IF(GamesTable[[#This Row],[AES]]="YES","AES","")&amp;
IF(GamesTable[[#This Row],[NGCD]]="YES","NGCD","")&amp;
IF(GamesTable[[#This Row],[ROM]]="YES","ROM","")</f>
        <v/>
      </c>
    </row>
    <row r="113" spans="1:28" x14ac:dyDescent="0.25">
      <c r="A113" t="s">
        <v>9836</v>
      </c>
      <c r="C113" t="s">
        <v>9145</v>
      </c>
      <c r="D113" t="s">
        <v>9143</v>
      </c>
      <c r="E113">
        <v>2002</v>
      </c>
      <c r="F113" t="s">
        <v>9144</v>
      </c>
      <c r="G113" s="8" t="s">
        <v>9146</v>
      </c>
      <c r="K113" t="s">
        <v>8986</v>
      </c>
      <c r="L113" t="s">
        <v>9089</v>
      </c>
      <c r="M113" s="33"/>
      <c r="N113" s="34"/>
      <c r="O113" s="34"/>
      <c r="R113" t="str">
        <f xml:space="preserve">
IF(GamesTable[[#This Row],[JAMMA]]="YES","JAMMA","")&amp;
IF(GamesTable[[#This Row],[MVS]]="YES","MVS","")&amp;
IF(GamesTable[[#This Row],[AES]]="YES","AES","")&amp;
IF(GamesTable[[#This Row],[NGCD]]="YES","NGCD","")&amp;
IF(GamesTable[[#This Row],[ROM]]="YES","ROM","")</f>
        <v/>
      </c>
    </row>
    <row r="114" spans="1:28" x14ac:dyDescent="0.25">
      <c r="A114" t="s">
        <v>9836</v>
      </c>
      <c r="C114" t="s">
        <v>9150</v>
      </c>
      <c r="D114" t="s">
        <v>9149</v>
      </c>
      <c r="E114">
        <v>2005</v>
      </c>
      <c r="F114" t="s">
        <v>9039</v>
      </c>
      <c r="K114" t="s">
        <v>8986</v>
      </c>
      <c r="L114" t="s">
        <v>9089</v>
      </c>
      <c r="M114" s="33"/>
      <c r="N114" s="34"/>
      <c r="O114" s="34"/>
      <c r="R114" t="str">
        <f xml:space="preserve">
IF(GamesTable[[#This Row],[JAMMA]]="YES","JAMMA","")&amp;
IF(GamesTable[[#This Row],[MVS]]="YES","MVS","")&amp;
IF(GamesTable[[#This Row],[AES]]="YES","AES","")&amp;
IF(GamesTable[[#This Row],[NGCD]]="YES","NGCD","")&amp;
IF(GamesTable[[#This Row],[ROM]]="YES","ROM","")</f>
        <v/>
      </c>
    </row>
    <row r="115" spans="1:28" x14ac:dyDescent="0.25">
      <c r="A115" t="s">
        <v>9836</v>
      </c>
      <c r="C115" t="s">
        <v>9048</v>
      </c>
      <c r="D115" t="s">
        <v>9042</v>
      </c>
      <c r="E115">
        <v>2012</v>
      </c>
      <c r="F115" t="s">
        <v>9049</v>
      </c>
      <c r="G115" s="8" t="s">
        <v>9147</v>
      </c>
      <c r="K115" t="s">
        <v>8986</v>
      </c>
      <c r="L115" t="s">
        <v>9089</v>
      </c>
      <c r="M115" s="33"/>
      <c r="N115" s="34"/>
      <c r="O115" s="34"/>
      <c r="R115" t="str">
        <f xml:space="preserve">
IF(GamesTable[[#This Row],[JAMMA]]="YES","JAMMA","")&amp;
IF(GamesTable[[#This Row],[MVS]]="YES","MVS","")&amp;
IF(GamesTable[[#This Row],[AES]]="YES","AES","")&amp;
IF(GamesTable[[#This Row],[NGCD]]="YES","NGCD","")&amp;
IF(GamesTable[[#This Row],[ROM]]="YES","ROM","")</f>
        <v/>
      </c>
    </row>
    <row r="116" spans="1:28" x14ac:dyDescent="0.25">
      <c r="A116" t="s">
        <v>9836</v>
      </c>
      <c r="C116" t="s">
        <v>7901</v>
      </c>
      <c r="D116" t="s">
        <v>10197</v>
      </c>
      <c r="E116" t="s">
        <v>1280</v>
      </c>
      <c r="F116" t="s">
        <v>3949</v>
      </c>
      <c r="G116" t="s">
        <v>10198</v>
      </c>
      <c r="H116" t="s">
        <v>8103</v>
      </c>
      <c r="I116">
        <v>20323</v>
      </c>
      <c r="J116">
        <v>78709</v>
      </c>
      <c r="K116" t="s">
        <v>9086</v>
      </c>
      <c r="L116" t="s">
        <v>9088</v>
      </c>
      <c r="M116" s="33"/>
      <c r="N116" s="34"/>
      <c r="O116" s="34"/>
      <c r="P116">
        <v>200</v>
      </c>
      <c r="Q116">
        <v>133</v>
      </c>
      <c r="R116" t="str">
        <f xml:space="preserve">
IF(GamesTable[[#This Row],[JAMMA]]="YES","JAMMA","")&amp;
IF(GamesTable[[#This Row],[MVS]]="YES","MVS","")&amp;
IF(GamesTable[[#This Row],[AES]]="YES","AES","")&amp;
IF(GamesTable[[#This Row],[NGCD]]="YES","NGCD","")&amp;
IF(GamesTable[[#This Row],[ROM]]="YES","ROM","")</f>
        <v>MVSAESNGCD</v>
      </c>
      <c r="S116" t="s">
        <v>10174</v>
      </c>
      <c r="T116" t="s">
        <v>10173</v>
      </c>
      <c r="U116" t="s">
        <v>10173</v>
      </c>
      <c r="V116" t="s">
        <v>10173</v>
      </c>
      <c r="X116">
        <v>2</v>
      </c>
      <c r="Y116">
        <v>5</v>
      </c>
      <c r="Z116">
        <v>3</v>
      </c>
      <c r="AA116">
        <v>5</v>
      </c>
      <c r="AB116" t="s">
        <v>3983</v>
      </c>
    </row>
    <row r="117" spans="1:28" x14ac:dyDescent="0.25">
      <c r="A117" t="s">
        <v>9836</v>
      </c>
      <c r="C117" t="s">
        <v>9017</v>
      </c>
      <c r="D117" t="s">
        <v>9016</v>
      </c>
      <c r="E117">
        <v>2013</v>
      </c>
      <c r="F117" t="s">
        <v>86</v>
      </c>
      <c r="H117" t="s">
        <v>9018</v>
      </c>
      <c r="J117">
        <v>252976</v>
      </c>
      <c r="K117" t="s">
        <v>9041</v>
      </c>
      <c r="L117" t="s">
        <v>9897</v>
      </c>
      <c r="M117" s="33"/>
      <c r="N117" s="34"/>
      <c r="O117" s="34"/>
      <c r="Q117">
        <v>264</v>
      </c>
      <c r="R117" t="str">
        <f xml:space="preserve">
IF(GamesTable[[#This Row],[JAMMA]]="YES","JAMMA","")&amp;
IF(GamesTable[[#This Row],[MVS]]="YES","MVS","")&amp;
IF(GamesTable[[#This Row],[AES]]="YES","AES","")&amp;
IF(GamesTable[[#This Row],[NGCD]]="YES","NGCD","")&amp;
IF(GamesTable[[#This Row],[ROM]]="YES","ROM","")</f>
        <v/>
      </c>
    </row>
    <row r="118" spans="1:28" x14ac:dyDescent="0.25">
      <c r="A118" t="s">
        <v>9836</v>
      </c>
      <c r="C118" t="s">
        <v>9103</v>
      </c>
      <c r="D118" t="s">
        <v>9102</v>
      </c>
      <c r="E118">
        <v>2008</v>
      </c>
      <c r="F118" t="s">
        <v>9104</v>
      </c>
      <c r="G118" s="8" t="s">
        <v>9105</v>
      </c>
      <c r="K118" t="s">
        <v>8986</v>
      </c>
      <c r="L118" t="s">
        <v>9089</v>
      </c>
      <c r="M118" s="33"/>
      <c r="N118" s="34"/>
      <c r="O118" s="34"/>
      <c r="R118" t="str">
        <f xml:space="preserve">
IF(GamesTable[[#This Row],[JAMMA]]="YES","JAMMA","")&amp;
IF(GamesTable[[#This Row],[MVS]]="YES","MVS","")&amp;
IF(GamesTable[[#This Row],[AES]]="YES","AES","")&amp;
IF(GamesTable[[#This Row],[NGCD]]="YES","NGCD","")&amp;
IF(GamesTable[[#This Row],[ROM]]="YES","ROM","")</f>
        <v/>
      </c>
    </row>
    <row r="119" spans="1:28" x14ac:dyDescent="0.25">
      <c r="A119" t="s">
        <v>9836</v>
      </c>
      <c r="C119" t="s">
        <v>7852</v>
      </c>
      <c r="D119" t="s">
        <v>2584</v>
      </c>
      <c r="E119" t="s">
        <v>1101</v>
      </c>
      <c r="F119" t="s">
        <v>1912</v>
      </c>
      <c r="G119" t="s">
        <v>2578</v>
      </c>
      <c r="H119" t="s">
        <v>8117</v>
      </c>
      <c r="I119">
        <v>39529</v>
      </c>
      <c r="J119">
        <v>78710</v>
      </c>
      <c r="K119" t="s">
        <v>9086</v>
      </c>
      <c r="L119" t="s">
        <v>9088</v>
      </c>
      <c r="M119" s="33" t="s">
        <v>9753</v>
      </c>
      <c r="N119" s="34"/>
      <c r="O119" s="34"/>
      <c r="P119">
        <v>244</v>
      </c>
      <c r="Q119">
        <v>162</v>
      </c>
      <c r="R119" t="str">
        <f xml:space="preserve">
IF(GamesTable[[#This Row],[JAMMA]]="YES","JAMMA","")&amp;
IF(GamesTable[[#This Row],[MVS]]="YES","MVS","")&amp;
IF(GamesTable[[#This Row],[AES]]="YES","AES","")&amp;
IF(GamesTable[[#This Row],[NGCD]]="YES","NGCD","")&amp;
IF(GamesTable[[#This Row],[ROM]]="YES","ROM","")</f>
        <v>MVSAES</v>
      </c>
      <c r="S119" t="s">
        <v>10174</v>
      </c>
      <c r="T119" t="s">
        <v>10173</v>
      </c>
      <c r="U119" t="s">
        <v>10173</v>
      </c>
      <c r="V119" t="s">
        <v>10174</v>
      </c>
      <c r="X119">
        <v>1</v>
      </c>
      <c r="Y119">
        <v>2</v>
      </c>
      <c r="AA119">
        <v>4</v>
      </c>
      <c r="AB119" t="s">
        <v>2585</v>
      </c>
    </row>
    <row r="120" spans="1:28" x14ac:dyDescent="0.25">
      <c r="A120" t="s">
        <v>9836</v>
      </c>
      <c r="C120" t="s">
        <v>9013</v>
      </c>
      <c r="D120" t="s">
        <v>9014</v>
      </c>
      <c r="E120">
        <v>2021</v>
      </c>
      <c r="F120" t="s">
        <v>9015</v>
      </c>
      <c r="J120">
        <v>252979</v>
      </c>
      <c r="K120" t="s">
        <v>9041</v>
      </c>
      <c r="L120" t="s">
        <v>9897</v>
      </c>
      <c r="M120" s="33"/>
      <c r="N120" s="34"/>
      <c r="O120" s="34"/>
      <c r="Q120">
        <v>326</v>
      </c>
      <c r="R120" t="str">
        <f xml:space="preserve">
IF(GamesTable[[#This Row],[JAMMA]]="YES","JAMMA","")&amp;
IF(GamesTable[[#This Row],[MVS]]="YES","MVS","")&amp;
IF(GamesTable[[#This Row],[AES]]="YES","AES","")&amp;
IF(GamesTable[[#This Row],[NGCD]]="YES","NGCD","")&amp;
IF(GamesTable[[#This Row],[ROM]]="YES","ROM","")</f>
        <v/>
      </c>
    </row>
    <row r="121" spans="1:28" x14ac:dyDescent="0.25">
      <c r="A121" t="s">
        <v>9836</v>
      </c>
      <c r="C121" t="s">
        <v>9097</v>
      </c>
      <c r="D121" t="s">
        <v>9096</v>
      </c>
      <c r="E121" t="s">
        <v>8995</v>
      </c>
      <c r="F121" t="s">
        <v>8995</v>
      </c>
      <c r="G121" s="8" t="s">
        <v>9098</v>
      </c>
      <c r="K121" t="s">
        <v>8986</v>
      </c>
      <c r="L121" t="s">
        <v>9089</v>
      </c>
      <c r="M121" s="33"/>
      <c r="N121" s="34"/>
      <c r="O121" s="34"/>
      <c r="R121" t="str">
        <f xml:space="preserve">
IF(GamesTable[[#This Row],[JAMMA]]="YES","JAMMA","")&amp;
IF(GamesTable[[#This Row],[MVS]]="YES","MVS","")&amp;
IF(GamesTable[[#This Row],[AES]]="YES","AES","")&amp;
IF(GamesTable[[#This Row],[NGCD]]="YES","NGCD","")&amp;
IF(GamesTable[[#This Row],[ROM]]="YES","ROM","")</f>
        <v/>
      </c>
    </row>
    <row r="122" spans="1:28" x14ac:dyDescent="0.25">
      <c r="A122" t="s">
        <v>9836</v>
      </c>
      <c r="C122" t="s">
        <v>9083</v>
      </c>
      <c r="D122" t="s">
        <v>9072</v>
      </c>
      <c r="E122" t="s">
        <v>9073</v>
      </c>
      <c r="F122" t="s">
        <v>9074</v>
      </c>
      <c r="K122" t="s">
        <v>9034</v>
      </c>
      <c r="L122" t="s">
        <v>9089</v>
      </c>
      <c r="M122" s="33"/>
      <c r="N122" s="34"/>
      <c r="O122" s="34"/>
      <c r="R122" t="str">
        <f xml:space="preserve">
IF(GamesTable[[#This Row],[JAMMA]]="YES","JAMMA","")&amp;
IF(GamesTable[[#This Row],[MVS]]="YES","MVS","")&amp;
IF(GamesTable[[#This Row],[AES]]="YES","AES","")&amp;
IF(GamesTable[[#This Row],[NGCD]]="YES","NGCD","")&amp;
IF(GamesTable[[#This Row],[ROM]]="YES","ROM","")</f>
        <v/>
      </c>
    </row>
    <row r="123" spans="1:28" x14ac:dyDescent="0.25">
      <c r="A123" t="s">
        <v>9836</v>
      </c>
      <c r="C123" t="s">
        <v>7856</v>
      </c>
      <c r="D123" t="s">
        <v>1837</v>
      </c>
      <c r="E123" t="s">
        <v>113</v>
      </c>
      <c r="F123" t="s">
        <v>1836</v>
      </c>
      <c r="G123" t="s">
        <v>1830</v>
      </c>
      <c r="H123" t="s">
        <v>8073</v>
      </c>
      <c r="I123">
        <v>40992</v>
      </c>
      <c r="J123">
        <v>78780</v>
      </c>
      <c r="K123" t="s">
        <v>9086</v>
      </c>
      <c r="L123" t="s">
        <v>9088</v>
      </c>
      <c r="M123" s="33"/>
      <c r="N123" s="34"/>
      <c r="O123" s="34"/>
      <c r="P123">
        <v>260</v>
      </c>
      <c r="Q123">
        <v>166</v>
      </c>
      <c r="R123" t="str">
        <f xml:space="preserve">
IF(GamesTable[[#This Row],[JAMMA]]="YES","JAMMA","")&amp;
IF(GamesTable[[#This Row],[MVS]]="YES","MVS","")&amp;
IF(GamesTable[[#This Row],[AES]]="YES","AES","")&amp;
IF(GamesTable[[#This Row],[NGCD]]="YES","NGCD","")&amp;
IF(GamesTable[[#This Row],[ROM]]="YES","ROM","")</f>
        <v>MVSAES</v>
      </c>
      <c r="S123" t="s">
        <v>10174</v>
      </c>
      <c r="T123" t="s">
        <v>10173</v>
      </c>
      <c r="U123" t="s">
        <v>10173</v>
      </c>
      <c r="V123" t="s">
        <v>10174</v>
      </c>
      <c r="AB123" t="s">
        <v>955</v>
      </c>
    </row>
    <row r="124" spans="1:28" x14ac:dyDescent="0.25">
      <c r="A124" t="s">
        <v>9836</v>
      </c>
      <c r="C124" t="s">
        <v>7849</v>
      </c>
      <c r="D124" t="s">
        <v>7985</v>
      </c>
      <c r="E124" t="s">
        <v>3906</v>
      </c>
      <c r="F124" t="s">
        <v>5638</v>
      </c>
      <c r="G124" t="s">
        <v>7340</v>
      </c>
      <c r="H124" t="s">
        <v>8120</v>
      </c>
      <c r="I124">
        <v>39889</v>
      </c>
      <c r="J124">
        <v>78786</v>
      </c>
      <c r="K124" t="s">
        <v>9086</v>
      </c>
      <c r="L124" t="s">
        <v>9088</v>
      </c>
      <c r="M124" s="33"/>
      <c r="N124" s="34"/>
      <c r="O124" s="34"/>
      <c r="P124">
        <v>9</v>
      </c>
      <c r="Q124">
        <v>46</v>
      </c>
      <c r="R124" t="str">
        <f xml:space="preserve">
IF(GamesTable[[#This Row],[JAMMA]]="YES","JAMMA","")&amp;
IF(GamesTable[[#This Row],[MVS]]="YES","MVS","")&amp;
IF(GamesTable[[#This Row],[AES]]="YES","AES","")&amp;
IF(GamesTable[[#This Row],[NGCD]]="YES","NGCD","")&amp;
IF(GamesTable[[#This Row],[ROM]]="YES","ROM","")</f>
        <v>MVSAESNGCD</v>
      </c>
      <c r="S124" t="s">
        <v>10174</v>
      </c>
      <c r="T124" t="s">
        <v>10173</v>
      </c>
      <c r="U124" t="s">
        <v>10173</v>
      </c>
      <c r="V124" t="s">
        <v>10173</v>
      </c>
      <c r="X124">
        <v>1</v>
      </c>
      <c r="Y124">
        <v>1</v>
      </c>
      <c r="Z124">
        <v>2</v>
      </c>
      <c r="AA124">
        <v>3</v>
      </c>
      <c r="AB124" t="s">
        <v>7345</v>
      </c>
    </row>
    <row r="125" spans="1:28" x14ac:dyDescent="0.25">
      <c r="A125" t="s">
        <v>9836</v>
      </c>
      <c r="C125" t="s">
        <v>7850</v>
      </c>
      <c r="D125" t="s">
        <v>5789</v>
      </c>
      <c r="E125" t="s">
        <v>5639</v>
      </c>
      <c r="F125" t="s">
        <v>5638</v>
      </c>
      <c r="G125" t="s">
        <v>5780</v>
      </c>
      <c r="H125" t="s">
        <v>8070</v>
      </c>
      <c r="I125">
        <v>39951</v>
      </c>
      <c r="J125">
        <v>78787</v>
      </c>
      <c r="K125" t="s">
        <v>9086</v>
      </c>
      <c r="L125" t="s">
        <v>9088</v>
      </c>
      <c r="M125" s="33" t="s">
        <v>9753</v>
      </c>
      <c r="N125" s="34"/>
      <c r="O125" s="34"/>
      <c r="P125">
        <v>50</v>
      </c>
      <c r="Q125">
        <v>54</v>
      </c>
      <c r="R125" t="str">
        <f xml:space="preserve">
IF(GamesTable[[#This Row],[JAMMA]]="YES","JAMMA","")&amp;
IF(GamesTable[[#This Row],[MVS]]="YES","MVS","")&amp;
IF(GamesTable[[#This Row],[AES]]="YES","AES","")&amp;
IF(GamesTable[[#This Row],[NGCD]]="YES","NGCD","")&amp;
IF(GamesTable[[#This Row],[ROM]]="YES","ROM","")</f>
        <v>MVSAESNGCD</v>
      </c>
      <c r="S125" t="s">
        <v>10174</v>
      </c>
      <c r="T125" t="s">
        <v>10173</v>
      </c>
      <c r="U125" t="s">
        <v>10173</v>
      </c>
      <c r="V125" t="s">
        <v>10173</v>
      </c>
      <c r="X125">
        <v>2</v>
      </c>
      <c r="Y125">
        <v>1</v>
      </c>
      <c r="Z125">
        <v>2</v>
      </c>
      <c r="AA125">
        <v>3</v>
      </c>
      <c r="AB125" t="s">
        <v>5790</v>
      </c>
    </row>
    <row r="126" spans="1:28" x14ac:dyDescent="0.25">
      <c r="A126" t="s">
        <v>9836</v>
      </c>
      <c r="C126" t="s">
        <v>7855</v>
      </c>
      <c r="D126" t="s">
        <v>10048</v>
      </c>
      <c r="E126" t="s">
        <v>1280</v>
      </c>
      <c r="F126" t="s">
        <v>3275</v>
      </c>
      <c r="G126" t="s">
        <v>10199</v>
      </c>
      <c r="H126" t="s">
        <v>8133</v>
      </c>
      <c r="I126">
        <v>39458</v>
      </c>
      <c r="J126">
        <v>78793</v>
      </c>
      <c r="K126" t="s">
        <v>9086</v>
      </c>
      <c r="L126" t="s">
        <v>9088</v>
      </c>
      <c r="M126" s="33"/>
      <c r="N126" s="34" t="s">
        <v>9877</v>
      </c>
      <c r="O126" s="34">
        <v>35</v>
      </c>
      <c r="P126">
        <v>217</v>
      </c>
      <c r="Q126">
        <v>330</v>
      </c>
      <c r="R126" t="str">
        <f xml:space="preserve">
IF(GamesTable[[#This Row],[JAMMA]]="YES","JAMMA","")&amp;
IF(GamesTable[[#This Row],[MVS]]="YES","MVS","")&amp;
IF(GamesTable[[#This Row],[AES]]="YES","AES","")&amp;
IF(GamesTable[[#This Row],[NGCD]]="YES","NGCD","")&amp;
IF(GamesTable[[#This Row],[ROM]]="YES","ROM","")</f>
        <v>MVSAESNGCD</v>
      </c>
      <c r="S126" t="s">
        <v>10174</v>
      </c>
      <c r="T126" t="s">
        <v>10173</v>
      </c>
      <c r="U126" t="s">
        <v>10173</v>
      </c>
      <c r="V126" t="s">
        <v>10173</v>
      </c>
      <c r="X126">
        <v>3</v>
      </c>
      <c r="Y126">
        <v>4</v>
      </c>
      <c r="Z126">
        <v>3</v>
      </c>
      <c r="AA126">
        <v>4</v>
      </c>
      <c r="AB126" t="s">
        <v>3563</v>
      </c>
    </row>
    <row r="127" spans="1:28" x14ac:dyDescent="0.25">
      <c r="A127" t="s">
        <v>9836</v>
      </c>
      <c r="C127" t="s">
        <v>7857</v>
      </c>
      <c r="D127" t="s">
        <v>3771</v>
      </c>
      <c r="E127" t="s">
        <v>1280</v>
      </c>
      <c r="F127" t="s">
        <v>3770</v>
      </c>
      <c r="G127" t="s">
        <v>3764</v>
      </c>
      <c r="H127" t="s">
        <v>8074</v>
      </c>
      <c r="I127">
        <v>64011</v>
      </c>
      <c r="J127">
        <v>78934</v>
      </c>
      <c r="K127" t="s">
        <v>9086</v>
      </c>
      <c r="L127" t="s">
        <v>9088</v>
      </c>
      <c r="M127" s="33" t="s">
        <v>9753</v>
      </c>
      <c r="N127" s="34"/>
      <c r="O127" s="34"/>
      <c r="P127">
        <v>212</v>
      </c>
      <c r="Q127">
        <v>212</v>
      </c>
      <c r="R127" t="str">
        <f xml:space="preserve">
IF(GamesTable[[#This Row],[JAMMA]]="YES","JAMMA","")&amp;
IF(GamesTable[[#This Row],[MVS]]="YES","MVS","")&amp;
IF(GamesTable[[#This Row],[AES]]="YES","AES","")&amp;
IF(GamesTable[[#This Row],[NGCD]]="YES","NGCD","")&amp;
IF(GamesTable[[#This Row],[ROM]]="YES","ROM","")</f>
        <v>MVSAESNGCD</v>
      </c>
      <c r="S127" t="s">
        <v>10174</v>
      </c>
      <c r="T127" t="s">
        <v>10173</v>
      </c>
      <c r="U127" t="s">
        <v>10173</v>
      </c>
      <c r="V127" t="s">
        <v>10173</v>
      </c>
      <c r="X127">
        <v>3</v>
      </c>
      <c r="Y127">
        <v>4</v>
      </c>
      <c r="Z127">
        <v>4</v>
      </c>
      <c r="AA127">
        <v>3</v>
      </c>
      <c r="AB127" t="s">
        <v>3772</v>
      </c>
    </row>
    <row r="128" spans="1:28" x14ac:dyDescent="0.25">
      <c r="A128" t="s">
        <v>9836</v>
      </c>
      <c r="C128" t="s">
        <v>7858</v>
      </c>
      <c r="D128" t="s">
        <v>5017</v>
      </c>
      <c r="E128" t="s">
        <v>393</v>
      </c>
      <c r="F128" t="s">
        <v>5016</v>
      </c>
      <c r="G128" t="s">
        <v>5007</v>
      </c>
      <c r="H128" t="s">
        <v>8075</v>
      </c>
      <c r="I128">
        <v>39663</v>
      </c>
      <c r="J128">
        <v>79004</v>
      </c>
      <c r="K128" t="s">
        <v>9086</v>
      </c>
      <c r="L128" t="s">
        <v>9088</v>
      </c>
      <c r="M128" s="33" t="s">
        <v>9753</v>
      </c>
      <c r="N128" s="34"/>
      <c r="O128" s="34"/>
      <c r="P128">
        <v>73</v>
      </c>
      <c r="Q128">
        <v>46</v>
      </c>
      <c r="R128" t="str">
        <f xml:space="preserve">
IF(GamesTable[[#This Row],[JAMMA]]="YES","JAMMA","")&amp;
IF(GamesTable[[#This Row],[MVS]]="YES","MVS","")&amp;
IF(GamesTable[[#This Row],[AES]]="YES","AES","")&amp;
IF(GamesTable[[#This Row],[NGCD]]="YES","NGCD","")&amp;
IF(GamesTable[[#This Row],[ROM]]="YES","ROM","")</f>
        <v>MVSAES</v>
      </c>
      <c r="S128" t="s">
        <v>10174</v>
      </c>
      <c r="T128" t="s">
        <v>10173</v>
      </c>
      <c r="U128" t="s">
        <v>10173</v>
      </c>
      <c r="V128" t="s">
        <v>10174</v>
      </c>
      <c r="AB128" t="s">
        <v>5018</v>
      </c>
    </row>
    <row r="129" spans="1:28" x14ac:dyDescent="0.25">
      <c r="A129" t="s">
        <v>9836</v>
      </c>
      <c r="C129" t="s">
        <v>7861</v>
      </c>
      <c r="D129" t="s">
        <v>7988</v>
      </c>
      <c r="E129" t="s">
        <v>1280</v>
      </c>
      <c r="F129" t="s">
        <v>2520</v>
      </c>
      <c r="G129" t="s">
        <v>3466</v>
      </c>
      <c r="I129">
        <v>75464</v>
      </c>
      <c r="J129">
        <v>79266</v>
      </c>
      <c r="K129" t="s">
        <v>9086</v>
      </c>
      <c r="L129" t="s">
        <v>9088</v>
      </c>
      <c r="M129" s="33" t="s">
        <v>9753</v>
      </c>
      <c r="N129" s="34"/>
      <c r="O129" s="34"/>
      <c r="P129">
        <v>219</v>
      </c>
      <c r="Q129">
        <v>146</v>
      </c>
      <c r="R129" t="str">
        <f xml:space="preserve">
IF(GamesTable[[#This Row],[JAMMA]]="YES","JAMMA","")&amp;
IF(GamesTable[[#This Row],[MVS]]="YES","MVS","")&amp;
IF(GamesTable[[#This Row],[AES]]="YES","AES","")&amp;
IF(GamesTable[[#This Row],[NGCD]]="YES","NGCD","")&amp;
IF(GamesTable[[#This Row],[ROM]]="YES","ROM","")</f>
        <v>MVSAESNGCD</v>
      </c>
      <c r="S129" t="s">
        <v>10174</v>
      </c>
      <c r="T129" t="s">
        <v>10173</v>
      </c>
      <c r="U129" t="s">
        <v>10173</v>
      </c>
      <c r="V129" t="s">
        <v>10173</v>
      </c>
      <c r="AB129" t="s">
        <v>3472</v>
      </c>
    </row>
    <row r="130" spans="1:28" x14ac:dyDescent="0.25">
      <c r="A130" t="s">
        <v>9836</v>
      </c>
      <c r="C130" t="s">
        <v>7862</v>
      </c>
      <c r="D130" t="s">
        <v>7989</v>
      </c>
      <c r="E130" t="s">
        <v>195</v>
      </c>
      <c r="F130" t="s">
        <v>1603</v>
      </c>
      <c r="G130" t="s">
        <v>1595</v>
      </c>
      <c r="H130" t="s">
        <v>8076</v>
      </c>
      <c r="I130">
        <v>40188</v>
      </c>
      <c r="J130">
        <v>79275</v>
      </c>
      <c r="K130" t="s">
        <v>9086</v>
      </c>
      <c r="L130" t="s">
        <v>9088</v>
      </c>
      <c r="M130" s="33" t="s">
        <v>9753</v>
      </c>
      <c r="N130" s="34"/>
      <c r="O130" s="34"/>
      <c r="P130">
        <v>267</v>
      </c>
      <c r="Q130">
        <v>172</v>
      </c>
      <c r="R130" t="str">
        <f xml:space="preserve">
IF(GamesTable[[#This Row],[JAMMA]]="YES","JAMMA","")&amp;
IF(GamesTable[[#This Row],[MVS]]="YES","MVS","")&amp;
IF(GamesTable[[#This Row],[AES]]="YES","AES","")&amp;
IF(GamesTable[[#This Row],[NGCD]]="YES","NGCD","")&amp;
IF(GamesTable[[#This Row],[ROM]]="YES","ROM","")</f>
        <v>MVSAESNGCD</v>
      </c>
      <c r="S130" t="s">
        <v>10174</v>
      </c>
      <c r="T130" t="s">
        <v>10173</v>
      </c>
      <c r="U130" t="s">
        <v>10173</v>
      </c>
      <c r="V130" t="s">
        <v>10173</v>
      </c>
      <c r="AB130" t="s">
        <v>1597</v>
      </c>
    </row>
    <row r="131" spans="1:28" x14ac:dyDescent="0.25">
      <c r="A131" t="s">
        <v>9836</v>
      </c>
      <c r="C131" t="s">
        <v>9101</v>
      </c>
      <c r="D131" t="s">
        <v>9099</v>
      </c>
      <c r="E131" t="s">
        <v>8995</v>
      </c>
      <c r="F131" t="s">
        <v>8995</v>
      </c>
      <c r="G131" s="8" t="s">
        <v>9100</v>
      </c>
      <c r="K131" t="s">
        <v>8986</v>
      </c>
      <c r="L131" t="s">
        <v>9089</v>
      </c>
      <c r="M131" s="33"/>
      <c r="N131" s="34"/>
      <c r="O131" s="34"/>
      <c r="R131" t="str">
        <f xml:space="preserve">
IF(GamesTable[[#This Row],[JAMMA]]="YES","JAMMA","")&amp;
IF(GamesTable[[#This Row],[MVS]]="YES","MVS","")&amp;
IF(GamesTable[[#This Row],[AES]]="YES","AES","")&amp;
IF(GamesTable[[#This Row],[NGCD]]="YES","NGCD","")&amp;
IF(GamesTable[[#This Row],[ROM]]="YES","ROM","")</f>
        <v/>
      </c>
    </row>
    <row r="132" spans="1:28" x14ac:dyDescent="0.25">
      <c r="A132" t="s">
        <v>9836</v>
      </c>
      <c r="C132" t="s">
        <v>7863</v>
      </c>
      <c r="D132" t="s">
        <v>2930</v>
      </c>
      <c r="E132" t="s">
        <v>1145</v>
      </c>
      <c r="F132" t="s">
        <v>2929</v>
      </c>
      <c r="G132" t="s">
        <v>2924</v>
      </c>
      <c r="J132">
        <v>79337</v>
      </c>
      <c r="K132" t="s">
        <v>9086</v>
      </c>
      <c r="L132" t="s">
        <v>9088</v>
      </c>
      <c r="M132" s="33"/>
      <c r="N132" s="34"/>
      <c r="O132" s="34"/>
      <c r="P132">
        <v>237</v>
      </c>
      <c r="Q132">
        <v>58</v>
      </c>
      <c r="R132" t="str">
        <f xml:space="preserve">
IF(GamesTable[[#This Row],[JAMMA]]="YES","JAMMA","")&amp;
IF(GamesTable[[#This Row],[MVS]]="YES","MVS","")&amp;
IF(GamesTable[[#This Row],[AES]]="YES","AES","")&amp;
IF(GamesTable[[#This Row],[NGCD]]="YES","NGCD","")&amp;
IF(GamesTable[[#This Row],[ROM]]="YES","ROM","")</f>
        <v>MVSAESNGCD</v>
      </c>
      <c r="S132" t="s">
        <v>10174</v>
      </c>
      <c r="T132" t="s">
        <v>10173</v>
      </c>
      <c r="U132" t="s">
        <v>10173</v>
      </c>
      <c r="V132" t="s">
        <v>10173</v>
      </c>
      <c r="AB132" t="s">
        <v>2931</v>
      </c>
    </row>
    <row r="133" spans="1:28" x14ac:dyDescent="0.25">
      <c r="A133" t="s">
        <v>9836</v>
      </c>
      <c r="C133" t="s">
        <v>7842</v>
      </c>
      <c r="D133" t="s">
        <v>10200</v>
      </c>
      <c r="E133">
        <v>2003</v>
      </c>
      <c r="F133" t="s">
        <v>1648</v>
      </c>
      <c r="G133" t="s">
        <v>9793</v>
      </c>
      <c r="H133" t="s">
        <v>8130</v>
      </c>
      <c r="J133">
        <v>78252</v>
      </c>
      <c r="K133" t="s">
        <v>9086</v>
      </c>
      <c r="L133" t="s">
        <v>9088</v>
      </c>
      <c r="M133" s="33" t="s">
        <v>9753</v>
      </c>
      <c r="N133" s="34"/>
      <c r="O133" s="34"/>
      <c r="P133">
        <v>266</v>
      </c>
      <c r="Q133">
        <v>646</v>
      </c>
      <c r="R133" t="str">
        <f xml:space="preserve">
IF(GamesTable[[#This Row],[JAMMA]]="YES","JAMMA","")&amp;
IF(GamesTable[[#This Row],[MVS]]="YES","MVS","")&amp;
IF(GamesTable[[#This Row],[AES]]="YES","AES","")&amp;
IF(GamesTable[[#This Row],[NGCD]]="YES","NGCD","")&amp;
IF(GamesTable[[#This Row],[ROM]]="YES","ROM","")</f>
        <v>MVSAES</v>
      </c>
      <c r="S133" t="s">
        <v>10174</v>
      </c>
      <c r="T133" t="s">
        <v>10173</v>
      </c>
      <c r="U133" t="s">
        <v>10173</v>
      </c>
      <c r="V133" t="s">
        <v>10174</v>
      </c>
      <c r="X133">
        <v>2</v>
      </c>
      <c r="Y133">
        <v>2</v>
      </c>
      <c r="AA133">
        <v>3</v>
      </c>
      <c r="AB133" t="s">
        <v>542</v>
      </c>
    </row>
    <row r="134" spans="1:28" x14ac:dyDescent="0.25">
      <c r="A134" t="s">
        <v>9836</v>
      </c>
      <c r="C134" t="s">
        <v>7865</v>
      </c>
      <c r="D134" t="s">
        <v>7990</v>
      </c>
      <c r="E134">
        <v>1995</v>
      </c>
      <c r="F134" t="s">
        <v>2929</v>
      </c>
      <c r="G134" t="s">
        <v>5076</v>
      </c>
      <c r="H134" t="s">
        <v>8078</v>
      </c>
      <c r="I134">
        <v>39979</v>
      </c>
      <c r="J134">
        <v>79387</v>
      </c>
      <c r="K134" t="s">
        <v>9086</v>
      </c>
      <c r="L134" t="s">
        <v>9088</v>
      </c>
      <c r="M134" s="33" t="s">
        <v>9753</v>
      </c>
      <c r="N134" s="34"/>
      <c r="O134" s="34"/>
      <c r="P134">
        <v>68</v>
      </c>
      <c r="Q134">
        <v>82</v>
      </c>
      <c r="R134" t="str">
        <f xml:space="preserve">
IF(GamesTable[[#This Row],[JAMMA]]="YES","JAMMA","")&amp;
IF(GamesTable[[#This Row],[MVS]]="YES","MVS","")&amp;
IF(GamesTable[[#This Row],[AES]]="YES","AES","")&amp;
IF(GamesTable[[#This Row],[NGCD]]="YES","NGCD","")&amp;
IF(GamesTable[[#This Row],[ROM]]="YES","ROM","")</f>
        <v>MVSAESNGCD</v>
      </c>
      <c r="S134" t="s">
        <v>10174</v>
      </c>
      <c r="T134" t="s">
        <v>10173</v>
      </c>
      <c r="U134" t="s">
        <v>10173</v>
      </c>
      <c r="V134" t="s">
        <v>10173</v>
      </c>
      <c r="AB134" t="s">
        <v>5086</v>
      </c>
    </row>
    <row r="135" spans="1:28" x14ac:dyDescent="0.25">
      <c r="A135" t="s">
        <v>9836</v>
      </c>
      <c r="C135" t="s">
        <v>7864</v>
      </c>
      <c r="D135" t="s">
        <v>2002</v>
      </c>
      <c r="E135" t="s">
        <v>1053</v>
      </c>
      <c r="F135" t="s">
        <v>2001</v>
      </c>
      <c r="G135" t="s">
        <v>1991</v>
      </c>
      <c r="H135" t="s">
        <v>8077</v>
      </c>
      <c r="I135">
        <v>39280</v>
      </c>
      <c r="J135">
        <v>79396</v>
      </c>
      <c r="K135" t="s">
        <v>9086</v>
      </c>
      <c r="L135" t="s">
        <v>9088</v>
      </c>
      <c r="M135" s="33"/>
      <c r="N135" s="34"/>
      <c r="O135" s="34"/>
      <c r="P135">
        <v>255</v>
      </c>
      <c r="Q135">
        <v>478</v>
      </c>
      <c r="R135" t="str">
        <f xml:space="preserve">
IF(GamesTable[[#This Row],[JAMMA]]="YES","JAMMA","")&amp;
IF(GamesTable[[#This Row],[MVS]]="YES","MVS","")&amp;
IF(GamesTable[[#This Row],[AES]]="YES","AES","")&amp;
IF(GamesTable[[#This Row],[NGCD]]="YES","NGCD","")&amp;
IF(GamesTable[[#This Row],[ROM]]="YES","ROM","")</f>
        <v>MVSAES</v>
      </c>
      <c r="S135" t="s">
        <v>10174</v>
      </c>
      <c r="T135" t="s">
        <v>10173</v>
      </c>
      <c r="U135" t="s">
        <v>10173</v>
      </c>
      <c r="V135" t="s">
        <v>10174</v>
      </c>
      <c r="AB135" t="s">
        <v>2003</v>
      </c>
    </row>
    <row r="136" spans="1:28" x14ac:dyDescent="0.25">
      <c r="A136" t="s">
        <v>9836</v>
      </c>
      <c r="C136" t="s">
        <v>9012</v>
      </c>
      <c r="D136" t="s">
        <v>9009</v>
      </c>
      <c r="E136" t="s">
        <v>9011</v>
      </c>
      <c r="F136" t="s">
        <v>9010</v>
      </c>
      <c r="K136" t="s">
        <v>9041</v>
      </c>
      <c r="L136" t="s">
        <v>9089</v>
      </c>
      <c r="M136" s="33"/>
      <c r="N136" s="34"/>
      <c r="O136" s="34"/>
      <c r="R136" t="str">
        <f xml:space="preserve">
IF(GamesTable[[#This Row],[JAMMA]]="YES","JAMMA","")&amp;
IF(GamesTable[[#This Row],[MVS]]="YES","MVS","")&amp;
IF(GamesTable[[#This Row],[AES]]="YES","AES","")&amp;
IF(GamesTable[[#This Row],[NGCD]]="YES","NGCD","")&amp;
IF(GamesTable[[#This Row],[ROM]]="YES","ROM","")</f>
        <v/>
      </c>
    </row>
    <row r="137" spans="1:28" x14ac:dyDescent="0.25">
      <c r="A137" t="s">
        <v>9836</v>
      </c>
      <c r="C137" t="s">
        <v>7866</v>
      </c>
      <c r="D137" t="s">
        <v>4348</v>
      </c>
      <c r="E137" t="s">
        <v>1239</v>
      </c>
      <c r="F137" t="s">
        <v>4347</v>
      </c>
      <c r="G137" t="s">
        <v>4338</v>
      </c>
      <c r="H137" t="s">
        <v>8079</v>
      </c>
      <c r="I137">
        <v>7255</v>
      </c>
      <c r="J137">
        <v>79452</v>
      </c>
      <c r="K137" t="s">
        <v>9086</v>
      </c>
      <c r="L137" t="s">
        <v>9088</v>
      </c>
      <c r="M137" s="33"/>
      <c r="N137" s="34"/>
      <c r="O137" s="34"/>
      <c r="P137">
        <v>89</v>
      </c>
      <c r="Q137">
        <v>305</v>
      </c>
      <c r="R137" t="str">
        <f xml:space="preserve">
IF(GamesTable[[#This Row],[JAMMA]]="YES","JAMMA","")&amp;
IF(GamesTable[[#This Row],[MVS]]="YES","MVS","")&amp;
IF(GamesTable[[#This Row],[AES]]="YES","AES","")&amp;
IF(GamesTable[[#This Row],[NGCD]]="YES","NGCD","")&amp;
IF(GamesTable[[#This Row],[ROM]]="YES","ROM","")</f>
        <v>MVSNGCD</v>
      </c>
      <c r="S137" t="s">
        <v>10174</v>
      </c>
      <c r="T137" t="s">
        <v>10173</v>
      </c>
      <c r="U137" t="s">
        <v>10174</v>
      </c>
      <c r="V137" t="s">
        <v>10173</v>
      </c>
      <c r="AB137" t="s">
        <v>4349</v>
      </c>
    </row>
    <row r="138" spans="1:28" x14ac:dyDescent="0.25">
      <c r="A138" t="s">
        <v>9836</v>
      </c>
      <c r="C138" t="s">
        <v>10216</v>
      </c>
      <c r="D138" t="s">
        <v>10217</v>
      </c>
      <c r="E138">
        <v>2023</v>
      </c>
      <c r="F138" t="s">
        <v>10218</v>
      </c>
      <c r="G138" t="s">
        <v>10219</v>
      </c>
      <c r="J138">
        <v>255975</v>
      </c>
      <c r="K138" t="s">
        <v>9086</v>
      </c>
      <c r="L138" t="s">
        <v>9897</v>
      </c>
      <c r="M138" s="57"/>
      <c r="N138" s="58"/>
      <c r="O138" s="58"/>
    </row>
    <row r="139" spans="1:28" x14ac:dyDescent="0.25">
      <c r="A139" t="s">
        <v>9836</v>
      </c>
      <c r="C139" t="s">
        <v>7860</v>
      </c>
      <c r="D139" t="s">
        <v>7987</v>
      </c>
      <c r="E139" t="s">
        <v>393</v>
      </c>
      <c r="F139" t="s">
        <v>4646</v>
      </c>
      <c r="G139" t="s">
        <v>4639</v>
      </c>
      <c r="H139" t="s">
        <v>8135</v>
      </c>
      <c r="I139">
        <v>28391</v>
      </c>
      <c r="J139">
        <v>79476</v>
      </c>
      <c r="K139" t="s">
        <v>9086</v>
      </c>
      <c r="L139" t="s">
        <v>9088</v>
      </c>
      <c r="M139" s="33"/>
      <c r="N139" s="34"/>
      <c r="O139" s="34"/>
      <c r="P139">
        <v>83</v>
      </c>
      <c r="Q139">
        <v>32</v>
      </c>
      <c r="R139" t="str">
        <f xml:space="preserve">
IF(GamesTable[[#This Row],[JAMMA]]="YES","JAMMA","")&amp;
IF(GamesTable[[#This Row],[MVS]]="YES","MVS","")&amp;
IF(GamesTable[[#This Row],[AES]]="YES","AES","")&amp;
IF(GamesTable[[#This Row],[NGCD]]="YES","NGCD","")&amp;
IF(GamesTable[[#This Row],[ROM]]="YES","ROM","")</f>
        <v>MVSAESNGCD</v>
      </c>
      <c r="S139" t="s">
        <v>10174</v>
      </c>
      <c r="T139" t="s">
        <v>10173</v>
      </c>
      <c r="U139" t="s">
        <v>10173</v>
      </c>
      <c r="V139" t="s">
        <v>10173</v>
      </c>
      <c r="AB139" t="s">
        <v>389</v>
      </c>
    </row>
    <row r="140" spans="1:28" x14ac:dyDescent="0.25">
      <c r="A140" t="s">
        <v>9836</v>
      </c>
      <c r="C140" t="s">
        <v>7859</v>
      </c>
      <c r="D140" t="s">
        <v>7986</v>
      </c>
      <c r="E140" t="s">
        <v>1053</v>
      </c>
      <c r="F140" t="s">
        <v>2454</v>
      </c>
      <c r="G140" t="s">
        <v>2449</v>
      </c>
      <c r="H140" t="s">
        <v>8134</v>
      </c>
      <c r="J140">
        <v>79478</v>
      </c>
      <c r="K140" t="s">
        <v>9086</v>
      </c>
      <c r="L140" t="s">
        <v>9088</v>
      </c>
      <c r="M140" s="33"/>
      <c r="N140" s="34"/>
      <c r="O140" s="34"/>
      <c r="P140">
        <v>248</v>
      </c>
      <c r="Q140">
        <v>46</v>
      </c>
      <c r="R140" t="str">
        <f xml:space="preserve">
IF(GamesTable[[#This Row],[JAMMA]]="YES","JAMMA","")&amp;
IF(GamesTable[[#This Row],[MVS]]="YES","MVS","")&amp;
IF(GamesTable[[#This Row],[AES]]="YES","AES","")&amp;
IF(GamesTable[[#This Row],[NGCD]]="YES","NGCD","")&amp;
IF(GamesTable[[#This Row],[ROM]]="YES","ROM","")</f>
        <v>MVSAES</v>
      </c>
      <c r="S140" t="s">
        <v>10174</v>
      </c>
      <c r="T140" t="s">
        <v>10173</v>
      </c>
      <c r="U140" t="s">
        <v>10173</v>
      </c>
      <c r="V140" t="s">
        <v>10174</v>
      </c>
      <c r="AB140" t="s">
        <v>2456</v>
      </c>
    </row>
    <row r="141" spans="1:28" x14ac:dyDescent="0.25">
      <c r="A141" t="s">
        <v>9836</v>
      </c>
      <c r="C141" t="s">
        <v>7868</v>
      </c>
      <c r="D141" t="s">
        <v>3918</v>
      </c>
      <c r="E141" t="s">
        <v>1239</v>
      </c>
      <c r="F141" t="s">
        <v>1859</v>
      </c>
      <c r="G141" t="s">
        <v>3909</v>
      </c>
      <c r="H141" t="s">
        <v>8081</v>
      </c>
      <c r="I141">
        <v>39983</v>
      </c>
      <c r="J141">
        <v>79486</v>
      </c>
      <c r="K141" t="s">
        <v>9086</v>
      </c>
      <c r="L141" t="s">
        <v>9088</v>
      </c>
      <c r="M141" s="33" t="s">
        <v>9753</v>
      </c>
      <c r="N141" s="34"/>
      <c r="O141" s="34"/>
      <c r="P141">
        <v>202</v>
      </c>
      <c r="Q141">
        <v>30</v>
      </c>
      <c r="R141" t="str">
        <f xml:space="preserve">
IF(GamesTable[[#This Row],[JAMMA]]="YES","JAMMA","")&amp;
IF(GamesTable[[#This Row],[MVS]]="YES","MVS","")&amp;
IF(GamesTable[[#This Row],[AES]]="YES","AES","")&amp;
IF(GamesTable[[#This Row],[NGCD]]="YES","NGCD","")&amp;
IF(GamesTable[[#This Row],[ROM]]="YES","ROM","")</f>
        <v>MVSAES</v>
      </c>
      <c r="S141" t="s">
        <v>10174</v>
      </c>
      <c r="T141" t="s">
        <v>10173</v>
      </c>
      <c r="U141" t="s">
        <v>10173</v>
      </c>
      <c r="V141" t="s">
        <v>10174</v>
      </c>
      <c r="AB141" t="s">
        <v>2976</v>
      </c>
    </row>
    <row r="142" spans="1:28" x14ac:dyDescent="0.25">
      <c r="A142" t="s">
        <v>9836</v>
      </c>
      <c r="C142" t="s">
        <v>7867</v>
      </c>
      <c r="D142" t="s">
        <v>2981</v>
      </c>
      <c r="E142">
        <v>1996</v>
      </c>
      <c r="F142" t="s">
        <v>1859</v>
      </c>
      <c r="G142" t="s">
        <v>2975</v>
      </c>
      <c r="H142" t="s">
        <v>8080</v>
      </c>
      <c r="I142">
        <v>47579</v>
      </c>
      <c r="J142">
        <v>79487</v>
      </c>
      <c r="K142" t="s">
        <v>9086</v>
      </c>
      <c r="L142" t="s">
        <v>9088</v>
      </c>
      <c r="M142" s="33"/>
      <c r="N142" s="34"/>
      <c r="O142" s="34"/>
      <c r="P142">
        <v>235</v>
      </c>
      <c r="Q142">
        <v>32</v>
      </c>
      <c r="R142" t="str">
        <f xml:space="preserve">
IF(GamesTable[[#This Row],[JAMMA]]="YES","JAMMA","")&amp;
IF(GamesTable[[#This Row],[MVS]]="YES","MVS","")&amp;
IF(GamesTable[[#This Row],[AES]]="YES","AES","")&amp;
IF(GamesTable[[#This Row],[NGCD]]="YES","NGCD","")&amp;
IF(GamesTable[[#This Row],[ROM]]="YES","ROM","")</f>
        <v>MVSAES</v>
      </c>
      <c r="S142" t="s">
        <v>10174</v>
      </c>
      <c r="T142" t="s">
        <v>10173</v>
      </c>
      <c r="U142" t="s">
        <v>10173</v>
      </c>
      <c r="V142" t="s">
        <v>10174</v>
      </c>
      <c r="AB142" t="s">
        <v>2982</v>
      </c>
    </row>
    <row r="143" spans="1:28" x14ac:dyDescent="0.25">
      <c r="A143" t="s">
        <v>9836</v>
      </c>
      <c r="C143" t="s">
        <v>7817</v>
      </c>
      <c r="D143" t="s">
        <v>7961</v>
      </c>
      <c r="E143" t="s">
        <v>3906</v>
      </c>
      <c r="F143" t="s">
        <v>1912</v>
      </c>
      <c r="G143" t="s">
        <v>6802</v>
      </c>
      <c r="H143" t="s">
        <v>8049</v>
      </c>
      <c r="I143">
        <v>40970</v>
      </c>
      <c r="J143">
        <v>79499</v>
      </c>
      <c r="K143" t="s">
        <v>9086</v>
      </c>
      <c r="L143" t="s">
        <v>9088</v>
      </c>
      <c r="M143" s="33"/>
      <c r="N143" s="34"/>
      <c r="O143" s="34"/>
      <c r="P143">
        <v>21</v>
      </c>
      <c r="Q143">
        <v>22</v>
      </c>
      <c r="R143" t="str">
        <f xml:space="preserve">
IF(GamesTable[[#This Row],[JAMMA]]="YES","JAMMA","")&amp;
IF(GamesTable[[#This Row],[MVS]]="YES","MVS","")&amp;
IF(GamesTable[[#This Row],[AES]]="YES","AES","")&amp;
IF(GamesTable[[#This Row],[NGCD]]="YES","NGCD","")&amp;
IF(GamesTable[[#This Row],[ROM]]="YES","ROM","")</f>
        <v>MVSNGCD</v>
      </c>
      <c r="S143" t="s">
        <v>10174</v>
      </c>
      <c r="T143" t="s">
        <v>10173</v>
      </c>
      <c r="U143" t="s">
        <v>10174</v>
      </c>
      <c r="V143" t="s">
        <v>10173</v>
      </c>
      <c r="AB143" t="s">
        <v>6812</v>
      </c>
    </row>
    <row r="144" spans="1:28" x14ac:dyDescent="0.25">
      <c r="A144" t="s">
        <v>9836</v>
      </c>
      <c r="C144" t="s">
        <v>7870</v>
      </c>
      <c r="D144" t="s">
        <v>7992</v>
      </c>
      <c r="E144" t="s">
        <v>6279</v>
      </c>
      <c r="F144" t="s">
        <v>1912</v>
      </c>
      <c r="G144" t="s">
        <v>6739</v>
      </c>
      <c r="I144">
        <v>64010</v>
      </c>
      <c r="J144">
        <v>79561</v>
      </c>
      <c r="K144" t="s">
        <v>9086</v>
      </c>
      <c r="L144" t="s">
        <v>9088</v>
      </c>
      <c r="M144" s="33"/>
      <c r="N144" s="34"/>
      <c r="O144" s="34"/>
      <c r="P144">
        <v>23</v>
      </c>
      <c r="Q144">
        <v>34</v>
      </c>
      <c r="R144" t="str">
        <f xml:space="preserve">
IF(GamesTable[[#This Row],[JAMMA]]="YES","JAMMA","")&amp;
IF(GamesTable[[#This Row],[MVS]]="YES","MVS","")&amp;
IF(GamesTable[[#This Row],[AES]]="YES","AES","")&amp;
IF(GamesTable[[#This Row],[NGCD]]="YES","NGCD","")&amp;
IF(GamesTable[[#This Row],[ROM]]="YES","ROM","")</f>
        <v>MVS</v>
      </c>
      <c r="S144" t="s">
        <v>10174</v>
      </c>
      <c r="T144" t="s">
        <v>10173</v>
      </c>
      <c r="U144" t="s">
        <v>10174</v>
      </c>
      <c r="V144" t="s">
        <v>10174</v>
      </c>
      <c r="AB144" t="s">
        <v>6719</v>
      </c>
    </row>
    <row r="145" spans="1:28" x14ac:dyDescent="0.25">
      <c r="A145" t="s">
        <v>9836</v>
      </c>
      <c r="C145" t="s">
        <v>7871</v>
      </c>
      <c r="D145" t="s">
        <v>7993</v>
      </c>
      <c r="E145" t="s">
        <v>1239</v>
      </c>
      <c r="F145" t="s">
        <v>4799</v>
      </c>
      <c r="G145" t="s">
        <v>4790</v>
      </c>
      <c r="I145">
        <v>51692</v>
      </c>
      <c r="J145">
        <v>79576</v>
      </c>
      <c r="K145" t="s">
        <v>9086</v>
      </c>
      <c r="L145" t="s">
        <v>9088</v>
      </c>
      <c r="M145" s="33" t="s">
        <v>9753</v>
      </c>
      <c r="N145" s="34"/>
      <c r="O145" s="34"/>
      <c r="P145">
        <v>80</v>
      </c>
      <c r="Q145">
        <v>122</v>
      </c>
      <c r="R145" t="str">
        <f xml:space="preserve">
IF(GamesTable[[#This Row],[JAMMA]]="YES","JAMMA","")&amp;
IF(GamesTable[[#This Row],[MVS]]="YES","MVS","")&amp;
IF(GamesTable[[#This Row],[AES]]="YES","AES","")&amp;
IF(GamesTable[[#This Row],[NGCD]]="YES","NGCD","")&amp;
IF(GamesTable[[#This Row],[ROM]]="YES","ROM","")</f>
        <v>MVSNGCD</v>
      </c>
      <c r="S145" t="s">
        <v>10174</v>
      </c>
      <c r="T145" t="s">
        <v>10173</v>
      </c>
      <c r="U145" t="s">
        <v>10174</v>
      </c>
      <c r="V145" t="s">
        <v>10173</v>
      </c>
      <c r="AB145" t="s">
        <v>4761</v>
      </c>
    </row>
    <row r="146" spans="1:28" x14ac:dyDescent="0.25">
      <c r="A146" t="s">
        <v>9836</v>
      </c>
      <c r="C146" t="s">
        <v>7869</v>
      </c>
      <c r="D146" t="s">
        <v>7991</v>
      </c>
      <c r="E146" t="s">
        <v>5639</v>
      </c>
      <c r="F146" t="s">
        <v>1912</v>
      </c>
      <c r="G146" t="s">
        <v>6074</v>
      </c>
      <c r="I146">
        <v>64009</v>
      </c>
      <c r="J146">
        <v>79579</v>
      </c>
      <c r="K146" t="s">
        <v>9086</v>
      </c>
      <c r="L146" t="s">
        <v>9088</v>
      </c>
      <c r="M146" s="33" t="s">
        <v>9753</v>
      </c>
      <c r="N146" s="34"/>
      <c r="O146" s="34"/>
      <c r="P146">
        <v>42</v>
      </c>
      <c r="Q146">
        <v>50</v>
      </c>
      <c r="R146" t="str">
        <f xml:space="preserve">
IF(GamesTable[[#This Row],[JAMMA]]="YES","JAMMA","")&amp;
IF(GamesTable[[#This Row],[MVS]]="YES","MVS","")&amp;
IF(GamesTable[[#This Row],[AES]]="YES","AES","")&amp;
IF(GamesTable[[#This Row],[NGCD]]="YES","NGCD","")&amp;
IF(GamesTable[[#This Row],[ROM]]="YES","ROM","")</f>
        <v>MVS</v>
      </c>
      <c r="S146" t="s">
        <v>10174</v>
      </c>
      <c r="T146" t="s">
        <v>10173</v>
      </c>
      <c r="U146" t="s">
        <v>10174</v>
      </c>
      <c r="V146" t="s">
        <v>10174</v>
      </c>
      <c r="AB146" t="s">
        <v>6084</v>
      </c>
    </row>
    <row r="147" spans="1:28" x14ac:dyDescent="0.25">
      <c r="A147" t="s">
        <v>9836</v>
      </c>
      <c r="C147" t="s">
        <v>7878</v>
      </c>
      <c r="D147" t="s">
        <v>7997</v>
      </c>
      <c r="E147" t="s">
        <v>547</v>
      </c>
      <c r="F147" t="s">
        <v>1700</v>
      </c>
      <c r="G147" t="s">
        <v>1689</v>
      </c>
      <c r="H147" t="s">
        <v>8087</v>
      </c>
      <c r="I147">
        <v>39589</v>
      </c>
      <c r="J147">
        <v>79655</v>
      </c>
      <c r="K147" t="s">
        <v>9086</v>
      </c>
      <c r="L147" t="s">
        <v>9088</v>
      </c>
      <c r="M147" s="33" t="s">
        <v>9753</v>
      </c>
      <c r="N147" s="34" t="s">
        <v>9878</v>
      </c>
      <c r="O147" s="34">
        <v>33</v>
      </c>
      <c r="P147">
        <v>264</v>
      </c>
      <c r="Q147">
        <v>564</v>
      </c>
      <c r="R147" t="str">
        <f xml:space="preserve">
IF(GamesTable[[#This Row],[JAMMA]]="YES","JAMMA","")&amp;
IF(GamesTable[[#This Row],[MVS]]="YES","MVS","")&amp;
IF(GamesTable[[#This Row],[AES]]="YES","AES","")&amp;
IF(GamesTable[[#This Row],[NGCD]]="YES","NGCD","")&amp;
IF(GamesTable[[#This Row],[ROM]]="YES","ROM","")</f>
        <v>MVS</v>
      </c>
      <c r="S147" t="s">
        <v>10174</v>
      </c>
      <c r="T147" t="s">
        <v>10173</v>
      </c>
      <c r="U147" t="s">
        <v>10174</v>
      </c>
      <c r="V147" t="s">
        <v>10174</v>
      </c>
      <c r="AB147" t="s">
        <v>1694</v>
      </c>
    </row>
    <row r="148" spans="1:28" x14ac:dyDescent="0.25">
      <c r="A148" t="s">
        <v>9836</v>
      </c>
      <c r="C148" t="s">
        <v>7872</v>
      </c>
      <c r="D148" t="s">
        <v>8131</v>
      </c>
      <c r="E148" t="s">
        <v>1280</v>
      </c>
      <c r="F148" t="s">
        <v>2520</v>
      </c>
      <c r="G148" t="s">
        <v>9795</v>
      </c>
      <c r="H148" t="s">
        <v>8131</v>
      </c>
      <c r="I148">
        <v>40201</v>
      </c>
      <c r="J148">
        <v>79656</v>
      </c>
      <c r="K148" t="s">
        <v>9086</v>
      </c>
      <c r="L148" t="s">
        <v>9088</v>
      </c>
      <c r="M148" s="33" t="s">
        <v>9753</v>
      </c>
      <c r="N148" s="34" t="s">
        <v>9879</v>
      </c>
      <c r="O148" s="34">
        <v>30</v>
      </c>
      <c r="P148">
        <v>218</v>
      </c>
      <c r="Q148">
        <v>338</v>
      </c>
      <c r="R148" t="str">
        <f xml:space="preserve">
IF(GamesTable[[#This Row],[JAMMA]]="YES","JAMMA","")&amp;
IF(GamesTable[[#This Row],[MVS]]="YES","MVS","")&amp;
IF(GamesTable[[#This Row],[AES]]="YES","AES","")&amp;
IF(GamesTable[[#This Row],[NGCD]]="YES","NGCD","")&amp;
IF(GamesTable[[#This Row],[ROM]]="YES","ROM","")</f>
        <v>MVSNGCD</v>
      </c>
      <c r="S148" t="s">
        <v>10174</v>
      </c>
      <c r="T148" t="s">
        <v>10173</v>
      </c>
      <c r="U148" t="s">
        <v>10174</v>
      </c>
      <c r="V148" t="s">
        <v>10173</v>
      </c>
      <c r="AB148" t="s">
        <v>3516</v>
      </c>
    </row>
    <row r="149" spans="1:28" x14ac:dyDescent="0.25">
      <c r="A149" t="s">
        <v>9836</v>
      </c>
      <c r="C149" t="s">
        <v>8161</v>
      </c>
      <c r="D149" t="s">
        <v>8162</v>
      </c>
      <c r="E149">
        <v>2014</v>
      </c>
      <c r="F149" t="s">
        <v>86</v>
      </c>
      <c r="H149" t="s">
        <v>8163</v>
      </c>
      <c r="I149">
        <v>75512</v>
      </c>
      <c r="J149">
        <v>252977</v>
      </c>
      <c r="K149" t="s">
        <v>9041</v>
      </c>
      <c r="L149" t="s">
        <v>9897</v>
      </c>
      <c r="M149" s="33"/>
      <c r="N149" s="34"/>
      <c r="O149" s="34"/>
      <c r="Q149">
        <v>1560</v>
      </c>
      <c r="R149" t="str">
        <f xml:space="preserve">
IF(GamesTable[[#This Row],[JAMMA]]="YES","JAMMA","")&amp;
IF(GamesTable[[#This Row],[MVS]]="YES","MVS","")&amp;
IF(GamesTable[[#This Row],[AES]]="YES","AES","")&amp;
IF(GamesTable[[#This Row],[NGCD]]="YES","NGCD","")&amp;
IF(GamesTable[[#This Row],[ROM]]="YES","ROM","")</f>
        <v/>
      </c>
    </row>
    <row r="150" spans="1:28" x14ac:dyDescent="0.25">
      <c r="A150" t="s">
        <v>9836</v>
      </c>
      <c r="C150" t="s">
        <v>7873</v>
      </c>
      <c r="D150" t="s">
        <v>9796</v>
      </c>
      <c r="E150" t="s">
        <v>1239</v>
      </c>
      <c r="F150" t="s">
        <v>1912</v>
      </c>
      <c r="G150" t="s">
        <v>9797</v>
      </c>
      <c r="H150" t="s">
        <v>8082</v>
      </c>
      <c r="I150">
        <v>39520</v>
      </c>
      <c r="J150">
        <v>79707</v>
      </c>
      <c r="K150" t="s">
        <v>9086</v>
      </c>
      <c r="L150" t="s">
        <v>9088</v>
      </c>
      <c r="M150" s="33" t="s">
        <v>9753</v>
      </c>
      <c r="N150" s="34" t="s">
        <v>9880</v>
      </c>
      <c r="O150" s="34">
        <v>30</v>
      </c>
      <c r="P150">
        <v>95</v>
      </c>
      <c r="Q150">
        <v>346</v>
      </c>
      <c r="R150" t="str">
        <f xml:space="preserve">
IF(GamesTable[[#This Row],[JAMMA]]="YES","JAMMA","")&amp;
IF(GamesTable[[#This Row],[MVS]]="YES","MVS","")&amp;
IF(GamesTable[[#This Row],[AES]]="YES","AES","")&amp;
IF(GamesTable[[#This Row],[NGCD]]="YES","NGCD","")&amp;
IF(GamesTable[[#This Row],[ROM]]="YES","ROM","")</f>
        <v>MVSNGCD</v>
      </c>
      <c r="S150" t="s">
        <v>10174</v>
      </c>
      <c r="T150" t="s">
        <v>10173</v>
      </c>
      <c r="U150" t="s">
        <v>10174</v>
      </c>
      <c r="V150" t="s">
        <v>10173</v>
      </c>
      <c r="AB150" t="s">
        <v>4115</v>
      </c>
    </row>
    <row r="151" spans="1:28" x14ac:dyDescent="0.25">
      <c r="A151" t="s">
        <v>9836</v>
      </c>
      <c r="C151" t="s">
        <v>7874</v>
      </c>
      <c r="D151" t="s">
        <v>9798</v>
      </c>
      <c r="E151" t="s">
        <v>1101</v>
      </c>
      <c r="F151" t="s">
        <v>1912</v>
      </c>
      <c r="G151" t="s">
        <v>9799</v>
      </c>
      <c r="H151" t="s">
        <v>8083</v>
      </c>
      <c r="I151">
        <v>46787</v>
      </c>
      <c r="J151">
        <v>79709</v>
      </c>
      <c r="K151" t="s">
        <v>9086</v>
      </c>
      <c r="L151" t="s">
        <v>9088</v>
      </c>
      <c r="M151" s="33"/>
      <c r="N151" s="34" t="s">
        <v>9881</v>
      </c>
      <c r="O151" s="34">
        <v>33</v>
      </c>
      <c r="P151">
        <v>240</v>
      </c>
      <c r="Q151">
        <v>539</v>
      </c>
      <c r="R151" t="str">
        <f xml:space="preserve">
IF(GamesTable[[#This Row],[JAMMA]]="YES","JAMMA","")&amp;
IF(GamesTable[[#This Row],[MVS]]="YES","MVS","")&amp;
IF(GamesTable[[#This Row],[AES]]="YES","AES","")&amp;
IF(GamesTable[[#This Row],[NGCD]]="YES","NGCD","")&amp;
IF(GamesTable[[#This Row],[ROM]]="YES","ROM","")</f>
        <v>MVSNGCD</v>
      </c>
      <c r="S151" t="s">
        <v>10174</v>
      </c>
      <c r="T151" t="s">
        <v>10173</v>
      </c>
      <c r="U151" t="s">
        <v>10174</v>
      </c>
      <c r="V151" t="s">
        <v>10173</v>
      </c>
      <c r="AB151" t="s">
        <v>2789</v>
      </c>
    </row>
    <row r="152" spans="1:28" x14ac:dyDescent="0.25">
      <c r="A152" t="s">
        <v>9836</v>
      </c>
      <c r="C152" t="s">
        <v>7875</v>
      </c>
      <c r="D152" t="s">
        <v>9800</v>
      </c>
      <c r="E152" t="s">
        <v>1280</v>
      </c>
      <c r="F152" t="s">
        <v>1912</v>
      </c>
      <c r="G152" t="s">
        <v>9801</v>
      </c>
      <c r="H152" t="s">
        <v>8084</v>
      </c>
      <c r="I152">
        <v>39521</v>
      </c>
      <c r="J152">
        <v>79710</v>
      </c>
      <c r="K152" t="s">
        <v>9086</v>
      </c>
      <c r="L152" t="s">
        <v>9088</v>
      </c>
      <c r="M152" s="33"/>
      <c r="N152" s="34" t="s">
        <v>9882</v>
      </c>
      <c r="O152" s="34">
        <v>30</v>
      </c>
      <c r="P152">
        <v>223</v>
      </c>
      <c r="Q152">
        <v>394</v>
      </c>
      <c r="R152" t="str">
        <f xml:space="preserve">
IF(GamesTable[[#This Row],[JAMMA]]="YES","JAMMA","")&amp;
IF(GamesTable[[#This Row],[MVS]]="YES","MVS","")&amp;
IF(GamesTable[[#This Row],[AES]]="YES","AES","")&amp;
IF(GamesTable[[#This Row],[NGCD]]="YES","NGCD","")&amp;
IF(GamesTable[[#This Row],[ROM]]="YES","ROM","")</f>
        <v>MVSNGCD</v>
      </c>
      <c r="S152" t="s">
        <v>10174</v>
      </c>
      <c r="T152" t="s">
        <v>10173</v>
      </c>
      <c r="U152" t="s">
        <v>10174</v>
      </c>
      <c r="V152" t="s">
        <v>10173</v>
      </c>
      <c r="AB152" t="s">
        <v>3320</v>
      </c>
    </row>
    <row r="153" spans="1:28" x14ac:dyDescent="0.25">
      <c r="A153" t="s">
        <v>9836</v>
      </c>
      <c r="C153" t="s">
        <v>7876</v>
      </c>
      <c r="D153" t="s">
        <v>7996</v>
      </c>
      <c r="E153" t="s">
        <v>3906</v>
      </c>
      <c r="F153" t="s">
        <v>1912</v>
      </c>
      <c r="G153" t="s">
        <v>7480</v>
      </c>
      <c r="H153" t="s">
        <v>8085</v>
      </c>
      <c r="I153">
        <v>39961</v>
      </c>
      <c r="J153">
        <v>29885</v>
      </c>
      <c r="K153" t="s">
        <v>9086</v>
      </c>
      <c r="L153" t="s">
        <v>9088</v>
      </c>
      <c r="M153" s="33"/>
      <c r="N153" s="34"/>
      <c r="O153" s="34"/>
      <c r="P153">
        <v>6</v>
      </c>
      <c r="Q153">
        <v>46</v>
      </c>
      <c r="R153" t="str">
        <f xml:space="preserve">
IF(GamesTable[[#This Row],[JAMMA]]="YES","JAMMA","")&amp;
IF(GamesTable[[#This Row],[MVS]]="YES","MVS","")&amp;
IF(GamesTable[[#This Row],[AES]]="YES","AES","")&amp;
IF(GamesTable[[#This Row],[NGCD]]="YES","NGCD","")&amp;
IF(GamesTable[[#This Row],[ROM]]="YES","ROM","")</f>
        <v>MVSNGCD</v>
      </c>
      <c r="S153" t="s">
        <v>10174</v>
      </c>
      <c r="T153" t="s">
        <v>10173</v>
      </c>
      <c r="U153" t="s">
        <v>10174</v>
      </c>
      <c r="V153" t="s">
        <v>10173</v>
      </c>
      <c r="AB153" t="s">
        <v>7487</v>
      </c>
    </row>
    <row r="154" spans="1:28" x14ac:dyDescent="0.25">
      <c r="A154" t="s">
        <v>9836</v>
      </c>
      <c r="C154" t="s">
        <v>7877</v>
      </c>
      <c r="D154" t="s">
        <v>6446</v>
      </c>
      <c r="E154" t="s">
        <v>6279</v>
      </c>
      <c r="F154" t="s">
        <v>1912</v>
      </c>
      <c r="G154" t="s">
        <v>6432</v>
      </c>
      <c r="H154" t="s">
        <v>8086</v>
      </c>
      <c r="I154">
        <v>46786</v>
      </c>
      <c r="J154">
        <v>79803</v>
      </c>
      <c r="K154" t="s">
        <v>9086</v>
      </c>
      <c r="L154" t="s">
        <v>9088</v>
      </c>
      <c r="M154" s="33"/>
      <c r="N154" s="34"/>
      <c r="O154" s="34"/>
      <c r="P154">
        <v>32</v>
      </c>
      <c r="Q154">
        <v>45</v>
      </c>
      <c r="R154" t="str">
        <f xml:space="preserve">
IF(GamesTable[[#This Row],[JAMMA]]="YES","JAMMA","")&amp;
IF(GamesTable[[#This Row],[MVS]]="YES","MVS","")&amp;
IF(GamesTable[[#This Row],[AES]]="YES","AES","")&amp;
IF(GamesTable[[#This Row],[NGCD]]="YES","NGCD","")&amp;
IF(GamesTable[[#This Row],[ROM]]="YES","ROM","")</f>
        <v>MVSNGCD</v>
      </c>
      <c r="S154" t="s">
        <v>10174</v>
      </c>
      <c r="T154" t="s">
        <v>10173</v>
      </c>
      <c r="U154" t="s">
        <v>10174</v>
      </c>
      <c r="V154" t="s">
        <v>10173</v>
      </c>
      <c r="AB154" t="s">
        <v>6447</v>
      </c>
    </row>
    <row r="155" spans="1:28" x14ac:dyDescent="0.25">
      <c r="A155" t="s">
        <v>9836</v>
      </c>
      <c r="C155" t="s">
        <v>9737</v>
      </c>
      <c r="D155" t="s">
        <v>9736</v>
      </c>
      <c r="E155">
        <v>2009</v>
      </c>
      <c r="F155" t="s">
        <v>9738</v>
      </c>
      <c r="K155" t="s">
        <v>8986</v>
      </c>
      <c r="L155" t="s">
        <v>9089</v>
      </c>
      <c r="M155" s="33"/>
      <c r="N155" s="34"/>
      <c r="O155" s="34"/>
      <c r="R155" t="str">
        <f xml:space="preserve">
IF(GamesTable[[#This Row],[JAMMA]]="YES","JAMMA","")&amp;
IF(GamesTable[[#This Row],[MVS]]="YES","MVS","")&amp;
IF(GamesTable[[#This Row],[AES]]="YES","AES","")&amp;
IF(GamesTable[[#This Row],[NGCD]]="YES","NGCD","")&amp;
IF(GamesTable[[#This Row],[ROM]]="YES","ROM","")</f>
        <v/>
      </c>
    </row>
    <row r="156" spans="1:28" x14ac:dyDescent="0.25">
      <c r="A156" t="s">
        <v>9836</v>
      </c>
      <c r="C156" t="s">
        <v>7881</v>
      </c>
      <c r="D156" t="s">
        <v>9842</v>
      </c>
      <c r="E156" t="s">
        <v>5315</v>
      </c>
      <c r="F156" t="s">
        <v>1912</v>
      </c>
      <c r="G156" t="s">
        <v>9843</v>
      </c>
      <c r="H156" t="s">
        <v>8136</v>
      </c>
      <c r="I156">
        <v>4260</v>
      </c>
      <c r="J156">
        <v>79932</v>
      </c>
      <c r="K156" t="s">
        <v>9086</v>
      </c>
      <c r="L156" t="s">
        <v>9088</v>
      </c>
      <c r="M156" s="33" t="s">
        <v>9753</v>
      </c>
      <c r="N156" s="34" t="s">
        <v>9883</v>
      </c>
      <c r="O156" s="34">
        <v>50</v>
      </c>
      <c r="P156">
        <v>45</v>
      </c>
      <c r="Q156">
        <v>118</v>
      </c>
      <c r="R156" t="str">
        <f xml:space="preserve">
IF(GamesTable[[#This Row],[JAMMA]]="YES","JAMMA","")&amp;
IF(GamesTable[[#This Row],[MVS]]="YES","MVS","")&amp;
IF(GamesTable[[#This Row],[AES]]="YES","AES","")&amp;
IF(GamesTable[[#This Row],[NGCD]]="YES","NGCD","")&amp;
IF(GamesTable[[#This Row],[ROM]]="YES","ROM","")</f>
        <v>MVSNGCD</v>
      </c>
      <c r="S156" t="s">
        <v>10174</v>
      </c>
      <c r="T156" t="s">
        <v>10173</v>
      </c>
      <c r="U156" t="s">
        <v>10174</v>
      </c>
      <c r="V156" t="s">
        <v>10173</v>
      </c>
      <c r="AB156" t="s">
        <v>5970</v>
      </c>
    </row>
    <row r="157" spans="1:28" x14ac:dyDescent="0.25">
      <c r="A157" t="s">
        <v>9836</v>
      </c>
      <c r="C157" t="s">
        <v>7922</v>
      </c>
      <c r="D157" t="s">
        <v>9844</v>
      </c>
      <c r="E157" t="s">
        <v>393</v>
      </c>
      <c r="F157" t="s">
        <v>1912</v>
      </c>
      <c r="G157" t="s">
        <v>9845</v>
      </c>
      <c r="H157" t="s">
        <v>8123</v>
      </c>
      <c r="I157">
        <v>19986</v>
      </c>
      <c r="J157">
        <v>79934</v>
      </c>
      <c r="K157" t="s">
        <v>9086</v>
      </c>
      <c r="L157" t="s">
        <v>9088</v>
      </c>
      <c r="M157" s="33" t="s">
        <v>9753</v>
      </c>
      <c r="N157" s="34" t="s">
        <v>9884</v>
      </c>
      <c r="O157" s="34">
        <v>30</v>
      </c>
      <c r="P157">
        <v>63</v>
      </c>
      <c r="Q157">
        <v>202</v>
      </c>
      <c r="R157" t="str">
        <f xml:space="preserve">
IF(GamesTable[[#This Row],[JAMMA]]="YES","JAMMA","")&amp;
IF(GamesTable[[#This Row],[MVS]]="YES","MVS","")&amp;
IF(GamesTable[[#This Row],[AES]]="YES","AES","")&amp;
IF(GamesTable[[#This Row],[NGCD]]="YES","NGCD","")&amp;
IF(GamesTable[[#This Row],[ROM]]="YES","ROM","")</f>
        <v>MVSNGCD</v>
      </c>
      <c r="S157" t="s">
        <v>10174</v>
      </c>
      <c r="T157" t="s">
        <v>10173</v>
      </c>
      <c r="U157" t="s">
        <v>10174</v>
      </c>
      <c r="V157" t="s">
        <v>10173</v>
      </c>
      <c r="AB157" t="s">
        <v>5248</v>
      </c>
    </row>
    <row r="158" spans="1:28" x14ac:dyDescent="0.25">
      <c r="A158" t="s">
        <v>9836</v>
      </c>
      <c r="C158" t="s">
        <v>7923</v>
      </c>
      <c r="D158" t="s">
        <v>9846</v>
      </c>
      <c r="E158" t="s">
        <v>1239</v>
      </c>
      <c r="F158" t="s">
        <v>1912</v>
      </c>
      <c r="G158" t="s">
        <v>9847</v>
      </c>
      <c r="H158" t="s">
        <v>8041</v>
      </c>
      <c r="I158">
        <v>19987</v>
      </c>
      <c r="J158">
        <v>79935</v>
      </c>
      <c r="K158" t="s">
        <v>9086</v>
      </c>
      <c r="L158" t="s">
        <v>9088</v>
      </c>
      <c r="M158" s="33" t="s">
        <v>9753</v>
      </c>
      <c r="N158" s="34" t="s">
        <v>9885</v>
      </c>
      <c r="O158" s="34">
        <v>40</v>
      </c>
      <c r="P158">
        <v>87</v>
      </c>
      <c r="Q158">
        <v>282</v>
      </c>
      <c r="R158" t="str">
        <f xml:space="preserve">
IF(GamesTable[[#This Row],[JAMMA]]="YES","JAMMA","")&amp;
IF(GamesTable[[#This Row],[MVS]]="YES","MVS","")&amp;
IF(GamesTable[[#This Row],[AES]]="YES","AES","")&amp;
IF(GamesTable[[#This Row],[NGCD]]="YES","NGCD","")&amp;
IF(GamesTable[[#This Row],[ROM]]="YES","ROM","")</f>
        <v>MVSNGCD</v>
      </c>
      <c r="S158" t="s">
        <v>10174</v>
      </c>
      <c r="T158" t="s">
        <v>10173</v>
      </c>
      <c r="U158" t="s">
        <v>10174</v>
      </c>
      <c r="V158" t="s">
        <v>10173</v>
      </c>
      <c r="AB158" t="s">
        <v>4488</v>
      </c>
    </row>
    <row r="159" spans="1:28" x14ac:dyDescent="0.25">
      <c r="A159" t="s">
        <v>9836</v>
      </c>
      <c r="C159" t="s">
        <v>7924</v>
      </c>
      <c r="D159" t="s">
        <v>9848</v>
      </c>
      <c r="E159" t="s">
        <v>1280</v>
      </c>
      <c r="F159" t="s">
        <v>1912</v>
      </c>
      <c r="G159" t="s">
        <v>9849</v>
      </c>
      <c r="H159" t="s">
        <v>8137</v>
      </c>
      <c r="I159">
        <v>19988</v>
      </c>
      <c r="J159">
        <v>79936</v>
      </c>
      <c r="K159" t="s">
        <v>9086</v>
      </c>
      <c r="L159" t="s">
        <v>9088</v>
      </c>
      <c r="M159" s="33" t="s">
        <v>9753</v>
      </c>
      <c r="N159" s="34" t="s">
        <v>9886</v>
      </c>
      <c r="O159" s="34">
        <v>30</v>
      </c>
      <c r="P159">
        <v>222</v>
      </c>
      <c r="Q159">
        <v>378</v>
      </c>
      <c r="R159" t="str">
        <f xml:space="preserve">
IF(GamesTable[[#This Row],[JAMMA]]="YES","JAMMA","")&amp;
IF(GamesTable[[#This Row],[MVS]]="YES","MVS","")&amp;
IF(GamesTable[[#This Row],[AES]]="YES","AES","")&amp;
IF(GamesTable[[#This Row],[NGCD]]="YES","NGCD","")&amp;
IF(GamesTable[[#This Row],[ROM]]="YES","ROM","")</f>
        <v>MVSNGCD</v>
      </c>
      <c r="S159" t="s">
        <v>10174</v>
      </c>
      <c r="T159" t="s">
        <v>10173</v>
      </c>
      <c r="U159" t="s">
        <v>10174</v>
      </c>
      <c r="V159" t="s">
        <v>10173</v>
      </c>
      <c r="AB159" t="s">
        <v>3375</v>
      </c>
    </row>
    <row r="160" spans="1:28" x14ac:dyDescent="0.25">
      <c r="A160" t="s">
        <v>9836</v>
      </c>
      <c r="C160" t="s">
        <v>7925</v>
      </c>
      <c r="D160" t="s">
        <v>9850</v>
      </c>
      <c r="E160" t="s">
        <v>195</v>
      </c>
      <c r="F160" t="s">
        <v>1374</v>
      </c>
      <c r="G160" t="s">
        <v>9851</v>
      </c>
      <c r="H160" t="s">
        <v>8090</v>
      </c>
      <c r="I160">
        <v>6026</v>
      </c>
      <c r="J160">
        <v>79937</v>
      </c>
      <c r="K160" t="s">
        <v>9086</v>
      </c>
      <c r="L160" t="s">
        <v>9088</v>
      </c>
      <c r="M160" s="33"/>
      <c r="N160" s="34" t="s">
        <v>9887</v>
      </c>
      <c r="O160" s="34">
        <v>40</v>
      </c>
      <c r="P160">
        <v>270</v>
      </c>
      <c r="Q160">
        <v>708</v>
      </c>
      <c r="R160" t="str">
        <f xml:space="preserve">
IF(GamesTable[[#This Row],[JAMMA]]="YES","JAMMA","")&amp;
IF(GamesTable[[#This Row],[MVS]]="YES","MVS","")&amp;
IF(GamesTable[[#This Row],[AES]]="YES","AES","")&amp;
IF(GamesTable[[#This Row],[NGCD]]="YES","NGCD","")&amp;
IF(GamesTable[[#This Row],[ROM]]="YES","ROM","")</f>
        <v>MVS</v>
      </c>
      <c r="S160" t="s">
        <v>10174</v>
      </c>
      <c r="T160" t="s">
        <v>10173</v>
      </c>
      <c r="U160" t="s">
        <v>10174</v>
      </c>
      <c r="V160" t="s">
        <v>10174</v>
      </c>
      <c r="AB160" t="s">
        <v>270</v>
      </c>
    </row>
    <row r="161" spans="1:28" x14ac:dyDescent="0.25">
      <c r="A161" t="s">
        <v>9836</v>
      </c>
      <c r="C161" t="s">
        <v>7880</v>
      </c>
      <c r="D161" t="s">
        <v>9852</v>
      </c>
      <c r="E161" t="s">
        <v>143</v>
      </c>
      <c r="F161" t="s">
        <v>1374</v>
      </c>
      <c r="G161" t="s">
        <v>9853</v>
      </c>
      <c r="H161" t="s">
        <v>8089</v>
      </c>
      <c r="I161">
        <v>39566</v>
      </c>
      <c r="J161">
        <v>79939</v>
      </c>
      <c r="K161" t="s">
        <v>9086</v>
      </c>
      <c r="L161" t="s">
        <v>9088</v>
      </c>
      <c r="M161" s="33"/>
      <c r="N161" s="34" t="s">
        <v>9888</v>
      </c>
      <c r="O161" s="34">
        <v>35</v>
      </c>
      <c r="P161">
        <v>272</v>
      </c>
      <c r="Q161">
        <v>708</v>
      </c>
      <c r="R161" t="str">
        <f xml:space="preserve">
IF(GamesTable[[#This Row],[JAMMA]]="YES","JAMMA","")&amp;
IF(GamesTable[[#This Row],[MVS]]="YES","MVS","")&amp;
IF(GamesTable[[#This Row],[AES]]="YES","AES","")&amp;
IF(GamesTable[[#This Row],[NGCD]]="YES","NGCD","")&amp;
IF(GamesTable[[#This Row],[ROM]]="YES","ROM","")</f>
        <v>MVS</v>
      </c>
      <c r="S161" t="s">
        <v>10174</v>
      </c>
      <c r="T161" t="s">
        <v>10173</v>
      </c>
      <c r="U161" t="s">
        <v>10174</v>
      </c>
      <c r="V161" t="s">
        <v>10174</v>
      </c>
      <c r="AB161" t="s">
        <v>1367</v>
      </c>
    </row>
    <row r="162" spans="1:28" x14ac:dyDescent="0.25">
      <c r="A162" t="s">
        <v>9836</v>
      </c>
      <c r="C162" t="s">
        <v>10171</v>
      </c>
      <c r="D162" t="s">
        <v>10155</v>
      </c>
      <c r="E162">
        <v>1995</v>
      </c>
      <c r="F162" t="s">
        <v>1912</v>
      </c>
      <c r="J162">
        <v>247123</v>
      </c>
      <c r="K162" t="s">
        <v>9086</v>
      </c>
      <c r="L162" t="s">
        <v>9088</v>
      </c>
      <c r="M162" s="57" t="s">
        <v>9753</v>
      </c>
      <c r="N162" s="34"/>
      <c r="O162" s="34"/>
      <c r="P162">
        <v>85</v>
      </c>
      <c r="R162" t="str">
        <f xml:space="preserve">
IF(GamesTable[[#This Row],[JAMMA]]="YES","JAMMA","")&amp;
IF(GamesTable[[#This Row],[MVS]]="YES","MVS","")&amp;
IF(GamesTable[[#This Row],[AES]]="YES","AES","")&amp;
IF(GamesTable[[#This Row],[NGCD]]="YES","NGCD","")&amp;
IF(GamesTable[[#This Row],[ROM]]="YES","ROM","")</f>
        <v>NGCD</v>
      </c>
      <c r="S162" t="s">
        <v>10174</v>
      </c>
      <c r="T162" t="s">
        <v>10174</v>
      </c>
      <c r="U162" t="s">
        <v>10174</v>
      </c>
      <c r="V162" t="s">
        <v>10173</v>
      </c>
    </row>
    <row r="163" spans="1:28" x14ac:dyDescent="0.25">
      <c r="A163" t="s">
        <v>9836</v>
      </c>
      <c r="C163" t="s">
        <v>9051</v>
      </c>
      <c r="D163" t="s">
        <v>9044</v>
      </c>
      <c r="E163">
        <v>2015</v>
      </c>
      <c r="F163" t="s">
        <v>9047</v>
      </c>
      <c r="K163" t="s">
        <v>8986</v>
      </c>
      <c r="L163" t="s">
        <v>9089</v>
      </c>
      <c r="M163" s="33"/>
      <c r="N163" s="34"/>
      <c r="O163" s="34"/>
      <c r="R163" t="str">
        <f xml:space="preserve">
IF(GamesTable[[#This Row],[JAMMA]]="YES","JAMMA","")&amp;
IF(GamesTable[[#This Row],[MVS]]="YES","MVS","")&amp;
IF(GamesTable[[#This Row],[AES]]="YES","AES","")&amp;
IF(GamesTable[[#This Row],[NGCD]]="YES","NGCD","")&amp;
IF(GamesTable[[#This Row],[ROM]]="YES","ROM","")</f>
        <v/>
      </c>
    </row>
    <row r="164" spans="1:28" x14ac:dyDescent="0.25">
      <c r="A164" t="s">
        <v>9836</v>
      </c>
      <c r="C164" t="s">
        <v>7882</v>
      </c>
      <c r="D164" t="s">
        <v>9802</v>
      </c>
      <c r="E164" t="s">
        <v>1239</v>
      </c>
      <c r="F164" t="s">
        <v>1912</v>
      </c>
      <c r="G164" t="s">
        <v>9803</v>
      </c>
      <c r="H164" t="s">
        <v>8138</v>
      </c>
      <c r="I164">
        <v>39565</v>
      </c>
      <c r="J164">
        <v>79969</v>
      </c>
      <c r="K164" t="s">
        <v>9086</v>
      </c>
      <c r="L164" t="s">
        <v>9088</v>
      </c>
      <c r="M164" s="33"/>
      <c r="N164" s="34"/>
      <c r="O164" s="34"/>
      <c r="P164">
        <v>59</v>
      </c>
      <c r="Q164">
        <v>190</v>
      </c>
      <c r="R164" t="str">
        <f xml:space="preserve">
IF(GamesTable[[#This Row],[JAMMA]]="YES","JAMMA","")&amp;
IF(GamesTable[[#This Row],[MVS]]="YES","MVS","")&amp;
IF(GamesTable[[#This Row],[AES]]="YES","AES","")&amp;
IF(GamesTable[[#This Row],[NGCD]]="YES","NGCD","")&amp;
IF(GamesTable[[#This Row],[ROM]]="YES","ROM","")</f>
        <v>MVSNGCD</v>
      </c>
      <c r="S164" t="s">
        <v>10174</v>
      </c>
      <c r="T164" t="s">
        <v>10173</v>
      </c>
      <c r="U164" t="s">
        <v>10174</v>
      </c>
      <c r="V164" t="s">
        <v>10173</v>
      </c>
      <c r="AB164" t="s">
        <v>5410</v>
      </c>
    </row>
    <row r="165" spans="1:28" x14ac:dyDescent="0.25">
      <c r="A165" t="s">
        <v>9836</v>
      </c>
      <c r="C165" t="s">
        <v>7885</v>
      </c>
      <c r="D165" t="s">
        <v>8217</v>
      </c>
      <c r="E165" t="s">
        <v>6279</v>
      </c>
      <c r="F165" t="s">
        <v>1912</v>
      </c>
      <c r="G165" t="s">
        <v>9804</v>
      </c>
      <c r="H165" t="s">
        <v>8121</v>
      </c>
      <c r="I165">
        <v>5433</v>
      </c>
      <c r="J165">
        <v>80051</v>
      </c>
      <c r="K165" t="s">
        <v>9086</v>
      </c>
      <c r="L165" t="s">
        <v>9088</v>
      </c>
      <c r="M165" s="33"/>
      <c r="N165" s="34"/>
      <c r="O165" s="34"/>
      <c r="P165">
        <v>17</v>
      </c>
      <c r="Q165">
        <v>55</v>
      </c>
      <c r="R165" t="str">
        <f xml:space="preserve">
IF(GamesTable[[#This Row],[JAMMA]]="YES","JAMMA","")&amp;
IF(GamesTable[[#This Row],[MVS]]="YES","MVS","")&amp;
IF(GamesTable[[#This Row],[AES]]="YES","AES","")&amp;
IF(GamesTable[[#This Row],[NGCD]]="YES","NGCD","")&amp;
IF(GamesTable[[#This Row],[ROM]]="YES","ROM","")</f>
        <v>MVSNGCD</v>
      </c>
      <c r="S165" t="s">
        <v>10174</v>
      </c>
      <c r="T165" t="s">
        <v>10173</v>
      </c>
      <c r="U165" t="s">
        <v>10174</v>
      </c>
      <c r="V165" t="s">
        <v>10173</v>
      </c>
      <c r="AB165" t="s">
        <v>7132</v>
      </c>
    </row>
    <row r="166" spans="1:28" x14ac:dyDescent="0.25">
      <c r="A166" t="s">
        <v>9836</v>
      </c>
      <c r="C166" t="s">
        <v>7926</v>
      </c>
      <c r="D166" t="s">
        <v>9805</v>
      </c>
      <c r="E166" t="s">
        <v>5315</v>
      </c>
      <c r="F166" t="s">
        <v>1912</v>
      </c>
      <c r="G166" t="s">
        <v>9806</v>
      </c>
      <c r="H166" t="s">
        <v>8091</v>
      </c>
      <c r="I166">
        <v>46785</v>
      </c>
      <c r="J166">
        <v>80052</v>
      </c>
      <c r="K166" t="s">
        <v>9086</v>
      </c>
      <c r="L166" t="s">
        <v>9088</v>
      </c>
      <c r="M166" s="33"/>
      <c r="N166" s="34"/>
      <c r="O166" s="34"/>
      <c r="P166">
        <v>40</v>
      </c>
      <c r="Q166">
        <v>74</v>
      </c>
      <c r="R166" t="str">
        <f xml:space="preserve">
IF(GamesTable[[#This Row],[JAMMA]]="YES","JAMMA","")&amp;
IF(GamesTable[[#This Row],[MVS]]="YES","MVS","")&amp;
IF(GamesTable[[#This Row],[AES]]="YES","AES","")&amp;
IF(GamesTable[[#This Row],[NGCD]]="YES","NGCD","")&amp;
IF(GamesTable[[#This Row],[ROM]]="YES","ROM","")</f>
        <v>MVSNGCD</v>
      </c>
      <c r="S166" t="s">
        <v>10174</v>
      </c>
      <c r="T166" t="s">
        <v>10173</v>
      </c>
      <c r="U166" t="s">
        <v>10174</v>
      </c>
      <c r="V166" t="s">
        <v>10173</v>
      </c>
      <c r="AB166" t="s">
        <v>6152</v>
      </c>
    </row>
    <row r="167" spans="1:28" x14ac:dyDescent="0.25">
      <c r="A167" t="s">
        <v>9836</v>
      </c>
      <c r="C167" t="s">
        <v>7927</v>
      </c>
      <c r="D167" t="s">
        <v>9807</v>
      </c>
      <c r="E167" t="s">
        <v>959</v>
      </c>
      <c r="F167" t="s">
        <v>1814</v>
      </c>
      <c r="G167" t="s">
        <v>9808</v>
      </c>
      <c r="H167" t="s">
        <v>8092</v>
      </c>
      <c r="I167">
        <v>46784</v>
      </c>
      <c r="J167">
        <v>80053</v>
      </c>
      <c r="K167" t="s">
        <v>9086</v>
      </c>
      <c r="L167" t="s">
        <v>9088</v>
      </c>
      <c r="M167" s="33"/>
      <c r="N167" s="34"/>
      <c r="O167" s="34"/>
      <c r="P167">
        <v>261</v>
      </c>
      <c r="Q167">
        <v>364</v>
      </c>
      <c r="R167" t="str">
        <f xml:space="preserve">
IF(GamesTable[[#This Row],[JAMMA]]="YES","JAMMA","")&amp;
IF(GamesTable[[#This Row],[MVS]]="YES","MVS","")&amp;
IF(GamesTable[[#This Row],[AES]]="YES","AES","")&amp;
IF(GamesTable[[#This Row],[NGCD]]="YES","NGCD","")&amp;
IF(GamesTable[[#This Row],[ROM]]="YES","ROM","")</f>
        <v>MVS</v>
      </c>
      <c r="S167" t="s">
        <v>10174</v>
      </c>
      <c r="T167" t="s">
        <v>10173</v>
      </c>
      <c r="U167" t="s">
        <v>10174</v>
      </c>
      <c r="V167" t="s">
        <v>10174</v>
      </c>
      <c r="AB167" t="s">
        <v>1808</v>
      </c>
    </row>
    <row r="168" spans="1:28" x14ac:dyDescent="0.25">
      <c r="A168" t="s">
        <v>9836</v>
      </c>
      <c r="C168" t="s">
        <v>9739</v>
      </c>
      <c r="D168" t="s">
        <v>9474</v>
      </c>
      <c r="E168" t="s">
        <v>9740</v>
      </c>
      <c r="F168" t="s">
        <v>9106</v>
      </c>
      <c r="K168" t="s">
        <v>8986</v>
      </c>
      <c r="L168" t="s">
        <v>9089</v>
      </c>
      <c r="M168" s="33"/>
      <c r="N168" s="34"/>
      <c r="O168" s="34"/>
      <c r="R168" t="str">
        <f xml:space="preserve">
IF(GamesTable[[#This Row],[JAMMA]]="YES","JAMMA","")&amp;
IF(GamesTable[[#This Row],[MVS]]="YES","MVS","")&amp;
IF(GamesTable[[#This Row],[AES]]="YES","AES","")&amp;
IF(GamesTable[[#This Row],[NGCD]]="YES","NGCD","")&amp;
IF(GamesTable[[#This Row],[ROM]]="YES","ROM","")</f>
        <v/>
      </c>
    </row>
    <row r="169" spans="1:28" x14ac:dyDescent="0.25">
      <c r="A169" t="s">
        <v>9836</v>
      </c>
      <c r="C169" t="s">
        <v>7887</v>
      </c>
      <c r="D169" t="s">
        <v>8007</v>
      </c>
      <c r="E169" t="s">
        <v>1145</v>
      </c>
      <c r="F169" t="s">
        <v>2520</v>
      </c>
      <c r="G169" t="s">
        <v>2893</v>
      </c>
      <c r="H169" t="s">
        <v>8093</v>
      </c>
      <c r="I169">
        <v>47598</v>
      </c>
      <c r="J169">
        <v>80124</v>
      </c>
      <c r="K169" t="s">
        <v>9086</v>
      </c>
      <c r="L169" t="s">
        <v>9088</v>
      </c>
      <c r="M169" s="33" t="s">
        <v>9753</v>
      </c>
      <c r="N169" s="34"/>
      <c r="O169" s="34"/>
      <c r="P169">
        <v>238</v>
      </c>
      <c r="Q169">
        <v>346</v>
      </c>
      <c r="R169" t="str">
        <f xml:space="preserve">
IF(GamesTable[[#This Row],[JAMMA]]="YES","JAMMA","")&amp;
IF(GamesTable[[#This Row],[MVS]]="YES","MVS","")&amp;
IF(GamesTable[[#This Row],[AES]]="YES","AES","")&amp;
IF(GamesTable[[#This Row],[NGCD]]="YES","NGCD","")&amp;
IF(GamesTable[[#This Row],[ROM]]="YES","ROM","")</f>
        <v>MVSAES</v>
      </c>
      <c r="S169" t="s">
        <v>10174</v>
      </c>
      <c r="T169" t="s">
        <v>10173</v>
      </c>
      <c r="U169" t="s">
        <v>10173</v>
      </c>
      <c r="V169" t="s">
        <v>10174</v>
      </c>
      <c r="AB169" t="s">
        <v>2898</v>
      </c>
    </row>
    <row r="170" spans="1:28" x14ac:dyDescent="0.25">
      <c r="A170" t="s">
        <v>9836</v>
      </c>
      <c r="C170" t="s">
        <v>7886</v>
      </c>
      <c r="D170" t="s">
        <v>2521</v>
      </c>
      <c r="E170" t="s">
        <v>1101</v>
      </c>
      <c r="F170" t="s">
        <v>2520</v>
      </c>
      <c r="G170" t="s">
        <v>2511</v>
      </c>
      <c r="H170" t="s">
        <v>8058</v>
      </c>
      <c r="J170">
        <v>80125</v>
      </c>
      <c r="K170" t="s">
        <v>9086</v>
      </c>
      <c r="L170" t="s">
        <v>9088</v>
      </c>
      <c r="M170" s="33" t="s">
        <v>9753</v>
      </c>
      <c r="N170" s="34"/>
      <c r="O170" s="34"/>
      <c r="P170">
        <v>246</v>
      </c>
      <c r="Q170">
        <v>514</v>
      </c>
      <c r="R170" t="str">
        <f xml:space="preserve">
IF(GamesTable[[#This Row],[JAMMA]]="YES","JAMMA","")&amp;
IF(GamesTable[[#This Row],[MVS]]="YES","MVS","")&amp;
IF(GamesTable[[#This Row],[AES]]="YES","AES","")&amp;
IF(GamesTable[[#This Row],[NGCD]]="YES","NGCD","")&amp;
IF(GamesTable[[#This Row],[ROM]]="YES","ROM","")</f>
        <v>MVS</v>
      </c>
      <c r="S170" t="s">
        <v>10174</v>
      </c>
      <c r="T170" t="s">
        <v>10173</v>
      </c>
      <c r="U170" t="s">
        <v>10174</v>
      </c>
      <c r="V170" t="s">
        <v>10174</v>
      </c>
      <c r="AB170" t="s">
        <v>1096</v>
      </c>
    </row>
    <row r="171" spans="1:28" x14ac:dyDescent="0.25">
      <c r="A171" t="s">
        <v>9836</v>
      </c>
      <c r="C171" t="s">
        <v>7845</v>
      </c>
      <c r="D171" t="s">
        <v>10195</v>
      </c>
      <c r="E171">
        <v>1995</v>
      </c>
      <c r="F171" t="s">
        <v>3275</v>
      </c>
      <c r="G171" t="s">
        <v>10196</v>
      </c>
      <c r="H171" t="s">
        <v>8065</v>
      </c>
      <c r="I171">
        <v>75451</v>
      </c>
      <c r="J171">
        <v>80911</v>
      </c>
      <c r="K171" t="s">
        <v>9086</v>
      </c>
      <c r="L171" t="s">
        <v>9088</v>
      </c>
      <c r="M171" s="33" t="s">
        <v>9753</v>
      </c>
      <c r="N171" s="34"/>
      <c r="O171" s="34"/>
      <c r="P171">
        <v>203</v>
      </c>
      <c r="Q171">
        <v>58</v>
      </c>
      <c r="R171" t="str">
        <f xml:space="preserve">
IF(GamesTable[[#This Row],[JAMMA]]="YES","JAMMA","")&amp;
IF(GamesTable[[#This Row],[MVS]]="YES","MVS","")&amp;
IF(GamesTable[[#This Row],[AES]]="YES","AES","")&amp;
IF(GamesTable[[#This Row],[NGCD]]="YES","NGCD","")&amp;
IF(GamesTable[[#This Row],[ROM]]="YES","ROM","")</f>
        <v>MVSAESNGCD</v>
      </c>
      <c r="S171" t="s">
        <v>10174</v>
      </c>
      <c r="T171" t="s">
        <v>10173</v>
      </c>
      <c r="U171" t="s">
        <v>10173</v>
      </c>
      <c r="V171" t="s">
        <v>10173</v>
      </c>
      <c r="X171">
        <v>1</v>
      </c>
      <c r="Y171">
        <v>3</v>
      </c>
      <c r="Z171">
        <v>2</v>
      </c>
      <c r="AA171">
        <v>2</v>
      </c>
      <c r="AB171" t="s">
        <v>3908</v>
      </c>
    </row>
    <row r="172" spans="1:28" x14ac:dyDescent="0.25">
      <c r="A172" t="s">
        <v>9836</v>
      </c>
      <c r="C172" t="s">
        <v>7896</v>
      </c>
      <c r="D172" t="s">
        <v>8012</v>
      </c>
      <c r="E172" t="s">
        <v>195</v>
      </c>
      <c r="F172" t="s">
        <v>1560</v>
      </c>
      <c r="G172" t="s">
        <v>1550</v>
      </c>
      <c r="H172" t="s">
        <v>8100</v>
      </c>
      <c r="I172">
        <v>6184</v>
      </c>
      <c r="J172">
        <v>80260</v>
      </c>
      <c r="K172" t="s">
        <v>9086</v>
      </c>
      <c r="L172" t="s">
        <v>9088</v>
      </c>
      <c r="M172" s="33" t="s">
        <v>9753</v>
      </c>
      <c r="N172" s="34" t="s">
        <v>9889</v>
      </c>
      <c r="O172" s="34">
        <v>30</v>
      </c>
      <c r="P172">
        <v>269</v>
      </c>
      <c r="Q172">
        <v>708</v>
      </c>
      <c r="R172" t="str">
        <f xml:space="preserve">
IF(GamesTable[[#This Row],[JAMMA]]="YES","JAMMA","")&amp;
IF(GamesTable[[#This Row],[MVS]]="YES","MVS","")&amp;
IF(GamesTable[[#This Row],[AES]]="YES","AES","")&amp;
IF(GamesTable[[#This Row],[NGCD]]="YES","NGCD","")&amp;
IF(GamesTable[[#This Row],[ROM]]="YES","ROM","")</f>
        <v>JAMMAMVS</v>
      </c>
      <c r="S172" t="s">
        <v>10173</v>
      </c>
      <c r="T172" t="s">
        <v>10173</v>
      </c>
      <c r="U172" t="s">
        <v>10174</v>
      </c>
      <c r="V172" t="s">
        <v>10174</v>
      </c>
      <c r="AB172" t="s">
        <v>325</v>
      </c>
    </row>
    <row r="173" spans="1:28" x14ac:dyDescent="0.25">
      <c r="A173" t="s">
        <v>9836</v>
      </c>
      <c r="C173" t="s">
        <v>7888</v>
      </c>
      <c r="D173" t="s">
        <v>8008</v>
      </c>
      <c r="E173">
        <v>1992</v>
      </c>
      <c r="F173" t="s">
        <v>1912</v>
      </c>
      <c r="G173" t="s">
        <v>6469</v>
      </c>
      <c r="H173" t="s">
        <v>8094</v>
      </c>
      <c r="I173">
        <v>39843</v>
      </c>
      <c r="J173">
        <v>80272</v>
      </c>
      <c r="K173" t="s">
        <v>9086</v>
      </c>
      <c r="L173" t="s">
        <v>9088</v>
      </c>
      <c r="M173" s="33"/>
      <c r="N173" s="34"/>
      <c r="O173" s="34"/>
      <c r="P173">
        <v>31</v>
      </c>
      <c r="Q173">
        <v>46</v>
      </c>
      <c r="R173" t="str">
        <f xml:space="preserve">
IF(GamesTable[[#This Row],[JAMMA]]="YES","JAMMA","")&amp;
IF(GamesTable[[#This Row],[MVS]]="YES","MVS","")&amp;
IF(GamesTable[[#This Row],[AES]]="YES","AES","")&amp;
IF(GamesTable[[#This Row],[NGCD]]="YES","NGCD","")&amp;
IF(GamesTable[[#This Row],[ROM]]="YES","ROM","")</f>
        <v>MVSNGCD</v>
      </c>
      <c r="S173" t="s">
        <v>10174</v>
      </c>
      <c r="T173" t="s">
        <v>10173</v>
      </c>
      <c r="U173" t="s">
        <v>10174</v>
      </c>
      <c r="V173" t="s">
        <v>10173</v>
      </c>
      <c r="AB173" t="s">
        <v>6474</v>
      </c>
    </row>
    <row r="174" spans="1:28" x14ac:dyDescent="0.25">
      <c r="A174" t="s">
        <v>9836</v>
      </c>
      <c r="C174" t="s">
        <v>9743</v>
      </c>
      <c r="D174" t="s">
        <v>9741</v>
      </c>
      <c r="E174">
        <v>2009</v>
      </c>
      <c r="F174" t="s">
        <v>9738</v>
      </c>
      <c r="K174" t="s">
        <v>9742</v>
      </c>
      <c r="L174" t="s">
        <v>9089</v>
      </c>
      <c r="M174" s="33"/>
      <c r="N174" s="34"/>
      <c r="O174" s="34"/>
      <c r="R174" t="str">
        <f xml:space="preserve">
IF(GamesTable[[#This Row],[JAMMA]]="YES","JAMMA","")&amp;
IF(GamesTable[[#This Row],[MVS]]="YES","MVS","")&amp;
IF(GamesTable[[#This Row],[AES]]="YES","AES","")&amp;
IF(GamesTable[[#This Row],[NGCD]]="YES","NGCD","")&amp;
IF(GamesTable[[#This Row],[ROM]]="YES","ROM","")</f>
        <v/>
      </c>
    </row>
    <row r="175" spans="1:28" x14ac:dyDescent="0.25">
      <c r="A175" t="s">
        <v>9836</v>
      </c>
      <c r="C175" t="s">
        <v>7891</v>
      </c>
      <c r="D175" t="s">
        <v>5316</v>
      </c>
      <c r="E175" t="s">
        <v>5315</v>
      </c>
      <c r="F175" t="s">
        <v>3073</v>
      </c>
      <c r="G175" t="s">
        <v>5306</v>
      </c>
      <c r="H175" t="s">
        <v>8140</v>
      </c>
      <c r="I175">
        <v>15469</v>
      </c>
      <c r="J175">
        <v>80457</v>
      </c>
      <c r="K175" t="s">
        <v>9086</v>
      </c>
      <c r="L175" t="s">
        <v>9088</v>
      </c>
      <c r="M175" s="33"/>
      <c r="N175" s="34"/>
      <c r="O175" s="34"/>
      <c r="P175">
        <v>62</v>
      </c>
      <c r="Q175">
        <v>90</v>
      </c>
      <c r="R175" t="str">
        <f xml:space="preserve">
IF(GamesTable[[#This Row],[JAMMA]]="YES","JAMMA","")&amp;
IF(GamesTable[[#This Row],[MVS]]="YES","MVS","")&amp;
IF(GamesTable[[#This Row],[AES]]="YES","AES","")&amp;
IF(GamesTable[[#This Row],[NGCD]]="YES","NGCD","")&amp;
IF(GamesTable[[#This Row],[ROM]]="YES","ROM","")</f>
        <v>MVS</v>
      </c>
      <c r="S175" t="s">
        <v>10174</v>
      </c>
      <c r="T175" t="s">
        <v>10173</v>
      </c>
      <c r="U175" t="s">
        <v>10174</v>
      </c>
      <c r="V175" t="s">
        <v>10174</v>
      </c>
      <c r="AB175" t="s">
        <v>5317</v>
      </c>
    </row>
    <row r="176" spans="1:28" x14ac:dyDescent="0.25">
      <c r="A176" t="s">
        <v>9836</v>
      </c>
      <c r="C176" t="s">
        <v>9748</v>
      </c>
      <c r="D176" t="s">
        <v>9735</v>
      </c>
      <c r="E176" t="s">
        <v>9740</v>
      </c>
      <c r="F176" t="s">
        <v>9740</v>
      </c>
      <c r="K176" t="s">
        <v>8986</v>
      </c>
      <c r="L176" t="s">
        <v>9089</v>
      </c>
      <c r="M176" s="33"/>
      <c r="N176" s="34"/>
      <c r="O176" s="34"/>
      <c r="R176" t="str">
        <f xml:space="preserve">
IF(GamesTable[[#This Row],[JAMMA]]="YES","JAMMA","")&amp;
IF(GamesTable[[#This Row],[MVS]]="YES","MVS","")&amp;
IF(GamesTable[[#This Row],[AES]]="YES","AES","")&amp;
IF(GamesTable[[#This Row],[NGCD]]="YES","NGCD","")&amp;
IF(GamesTable[[#This Row],[ROM]]="YES","ROM","")</f>
        <v/>
      </c>
    </row>
    <row r="177" spans="1:28" x14ac:dyDescent="0.25">
      <c r="A177" t="s">
        <v>9836</v>
      </c>
      <c r="C177" t="s">
        <v>7893</v>
      </c>
      <c r="D177" t="s">
        <v>9809</v>
      </c>
      <c r="E177" t="s">
        <v>1239</v>
      </c>
      <c r="F177" t="s">
        <v>2520</v>
      </c>
      <c r="G177" t="s">
        <v>9810</v>
      </c>
      <c r="H177" t="s">
        <v>8097</v>
      </c>
      <c r="J177">
        <v>80497</v>
      </c>
      <c r="K177" t="s">
        <v>9086</v>
      </c>
      <c r="L177" t="s">
        <v>9088</v>
      </c>
      <c r="M177" s="33" t="s">
        <v>9753</v>
      </c>
      <c r="N177" s="34"/>
      <c r="O177" s="34"/>
      <c r="P177">
        <v>88</v>
      </c>
      <c r="Q177">
        <v>98</v>
      </c>
      <c r="R177" t="str">
        <f xml:space="preserve">
IF(GamesTable[[#This Row],[JAMMA]]="YES","JAMMA","")&amp;
IF(GamesTable[[#This Row],[MVS]]="YES","MVS","")&amp;
IF(GamesTable[[#This Row],[AES]]="YES","AES","")&amp;
IF(GamesTable[[#This Row],[NGCD]]="YES","NGCD","")&amp;
IF(GamesTable[[#This Row],[ROM]]="YES","ROM","")</f>
        <v>MVSNGCD</v>
      </c>
      <c r="S177" t="s">
        <v>10174</v>
      </c>
      <c r="T177" t="s">
        <v>10173</v>
      </c>
      <c r="U177" t="s">
        <v>10174</v>
      </c>
      <c r="V177" t="s">
        <v>10173</v>
      </c>
      <c r="AB177" t="s">
        <v>4409</v>
      </c>
    </row>
    <row r="178" spans="1:28" x14ac:dyDescent="0.25">
      <c r="A178" t="s">
        <v>9836</v>
      </c>
      <c r="C178" t="s">
        <v>7931</v>
      </c>
      <c r="D178" t="s">
        <v>3201</v>
      </c>
      <c r="E178" t="s">
        <v>1280</v>
      </c>
      <c r="F178" t="s">
        <v>2520</v>
      </c>
      <c r="G178" t="s">
        <v>3195</v>
      </c>
      <c r="I178">
        <v>39626</v>
      </c>
      <c r="J178">
        <v>80498</v>
      </c>
      <c r="K178" t="s">
        <v>9086</v>
      </c>
      <c r="L178" t="s">
        <v>9088</v>
      </c>
      <c r="M178" s="33"/>
      <c r="N178" s="34"/>
      <c r="O178" s="34"/>
      <c r="P178">
        <v>227</v>
      </c>
      <c r="Q178">
        <v>178</v>
      </c>
      <c r="R178" t="str">
        <f xml:space="preserve">
IF(GamesTable[[#This Row],[JAMMA]]="YES","JAMMA","")&amp;
IF(GamesTable[[#This Row],[MVS]]="YES","MVS","")&amp;
IF(GamesTable[[#This Row],[AES]]="YES","AES","")&amp;
IF(GamesTable[[#This Row],[NGCD]]="YES","NGCD","")&amp;
IF(GamesTable[[#This Row],[ROM]]="YES","ROM","")</f>
        <v>MVS</v>
      </c>
      <c r="S178" t="s">
        <v>10174</v>
      </c>
      <c r="T178" t="s">
        <v>10173</v>
      </c>
      <c r="U178" t="s">
        <v>10174</v>
      </c>
      <c r="V178" t="s">
        <v>10174</v>
      </c>
      <c r="AB178" t="s">
        <v>3202</v>
      </c>
    </row>
    <row r="179" spans="1:28" x14ac:dyDescent="0.25">
      <c r="A179" t="s">
        <v>9836</v>
      </c>
      <c r="C179" t="s">
        <v>7894</v>
      </c>
      <c r="D179" t="s">
        <v>8010</v>
      </c>
      <c r="E179" t="s">
        <v>393</v>
      </c>
      <c r="F179" t="s">
        <v>3073</v>
      </c>
      <c r="G179" t="s">
        <v>4822</v>
      </c>
      <c r="H179" t="s">
        <v>8098</v>
      </c>
      <c r="I179">
        <v>46820</v>
      </c>
      <c r="J179">
        <v>80603</v>
      </c>
      <c r="K179" t="s">
        <v>9086</v>
      </c>
      <c r="L179" t="s">
        <v>9088</v>
      </c>
      <c r="M179" s="33"/>
      <c r="N179" s="34"/>
      <c r="O179" s="34"/>
      <c r="P179">
        <v>79</v>
      </c>
      <c r="Q179">
        <v>94</v>
      </c>
      <c r="R179" t="str">
        <f xml:space="preserve">
IF(GamesTable[[#This Row],[JAMMA]]="YES","JAMMA","")&amp;
IF(GamesTable[[#This Row],[MVS]]="YES","MVS","")&amp;
IF(GamesTable[[#This Row],[AES]]="YES","AES","")&amp;
IF(GamesTable[[#This Row],[NGCD]]="YES","NGCD","")&amp;
IF(GamesTable[[#This Row],[ROM]]="YES","ROM","")</f>
        <v>MVSNGCD</v>
      </c>
      <c r="S179" t="s">
        <v>10174</v>
      </c>
      <c r="T179" t="s">
        <v>10173</v>
      </c>
      <c r="U179" t="s">
        <v>10174</v>
      </c>
      <c r="V179" t="s">
        <v>10173</v>
      </c>
      <c r="AB179" t="s">
        <v>4832</v>
      </c>
    </row>
    <row r="180" spans="1:28" x14ac:dyDescent="0.25">
      <c r="A180" t="s">
        <v>9836</v>
      </c>
      <c r="C180" t="s">
        <v>9065</v>
      </c>
      <c r="D180" t="s">
        <v>9811</v>
      </c>
      <c r="E180" t="s">
        <v>9059</v>
      </c>
      <c r="F180" t="s">
        <v>5638</v>
      </c>
      <c r="K180" t="s">
        <v>9034</v>
      </c>
      <c r="L180" t="s">
        <v>9089</v>
      </c>
      <c r="M180" s="33"/>
      <c r="N180" s="34"/>
      <c r="O180" s="34"/>
      <c r="P180" t="s">
        <v>9781</v>
      </c>
      <c r="R180" t="str">
        <f xml:space="preserve">
IF(GamesTable[[#This Row],[JAMMA]]="YES","JAMMA","")&amp;
IF(GamesTable[[#This Row],[MVS]]="YES","MVS","")&amp;
IF(GamesTable[[#This Row],[AES]]="YES","AES","")&amp;
IF(GamesTable[[#This Row],[NGCD]]="YES","NGCD","")&amp;
IF(GamesTable[[#This Row],[ROM]]="YES","ROM","")</f>
        <v/>
      </c>
    </row>
    <row r="181" spans="1:28" x14ac:dyDescent="0.25">
      <c r="A181" t="s">
        <v>9836</v>
      </c>
      <c r="C181" t="s">
        <v>7879</v>
      </c>
      <c r="D181" t="s">
        <v>2053</v>
      </c>
      <c r="E181" t="s">
        <v>1053</v>
      </c>
      <c r="F181" t="s">
        <v>2052</v>
      </c>
      <c r="G181" t="s">
        <v>7768</v>
      </c>
      <c r="H181" t="s">
        <v>8088</v>
      </c>
      <c r="I181">
        <v>72911</v>
      </c>
      <c r="J181">
        <v>80624</v>
      </c>
      <c r="K181" t="s">
        <v>9086</v>
      </c>
      <c r="L181" t="s">
        <v>9088</v>
      </c>
      <c r="M181" s="33"/>
      <c r="N181" s="34"/>
      <c r="O181" s="34"/>
      <c r="P181">
        <v>254</v>
      </c>
      <c r="Q181">
        <v>681</v>
      </c>
      <c r="R181" t="str">
        <f xml:space="preserve">
IF(GamesTable[[#This Row],[JAMMA]]="YES","JAMMA","")&amp;
IF(GamesTable[[#This Row],[MVS]]="YES","MVS","")&amp;
IF(GamesTable[[#This Row],[AES]]="YES","AES","")&amp;
IF(GamesTable[[#This Row],[NGCD]]="YES","NGCD","")&amp;
IF(GamesTable[[#This Row],[ROM]]="YES","ROM","")</f>
        <v>MVSAES</v>
      </c>
      <c r="S181" t="s">
        <v>10174</v>
      </c>
      <c r="T181" t="s">
        <v>10173</v>
      </c>
      <c r="U181" t="s">
        <v>10173</v>
      </c>
      <c r="V181" t="s">
        <v>10174</v>
      </c>
      <c r="AB181" t="s">
        <v>2054</v>
      </c>
    </row>
    <row r="182" spans="1:28" x14ac:dyDescent="0.25">
      <c r="A182" t="s">
        <v>9836</v>
      </c>
      <c r="C182" t="s">
        <v>9055</v>
      </c>
      <c r="D182" t="s">
        <v>9812</v>
      </c>
      <c r="E182" t="s">
        <v>9054</v>
      </c>
      <c r="F182" t="s">
        <v>5638</v>
      </c>
      <c r="K182" t="s">
        <v>9034</v>
      </c>
      <c r="L182" t="s">
        <v>9089</v>
      </c>
      <c r="M182" s="33"/>
      <c r="N182" s="34"/>
      <c r="O182" s="34"/>
      <c r="P182">
        <v>8</v>
      </c>
      <c r="R182" t="str">
        <f xml:space="preserve">
IF(GamesTable[[#This Row],[JAMMA]]="YES","JAMMA","")&amp;
IF(GamesTable[[#This Row],[MVS]]="YES","MVS","")&amp;
IF(GamesTable[[#This Row],[AES]]="YES","AES","")&amp;
IF(GamesTable[[#This Row],[NGCD]]="YES","NGCD","")&amp;
IF(GamesTable[[#This Row],[ROM]]="YES","ROM","")</f>
        <v/>
      </c>
    </row>
    <row r="183" spans="1:28" x14ac:dyDescent="0.25">
      <c r="A183" t="s">
        <v>9836</v>
      </c>
      <c r="C183" t="s">
        <v>7883</v>
      </c>
      <c r="D183" t="s">
        <v>8004</v>
      </c>
      <c r="E183" t="s">
        <v>143</v>
      </c>
      <c r="F183" t="s">
        <v>142</v>
      </c>
      <c r="G183" t="s">
        <v>7768</v>
      </c>
      <c r="J183">
        <v>80669</v>
      </c>
      <c r="K183" t="s">
        <v>9041</v>
      </c>
      <c r="L183" t="s">
        <v>9088</v>
      </c>
      <c r="M183" s="33" t="s">
        <v>9753</v>
      </c>
      <c r="N183" s="34"/>
      <c r="O183" s="34"/>
      <c r="P183">
        <v>105</v>
      </c>
      <c r="R183" t="str">
        <f xml:space="preserve">
IF(GamesTable[[#This Row],[JAMMA]]="YES","JAMMA","")&amp;
IF(GamesTable[[#This Row],[MVS]]="YES","MVS","")&amp;
IF(GamesTable[[#This Row],[AES]]="YES","AES","")&amp;
IF(GamesTable[[#This Row],[NGCD]]="YES","NGCD","")&amp;
IF(GamesTable[[#This Row],[ROM]]="YES","ROM","")</f>
        <v/>
      </c>
      <c r="AB183" t="s">
        <v>145</v>
      </c>
    </row>
    <row r="184" spans="1:28" x14ac:dyDescent="0.25">
      <c r="A184" t="s">
        <v>9836</v>
      </c>
      <c r="C184" t="s">
        <v>9750</v>
      </c>
      <c r="D184" t="s">
        <v>9749</v>
      </c>
      <c r="E184" t="s">
        <v>9011</v>
      </c>
      <c r="F184" t="s">
        <v>9751</v>
      </c>
      <c r="K184" t="s">
        <v>8355</v>
      </c>
      <c r="L184" t="s">
        <v>9089</v>
      </c>
      <c r="M184" s="33"/>
      <c r="N184" s="34"/>
      <c r="O184" s="34"/>
      <c r="R184" t="str">
        <f xml:space="preserve">
IF(GamesTable[[#This Row],[JAMMA]]="YES","JAMMA","")&amp;
IF(GamesTable[[#This Row],[MVS]]="YES","MVS","")&amp;
IF(GamesTable[[#This Row],[AES]]="YES","AES","")&amp;
IF(GamesTable[[#This Row],[NGCD]]="YES","NGCD","")&amp;
IF(GamesTable[[#This Row],[ROM]]="YES","ROM","")</f>
        <v/>
      </c>
    </row>
    <row r="185" spans="1:28" x14ac:dyDescent="0.25">
      <c r="A185" t="s">
        <v>9836</v>
      </c>
      <c r="C185" t="s">
        <v>9064</v>
      </c>
      <c r="D185" t="s">
        <v>9813</v>
      </c>
      <c r="E185" t="s">
        <v>9059</v>
      </c>
      <c r="F185" t="s">
        <v>5638</v>
      </c>
      <c r="K185" t="s">
        <v>9034</v>
      </c>
      <c r="L185" t="s">
        <v>9089</v>
      </c>
      <c r="M185" s="33"/>
      <c r="N185" s="34"/>
      <c r="O185" s="34"/>
      <c r="P185" t="s">
        <v>9781</v>
      </c>
      <c r="R185" t="str">
        <f xml:space="preserve">
IF(GamesTable[[#This Row],[JAMMA]]="YES","JAMMA","")&amp;
IF(GamesTable[[#This Row],[MVS]]="YES","MVS","")&amp;
IF(GamesTable[[#This Row],[AES]]="YES","AES","")&amp;
IF(GamesTable[[#This Row],[NGCD]]="YES","NGCD","")&amp;
IF(GamesTable[[#This Row],[ROM]]="YES","ROM","")</f>
        <v/>
      </c>
    </row>
    <row r="186" spans="1:28" x14ac:dyDescent="0.25">
      <c r="A186" t="s">
        <v>9836</v>
      </c>
      <c r="C186" t="s">
        <v>7884</v>
      </c>
      <c r="D186" t="s">
        <v>9814</v>
      </c>
      <c r="E186" t="s">
        <v>1280</v>
      </c>
      <c r="F186" t="s">
        <v>3827</v>
      </c>
      <c r="G186" t="s">
        <v>9815</v>
      </c>
      <c r="H186" t="s">
        <v>8139</v>
      </c>
      <c r="J186">
        <v>80698</v>
      </c>
      <c r="K186" t="s">
        <v>9086</v>
      </c>
      <c r="L186" t="s">
        <v>9088</v>
      </c>
      <c r="M186" s="33"/>
      <c r="N186" s="34"/>
      <c r="O186" s="34"/>
      <c r="P186">
        <v>208</v>
      </c>
      <c r="Q186">
        <v>190</v>
      </c>
      <c r="R186" t="str">
        <f xml:space="preserve">
IF(GamesTable[[#This Row],[JAMMA]]="YES","JAMMA","")&amp;
IF(GamesTable[[#This Row],[MVS]]="YES","MVS","")&amp;
IF(GamesTable[[#This Row],[AES]]="YES","AES","")&amp;
IF(GamesTable[[#This Row],[NGCD]]="YES","NGCD","")&amp;
IF(GamesTable[[#This Row],[ROM]]="YES","ROM","")</f>
        <v>MVSAES</v>
      </c>
      <c r="S186" t="s">
        <v>10174</v>
      </c>
      <c r="T186" t="s">
        <v>10173</v>
      </c>
      <c r="U186" t="s">
        <v>10173</v>
      </c>
      <c r="V186" t="s">
        <v>10174</v>
      </c>
      <c r="AB186" t="s">
        <v>3829</v>
      </c>
    </row>
    <row r="187" spans="1:28" x14ac:dyDescent="0.25">
      <c r="A187" t="s">
        <v>9836</v>
      </c>
      <c r="C187" t="s">
        <v>7892</v>
      </c>
      <c r="D187" t="s">
        <v>9816</v>
      </c>
      <c r="E187" t="s">
        <v>5639</v>
      </c>
      <c r="F187" t="s">
        <v>1912</v>
      </c>
      <c r="G187" t="s">
        <v>9817</v>
      </c>
      <c r="H187" t="s">
        <v>8141</v>
      </c>
      <c r="I187">
        <v>52191</v>
      </c>
      <c r="J187">
        <v>80805</v>
      </c>
      <c r="K187" t="s">
        <v>9086</v>
      </c>
      <c r="L187" t="s">
        <v>9088</v>
      </c>
      <c r="M187" s="33"/>
      <c r="N187" s="34"/>
      <c r="O187" s="34"/>
      <c r="P187">
        <v>52</v>
      </c>
      <c r="Q187">
        <v>54</v>
      </c>
      <c r="R187" t="str">
        <f xml:space="preserve">
IF(GamesTable[[#This Row],[JAMMA]]="YES","JAMMA","")&amp;
IF(GamesTable[[#This Row],[MVS]]="YES","MVS","")&amp;
IF(GamesTable[[#This Row],[AES]]="YES","AES","")&amp;
IF(GamesTable[[#This Row],[NGCD]]="YES","NGCD","")&amp;
IF(GamesTable[[#This Row],[ROM]]="YES","ROM","")</f>
        <v>MVSNGCD</v>
      </c>
      <c r="S187" t="s">
        <v>10174</v>
      </c>
      <c r="T187" t="s">
        <v>10173</v>
      </c>
      <c r="U187" t="s">
        <v>10174</v>
      </c>
      <c r="V187" t="s">
        <v>10173</v>
      </c>
      <c r="AB187" t="s">
        <v>5685</v>
      </c>
    </row>
    <row r="188" spans="1:28" x14ac:dyDescent="0.25">
      <c r="A188" t="s">
        <v>9836</v>
      </c>
      <c r="C188" t="s">
        <v>7928</v>
      </c>
      <c r="D188" t="s">
        <v>9818</v>
      </c>
      <c r="E188" t="s">
        <v>393</v>
      </c>
      <c r="F188" t="s">
        <v>1912</v>
      </c>
      <c r="G188" t="s">
        <v>9819</v>
      </c>
      <c r="H188" t="s">
        <v>8142</v>
      </c>
      <c r="I188">
        <v>39497</v>
      </c>
      <c r="J188">
        <v>80806</v>
      </c>
      <c r="K188" t="s">
        <v>9086</v>
      </c>
      <c r="L188" t="s">
        <v>9088</v>
      </c>
      <c r="M188" s="33"/>
      <c r="N188" s="34"/>
      <c r="O188" s="34"/>
      <c r="P188">
        <v>61</v>
      </c>
      <c r="Q188">
        <v>106</v>
      </c>
      <c r="R188" t="str">
        <f xml:space="preserve">
IF(GamesTable[[#This Row],[JAMMA]]="YES","JAMMA","")&amp;
IF(GamesTable[[#This Row],[MVS]]="YES","MVS","")&amp;
IF(GamesTable[[#This Row],[AES]]="YES","AES","")&amp;
IF(GamesTable[[#This Row],[NGCD]]="YES","NGCD","")&amp;
IF(GamesTable[[#This Row],[ROM]]="YES","ROM","")</f>
        <v>MVSNGCD</v>
      </c>
      <c r="S188" t="s">
        <v>10174</v>
      </c>
      <c r="T188" t="s">
        <v>10173</v>
      </c>
      <c r="U188" t="s">
        <v>10174</v>
      </c>
      <c r="V188" t="s">
        <v>10173</v>
      </c>
      <c r="AB188" t="s">
        <v>5349</v>
      </c>
    </row>
    <row r="189" spans="1:28" x14ac:dyDescent="0.25">
      <c r="A189" t="s">
        <v>9836</v>
      </c>
      <c r="C189" t="s">
        <v>7929</v>
      </c>
      <c r="D189" t="s">
        <v>9820</v>
      </c>
      <c r="E189" t="s">
        <v>1239</v>
      </c>
      <c r="F189" t="s">
        <v>1912</v>
      </c>
      <c r="G189" t="s">
        <v>9821</v>
      </c>
      <c r="H189" t="s">
        <v>8143</v>
      </c>
      <c r="I189">
        <v>39332</v>
      </c>
      <c r="J189">
        <v>80807</v>
      </c>
      <c r="K189" t="s">
        <v>9086</v>
      </c>
      <c r="L189" t="s">
        <v>9088</v>
      </c>
      <c r="M189" s="33"/>
      <c r="N189" s="34"/>
      <c r="O189" s="34"/>
      <c r="P189">
        <v>81</v>
      </c>
      <c r="Q189">
        <v>158</v>
      </c>
      <c r="R189" t="str">
        <f xml:space="preserve">
IF(GamesTable[[#This Row],[JAMMA]]="YES","JAMMA","")&amp;
IF(GamesTable[[#This Row],[MVS]]="YES","MVS","")&amp;
IF(GamesTable[[#This Row],[AES]]="YES","AES","")&amp;
IF(GamesTable[[#This Row],[NGCD]]="YES","NGCD","")&amp;
IF(GamesTable[[#This Row],[ROM]]="YES","ROM","")</f>
        <v>MVSNGCD</v>
      </c>
      <c r="S189" t="s">
        <v>10174</v>
      </c>
      <c r="T189" t="s">
        <v>10173</v>
      </c>
      <c r="U189" t="s">
        <v>10174</v>
      </c>
      <c r="V189" t="s">
        <v>10173</v>
      </c>
      <c r="AB189" t="s">
        <v>4733</v>
      </c>
    </row>
    <row r="190" spans="1:28" x14ac:dyDescent="0.25">
      <c r="A190" t="s">
        <v>9836</v>
      </c>
      <c r="C190" t="s">
        <v>10212</v>
      </c>
      <c r="D190" t="s">
        <v>10211</v>
      </c>
      <c r="E190">
        <v>2023</v>
      </c>
      <c r="J190">
        <v>255398</v>
      </c>
      <c r="M190" s="33"/>
      <c r="N190" s="34"/>
      <c r="O190" s="34"/>
    </row>
    <row r="191" spans="1:28" x14ac:dyDescent="0.25">
      <c r="A191" t="s">
        <v>9836</v>
      </c>
      <c r="C191" t="s">
        <v>7903</v>
      </c>
      <c r="D191" t="s">
        <v>4546</v>
      </c>
      <c r="E191" t="s">
        <v>1280</v>
      </c>
      <c r="F191" t="s">
        <v>4545</v>
      </c>
      <c r="G191" t="s">
        <v>4540</v>
      </c>
      <c r="H191" t="s">
        <v>8119</v>
      </c>
      <c r="I191">
        <v>39963</v>
      </c>
      <c r="J191">
        <v>81007</v>
      </c>
      <c r="K191" t="s">
        <v>9086</v>
      </c>
      <c r="L191" t="s">
        <v>9088</v>
      </c>
      <c r="M191" s="33"/>
      <c r="N191" s="34"/>
      <c r="O191" s="34"/>
      <c r="P191">
        <v>86</v>
      </c>
      <c r="Q191">
        <v>122</v>
      </c>
      <c r="R191" t="str">
        <f xml:space="preserve">
IF(GamesTable[[#This Row],[JAMMA]]="YES","JAMMA","")&amp;
IF(GamesTable[[#This Row],[MVS]]="YES","MVS","")&amp;
IF(GamesTable[[#This Row],[AES]]="YES","AES","")&amp;
IF(GamesTable[[#This Row],[NGCD]]="YES","NGCD","")&amp;
IF(GamesTable[[#This Row],[ROM]]="YES","ROM","")</f>
        <v>MVSAESNGCD</v>
      </c>
      <c r="S191" t="s">
        <v>10174</v>
      </c>
      <c r="T191" t="s">
        <v>10173</v>
      </c>
      <c r="U191" t="s">
        <v>10173</v>
      </c>
      <c r="V191" t="s">
        <v>10173</v>
      </c>
      <c r="AB191" t="s">
        <v>4547</v>
      </c>
    </row>
    <row r="192" spans="1:28" x14ac:dyDescent="0.25">
      <c r="A192" t="s">
        <v>9836</v>
      </c>
      <c r="C192" t="s">
        <v>9035</v>
      </c>
      <c r="D192" t="s">
        <v>9036</v>
      </c>
      <c r="E192" t="s">
        <v>9037</v>
      </c>
      <c r="F192" t="s">
        <v>5384</v>
      </c>
      <c r="J192">
        <v>252946</v>
      </c>
      <c r="K192" t="s">
        <v>9034</v>
      </c>
      <c r="L192" t="s">
        <v>9897</v>
      </c>
      <c r="M192" s="33" t="s">
        <v>9753</v>
      </c>
      <c r="N192" s="34"/>
      <c r="O192" s="34"/>
      <c r="P192">
        <v>99</v>
      </c>
      <c r="R192" t="str">
        <f xml:space="preserve">
IF(GamesTable[[#This Row],[JAMMA]]="YES","JAMMA","")&amp;
IF(GamesTable[[#This Row],[MVS]]="YES","MVS","")&amp;
IF(GamesTable[[#This Row],[AES]]="YES","AES","")&amp;
IF(GamesTable[[#This Row],[NGCD]]="YES","NGCD","")&amp;
IF(GamesTable[[#This Row],[ROM]]="YES","ROM","")</f>
        <v/>
      </c>
    </row>
    <row r="193" spans="1:28" x14ac:dyDescent="0.25">
      <c r="A193" t="s">
        <v>9836</v>
      </c>
      <c r="C193" t="s">
        <v>7814</v>
      </c>
      <c r="D193" t="s">
        <v>9822</v>
      </c>
      <c r="E193" t="s">
        <v>1145</v>
      </c>
      <c r="F193" t="s">
        <v>2957</v>
      </c>
      <c r="G193" t="s">
        <v>9823</v>
      </c>
      <c r="I193">
        <v>47599</v>
      </c>
      <c r="J193">
        <v>81129</v>
      </c>
      <c r="K193" t="s">
        <v>9086</v>
      </c>
      <c r="L193" t="s">
        <v>9088</v>
      </c>
      <c r="M193" s="33"/>
      <c r="N193" s="34"/>
      <c r="O193" s="34"/>
      <c r="P193">
        <v>236</v>
      </c>
      <c r="Q193">
        <v>106</v>
      </c>
      <c r="R193" t="str">
        <f xml:space="preserve">
IF(GamesTable[[#This Row],[JAMMA]]="YES","JAMMA","")&amp;
IF(GamesTable[[#This Row],[MVS]]="YES","MVS","")&amp;
IF(GamesTable[[#This Row],[AES]]="YES","AES","")&amp;
IF(GamesTable[[#This Row],[NGCD]]="YES","NGCD","")&amp;
IF(GamesTable[[#This Row],[ROM]]="YES","ROM","")</f>
        <v>MVSAES</v>
      </c>
      <c r="S193" t="s">
        <v>10174</v>
      </c>
      <c r="T193" t="s">
        <v>10173</v>
      </c>
      <c r="U193" t="s">
        <v>10173</v>
      </c>
      <c r="V193" t="s">
        <v>10174</v>
      </c>
      <c r="AB193" t="s">
        <v>2959</v>
      </c>
    </row>
    <row r="194" spans="1:28" x14ac:dyDescent="0.25">
      <c r="A194" t="s">
        <v>9836</v>
      </c>
      <c r="C194" t="s">
        <v>7825</v>
      </c>
      <c r="D194" t="s">
        <v>7966</v>
      </c>
      <c r="E194" t="s">
        <v>393</v>
      </c>
      <c r="F194" t="s">
        <v>1912</v>
      </c>
      <c r="G194" t="s">
        <v>5598</v>
      </c>
      <c r="H194" t="s">
        <v>8113</v>
      </c>
      <c r="I194">
        <v>15426</v>
      </c>
      <c r="J194">
        <v>81140</v>
      </c>
      <c r="K194" t="s">
        <v>9086</v>
      </c>
      <c r="L194" t="s">
        <v>9088</v>
      </c>
      <c r="M194" s="33"/>
      <c r="N194" s="34" t="s">
        <v>9866</v>
      </c>
      <c r="O194" s="34">
        <v>20</v>
      </c>
      <c r="P194">
        <v>55</v>
      </c>
      <c r="Q194">
        <v>196</v>
      </c>
      <c r="R194" t="str">
        <f xml:space="preserve">
IF(GamesTable[[#This Row],[JAMMA]]="YES","JAMMA","")&amp;
IF(GamesTable[[#This Row],[MVS]]="YES","MVS","")&amp;
IF(GamesTable[[#This Row],[AES]]="YES","AES","")&amp;
IF(GamesTable[[#This Row],[NGCD]]="YES","NGCD","")&amp;
IF(GamesTable[[#This Row],[ROM]]="YES","ROM","")</f>
        <v>MVSAESNGCD</v>
      </c>
      <c r="S194" t="s">
        <v>10174</v>
      </c>
      <c r="T194" t="s">
        <v>10173</v>
      </c>
      <c r="U194" t="s">
        <v>10173</v>
      </c>
      <c r="V194" t="s">
        <v>10173</v>
      </c>
      <c r="X194">
        <v>1</v>
      </c>
      <c r="Y194">
        <v>2</v>
      </c>
      <c r="Z194">
        <v>1</v>
      </c>
      <c r="AA194">
        <v>4</v>
      </c>
      <c r="AB194" t="s">
        <v>5605</v>
      </c>
    </row>
    <row r="195" spans="1:28" x14ac:dyDescent="0.25">
      <c r="A195" t="s">
        <v>9836</v>
      </c>
      <c r="C195" t="s">
        <v>7826</v>
      </c>
      <c r="D195" t="s">
        <v>7967</v>
      </c>
      <c r="E195" t="s">
        <v>1239</v>
      </c>
      <c r="F195" t="s">
        <v>1912</v>
      </c>
      <c r="G195" t="s">
        <v>4587</v>
      </c>
      <c r="H195" t="s">
        <v>8114</v>
      </c>
      <c r="I195">
        <v>15427</v>
      </c>
      <c r="J195">
        <v>81141</v>
      </c>
      <c r="K195" t="s">
        <v>9086</v>
      </c>
      <c r="L195" t="s">
        <v>9088</v>
      </c>
      <c r="M195" s="33"/>
      <c r="N195" s="34" t="s">
        <v>9867</v>
      </c>
      <c r="O195" s="34">
        <v>35</v>
      </c>
      <c r="P195">
        <v>84</v>
      </c>
      <c r="Q195">
        <v>250</v>
      </c>
      <c r="R195" t="str">
        <f xml:space="preserve">
IF(GamesTable[[#This Row],[JAMMA]]="YES","JAMMA","")&amp;
IF(GamesTable[[#This Row],[MVS]]="YES","MVS","")&amp;
IF(GamesTable[[#This Row],[AES]]="YES","AES","")&amp;
IF(GamesTable[[#This Row],[NGCD]]="YES","NGCD","")&amp;
IF(GamesTable[[#This Row],[ROM]]="YES","ROM","")</f>
        <v>MVSAESNGCD</v>
      </c>
      <c r="S195" t="s">
        <v>10174</v>
      </c>
      <c r="T195" t="s">
        <v>10173</v>
      </c>
      <c r="U195" t="s">
        <v>10173</v>
      </c>
      <c r="V195" t="s">
        <v>10173</v>
      </c>
      <c r="X195">
        <v>1</v>
      </c>
      <c r="Y195">
        <v>1</v>
      </c>
      <c r="Z195">
        <v>1</v>
      </c>
      <c r="AA195">
        <v>5</v>
      </c>
      <c r="AB195" t="s">
        <v>4589</v>
      </c>
    </row>
    <row r="196" spans="1:28" x14ac:dyDescent="0.25">
      <c r="A196" t="s">
        <v>9836</v>
      </c>
      <c r="C196" t="s">
        <v>7827</v>
      </c>
      <c r="D196" t="s">
        <v>7968</v>
      </c>
      <c r="E196" t="s">
        <v>1280</v>
      </c>
      <c r="F196" t="s">
        <v>1912</v>
      </c>
      <c r="G196" t="s">
        <v>3693</v>
      </c>
      <c r="H196" t="s">
        <v>8115</v>
      </c>
      <c r="I196">
        <v>12588</v>
      </c>
      <c r="J196">
        <v>81142</v>
      </c>
      <c r="K196" t="s">
        <v>9086</v>
      </c>
      <c r="L196" t="s">
        <v>9088</v>
      </c>
      <c r="M196" s="33"/>
      <c r="N196" s="34" t="s">
        <v>9868</v>
      </c>
      <c r="O196" s="34">
        <v>25</v>
      </c>
      <c r="P196">
        <v>214</v>
      </c>
      <c r="Q196">
        <v>362</v>
      </c>
      <c r="R196" t="str">
        <f xml:space="preserve">
IF(GamesTable[[#This Row],[JAMMA]]="YES","JAMMA","")&amp;
IF(GamesTable[[#This Row],[MVS]]="YES","MVS","")&amp;
IF(GamesTable[[#This Row],[AES]]="YES","AES","")&amp;
IF(GamesTable[[#This Row],[NGCD]]="YES","NGCD","")&amp;
IF(GamesTable[[#This Row],[ROM]]="YES","ROM","")</f>
        <v>MVSAESNGCD</v>
      </c>
      <c r="S196" t="s">
        <v>10174</v>
      </c>
      <c r="T196" t="s">
        <v>10173</v>
      </c>
      <c r="U196" t="s">
        <v>10173</v>
      </c>
      <c r="V196" t="s">
        <v>10173</v>
      </c>
      <c r="X196">
        <v>1</v>
      </c>
      <c r="Y196">
        <v>3</v>
      </c>
      <c r="Z196">
        <v>1</v>
      </c>
      <c r="AA196">
        <v>5</v>
      </c>
      <c r="AB196" t="s">
        <v>3698</v>
      </c>
    </row>
    <row r="197" spans="1:28" x14ac:dyDescent="0.25">
      <c r="A197" t="s">
        <v>9836</v>
      </c>
      <c r="C197" t="s">
        <v>10169</v>
      </c>
      <c r="D197" t="s">
        <v>10168</v>
      </c>
      <c r="E197">
        <v>1996</v>
      </c>
      <c r="F197" t="s">
        <v>1912</v>
      </c>
      <c r="J197">
        <v>252692</v>
      </c>
      <c r="K197" t="s">
        <v>9086</v>
      </c>
      <c r="L197" t="s">
        <v>9088</v>
      </c>
      <c r="M197" s="57"/>
      <c r="N197" s="34"/>
      <c r="O197" s="34"/>
      <c r="P197">
        <v>229</v>
      </c>
      <c r="R197" t="str">
        <f xml:space="preserve">
IF(GamesTable[[#This Row],[JAMMA]]="YES","JAMMA","")&amp;
IF(GamesTable[[#This Row],[MVS]]="YES","MVS","")&amp;
IF(GamesTable[[#This Row],[AES]]="YES","AES","")&amp;
IF(GamesTable[[#This Row],[NGCD]]="YES","NGCD","")&amp;
IF(GamesTable[[#This Row],[ROM]]="YES","ROM","")</f>
        <v>NGCD</v>
      </c>
      <c r="S197" t="s">
        <v>10174</v>
      </c>
      <c r="T197" t="s">
        <v>10174</v>
      </c>
      <c r="U197" t="s">
        <v>10174</v>
      </c>
      <c r="V197" t="s">
        <v>10173</v>
      </c>
    </row>
    <row r="198" spans="1:28" x14ac:dyDescent="0.25">
      <c r="A198" t="s">
        <v>9836</v>
      </c>
      <c r="C198" t="s">
        <v>7828</v>
      </c>
      <c r="D198" t="s">
        <v>7969</v>
      </c>
      <c r="E198" t="s">
        <v>1145</v>
      </c>
      <c r="F198" t="s">
        <v>1912</v>
      </c>
      <c r="G198" t="s">
        <v>3087</v>
      </c>
      <c r="H198" t="s">
        <v>8116</v>
      </c>
      <c r="I198">
        <v>15428</v>
      </c>
      <c r="J198">
        <v>81143</v>
      </c>
      <c r="K198" t="s">
        <v>9086</v>
      </c>
      <c r="L198" t="s">
        <v>9088</v>
      </c>
      <c r="M198" s="33"/>
      <c r="N198" s="34" t="s">
        <v>9869</v>
      </c>
      <c r="O198" s="34">
        <v>30</v>
      </c>
      <c r="P198">
        <v>232</v>
      </c>
      <c r="Q198">
        <v>460</v>
      </c>
      <c r="R198" t="str">
        <f xml:space="preserve">
IF(GamesTable[[#This Row],[JAMMA]]="YES","JAMMA","")&amp;
IF(GamesTable[[#This Row],[MVS]]="YES","MVS","")&amp;
IF(GamesTable[[#This Row],[AES]]="YES","AES","")&amp;
IF(GamesTable[[#This Row],[NGCD]]="YES","NGCD","")&amp;
IF(GamesTable[[#This Row],[ROM]]="YES","ROM","")</f>
        <v>MVSAESNGCD</v>
      </c>
      <c r="S198" t="s">
        <v>10174</v>
      </c>
      <c r="T198" t="s">
        <v>10173</v>
      </c>
      <c r="U198" t="s">
        <v>10173</v>
      </c>
      <c r="V198" t="s">
        <v>10173</v>
      </c>
      <c r="X198">
        <v>1</v>
      </c>
      <c r="Y198">
        <v>2</v>
      </c>
      <c r="Z198">
        <v>1</v>
      </c>
      <c r="AA198">
        <v>4</v>
      </c>
      <c r="AB198" t="s">
        <v>1140</v>
      </c>
    </row>
    <row r="199" spans="1:28" x14ac:dyDescent="0.25">
      <c r="A199" t="s">
        <v>9836</v>
      </c>
      <c r="B199" s="3"/>
      <c r="C199" s="3" t="s">
        <v>7773</v>
      </c>
      <c r="D199" t="s">
        <v>7771</v>
      </c>
      <c r="E199" t="s">
        <v>1101</v>
      </c>
      <c r="F199" t="s">
        <v>1912</v>
      </c>
      <c r="G199" t="s">
        <v>2675</v>
      </c>
      <c r="H199" t="s">
        <v>7936</v>
      </c>
      <c r="I199">
        <v>15429</v>
      </c>
      <c r="J199">
        <v>29916</v>
      </c>
      <c r="K199" t="s">
        <v>9086</v>
      </c>
      <c r="L199" t="s">
        <v>9088</v>
      </c>
      <c r="M199" s="33"/>
      <c r="N199" s="34" t="s">
        <v>9870</v>
      </c>
      <c r="O199" s="34">
        <v>30</v>
      </c>
      <c r="P199">
        <v>242</v>
      </c>
      <c r="Q199">
        <v>683</v>
      </c>
      <c r="R199" t="str">
        <f xml:space="preserve">
IF(GamesTable[[#This Row],[JAMMA]]="YES","JAMMA","")&amp;
IF(GamesTable[[#This Row],[MVS]]="YES","MVS","")&amp;
IF(GamesTable[[#This Row],[AES]]="YES","AES","")&amp;
IF(GamesTable[[#This Row],[NGCD]]="YES","NGCD","")&amp;
IF(GamesTable[[#This Row],[ROM]]="YES","ROM","")</f>
        <v>MVSAESNGCD</v>
      </c>
      <c r="S199" t="s">
        <v>10174</v>
      </c>
      <c r="T199" t="s">
        <v>10173</v>
      </c>
      <c r="U199" t="s">
        <v>10173</v>
      </c>
      <c r="V199" t="s">
        <v>10173</v>
      </c>
      <c r="X199">
        <v>1</v>
      </c>
      <c r="Y199">
        <v>1</v>
      </c>
      <c r="Z199">
        <v>1</v>
      </c>
      <c r="AA199">
        <v>5</v>
      </c>
      <c r="AB199" t="s">
        <v>2680</v>
      </c>
    </row>
    <row r="200" spans="1:28" x14ac:dyDescent="0.25">
      <c r="A200" t="s">
        <v>9836</v>
      </c>
      <c r="C200" t="s">
        <v>7829</v>
      </c>
      <c r="D200" t="s">
        <v>7970</v>
      </c>
      <c r="E200" t="s">
        <v>1053</v>
      </c>
      <c r="F200" t="s">
        <v>1912</v>
      </c>
      <c r="G200" t="s">
        <v>2307</v>
      </c>
      <c r="H200" t="s">
        <v>8127</v>
      </c>
      <c r="I200">
        <v>15430</v>
      </c>
      <c r="J200">
        <v>81148</v>
      </c>
      <c r="K200" t="s">
        <v>9086</v>
      </c>
      <c r="L200" t="s">
        <v>9088</v>
      </c>
      <c r="M200" s="33"/>
      <c r="N200" s="34" t="s">
        <v>9871</v>
      </c>
      <c r="O200" s="34">
        <v>30</v>
      </c>
      <c r="P200">
        <v>251</v>
      </c>
      <c r="Q200">
        <v>673</v>
      </c>
      <c r="R200" t="str">
        <f xml:space="preserve">
IF(GamesTable[[#This Row],[JAMMA]]="YES","JAMMA","")&amp;
IF(GamesTable[[#This Row],[MVS]]="YES","MVS","")&amp;
IF(GamesTable[[#This Row],[AES]]="YES","AES","")&amp;
IF(GamesTable[[#This Row],[NGCD]]="YES","NGCD","")&amp;
IF(GamesTable[[#This Row],[ROM]]="YES","ROM","")</f>
        <v>MVSAESNGCD</v>
      </c>
      <c r="S200" t="s">
        <v>10174</v>
      </c>
      <c r="T200" t="s">
        <v>10173</v>
      </c>
      <c r="U200" t="s">
        <v>10173</v>
      </c>
      <c r="V200" t="s">
        <v>10173</v>
      </c>
      <c r="X200">
        <v>1</v>
      </c>
      <c r="Y200">
        <v>2</v>
      </c>
      <c r="Z200">
        <v>1</v>
      </c>
      <c r="AA200">
        <v>4</v>
      </c>
      <c r="AB200" t="s">
        <v>2247</v>
      </c>
    </row>
    <row r="201" spans="1:28" x14ac:dyDescent="0.25">
      <c r="A201" t="s">
        <v>9836</v>
      </c>
      <c r="C201" t="s">
        <v>7821</v>
      </c>
      <c r="D201" t="s">
        <v>7962</v>
      </c>
      <c r="E201" t="s">
        <v>113</v>
      </c>
      <c r="F201" t="s">
        <v>1912</v>
      </c>
      <c r="G201" t="s">
        <v>1901</v>
      </c>
      <c r="H201" t="s">
        <v>8052</v>
      </c>
      <c r="I201">
        <v>15431</v>
      </c>
      <c r="J201">
        <v>81152</v>
      </c>
      <c r="K201" t="s">
        <v>9086</v>
      </c>
      <c r="L201" t="s">
        <v>9088</v>
      </c>
      <c r="M201" s="33"/>
      <c r="N201" s="34" t="s">
        <v>9872</v>
      </c>
      <c r="O201" s="34">
        <v>30</v>
      </c>
      <c r="P201">
        <v>257</v>
      </c>
      <c r="Q201">
        <v>688</v>
      </c>
      <c r="R201" t="str">
        <f xml:space="preserve">
IF(GamesTable[[#This Row],[JAMMA]]="YES","JAMMA","")&amp;
IF(GamesTable[[#This Row],[MVS]]="YES","MVS","")&amp;
IF(GamesTable[[#This Row],[AES]]="YES","AES","")&amp;
IF(GamesTable[[#This Row],[NGCD]]="YES","NGCD","")&amp;
IF(GamesTable[[#This Row],[ROM]]="YES","ROM","")</f>
        <v>MVSAES</v>
      </c>
      <c r="S201" t="s">
        <v>10174</v>
      </c>
      <c r="T201" t="s">
        <v>10173</v>
      </c>
      <c r="U201" t="s">
        <v>10173</v>
      </c>
      <c r="V201" t="s">
        <v>10174</v>
      </c>
      <c r="X201">
        <v>1</v>
      </c>
      <c r="Y201">
        <v>1</v>
      </c>
      <c r="AA201">
        <v>5</v>
      </c>
      <c r="AB201" t="s">
        <v>1906</v>
      </c>
    </row>
    <row r="202" spans="1:28" x14ac:dyDescent="0.25">
      <c r="A202" t="s">
        <v>9836</v>
      </c>
      <c r="C202" t="s">
        <v>7822</v>
      </c>
      <c r="D202" t="s">
        <v>7963</v>
      </c>
      <c r="E202" t="s">
        <v>959</v>
      </c>
      <c r="F202" t="s">
        <v>1765</v>
      </c>
      <c r="G202" t="s">
        <v>1755</v>
      </c>
      <c r="H202" t="s">
        <v>8053</v>
      </c>
      <c r="I202">
        <v>15432</v>
      </c>
      <c r="J202">
        <v>81153</v>
      </c>
      <c r="K202" t="s">
        <v>9086</v>
      </c>
      <c r="L202" t="s">
        <v>9088</v>
      </c>
      <c r="M202" s="33"/>
      <c r="N202" s="34" t="s">
        <v>9873</v>
      </c>
      <c r="O202" s="34">
        <v>30</v>
      </c>
      <c r="P202">
        <v>262</v>
      </c>
      <c r="Q202">
        <v>681</v>
      </c>
      <c r="R202" t="str">
        <f xml:space="preserve">
IF(GamesTable[[#This Row],[JAMMA]]="YES","JAMMA","")&amp;
IF(GamesTable[[#This Row],[MVS]]="YES","MVS","")&amp;
IF(GamesTable[[#This Row],[AES]]="YES","AES","")&amp;
IF(GamesTable[[#This Row],[NGCD]]="YES","NGCD","")&amp;
IF(GamesTable[[#This Row],[ROM]]="YES","ROM","")</f>
        <v>MVSAES</v>
      </c>
      <c r="S202" t="s">
        <v>10174</v>
      </c>
      <c r="T202" t="s">
        <v>10173</v>
      </c>
      <c r="U202" t="s">
        <v>10173</v>
      </c>
      <c r="V202" t="s">
        <v>10174</v>
      </c>
      <c r="X202">
        <v>1</v>
      </c>
      <c r="Y202">
        <v>2</v>
      </c>
      <c r="AA202">
        <v>4</v>
      </c>
      <c r="AB202" t="s">
        <v>911</v>
      </c>
    </row>
    <row r="203" spans="1:28" x14ac:dyDescent="0.25">
      <c r="A203" t="s">
        <v>9836</v>
      </c>
      <c r="C203" t="s">
        <v>7823</v>
      </c>
      <c r="D203" t="s">
        <v>7964</v>
      </c>
      <c r="E203" t="s">
        <v>547</v>
      </c>
      <c r="F203" t="s">
        <v>1654</v>
      </c>
      <c r="G203" t="s">
        <v>1650</v>
      </c>
      <c r="H203" t="s">
        <v>8054</v>
      </c>
      <c r="I203">
        <v>5884</v>
      </c>
      <c r="J203">
        <v>81154</v>
      </c>
      <c r="K203" t="s">
        <v>9086</v>
      </c>
      <c r="L203" t="s">
        <v>9088</v>
      </c>
      <c r="M203" s="33"/>
      <c r="N203" s="34"/>
      <c r="O203" s="34"/>
      <c r="P203">
        <v>265</v>
      </c>
      <c r="Q203">
        <v>681</v>
      </c>
      <c r="R203" t="str">
        <f xml:space="preserve">
IF(GamesTable[[#This Row],[JAMMA]]="YES","JAMMA","")&amp;
IF(GamesTable[[#This Row],[MVS]]="YES","MVS","")&amp;
IF(GamesTable[[#This Row],[AES]]="YES","AES","")&amp;
IF(GamesTable[[#This Row],[NGCD]]="YES","NGCD","")&amp;
IF(GamesTable[[#This Row],[ROM]]="YES","ROM","")</f>
        <v>MVSAES</v>
      </c>
      <c r="S203" t="s">
        <v>10174</v>
      </c>
      <c r="T203" t="s">
        <v>10173</v>
      </c>
      <c r="U203" t="s">
        <v>10173</v>
      </c>
      <c r="V203" t="s">
        <v>10174</v>
      </c>
      <c r="X203">
        <v>1</v>
      </c>
      <c r="Y203">
        <v>2</v>
      </c>
      <c r="AA203">
        <v>4</v>
      </c>
      <c r="AB203" t="s">
        <v>696</v>
      </c>
    </row>
    <row r="204" spans="1:28" x14ac:dyDescent="0.25">
      <c r="A204" t="s">
        <v>9836</v>
      </c>
      <c r="C204" t="s">
        <v>7824</v>
      </c>
      <c r="D204" t="s">
        <v>7965</v>
      </c>
      <c r="E204" t="s">
        <v>195</v>
      </c>
      <c r="F204" t="s">
        <v>1436</v>
      </c>
      <c r="G204" t="s">
        <v>1424</v>
      </c>
      <c r="H204" t="s">
        <v>8055</v>
      </c>
      <c r="I204">
        <v>15433</v>
      </c>
      <c r="J204">
        <v>81158</v>
      </c>
      <c r="K204" t="s">
        <v>9086</v>
      </c>
      <c r="L204" t="s">
        <v>9088</v>
      </c>
      <c r="M204" s="33"/>
      <c r="N204" s="34" t="s">
        <v>9854</v>
      </c>
      <c r="O204" s="34">
        <v>30</v>
      </c>
      <c r="P204">
        <v>271</v>
      </c>
      <c r="Q204">
        <v>716</v>
      </c>
      <c r="R204" t="str">
        <f xml:space="preserve">
IF(GamesTable[[#This Row],[JAMMA]]="YES","JAMMA","")&amp;
IF(GamesTable[[#This Row],[MVS]]="YES","MVS","")&amp;
IF(GamesTable[[#This Row],[AES]]="YES","AES","")&amp;
IF(GamesTable[[#This Row],[NGCD]]="YES","NGCD","")&amp;
IF(GamesTable[[#This Row],[ROM]]="YES","ROM","")</f>
        <v>JAMMAMVSAES</v>
      </c>
      <c r="S204" t="s">
        <v>10173</v>
      </c>
      <c r="T204" t="s">
        <v>10173</v>
      </c>
      <c r="U204" t="s">
        <v>10173</v>
      </c>
      <c r="V204" t="s">
        <v>10174</v>
      </c>
      <c r="X204">
        <v>1</v>
      </c>
      <c r="Y204">
        <v>2</v>
      </c>
      <c r="AA204">
        <v>4</v>
      </c>
      <c r="AB204" t="s">
        <v>233</v>
      </c>
    </row>
    <row r="205" spans="1:28" x14ac:dyDescent="0.25">
      <c r="A205" t="s">
        <v>9836</v>
      </c>
      <c r="C205" t="s">
        <v>8993</v>
      </c>
      <c r="D205" t="s">
        <v>8407</v>
      </c>
      <c r="E205">
        <v>2004</v>
      </c>
      <c r="F205" t="s">
        <v>8994</v>
      </c>
      <c r="J205">
        <v>81162</v>
      </c>
      <c r="K205" t="s">
        <v>8355</v>
      </c>
      <c r="L205" t="s">
        <v>9088</v>
      </c>
      <c r="M205" s="33"/>
      <c r="N205" s="34"/>
      <c r="O205" s="34"/>
      <c r="R205" t="str">
        <f xml:space="preserve">
IF(GamesTable[[#This Row],[JAMMA]]="YES","JAMMA","")&amp;
IF(GamesTable[[#This Row],[MVS]]="YES","MVS","")&amp;
IF(GamesTable[[#This Row],[AES]]="YES","AES","")&amp;
IF(GamesTable[[#This Row],[NGCD]]="YES","NGCD","")&amp;
IF(GamesTable[[#This Row],[ROM]]="YES","ROM","")</f>
        <v/>
      </c>
      <c r="AB205" t="s">
        <v>599</v>
      </c>
    </row>
    <row r="206" spans="1:28" x14ac:dyDescent="0.25">
      <c r="A206" t="s">
        <v>9836</v>
      </c>
      <c r="C206" t="s">
        <v>10202</v>
      </c>
      <c r="D206" t="s">
        <v>8432</v>
      </c>
      <c r="E206" t="s">
        <v>9110</v>
      </c>
      <c r="F206" t="s">
        <v>10201</v>
      </c>
      <c r="J206">
        <v>81151</v>
      </c>
      <c r="K206" t="s">
        <v>8355</v>
      </c>
      <c r="L206" t="s">
        <v>9088</v>
      </c>
      <c r="M206" s="33"/>
      <c r="N206" s="34"/>
      <c r="O206" s="34"/>
      <c r="R206" t="str">
        <f xml:space="preserve">
IF(GamesTable[[#This Row],[JAMMA]]="YES","JAMMA","")&amp;
IF(GamesTable[[#This Row],[MVS]]="YES","MVS","")&amp;
IF(GamesTable[[#This Row],[AES]]="YES","AES","")&amp;
IF(GamesTable[[#This Row],[NGCD]]="YES","NGCD","")&amp;
IF(GamesTable[[#This Row],[ROM]]="YES","ROM","")</f>
        <v>MVS</v>
      </c>
      <c r="S206" t="s">
        <v>10174</v>
      </c>
      <c r="T206" t="s">
        <v>10173</v>
      </c>
      <c r="U206" t="s">
        <v>10174</v>
      </c>
      <c r="V206" t="s">
        <v>10174</v>
      </c>
    </row>
    <row r="207" spans="1:28" x14ac:dyDescent="0.25">
      <c r="A207" t="s">
        <v>9836</v>
      </c>
      <c r="C207" t="s">
        <v>7831</v>
      </c>
      <c r="D207" t="s">
        <v>9824</v>
      </c>
      <c r="E207" t="s">
        <v>1145</v>
      </c>
      <c r="F207" t="s">
        <v>1912</v>
      </c>
      <c r="G207" t="s">
        <v>9825</v>
      </c>
      <c r="H207" t="s">
        <v>8059</v>
      </c>
      <c r="I207">
        <v>22844</v>
      </c>
      <c r="J207">
        <v>81167</v>
      </c>
      <c r="K207" t="s">
        <v>9086</v>
      </c>
      <c r="L207" t="s">
        <v>9088</v>
      </c>
      <c r="M207" s="33"/>
      <c r="N207" s="34" t="s">
        <v>9875</v>
      </c>
      <c r="O207" s="34">
        <v>30</v>
      </c>
      <c r="P207">
        <v>234</v>
      </c>
      <c r="Q207">
        <v>474</v>
      </c>
      <c r="R207" t="str">
        <f xml:space="preserve">
IF(GamesTable[[#This Row],[JAMMA]]="YES","JAMMA","")&amp;
IF(GamesTable[[#This Row],[MVS]]="YES","MVS","")&amp;
IF(GamesTable[[#This Row],[AES]]="YES","AES","")&amp;
IF(GamesTable[[#This Row],[NGCD]]="YES","NGCD","")&amp;
IF(GamesTable[[#This Row],[ROM]]="YES","ROM","")</f>
        <v>MVSAESNGCD</v>
      </c>
      <c r="S207" t="s">
        <v>10174</v>
      </c>
      <c r="T207" t="s">
        <v>10173</v>
      </c>
      <c r="U207" t="s">
        <v>10173</v>
      </c>
      <c r="V207" t="s">
        <v>10173</v>
      </c>
      <c r="X207">
        <v>1</v>
      </c>
      <c r="Y207">
        <v>3</v>
      </c>
      <c r="Z207">
        <v>2</v>
      </c>
      <c r="AA207">
        <v>4</v>
      </c>
      <c r="AB207" t="s">
        <v>3022</v>
      </c>
    </row>
    <row r="208" spans="1:28" x14ac:dyDescent="0.25">
      <c r="A208" t="s">
        <v>9836</v>
      </c>
      <c r="C208" t="s">
        <v>7832</v>
      </c>
      <c r="D208" t="s">
        <v>9826</v>
      </c>
      <c r="E208" t="s">
        <v>1101</v>
      </c>
      <c r="F208" t="s">
        <v>1912</v>
      </c>
      <c r="G208" t="s">
        <v>9827</v>
      </c>
      <c r="H208" t="s">
        <v>8128</v>
      </c>
      <c r="J208">
        <v>81168</v>
      </c>
      <c r="K208" t="s">
        <v>9086</v>
      </c>
      <c r="L208" t="s">
        <v>9088</v>
      </c>
      <c r="M208" s="33"/>
      <c r="N208" s="34" t="s">
        <v>9876</v>
      </c>
      <c r="O208" s="34">
        <v>30</v>
      </c>
      <c r="P208">
        <v>243</v>
      </c>
      <c r="Q208">
        <v>554</v>
      </c>
      <c r="R208" t="str">
        <f xml:space="preserve">
IF(GamesTable[[#This Row],[JAMMA]]="YES","JAMMA","")&amp;
IF(GamesTable[[#This Row],[MVS]]="YES","MVS","")&amp;
IF(GamesTable[[#This Row],[AES]]="YES","AES","")&amp;
IF(GamesTable[[#This Row],[NGCD]]="YES","NGCD","")&amp;
IF(GamesTable[[#This Row],[ROM]]="YES","ROM","")</f>
        <v>MVSAESNGCD</v>
      </c>
      <c r="S208" t="s">
        <v>10174</v>
      </c>
      <c r="T208" t="s">
        <v>10173</v>
      </c>
      <c r="U208" t="s">
        <v>10173</v>
      </c>
      <c r="V208" t="s">
        <v>10173</v>
      </c>
      <c r="X208">
        <v>3</v>
      </c>
      <c r="Y208">
        <v>3</v>
      </c>
      <c r="Z208">
        <v>2</v>
      </c>
      <c r="AA208">
        <v>5</v>
      </c>
      <c r="AB208" t="s">
        <v>2632</v>
      </c>
    </row>
    <row r="209" spans="1:28" x14ac:dyDescent="0.25">
      <c r="A209" t="s">
        <v>9836</v>
      </c>
      <c r="C209" t="s">
        <v>7895</v>
      </c>
      <c r="D209" t="s">
        <v>8011</v>
      </c>
      <c r="E209" t="s">
        <v>3906</v>
      </c>
      <c r="F209" t="s">
        <v>1912</v>
      </c>
      <c r="G209" t="s">
        <v>7248</v>
      </c>
      <c r="H209" t="s">
        <v>8099</v>
      </c>
      <c r="I209">
        <v>46838</v>
      </c>
      <c r="J209">
        <v>81210</v>
      </c>
      <c r="K209" t="s">
        <v>9086</v>
      </c>
      <c r="L209" t="s">
        <v>9088</v>
      </c>
      <c r="M209" s="33"/>
      <c r="N209" s="34"/>
      <c r="O209" s="34"/>
      <c r="P209">
        <v>11</v>
      </c>
      <c r="Q209">
        <v>55</v>
      </c>
      <c r="R209" t="str">
        <f xml:space="preserve">
IF(GamesTable[[#This Row],[JAMMA]]="YES","JAMMA","")&amp;
IF(GamesTable[[#This Row],[MVS]]="YES","MVS","")&amp;
IF(GamesTable[[#This Row],[AES]]="YES","AES","")&amp;
IF(GamesTable[[#This Row],[NGCD]]="YES","NGCD","")&amp;
IF(GamesTable[[#This Row],[ROM]]="YES","ROM","")</f>
        <v>MVSNGCD</v>
      </c>
      <c r="S209" t="s">
        <v>10174</v>
      </c>
      <c r="T209" t="s">
        <v>10173</v>
      </c>
      <c r="U209" t="s">
        <v>10174</v>
      </c>
      <c r="V209" t="s">
        <v>10173</v>
      </c>
      <c r="AB209" t="s">
        <v>7258</v>
      </c>
    </row>
    <row r="210" spans="1:28" x14ac:dyDescent="0.25">
      <c r="A210" t="s">
        <v>9836</v>
      </c>
      <c r="C210" t="s">
        <v>7930</v>
      </c>
      <c r="D210" t="s">
        <v>9828</v>
      </c>
      <c r="E210" t="s">
        <v>1280</v>
      </c>
      <c r="F210" t="s">
        <v>1912</v>
      </c>
      <c r="G210" t="s">
        <v>9829</v>
      </c>
      <c r="H210" t="s">
        <v>8144</v>
      </c>
      <c r="I210">
        <v>39537</v>
      </c>
      <c r="J210">
        <v>81216</v>
      </c>
      <c r="K210" t="s">
        <v>9086</v>
      </c>
      <c r="L210" t="s">
        <v>9088</v>
      </c>
      <c r="M210" s="33"/>
      <c r="N210" s="34"/>
      <c r="O210" s="34"/>
      <c r="P210">
        <v>215</v>
      </c>
      <c r="Q210">
        <v>226</v>
      </c>
      <c r="R210" t="str">
        <f xml:space="preserve">
IF(GamesTable[[#This Row],[JAMMA]]="YES","JAMMA","")&amp;
IF(GamesTable[[#This Row],[MVS]]="YES","MVS","")&amp;
IF(GamesTable[[#This Row],[AES]]="YES","AES","")&amp;
IF(GamesTable[[#This Row],[NGCD]]="YES","NGCD","")&amp;
IF(GamesTable[[#This Row],[ROM]]="YES","ROM","")</f>
        <v>MVS</v>
      </c>
      <c r="S210" t="s">
        <v>10174</v>
      </c>
      <c r="T210" t="s">
        <v>10173</v>
      </c>
      <c r="U210" t="s">
        <v>10174</v>
      </c>
      <c r="V210" t="s">
        <v>10174</v>
      </c>
      <c r="AB210" t="s">
        <v>3653</v>
      </c>
    </row>
    <row r="211" spans="1:28" x14ac:dyDescent="0.25">
      <c r="A211" t="s">
        <v>9836</v>
      </c>
      <c r="C211" t="s">
        <v>7900</v>
      </c>
      <c r="D211" t="s">
        <v>8015</v>
      </c>
      <c r="E211" t="s">
        <v>6279</v>
      </c>
      <c r="F211" t="s">
        <v>5638</v>
      </c>
      <c r="G211" t="s">
        <v>6270</v>
      </c>
      <c r="H211" t="s">
        <v>8102</v>
      </c>
      <c r="I211">
        <v>46521</v>
      </c>
      <c r="J211">
        <v>81222</v>
      </c>
      <c r="K211" t="s">
        <v>9086</v>
      </c>
      <c r="L211" t="s">
        <v>9088</v>
      </c>
      <c r="M211" s="33"/>
      <c r="N211" s="34"/>
      <c r="O211" s="34"/>
      <c r="P211">
        <v>38</v>
      </c>
      <c r="Q211">
        <v>46</v>
      </c>
      <c r="R211" t="str">
        <f xml:space="preserve">
IF(GamesTable[[#This Row],[JAMMA]]="YES","JAMMA","")&amp;
IF(GamesTable[[#This Row],[MVS]]="YES","MVS","")&amp;
IF(GamesTable[[#This Row],[AES]]="YES","AES","")&amp;
IF(GamesTable[[#This Row],[NGCD]]="YES","NGCD","")&amp;
IF(GamesTable[[#This Row],[ROM]]="YES","ROM","")</f>
        <v>MVSNGCD</v>
      </c>
      <c r="S211" t="s">
        <v>10174</v>
      </c>
      <c r="T211" t="s">
        <v>10173</v>
      </c>
      <c r="U211" t="s">
        <v>10174</v>
      </c>
      <c r="V211" t="s">
        <v>10173</v>
      </c>
      <c r="AB211" t="s">
        <v>6281</v>
      </c>
    </row>
    <row r="212" spans="1:28" x14ac:dyDescent="0.25">
      <c r="A212" t="s">
        <v>9836</v>
      </c>
      <c r="C212" t="s">
        <v>9007</v>
      </c>
      <c r="D212" t="s">
        <v>9006</v>
      </c>
      <c r="E212">
        <v>2012</v>
      </c>
      <c r="F212" t="s">
        <v>9008</v>
      </c>
      <c r="K212" t="s">
        <v>8986</v>
      </c>
      <c r="L212" t="s">
        <v>9089</v>
      </c>
      <c r="M212" s="33"/>
      <c r="N212" s="34"/>
      <c r="O212" s="34"/>
      <c r="R212" t="str">
        <f xml:space="preserve">
IF(GamesTable[[#This Row],[JAMMA]]="YES","JAMMA","")&amp;
IF(GamesTable[[#This Row],[MVS]]="YES","MVS","")&amp;
IF(GamesTable[[#This Row],[AES]]="YES","AES","")&amp;
IF(GamesTable[[#This Row],[NGCD]]="YES","NGCD","")&amp;
IF(GamesTable[[#This Row],[ROM]]="YES","ROM","")</f>
        <v/>
      </c>
    </row>
    <row r="213" spans="1:28" x14ac:dyDescent="0.25">
      <c r="A213" t="s">
        <v>9836</v>
      </c>
      <c r="C213" t="s">
        <v>7897</v>
      </c>
      <c r="D213" t="s">
        <v>8013</v>
      </c>
      <c r="E213" t="s">
        <v>393</v>
      </c>
      <c r="F213" t="s">
        <v>1912</v>
      </c>
      <c r="G213" t="s">
        <v>5914</v>
      </c>
      <c r="H213" t="s">
        <v>8101</v>
      </c>
      <c r="I213">
        <v>46520</v>
      </c>
      <c r="J213">
        <v>81325</v>
      </c>
      <c r="K213" t="s">
        <v>9086</v>
      </c>
      <c r="L213" t="s">
        <v>9088</v>
      </c>
      <c r="M213" s="33"/>
      <c r="N213" s="34"/>
      <c r="O213" s="34"/>
      <c r="P213">
        <v>46</v>
      </c>
      <c r="Q213">
        <v>110</v>
      </c>
      <c r="R213" t="str">
        <f xml:space="preserve">
IF(GamesTable[[#This Row],[JAMMA]]="YES","JAMMA","")&amp;
IF(GamesTable[[#This Row],[MVS]]="YES","MVS","")&amp;
IF(GamesTable[[#This Row],[AES]]="YES","AES","")&amp;
IF(GamesTable[[#This Row],[NGCD]]="YES","NGCD","")&amp;
IF(GamesTable[[#This Row],[ROM]]="YES","ROM","")</f>
        <v>MVSNGCD</v>
      </c>
      <c r="S213" t="s">
        <v>10174</v>
      </c>
      <c r="T213" t="s">
        <v>10173</v>
      </c>
      <c r="U213" t="s">
        <v>10174</v>
      </c>
      <c r="V213" t="s">
        <v>10173</v>
      </c>
      <c r="AB213" t="s">
        <v>5919</v>
      </c>
    </row>
    <row r="214" spans="1:28" x14ac:dyDescent="0.25">
      <c r="A214" t="s">
        <v>9836</v>
      </c>
      <c r="C214" t="s">
        <v>7899</v>
      </c>
      <c r="D214" t="s">
        <v>8014</v>
      </c>
      <c r="E214" t="s">
        <v>3906</v>
      </c>
      <c r="F214" t="s">
        <v>1912</v>
      </c>
      <c r="G214" t="s">
        <v>7632</v>
      </c>
      <c r="H214" t="s">
        <v>8118</v>
      </c>
      <c r="I214">
        <v>40471</v>
      </c>
      <c r="J214">
        <v>81328</v>
      </c>
      <c r="K214" t="s">
        <v>9086</v>
      </c>
      <c r="L214" t="s">
        <v>9088</v>
      </c>
      <c r="M214" s="33"/>
      <c r="N214" s="34"/>
      <c r="O214" s="34"/>
      <c r="P214">
        <v>3</v>
      </c>
      <c r="Q214">
        <v>62</v>
      </c>
      <c r="R214" t="str">
        <f xml:space="preserve">
IF(GamesTable[[#This Row],[JAMMA]]="YES","JAMMA","")&amp;
IF(GamesTable[[#This Row],[MVS]]="YES","MVS","")&amp;
IF(GamesTable[[#This Row],[AES]]="YES","AES","")&amp;
IF(GamesTable[[#This Row],[NGCD]]="YES","NGCD","")&amp;
IF(GamesTable[[#This Row],[ROM]]="YES","ROM","")</f>
        <v>MVSNGCD</v>
      </c>
      <c r="S214" t="s">
        <v>10174</v>
      </c>
      <c r="T214" t="s">
        <v>10173</v>
      </c>
      <c r="U214" t="s">
        <v>10174</v>
      </c>
      <c r="V214" t="s">
        <v>10173</v>
      </c>
      <c r="AB214" t="s">
        <v>7642</v>
      </c>
    </row>
    <row r="215" spans="1:28" x14ac:dyDescent="0.25">
      <c r="A215" t="s">
        <v>9836</v>
      </c>
      <c r="C215" t="s">
        <v>7898</v>
      </c>
      <c r="D215" t="s">
        <v>49</v>
      </c>
      <c r="E215" t="s">
        <v>48</v>
      </c>
      <c r="F215" t="s">
        <v>47</v>
      </c>
      <c r="G215" t="s">
        <v>7768</v>
      </c>
      <c r="I215">
        <v>47591</v>
      </c>
      <c r="K215" t="s">
        <v>9034</v>
      </c>
      <c r="L215" t="s">
        <v>9089</v>
      </c>
      <c r="M215" s="33"/>
      <c r="N215" s="34"/>
      <c r="O215" s="34"/>
      <c r="R215" t="str">
        <f xml:space="preserve">
IF(GamesTable[[#This Row],[JAMMA]]="YES","JAMMA","")&amp;
IF(GamesTable[[#This Row],[MVS]]="YES","MVS","")&amp;
IF(GamesTable[[#This Row],[AES]]="YES","AES","")&amp;
IF(GamesTable[[#This Row],[NGCD]]="YES","NGCD","")&amp;
IF(GamesTable[[#This Row],[ROM]]="YES","ROM","")</f>
        <v/>
      </c>
      <c r="AB215" t="s">
        <v>50</v>
      </c>
    </row>
    <row r="216" spans="1:28" x14ac:dyDescent="0.25">
      <c r="A216" t="s">
        <v>9836</v>
      </c>
      <c r="C216" t="s">
        <v>7902</v>
      </c>
      <c r="D216" t="s">
        <v>3276</v>
      </c>
      <c r="E216" t="s">
        <v>1280</v>
      </c>
      <c r="F216" t="s">
        <v>3275</v>
      </c>
      <c r="G216" t="s">
        <v>3269</v>
      </c>
      <c r="H216" t="s">
        <v>8104</v>
      </c>
      <c r="I216">
        <v>35378</v>
      </c>
      <c r="J216">
        <v>81518</v>
      </c>
      <c r="K216" t="s">
        <v>9086</v>
      </c>
      <c r="L216" t="s">
        <v>9088</v>
      </c>
      <c r="M216" s="33"/>
      <c r="N216" s="34"/>
      <c r="O216" s="34"/>
      <c r="P216">
        <v>224</v>
      </c>
      <c r="Q216">
        <v>146</v>
      </c>
      <c r="R216" t="str">
        <f xml:space="preserve">
IF(GamesTable[[#This Row],[JAMMA]]="YES","JAMMA","")&amp;
IF(GamesTable[[#This Row],[MVS]]="YES","MVS","")&amp;
IF(GamesTable[[#This Row],[AES]]="YES","AES","")&amp;
IF(GamesTable[[#This Row],[NGCD]]="YES","NGCD","")&amp;
IF(GamesTable[[#This Row],[ROM]]="YES","ROM","")</f>
        <v>MVSNGCD</v>
      </c>
      <c r="S216" t="s">
        <v>10174</v>
      </c>
      <c r="T216" t="s">
        <v>10173</v>
      </c>
      <c r="U216" t="s">
        <v>10174</v>
      </c>
      <c r="V216" t="s">
        <v>10173</v>
      </c>
      <c r="AB216" t="s">
        <v>3277</v>
      </c>
    </row>
    <row r="217" spans="1:28" x14ac:dyDescent="0.25">
      <c r="A217" t="s">
        <v>9836</v>
      </c>
      <c r="C217" t="s">
        <v>9053</v>
      </c>
      <c r="D217" t="s">
        <v>9046</v>
      </c>
      <c r="E217" t="s">
        <v>9011</v>
      </c>
      <c r="F217" t="s">
        <v>9039</v>
      </c>
      <c r="K217" t="s">
        <v>8986</v>
      </c>
      <c r="L217" t="s">
        <v>9089</v>
      </c>
      <c r="M217" s="33"/>
      <c r="N217" s="34"/>
      <c r="O217" s="34"/>
      <c r="R217" t="str">
        <f xml:space="preserve">
IF(GamesTable[[#This Row],[JAMMA]]="YES","JAMMA","")&amp;
IF(GamesTable[[#This Row],[MVS]]="YES","MVS","")&amp;
IF(GamesTable[[#This Row],[AES]]="YES","AES","")&amp;
IF(GamesTable[[#This Row],[NGCD]]="YES","NGCD","")&amp;
IF(GamesTable[[#This Row],[ROM]]="YES","ROM","")</f>
        <v/>
      </c>
    </row>
    <row r="218" spans="1:28" x14ac:dyDescent="0.25">
      <c r="A218" t="s">
        <v>9836</v>
      </c>
      <c r="C218" t="s">
        <v>7904</v>
      </c>
      <c r="D218" t="s">
        <v>5758</v>
      </c>
      <c r="E218" t="s">
        <v>5639</v>
      </c>
      <c r="F218" t="s">
        <v>5736</v>
      </c>
      <c r="G218" t="s">
        <v>5735</v>
      </c>
      <c r="H218" t="s">
        <v>8105</v>
      </c>
      <c r="I218">
        <v>20707</v>
      </c>
      <c r="J218">
        <v>81663</v>
      </c>
      <c r="K218" t="s">
        <v>9086</v>
      </c>
      <c r="L218" t="s">
        <v>9088</v>
      </c>
      <c r="M218" s="33"/>
      <c r="N218" s="34"/>
      <c r="O218" s="34"/>
      <c r="P218">
        <v>51</v>
      </c>
      <c r="Q218">
        <v>74</v>
      </c>
      <c r="R218" t="str">
        <f xml:space="preserve">
IF(GamesTable[[#This Row],[JAMMA]]="YES","JAMMA","")&amp;
IF(GamesTable[[#This Row],[MVS]]="YES","MVS","")&amp;
IF(GamesTable[[#This Row],[AES]]="YES","AES","")&amp;
IF(GamesTable[[#This Row],[NGCD]]="YES","NGCD","")&amp;
IF(GamesTable[[#This Row],[ROM]]="YES","ROM","")</f>
        <v>MVSNGCD</v>
      </c>
      <c r="S218" t="s">
        <v>10174</v>
      </c>
      <c r="T218" t="s">
        <v>10173</v>
      </c>
      <c r="U218" t="s">
        <v>10174</v>
      </c>
      <c r="V218" t="s">
        <v>10173</v>
      </c>
      <c r="AB218" t="s">
        <v>5731</v>
      </c>
    </row>
    <row r="219" spans="1:28" x14ac:dyDescent="0.25">
      <c r="A219" t="s">
        <v>9836</v>
      </c>
      <c r="C219" t="s">
        <v>8988</v>
      </c>
      <c r="D219" t="s">
        <v>8380</v>
      </c>
      <c r="E219">
        <v>2001</v>
      </c>
      <c r="F219" t="s">
        <v>8989</v>
      </c>
      <c r="J219">
        <v>81606</v>
      </c>
      <c r="K219" t="s">
        <v>9086</v>
      </c>
      <c r="L219" t="s">
        <v>9088</v>
      </c>
      <c r="M219" s="33"/>
      <c r="N219" s="34"/>
      <c r="O219" s="34"/>
      <c r="R219" t="str">
        <f xml:space="preserve">
IF(GamesTable[[#This Row],[JAMMA]]="YES","JAMMA","")&amp;
IF(GamesTable[[#This Row],[MVS]]="YES","MVS","")&amp;
IF(GamesTable[[#This Row],[AES]]="YES","AES","")&amp;
IF(GamesTable[[#This Row],[NGCD]]="YES","NGCD","")&amp;
IF(GamesTable[[#This Row],[ROM]]="YES","ROM","")</f>
        <v/>
      </c>
      <c r="AB219" t="s">
        <v>8990</v>
      </c>
    </row>
    <row r="220" spans="1:28" x14ac:dyDescent="0.25">
      <c r="A220" t="s">
        <v>9836</v>
      </c>
      <c r="C220" t="s">
        <v>7810</v>
      </c>
      <c r="D220" t="s">
        <v>9831</v>
      </c>
      <c r="E220" t="s">
        <v>1239</v>
      </c>
      <c r="F220" t="s">
        <v>3827</v>
      </c>
      <c r="G220" t="s">
        <v>9830</v>
      </c>
      <c r="H220" t="s">
        <v>8046</v>
      </c>
      <c r="I220">
        <v>39590</v>
      </c>
      <c r="J220">
        <v>81723</v>
      </c>
      <c r="K220" t="s">
        <v>9086</v>
      </c>
      <c r="L220" t="s">
        <v>9088</v>
      </c>
      <c r="M220" s="33"/>
      <c r="N220" s="34" t="s">
        <v>9890</v>
      </c>
      <c r="O220" s="34">
        <v>55</v>
      </c>
      <c r="P220">
        <v>94</v>
      </c>
      <c r="Q220">
        <v>186</v>
      </c>
      <c r="R220" t="str">
        <f xml:space="preserve">
IF(GamesTable[[#This Row],[JAMMA]]="YES","JAMMA","")&amp;
IF(GamesTable[[#This Row],[MVS]]="YES","MVS","")&amp;
IF(GamesTable[[#This Row],[AES]]="YES","AES","")&amp;
IF(GamesTable[[#This Row],[NGCD]]="YES","NGCD","")&amp;
IF(GamesTable[[#This Row],[ROM]]="YES","ROM","")</f>
        <v>MVSNGCD</v>
      </c>
      <c r="S220" t="s">
        <v>10174</v>
      </c>
      <c r="T220" t="s">
        <v>10173</v>
      </c>
      <c r="U220" t="s">
        <v>10174</v>
      </c>
      <c r="V220" t="s">
        <v>10173</v>
      </c>
      <c r="AB220" t="s">
        <v>4183</v>
      </c>
    </row>
    <row r="221" spans="1:28" x14ac:dyDescent="0.25">
      <c r="A221" t="s">
        <v>9836</v>
      </c>
      <c r="C221" t="s">
        <v>7905</v>
      </c>
      <c r="D221" t="s">
        <v>3243</v>
      </c>
      <c r="E221" t="s">
        <v>1280</v>
      </c>
      <c r="F221" t="s">
        <v>3242</v>
      </c>
      <c r="G221" t="s">
        <v>3233</v>
      </c>
      <c r="H221" t="s">
        <v>8106</v>
      </c>
      <c r="I221">
        <v>27593</v>
      </c>
      <c r="J221">
        <v>81779</v>
      </c>
      <c r="K221" t="s">
        <v>9086</v>
      </c>
      <c r="L221" t="s">
        <v>9088</v>
      </c>
      <c r="M221" s="33"/>
      <c r="N221" s="34" t="s">
        <v>9891</v>
      </c>
      <c r="O221" s="34">
        <v>55</v>
      </c>
      <c r="P221">
        <v>225</v>
      </c>
      <c r="Q221">
        <v>259</v>
      </c>
      <c r="R221" t="str">
        <f xml:space="preserve">
IF(GamesTable[[#This Row],[JAMMA]]="YES","JAMMA","")&amp;
IF(GamesTable[[#This Row],[MVS]]="YES","MVS","")&amp;
IF(GamesTable[[#This Row],[AES]]="YES","AES","")&amp;
IF(GamesTable[[#This Row],[NGCD]]="YES","NGCD","")&amp;
IF(GamesTable[[#This Row],[ROM]]="YES","ROM","")</f>
        <v>MVS</v>
      </c>
      <c r="S221" t="s">
        <v>10174</v>
      </c>
      <c r="T221" t="s">
        <v>10173</v>
      </c>
      <c r="U221" t="s">
        <v>10174</v>
      </c>
      <c r="V221" t="s">
        <v>10174</v>
      </c>
      <c r="AB221" t="s">
        <v>3244</v>
      </c>
    </row>
    <row r="222" spans="1:28" x14ac:dyDescent="0.25">
      <c r="A222" t="s">
        <v>9836</v>
      </c>
      <c r="C222" t="s">
        <v>9076</v>
      </c>
      <c r="D222" t="s">
        <v>9832</v>
      </c>
      <c r="E222" t="s">
        <v>9037</v>
      </c>
      <c r="F222" t="s">
        <v>9069</v>
      </c>
      <c r="G222" t="s">
        <v>9833</v>
      </c>
      <c r="K222" t="s">
        <v>9034</v>
      </c>
      <c r="L222" t="s">
        <v>9089</v>
      </c>
      <c r="M222" s="33"/>
      <c r="N222" s="34"/>
      <c r="O222" s="34"/>
      <c r="P222">
        <v>77</v>
      </c>
      <c r="R222" t="str">
        <f xml:space="preserve">
IF(GamesTable[[#This Row],[JAMMA]]="YES","JAMMA","")&amp;
IF(GamesTable[[#This Row],[MVS]]="YES","MVS","")&amp;
IF(GamesTable[[#This Row],[AES]]="YES","AES","")&amp;
IF(GamesTable[[#This Row],[NGCD]]="YES","NGCD","")&amp;
IF(GamesTable[[#This Row],[ROM]]="YES","ROM","")</f>
        <v/>
      </c>
    </row>
    <row r="223" spans="1:28" x14ac:dyDescent="0.25">
      <c r="A223" t="s">
        <v>9836</v>
      </c>
      <c r="C223" t="s">
        <v>7909</v>
      </c>
      <c r="D223" t="s">
        <v>5181</v>
      </c>
      <c r="E223" t="s">
        <v>393</v>
      </c>
      <c r="F223" t="s">
        <v>3073</v>
      </c>
      <c r="G223" t="s">
        <v>5172</v>
      </c>
      <c r="H223" t="s">
        <v>7934</v>
      </c>
      <c r="I223">
        <v>11222</v>
      </c>
      <c r="J223">
        <v>29933</v>
      </c>
      <c r="K223" t="s">
        <v>9086</v>
      </c>
      <c r="L223" t="s">
        <v>9088</v>
      </c>
      <c r="M223" s="33"/>
      <c r="N223" s="34"/>
      <c r="O223" s="34"/>
      <c r="P223">
        <v>65</v>
      </c>
      <c r="Q223">
        <v>74</v>
      </c>
      <c r="R223" t="str">
        <f xml:space="preserve">
IF(GamesTable[[#This Row],[JAMMA]]="YES","JAMMA","")&amp;
IF(GamesTable[[#This Row],[MVS]]="YES","MVS","")&amp;
IF(GamesTable[[#This Row],[AES]]="YES","AES","")&amp;
IF(GamesTable[[#This Row],[NGCD]]="YES","NGCD","")&amp;
IF(GamesTable[[#This Row],[ROM]]="YES","ROM","")</f>
        <v>MVSNGCD</v>
      </c>
      <c r="S223" t="s">
        <v>10174</v>
      </c>
      <c r="T223" t="s">
        <v>10173</v>
      </c>
      <c r="U223" t="s">
        <v>10174</v>
      </c>
      <c r="V223" t="s">
        <v>10173</v>
      </c>
      <c r="AB223" t="s">
        <v>5182</v>
      </c>
    </row>
    <row r="224" spans="1:28" x14ac:dyDescent="0.25">
      <c r="A224" t="s">
        <v>9836</v>
      </c>
      <c r="C224" t="s">
        <v>7906</v>
      </c>
      <c r="D224" t="s">
        <v>8016</v>
      </c>
      <c r="E224" t="s">
        <v>5639</v>
      </c>
      <c r="F224" t="s">
        <v>5638</v>
      </c>
      <c r="G224" t="s">
        <v>5642</v>
      </c>
      <c r="H224" t="s">
        <v>8107</v>
      </c>
      <c r="I224">
        <v>4463</v>
      </c>
      <c r="J224">
        <v>81971</v>
      </c>
      <c r="K224" t="s">
        <v>9086</v>
      </c>
      <c r="L224" t="s">
        <v>9088</v>
      </c>
      <c r="M224" s="33"/>
      <c r="N224" s="34" t="s">
        <v>9892</v>
      </c>
      <c r="O224" s="34">
        <v>35</v>
      </c>
      <c r="P224">
        <v>53</v>
      </c>
      <c r="Q224">
        <v>82</v>
      </c>
      <c r="R224" t="str">
        <f xml:space="preserve">
IF(GamesTable[[#This Row],[JAMMA]]="YES","JAMMA","")&amp;
IF(GamesTable[[#This Row],[MVS]]="YES","MVS","")&amp;
IF(GamesTable[[#This Row],[AES]]="YES","AES","")&amp;
IF(GamesTable[[#This Row],[NGCD]]="YES","NGCD","")&amp;
IF(GamesTable[[#This Row],[ROM]]="YES","ROM","")</f>
        <v>MVSNGCD</v>
      </c>
      <c r="S224" t="s">
        <v>10174</v>
      </c>
      <c r="T224" t="s">
        <v>10173</v>
      </c>
      <c r="U224" t="s">
        <v>10174</v>
      </c>
      <c r="V224" t="s">
        <v>10173</v>
      </c>
      <c r="AB224" t="s">
        <v>5633</v>
      </c>
    </row>
    <row r="225" spans="1:28" x14ac:dyDescent="0.25">
      <c r="A225" t="s">
        <v>9836</v>
      </c>
      <c r="C225" t="s">
        <v>7907</v>
      </c>
      <c r="D225" t="s">
        <v>8017</v>
      </c>
      <c r="E225" t="s">
        <v>5315</v>
      </c>
      <c r="F225" t="s">
        <v>3770</v>
      </c>
      <c r="G225" t="s">
        <v>5490</v>
      </c>
      <c r="H225" t="s">
        <v>8108</v>
      </c>
      <c r="I225">
        <v>37251</v>
      </c>
      <c r="J225">
        <v>81972</v>
      </c>
      <c r="K225" t="s">
        <v>9086</v>
      </c>
      <c r="L225" t="s">
        <v>9088</v>
      </c>
      <c r="M225" s="33"/>
      <c r="N225" s="34" t="s">
        <v>9893</v>
      </c>
      <c r="O225" s="34">
        <v>35</v>
      </c>
      <c r="P225">
        <v>57</v>
      </c>
      <c r="Q225">
        <v>146</v>
      </c>
      <c r="R225" t="str">
        <f xml:space="preserve">
IF(GamesTable[[#This Row],[JAMMA]]="YES","JAMMA","")&amp;
IF(GamesTable[[#This Row],[MVS]]="YES","MVS","")&amp;
IF(GamesTable[[#This Row],[AES]]="YES","AES","")&amp;
IF(GamesTable[[#This Row],[NGCD]]="YES","NGCD","")&amp;
IF(GamesTable[[#This Row],[ROM]]="YES","ROM","")</f>
        <v>MVSNGCD</v>
      </c>
      <c r="S225" t="s">
        <v>10174</v>
      </c>
      <c r="T225" t="s">
        <v>10173</v>
      </c>
      <c r="U225" t="s">
        <v>10174</v>
      </c>
      <c r="V225" t="s">
        <v>10173</v>
      </c>
      <c r="AB225" t="s">
        <v>5492</v>
      </c>
    </row>
    <row r="226" spans="1:28" x14ac:dyDescent="0.25">
      <c r="A226" t="s">
        <v>9836</v>
      </c>
      <c r="B226" s="18"/>
      <c r="C226" s="18" t="s">
        <v>9733</v>
      </c>
      <c r="D226" t="s">
        <v>8364</v>
      </c>
      <c r="E226">
        <v>1994</v>
      </c>
      <c r="F226" t="s">
        <v>3770</v>
      </c>
      <c r="G226" t="s">
        <v>8363</v>
      </c>
      <c r="J226">
        <v>81973</v>
      </c>
      <c r="K226" t="s">
        <v>9086</v>
      </c>
      <c r="L226" t="s">
        <v>9088</v>
      </c>
      <c r="M226" s="33"/>
      <c r="N226" s="34"/>
      <c r="O226" s="34"/>
      <c r="P226">
        <v>64</v>
      </c>
      <c r="Q226">
        <v>178</v>
      </c>
      <c r="R226" t="str">
        <f xml:space="preserve">
IF(GamesTable[[#This Row],[JAMMA]]="YES","JAMMA","")&amp;
IF(GamesTable[[#This Row],[MVS]]="YES","MVS","")&amp;
IF(GamesTable[[#This Row],[AES]]="YES","AES","")&amp;
IF(GamesTable[[#This Row],[NGCD]]="YES","NGCD","")&amp;
IF(GamesTable[[#This Row],[ROM]]="YES","ROM","")</f>
        <v>MVSNGCD</v>
      </c>
      <c r="S226" t="s">
        <v>10174</v>
      </c>
      <c r="T226" t="s">
        <v>10173</v>
      </c>
      <c r="U226" t="s">
        <v>10174</v>
      </c>
      <c r="V226" t="s">
        <v>10173</v>
      </c>
      <c r="AB226" t="s">
        <v>5205</v>
      </c>
    </row>
    <row r="227" spans="1:28" x14ac:dyDescent="0.25">
      <c r="A227" t="s">
        <v>9836</v>
      </c>
      <c r="C227" t="s">
        <v>7908</v>
      </c>
      <c r="D227" t="s">
        <v>4300</v>
      </c>
      <c r="E227" t="s">
        <v>1239</v>
      </c>
      <c r="F227" t="s">
        <v>3275</v>
      </c>
      <c r="G227" t="s">
        <v>4294</v>
      </c>
      <c r="H227" t="s">
        <v>8109</v>
      </c>
      <c r="I227">
        <v>46779</v>
      </c>
      <c r="J227">
        <v>81974</v>
      </c>
      <c r="K227" t="s">
        <v>9086</v>
      </c>
      <c r="L227" t="s">
        <v>9088</v>
      </c>
      <c r="M227" s="33"/>
      <c r="N227" s="34" t="s">
        <v>9894</v>
      </c>
      <c r="O227" s="34">
        <v>30</v>
      </c>
      <c r="P227">
        <v>90</v>
      </c>
      <c r="Q227">
        <v>226</v>
      </c>
      <c r="R227" t="str">
        <f xml:space="preserve">
IF(GamesTable[[#This Row],[JAMMA]]="YES","JAMMA","")&amp;
IF(GamesTable[[#This Row],[MVS]]="YES","MVS","")&amp;
IF(GamesTable[[#This Row],[AES]]="YES","AES","")&amp;
IF(GamesTable[[#This Row],[NGCD]]="YES","NGCD","")&amp;
IF(GamesTable[[#This Row],[ROM]]="YES","ROM","")</f>
        <v>MVSNGCD</v>
      </c>
      <c r="S227" t="s">
        <v>10174</v>
      </c>
      <c r="T227" t="s">
        <v>10173</v>
      </c>
      <c r="U227" t="s">
        <v>10174</v>
      </c>
      <c r="V227" t="s">
        <v>10173</v>
      </c>
      <c r="AB227" t="s">
        <v>4301</v>
      </c>
    </row>
    <row r="228" spans="1:28" x14ac:dyDescent="0.25">
      <c r="A228" t="s">
        <v>9836</v>
      </c>
      <c r="C228" t="s">
        <v>9004</v>
      </c>
      <c r="D228" t="s">
        <v>9003</v>
      </c>
      <c r="E228">
        <v>2021</v>
      </c>
      <c r="F228" t="s">
        <v>9005</v>
      </c>
      <c r="H228" t="s">
        <v>9080</v>
      </c>
      <c r="J228">
        <v>252867</v>
      </c>
      <c r="K228" t="s">
        <v>9041</v>
      </c>
      <c r="L228" t="s">
        <v>9897</v>
      </c>
      <c r="M228" s="33"/>
      <c r="N228" s="34"/>
      <c r="O228" s="34"/>
      <c r="Q228">
        <v>306</v>
      </c>
      <c r="R228" t="str">
        <f xml:space="preserve">
IF(GamesTable[[#This Row],[JAMMA]]="YES","JAMMA","")&amp;
IF(GamesTable[[#This Row],[MVS]]="YES","MVS","")&amp;
IF(GamesTable[[#This Row],[AES]]="YES","AES","")&amp;
IF(GamesTable[[#This Row],[NGCD]]="YES","NGCD","")&amp;
IF(GamesTable[[#This Row],[ROM]]="YES","ROM","")</f>
        <v/>
      </c>
    </row>
    <row r="229" spans="1:28" x14ac:dyDescent="0.25">
      <c r="A229" t="s">
        <v>9836</v>
      </c>
      <c r="C229" t="s">
        <v>10210</v>
      </c>
      <c r="D229" t="s">
        <v>10209</v>
      </c>
      <c r="E229">
        <v>2023</v>
      </c>
      <c r="J229">
        <v>255397</v>
      </c>
      <c r="M229" s="33"/>
      <c r="N229" s="34"/>
      <c r="O229" s="34"/>
    </row>
    <row r="230" spans="1:28" x14ac:dyDescent="0.25">
      <c r="A230" t="s">
        <v>9836</v>
      </c>
      <c r="C230" t="s">
        <v>10206</v>
      </c>
      <c r="D230" t="s">
        <v>10207</v>
      </c>
      <c r="E230">
        <v>2023</v>
      </c>
      <c r="F230" t="s">
        <v>10208</v>
      </c>
      <c r="J230">
        <v>255967</v>
      </c>
      <c r="K230" t="s">
        <v>9041</v>
      </c>
      <c r="L230" t="s">
        <v>9897</v>
      </c>
      <c r="M230" s="33"/>
      <c r="N230" s="34"/>
      <c r="O230" s="34"/>
      <c r="Q230">
        <v>94</v>
      </c>
      <c r="R230" t="str">
        <f xml:space="preserve">
IF(GamesTable[[#This Row],[JAMMA]]="YES","JAMMA","")&amp;
IF(GamesTable[[#This Row],[MVS]]="YES","MVS","")&amp;
IF(GamesTable[[#This Row],[AES]]="YES","AES","")&amp;
IF(GamesTable[[#This Row],[NGCD]]="YES","NGCD","")&amp;
IF(GamesTable[[#This Row],[ROM]]="YES","ROM","")</f>
        <v>MVSAESNGCD</v>
      </c>
      <c r="S230" t="s">
        <v>10174</v>
      </c>
      <c r="T230" t="s">
        <v>10173</v>
      </c>
      <c r="U230" t="s">
        <v>10173</v>
      </c>
      <c r="V230" t="s">
        <v>10173</v>
      </c>
    </row>
    <row r="231" spans="1:28" x14ac:dyDescent="0.25">
      <c r="A231" t="s">
        <v>9836</v>
      </c>
      <c r="C231" t="s">
        <v>7910</v>
      </c>
      <c r="D231" t="s">
        <v>4914</v>
      </c>
      <c r="E231" t="s">
        <v>393</v>
      </c>
      <c r="F231" t="s">
        <v>4913</v>
      </c>
      <c r="G231" t="s">
        <v>4904</v>
      </c>
      <c r="H231" t="s">
        <v>8110</v>
      </c>
      <c r="I231">
        <v>39345</v>
      </c>
      <c r="J231">
        <v>82067</v>
      </c>
      <c r="K231" t="s">
        <v>9086</v>
      </c>
      <c r="L231" t="s">
        <v>9088</v>
      </c>
      <c r="M231" s="33"/>
      <c r="N231" s="34"/>
      <c r="O231" s="34"/>
      <c r="P231">
        <v>76</v>
      </c>
      <c r="Q231">
        <v>110</v>
      </c>
      <c r="R231" t="str">
        <f xml:space="preserve">
IF(GamesTable[[#This Row],[JAMMA]]="YES","JAMMA","")&amp;
IF(GamesTable[[#This Row],[MVS]]="YES","MVS","")&amp;
IF(GamesTable[[#This Row],[AES]]="YES","AES","")&amp;
IF(GamesTable[[#This Row],[NGCD]]="YES","NGCD","")&amp;
IF(GamesTable[[#This Row],[ROM]]="YES","ROM","")</f>
        <v>MVSAESNGCD</v>
      </c>
      <c r="S231" t="s">
        <v>10174</v>
      </c>
      <c r="T231" t="s">
        <v>10173</v>
      </c>
      <c r="U231" t="s">
        <v>10173</v>
      </c>
      <c r="V231" t="s">
        <v>10173</v>
      </c>
      <c r="AB231" t="s">
        <v>4915</v>
      </c>
    </row>
    <row r="232" spans="1:28" x14ac:dyDescent="0.25">
      <c r="A232" t="s">
        <v>9836</v>
      </c>
      <c r="C232" t="s">
        <v>7911</v>
      </c>
      <c r="D232" t="s">
        <v>9404</v>
      </c>
      <c r="E232" t="s">
        <v>1280</v>
      </c>
      <c r="F232" t="s">
        <v>194</v>
      </c>
      <c r="G232" t="s">
        <v>9834</v>
      </c>
      <c r="J232">
        <v>82095</v>
      </c>
      <c r="K232" t="s">
        <v>9734</v>
      </c>
      <c r="L232" t="s">
        <v>9088</v>
      </c>
      <c r="M232" s="33"/>
      <c r="N232" s="34"/>
      <c r="O232" s="34"/>
      <c r="P232">
        <v>211</v>
      </c>
      <c r="Q232">
        <v>74</v>
      </c>
      <c r="R232" t="str">
        <f xml:space="preserve">
IF(GamesTable[[#This Row],[JAMMA]]="YES","JAMMA","")&amp;
IF(GamesTable[[#This Row],[MVS]]="YES","MVS","")&amp;
IF(GamesTable[[#This Row],[AES]]="YES","AES","")&amp;
IF(GamesTable[[#This Row],[NGCD]]="YES","NGCD","")&amp;
IF(GamesTable[[#This Row],[ROM]]="YES","ROM","")</f>
        <v>NGCD</v>
      </c>
      <c r="S232" t="s">
        <v>10174</v>
      </c>
      <c r="T232" t="s">
        <v>10174</v>
      </c>
      <c r="U232" t="s">
        <v>10174</v>
      </c>
      <c r="V232" t="s">
        <v>10173</v>
      </c>
      <c r="AB232" t="s">
        <v>1282</v>
      </c>
    </row>
    <row r="233" spans="1:28" x14ac:dyDescent="0.25">
      <c r="A233" t="s">
        <v>9836</v>
      </c>
      <c r="C233" t="s">
        <v>7912</v>
      </c>
      <c r="D233" t="s">
        <v>5036</v>
      </c>
      <c r="E233" t="s">
        <v>959</v>
      </c>
      <c r="F233" t="s">
        <v>1912</v>
      </c>
      <c r="G233" t="s">
        <v>5035</v>
      </c>
      <c r="H233" t="s">
        <v>8021</v>
      </c>
      <c r="I233">
        <v>47577</v>
      </c>
      <c r="J233">
        <v>82117</v>
      </c>
      <c r="K233" t="s">
        <v>9086</v>
      </c>
      <c r="L233" t="s">
        <v>9088</v>
      </c>
      <c r="M233" s="33"/>
      <c r="N233" s="58"/>
      <c r="O233" s="58"/>
      <c r="P233">
        <v>70</v>
      </c>
      <c r="Q233">
        <v>46</v>
      </c>
      <c r="R233" t="str">
        <f xml:space="preserve">
IF(GamesTable[[#This Row],[JAMMA]]="YES","JAMMA","")&amp;
IF(GamesTable[[#This Row],[MVS]]="YES","MVS","")&amp;
IF(GamesTable[[#This Row],[AES]]="YES","AES","")&amp;
IF(GamesTable[[#This Row],[NGCD]]="YES","NGCD","")&amp;
IF(GamesTable[[#This Row],[ROM]]="YES","ROM","")</f>
        <v>MVS</v>
      </c>
      <c r="S233" t="s">
        <v>10174</v>
      </c>
      <c r="T233" t="s">
        <v>10173</v>
      </c>
      <c r="U233" t="s">
        <v>10174</v>
      </c>
      <c r="V233" t="s">
        <v>10174</v>
      </c>
      <c r="AB233" t="s">
        <v>5037</v>
      </c>
    </row>
    <row r="234" spans="1:28" x14ac:dyDescent="0.25">
      <c r="A234" t="s">
        <v>9839</v>
      </c>
      <c r="M234" s="57"/>
      <c r="N234" s="58"/>
      <c r="O234" s="58"/>
    </row>
    <row r="235" spans="1:28" x14ac:dyDescent="0.25">
      <c r="A235" t="s">
        <v>9839</v>
      </c>
      <c r="M235" s="57"/>
      <c r="N235" s="58"/>
      <c r="O235" s="58"/>
    </row>
  </sheetData>
  <hyperlinks>
    <hyperlink ref="G121" r:id="rId1" xr:uid="{C67805A5-2F6A-4958-8B16-6D02A12D34C2}"/>
    <hyperlink ref="G131" r:id="rId2" xr:uid="{D27296BA-4823-4F99-AEA5-4410BFE26A28}"/>
    <hyperlink ref="G118" r:id="rId3" xr:uid="{CFB5D2D7-DB34-4D03-A707-0B222ACAC337}"/>
    <hyperlink ref="G33" r:id="rId4" xr:uid="{84EF9FB4-1CBB-453F-B281-0E0318554274}"/>
    <hyperlink ref="G54" r:id="rId5" xr:uid="{78A144F2-0FF6-4F20-A22F-3C1D5D8CA433}"/>
    <hyperlink ref="G73" r:id="rId6" xr:uid="{9D5330FB-346D-40D4-8F8C-193C99182680}"/>
    <hyperlink ref="G111" r:id="rId7" xr:uid="{DB14AAB9-5DE3-4702-8D5F-D62E5FFE6E8A}"/>
    <hyperlink ref="G113" r:id="rId8" xr:uid="{D5920A12-6E93-463C-BF45-04806734148E}"/>
    <hyperlink ref="G115" r:id="rId9" xr:uid="{0CC2C81E-B1EA-411B-9D00-612B18F6A5C1}"/>
  </hyperlinks>
  <pageMargins left="0.7" right="0.7" top="0.75" bottom="0.75" header="0.3" footer="0.3"/>
  <pageSetup orientation="portrait" horizontalDpi="0" verticalDpi="0" r:id="rId10"/>
  <tableParts count="1">
    <tablePart r:id="rId1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15701-9AB4-438E-AA48-5AFAA71CFD46}">
  <dimension ref="A1:N207"/>
  <sheetViews>
    <sheetView workbookViewId="0">
      <selection activeCell="C2" sqref="C2"/>
    </sheetView>
  </sheetViews>
  <sheetFormatPr defaultRowHeight="15" x14ac:dyDescent="0.25"/>
  <cols>
    <col min="1" max="1" width="24.7109375" customWidth="1"/>
    <col min="2" max="2" width="8.28515625" bestFit="1" customWidth="1"/>
    <col min="3" max="3" width="7.42578125" bestFit="1" customWidth="1"/>
    <col min="4" max="4" width="13.85546875" bestFit="1" customWidth="1"/>
    <col min="5" max="5" width="48.7109375" bestFit="1" customWidth="1"/>
    <col min="6" max="6" width="11.140625" bestFit="1" customWidth="1"/>
    <col min="7" max="7" width="9.85546875" bestFit="1" customWidth="1"/>
    <col min="8" max="8" width="15.42578125" bestFit="1" customWidth="1"/>
    <col min="9" max="9" width="16.42578125" bestFit="1" customWidth="1"/>
    <col min="10" max="10" width="6.7109375" bestFit="1" customWidth="1"/>
  </cols>
  <sheetData>
    <row r="1" spans="1:14" ht="31.5" x14ac:dyDescent="0.25">
      <c r="B1" s="35" t="s">
        <v>9900</v>
      </c>
      <c r="C1" s="35" t="s">
        <v>9901</v>
      </c>
      <c r="D1" s="35" t="s">
        <v>9350</v>
      </c>
      <c r="E1" s="35" t="s">
        <v>9902</v>
      </c>
      <c r="F1" s="35" t="s">
        <v>9903</v>
      </c>
      <c r="G1" s="35" t="s">
        <v>106</v>
      </c>
      <c r="H1" s="35" t="s">
        <v>9904</v>
      </c>
      <c r="I1" s="35" t="s">
        <v>9905</v>
      </c>
      <c r="J1" s="35" t="s">
        <v>9906</v>
      </c>
      <c r="K1" s="59" t="s">
        <v>9747</v>
      </c>
      <c r="L1" s="59" t="s">
        <v>106</v>
      </c>
      <c r="M1" s="59" t="s">
        <v>35</v>
      </c>
      <c r="N1" s="59" t="s">
        <v>10172</v>
      </c>
    </row>
    <row r="2" spans="1:14" x14ac:dyDescent="0.25">
      <c r="A2" s="10" t="s">
        <v>7775</v>
      </c>
      <c r="B2" s="36">
        <v>1993</v>
      </c>
      <c r="C2" s="36">
        <v>43</v>
      </c>
      <c r="D2" s="37" t="s">
        <v>1912</v>
      </c>
      <c r="E2" s="37" t="s">
        <v>9907</v>
      </c>
      <c r="F2" s="36">
        <v>106</v>
      </c>
      <c r="G2" s="39" t="s">
        <v>9908</v>
      </c>
      <c r="H2" s="39" t="s">
        <v>9909</v>
      </c>
      <c r="I2" s="39" t="s">
        <v>9909</v>
      </c>
      <c r="J2" s="36" t="s">
        <v>9910</v>
      </c>
      <c r="K2" t="s">
        <v>10174</v>
      </c>
      <c r="L2" t="s">
        <v>10173</v>
      </c>
      <c r="M2" t="str">
        <f>IF(AND(H2="",I2=""),"YES","NO")</f>
        <v>NO</v>
      </c>
      <c r="N2" t="str">
        <f>IF(J2="","NO","YES")</f>
        <v>YES</v>
      </c>
    </row>
    <row r="3" spans="1:14" x14ac:dyDescent="0.25">
      <c r="A3" s="10" t="s">
        <v>7889</v>
      </c>
      <c r="B3" s="36">
        <v>1994</v>
      </c>
      <c r="C3" s="36">
        <v>75</v>
      </c>
      <c r="D3" s="37" t="s">
        <v>9911</v>
      </c>
      <c r="E3" s="37" t="s">
        <v>9912</v>
      </c>
      <c r="F3" s="36">
        <v>102</v>
      </c>
      <c r="G3" s="39" t="s">
        <v>9908</v>
      </c>
      <c r="H3" s="39" t="s">
        <v>9913</v>
      </c>
      <c r="I3" s="39" t="s">
        <v>9913</v>
      </c>
      <c r="J3" s="36" t="s">
        <v>9914</v>
      </c>
      <c r="K3" t="s">
        <v>10174</v>
      </c>
      <c r="L3" t="s">
        <v>10173</v>
      </c>
      <c r="M3" t="str">
        <f t="shared" ref="M3:M23" si="0">IF(AND(H3="",I3=""),"YES","NO")</f>
        <v>NO</v>
      </c>
      <c r="N3" t="str">
        <f t="shared" ref="N3:N23" si="1">IF(J3="","NO","YES")</f>
        <v>YES</v>
      </c>
    </row>
    <row r="4" spans="1:14" x14ac:dyDescent="0.25">
      <c r="A4" s="11" t="s">
        <v>7890</v>
      </c>
      <c r="B4" s="36">
        <v>1995</v>
      </c>
      <c r="C4" s="36">
        <v>97</v>
      </c>
      <c r="D4" s="37" t="s">
        <v>9911</v>
      </c>
      <c r="E4" s="37" t="s">
        <v>9915</v>
      </c>
      <c r="F4" s="36">
        <v>154</v>
      </c>
      <c r="G4" s="39" t="s">
        <v>9908</v>
      </c>
      <c r="H4" s="41" t="s">
        <v>9916</v>
      </c>
      <c r="I4" s="43"/>
      <c r="J4" s="36" t="s">
        <v>9917</v>
      </c>
      <c r="K4" t="s">
        <v>10174</v>
      </c>
      <c r="L4" t="s">
        <v>10173</v>
      </c>
      <c r="M4" t="str">
        <f t="shared" si="0"/>
        <v>NO</v>
      </c>
      <c r="N4" t="str">
        <f t="shared" si="1"/>
        <v>YES</v>
      </c>
    </row>
    <row r="5" spans="1:14" ht="30" x14ac:dyDescent="0.25">
      <c r="A5" s="10" t="s">
        <v>7778</v>
      </c>
      <c r="B5" s="36">
        <v>1994</v>
      </c>
      <c r="C5" s="36">
        <v>74</v>
      </c>
      <c r="D5" s="37" t="s">
        <v>3770</v>
      </c>
      <c r="E5" s="44" t="s">
        <v>9918</v>
      </c>
      <c r="F5" s="36">
        <v>178</v>
      </c>
      <c r="G5" s="39" t="s">
        <v>9908</v>
      </c>
      <c r="H5" s="39" t="s">
        <v>9913</v>
      </c>
      <c r="I5" s="39" t="s">
        <v>9913</v>
      </c>
      <c r="J5" s="36" t="s">
        <v>9919</v>
      </c>
      <c r="K5" t="s">
        <v>10174</v>
      </c>
      <c r="L5" t="s">
        <v>10173</v>
      </c>
      <c r="M5" t="str">
        <f t="shared" si="0"/>
        <v>NO</v>
      </c>
      <c r="N5" t="str">
        <f t="shared" si="1"/>
        <v>YES</v>
      </c>
    </row>
    <row r="6" spans="1:14" x14ac:dyDescent="0.25">
      <c r="A6" s="11" t="s">
        <v>7776</v>
      </c>
      <c r="B6" s="36">
        <v>1991</v>
      </c>
      <c r="C6" s="36">
        <v>7</v>
      </c>
      <c r="D6" s="37" t="s">
        <v>1912</v>
      </c>
      <c r="E6" s="37" t="s">
        <v>9920</v>
      </c>
      <c r="F6" s="36">
        <v>47</v>
      </c>
      <c r="G6" s="39" t="s">
        <v>9908</v>
      </c>
      <c r="H6" s="45" t="s">
        <v>9921</v>
      </c>
      <c r="I6" s="46" t="s">
        <v>9922</v>
      </c>
      <c r="J6" s="36" t="s">
        <v>9923</v>
      </c>
      <c r="K6" t="s">
        <v>10174</v>
      </c>
      <c r="L6" t="s">
        <v>10173</v>
      </c>
      <c r="M6" t="str">
        <f t="shared" si="0"/>
        <v>NO</v>
      </c>
      <c r="N6" t="str">
        <f t="shared" si="1"/>
        <v>YES</v>
      </c>
    </row>
    <row r="7" spans="1:14" x14ac:dyDescent="0.25">
      <c r="A7" s="10" t="s">
        <v>7777</v>
      </c>
      <c r="B7" s="36">
        <v>1992</v>
      </c>
      <c r="C7" s="36">
        <v>49</v>
      </c>
      <c r="D7" s="37" t="s">
        <v>1859</v>
      </c>
      <c r="E7" s="37" t="s">
        <v>8862</v>
      </c>
      <c r="F7" s="36">
        <v>32</v>
      </c>
      <c r="G7" s="39" t="s">
        <v>9908</v>
      </c>
      <c r="H7" s="39" t="s">
        <v>9924</v>
      </c>
      <c r="I7" s="39" t="s">
        <v>9924</v>
      </c>
      <c r="J7" s="43"/>
      <c r="K7" t="s">
        <v>10174</v>
      </c>
      <c r="L7" t="s">
        <v>10173</v>
      </c>
      <c r="M7" t="str">
        <f t="shared" si="0"/>
        <v>NO</v>
      </c>
      <c r="N7" t="str">
        <f t="shared" si="1"/>
        <v>NO</v>
      </c>
    </row>
    <row r="8" spans="1:14" x14ac:dyDescent="0.25">
      <c r="A8" s="11" t="s">
        <v>7779</v>
      </c>
      <c r="B8" s="36">
        <v>1992</v>
      </c>
      <c r="C8" s="36">
        <v>44</v>
      </c>
      <c r="D8" s="37" t="s">
        <v>1912</v>
      </c>
      <c r="E8" s="37" t="s">
        <v>9925</v>
      </c>
      <c r="F8" s="36">
        <v>102</v>
      </c>
      <c r="G8" s="39" t="s">
        <v>9908</v>
      </c>
      <c r="H8" s="39" t="s">
        <v>9926</v>
      </c>
      <c r="I8" s="46" t="s">
        <v>9926</v>
      </c>
      <c r="J8" s="36" t="s">
        <v>9923</v>
      </c>
      <c r="K8" t="s">
        <v>10174</v>
      </c>
      <c r="L8" t="s">
        <v>10173</v>
      </c>
      <c r="M8" t="str">
        <f t="shared" si="0"/>
        <v>NO</v>
      </c>
      <c r="N8" t="str">
        <f t="shared" si="1"/>
        <v>YES</v>
      </c>
    </row>
    <row r="9" spans="1:14" x14ac:dyDescent="0.25">
      <c r="A9" s="10" t="s">
        <v>7913</v>
      </c>
      <c r="B9" s="36">
        <v>1994</v>
      </c>
      <c r="C9" s="36">
        <v>56</v>
      </c>
      <c r="D9" s="37" t="s">
        <v>1912</v>
      </c>
      <c r="E9" s="44" t="s">
        <v>9761</v>
      </c>
      <c r="F9" s="36">
        <v>178</v>
      </c>
      <c r="G9" s="39" t="s">
        <v>9908</v>
      </c>
      <c r="H9" s="39" t="s">
        <v>9927</v>
      </c>
      <c r="I9" s="39" t="s">
        <v>9927</v>
      </c>
      <c r="J9" s="36" t="s">
        <v>9923</v>
      </c>
      <c r="K9" t="s">
        <v>10174</v>
      </c>
      <c r="L9" t="s">
        <v>10173</v>
      </c>
      <c r="M9" t="str">
        <f t="shared" si="0"/>
        <v>NO</v>
      </c>
      <c r="N9" t="str">
        <f t="shared" si="1"/>
        <v>YES</v>
      </c>
    </row>
    <row r="10" spans="1:14" x14ac:dyDescent="0.25">
      <c r="A10" s="11" t="s">
        <v>7914</v>
      </c>
      <c r="B10" s="36">
        <v>1996</v>
      </c>
      <c r="C10" s="36">
        <v>96</v>
      </c>
      <c r="D10" s="37" t="s">
        <v>1912</v>
      </c>
      <c r="E10" s="44" t="s">
        <v>9928</v>
      </c>
      <c r="F10" s="36">
        <v>298</v>
      </c>
      <c r="G10" s="39" t="s">
        <v>9908</v>
      </c>
      <c r="H10" s="41" t="s">
        <v>9929</v>
      </c>
      <c r="I10" s="41" t="s">
        <v>9929</v>
      </c>
      <c r="J10" s="36" t="s">
        <v>9930</v>
      </c>
      <c r="K10" t="s">
        <v>10174</v>
      </c>
      <c r="L10" t="s">
        <v>10173</v>
      </c>
      <c r="M10" t="str">
        <f t="shared" si="0"/>
        <v>NO</v>
      </c>
      <c r="N10" t="str">
        <f t="shared" si="1"/>
        <v>YES</v>
      </c>
    </row>
    <row r="11" spans="1:14" x14ac:dyDescent="0.25">
      <c r="A11" s="10" t="s">
        <v>7782</v>
      </c>
      <c r="B11" s="36">
        <v>2000</v>
      </c>
      <c r="C11" s="36">
        <v>259</v>
      </c>
      <c r="D11" s="37" t="s">
        <v>1859</v>
      </c>
      <c r="E11" s="44" t="s">
        <v>1860</v>
      </c>
      <c r="F11" s="36">
        <v>170</v>
      </c>
      <c r="G11" s="39" t="s">
        <v>9908</v>
      </c>
      <c r="H11" s="43"/>
      <c r="I11" s="43"/>
      <c r="J11" s="43"/>
      <c r="K11" t="s">
        <v>10174</v>
      </c>
      <c r="L11" t="s">
        <v>10173</v>
      </c>
      <c r="M11" t="str">
        <f t="shared" si="0"/>
        <v>YES</v>
      </c>
      <c r="N11" t="str">
        <f t="shared" si="1"/>
        <v>NO</v>
      </c>
    </row>
    <row r="12" spans="1:14" x14ac:dyDescent="0.25">
      <c r="A12" s="11" t="s">
        <v>7787</v>
      </c>
      <c r="B12" s="36">
        <v>1990</v>
      </c>
      <c r="C12" s="36">
        <v>2</v>
      </c>
      <c r="D12" s="37" t="s">
        <v>1912</v>
      </c>
      <c r="E12" s="37" t="s">
        <v>7941</v>
      </c>
      <c r="F12" s="36">
        <v>50</v>
      </c>
      <c r="G12" s="39" t="s">
        <v>9908</v>
      </c>
      <c r="H12" s="45" t="s">
        <v>9921</v>
      </c>
      <c r="I12" s="39" t="s">
        <v>9921</v>
      </c>
      <c r="J12" s="36" t="s">
        <v>9910</v>
      </c>
      <c r="K12" t="s">
        <v>10174</v>
      </c>
      <c r="L12" t="s">
        <v>10173</v>
      </c>
      <c r="M12" t="str">
        <f t="shared" si="0"/>
        <v>NO</v>
      </c>
      <c r="N12" t="str">
        <f t="shared" si="1"/>
        <v>YES</v>
      </c>
    </row>
    <row r="13" spans="1:14" x14ac:dyDescent="0.25">
      <c r="A13" s="10" t="s">
        <v>7915</v>
      </c>
      <c r="B13" s="36">
        <v>1992</v>
      </c>
      <c r="C13" s="36">
        <v>41</v>
      </c>
      <c r="D13" s="37" t="s">
        <v>1912</v>
      </c>
      <c r="E13" s="44" t="s">
        <v>6119</v>
      </c>
      <c r="F13" s="36">
        <v>68</v>
      </c>
      <c r="G13" s="39" t="s">
        <v>9908</v>
      </c>
      <c r="H13" s="39" t="s">
        <v>9931</v>
      </c>
      <c r="I13" s="46" t="s">
        <v>9932</v>
      </c>
      <c r="J13" s="36" t="s">
        <v>9923</v>
      </c>
      <c r="K13" t="s">
        <v>10174</v>
      </c>
      <c r="L13" t="s">
        <v>10173</v>
      </c>
      <c r="M13" t="str">
        <f t="shared" si="0"/>
        <v>NO</v>
      </c>
      <c r="N13" t="str">
        <f t="shared" si="1"/>
        <v>YES</v>
      </c>
    </row>
    <row r="14" spans="1:14" x14ac:dyDescent="0.25">
      <c r="A14" s="10" t="s">
        <v>7784</v>
      </c>
      <c r="B14" s="36">
        <v>1998</v>
      </c>
      <c r="C14" s="36">
        <v>239</v>
      </c>
      <c r="D14" s="37" t="s">
        <v>2854</v>
      </c>
      <c r="E14" s="44" t="s">
        <v>2855</v>
      </c>
      <c r="F14" s="36">
        <v>346</v>
      </c>
      <c r="G14" s="39" t="s">
        <v>9908</v>
      </c>
      <c r="H14" s="41" t="s">
        <v>9933</v>
      </c>
      <c r="I14" s="66" t="s">
        <v>9934</v>
      </c>
      <c r="J14" s="67"/>
      <c r="K14" t="s">
        <v>10174</v>
      </c>
      <c r="L14" t="s">
        <v>10173</v>
      </c>
      <c r="M14" t="str">
        <f t="shared" si="0"/>
        <v>NO</v>
      </c>
      <c r="N14" t="str">
        <f t="shared" si="1"/>
        <v>NO</v>
      </c>
    </row>
    <row r="15" spans="1:14" ht="25.5" x14ac:dyDescent="0.25">
      <c r="A15" s="10" t="s">
        <v>7783</v>
      </c>
      <c r="B15" s="36">
        <v>1990</v>
      </c>
      <c r="C15" s="36">
        <v>22</v>
      </c>
      <c r="D15" s="37" t="s">
        <v>3770</v>
      </c>
      <c r="E15" s="44" t="s">
        <v>9935</v>
      </c>
      <c r="F15" s="36">
        <v>50</v>
      </c>
      <c r="G15" s="39" t="s">
        <v>9908</v>
      </c>
      <c r="H15" s="45" t="s">
        <v>9921</v>
      </c>
      <c r="I15" s="39" t="s">
        <v>9921</v>
      </c>
      <c r="J15" s="36" t="s">
        <v>9936</v>
      </c>
      <c r="K15" t="s">
        <v>10174</v>
      </c>
      <c r="L15" t="s">
        <v>10173</v>
      </c>
      <c r="M15" t="str">
        <f t="shared" si="0"/>
        <v>NO</v>
      </c>
      <c r="N15" t="str">
        <f t="shared" si="1"/>
        <v>YES</v>
      </c>
    </row>
    <row r="16" spans="1:14" x14ac:dyDescent="0.25">
      <c r="A16" s="11" t="s">
        <v>7785</v>
      </c>
      <c r="B16" s="36">
        <v>1996</v>
      </c>
      <c r="C16" s="36">
        <v>230</v>
      </c>
      <c r="D16" s="37" t="s">
        <v>1859</v>
      </c>
      <c r="E16" s="37" t="s">
        <v>3149</v>
      </c>
      <c r="F16" s="36">
        <v>210</v>
      </c>
      <c r="G16" s="39" t="s">
        <v>9908</v>
      </c>
      <c r="H16" s="41" t="s">
        <v>9937</v>
      </c>
      <c r="I16" s="43"/>
      <c r="J16" s="36" t="s">
        <v>9908</v>
      </c>
      <c r="K16" t="s">
        <v>10174</v>
      </c>
      <c r="L16" t="s">
        <v>10173</v>
      </c>
      <c r="M16" t="str">
        <f t="shared" si="0"/>
        <v>NO</v>
      </c>
      <c r="N16" t="str">
        <f t="shared" si="1"/>
        <v>YES</v>
      </c>
    </row>
    <row r="17" spans="1:14" x14ac:dyDescent="0.25">
      <c r="A17" s="10" t="s">
        <v>7786</v>
      </c>
      <c r="B17" s="36">
        <v>1998</v>
      </c>
      <c r="C17" s="36">
        <v>245</v>
      </c>
      <c r="D17" s="37" t="s">
        <v>1859</v>
      </c>
      <c r="E17" s="37" t="s">
        <v>2558</v>
      </c>
      <c r="F17" s="36">
        <v>242</v>
      </c>
      <c r="G17" s="39" t="s">
        <v>9908</v>
      </c>
      <c r="H17" s="43"/>
      <c r="I17" s="43"/>
      <c r="J17" s="43"/>
      <c r="K17" t="s">
        <v>10174</v>
      </c>
      <c r="L17" t="s">
        <v>10173</v>
      </c>
      <c r="M17" t="str">
        <f t="shared" si="0"/>
        <v>YES</v>
      </c>
      <c r="N17" t="str">
        <f t="shared" si="1"/>
        <v>NO</v>
      </c>
    </row>
    <row r="18" spans="1:14" x14ac:dyDescent="0.25">
      <c r="A18" s="11" t="s">
        <v>7788</v>
      </c>
      <c r="B18" s="36">
        <v>1991</v>
      </c>
      <c r="C18" s="36">
        <v>18</v>
      </c>
      <c r="D18" s="37" t="s">
        <v>1912</v>
      </c>
      <c r="E18" s="44" t="s">
        <v>8776</v>
      </c>
      <c r="F18" s="36">
        <v>54</v>
      </c>
      <c r="G18" s="39" t="s">
        <v>9908</v>
      </c>
      <c r="H18" s="39" t="s">
        <v>9938</v>
      </c>
      <c r="I18" s="46" t="s">
        <v>9938</v>
      </c>
      <c r="J18" s="36" t="s">
        <v>9923</v>
      </c>
      <c r="K18" t="s">
        <v>10174</v>
      </c>
      <c r="L18" t="s">
        <v>10173</v>
      </c>
      <c r="M18" t="str">
        <f t="shared" si="0"/>
        <v>NO</v>
      </c>
      <c r="N18" t="str">
        <f t="shared" si="1"/>
        <v>YES</v>
      </c>
    </row>
    <row r="19" spans="1:14" x14ac:dyDescent="0.25">
      <c r="A19" s="10" t="s">
        <v>7860</v>
      </c>
      <c r="B19" s="36">
        <v>1994</v>
      </c>
      <c r="C19" s="36">
        <v>83</v>
      </c>
      <c r="D19" s="37" t="s">
        <v>4646</v>
      </c>
      <c r="E19" s="44" t="s">
        <v>9939</v>
      </c>
      <c r="F19" s="36">
        <v>32</v>
      </c>
      <c r="G19" s="39" t="s">
        <v>9908</v>
      </c>
      <c r="H19" s="43"/>
      <c r="I19" s="43"/>
      <c r="J19" s="36" t="s">
        <v>9940</v>
      </c>
      <c r="K19" t="s">
        <v>10174</v>
      </c>
      <c r="L19" t="s">
        <v>10173</v>
      </c>
      <c r="M19" t="str">
        <f t="shared" si="0"/>
        <v>YES</v>
      </c>
      <c r="N19" t="str">
        <f t="shared" si="1"/>
        <v>YES</v>
      </c>
    </row>
    <row r="20" spans="1:14" x14ac:dyDescent="0.25">
      <c r="A20" s="11" t="s">
        <v>7859</v>
      </c>
      <c r="B20" s="36">
        <v>1999</v>
      </c>
      <c r="C20" s="36">
        <v>248</v>
      </c>
      <c r="D20" s="37" t="s">
        <v>4646</v>
      </c>
      <c r="E20" s="37" t="s">
        <v>9941</v>
      </c>
      <c r="F20" s="36">
        <v>46</v>
      </c>
      <c r="G20" s="39" t="s">
        <v>9908</v>
      </c>
      <c r="H20" s="43"/>
      <c r="I20" s="43"/>
      <c r="J20" s="43"/>
      <c r="K20" t="s">
        <v>10174</v>
      </c>
      <c r="L20" t="s">
        <v>10173</v>
      </c>
      <c r="M20" t="str">
        <f t="shared" si="0"/>
        <v>YES</v>
      </c>
      <c r="N20" t="str">
        <f t="shared" si="1"/>
        <v>NO</v>
      </c>
    </row>
    <row r="21" spans="1:14" x14ac:dyDescent="0.25">
      <c r="A21" s="11" t="s">
        <v>7791</v>
      </c>
      <c r="B21" s="36">
        <v>1999</v>
      </c>
      <c r="C21" s="36">
        <v>249</v>
      </c>
      <c r="D21" s="37" t="s">
        <v>1859</v>
      </c>
      <c r="E21" s="44" t="s">
        <v>2404</v>
      </c>
      <c r="F21" s="36">
        <v>106</v>
      </c>
      <c r="G21" s="39" t="s">
        <v>9908</v>
      </c>
      <c r="H21" s="43"/>
      <c r="I21" s="43"/>
      <c r="J21" s="43"/>
      <c r="K21" t="s">
        <v>10174</v>
      </c>
      <c r="L21" t="s">
        <v>10173</v>
      </c>
      <c r="M21" t="str">
        <f t="shared" si="0"/>
        <v>YES</v>
      </c>
      <c r="N21" t="str">
        <f t="shared" si="1"/>
        <v>NO</v>
      </c>
    </row>
    <row r="22" spans="1:14" x14ac:dyDescent="0.25">
      <c r="A22" s="10" t="s">
        <v>7841</v>
      </c>
      <c r="B22" s="36">
        <v>1995</v>
      </c>
      <c r="C22" s="36">
        <v>206</v>
      </c>
      <c r="D22" s="37" t="s">
        <v>3882</v>
      </c>
      <c r="E22" s="47" t="s">
        <v>8771</v>
      </c>
      <c r="F22" s="36">
        <v>118</v>
      </c>
      <c r="G22" s="36" t="s">
        <v>9908</v>
      </c>
      <c r="H22" s="41" t="s">
        <v>9942</v>
      </c>
      <c r="I22" s="43"/>
      <c r="J22" s="43"/>
      <c r="K22" t="s">
        <v>10174</v>
      </c>
      <c r="L22" t="s">
        <v>10173</v>
      </c>
      <c r="M22" t="str">
        <f t="shared" si="0"/>
        <v>NO</v>
      </c>
      <c r="N22" t="str">
        <f t="shared" si="1"/>
        <v>NO</v>
      </c>
    </row>
    <row r="23" spans="1:14" ht="25.5" x14ac:dyDescent="0.25">
      <c r="A23" s="10" t="s">
        <v>7790</v>
      </c>
      <c r="B23" s="36">
        <v>1991</v>
      </c>
      <c r="C23" s="36">
        <v>37</v>
      </c>
      <c r="D23" s="37" t="s">
        <v>3770</v>
      </c>
      <c r="E23" s="44" t="s">
        <v>8769</v>
      </c>
      <c r="F23" s="36">
        <v>50</v>
      </c>
      <c r="G23" s="39" t="s">
        <v>9908</v>
      </c>
      <c r="H23" s="39" t="s">
        <v>9943</v>
      </c>
      <c r="I23" s="39" t="s">
        <v>9943</v>
      </c>
      <c r="J23" s="36" t="s">
        <v>9936</v>
      </c>
      <c r="K23" t="s">
        <v>10174</v>
      </c>
      <c r="L23" t="s">
        <v>10173</v>
      </c>
      <c r="M23" t="str">
        <f t="shared" si="0"/>
        <v>NO</v>
      </c>
      <c r="N23" t="str">
        <f t="shared" si="1"/>
        <v>YES</v>
      </c>
    </row>
    <row r="24" spans="1:14" x14ac:dyDescent="0.25">
      <c r="A24" s="11" t="s">
        <v>7792</v>
      </c>
      <c r="B24" s="36">
        <v>1990</v>
      </c>
      <c r="C24" s="36">
        <v>10</v>
      </c>
      <c r="D24" s="37" t="s">
        <v>1912</v>
      </c>
      <c r="E24" s="44" t="s">
        <v>8018</v>
      </c>
      <c r="F24" s="36">
        <v>50</v>
      </c>
      <c r="G24" s="39" t="s">
        <v>9908</v>
      </c>
      <c r="H24" s="45" t="s">
        <v>9921</v>
      </c>
      <c r="I24" s="39" t="s">
        <v>9921</v>
      </c>
      <c r="J24" s="36" t="s">
        <v>9910</v>
      </c>
      <c r="K24" t="s">
        <v>10174</v>
      </c>
      <c r="L24" t="s">
        <v>10173</v>
      </c>
      <c r="M24" t="str">
        <f t="shared" ref="M24:M52" si="2">IF(AND(H24="",I24=""),"YES","NO")</f>
        <v>NO</v>
      </c>
      <c r="N24" t="str">
        <f t="shared" ref="N24:N52" si="3">IF(J24="","NO","YES")</f>
        <v>YES</v>
      </c>
    </row>
    <row r="25" spans="1:14" x14ac:dyDescent="0.25">
      <c r="A25" t="s">
        <v>7794</v>
      </c>
      <c r="B25" s="36">
        <v>1995</v>
      </c>
      <c r="C25" s="36">
        <v>82</v>
      </c>
      <c r="D25" s="37" t="s">
        <v>9944</v>
      </c>
      <c r="E25" s="44" t="s">
        <v>8851</v>
      </c>
      <c r="F25" s="36">
        <v>178</v>
      </c>
      <c r="G25" s="39" t="s">
        <v>9908</v>
      </c>
      <c r="H25" s="39" t="s">
        <v>9945</v>
      </c>
      <c r="I25" s="39" t="s">
        <v>9945</v>
      </c>
      <c r="J25" s="36" t="s">
        <v>9946</v>
      </c>
      <c r="K25" t="s">
        <v>10174</v>
      </c>
      <c r="L25" t="s">
        <v>10173</v>
      </c>
      <c r="M25" t="str">
        <f t="shared" si="2"/>
        <v>NO</v>
      </c>
      <c r="N25" t="str">
        <f t="shared" si="3"/>
        <v>YES</v>
      </c>
    </row>
    <row r="26" spans="1:14" x14ac:dyDescent="0.25">
      <c r="A26" t="s">
        <v>7796</v>
      </c>
      <c r="B26" s="36">
        <v>1991</v>
      </c>
      <c r="C26" s="36">
        <v>25</v>
      </c>
      <c r="D26" s="37" t="s">
        <v>9947</v>
      </c>
      <c r="E26" s="44" t="s">
        <v>8757</v>
      </c>
      <c r="F26" s="36">
        <v>46</v>
      </c>
      <c r="G26" s="39" t="s">
        <v>9908</v>
      </c>
      <c r="H26" s="39" t="s">
        <v>9948</v>
      </c>
      <c r="I26" s="46" t="s">
        <v>9948</v>
      </c>
      <c r="J26" s="43"/>
      <c r="K26" t="s">
        <v>10174</v>
      </c>
      <c r="L26" t="s">
        <v>10173</v>
      </c>
      <c r="M26" t="str">
        <f t="shared" si="2"/>
        <v>NO</v>
      </c>
      <c r="N26" t="str">
        <f t="shared" si="3"/>
        <v>NO</v>
      </c>
    </row>
    <row r="27" spans="1:14" x14ac:dyDescent="0.25">
      <c r="A27" s="10" t="s">
        <v>7798</v>
      </c>
      <c r="B27" s="36">
        <v>1991</v>
      </c>
      <c r="C27" s="36">
        <v>33</v>
      </c>
      <c r="D27" s="37" t="s">
        <v>1912</v>
      </c>
      <c r="E27" s="44" t="s">
        <v>9949</v>
      </c>
      <c r="F27" s="36">
        <v>55</v>
      </c>
      <c r="G27" s="39" t="s">
        <v>9908</v>
      </c>
      <c r="H27" s="39" t="s">
        <v>9950</v>
      </c>
      <c r="I27" s="46" t="s">
        <v>9950</v>
      </c>
      <c r="J27" s="36" t="s">
        <v>9923</v>
      </c>
      <c r="K27" t="s">
        <v>10174</v>
      </c>
      <c r="L27" t="s">
        <v>10173</v>
      </c>
      <c r="M27" t="str">
        <f t="shared" si="2"/>
        <v>NO</v>
      </c>
      <c r="N27" t="str">
        <f t="shared" si="3"/>
        <v>YES</v>
      </c>
    </row>
    <row r="28" spans="1:14" x14ac:dyDescent="0.25">
      <c r="A28" t="s">
        <v>7799</v>
      </c>
      <c r="B28" s="36">
        <v>1992</v>
      </c>
      <c r="C28" s="36">
        <v>47</v>
      </c>
      <c r="D28" s="37" t="s">
        <v>1912</v>
      </c>
      <c r="E28" s="44" t="s">
        <v>9772</v>
      </c>
      <c r="F28" s="36">
        <v>106</v>
      </c>
      <c r="G28" s="39" t="s">
        <v>9908</v>
      </c>
      <c r="H28" s="39" t="s">
        <v>9951</v>
      </c>
      <c r="I28" s="46" t="s">
        <v>9951</v>
      </c>
      <c r="J28" s="36" t="s">
        <v>9923</v>
      </c>
      <c r="K28" t="s">
        <v>10174</v>
      </c>
      <c r="L28" t="s">
        <v>10173</v>
      </c>
      <c r="M28" t="str">
        <f t="shared" si="2"/>
        <v>NO</v>
      </c>
      <c r="N28" t="str">
        <f t="shared" si="3"/>
        <v>YES</v>
      </c>
    </row>
    <row r="29" spans="1:14" x14ac:dyDescent="0.25">
      <c r="A29" t="s">
        <v>7797</v>
      </c>
      <c r="B29" s="36">
        <v>1993</v>
      </c>
      <c r="C29" s="36">
        <v>58</v>
      </c>
      <c r="D29" s="37" t="s">
        <v>1912</v>
      </c>
      <c r="E29" s="44" t="s">
        <v>9776</v>
      </c>
      <c r="F29" s="36">
        <v>150</v>
      </c>
      <c r="G29" s="39" t="s">
        <v>9908</v>
      </c>
      <c r="H29" s="39" t="s">
        <v>9952</v>
      </c>
      <c r="I29" s="39" t="s">
        <v>9952</v>
      </c>
      <c r="J29" s="36" t="s">
        <v>9923</v>
      </c>
      <c r="K29" t="s">
        <v>10174</v>
      </c>
      <c r="L29" t="s">
        <v>10173</v>
      </c>
      <c r="M29" t="str">
        <f t="shared" si="2"/>
        <v>NO</v>
      </c>
      <c r="N29" t="str">
        <f t="shared" si="3"/>
        <v>YES</v>
      </c>
    </row>
    <row r="30" spans="1:14" x14ac:dyDescent="0.25">
      <c r="A30" s="11" t="s">
        <v>7800</v>
      </c>
      <c r="B30" s="36">
        <v>1995</v>
      </c>
      <c r="C30" s="36">
        <v>69</v>
      </c>
      <c r="D30" s="37" t="s">
        <v>1912</v>
      </c>
      <c r="E30" s="44" t="s">
        <v>9953</v>
      </c>
      <c r="F30" s="36">
        <v>266</v>
      </c>
      <c r="G30" s="39" t="s">
        <v>9908</v>
      </c>
      <c r="H30" s="41" t="s">
        <v>9910</v>
      </c>
      <c r="I30" s="41" t="s">
        <v>9910</v>
      </c>
      <c r="J30" s="36" t="s">
        <v>9954</v>
      </c>
      <c r="K30" t="s">
        <v>10174</v>
      </c>
      <c r="L30" t="s">
        <v>10173</v>
      </c>
      <c r="M30" t="str">
        <f t="shared" si="2"/>
        <v>NO</v>
      </c>
      <c r="N30" t="str">
        <f t="shared" si="3"/>
        <v>YES</v>
      </c>
    </row>
    <row r="31" spans="1:14" x14ac:dyDescent="0.25">
      <c r="A31" t="s">
        <v>7802</v>
      </c>
      <c r="B31" s="36">
        <v>1994</v>
      </c>
      <c r="C31" s="36">
        <v>60</v>
      </c>
      <c r="D31" s="37" t="s">
        <v>5384</v>
      </c>
      <c r="E31" s="37" t="s">
        <v>8736</v>
      </c>
      <c r="F31" s="36">
        <v>98</v>
      </c>
      <c r="G31" s="39" t="s">
        <v>9908</v>
      </c>
      <c r="H31" s="43"/>
      <c r="I31" s="43"/>
      <c r="J31" s="43"/>
      <c r="K31" t="s">
        <v>10174</v>
      </c>
      <c r="L31" t="s">
        <v>10173</v>
      </c>
      <c r="M31" t="str">
        <f t="shared" si="2"/>
        <v>YES</v>
      </c>
      <c r="N31" t="str">
        <f t="shared" si="3"/>
        <v>NO</v>
      </c>
    </row>
    <row r="32" spans="1:14" x14ac:dyDescent="0.25">
      <c r="A32" s="11" t="s">
        <v>7803</v>
      </c>
      <c r="B32" s="36">
        <v>1998</v>
      </c>
      <c r="C32" s="36">
        <v>247</v>
      </c>
      <c r="D32" s="37" t="s">
        <v>1859</v>
      </c>
      <c r="E32" s="37" t="s">
        <v>9131</v>
      </c>
      <c r="F32" s="36">
        <v>46</v>
      </c>
      <c r="G32" s="39" t="s">
        <v>9908</v>
      </c>
      <c r="H32" s="43"/>
      <c r="I32" s="43"/>
      <c r="J32" s="43"/>
      <c r="K32" t="s">
        <v>10174</v>
      </c>
      <c r="L32" t="s">
        <v>10173</v>
      </c>
      <c r="M32" t="str">
        <f t="shared" si="2"/>
        <v>YES</v>
      </c>
      <c r="N32" t="str">
        <f t="shared" si="3"/>
        <v>NO</v>
      </c>
    </row>
    <row r="33" spans="1:14" x14ac:dyDescent="0.25">
      <c r="A33" t="s">
        <v>7801</v>
      </c>
      <c r="B33" s="36">
        <v>1992</v>
      </c>
      <c r="C33" s="36">
        <v>34</v>
      </c>
      <c r="D33" s="37" t="s">
        <v>1912</v>
      </c>
      <c r="E33" s="44" t="s">
        <v>8845</v>
      </c>
      <c r="F33" s="36">
        <v>48</v>
      </c>
      <c r="G33" s="39" t="s">
        <v>9908</v>
      </c>
      <c r="H33" s="39" t="s">
        <v>9955</v>
      </c>
      <c r="I33" s="46" t="s">
        <v>9955</v>
      </c>
      <c r="J33" s="36" t="s">
        <v>9923</v>
      </c>
      <c r="K33" t="s">
        <v>10174</v>
      </c>
      <c r="L33" t="s">
        <v>10173</v>
      </c>
      <c r="M33" t="str">
        <f t="shared" si="2"/>
        <v>NO</v>
      </c>
      <c r="N33" t="str">
        <f t="shared" si="3"/>
        <v>YES</v>
      </c>
    </row>
    <row r="34" spans="1:14" x14ac:dyDescent="0.25">
      <c r="A34" s="10" t="s">
        <v>7805</v>
      </c>
      <c r="B34" s="36">
        <v>1995</v>
      </c>
      <c r="C34" s="36">
        <v>78</v>
      </c>
      <c r="D34" s="37" t="s">
        <v>3242</v>
      </c>
      <c r="E34" s="37" t="s">
        <v>9956</v>
      </c>
      <c r="F34" s="36">
        <v>169</v>
      </c>
      <c r="G34" s="39" t="s">
        <v>9908</v>
      </c>
      <c r="H34" s="39" t="s">
        <v>9957</v>
      </c>
      <c r="I34" s="39" t="s">
        <v>9957</v>
      </c>
      <c r="J34" s="36" t="s">
        <v>9910</v>
      </c>
      <c r="K34" t="s">
        <v>10174</v>
      </c>
      <c r="L34" t="s">
        <v>10173</v>
      </c>
      <c r="M34" t="str">
        <f t="shared" si="2"/>
        <v>NO</v>
      </c>
      <c r="N34" t="str">
        <f t="shared" si="3"/>
        <v>YES</v>
      </c>
    </row>
    <row r="35" spans="1:14" x14ac:dyDescent="0.25">
      <c r="A35" s="10" t="s">
        <v>7806</v>
      </c>
      <c r="B35" s="36">
        <v>1999</v>
      </c>
      <c r="C35" s="36">
        <v>252</v>
      </c>
      <c r="D35" s="37" t="s">
        <v>1859</v>
      </c>
      <c r="E35" s="44" t="s">
        <v>9958</v>
      </c>
      <c r="F35" s="36">
        <v>178</v>
      </c>
      <c r="G35" s="39" t="s">
        <v>9908</v>
      </c>
      <c r="H35" s="43"/>
      <c r="I35" s="43"/>
      <c r="J35" s="43"/>
      <c r="K35" t="s">
        <v>10174</v>
      </c>
      <c r="L35" t="s">
        <v>10173</v>
      </c>
      <c r="M35" t="str">
        <f t="shared" si="2"/>
        <v>YES</v>
      </c>
      <c r="N35" t="str">
        <f t="shared" si="3"/>
        <v>NO</v>
      </c>
    </row>
    <row r="36" spans="1:14" x14ac:dyDescent="0.25">
      <c r="A36" s="11" t="s">
        <v>7807</v>
      </c>
      <c r="B36" s="36">
        <v>1999</v>
      </c>
      <c r="C36" s="36">
        <v>253</v>
      </c>
      <c r="D36" s="37" t="s">
        <v>1912</v>
      </c>
      <c r="E36" s="44" t="s">
        <v>9959</v>
      </c>
      <c r="F36" s="36">
        <v>688</v>
      </c>
      <c r="G36" s="39" t="s">
        <v>9908</v>
      </c>
      <c r="H36" s="41" t="s">
        <v>9960</v>
      </c>
      <c r="I36" s="41" t="s">
        <v>9960</v>
      </c>
      <c r="J36" s="43"/>
      <c r="K36" t="s">
        <v>10174</v>
      </c>
      <c r="L36" t="s">
        <v>10173</v>
      </c>
      <c r="M36" t="str">
        <f t="shared" si="2"/>
        <v>NO</v>
      </c>
      <c r="N36" t="str">
        <f t="shared" si="3"/>
        <v>NO</v>
      </c>
    </row>
    <row r="37" spans="1:14" x14ac:dyDescent="0.25">
      <c r="A37" t="s">
        <v>7811</v>
      </c>
      <c r="B37" s="36">
        <v>1991</v>
      </c>
      <c r="C37" s="36">
        <v>20</v>
      </c>
      <c r="D37" s="37" t="s">
        <v>1912</v>
      </c>
      <c r="E37" s="44" t="s">
        <v>8724</v>
      </c>
      <c r="F37" s="36">
        <v>55</v>
      </c>
      <c r="G37" s="39" t="s">
        <v>9908</v>
      </c>
      <c r="H37" s="45" t="s">
        <v>9921</v>
      </c>
      <c r="I37" s="46" t="s">
        <v>9921</v>
      </c>
      <c r="J37" s="36" t="s">
        <v>9961</v>
      </c>
      <c r="K37" t="s">
        <v>10174</v>
      </c>
      <c r="L37" t="s">
        <v>10173</v>
      </c>
      <c r="M37" t="str">
        <f t="shared" si="2"/>
        <v>NO</v>
      </c>
      <c r="N37" t="str">
        <f t="shared" si="3"/>
        <v>YES</v>
      </c>
    </row>
    <row r="38" spans="1:14" x14ac:dyDescent="0.25">
      <c r="A38" t="s">
        <v>7809</v>
      </c>
      <c r="B38" s="36">
        <v>1995</v>
      </c>
      <c r="C38" s="36">
        <v>209</v>
      </c>
      <c r="D38" s="37" t="s">
        <v>1859</v>
      </c>
      <c r="E38" s="37" t="s">
        <v>3799</v>
      </c>
      <c r="F38" s="36">
        <v>110</v>
      </c>
      <c r="G38" s="39" t="s">
        <v>9908</v>
      </c>
      <c r="H38" s="43"/>
      <c r="I38" s="43"/>
      <c r="J38" s="43"/>
      <c r="K38" t="s">
        <v>10174</v>
      </c>
      <c r="L38" t="s">
        <v>10173</v>
      </c>
      <c r="M38" t="str">
        <f t="shared" si="2"/>
        <v>YES</v>
      </c>
      <c r="N38" t="str">
        <f t="shared" si="3"/>
        <v>NO</v>
      </c>
    </row>
    <row r="39" spans="1:14" x14ac:dyDescent="0.25">
      <c r="A39" t="s">
        <v>7812</v>
      </c>
      <c r="B39" s="36">
        <v>1994</v>
      </c>
      <c r="C39" s="36">
        <v>67</v>
      </c>
      <c r="D39" s="37" t="s">
        <v>1302</v>
      </c>
      <c r="E39" s="44" t="s">
        <v>5108</v>
      </c>
      <c r="F39" s="36">
        <v>40</v>
      </c>
      <c r="G39" s="39" t="s">
        <v>9908</v>
      </c>
      <c r="H39" s="43"/>
      <c r="I39" s="43"/>
      <c r="J39" s="43"/>
      <c r="K39" t="s">
        <v>10174</v>
      </c>
      <c r="L39" t="s">
        <v>10173</v>
      </c>
      <c r="M39" t="str">
        <f t="shared" si="2"/>
        <v>YES</v>
      </c>
      <c r="N39" t="str">
        <f t="shared" si="3"/>
        <v>NO</v>
      </c>
    </row>
    <row r="40" spans="1:14" x14ac:dyDescent="0.25">
      <c r="A40" s="11" t="s">
        <v>7814</v>
      </c>
      <c r="B40" s="36">
        <v>1997</v>
      </c>
      <c r="C40" s="36">
        <v>236</v>
      </c>
      <c r="D40" s="37" t="s">
        <v>2520</v>
      </c>
      <c r="E40" s="37" t="s">
        <v>9962</v>
      </c>
      <c r="F40" s="36">
        <v>106</v>
      </c>
      <c r="G40" s="39" t="s">
        <v>9908</v>
      </c>
      <c r="H40" s="43"/>
      <c r="I40" s="43"/>
      <c r="J40" s="43"/>
      <c r="K40" t="s">
        <v>10174</v>
      </c>
      <c r="L40" t="s">
        <v>10173</v>
      </c>
      <c r="M40" t="str">
        <f t="shared" si="2"/>
        <v>YES</v>
      </c>
      <c r="N40" t="str">
        <f t="shared" si="3"/>
        <v>NO</v>
      </c>
    </row>
    <row r="41" spans="1:14" ht="25.5" x14ac:dyDescent="0.25">
      <c r="A41" s="10" t="s">
        <v>7818</v>
      </c>
      <c r="B41" s="36">
        <v>1995</v>
      </c>
      <c r="C41" s="36">
        <v>92</v>
      </c>
      <c r="D41" s="37" t="s">
        <v>4214</v>
      </c>
      <c r="E41" s="37" t="s">
        <v>9963</v>
      </c>
      <c r="F41" s="36">
        <v>202</v>
      </c>
      <c r="G41" s="39" t="s">
        <v>9908</v>
      </c>
      <c r="H41" s="41" t="s">
        <v>9964</v>
      </c>
      <c r="I41" s="43"/>
      <c r="J41" s="36" t="s">
        <v>9965</v>
      </c>
      <c r="K41" t="s">
        <v>10174</v>
      </c>
      <c r="L41" t="s">
        <v>10173</v>
      </c>
      <c r="M41" t="str">
        <f t="shared" si="2"/>
        <v>NO</v>
      </c>
      <c r="N41" t="str">
        <f t="shared" si="3"/>
        <v>YES</v>
      </c>
    </row>
    <row r="42" spans="1:14" ht="25.5" x14ac:dyDescent="0.25">
      <c r="A42" s="10" t="s">
        <v>7819</v>
      </c>
      <c r="B42" s="36">
        <v>1994</v>
      </c>
      <c r="C42" s="36">
        <v>66</v>
      </c>
      <c r="D42" s="37" t="s">
        <v>8481</v>
      </c>
      <c r="E42" s="44" t="s">
        <v>9966</v>
      </c>
      <c r="F42" s="36">
        <v>122</v>
      </c>
      <c r="G42" s="39" t="s">
        <v>9908</v>
      </c>
      <c r="H42" s="39" t="s">
        <v>9967</v>
      </c>
      <c r="I42" s="39" t="s">
        <v>9967</v>
      </c>
      <c r="J42" s="36" t="s">
        <v>9968</v>
      </c>
      <c r="K42" t="s">
        <v>10174</v>
      </c>
      <c r="L42" t="s">
        <v>10173</v>
      </c>
      <c r="M42" t="str">
        <f t="shared" si="2"/>
        <v>NO</v>
      </c>
      <c r="N42" t="str">
        <f t="shared" si="3"/>
        <v>YES</v>
      </c>
    </row>
    <row r="43" spans="1:14" x14ac:dyDescent="0.25">
      <c r="A43" s="10" t="s">
        <v>7825</v>
      </c>
      <c r="B43" s="36">
        <v>1994</v>
      </c>
      <c r="C43" s="36">
        <v>55</v>
      </c>
      <c r="D43" s="37" t="s">
        <v>1912</v>
      </c>
      <c r="E43" s="37" t="s">
        <v>9969</v>
      </c>
      <c r="F43" s="36">
        <v>196</v>
      </c>
      <c r="G43" s="39" t="s">
        <v>9908</v>
      </c>
      <c r="H43" s="39" t="s">
        <v>9970</v>
      </c>
      <c r="I43" s="39" t="s">
        <v>9970</v>
      </c>
      <c r="J43" s="36" t="s">
        <v>9971</v>
      </c>
      <c r="K43" t="s">
        <v>10174</v>
      </c>
      <c r="L43" t="s">
        <v>10173</v>
      </c>
      <c r="M43" t="str">
        <f t="shared" si="2"/>
        <v>NO</v>
      </c>
      <c r="N43" t="str">
        <f t="shared" si="3"/>
        <v>YES</v>
      </c>
    </row>
    <row r="44" spans="1:14" x14ac:dyDescent="0.25">
      <c r="A44" s="11" t="s">
        <v>7826</v>
      </c>
      <c r="B44" s="36">
        <v>1995</v>
      </c>
      <c r="C44" s="36">
        <v>84</v>
      </c>
      <c r="D44" s="37" t="s">
        <v>1912</v>
      </c>
      <c r="E44" s="37" t="s">
        <v>9972</v>
      </c>
      <c r="F44" s="36">
        <v>250</v>
      </c>
      <c r="G44" s="39" t="s">
        <v>9908</v>
      </c>
      <c r="H44" s="41" t="s">
        <v>9973</v>
      </c>
      <c r="I44" s="41" t="s">
        <v>9973</v>
      </c>
      <c r="J44" s="36" t="s">
        <v>9974</v>
      </c>
      <c r="K44" t="s">
        <v>10174</v>
      </c>
      <c r="L44" t="s">
        <v>10173</v>
      </c>
      <c r="M44" t="str">
        <f t="shared" si="2"/>
        <v>NO</v>
      </c>
      <c r="N44" t="str">
        <f t="shared" si="3"/>
        <v>YES</v>
      </c>
    </row>
    <row r="45" spans="1:14" ht="25.5" x14ac:dyDescent="0.25">
      <c r="A45" s="10" t="s">
        <v>7827</v>
      </c>
      <c r="B45" s="36">
        <v>1996</v>
      </c>
      <c r="C45" s="36">
        <v>214</v>
      </c>
      <c r="D45" s="37" t="s">
        <v>1912</v>
      </c>
      <c r="E45" s="44" t="s">
        <v>9975</v>
      </c>
      <c r="F45" s="36">
        <v>362</v>
      </c>
      <c r="G45" s="39" t="s">
        <v>9908</v>
      </c>
      <c r="H45" s="41" t="s">
        <v>9976</v>
      </c>
      <c r="I45" s="41" t="s">
        <v>9976</v>
      </c>
      <c r="J45" s="36" t="s">
        <v>9977</v>
      </c>
      <c r="K45" t="s">
        <v>10174</v>
      </c>
      <c r="L45" t="s">
        <v>10173</v>
      </c>
      <c r="M45" t="str">
        <f t="shared" si="2"/>
        <v>NO</v>
      </c>
      <c r="N45" t="str">
        <f t="shared" si="3"/>
        <v>YES</v>
      </c>
    </row>
    <row r="46" spans="1:14" ht="25.5" x14ac:dyDescent="0.25">
      <c r="A46" s="11" t="s">
        <v>7828</v>
      </c>
      <c r="B46" s="36">
        <v>1997</v>
      </c>
      <c r="C46" s="36">
        <v>232</v>
      </c>
      <c r="D46" s="37" t="s">
        <v>1912</v>
      </c>
      <c r="E46" s="44" t="s">
        <v>9978</v>
      </c>
      <c r="F46" s="36">
        <v>460</v>
      </c>
      <c r="G46" s="39" t="s">
        <v>9908</v>
      </c>
      <c r="H46" s="41" t="s">
        <v>9979</v>
      </c>
      <c r="I46" s="41" t="s">
        <v>9979</v>
      </c>
      <c r="J46" s="36" t="s">
        <v>9980</v>
      </c>
      <c r="K46" t="s">
        <v>10174</v>
      </c>
      <c r="L46" t="s">
        <v>10173</v>
      </c>
      <c r="M46" t="str">
        <f t="shared" si="2"/>
        <v>NO</v>
      </c>
      <c r="N46" t="str">
        <f t="shared" si="3"/>
        <v>YES</v>
      </c>
    </row>
    <row r="47" spans="1:14" ht="25.5" x14ac:dyDescent="0.25">
      <c r="A47" s="56" t="s">
        <v>7773</v>
      </c>
      <c r="B47" s="36">
        <v>1998</v>
      </c>
      <c r="C47" s="36">
        <v>242</v>
      </c>
      <c r="D47" s="37" t="s">
        <v>1912</v>
      </c>
      <c r="E47" s="44" t="s">
        <v>9981</v>
      </c>
      <c r="F47" s="36">
        <v>683</v>
      </c>
      <c r="G47" s="39" t="s">
        <v>9908</v>
      </c>
      <c r="H47" s="41" t="s">
        <v>9982</v>
      </c>
      <c r="I47" s="41" t="s">
        <v>9982</v>
      </c>
      <c r="J47" s="36" t="s">
        <v>9983</v>
      </c>
      <c r="K47" t="s">
        <v>10174</v>
      </c>
      <c r="L47" t="s">
        <v>10173</v>
      </c>
      <c r="M47" t="str">
        <f t="shared" si="2"/>
        <v>NO</v>
      </c>
      <c r="N47" t="str">
        <f t="shared" si="3"/>
        <v>YES</v>
      </c>
    </row>
    <row r="48" spans="1:14" x14ac:dyDescent="0.25">
      <c r="A48" s="11" t="s">
        <v>7829</v>
      </c>
      <c r="B48" s="36">
        <v>1999</v>
      </c>
      <c r="C48" s="36">
        <v>251</v>
      </c>
      <c r="D48" s="37" t="s">
        <v>1912</v>
      </c>
      <c r="E48" s="44" t="s">
        <v>9984</v>
      </c>
      <c r="F48" s="36">
        <v>673</v>
      </c>
      <c r="G48" s="39" t="s">
        <v>9908</v>
      </c>
      <c r="H48" s="41" t="s">
        <v>9985</v>
      </c>
      <c r="I48" s="41" t="s">
        <v>9985</v>
      </c>
      <c r="J48" s="36" t="s">
        <v>9986</v>
      </c>
      <c r="K48" t="s">
        <v>10174</v>
      </c>
      <c r="L48" t="s">
        <v>10173</v>
      </c>
      <c r="M48" t="str">
        <f t="shared" si="2"/>
        <v>NO</v>
      </c>
      <c r="N48" t="str">
        <f t="shared" si="3"/>
        <v>YES</v>
      </c>
    </row>
    <row r="49" spans="1:14" x14ac:dyDescent="0.25">
      <c r="A49" s="10" t="s">
        <v>7821</v>
      </c>
      <c r="B49" s="36">
        <v>2000</v>
      </c>
      <c r="C49" s="36">
        <v>257</v>
      </c>
      <c r="D49" s="37" t="s">
        <v>1912</v>
      </c>
      <c r="E49" s="44" t="s">
        <v>9987</v>
      </c>
      <c r="F49" s="36">
        <v>688</v>
      </c>
      <c r="G49" s="39" t="s">
        <v>9908</v>
      </c>
      <c r="H49" s="41" t="s">
        <v>9988</v>
      </c>
      <c r="I49" s="43"/>
      <c r="J49" s="43"/>
      <c r="K49" t="s">
        <v>10174</v>
      </c>
      <c r="L49" t="s">
        <v>10173</v>
      </c>
      <c r="M49" t="str">
        <f t="shared" si="2"/>
        <v>NO</v>
      </c>
      <c r="N49" t="str">
        <f t="shared" si="3"/>
        <v>NO</v>
      </c>
    </row>
    <row r="50" spans="1:14" x14ac:dyDescent="0.25">
      <c r="A50" s="11" t="s">
        <v>7822</v>
      </c>
      <c r="B50" s="36">
        <v>2001</v>
      </c>
      <c r="C50" s="36">
        <v>262</v>
      </c>
      <c r="D50" s="37" t="s">
        <v>8427</v>
      </c>
      <c r="E50" s="44" t="s">
        <v>9989</v>
      </c>
      <c r="F50" s="36">
        <v>681</v>
      </c>
      <c r="G50" s="39" t="s">
        <v>9908</v>
      </c>
      <c r="H50" s="41" t="s">
        <v>9990</v>
      </c>
      <c r="I50" s="49" t="s">
        <v>9991</v>
      </c>
      <c r="J50" s="43"/>
      <c r="K50" t="s">
        <v>10174</v>
      </c>
      <c r="L50" t="s">
        <v>10173</v>
      </c>
      <c r="M50" t="str">
        <f t="shared" si="2"/>
        <v>NO</v>
      </c>
      <c r="N50" t="str">
        <f t="shared" si="3"/>
        <v>NO</v>
      </c>
    </row>
    <row r="51" spans="1:14" ht="22.5" x14ac:dyDescent="0.25">
      <c r="A51" s="10" t="s">
        <v>7823</v>
      </c>
      <c r="B51" s="36">
        <v>2002</v>
      </c>
      <c r="C51" s="36">
        <v>265</v>
      </c>
      <c r="D51" s="37" t="s">
        <v>8427</v>
      </c>
      <c r="E51" s="44" t="s">
        <v>9992</v>
      </c>
      <c r="F51" s="36">
        <v>681</v>
      </c>
      <c r="G51" s="39" t="s">
        <v>9908</v>
      </c>
      <c r="H51" s="48" t="s">
        <v>9993</v>
      </c>
      <c r="I51" s="50" t="s">
        <v>9993</v>
      </c>
      <c r="J51" s="43"/>
      <c r="K51" t="s">
        <v>10174</v>
      </c>
      <c r="L51" t="s">
        <v>10173</v>
      </c>
      <c r="M51" t="str">
        <f t="shared" si="2"/>
        <v>NO</v>
      </c>
      <c r="N51" t="str">
        <f t="shared" si="3"/>
        <v>NO</v>
      </c>
    </row>
    <row r="52" spans="1:14" ht="30" x14ac:dyDescent="0.25">
      <c r="A52" s="11" t="s">
        <v>7824</v>
      </c>
      <c r="B52" s="36">
        <v>2003</v>
      </c>
      <c r="C52" s="36">
        <v>271</v>
      </c>
      <c r="D52" s="37" t="s">
        <v>1436</v>
      </c>
      <c r="E52" s="37" t="s">
        <v>9994</v>
      </c>
      <c r="F52" s="36">
        <v>716</v>
      </c>
      <c r="G52" s="36" t="s">
        <v>9995</v>
      </c>
      <c r="H52" s="40" t="s">
        <v>9996</v>
      </c>
      <c r="I52" s="51" t="s">
        <v>9997</v>
      </c>
      <c r="J52" s="43"/>
      <c r="K52" t="s">
        <v>10173</v>
      </c>
      <c r="L52" t="s">
        <v>10173</v>
      </c>
      <c r="M52" t="str">
        <f t="shared" si="2"/>
        <v>NO</v>
      </c>
      <c r="N52" t="str">
        <f t="shared" si="3"/>
        <v>NO</v>
      </c>
    </row>
    <row r="53" spans="1:14" x14ac:dyDescent="0.25">
      <c r="A53" t="s">
        <v>7830</v>
      </c>
      <c r="B53" s="36">
        <v>1991</v>
      </c>
      <c r="C53" s="36">
        <v>16</v>
      </c>
      <c r="D53" s="37" t="s">
        <v>1912</v>
      </c>
      <c r="E53" s="44" t="s">
        <v>8707</v>
      </c>
      <c r="F53" s="36">
        <v>55</v>
      </c>
      <c r="G53" s="39" t="s">
        <v>9908</v>
      </c>
      <c r="H53" s="45" t="s">
        <v>9921</v>
      </c>
      <c r="I53" s="46" t="s">
        <v>9921</v>
      </c>
      <c r="J53" s="43"/>
      <c r="K53" t="s">
        <v>10174</v>
      </c>
      <c r="L53" t="s">
        <v>10173</v>
      </c>
      <c r="M53" t="str">
        <f>IF(AND(H53="",I53=""),"YES","NO")</f>
        <v>NO</v>
      </c>
      <c r="N53" t="str">
        <f>IF(J53="","NO","YES")</f>
        <v>NO</v>
      </c>
    </row>
    <row r="54" spans="1:14" x14ac:dyDescent="0.25">
      <c r="A54" s="11" t="s">
        <v>7916</v>
      </c>
      <c r="B54" s="36">
        <v>1992</v>
      </c>
      <c r="C54" s="36">
        <v>39</v>
      </c>
      <c r="D54" s="37" t="s">
        <v>1912</v>
      </c>
      <c r="E54" s="44" t="s">
        <v>9998</v>
      </c>
      <c r="F54" s="36">
        <v>74</v>
      </c>
      <c r="G54" s="39" t="s">
        <v>9908</v>
      </c>
      <c r="H54" s="39" t="s">
        <v>9999</v>
      </c>
      <c r="I54" s="46" t="s">
        <v>9999</v>
      </c>
      <c r="J54" s="36" t="s">
        <v>9923</v>
      </c>
      <c r="K54" t="s">
        <v>10174</v>
      </c>
      <c r="L54" t="s">
        <v>10173</v>
      </c>
      <c r="M54" t="str">
        <f t="shared" ref="M54:M75" si="4">IF(AND(H54="",I54=""),"YES","NO")</f>
        <v>NO</v>
      </c>
      <c r="N54" t="str">
        <f t="shared" ref="N54:N75" si="5">IF(J54="","NO","YES")</f>
        <v>YES</v>
      </c>
    </row>
    <row r="55" spans="1:14" x14ac:dyDescent="0.25">
      <c r="A55" s="10" t="s">
        <v>7820</v>
      </c>
      <c r="B55" s="36">
        <v>1996</v>
      </c>
      <c r="C55" s="36">
        <v>216</v>
      </c>
      <c r="D55" s="37" t="s">
        <v>1912</v>
      </c>
      <c r="E55" s="44" t="s">
        <v>10000</v>
      </c>
      <c r="F55" s="36">
        <v>242</v>
      </c>
      <c r="G55" s="39" t="s">
        <v>9908</v>
      </c>
      <c r="H55" s="41" t="s">
        <v>10001</v>
      </c>
      <c r="I55" s="41" t="s">
        <v>10001</v>
      </c>
      <c r="J55" s="43"/>
      <c r="K55" t="s">
        <v>10174</v>
      </c>
      <c r="L55" t="s">
        <v>10173</v>
      </c>
      <c r="M55" t="str">
        <f t="shared" si="4"/>
        <v>NO</v>
      </c>
      <c r="N55" t="str">
        <f t="shared" si="5"/>
        <v>NO</v>
      </c>
    </row>
    <row r="56" spans="1:14" x14ac:dyDescent="0.25">
      <c r="A56" s="11" t="s">
        <v>7831</v>
      </c>
      <c r="B56" s="36">
        <v>1997</v>
      </c>
      <c r="C56" s="36">
        <v>234</v>
      </c>
      <c r="D56" s="37" t="s">
        <v>1912</v>
      </c>
      <c r="E56" s="44" t="s">
        <v>10002</v>
      </c>
      <c r="F56" s="36">
        <v>474</v>
      </c>
      <c r="G56" s="39" t="s">
        <v>9908</v>
      </c>
      <c r="H56" s="41" t="s">
        <v>10003</v>
      </c>
      <c r="I56" s="41" t="s">
        <v>10003</v>
      </c>
      <c r="J56" s="36" t="s">
        <v>10004</v>
      </c>
      <c r="K56" t="s">
        <v>10174</v>
      </c>
      <c r="L56" t="s">
        <v>10173</v>
      </c>
      <c r="M56" t="str">
        <f t="shared" si="4"/>
        <v>NO</v>
      </c>
      <c r="N56" t="str">
        <f t="shared" si="5"/>
        <v>YES</v>
      </c>
    </row>
    <row r="57" spans="1:14" x14ac:dyDescent="0.25">
      <c r="A57" s="10" t="s">
        <v>7832</v>
      </c>
      <c r="B57" s="36">
        <v>1998</v>
      </c>
      <c r="C57" s="36">
        <v>243</v>
      </c>
      <c r="D57" s="37" t="s">
        <v>1912</v>
      </c>
      <c r="E57" s="44" t="s">
        <v>10005</v>
      </c>
      <c r="F57" s="36">
        <v>554</v>
      </c>
      <c r="G57" s="39" t="s">
        <v>9908</v>
      </c>
      <c r="H57" s="41" t="s">
        <v>10006</v>
      </c>
      <c r="I57" s="41" t="s">
        <v>10006</v>
      </c>
      <c r="J57" s="36" t="s">
        <v>10007</v>
      </c>
      <c r="K57" t="s">
        <v>10174</v>
      </c>
      <c r="L57" t="s">
        <v>10173</v>
      </c>
      <c r="M57" t="str">
        <f t="shared" si="4"/>
        <v>NO</v>
      </c>
      <c r="N57" t="str">
        <f t="shared" si="5"/>
        <v>YES</v>
      </c>
    </row>
    <row r="58" spans="1:14" x14ac:dyDescent="0.25">
      <c r="A58" t="s">
        <v>7836</v>
      </c>
      <c r="B58" s="36">
        <v>1992</v>
      </c>
      <c r="C58" s="36">
        <v>24</v>
      </c>
      <c r="D58" s="37" t="s">
        <v>1912</v>
      </c>
      <c r="E58" s="44" t="s">
        <v>6703</v>
      </c>
      <c r="F58" s="36">
        <v>45</v>
      </c>
      <c r="G58" s="39" t="s">
        <v>9908</v>
      </c>
      <c r="H58" s="39" t="s">
        <v>10008</v>
      </c>
      <c r="I58" s="46" t="s">
        <v>10008</v>
      </c>
      <c r="J58" s="36" t="s">
        <v>9923</v>
      </c>
      <c r="K58" t="s">
        <v>10174</v>
      </c>
      <c r="L58" t="s">
        <v>10173</v>
      </c>
      <c r="M58" t="str">
        <f t="shared" si="4"/>
        <v>NO</v>
      </c>
      <c r="N58" t="str">
        <f t="shared" si="5"/>
        <v>YES</v>
      </c>
    </row>
    <row r="59" spans="1:14" x14ac:dyDescent="0.25">
      <c r="A59" t="s">
        <v>7834</v>
      </c>
      <c r="B59" s="36">
        <v>1991</v>
      </c>
      <c r="C59" s="36">
        <v>19</v>
      </c>
      <c r="D59" s="37" t="s">
        <v>1912</v>
      </c>
      <c r="E59" s="44" t="s">
        <v>8691</v>
      </c>
      <c r="F59" s="36">
        <v>26</v>
      </c>
      <c r="G59" s="39" t="s">
        <v>9908</v>
      </c>
      <c r="H59" s="45" t="s">
        <v>9921</v>
      </c>
      <c r="I59" s="46" t="s">
        <v>9921</v>
      </c>
      <c r="J59" s="36" t="s">
        <v>9923</v>
      </c>
      <c r="K59" t="s">
        <v>10174</v>
      </c>
      <c r="L59" t="s">
        <v>10173</v>
      </c>
      <c r="M59" t="str">
        <f t="shared" si="4"/>
        <v>NO</v>
      </c>
      <c r="N59" t="str">
        <f t="shared" si="5"/>
        <v>YES</v>
      </c>
    </row>
    <row r="60" spans="1:14" x14ac:dyDescent="0.25">
      <c r="A60" s="11" t="s">
        <v>7835</v>
      </c>
      <c r="B60" s="36">
        <v>1991</v>
      </c>
      <c r="C60" s="36">
        <v>29</v>
      </c>
      <c r="D60" s="37" t="s">
        <v>10009</v>
      </c>
      <c r="E60" s="44" t="s">
        <v>10010</v>
      </c>
      <c r="F60" s="36">
        <v>50</v>
      </c>
      <c r="G60" s="39" t="s">
        <v>9908</v>
      </c>
      <c r="H60" s="39" t="s">
        <v>10011</v>
      </c>
      <c r="I60" s="43"/>
      <c r="J60" s="43"/>
      <c r="K60" t="s">
        <v>10174</v>
      </c>
      <c r="L60" t="s">
        <v>10173</v>
      </c>
      <c r="M60" t="str">
        <f t="shared" si="4"/>
        <v>NO</v>
      </c>
      <c r="N60" t="str">
        <f t="shared" si="5"/>
        <v>NO</v>
      </c>
    </row>
    <row r="61" spans="1:14" x14ac:dyDescent="0.25">
      <c r="A61" s="10" t="s">
        <v>7837</v>
      </c>
      <c r="B61" s="36">
        <v>1996</v>
      </c>
      <c r="C61" s="36">
        <v>221</v>
      </c>
      <c r="D61" s="37" t="s">
        <v>8481</v>
      </c>
      <c r="E61" s="44" t="s">
        <v>9132</v>
      </c>
      <c r="F61" s="36">
        <v>82</v>
      </c>
      <c r="G61" s="39" t="s">
        <v>9908</v>
      </c>
      <c r="H61" s="41" t="s">
        <v>10012</v>
      </c>
      <c r="I61" s="43"/>
      <c r="J61" s="36" t="s">
        <v>10013</v>
      </c>
      <c r="K61" t="s">
        <v>10174</v>
      </c>
      <c r="L61" t="s">
        <v>10173</v>
      </c>
      <c r="M61" t="str">
        <f t="shared" si="4"/>
        <v>NO</v>
      </c>
      <c r="N61" t="str">
        <f t="shared" si="5"/>
        <v>YES</v>
      </c>
    </row>
    <row r="62" spans="1:14" x14ac:dyDescent="0.25">
      <c r="A62" s="11" t="s">
        <v>7838</v>
      </c>
      <c r="B62" s="36">
        <v>1997</v>
      </c>
      <c r="C62" s="36">
        <v>233</v>
      </c>
      <c r="D62" s="37" t="s">
        <v>8481</v>
      </c>
      <c r="E62" s="44" t="s">
        <v>10014</v>
      </c>
      <c r="F62" s="36">
        <v>174</v>
      </c>
      <c r="G62" s="39" t="s">
        <v>9908</v>
      </c>
      <c r="H62" s="41" t="s">
        <v>10015</v>
      </c>
      <c r="I62" s="43"/>
      <c r="J62" s="43"/>
      <c r="K62" t="s">
        <v>10174</v>
      </c>
      <c r="L62" t="s">
        <v>10173</v>
      </c>
      <c r="M62" t="str">
        <f t="shared" si="4"/>
        <v>NO</v>
      </c>
      <c r="N62" t="str">
        <f t="shared" si="5"/>
        <v>NO</v>
      </c>
    </row>
    <row r="63" spans="1:14" ht="25.5" x14ac:dyDescent="0.25">
      <c r="A63" t="s">
        <v>7839</v>
      </c>
      <c r="B63" s="36">
        <v>1990</v>
      </c>
      <c r="C63" s="36">
        <v>5</v>
      </c>
      <c r="D63" s="37" t="s">
        <v>3770</v>
      </c>
      <c r="E63" s="37" t="s">
        <v>8681</v>
      </c>
      <c r="F63" s="36">
        <v>46</v>
      </c>
      <c r="G63" s="36" t="s">
        <v>9908</v>
      </c>
      <c r="H63" s="45" t="s">
        <v>9921</v>
      </c>
      <c r="I63" s="39" t="s">
        <v>9921</v>
      </c>
      <c r="J63" s="36" t="s">
        <v>9936</v>
      </c>
      <c r="K63" t="s">
        <v>10174</v>
      </c>
      <c r="L63" t="s">
        <v>10173</v>
      </c>
      <c r="M63" t="str">
        <f t="shared" si="4"/>
        <v>NO</v>
      </c>
      <c r="N63" t="str">
        <f t="shared" si="5"/>
        <v>YES</v>
      </c>
    </row>
    <row r="64" spans="1:14" x14ac:dyDescent="0.25">
      <c r="A64" s="10" t="s">
        <v>7781</v>
      </c>
      <c r="B64" s="36">
        <v>1991</v>
      </c>
      <c r="C64" s="36">
        <v>36</v>
      </c>
      <c r="D64" s="37" t="s">
        <v>10016</v>
      </c>
      <c r="E64" s="47" t="s">
        <v>10017</v>
      </c>
      <c r="F64" s="36">
        <v>48</v>
      </c>
      <c r="G64" s="39" t="s">
        <v>9908</v>
      </c>
      <c r="H64" s="39" t="s">
        <v>9950</v>
      </c>
      <c r="I64" s="43"/>
      <c r="J64" s="43"/>
      <c r="K64" t="s">
        <v>10174</v>
      </c>
      <c r="L64" t="s">
        <v>10173</v>
      </c>
      <c r="M64" t="str">
        <f t="shared" si="4"/>
        <v>NO</v>
      </c>
      <c r="N64" t="str">
        <f t="shared" si="5"/>
        <v>NO</v>
      </c>
    </row>
    <row r="65" spans="1:14" x14ac:dyDescent="0.25">
      <c r="A65" s="11" t="s">
        <v>7840</v>
      </c>
      <c r="B65" s="36">
        <v>1990</v>
      </c>
      <c r="C65" s="36">
        <v>4</v>
      </c>
      <c r="D65" s="37" t="s">
        <v>1912</v>
      </c>
      <c r="E65" s="47" t="s">
        <v>8678</v>
      </c>
      <c r="F65" s="36">
        <v>42</v>
      </c>
      <c r="G65" s="36" t="s">
        <v>9908</v>
      </c>
      <c r="H65" s="45" t="s">
        <v>9921</v>
      </c>
      <c r="I65" s="43"/>
      <c r="J65" s="36" t="s">
        <v>9923</v>
      </c>
      <c r="K65" t="s">
        <v>10174</v>
      </c>
      <c r="L65" t="s">
        <v>10173</v>
      </c>
      <c r="M65" t="str">
        <f t="shared" si="4"/>
        <v>NO</v>
      </c>
      <c r="N65" t="str">
        <f t="shared" si="5"/>
        <v>YES</v>
      </c>
    </row>
    <row r="66" spans="1:14" x14ac:dyDescent="0.25">
      <c r="A66" s="11" t="s">
        <v>7844</v>
      </c>
      <c r="B66" s="36">
        <v>1990</v>
      </c>
      <c r="C66" s="36">
        <v>27</v>
      </c>
      <c r="D66" s="37" t="s">
        <v>10016</v>
      </c>
      <c r="E66" s="44" t="s">
        <v>10018</v>
      </c>
      <c r="F66" s="36">
        <v>54</v>
      </c>
      <c r="G66" s="36" t="s">
        <v>9908</v>
      </c>
      <c r="H66" s="45" t="s">
        <v>9921</v>
      </c>
      <c r="I66" s="43"/>
      <c r="J66" s="43"/>
      <c r="K66" t="s">
        <v>10174</v>
      </c>
      <c r="L66" t="s">
        <v>10173</v>
      </c>
      <c r="M66" t="str">
        <f t="shared" si="4"/>
        <v>NO</v>
      </c>
      <c r="N66" t="str">
        <f t="shared" si="5"/>
        <v>NO</v>
      </c>
    </row>
    <row r="67" spans="1:14" ht="25.5" x14ac:dyDescent="0.25">
      <c r="A67" s="11" t="s">
        <v>7845</v>
      </c>
      <c r="B67" s="36">
        <v>1995</v>
      </c>
      <c r="C67" s="36">
        <v>203</v>
      </c>
      <c r="D67" s="37" t="s">
        <v>3770</v>
      </c>
      <c r="E67" s="37" t="s">
        <v>10019</v>
      </c>
      <c r="F67" s="36">
        <v>58</v>
      </c>
      <c r="G67" s="36" t="s">
        <v>9908</v>
      </c>
      <c r="H67" s="41" t="s">
        <v>10020</v>
      </c>
      <c r="I67" s="43"/>
      <c r="J67" s="36" t="s">
        <v>10021</v>
      </c>
      <c r="K67" t="s">
        <v>10174</v>
      </c>
      <c r="L67" t="s">
        <v>10173</v>
      </c>
      <c r="M67" t="str">
        <f t="shared" si="4"/>
        <v>NO</v>
      </c>
      <c r="N67" t="str">
        <f t="shared" si="5"/>
        <v>YES</v>
      </c>
    </row>
    <row r="68" spans="1:14" ht="22.5" x14ac:dyDescent="0.25">
      <c r="A68" s="10" t="s">
        <v>7842</v>
      </c>
      <c r="B68" s="36">
        <v>2003</v>
      </c>
      <c r="C68" s="36">
        <v>266</v>
      </c>
      <c r="D68" s="37" t="s">
        <v>8510</v>
      </c>
      <c r="E68" s="44" t="s">
        <v>10022</v>
      </c>
      <c r="F68" s="36">
        <v>646</v>
      </c>
      <c r="G68" s="39" t="s">
        <v>9908</v>
      </c>
      <c r="H68" s="40" t="s">
        <v>10023</v>
      </c>
      <c r="I68" s="52" t="s">
        <v>10024</v>
      </c>
      <c r="J68" s="43"/>
      <c r="K68" t="s">
        <v>10174</v>
      </c>
      <c r="L68" t="s">
        <v>10173</v>
      </c>
      <c r="M68" t="str">
        <f t="shared" si="4"/>
        <v>NO</v>
      </c>
      <c r="N68" t="str">
        <f t="shared" si="5"/>
        <v>NO</v>
      </c>
    </row>
    <row r="69" spans="1:14" x14ac:dyDescent="0.25">
      <c r="A69" s="11" t="s">
        <v>7846</v>
      </c>
      <c r="B69" s="36">
        <v>1996</v>
      </c>
      <c r="C69" s="36">
        <v>201</v>
      </c>
      <c r="D69" s="37" t="s">
        <v>3949</v>
      </c>
      <c r="E69" s="44" t="s">
        <v>9136</v>
      </c>
      <c r="F69" s="36">
        <v>193</v>
      </c>
      <c r="G69" s="39" t="s">
        <v>9908</v>
      </c>
      <c r="H69" s="41" t="s">
        <v>10013</v>
      </c>
      <c r="I69" s="41" t="s">
        <v>10013</v>
      </c>
      <c r="J69" s="36" t="s">
        <v>10025</v>
      </c>
      <c r="K69" t="s">
        <v>10174</v>
      </c>
      <c r="L69" t="s">
        <v>10173</v>
      </c>
      <c r="M69" t="str">
        <f t="shared" si="4"/>
        <v>NO</v>
      </c>
      <c r="N69" t="str">
        <f t="shared" si="5"/>
        <v>YES</v>
      </c>
    </row>
    <row r="70" spans="1:14" x14ac:dyDescent="0.25">
      <c r="A70" s="10" t="s">
        <v>7917</v>
      </c>
      <c r="B70" s="36">
        <v>1998</v>
      </c>
      <c r="C70" s="36">
        <v>241</v>
      </c>
      <c r="D70" s="37" t="s">
        <v>1912</v>
      </c>
      <c r="E70" s="44" t="s">
        <v>10026</v>
      </c>
      <c r="F70" s="36">
        <v>362</v>
      </c>
      <c r="G70" s="39" t="s">
        <v>9908</v>
      </c>
      <c r="H70" s="41" t="s">
        <v>10027</v>
      </c>
      <c r="I70" s="41" t="s">
        <v>10027</v>
      </c>
      <c r="J70" s="36" t="s">
        <v>10028</v>
      </c>
      <c r="K70" t="s">
        <v>10174</v>
      </c>
      <c r="L70" t="s">
        <v>10173</v>
      </c>
      <c r="M70" t="str">
        <f t="shared" si="4"/>
        <v>NO</v>
      </c>
      <c r="N70" t="str">
        <f t="shared" si="5"/>
        <v>YES</v>
      </c>
    </row>
    <row r="71" spans="1:14" x14ac:dyDescent="0.25">
      <c r="A71" s="10" t="s">
        <v>7921</v>
      </c>
      <c r="B71" s="36">
        <v>1999</v>
      </c>
      <c r="C71" s="36">
        <v>250</v>
      </c>
      <c r="D71" s="37" t="s">
        <v>1912</v>
      </c>
      <c r="E71" s="44" t="s">
        <v>10029</v>
      </c>
      <c r="F71" s="36">
        <v>506</v>
      </c>
      <c r="G71" s="39" t="s">
        <v>9908</v>
      </c>
      <c r="H71" s="41" t="s">
        <v>10030</v>
      </c>
      <c r="I71" s="41" t="s">
        <v>10030</v>
      </c>
      <c r="J71" s="43"/>
      <c r="K71" t="s">
        <v>10174</v>
      </c>
      <c r="L71" t="s">
        <v>10173</v>
      </c>
      <c r="M71" t="str">
        <f t="shared" si="4"/>
        <v>NO</v>
      </c>
      <c r="N71" t="str">
        <f t="shared" si="5"/>
        <v>NO</v>
      </c>
    </row>
    <row r="72" spans="1:14" x14ac:dyDescent="0.25">
      <c r="A72" t="s">
        <v>7918</v>
      </c>
      <c r="B72" s="36">
        <v>2000</v>
      </c>
      <c r="C72" s="36">
        <v>256</v>
      </c>
      <c r="D72" s="37" t="s">
        <v>1912</v>
      </c>
      <c r="E72" s="44" t="s">
        <v>8664</v>
      </c>
      <c r="F72" s="36">
        <v>708</v>
      </c>
      <c r="G72" s="39" t="s">
        <v>9908</v>
      </c>
      <c r="H72" s="41" t="s">
        <v>10031</v>
      </c>
      <c r="I72" s="41" t="s">
        <v>10032</v>
      </c>
      <c r="J72" s="43"/>
      <c r="K72" t="s">
        <v>10174</v>
      </c>
      <c r="L72" t="s">
        <v>10173</v>
      </c>
      <c r="M72" t="str">
        <f t="shared" si="4"/>
        <v>NO</v>
      </c>
      <c r="N72" t="str">
        <f t="shared" si="5"/>
        <v>NO</v>
      </c>
    </row>
    <row r="73" spans="1:14" x14ac:dyDescent="0.25">
      <c r="A73" t="s">
        <v>7919</v>
      </c>
      <c r="B73" s="36">
        <v>2002</v>
      </c>
      <c r="C73" s="36">
        <v>263</v>
      </c>
      <c r="D73" s="37" t="s">
        <v>8661</v>
      </c>
      <c r="E73" s="44" t="s">
        <v>8660</v>
      </c>
      <c r="F73" s="36">
        <v>553</v>
      </c>
      <c r="G73" s="39" t="s">
        <v>9908</v>
      </c>
      <c r="H73" s="41" t="s">
        <v>10033</v>
      </c>
      <c r="I73" s="51" t="s">
        <v>10033</v>
      </c>
      <c r="J73" s="43"/>
      <c r="K73" t="s">
        <v>10174</v>
      </c>
      <c r="L73" t="s">
        <v>10173</v>
      </c>
      <c r="M73" t="str">
        <f t="shared" si="4"/>
        <v>NO</v>
      </c>
      <c r="N73" t="str">
        <f t="shared" si="5"/>
        <v>NO</v>
      </c>
    </row>
    <row r="74" spans="1:14" ht="25.5" x14ac:dyDescent="0.25">
      <c r="A74" t="s">
        <v>7920</v>
      </c>
      <c r="B74" s="36">
        <v>2003</v>
      </c>
      <c r="C74" s="36">
        <v>268</v>
      </c>
      <c r="D74" s="37" t="s">
        <v>1436</v>
      </c>
      <c r="E74" s="37" t="s">
        <v>8654</v>
      </c>
      <c r="F74" s="36">
        <v>708</v>
      </c>
      <c r="G74" s="38" t="s">
        <v>10034</v>
      </c>
      <c r="H74" s="41" t="s">
        <v>10035</v>
      </c>
      <c r="I74" s="51" t="s">
        <v>10035</v>
      </c>
      <c r="J74" s="43"/>
      <c r="K74" t="s">
        <v>10173</v>
      </c>
      <c r="L74" t="s">
        <v>10173</v>
      </c>
      <c r="M74" t="str">
        <f t="shared" si="4"/>
        <v>NO</v>
      </c>
      <c r="N74" t="str">
        <f t="shared" si="5"/>
        <v>NO</v>
      </c>
    </row>
    <row r="75" spans="1:14" x14ac:dyDescent="0.25">
      <c r="A75" s="10" t="s">
        <v>7843</v>
      </c>
      <c r="B75" s="36">
        <v>1997</v>
      </c>
      <c r="C75" s="36">
        <v>231</v>
      </c>
      <c r="D75" s="37" t="s">
        <v>1302</v>
      </c>
      <c r="E75" s="44" t="s">
        <v>10036</v>
      </c>
      <c r="F75" s="36">
        <v>78</v>
      </c>
      <c r="G75" s="39" t="s">
        <v>9908</v>
      </c>
      <c r="H75" s="43"/>
      <c r="I75" s="43"/>
      <c r="J75" s="43"/>
      <c r="K75" t="s">
        <v>10174</v>
      </c>
      <c r="L75" t="s">
        <v>10173</v>
      </c>
      <c r="M75" t="str">
        <f t="shared" si="4"/>
        <v>YES</v>
      </c>
      <c r="N75" t="str">
        <f t="shared" si="5"/>
        <v>NO</v>
      </c>
    </row>
    <row r="76" spans="1:14" x14ac:dyDescent="0.25">
      <c r="A76" t="s">
        <v>7847</v>
      </c>
      <c r="B76" s="36">
        <v>1992</v>
      </c>
      <c r="C76" s="36">
        <v>14</v>
      </c>
      <c r="D76" s="37" t="s">
        <v>1912</v>
      </c>
      <c r="E76" s="37" t="s">
        <v>8637</v>
      </c>
      <c r="F76" s="36">
        <v>54</v>
      </c>
      <c r="G76" s="39" t="s">
        <v>9908</v>
      </c>
      <c r="H76" s="39" t="s">
        <v>10037</v>
      </c>
      <c r="I76" s="46" t="s">
        <v>10037</v>
      </c>
      <c r="J76" s="36" t="s">
        <v>9957</v>
      </c>
      <c r="K76" t="s">
        <v>10174</v>
      </c>
      <c r="L76" t="s">
        <v>10173</v>
      </c>
      <c r="M76" t="str">
        <f t="shared" ref="M76:M136" si="6">IF(AND(H76="",I76=""),"YES","NO")</f>
        <v>NO</v>
      </c>
      <c r="N76" t="str">
        <f t="shared" ref="N76:N136" si="7">IF(J76="","NO","YES")</f>
        <v>YES</v>
      </c>
    </row>
    <row r="77" spans="1:14" x14ac:dyDescent="0.25">
      <c r="A77" s="11" t="s">
        <v>7848</v>
      </c>
      <c r="B77" s="36">
        <v>1990</v>
      </c>
      <c r="C77" s="36">
        <v>1</v>
      </c>
      <c r="D77" s="37" t="s">
        <v>1912</v>
      </c>
      <c r="E77" s="44" t="s">
        <v>10038</v>
      </c>
      <c r="F77" s="36">
        <v>46</v>
      </c>
      <c r="G77" s="36" t="s">
        <v>9908</v>
      </c>
      <c r="H77" s="45" t="s">
        <v>9921</v>
      </c>
      <c r="I77" s="39" t="s">
        <v>9921</v>
      </c>
      <c r="J77" s="36" t="s">
        <v>9923</v>
      </c>
      <c r="K77" t="s">
        <v>10174</v>
      </c>
      <c r="L77" t="s">
        <v>10173</v>
      </c>
      <c r="M77" t="str">
        <f t="shared" si="6"/>
        <v>NO</v>
      </c>
      <c r="N77" t="str">
        <f t="shared" si="7"/>
        <v>YES</v>
      </c>
    </row>
    <row r="78" spans="1:14" x14ac:dyDescent="0.25">
      <c r="A78" t="s">
        <v>7851</v>
      </c>
      <c r="B78" s="36">
        <v>1997</v>
      </c>
      <c r="C78" s="36">
        <v>93</v>
      </c>
      <c r="D78" s="37" t="s">
        <v>4214</v>
      </c>
      <c r="E78" s="44" t="s">
        <v>4215</v>
      </c>
      <c r="F78" s="36">
        <v>138</v>
      </c>
      <c r="G78" s="39" t="s">
        <v>9908</v>
      </c>
      <c r="H78" s="43"/>
      <c r="I78" s="43"/>
      <c r="J78" s="43"/>
      <c r="K78" t="s">
        <v>10174</v>
      </c>
      <c r="L78" t="s">
        <v>10173</v>
      </c>
      <c r="M78" t="str">
        <f t="shared" si="6"/>
        <v>YES</v>
      </c>
      <c r="N78" t="str">
        <f t="shared" si="7"/>
        <v>NO</v>
      </c>
    </row>
    <row r="79" spans="1:14" x14ac:dyDescent="0.25">
      <c r="A79" s="10" t="s">
        <v>7853</v>
      </c>
      <c r="B79" s="36">
        <v>1996</v>
      </c>
      <c r="C79" s="36">
        <v>213</v>
      </c>
      <c r="D79" s="37" t="s">
        <v>1859</v>
      </c>
      <c r="E79" s="37" t="s">
        <v>10039</v>
      </c>
      <c r="F79" s="36">
        <v>106</v>
      </c>
      <c r="G79" s="39" t="s">
        <v>9908</v>
      </c>
      <c r="H79" s="43"/>
      <c r="I79" s="43"/>
      <c r="J79" s="36" t="s">
        <v>10040</v>
      </c>
      <c r="K79" t="s">
        <v>10174</v>
      </c>
      <c r="L79" t="s">
        <v>10173</v>
      </c>
      <c r="M79" t="str">
        <f t="shared" si="6"/>
        <v>YES</v>
      </c>
      <c r="N79" t="str">
        <f t="shared" si="7"/>
        <v>YES</v>
      </c>
    </row>
    <row r="80" spans="1:14" x14ac:dyDescent="0.25">
      <c r="A80" s="10" t="s">
        <v>7852</v>
      </c>
      <c r="B80" s="36">
        <v>1998</v>
      </c>
      <c r="C80" s="36">
        <v>244</v>
      </c>
      <c r="D80" s="37" t="s">
        <v>1912</v>
      </c>
      <c r="E80" s="37" t="s">
        <v>10041</v>
      </c>
      <c r="F80" s="36">
        <v>162</v>
      </c>
      <c r="G80" s="39" t="s">
        <v>9908</v>
      </c>
      <c r="H80" s="41" t="s">
        <v>10042</v>
      </c>
      <c r="I80" s="43"/>
      <c r="J80" s="43"/>
      <c r="K80" t="s">
        <v>10174</v>
      </c>
      <c r="L80" t="s">
        <v>10173</v>
      </c>
      <c r="M80" t="str">
        <f t="shared" si="6"/>
        <v>NO</v>
      </c>
      <c r="N80" t="str">
        <f t="shared" si="7"/>
        <v>NO</v>
      </c>
    </row>
    <row r="81" spans="1:14" x14ac:dyDescent="0.25">
      <c r="A81" t="s">
        <v>7854</v>
      </c>
      <c r="B81" s="36">
        <v>1996</v>
      </c>
      <c r="C81" s="36">
        <v>207</v>
      </c>
      <c r="D81" s="37" t="s">
        <v>1859</v>
      </c>
      <c r="E81" s="44" t="s">
        <v>3850</v>
      </c>
      <c r="F81" s="36">
        <v>50</v>
      </c>
      <c r="G81" s="39" t="s">
        <v>9908</v>
      </c>
      <c r="H81" s="43"/>
      <c r="I81" s="43"/>
      <c r="J81" s="43"/>
      <c r="K81" t="s">
        <v>10174</v>
      </c>
      <c r="L81" t="s">
        <v>10173</v>
      </c>
      <c r="M81" t="str">
        <f t="shared" si="6"/>
        <v>YES</v>
      </c>
      <c r="N81" t="str">
        <f t="shared" si="7"/>
        <v>NO</v>
      </c>
    </row>
    <row r="82" spans="1:14" x14ac:dyDescent="0.25">
      <c r="A82" s="11" t="s">
        <v>7901</v>
      </c>
      <c r="B82" s="36">
        <v>1996</v>
      </c>
      <c r="C82" s="36">
        <v>200</v>
      </c>
      <c r="D82" s="37" t="s">
        <v>3949</v>
      </c>
      <c r="E82" s="44" t="s">
        <v>10043</v>
      </c>
      <c r="F82" s="36">
        <v>133</v>
      </c>
      <c r="G82" s="39" t="s">
        <v>9908</v>
      </c>
      <c r="H82" s="41" t="s">
        <v>10044</v>
      </c>
      <c r="I82" s="41" t="s">
        <v>10044</v>
      </c>
      <c r="J82" s="36" t="s">
        <v>10045</v>
      </c>
      <c r="K82" t="s">
        <v>10174</v>
      </c>
      <c r="L82" t="s">
        <v>10173</v>
      </c>
      <c r="M82" t="str">
        <f t="shared" si="6"/>
        <v>NO</v>
      </c>
      <c r="N82" t="str">
        <f t="shared" si="7"/>
        <v>YES</v>
      </c>
    </row>
    <row r="83" spans="1:14" ht="25.5" x14ac:dyDescent="0.25">
      <c r="A83" t="s">
        <v>7856</v>
      </c>
      <c r="B83" s="36">
        <v>2000</v>
      </c>
      <c r="C83" s="36">
        <v>260</v>
      </c>
      <c r="D83" s="37" t="s">
        <v>10046</v>
      </c>
      <c r="E83" s="44" t="s">
        <v>1837</v>
      </c>
      <c r="F83" s="36">
        <v>166</v>
      </c>
      <c r="G83" s="39" t="s">
        <v>9908</v>
      </c>
      <c r="H83" s="43"/>
      <c r="I83" s="43"/>
      <c r="J83" s="43"/>
      <c r="K83" t="s">
        <v>10174</v>
      </c>
      <c r="L83" t="s">
        <v>10173</v>
      </c>
      <c r="M83" t="str">
        <f t="shared" si="6"/>
        <v>YES</v>
      </c>
      <c r="N83" t="str">
        <f t="shared" si="7"/>
        <v>NO</v>
      </c>
    </row>
    <row r="84" spans="1:14" ht="25.5" x14ac:dyDescent="0.25">
      <c r="A84" t="s">
        <v>7849</v>
      </c>
      <c r="B84" s="36">
        <v>1990</v>
      </c>
      <c r="C84" s="36">
        <v>9</v>
      </c>
      <c r="D84" s="37" t="s">
        <v>3770</v>
      </c>
      <c r="E84" s="44" t="s">
        <v>8615</v>
      </c>
      <c r="F84" s="36">
        <v>46</v>
      </c>
      <c r="G84" s="39" t="s">
        <v>9908</v>
      </c>
      <c r="H84" s="45" t="s">
        <v>9921</v>
      </c>
      <c r="I84" s="39" t="s">
        <v>9921</v>
      </c>
      <c r="J84" s="36" t="s">
        <v>9936</v>
      </c>
      <c r="K84" t="s">
        <v>10174</v>
      </c>
      <c r="L84" t="s">
        <v>10173</v>
      </c>
      <c r="M84" t="str">
        <f t="shared" si="6"/>
        <v>NO</v>
      </c>
      <c r="N84" t="str">
        <f t="shared" si="7"/>
        <v>YES</v>
      </c>
    </row>
    <row r="85" spans="1:14" ht="25.5" x14ac:dyDescent="0.25">
      <c r="A85" t="s">
        <v>7850</v>
      </c>
      <c r="B85" s="36">
        <v>1992</v>
      </c>
      <c r="C85" s="36">
        <v>50</v>
      </c>
      <c r="D85" s="37" t="s">
        <v>3770</v>
      </c>
      <c r="E85" s="44" t="s">
        <v>5789</v>
      </c>
      <c r="F85" s="36">
        <v>54</v>
      </c>
      <c r="G85" s="39" t="s">
        <v>9908</v>
      </c>
      <c r="H85" s="39" t="s">
        <v>10047</v>
      </c>
      <c r="I85" s="46" t="s">
        <v>10047</v>
      </c>
      <c r="J85" s="36" t="s">
        <v>9936</v>
      </c>
      <c r="K85" t="s">
        <v>10174</v>
      </c>
      <c r="L85" t="s">
        <v>10173</v>
      </c>
      <c r="M85" t="str">
        <f t="shared" si="6"/>
        <v>NO</v>
      </c>
      <c r="N85" t="str">
        <f t="shared" si="7"/>
        <v>YES</v>
      </c>
    </row>
    <row r="86" spans="1:14" x14ac:dyDescent="0.25">
      <c r="A86" s="11" t="s">
        <v>7855</v>
      </c>
      <c r="B86" s="36">
        <v>1996</v>
      </c>
      <c r="C86" s="36">
        <v>217</v>
      </c>
      <c r="D86" s="37" t="s">
        <v>3275</v>
      </c>
      <c r="E86" s="44" t="s">
        <v>10048</v>
      </c>
      <c r="F86" s="36">
        <v>330</v>
      </c>
      <c r="G86" s="39" t="s">
        <v>9908</v>
      </c>
      <c r="H86" s="41" t="s">
        <v>10049</v>
      </c>
      <c r="I86" s="41" t="s">
        <v>10049</v>
      </c>
      <c r="J86" s="36" t="s">
        <v>9976</v>
      </c>
      <c r="K86" t="s">
        <v>10174</v>
      </c>
      <c r="L86" t="s">
        <v>10173</v>
      </c>
      <c r="M86" t="str">
        <f t="shared" si="6"/>
        <v>NO</v>
      </c>
      <c r="N86" t="str">
        <f t="shared" si="7"/>
        <v>YES</v>
      </c>
    </row>
    <row r="87" spans="1:14" x14ac:dyDescent="0.25">
      <c r="A87" t="s">
        <v>7857</v>
      </c>
      <c r="B87" s="36">
        <v>1996</v>
      </c>
      <c r="C87" s="36">
        <v>212</v>
      </c>
      <c r="D87" s="37" t="s">
        <v>3770</v>
      </c>
      <c r="E87" s="44" t="s">
        <v>3771</v>
      </c>
      <c r="F87" s="36">
        <v>212</v>
      </c>
      <c r="G87" s="39" t="s">
        <v>9908</v>
      </c>
      <c r="H87" s="41" t="s">
        <v>10013</v>
      </c>
      <c r="I87" s="43"/>
      <c r="J87" s="36" t="s">
        <v>10025</v>
      </c>
      <c r="K87" t="s">
        <v>10174</v>
      </c>
      <c r="L87" t="s">
        <v>10173</v>
      </c>
      <c r="M87" t="str">
        <f t="shared" si="6"/>
        <v>NO</v>
      </c>
      <c r="N87" t="str">
        <f t="shared" si="7"/>
        <v>YES</v>
      </c>
    </row>
    <row r="88" spans="1:14" x14ac:dyDescent="0.25">
      <c r="A88" t="s">
        <v>7858</v>
      </c>
      <c r="B88" s="36">
        <v>1994</v>
      </c>
      <c r="C88" s="36">
        <v>73</v>
      </c>
      <c r="D88" s="37" t="s">
        <v>4214</v>
      </c>
      <c r="E88" s="37" t="s">
        <v>5017</v>
      </c>
      <c r="F88" s="36">
        <v>46</v>
      </c>
      <c r="G88" s="39" t="s">
        <v>9908</v>
      </c>
      <c r="H88" s="43"/>
      <c r="I88" s="43"/>
      <c r="J88" s="43"/>
      <c r="K88" t="s">
        <v>10174</v>
      </c>
      <c r="L88" t="s">
        <v>10173</v>
      </c>
      <c r="M88" t="str">
        <f t="shared" si="6"/>
        <v>YES</v>
      </c>
      <c r="N88" t="str">
        <f t="shared" si="7"/>
        <v>NO</v>
      </c>
    </row>
    <row r="89" spans="1:14" x14ac:dyDescent="0.25">
      <c r="A89" s="10" t="s">
        <v>7861</v>
      </c>
      <c r="B89" s="36">
        <v>1996</v>
      </c>
      <c r="C89" s="36">
        <v>219</v>
      </c>
      <c r="D89" s="37" t="s">
        <v>2520</v>
      </c>
      <c r="E89" s="37" t="s">
        <v>10050</v>
      </c>
      <c r="F89" s="36">
        <v>146</v>
      </c>
      <c r="G89" s="39" t="s">
        <v>9908</v>
      </c>
      <c r="H89" s="43"/>
      <c r="I89" s="43"/>
      <c r="J89" s="36" t="s">
        <v>10051</v>
      </c>
      <c r="K89" t="s">
        <v>10174</v>
      </c>
      <c r="L89" t="s">
        <v>10173</v>
      </c>
      <c r="M89" t="str">
        <f t="shared" si="6"/>
        <v>YES</v>
      </c>
      <c r="N89" t="str">
        <f t="shared" si="7"/>
        <v>YES</v>
      </c>
    </row>
    <row r="90" spans="1:14" x14ac:dyDescent="0.25">
      <c r="A90" s="11" t="s">
        <v>7862</v>
      </c>
      <c r="B90" s="36">
        <v>2003</v>
      </c>
      <c r="C90" s="36">
        <v>267</v>
      </c>
      <c r="D90" s="37" t="s">
        <v>8597</v>
      </c>
      <c r="E90" s="37" t="s">
        <v>8596</v>
      </c>
      <c r="F90" s="36" t="s">
        <v>8995</v>
      </c>
      <c r="G90" s="36" t="s">
        <v>9908</v>
      </c>
      <c r="H90" s="43"/>
      <c r="I90" s="43"/>
      <c r="J90" s="43" t="s">
        <v>9934</v>
      </c>
      <c r="K90" t="s">
        <v>10174</v>
      </c>
      <c r="L90" t="s">
        <v>10173</v>
      </c>
      <c r="M90" t="str">
        <f t="shared" si="6"/>
        <v>YES</v>
      </c>
      <c r="N90" t="str">
        <f t="shared" si="7"/>
        <v>YES</v>
      </c>
    </row>
    <row r="91" spans="1:14" x14ac:dyDescent="0.25">
      <c r="A91" s="11" t="s">
        <v>7863</v>
      </c>
      <c r="B91" s="36">
        <v>1997</v>
      </c>
      <c r="C91" s="36">
        <v>237</v>
      </c>
      <c r="D91" s="37" t="s">
        <v>10052</v>
      </c>
      <c r="E91" s="37" t="s">
        <v>10053</v>
      </c>
      <c r="F91" s="36">
        <v>58</v>
      </c>
      <c r="G91" s="39" t="s">
        <v>9908</v>
      </c>
      <c r="H91" s="43"/>
      <c r="I91" s="43"/>
      <c r="J91" s="43" t="s">
        <v>9934</v>
      </c>
      <c r="K91" t="s">
        <v>10174</v>
      </c>
      <c r="L91" t="s">
        <v>10173</v>
      </c>
      <c r="M91" t="str">
        <f t="shared" si="6"/>
        <v>YES</v>
      </c>
      <c r="N91" t="str">
        <f t="shared" si="7"/>
        <v>YES</v>
      </c>
    </row>
    <row r="92" spans="1:14" ht="25.5" x14ac:dyDescent="0.25">
      <c r="A92" s="10" t="s">
        <v>7865</v>
      </c>
      <c r="B92" s="36">
        <v>1995</v>
      </c>
      <c r="C92" s="36">
        <v>68</v>
      </c>
      <c r="D92" s="37" t="s">
        <v>10052</v>
      </c>
      <c r="E92" s="37" t="s">
        <v>10054</v>
      </c>
      <c r="F92" s="36">
        <v>82</v>
      </c>
      <c r="G92" s="39" t="s">
        <v>9908</v>
      </c>
      <c r="H92" s="43"/>
      <c r="I92" s="43"/>
      <c r="J92" s="36" t="s">
        <v>10055</v>
      </c>
      <c r="K92" t="s">
        <v>10174</v>
      </c>
      <c r="L92" t="s">
        <v>10173</v>
      </c>
      <c r="M92" t="str">
        <f t="shared" si="6"/>
        <v>YES</v>
      </c>
      <c r="N92" t="str">
        <f t="shared" si="7"/>
        <v>YES</v>
      </c>
    </row>
    <row r="93" spans="1:14" x14ac:dyDescent="0.25">
      <c r="A93" t="s">
        <v>7864</v>
      </c>
      <c r="B93" s="36">
        <v>1999</v>
      </c>
      <c r="C93" s="36">
        <v>255</v>
      </c>
      <c r="D93" s="37" t="s">
        <v>2854</v>
      </c>
      <c r="E93" s="44" t="s">
        <v>2002</v>
      </c>
      <c r="F93" s="36">
        <v>478</v>
      </c>
      <c r="G93" s="39" t="s">
        <v>9908</v>
      </c>
      <c r="H93" s="43"/>
      <c r="I93" s="43"/>
      <c r="J93" s="43"/>
      <c r="K93" t="s">
        <v>10174</v>
      </c>
      <c r="L93" t="s">
        <v>10173</v>
      </c>
      <c r="M93" t="str">
        <f t="shared" si="6"/>
        <v>YES</v>
      </c>
      <c r="N93" t="str">
        <f t="shared" si="7"/>
        <v>NO</v>
      </c>
    </row>
    <row r="94" spans="1:14" ht="25.5" x14ac:dyDescent="0.25">
      <c r="A94" t="s">
        <v>7866</v>
      </c>
      <c r="B94" s="36">
        <v>1995</v>
      </c>
      <c r="C94" s="36">
        <v>89</v>
      </c>
      <c r="D94" s="37" t="s">
        <v>4347</v>
      </c>
      <c r="E94" s="44" t="s">
        <v>4348</v>
      </c>
      <c r="F94" s="36">
        <v>305</v>
      </c>
      <c r="G94" s="39" t="s">
        <v>9908</v>
      </c>
      <c r="H94" s="41" t="s">
        <v>9974</v>
      </c>
      <c r="I94" s="43"/>
      <c r="J94" s="36" t="s">
        <v>10056</v>
      </c>
      <c r="K94" t="s">
        <v>10174</v>
      </c>
      <c r="L94" t="s">
        <v>10173</v>
      </c>
      <c r="M94" t="str">
        <f t="shared" si="6"/>
        <v>NO</v>
      </c>
      <c r="N94" t="str">
        <f t="shared" si="7"/>
        <v>YES</v>
      </c>
    </row>
    <row r="95" spans="1:14" x14ac:dyDescent="0.25">
      <c r="A95" s="10" t="s">
        <v>7817</v>
      </c>
      <c r="B95" s="36">
        <v>1990</v>
      </c>
      <c r="C95" s="36">
        <v>21</v>
      </c>
      <c r="D95" s="37" t="s">
        <v>1912</v>
      </c>
      <c r="E95" s="44" t="s">
        <v>10057</v>
      </c>
      <c r="F95" s="36">
        <v>22</v>
      </c>
      <c r="G95" s="36" t="s">
        <v>9908</v>
      </c>
      <c r="H95" s="45" t="s">
        <v>9921</v>
      </c>
      <c r="I95" s="39" t="s">
        <v>9921</v>
      </c>
      <c r="J95" s="36" t="s">
        <v>9923</v>
      </c>
      <c r="K95" t="s">
        <v>10174</v>
      </c>
      <c r="L95" t="s">
        <v>10173</v>
      </c>
      <c r="M95" t="str">
        <f t="shared" si="6"/>
        <v>NO</v>
      </c>
      <c r="N95" t="str">
        <f t="shared" si="7"/>
        <v>YES</v>
      </c>
    </row>
    <row r="96" spans="1:14" x14ac:dyDescent="0.25">
      <c r="A96" t="s">
        <v>7868</v>
      </c>
      <c r="B96" s="36">
        <v>1995</v>
      </c>
      <c r="C96" s="36">
        <v>202</v>
      </c>
      <c r="D96" s="37" t="s">
        <v>1859</v>
      </c>
      <c r="E96" s="37" t="s">
        <v>10058</v>
      </c>
      <c r="F96" s="36">
        <v>30</v>
      </c>
      <c r="G96" s="39" t="s">
        <v>9908</v>
      </c>
      <c r="H96" s="43"/>
      <c r="I96" s="43"/>
      <c r="J96" s="43"/>
      <c r="K96" t="s">
        <v>10174</v>
      </c>
      <c r="L96" t="s">
        <v>10173</v>
      </c>
      <c r="M96" t="str">
        <f t="shared" si="6"/>
        <v>YES</v>
      </c>
      <c r="N96" t="str">
        <f t="shared" si="7"/>
        <v>NO</v>
      </c>
    </row>
    <row r="97" spans="1:14" x14ac:dyDescent="0.25">
      <c r="A97" s="11" t="s">
        <v>7867</v>
      </c>
      <c r="B97" s="36">
        <v>1996</v>
      </c>
      <c r="C97" s="36">
        <v>235</v>
      </c>
      <c r="D97" s="37" t="s">
        <v>1859</v>
      </c>
      <c r="E97" s="44" t="s">
        <v>10059</v>
      </c>
      <c r="F97" s="36">
        <v>32</v>
      </c>
      <c r="G97" s="39" t="s">
        <v>9908</v>
      </c>
      <c r="H97" s="43"/>
      <c r="I97" s="43"/>
      <c r="J97" s="43"/>
      <c r="K97" t="s">
        <v>10174</v>
      </c>
      <c r="L97" t="s">
        <v>10173</v>
      </c>
      <c r="M97" t="str">
        <f t="shared" si="6"/>
        <v>YES</v>
      </c>
      <c r="N97" t="str">
        <f t="shared" si="7"/>
        <v>NO</v>
      </c>
    </row>
    <row r="98" spans="1:14" ht="25.5" x14ac:dyDescent="0.25">
      <c r="A98" s="10" t="s">
        <v>7815</v>
      </c>
      <c r="B98" s="36">
        <v>1991</v>
      </c>
      <c r="C98" s="36">
        <v>48</v>
      </c>
      <c r="D98" s="37" t="s">
        <v>10060</v>
      </c>
      <c r="E98" s="37" t="s">
        <v>10061</v>
      </c>
      <c r="F98" s="36">
        <v>82</v>
      </c>
      <c r="G98" s="36" t="s">
        <v>9908</v>
      </c>
      <c r="H98" s="43"/>
      <c r="I98" s="43"/>
      <c r="J98" s="36" t="s">
        <v>10062</v>
      </c>
      <c r="K98" t="s">
        <v>10174</v>
      </c>
      <c r="L98" t="s">
        <v>10173</v>
      </c>
      <c r="M98" t="str">
        <f t="shared" si="6"/>
        <v>YES</v>
      </c>
      <c r="N98" t="str">
        <f t="shared" si="7"/>
        <v>YES</v>
      </c>
    </row>
    <row r="99" spans="1:14" x14ac:dyDescent="0.25">
      <c r="A99" s="11" t="s">
        <v>7870</v>
      </c>
      <c r="B99" s="36">
        <v>1991</v>
      </c>
      <c r="C99" s="36">
        <v>23</v>
      </c>
      <c r="D99" s="37" t="s">
        <v>1912</v>
      </c>
      <c r="E99" s="47" t="s">
        <v>10063</v>
      </c>
      <c r="F99" s="36">
        <v>34</v>
      </c>
      <c r="G99" s="36" t="s">
        <v>9908</v>
      </c>
      <c r="H99" s="39" t="s">
        <v>10011</v>
      </c>
      <c r="I99" s="43"/>
      <c r="J99" s="43"/>
      <c r="K99" t="s">
        <v>10174</v>
      </c>
      <c r="L99" t="s">
        <v>10173</v>
      </c>
      <c r="M99" t="str">
        <f t="shared" si="6"/>
        <v>NO</v>
      </c>
      <c r="N99" t="str">
        <f t="shared" si="7"/>
        <v>NO</v>
      </c>
    </row>
    <row r="100" spans="1:14" x14ac:dyDescent="0.25">
      <c r="A100" s="10" t="s">
        <v>7871</v>
      </c>
      <c r="B100" s="36">
        <v>1995</v>
      </c>
      <c r="C100" s="36">
        <v>80</v>
      </c>
      <c r="D100" s="37" t="s">
        <v>2520</v>
      </c>
      <c r="E100" s="47" t="s">
        <v>10064</v>
      </c>
      <c r="F100" s="36">
        <v>122</v>
      </c>
      <c r="G100" s="39" t="s">
        <v>9908</v>
      </c>
      <c r="H100" s="39" t="s">
        <v>10065</v>
      </c>
      <c r="I100" s="43"/>
      <c r="J100" s="36" t="s">
        <v>10066</v>
      </c>
      <c r="K100" t="s">
        <v>10174</v>
      </c>
      <c r="L100" t="s">
        <v>10173</v>
      </c>
      <c r="M100" t="str">
        <f t="shared" si="6"/>
        <v>NO</v>
      </c>
      <c r="N100" t="str">
        <f t="shared" si="7"/>
        <v>YES</v>
      </c>
    </row>
    <row r="101" spans="1:14" x14ac:dyDescent="0.25">
      <c r="A101" s="11" t="s">
        <v>7869</v>
      </c>
      <c r="B101" s="36">
        <v>1992</v>
      </c>
      <c r="C101" s="36">
        <v>42</v>
      </c>
      <c r="D101" s="37" t="s">
        <v>1912</v>
      </c>
      <c r="E101" s="47" t="s">
        <v>10067</v>
      </c>
      <c r="F101" s="36">
        <v>50</v>
      </c>
      <c r="G101" s="36" t="s">
        <v>9908</v>
      </c>
      <c r="H101" s="39" t="s">
        <v>10008</v>
      </c>
      <c r="I101" s="43"/>
      <c r="J101" s="43"/>
      <c r="K101" t="s">
        <v>10174</v>
      </c>
      <c r="L101" t="s">
        <v>10173</v>
      </c>
      <c r="M101" t="str">
        <f t="shared" si="6"/>
        <v>NO</v>
      </c>
      <c r="N101" t="str">
        <f t="shared" si="7"/>
        <v>NO</v>
      </c>
    </row>
    <row r="102" spans="1:14" x14ac:dyDescent="0.25">
      <c r="A102" t="s">
        <v>7878</v>
      </c>
      <c r="B102" s="36">
        <v>2002</v>
      </c>
      <c r="C102" s="36">
        <v>264</v>
      </c>
      <c r="D102" s="37" t="s">
        <v>8562</v>
      </c>
      <c r="E102" s="37" t="s">
        <v>8561</v>
      </c>
      <c r="F102" s="36">
        <v>564</v>
      </c>
      <c r="G102" s="39" t="s">
        <v>9908</v>
      </c>
      <c r="H102" s="41" t="s">
        <v>10068</v>
      </c>
      <c r="I102" s="51" t="s">
        <v>10068</v>
      </c>
      <c r="J102" s="43"/>
      <c r="K102" t="s">
        <v>10174</v>
      </c>
      <c r="L102" t="s">
        <v>10173</v>
      </c>
      <c r="M102" t="str">
        <f t="shared" si="6"/>
        <v>NO</v>
      </c>
      <c r="N102" t="str">
        <f t="shared" si="7"/>
        <v>NO</v>
      </c>
    </row>
    <row r="103" spans="1:14" x14ac:dyDescent="0.25">
      <c r="A103" s="11" t="s">
        <v>7872</v>
      </c>
      <c r="B103" s="36">
        <v>1996</v>
      </c>
      <c r="C103" s="36">
        <v>218</v>
      </c>
      <c r="D103" s="37" t="s">
        <v>2520</v>
      </c>
      <c r="E103" s="37" t="s">
        <v>10069</v>
      </c>
      <c r="F103" s="36">
        <v>338</v>
      </c>
      <c r="G103" s="39" t="s">
        <v>9908</v>
      </c>
      <c r="H103" s="41" t="s">
        <v>10040</v>
      </c>
      <c r="I103" s="43"/>
      <c r="J103" s="36" t="s">
        <v>10070</v>
      </c>
      <c r="K103" t="s">
        <v>10174</v>
      </c>
      <c r="L103" t="s">
        <v>10173</v>
      </c>
      <c r="M103" t="str">
        <f t="shared" si="6"/>
        <v>NO</v>
      </c>
      <c r="N103" t="str">
        <f t="shared" si="7"/>
        <v>YES</v>
      </c>
    </row>
    <row r="104" spans="1:14" x14ac:dyDescent="0.25">
      <c r="A104" t="s">
        <v>7873</v>
      </c>
      <c r="B104" s="36">
        <v>1995</v>
      </c>
      <c r="C104" s="36">
        <v>95</v>
      </c>
      <c r="D104" s="37" t="s">
        <v>1912</v>
      </c>
      <c r="E104" s="37" t="s">
        <v>9796</v>
      </c>
      <c r="F104" s="36">
        <v>346</v>
      </c>
      <c r="G104" s="39" t="s">
        <v>9908</v>
      </c>
      <c r="H104" s="41" t="s">
        <v>9942</v>
      </c>
      <c r="I104" s="41" t="s">
        <v>9942</v>
      </c>
      <c r="J104" s="36" t="s">
        <v>10071</v>
      </c>
      <c r="K104" t="s">
        <v>10174</v>
      </c>
      <c r="L104" t="s">
        <v>10173</v>
      </c>
      <c r="M104" t="str">
        <f t="shared" si="6"/>
        <v>NO</v>
      </c>
      <c r="N104" t="str">
        <f t="shared" si="7"/>
        <v>YES</v>
      </c>
    </row>
    <row r="105" spans="1:14" x14ac:dyDescent="0.25">
      <c r="A105" t="s">
        <v>7875</v>
      </c>
      <c r="B105" s="36">
        <v>1996</v>
      </c>
      <c r="C105" s="36">
        <v>223</v>
      </c>
      <c r="D105" s="37" t="s">
        <v>1912</v>
      </c>
      <c r="E105" s="44" t="s">
        <v>9800</v>
      </c>
      <c r="F105" s="36">
        <v>394</v>
      </c>
      <c r="G105" s="39" t="s">
        <v>9908</v>
      </c>
      <c r="H105" s="41" t="s">
        <v>10072</v>
      </c>
      <c r="I105" s="41" t="s">
        <v>10072</v>
      </c>
      <c r="J105" s="36" t="s">
        <v>10073</v>
      </c>
      <c r="K105" t="s">
        <v>10174</v>
      </c>
      <c r="L105" t="s">
        <v>10173</v>
      </c>
      <c r="M105" t="str">
        <f t="shared" si="6"/>
        <v>NO</v>
      </c>
      <c r="N105" t="str">
        <f t="shared" si="7"/>
        <v>YES</v>
      </c>
    </row>
    <row r="106" spans="1:14" x14ac:dyDescent="0.25">
      <c r="A106" s="10" t="s">
        <v>7874</v>
      </c>
      <c r="B106" s="36">
        <v>1998</v>
      </c>
      <c r="C106" s="36">
        <v>240</v>
      </c>
      <c r="D106" s="37" t="s">
        <v>1912</v>
      </c>
      <c r="E106" s="44" t="s">
        <v>10074</v>
      </c>
      <c r="F106" s="36">
        <v>539</v>
      </c>
      <c r="G106" s="39" t="s">
        <v>9908</v>
      </c>
      <c r="H106" s="41" t="s">
        <v>10075</v>
      </c>
      <c r="I106" s="41" t="s">
        <v>10075</v>
      </c>
      <c r="J106" s="36" t="s">
        <v>10076</v>
      </c>
      <c r="K106" t="s">
        <v>10174</v>
      </c>
      <c r="L106" t="s">
        <v>10173</v>
      </c>
      <c r="M106" t="str">
        <f t="shared" si="6"/>
        <v>NO</v>
      </c>
      <c r="N106" t="str">
        <f t="shared" si="7"/>
        <v>YES</v>
      </c>
    </row>
    <row r="107" spans="1:14" x14ac:dyDescent="0.25">
      <c r="A107" t="s">
        <v>7876</v>
      </c>
      <c r="B107" s="36">
        <v>1990</v>
      </c>
      <c r="C107" s="36">
        <v>6</v>
      </c>
      <c r="D107" s="37" t="s">
        <v>1912</v>
      </c>
      <c r="E107" s="37" t="s">
        <v>8830</v>
      </c>
      <c r="F107" s="36">
        <v>46</v>
      </c>
      <c r="G107" s="36" t="s">
        <v>9908</v>
      </c>
      <c r="H107" s="45" t="s">
        <v>9921</v>
      </c>
      <c r="I107" s="39" t="s">
        <v>9921</v>
      </c>
      <c r="J107" s="36" t="s">
        <v>10077</v>
      </c>
      <c r="K107" t="s">
        <v>10174</v>
      </c>
      <c r="L107" t="s">
        <v>10173</v>
      </c>
      <c r="M107" t="str">
        <f t="shared" si="6"/>
        <v>NO</v>
      </c>
      <c r="N107" t="str">
        <f t="shared" si="7"/>
        <v>YES</v>
      </c>
    </row>
    <row r="108" spans="1:14" x14ac:dyDescent="0.25">
      <c r="A108" t="s">
        <v>7877</v>
      </c>
      <c r="B108" s="36">
        <v>1991</v>
      </c>
      <c r="C108" s="36">
        <v>32</v>
      </c>
      <c r="D108" s="37" t="s">
        <v>1912</v>
      </c>
      <c r="E108" s="44" t="s">
        <v>6446</v>
      </c>
      <c r="F108" s="36">
        <v>45</v>
      </c>
      <c r="G108" s="39" t="s">
        <v>9908</v>
      </c>
      <c r="H108" s="39" t="s">
        <v>9950</v>
      </c>
      <c r="I108" s="46" t="s">
        <v>9950</v>
      </c>
      <c r="J108" s="36" t="s">
        <v>9910</v>
      </c>
      <c r="K108" t="s">
        <v>10174</v>
      </c>
      <c r="L108" t="s">
        <v>10173</v>
      </c>
      <c r="M108" t="str">
        <f t="shared" si="6"/>
        <v>NO</v>
      </c>
      <c r="N108" t="str">
        <f t="shared" si="7"/>
        <v>YES</v>
      </c>
    </row>
    <row r="109" spans="1:14" x14ac:dyDescent="0.25">
      <c r="A109" s="11" t="s">
        <v>7881</v>
      </c>
      <c r="B109" s="36">
        <v>1993</v>
      </c>
      <c r="C109" s="36">
        <v>45</v>
      </c>
      <c r="D109" s="37" t="s">
        <v>1912</v>
      </c>
      <c r="E109" s="44" t="s">
        <v>10078</v>
      </c>
      <c r="F109" s="36">
        <v>118</v>
      </c>
      <c r="G109" s="39" t="s">
        <v>9908</v>
      </c>
      <c r="H109" s="39" t="s">
        <v>10079</v>
      </c>
      <c r="I109" s="39" t="s">
        <v>10079</v>
      </c>
      <c r="J109" s="36" t="s">
        <v>9923</v>
      </c>
      <c r="K109" t="s">
        <v>10174</v>
      </c>
      <c r="L109" t="s">
        <v>10173</v>
      </c>
      <c r="M109" t="str">
        <f t="shared" si="6"/>
        <v>NO</v>
      </c>
      <c r="N109" t="str">
        <f t="shared" si="7"/>
        <v>YES</v>
      </c>
    </row>
    <row r="110" spans="1:14" ht="25.5" x14ac:dyDescent="0.25">
      <c r="A110" s="10" t="s">
        <v>7922</v>
      </c>
      <c r="B110" s="36">
        <v>1994</v>
      </c>
      <c r="C110" s="36">
        <v>63</v>
      </c>
      <c r="D110" s="37" t="s">
        <v>1912</v>
      </c>
      <c r="E110" s="44" t="s">
        <v>10080</v>
      </c>
      <c r="F110" s="36">
        <v>202</v>
      </c>
      <c r="G110" s="39" t="s">
        <v>9908</v>
      </c>
      <c r="H110" s="39" t="s">
        <v>10081</v>
      </c>
      <c r="I110" s="46" t="s">
        <v>10081</v>
      </c>
      <c r="J110" s="36" t="s">
        <v>10082</v>
      </c>
      <c r="K110" t="s">
        <v>10174</v>
      </c>
      <c r="L110" t="s">
        <v>10173</v>
      </c>
      <c r="M110" t="str">
        <f t="shared" si="6"/>
        <v>NO</v>
      </c>
      <c r="N110" t="str">
        <f t="shared" si="7"/>
        <v>YES</v>
      </c>
    </row>
    <row r="111" spans="1:14" ht="25.5" x14ac:dyDescent="0.25">
      <c r="A111" s="11" t="s">
        <v>7923</v>
      </c>
      <c r="B111" s="36">
        <v>1995</v>
      </c>
      <c r="C111" s="36">
        <v>87</v>
      </c>
      <c r="D111" s="37" t="s">
        <v>1912</v>
      </c>
      <c r="E111" s="44" t="s">
        <v>10083</v>
      </c>
      <c r="F111" s="36">
        <v>282</v>
      </c>
      <c r="G111" s="39" t="s">
        <v>9908</v>
      </c>
      <c r="H111" s="41" t="s">
        <v>10084</v>
      </c>
      <c r="I111" s="41" t="s">
        <v>10084</v>
      </c>
      <c r="J111" s="36" t="s">
        <v>10085</v>
      </c>
      <c r="K111" t="s">
        <v>10174</v>
      </c>
      <c r="L111" t="s">
        <v>10173</v>
      </c>
      <c r="M111" t="str">
        <f t="shared" si="6"/>
        <v>NO</v>
      </c>
      <c r="N111" t="str">
        <f t="shared" si="7"/>
        <v>YES</v>
      </c>
    </row>
    <row r="112" spans="1:14" ht="25.5" x14ac:dyDescent="0.25">
      <c r="A112" s="10" t="s">
        <v>7924</v>
      </c>
      <c r="B112" s="36">
        <v>1996</v>
      </c>
      <c r="C112" s="36">
        <v>222</v>
      </c>
      <c r="D112" s="37" t="s">
        <v>1912</v>
      </c>
      <c r="E112" s="44" t="s">
        <v>10086</v>
      </c>
      <c r="F112" s="36">
        <v>378</v>
      </c>
      <c r="G112" s="39" t="s">
        <v>9908</v>
      </c>
      <c r="H112" s="41" t="s">
        <v>10087</v>
      </c>
      <c r="I112" s="41" t="s">
        <v>10087</v>
      </c>
      <c r="J112" s="36" t="s">
        <v>10088</v>
      </c>
      <c r="K112" t="s">
        <v>10174</v>
      </c>
      <c r="L112" t="s">
        <v>10173</v>
      </c>
      <c r="M112" t="str">
        <f t="shared" si="6"/>
        <v>NO</v>
      </c>
      <c r="N112" t="str">
        <f t="shared" si="7"/>
        <v>YES</v>
      </c>
    </row>
    <row r="113" spans="1:14" ht="22.5" x14ac:dyDescent="0.25">
      <c r="A113" s="11" t="s">
        <v>7925</v>
      </c>
      <c r="B113" s="36">
        <v>2003</v>
      </c>
      <c r="C113" s="36">
        <v>270</v>
      </c>
      <c r="D113" s="37" t="s">
        <v>10089</v>
      </c>
      <c r="E113" s="37" t="s">
        <v>10090</v>
      </c>
      <c r="F113" s="36">
        <v>708</v>
      </c>
      <c r="G113" s="39" t="s">
        <v>9908</v>
      </c>
      <c r="H113" s="40" t="s">
        <v>10091</v>
      </c>
      <c r="I113" s="40" t="s">
        <v>10091</v>
      </c>
      <c r="J113" s="42"/>
      <c r="K113" t="s">
        <v>10174</v>
      </c>
      <c r="L113" t="s">
        <v>10173</v>
      </c>
      <c r="M113" t="str">
        <f t="shared" si="6"/>
        <v>NO</v>
      </c>
      <c r="N113" t="str">
        <f t="shared" si="7"/>
        <v>NO</v>
      </c>
    </row>
    <row r="114" spans="1:14" x14ac:dyDescent="0.25">
      <c r="A114" s="10" t="s">
        <v>7880</v>
      </c>
      <c r="B114" s="36">
        <v>2004</v>
      </c>
      <c r="C114" s="36">
        <v>272</v>
      </c>
      <c r="D114" s="37" t="s">
        <v>10089</v>
      </c>
      <c r="E114" s="37" t="s">
        <v>10092</v>
      </c>
      <c r="F114" s="36">
        <v>708</v>
      </c>
      <c r="G114" s="36" t="s">
        <v>9908</v>
      </c>
      <c r="H114" s="40" t="s">
        <v>10093</v>
      </c>
      <c r="I114" s="40" t="s">
        <v>10094</v>
      </c>
      <c r="J114" s="42"/>
      <c r="K114" t="s">
        <v>10174</v>
      </c>
      <c r="L114" t="s">
        <v>10173</v>
      </c>
      <c r="M114" t="str">
        <f t="shared" si="6"/>
        <v>NO</v>
      </c>
      <c r="N114" t="str">
        <f t="shared" si="7"/>
        <v>NO</v>
      </c>
    </row>
    <row r="115" spans="1:14" x14ac:dyDescent="0.25">
      <c r="A115" s="10" t="s">
        <v>7882</v>
      </c>
      <c r="B115" s="36">
        <v>1995</v>
      </c>
      <c r="C115" s="36">
        <v>59</v>
      </c>
      <c r="D115" s="37" t="s">
        <v>1912</v>
      </c>
      <c r="E115" s="44" t="s">
        <v>10095</v>
      </c>
      <c r="F115" s="36">
        <v>190</v>
      </c>
      <c r="G115" s="39" t="s">
        <v>9908</v>
      </c>
      <c r="H115" s="41" t="s">
        <v>10077</v>
      </c>
      <c r="I115" s="41" t="s">
        <v>10077</v>
      </c>
      <c r="J115" s="36" t="s">
        <v>10096</v>
      </c>
      <c r="K115" t="s">
        <v>10174</v>
      </c>
      <c r="L115" t="s">
        <v>10173</v>
      </c>
      <c r="M115" t="str">
        <f t="shared" si="6"/>
        <v>NO</v>
      </c>
      <c r="N115" t="str">
        <f t="shared" si="7"/>
        <v>YES</v>
      </c>
    </row>
    <row r="116" spans="1:14" x14ac:dyDescent="0.25">
      <c r="A116" t="s">
        <v>7885</v>
      </c>
      <c r="B116" s="36">
        <v>1991</v>
      </c>
      <c r="C116" s="36">
        <v>17</v>
      </c>
      <c r="D116" s="37" t="s">
        <v>1912</v>
      </c>
      <c r="E116" s="44" t="s">
        <v>8217</v>
      </c>
      <c r="F116" s="36">
        <v>55</v>
      </c>
      <c r="G116" s="39" t="s">
        <v>9908</v>
      </c>
      <c r="H116" s="45" t="s">
        <v>9921</v>
      </c>
      <c r="I116" s="39" t="s">
        <v>9921</v>
      </c>
      <c r="J116" s="36" t="s">
        <v>9961</v>
      </c>
      <c r="K116" t="s">
        <v>10174</v>
      </c>
      <c r="L116" t="s">
        <v>10173</v>
      </c>
      <c r="M116" t="str">
        <f t="shared" si="6"/>
        <v>NO</v>
      </c>
      <c r="N116" t="str">
        <f t="shared" si="7"/>
        <v>YES</v>
      </c>
    </row>
    <row r="117" spans="1:14" x14ac:dyDescent="0.25">
      <c r="A117" t="s">
        <v>7926</v>
      </c>
      <c r="B117" s="36">
        <v>1993</v>
      </c>
      <c r="C117" s="36">
        <v>40</v>
      </c>
      <c r="D117" s="37" t="s">
        <v>1912</v>
      </c>
      <c r="E117" s="44" t="s">
        <v>9805</v>
      </c>
      <c r="F117" s="36">
        <v>74</v>
      </c>
      <c r="G117" s="39" t="s">
        <v>9908</v>
      </c>
      <c r="H117" s="39" t="s">
        <v>10097</v>
      </c>
      <c r="I117" s="39" t="s">
        <v>10097</v>
      </c>
      <c r="J117" s="36" t="s">
        <v>9961</v>
      </c>
      <c r="K117" t="s">
        <v>10174</v>
      </c>
      <c r="L117" t="s">
        <v>10173</v>
      </c>
      <c r="M117" t="str">
        <f t="shared" si="6"/>
        <v>NO</v>
      </c>
      <c r="N117" t="str">
        <f t="shared" si="7"/>
        <v>YES</v>
      </c>
    </row>
    <row r="118" spans="1:14" x14ac:dyDescent="0.25">
      <c r="A118" s="11" t="s">
        <v>7927</v>
      </c>
      <c r="B118" s="36">
        <v>2001</v>
      </c>
      <c r="C118" s="36">
        <v>261</v>
      </c>
      <c r="D118" s="37" t="s">
        <v>8510</v>
      </c>
      <c r="E118" s="44" t="s">
        <v>10098</v>
      </c>
      <c r="F118" s="36">
        <v>364</v>
      </c>
      <c r="G118" s="39" t="s">
        <v>9908</v>
      </c>
      <c r="H118" s="41" t="s">
        <v>10099</v>
      </c>
      <c r="I118" s="41" t="s">
        <v>10099</v>
      </c>
      <c r="J118" s="43"/>
      <c r="K118" t="s">
        <v>10174</v>
      </c>
      <c r="L118" t="s">
        <v>10173</v>
      </c>
      <c r="M118" t="str">
        <f t="shared" si="6"/>
        <v>NO</v>
      </c>
      <c r="N118" t="str">
        <f t="shared" si="7"/>
        <v>NO</v>
      </c>
    </row>
    <row r="119" spans="1:14" x14ac:dyDescent="0.25">
      <c r="A119" t="s">
        <v>7887</v>
      </c>
      <c r="B119" s="36">
        <v>1997</v>
      </c>
      <c r="C119" s="36">
        <v>238</v>
      </c>
      <c r="D119" s="37" t="s">
        <v>2520</v>
      </c>
      <c r="E119" s="44" t="s">
        <v>8505</v>
      </c>
      <c r="F119" s="36">
        <v>346</v>
      </c>
      <c r="G119" s="39" t="s">
        <v>9908</v>
      </c>
      <c r="H119" s="43"/>
      <c r="I119" s="43"/>
      <c r="J119" s="43"/>
      <c r="K119" t="s">
        <v>10174</v>
      </c>
      <c r="L119" t="s">
        <v>10173</v>
      </c>
      <c r="M119" t="str">
        <f t="shared" si="6"/>
        <v>YES</v>
      </c>
      <c r="N119" t="str">
        <f t="shared" si="7"/>
        <v>NO</v>
      </c>
    </row>
    <row r="120" spans="1:14" x14ac:dyDescent="0.25">
      <c r="A120" s="10" t="s">
        <v>7886</v>
      </c>
      <c r="B120" s="36">
        <v>1998</v>
      </c>
      <c r="C120" s="36">
        <v>246</v>
      </c>
      <c r="D120" s="37" t="s">
        <v>2520</v>
      </c>
      <c r="E120" s="44" t="s">
        <v>10100</v>
      </c>
      <c r="F120" s="36">
        <v>514</v>
      </c>
      <c r="G120" s="39" t="s">
        <v>9908</v>
      </c>
      <c r="H120" s="40" t="s">
        <v>10101</v>
      </c>
      <c r="I120" s="43"/>
      <c r="J120" s="43"/>
      <c r="K120" t="s">
        <v>10174</v>
      </c>
      <c r="L120" t="s">
        <v>10173</v>
      </c>
      <c r="M120" t="str">
        <f t="shared" si="6"/>
        <v>NO</v>
      </c>
      <c r="N120" t="str">
        <f t="shared" si="7"/>
        <v>NO</v>
      </c>
    </row>
    <row r="121" spans="1:14" x14ac:dyDescent="0.25">
      <c r="A121" t="s">
        <v>7888</v>
      </c>
      <c r="B121" s="36">
        <v>1992</v>
      </c>
      <c r="C121" s="36">
        <v>31</v>
      </c>
      <c r="D121" s="37" t="s">
        <v>1912</v>
      </c>
      <c r="E121" s="37" t="s">
        <v>8492</v>
      </c>
      <c r="F121" s="36">
        <v>46</v>
      </c>
      <c r="G121" s="39" t="s">
        <v>9908</v>
      </c>
      <c r="H121" s="39" t="s">
        <v>10102</v>
      </c>
      <c r="I121" s="46" t="s">
        <v>10102</v>
      </c>
      <c r="J121" s="36" t="s">
        <v>9945</v>
      </c>
      <c r="K121" t="s">
        <v>10174</v>
      </c>
      <c r="L121" t="s">
        <v>10173</v>
      </c>
      <c r="M121" t="str">
        <f t="shared" si="6"/>
        <v>NO</v>
      </c>
      <c r="N121" t="str">
        <f t="shared" si="7"/>
        <v>YES</v>
      </c>
    </row>
    <row r="122" spans="1:14" x14ac:dyDescent="0.25">
      <c r="A122" s="11" t="s">
        <v>7891</v>
      </c>
      <c r="B122" s="36">
        <v>1993</v>
      </c>
      <c r="C122" s="36">
        <v>62</v>
      </c>
      <c r="D122" s="37" t="s">
        <v>8481</v>
      </c>
      <c r="E122" s="44" t="s">
        <v>10103</v>
      </c>
      <c r="F122" s="36">
        <v>90</v>
      </c>
      <c r="G122" s="39" t="s">
        <v>9908</v>
      </c>
      <c r="H122" s="39" t="s">
        <v>10104</v>
      </c>
      <c r="I122" s="39" t="s">
        <v>10104</v>
      </c>
      <c r="J122" s="43"/>
      <c r="K122" t="s">
        <v>10174</v>
      </c>
      <c r="L122" t="s">
        <v>10173</v>
      </c>
      <c r="M122" t="str">
        <f t="shared" si="6"/>
        <v>NO</v>
      </c>
      <c r="N122" t="str">
        <f t="shared" si="7"/>
        <v>NO</v>
      </c>
    </row>
    <row r="123" spans="1:14" x14ac:dyDescent="0.25">
      <c r="A123" t="s">
        <v>7893</v>
      </c>
      <c r="B123" s="36">
        <v>1995</v>
      </c>
      <c r="C123" s="36">
        <v>88</v>
      </c>
      <c r="D123" s="37" t="s">
        <v>2520</v>
      </c>
      <c r="E123" s="37" t="s">
        <v>9809</v>
      </c>
      <c r="F123" s="36">
        <v>98</v>
      </c>
      <c r="G123" s="39" t="s">
        <v>9908</v>
      </c>
      <c r="H123" s="41" t="s">
        <v>10056</v>
      </c>
      <c r="I123" s="41" t="s">
        <v>10056</v>
      </c>
      <c r="J123" s="36" t="s">
        <v>10105</v>
      </c>
      <c r="K123" t="s">
        <v>10174</v>
      </c>
      <c r="L123" t="s">
        <v>10173</v>
      </c>
      <c r="M123" t="str">
        <f t="shared" si="6"/>
        <v>NO</v>
      </c>
      <c r="N123" t="str">
        <f t="shared" si="7"/>
        <v>YES</v>
      </c>
    </row>
    <row r="124" spans="1:14" x14ac:dyDescent="0.25">
      <c r="A124" t="s">
        <v>7931</v>
      </c>
      <c r="B124" s="36">
        <v>1996</v>
      </c>
      <c r="C124" s="36">
        <v>227</v>
      </c>
      <c r="D124" s="37" t="s">
        <v>2520</v>
      </c>
      <c r="E124" s="44" t="s">
        <v>3201</v>
      </c>
      <c r="F124" s="36">
        <v>178</v>
      </c>
      <c r="G124" s="39" t="s">
        <v>9908</v>
      </c>
      <c r="H124" s="41" t="s">
        <v>10106</v>
      </c>
      <c r="I124" s="43"/>
      <c r="J124" s="43"/>
      <c r="K124" t="s">
        <v>10174</v>
      </c>
      <c r="L124" t="s">
        <v>10173</v>
      </c>
      <c r="M124" t="str">
        <f t="shared" si="6"/>
        <v>NO</v>
      </c>
      <c r="N124" t="str">
        <f t="shared" si="7"/>
        <v>NO</v>
      </c>
    </row>
    <row r="125" spans="1:14" x14ac:dyDescent="0.25">
      <c r="A125" s="11" t="s">
        <v>7894</v>
      </c>
      <c r="B125" s="36">
        <v>1994</v>
      </c>
      <c r="C125" s="36">
        <v>79</v>
      </c>
      <c r="D125" s="37" t="s">
        <v>8481</v>
      </c>
      <c r="E125" s="44" t="s">
        <v>10107</v>
      </c>
      <c r="F125" s="36">
        <v>94</v>
      </c>
      <c r="G125" s="39" t="s">
        <v>9908</v>
      </c>
      <c r="H125" s="39" t="s">
        <v>10108</v>
      </c>
      <c r="I125" s="39" t="s">
        <v>10108</v>
      </c>
      <c r="J125" s="36" t="s">
        <v>10109</v>
      </c>
      <c r="K125" t="s">
        <v>10174</v>
      </c>
      <c r="L125" t="s">
        <v>10173</v>
      </c>
      <c r="M125" t="str">
        <f t="shared" si="6"/>
        <v>NO</v>
      </c>
      <c r="N125" t="str">
        <f t="shared" si="7"/>
        <v>YES</v>
      </c>
    </row>
    <row r="126" spans="1:14" x14ac:dyDescent="0.25">
      <c r="A126" t="s">
        <v>7879</v>
      </c>
      <c r="B126" s="36">
        <v>1999</v>
      </c>
      <c r="C126" s="36">
        <v>254</v>
      </c>
      <c r="D126" s="37" t="s">
        <v>2052</v>
      </c>
      <c r="E126" s="44" t="s">
        <v>2053</v>
      </c>
      <c r="F126" s="36">
        <v>681</v>
      </c>
      <c r="G126" s="39" t="s">
        <v>9908</v>
      </c>
      <c r="H126" s="43"/>
      <c r="I126" s="43"/>
      <c r="J126" s="43"/>
      <c r="K126" t="s">
        <v>10174</v>
      </c>
      <c r="L126" t="s">
        <v>10173</v>
      </c>
      <c r="M126" t="str">
        <f t="shared" si="6"/>
        <v>YES</v>
      </c>
      <c r="N126" t="str">
        <f t="shared" si="7"/>
        <v>NO</v>
      </c>
    </row>
    <row r="127" spans="1:14" x14ac:dyDescent="0.25">
      <c r="A127" s="11" t="s">
        <v>7774</v>
      </c>
      <c r="B127" s="36">
        <v>1991</v>
      </c>
      <c r="C127" s="36">
        <v>30</v>
      </c>
      <c r="D127" s="37" t="s">
        <v>9947</v>
      </c>
      <c r="E127" s="44" t="s">
        <v>10110</v>
      </c>
      <c r="F127" s="36">
        <v>46</v>
      </c>
      <c r="G127" s="39" t="s">
        <v>9908</v>
      </c>
      <c r="H127" s="39" t="s">
        <v>10111</v>
      </c>
      <c r="I127" s="46" t="s">
        <v>10111</v>
      </c>
      <c r="J127" s="36" t="s">
        <v>9957</v>
      </c>
      <c r="K127" t="s">
        <v>10174</v>
      </c>
      <c r="L127" t="s">
        <v>10173</v>
      </c>
      <c r="M127" t="str">
        <f t="shared" si="6"/>
        <v>NO</v>
      </c>
      <c r="N127" t="str">
        <f t="shared" si="7"/>
        <v>YES</v>
      </c>
    </row>
    <row r="128" spans="1:14" x14ac:dyDescent="0.25">
      <c r="A128" s="11" t="s">
        <v>7884</v>
      </c>
      <c r="B128" s="36">
        <v>1996</v>
      </c>
      <c r="C128" s="36">
        <v>208</v>
      </c>
      <c r="D128" s="37" t="s">
        <v>9944</v>
      </c>
      <c r="E128" s="44" t="s">
        <v>10112</v>
      </c>
      <c r="F128" s="36">
        <v>190</v>
      </c>
      <c r="G128" s="39" t="s">
        <v>9908</v>
      </c>
      <c r="H128" s="43"/>
      <c r="I128" s="43"/>
      <c r="J128" s="43"/>
      <c r="K128" t="s">
        <v>10174</v>
      </c>
      <c r="L128" t="s">
        <v>10173</v>
      </c>
      <c r="M128" t="str">
        <f t="shared" si="6"/>
        <v>YES</v>
      </c>
      <c r="N128" t="str">
        <f t="shared" si="7"/>
        <v>NO</v>
      </c>
    </row>
    <row r="129" spans="1:14" x14ac:dyDescent="0.25">
      <c r="A129" s="10" t="s">
        <v>7892</v>
      </c>
      <c r="B129" s="36">
        <v>1992</v>
      </c>
      <c r="C129" s="36">
        <v>52</v>
      </c>
      <c r="D129" s="37" t="s">
        <v>1912</v>
      </c>
      <c r="E129" s="37" t="s">
        <v>10113</v>
      </c>
      <c r="F129" s="36">
        <v>54</v>
      </c>
      <c r="G129" s="39" t="s">
        <v>9908</v>
      </c>
      <c r="H129" s="39" t="s">
        <v>10114</v>
      </c>
      <c r="I129" s="39" t="s">
        <v>10114</v>
      </c>
      <c r="J129" s="36" t="s">
        <v>9945</v>
      </c>
      <c r="K129" t="s">
        <v>10174</v>
      </c>
      <c r="L129" t="s">
        <v>10173</v>
      </c>
      <c r="M129" t="str">
        <f t="shared" si="6"/>
        <v>NO</v>
      </c>
      <c r="N129" t="str">
        <f t="shared" si="7"/>
        <v>YES</v>
      </c>
    </row>
    <row r="130" spans="1:14" x14ac:dyDescent="0.25">
      <c r="A130" s="11" t="s">
        <v>7928</v>
      </c>
      <c r="B130" s="36">
        <v>1994</v>
      </c>
      <c r="C130" s="36">
        <v>61</v>
      </c>
      <c r="D130" s="37" t="s">
        <v>1912</v>
      </c>
      <c r="E130" s="37" t="s">
        <v>10115</v>
      </c>
      <c r="F130" s="36">
        <v>106</v>
      </c>
      <c r="G130" s="39" t="s">
        <v>9908</v>
      </c>
      <c r="H130" s="39" t="s">
        <v>10116</v>
      </c>
      <c r="I130" s="39" t="s">
        <v>10116</v>
      </c>
      <c r="J130" s="36" t="s">
        <v>9923</v>
      </c>
      <c r="K130" t="s">
        <v>10174</v>
      </c>
      <c r="L130" t="s">
        <v>10173</v>
      </c>
      <c r="M130" t="str">
        <f t="shared" si="6"/>
        <v>NO</v>
      </c>
      <c r="N130" t="str">
        <f t="shared" si="7"/>
        <v>YES</v>
      </c>
    </row>
    <row r="131" spans="1:14" x14ac:dyDescent="0.25">
      <c r="A131" s="10" t="s">
        <v>7929</v>
      </c>
      <c r="B131" s="36">
        <v>1995</v>
      </c>
      <c r="C131" s="36">
        <v>81</v>
      </c>
      <c r="D131" s="37" t="s">
        <v>1912</v>
      </c>
      <c r="E131" s="37" t="s">
        <v>10117</v>
      </c>
      <c r="F131" s="36">
        <v>158</v>
      </c>
      <c r="G131" s="39" t="s">
        <v>9908</v>
      </c>
      <c r="H131" s="39" t="s">
        <v>10066</v>
      </c>
      <c r="I131" s="39" t="s">
        <v>10066</v>
      </c>
      <c r="J131" s="36" t="s">
        <v>10118</v>
      </c>
      <c r="K131" t="s">
        <v>10174</v>
      </c>
      <c r="L131" t="s">
        <v>10173</v>
      </c>
      <c r="M131" t="str">
        <f t="shared" si="6"/>
        <v>NO</v>
      </c>
      <c r="N131" t="str">
        <f t="shared" si="7"/>
        <v>YES</v>
      </c>
    </row>
    <row r="132" spans="1:14" x14ac:dyDescent="0.25">
      <c r="A132" s="10" t="s">
        <v>7930</v>
      </c>
      <c r="B132" s="36">
        <v>1996</v>
      </c>
      <c r="C132" s="36">
        <v>215</v>
      </c>
      <c r="D132" s="37" t="s">
        <v>1912</v>
      </c>
      <c r="E132" s="37" t="s">
        <v>10119</v>
      </c>
      <c r="F132" s="36">
        <v>226</v>
      </c>
      <c r="G132" s="39" t="s">
        <v>9908</v>
      </c>
      <c r="H132" s="41" t="s">
        <v>10120</v>
      </c>
      <c r="I132" s="41" t="s">
        <v>10120</v>
      </c>
      <c r="J132" s="43"/>
      <c r="K132" t="s">
        <v>10174</v>
      </c>
      <c r="L132" t="s">
        <v>10173</v>
      </c>
      <c r="M132" t="str">
        <f t="shared" si="6"/>
        <v>NO</v>
      </c>
      <c r="N132" t="str">
        <f t="shared" si="7"/>
        <v>NO</v>
      </c>
    </row>
    <row r="133" spans="1:14" x14ac:dyDescent="0.25">
      <c r="A133" s="11" t="s">
        <v>7895</v>
      </c>
      <c r="B133" s="36">
        <v>1990</v>
      </c>
      <c r="C133" s="36">
        <v>11</v>
      </c>
      <c r="D133" s="37" t="s">
        <v>1912</v>
      </c>
      <c r="E133" s="44" t="s">
        <v>10121</v>
      </c>
      <c r="F133" s="36">
        <v>55</v>
      </c>
      <c r="G133" s="39" t="s">
        <v>9908</v>
      </c>
      <c r="H133" s="45" t="s">
        <v>9921</v>
      </c>
      <c r="I133" s="39" t="s">
        <v>9921</v>
      </c>
      <c r="J133" s="36" t="s">
        <v>9923</v>
      </c>
      <c r="K133" t="s">
        <v>10174</v>
      </c>
      <c r="L133" t="s">
        <v>10173</v>
      </c>
      <c r="M133" t="str">
        <f t="shared" si="6"/>
        <v>NO</v>
      </c>
      <c r="N133" t="str">
        <f t="shared" si="7"/>
        <v>YES</v>
      </c>
    </row>
    <row r="134" spans="1:14" ht="25.5" x14ac:dyDescent="0.25">
      <c r="A134" s="10" t="s">
        <v>7896</v>
      </c>
      <c r="B134" s="36">
        <v>2003</v>
      </c>
      <c r="C134" s="36">
        <v>269</v>
      </c>
      <c r="D134" s="37" t="s">
        <v>1436</v>
      </c>
      <c r="E134" s="37" t="s">
        <v>10122</v>
      </c>
      <c r="F134" s="36">
        <v>708</v>
      </c>
      <c r="G134" s="38" t="s">
        <v>10123</v>
      </c>
      <c r="H134" s="40" t="s">
        <v>10124</v>
      </c>
      <c r="I134" s="40" t="s">
        <v>10125</v>
      </c>
      <c r="J134" s="53"/>
      <c r="K134" t="s">
        <v>10173</v>
      </c>
      <c r="L134" t="s">
        <v>10173</v>
      </c>
      <c r="M134" t="str">
        <f t="shared" si="6"/>
        <v>NO</v>
      </c>
      <c r="N134" t="str">
        <f t="shared" si="7"/>
        <v>NO</v>
      </c>
    </row>
    <row r="135" spans="1:14" x14ac:dyDescent="0.25">
      <c r="A135" t="s">
        <v>7903</v>
      </c>
      <c r="B135" s="36">
        <v>1996</v>
      </c>
      <c r="C135" s="36">
        <v>86</v>
      </c>
      <c r="D135" s="37" t="s">
        <v>4545</v>
      </c>
      <c r="E135" s="37" t="s">
        <v>4546</v>
      </c>
      <c r="F135" s="36">
        <v>122</v>
      </c>
      <c r="G135" s="39" t="s">
        <v>9908</v>
      </c>
      <c r="H135" s="43"/>
      <c r="I135" s="43"/>
      <c r="J135" s="43" t="s">
        <v>9934</v>
      </c>
      <c r="K135" t="s">
        <v>10174</v>
      </c>
      <c r="L135" t="s">
        <v>10173</v>
      </c>
      <c r="M135" t="str">
        <f t="shared" si="6"/>
        <v>YES</v>
      </c>
      <c r="N135" t="str">
        <f t="shared" si="7"/>
        <v>YES</v>
      </c>
    </row>
    <row r="136" spans="1:14" ht="25.5" x14ac:dyDescent="0.25">
      <c r="A136" s="11" t="s">
        <v>7900</v>
      </c>
      <c r="B136" s="36">
        <v>1991</v>
      </c>
      <c r="C136" s="36">
        <v>38</v>
      </c>
      <c r="D136" s="37" t="s">
        <v>3770</v>
      </c>
      <c r="E136" s="44" t="s">
        <v>10126</v>
      </c>
      <c r="F136" s="36">
        <v>46</v>
      </c>
      <c r="G136" s="39" t="s">
        <v>9908</v>
      </c>
      <c r="H136" s="39" t="s">
        <v>9950</v>
      </c>
      <c r="I136" s="39" t="s">
        <v>9950</v>
      </c>
      <c r="J136" s="36" t="s">
        <v>9936</v>
      </c>
      <c r="K136" t="s">
        <v>10174</v>
      </c>
      <c r="L136" t="s">
        <v>10173</v>
      </c>
      <c r="M136" t="str">
        <f t="shared" si="6"/>
        <v>NO</v>
      </c>
      <c r="N136" t="str">
        <f t="shared" si="7"/>
        <v>YES</v>
      </c>
    </row>
    <row r="137" spans="1:14" x14ac:dyDescent="0.25">
      <c r="A137" s="11" t="s">
        <v>7897</v>
      </c>
      <c r="B137" s="36">
        <v>1994</v>
      </c>
      <c r="C137" s="36">
        <v>46</v>
      </c>
      <c r="D137" s="37" t="s">
        <v>1912</v>
      </c>
      <c r="E137" s="44" t="s">
        <v>10127</v>
      </c>
      <c r="F137" s="36">
        <v>110</v>
      </c>
      <c r="G137" s="39" t="s">
        <v>9908</v>
      </c>
      <c r="H137" s="39" t="s">
        <v>10128</v>
      </c>
      <c r="I137" s="39" t="s">
        <v>10128</v>
      </c>
      <c r="J137" s="36" t="s">
        <v>9914</v>
      </c>
      <c r="K137" t="s">
        <v>10174</v>
      </c>
      <c r="L137" t="s">
        <v>10173</v>
      </c>
      <c r="M137" t="str">
        <f t="shared" ref="M137:M149" si="8">IF(AND(H137="",I137=""),"YES","NO")</f>
        <v>NO</v>
      </c>
      <c r="N137" t="str">
        <f t="shared" ref="N137:N149" si="9">IF(J137="","NO","YES")</f>
        <v>YES</v>
      </c>
    </row>
    <row r="138" spans="1:14" x14ac:dyDescent="0.25">
      <c r="A138" t="s">
        <v>7899</v>
      </c>
      <c r="B138" s="36">
        <v>1990</v>
      </c>
      <c r="C138" s="36">
        <v>3</v>
      </c>
      <c r="D138" s="37" t="s">
        <v>1912</v>
      </c>
      <c r="E138" s="37" t="s">
        <v>8386</v>
      </c>
      <c r="F138" s="36">
        <v>62</v>
      </c>
      <c r="G138" s="39" t="s">
        <v>9908</v>
      </c>
      <c r="H138" s="45" t="s">
        <v>9921</v>
      </c>
      <c r="I138" s="39" t="s">
        <v>9921</v>
      </c>
      <c r="J138" s="36" t="s">
        <v>9923</v>
      </c>
      <c r="K138" t="s">
        <v>10174</v>
      </c>
      <c r="L138" t="s">
        <v>10173</v>
      </c>
      <c r="M138" t="str">
        <f t="shared" si="8"/>
        <v>NO</v>
      </c>
      <c r="N138" t="str">
        <f t="shared" si="9"/>
        <v>YES</v>
      </c>
    </row>
    <row r="139" spans="1:14" x14ac:dyDescent="0.25">
      <c r="A139" t="s">
        <v>7902</v>
      </c>
      <c r="B139" s="36">
        <v>1996</v>
      </c>
      <c r="C139" s="36">
        <v>224</v>
      </c>
      <c r="D139" s="37" t="s">
        <v>3770</v>
      </c>
      <c r="E139" s="44" t="s">
        <v>3276</v>
      </c>
      <c r="F139" s="36">
        <v>146</v>
      </c>
      <c r="G139" s="39" t="s">
        <v>9908</v>
      </c>
      <c r="H139" s="41" t="s">
        <v>10129</v>
      </c>
      <c r="I139" s="43"/>
      <c r="J139" s="36" t="s">
        <v>10130</v>
      </c>
      <c r="K139" t="s">
        <v>10174</v>
      </c>
      <c r="L139" t="s">
        <v>10173</v>
      </c>
      <c r="M139" t="str">
        <f t="shared" si="8"/>
        <v>NO</v>
      </c>
      <c r="N139" t="str">
        <f t="shared" si="9"/>
        <v>YES</v>
      </c>
    </row>
    <row r="140" spans="1:14" x14ac:dyDescent="0.25">
      <c r="A140" t="s">
        <v>7904</v>
      </c>
      <c r="B140" s="36">
        <v>1992</v>
      </c>
      <c r="C140" s="36">
        <v>51</v>
      </c>
      <c r="D140" s="37" t="s">
        <v>8378</v>
      </c>
      <c r="E140" s="44" t="s">
        <v>5758</v>
      </c>
      <c r="F140" s="36">
        <v>74</v>
      </c>
      <c r="G140" s="39" t="s">
        <v>9908</v>
      </c>
      <c r="H140" s="39" t="s">
        <v>9926</v>
      </c>
      <c r="I140" s="39" t="s">
        <v>9926</v>
      </c>
      <c r="J140" s="36" t="s">
        <v>9957</v>
      </c>
      <c r="K140" t="s">
        <v>10174</v>
      </c>
      <c r="L140" t="s">
        <v>10173</v>
      </c>
      <c r="M140" t="str">
        <f t="shared" si="8"/>
        <v>NO</v>
      </c>
      <c r="N140" t="str">
        <f t="shared" si="9"/>
        <v>YES</v>
      </c>
    </row>
    <row r="141" spans="1:14" ht="25.5" x14ac:dyDescent="0.25">
      <c r="A141" s="10" t="s">
        <v>7810</v>
      </c>
      <c r="B141" s="36">
        <v>1995</v>
      </c>
      <c r="C141" s="36">
        <v>94</v>
      </c>
      <c r="D141" s="37" t="s">
        <v>9944</v>
      </c>
      <c r="E141" s="37" t="s">
        <v>10131</v>
      </c>
      <c r="F141" s="36">
        <v>186</v>
      </c>
      <c r="G141" s="36" t="s">
        <v>9908</v>
      </c>
      <c r="H141" s="41" t="s">
        <v>10021</v>
      </c>
      <c r="I141" s="41" t="s">
        <v>10021</v>
      </c>
      <c r="J141" s="36" t="s">
        <v>9965</v>
      </c>
      <c r="K141" t="s">
        <v>10174</v>
      </c>
      <c r="L141" t="s">
        <v>10173</v>
      </c>
      <c r="M141" t="str">
        <f t="shared" si="8"/>
        <v>NO</v>
      </c>
      <c r="N141" t="str">
        <f t="shared" si="9"/>
        <v>YES</v>
      </c>
    </row>
    <row r="142" spans="1:14" x14ac:dyDescent="0.25">
      <c r="A142" t="s">
        <v>7905</v>
      </c>
      <c r="B142" s="36">
        <v>1996</v>
      </c>
      <c r="C142" s="36">
        <v>225</v>
      </c>
      <c r="D142" s="37" t="s">
        <v>3242</v>
      </c>
      <c r="E142" s="44" t="s">
        <v>3243</v>
      </c>
      <c r="F142" s="36">
        <v>259</v>
      </c>
      <c r="G142" s="39" t="s">
        <v>9908</v>
      </c>
      <c r="H142" s="41" t="s">
        <v>10088</v>
      </c>
      <c r="I142" s="43"/>
      <c r="J142" s="43"/>
      <c r="K142" t="s">
        <v>10174</v>
      </c>
      <c r="L142" t="s">
        <v>10173</v>
      </c>
      <c r="M142" t="str">
        <f t="shared" si="8"/>
        <v>NO</v>
      </c>
      <c r="N142" t="str">
        <f t="shared" si="9"/>
        <v>NO</v>
      </c>
    </row>
    <row r="143" spans="1:14" x14ac:dyDescent="0.25">
      <c r="A143" s="11" t="s">
        <v>7909</v>
      </c>
      <c r="B143" s="36">
        <v>1994</v>
      </c>
      <c r="C143" s="36">
        <v>65</v>
      </c>
      <c r="D143" s="37" t="s">
        <v>8481</v>
      </c>
      <c r="E143" s="44" t="s">
        <v>10132</v>
      </c>
      <c r="F143" s="36">
        <v>74</v>
      </c>
      <c r="G143" s="39" t="s">
        <v>9908</v>
      </c>
      <c r="H143" s="39" t="s">
        <v>10133</v>
      </c>
      <c r="I143" s="39" t="s">
        <v>10133</v>
      </c>
      <c r="J143" s="36" t="s">
        <v>10109</v>
      </c>
      <c r="K143" t="s">
        <v>10174</v>
      </c>
      <c r="L143" t="s">
        <v>10173</v>
      </c>
      <c r="M143" t="str">
        <f t="shared" si="8"/>
        <v>NO</v>
      </c>
      <c r="N143" t="str">
        <f t="shared" si="9"/>
        <v>YES</v>
      </c>
    </row>
    <row r="144" spans="1:14" x14ac:dyDescent="0.25">
      <c r="A144" t="s">
        <v>7906</v>
      </c>
      <c r="B144" s="36">
        <v>1992</v>
      </c>
      <c r="C144" s="36">
        <v>53</v>
      </c>
      <c r="D144" s="37" t="s">
        <v>3770</v>
      </c>
      <c r="E144" s="44" t="s">
        <v>8371</v>
      </c>
      <c r="F144" s="36">
        <v>82</v>
      </c>
      <c r="G144" s="39" t="s">
        <v>9908</v>
      </c>
      <c r="H144" s="39" t="s">
        <v>10134</v>
      </c>
      <c r="I144" s="39" t="s">
        <v>10134</v>
      </c>
      <c r="J144" s="36" t="s">
        <v>9961</v>
      </c>
      <c r="K144" t="s">
        <v>10174</v>
      </c>
      <c r="L144" t="s">
        <v>10173</v>
      </c>
      <c r="M144" t="str">
        <f t="shared" si="8"/>
        <v>NO</v>
      </c>
      <c r="N144" t="str">
        <f t="shared" si="9"/>
        <v>YES</v>
      </c>
    </row>
    <row r="145" spans="1:14" x14ac:dyDescent="0.25">
      <c r="A145" t="s">
        <v>7907</v>
      </c>
      <c r="B145" s="36">
        <v>1993</v>
      </c>
      <c r="C145" s="36">
        <v>57</v>
      </c>
      <c r="D145" s="37" t="s">
        <v>3770</v>
      </c>
      <c r="E145" s="44" t="s">
        <v>8368</v>
      </c>
      <c r="F145" s="36">
        <v>146</v>
      </c>
      <c r="G145" s="39" t="s">
        <v>9908</v>
      </c>
      <c r="H145" s="39" t="s">
        <v>10135</v>
      </c>
      <c r="I145" s="46" t="s">
        <v>10135</v>
      </c>
      <c r="J145" s="36" t="s">
        <v>10136</v>
      </c>
      <c r="K145" t="s">
        <v>10174</v>
      </c>
      <c r="L145" t="s">
        <v>10173</v>
      </c>
      <c r="M145" t="str">
        <f t="shared" si="8"/>
        <v>NO</v>
      </c>
      <c r="N145" t="str">
        <f t="shared" si="9"/>
        <v>YES</v>
      </c>
    </row>
    <row r="146" spans="1:14" ht="25.5" x14ac:dyDescent="0.25">
      <c r="A146" t="s">
        <v>9733</v>
      </c>
      <c r="B146" s="36">
        <v>1994</v>
      </c>
      <c r="C146" s="36">
        <v>64</v>
      </c>
      <c r="D146" s="37" t="s">
        <v>3770</v>
      </c>
      <c r="E146" s="44" t="s">
        <v>8364</v>
      </c>
      <c r="F146" s="36">
        <v>178</v>
      </c>
      <c r="G146" s="39" t="s">
        <v>9908</v>
      </c>
      <c r="H146" s="39" t="s">
        <v>10137</v>
      </c>
      <c r="I146" s="46" t="s">
        <v>10137</v>
      </c>
      <c r="J146" s="36" t="s">
        <v>10138</v>
      </c>
      <c r="K146" t="s">
        <v>10174</v>
      </c>
      <c r="L146" t="s">
        <v>10173</v>
      </c>
      <c r="M146" t="str">
        <f t="shared" si="8"/>
        <v>NO</v>
      </c>
      <c r="N146" t="str">
        <f t="shared" si="9"/>
        <v>YES</v>
      </c>
    </row>
    <row r="147" spans="1:14" x14ac:dyDescent="0.25">
      <c r="A147" t="s">
        <v>7908</v>
      </c>
      <c r="B147" s="36">
        <v>1995</v>
      </c>
      <c r="C147" s="36">
        <v>90</v>
      </c>
      <c r="D147" s="37" t="s">
        <v>3770</v>
      </c>
      <c r="E147" s="44" t="s">
        <v>4300</v>
      </c>
      <c r="F147" s="36">
        <v>226</v>
      </c>
      <c r="G147" s="39" t="s">
        <v>9908</v>
      </c>
      <c r="H147" s="41" t="s">
        <v>10139</v>
      </c>
      <c r="I147" s="41" t="s">
        <v>10139</v>
      </c>
      <c r="J147" s="36" t="s">
        <v>10140</v>
      </c>
      <c r="K147" t="s">
        <v>10174</v>
      </c>
      <c r="L147" t="s">
        <v>10173</v>
      </c>
      <c r="M147" t="str">
        <f t="shared" si="8"/>
        <v>NO</v>
      </c>
      <c r="N147" t="str">
        <f t="shared" si="9"/>
        <v>YES</v>
      </c>
    </row>
    <row r="148" spans="1:14" x14ac:dyDescent="0.25">
      <c r="A148" s="11" t="s">
        <v>7910</v>
      </c>
      <c r="B148" s="36">
        <v>1994</v>
      </c>
      <c r="C148" s="36">
        <v>76</v>
      </c>
      <c r="D148" s="37" t="s">
        <v>4913</v>
      </c>
      <c r="E148" s="37" t="s">
        <v>10141</v>
      </c>
      <c r="F148" s="36">
        <v>110</v>
      </c>
      <c r="G148" s="39" t="s">
        <v>9908</v>
      </c>
      <c r="H148" s="43"/>
      <c r="I148" s="43"/>
      <c r="J148" s="43" t="s">
        <v>9934</v>
      </c>
      <c r="K148" t="s">
        <v>10174</v>
      </c>
      <c r="L148" t="s">
        <v>10173</v>
      </c>
      <c r="M148" t="str">
        <f t="shared" si="8"/>
        <v>YES</v>
      </c>
      <c r="N148" t="str">
        <f t="shared" si="9"/>
        <v>YES</v>
      </c>
    </row>
    <row r="149" spans="1:14" x14ac:dyDescent="0.25">
      <c r="A149" t="s">
        <v>7912</v>
      </c>
      <c r="B149" s="36">
        <v>2001</v>
      </c>
      <c r="C149" s="36">
        <v>70</v>
      </c>
      <c r="D149" s="37" t="s">
        <v>1302</v>
      </c>
      <c r="E149" s="44" t="s">
        <v>5036</v>
      </c>
      <c r="F149" s="36">
        <v>46</v>
      </c>
      <c r="G149" s="39" t="s">
        <v>9908</v>
      </c>
      <c r="H149" s="43" t="s">
        <v>9934</v>
      </c>
      <c r="I149" s="43" t="s">
        <v>9934</v>
      </c>
      <c r="J149" s="43"/>
      <c r="K149" t="s">
        <v>10174</v>
      </c>
      <c r="L149" t="s">
        <v>10173</v>
      </c>
      <c r="M149" t="str">
        <f t="shared" si="8"/>
        <v>NO</v>
      </c>
      <c r="N149" t="str">
        <f t="shared" si="9"/>
        <v>NO</v>
      </c>
    </row>
    <row r="150" spans="1:14" x14ac:dyDescent="0.25">
      <c r="A150" t="e">
        <v>#N/A</v>
      </c>
      <c r="B150" s="68" t="s">
        <v>10142</v>
      </c>
      <c r="C150" s="69"/>
      <c r="D150" s="69"/>
      <c r="E150" s="69"/>
      <c r="F150" s="69"/>
      <c r="G150" s="69"/>
      <c r="H150" s="69"/>
      <c r="I150" s="69"/>
      <c r="J150" s="70"/>
    </row>
    <row r="151" spans="1:14" ht="25.5" x14ac:dyDescent="0.25">
      <c r="A151" s="11" t="s">
        <v>10166</v>
      </c>
      <c r="B151" s="36">
        <v>1995</v>
      </c>
      <c r="C151" s="36">
        <v>91</v>
      </c>
      <c r="D151" s="37" t="s">
        <v>3770</v>
      </c>
      <c r="E151" s="37" t="s">
        <v>10143</v>
      </c>
      <c r="F151" s="36" t="s">
        <v>10144</v>
      </c>
      <c r="G151" s="71"/>
      <c r="H151" s="72"/>
      <c r="I151" s="73"/>
      <c r="J151" s="36" t="s">
        <v>10145</v>
      </c>
      <c r="K151" t="s">
        <v>10174</v>
      </c>
      <c r="L151" t="s">
        <v>10174</v>
      </c>
      <c r="M151" t="s">
        <v>10174</v>
      </c>
      <c r="N151" t="s">
        <v>10173</v>
      </c>
    </row>
    <row r="152" spans="1:14" x14ac:dyDescent="0.25">
      <c r="A152" t="s">
        <v>7789</v>
      </c>
      <c r="B152" s="36">
        <v>1995</v>
      </c>
      <c r="C152" s="36">
        <v>54</v>
      </c>
      <c r="D152" s="37" t="s">
        <v>3770</v>
      </c>
      <c r="E152" s="37" t="s">
        <v>8856</v>
      </c>
      <c r="F152" s="36">
        <v>70</v>
      </c>
      <c r="G152" s="74"/>
      <c r="H152" s="75"/>
      <c r="I152" s="76"/>
      <c r="J152" s="36" t="s">
        <v>10146</v>
      </c>
      <c r="K152" t="s">
        <v>10174</v>
      </c>
      <c r="L152" t="s">
        <v>10174</v>
      </c>
      <c r="M152" t="s">
        <v>10174</v>
      </c>
      <c r="N152" t="s">
        <v>10173</v>
      </c>
    </row>
    <row r="153" spans="1:14" x14ac:dyDescent="0.25">
      <c r="A153" s="11" t="s">
        <v>7813</v>
      </c>
      <c r="B153" s="36">
        <v>1996</v>
      </c>
      <c r="C153" s="36">
        <v>220</v>
      </c>
      <c r="D153" s="37" t="s">
        <v>2520</v>
      </c>
      <c r="E153" s="44" t="s">
        <v>10147</v>
      </c>
      <c r="F153" s="36">
        <v>178</v>
      </c>
      <c r="G153" s="74"/>
      <c r="H153" s="75"/>
      <c r="I153" s="76"/>
      <c r="J153" s="36" t="s">
        <v>10148</v>
      </c>
      <c r="K153" t="s">
        <v>10174</v>
      </c>
      <c r="L153" t="s">
        <v>10174</v>
      </c>
      <c r="M153" t="s">
        <v>10174</v>
      </c>
      <c r="N153" t="s">
        <v>10173</v>
      </c>
    </row>
    <row r="154" spans="1:14" x14ac:dyDescent="0.25">
      <c r="A154" s="10" t="s">
        <v>10169</v>
      </c>
      <c r="B154" s="36">
        <v>1996</v>
      </c>
      <c r="C154" s="36">
        <v>229</v>
      </c>
      <c r="D154" s="37" t="s">
        <v>1912</v>
      </c>
      <c r="E154" s="37" t="s">
        <v>10149</v>
      </c>
      <c r="F154" s="36" t="s">
        <v>10144</v>
      </c>
      <c r="G154" s="74"/>
      <c r="H154" s="75"/>
      <c r="I154" s="76"/>
      <c r="J154" s="36" t="s">
        <v>10150</v>
      </c>
      <c r="K154" t="s">
        <v>10174</v>
      </c>
      <c r="L154" t="s">
        <v>10174</v>
      </c>
      <c r="M154" t="s">
        <v>10174</v>
      </c>
      <c r="N154" t="s">
        <v>10173</v>
      </c>
    </row>
    <row r="155" spans="1:14" x14ac:dyDescent="0.25">
      <c r="A155" s="11" t="s">
        <v>7804</v>
      </c>
      <c r="B155" s="36">
        <v>1995</v>
      </c>
      <c r="C155" s="36">
        <v>98</v>
      </c>
      <c r="D155" s="37" t="s">
        <v>9911</v>
      </c>
      <c r="E155" s="47" t="s">
        <v>10151</v>
      </c>
      <c r="F155" s="36" t="s">
        <v>10144</v>
      </c>
      <c r="G155" s="74"/>
      <c r="H155" s="75"/>
      <c r="I155" s="76"/>
      <c r="J155" s="36" t="s">
        <v>10152</v>
      </c>
      <c r="K155" t="s">
        <v>10174</v>
      </c>
      <c r="L155" t="s">
        <v>10174</v>
      </c>
      <c r="M155" t="s">
        <v>10174</v>
      </c>
      <c r="N155" t="s">
        <v>10173</v>
      </c>
    </row>
    <row r="156" spans="1:14" ht="25.5" x14ac:dyDescent="0.25">
      <c r="A156" s="11" t="s">
        <v>10170</v>
      </c>
      <c r="B156" s="36">
        <v>1995</v>
      </c>
      <c r="C156" s="36">
        <v>205</v>
      </c>
      <c r="D156" s="37" t="s">
        <v>1912</v>
      </c>
      <c r="E156" s="37" t="s">
        <v>10153</v>
      </c>
      <c r="F156" s="36" t="s">
        <v>10144</v>
      </c>
      <c r="G156" s="74"/>
      <c r="H156" s="75"/>
      <c r="I156" s="76"/>
      <c r="J156" s="36" t="s">
        <v>10154</v>
      </c>
      <c r="K156" t="s">
        <v>10174</v>
      </c>
      <c r="L156" t="s">
        <v>10174</v>
      </c>
      <c r="M156" t="s">
        <v>10174</v>
      </c>
      <c r="N156" t="s">
        <v>10173</v>
      </c>
    </row>
    <row r="157" spans="1:14" x14ac:dyDescent="0.25">
      <c r="A157" s="10" t="s">
        <v>10171</v>
      </c>
      <c r="B157" s="36">
        <v>1995</v>
      </c>
      <c r="C157" s="36">
        <v>85</v>
      </c>
      <c r="D157" s="37" t="s">
        <v>1912</v>
      </c>
      <c r="E157" s="37" t="s">
        <v>10155</v>
      </c>
      <c r="F157" s="36" t="s">
        <v>10144</v>
      </c>
      <c r="G157" s="74"/>
      <c r="H157" s="75"/>
      <c r="I157" s="76"/>
      <c r="J157" s="36" t="s">
        <v>10156</v>
      </c>
      <c r="K157" t="s">
        <v>10174</v>
      </c>
      <c r="L157" t="s">
        <v>10174</v>
      </c>
      <c r="M157" t="s">
        <v>10174</v>
      </c>
      <c r="N157" t="s">
        <v>10173</v>
      </c>
    </row>
    <row r="158" spans="1:14" x14ac:dyDescent="0.25">
      <c r="A158" s="10" t="s">
        <v>7911</v>
      </c>
      <c r="B158" s="36">
        <v>1996</v>
      </c>
      <c r="C158" s="36">
        <v>211</v>
      </c>
      <c r="D158" s="37" t="s">
        <v>3770</v>
      </c>
      <c r="E158" s="44" t="s">
        <v>10157</v>
      </c>
      <c r="F158" s="36">
        <v>74</v>
      </c>
      <c r="G158" s="77"/>
      <c r="H158" s="78"/>
      <c r="I158" s="79"/>
      <c r="J158" s="36" t="s">
        <v>10158</v>
      </c>
      <c r="K158" t="s">
        <v>10174</v>
      </c>
      <c r="L158" t="s">
        <v>10174</v>
      </c>
      <c r="M158" t="s">
        <v>10174</v>
      </c>
      <c r="N158" t="s">
        <v>10173</v>
      </c>
    </row>
    <row r="159" spans="1:14" x14ac:dyDescent="0.25">
      <c r="A159" t="e">
        <v>#N/A</v>
      </c>
      <c r="B159" s="68" t="s">
        <v>10159</v>
      </c>
      <c r="C159" s="69"/>
      <c r="D159" s="69"/>
      <c r="E159" s="69"/>
      <c r="F159" s="69"/>
      <c r="G159" s="69"/>
      <c r="H159" s="69"/>
      <c r="I159" s="69"/>
      <c r="J159" s="70"/>
    </row>
    <row r="160" spans="1:14" x14ac:dyDescent="0.25">
      <c r="A160" t="e">
        <v>#N/A</v>
      </c>
      <c r="B160" s="36">
        <v>2003</v>
      </c>
      <c r="C160" s="36" t="s">
        <v>10160</v>
      </c>
      <c r="D160" s="37" t="s">
        <v>10161</v>
      </c>
      <c r="E160" s="37" t="s">
        <v>10162</v>
      </c>
      <c r="F160" s="36" t="s">
        <v>8995</v>
      </c>
      <c r="G160" s="36" t="s">
        <v>9908</v>
      </c>
      <c r="H160" s="43" t="s">
        <v>9934</v>
      </c>
      <c r="I160" s="43" t="s">
        <v>9934</v>
      </c>
      <c r="J160" s="43"/>
    </row>
    <row r="161" spans="1:10" x14ac:dyDescent="0.25">
      <c r="A161" t="s">
        <v>7793</v>
      </c>
      <c r="B161" s="36">
        <v>2000</v>
      </c>
      <c r="C161" s="36" t="s">
        <v>10160</v>
      </c>
      <c r="D161" s="37" t="s">
        <v>10163</v>
      </c>
      <c r="E161" s="44" t="s">
        <v>8759</v>
      </c>
      <c r="F161" s="36">
        <v>44</v>
      </c>
      <c r="G161" s="36" t="s">
        <v>9908</v>
      </c>
      <c r="H161" s="43" t="s">
        <v>9934</v>
      </c>
      <c r="I161" s="43" t="s">
        <v>9934</v>
      </c>
      <c r="J161" s="43"/>
    </row>
    <row r="162" spans="1:10" x14ac:dyDescent="0.25">
      <c r="A162" t="s">
        <v>7816</v>
      </c>
      <c r="B162" s="36">
        <v>2001</v>
      </c>
      <c r="C162" s="36">
        <v>8</v>
      </c>
      <c r="D162" s="37" t="s">
        <v>10164</v>
      </c>
      <c r="E162" s="37" t="s">
        <v>8713</v>
      </c>
      <c r="F162" s="36" t="s">
        <v>8995</v>
      </c>
      <c r="G162" s="36" t="s">
        <v>9908</v>
      </c>
      <c r="H162" s="43" t="s">
        <v>9934</v>
      </c>
      <c r="I162" s="43" t="s">
        <v>9934</v>
      </c>
      <c r="J162" s="43"/>
    </row>
    <row r="163" spans="1:10" x14ac:dyDescent="0.25">
      <c r="A163" t="e">
        <v>#N/A</v>
      </c>
      <c r="B163" s="36">
        <v>2004</v>
      </c>
      <c r="C163" s="36" t="s">
        <v>10160</v>
      </c>
      <c r="D163" s="37" t="s">
        <v>142</v>
      </c>
      <c r="E163" s="37" t="s">
        <v>10165</v>
      </c>
      <c r="F163" s="36" t="s">
        <v>8995</v>
      </c>
      <c r="G163" s="36" t="s">
        <v>9908</v>
      </c>
      <c r="H163" s="43" t="s">
        <v>9934</v>
      </c>
      <c r="I163" s="43" t="s">
        <v>9934</v>
      </c>
      <c r="J163" s="43"/>
    </row>
    <row r="164" spans="1:10" x14ac:dyDescent="0.25">
      <c r="A164" t="s">
        <v>8988</v>
      </c>
      <c r="B164" s="36">
        <v>2001</v>
      </c>
      <c r="C164" s="54">
        <v>30000000</v>
      </c>
      <c r="D164" s="37" t="s">
        <v>10164</v>
      </c>
      <c r="E164" s="37" t="s">
        <v>8380</v>
      </c>
      <c r="F164" s="36" t="s">
        <v>8995</v>
      </c>
      <c r="G164" s="39" t="s">
        <v>9908</v>
      </c>
      <c r="H164" s="43" t="s">
        <v>9934</v>
      </c>
      <c r="I164" s="43" t="s">
        <v>9934</v>
      </c>
      <c r="J164" s="43"/>
    </row>
    <row r="165" spans="1:10" x14ac:dyDescent="0.25">
      <c r="B165" s="80"/>
      <c r="C165" s="81"/>
      <c r="D165" s="81"/>
      <c r="E165" s="81"/>
      <c r="F165" s="81"/>
      <c r="G165" s="81"/>
      <c r="H165" s="81"/>
      <c r="I165" s="81"/>
      <c r="J165" s="82"/>
    </row>
    <row r="166" spans="1:10" x14ac:dyDescent="0.25">
      <c r="B166" s="36"/>
      <c r="C166" s="55"/>
      <c r="D166" s="37"/>
      <c r="E166" s="44"/>
      <c r="F166" s="63"/>
      <c r="G166" s="64"/>
      <c r="H166" s="64"/>
      <c r="I166" s="64"/>
      <c r="J166" s="65"/>
    </row>
    <row r="167" spans="1:10" x14ac:dyDescent="0.25">
      <c r="B167" s="36"/>
      <c r="C167" s="55"/>
      <c r="D167" s="37"/>
      <c r="E167" s="37"/>
      <c r="F167" s="63"/>
      <c r="G167" s="64"/>
      <c r="H167" s="64"/>
      <c r="I167" s="64"/>
      <c r="J167" s="65"/>
    </row>
    <row r="168" spans="1:10" x14ac:dyDescent="0.25">
      <c r="B168" s="36"/>
      <c r="C168" s="55"/>
      <c r="D168" s="37"/>
      <c r="E168" s="37"/>
      <c r="F168" s="63"/>
      <c r="G168" s="64"/>
      <c r="H168" s="64"/>
      <c r="I168" s="64"/>
      <c r="J168" s="65"/>
    </row>
    <row r="169" spans="1:10" x14ac:dyDescent="0.25">
      <c r="B169" s="36"/>
      <c r="C169" s="55"/>
      <c r="D169" s="37"/>
      <c r="E169" s="37"/>
      <c r="F169" s="63"/>
      <c r="G169" s="64"/>
      <c r="H169" s="64"/>
      <c r="I169" s="64"/>
      <c r="J169" s="65"/>
    </row>
    <row r="170" spans="1:10" x14ac:dyDescent="0.25">
      <c r="B170" s="36"/>
      <c r="C170" s="36"/>
      <c r="D170" s="37"/>
      <c r="E170" s="44"/>
      <c r="F170" s="83"/>
      <c r="G170" s="84"/>
      <c r="H170" s="84"/>
      <c r="I170" s="84"/>
      <c r="J170" s="85"/>
    </row>
    <row r="171" spans="1:10" x14ac:dyDescent="0.25">
      <c r="B171" s="36"/>
      <c r="C171" s="55"/>
      <c r="D171" s="37"/>
      <c r="E171" s="44"/>
      <c r="F171" s="63"/>
      <c r="G171" s="64"/>
      <c r="H171" s="64"/>
      <c r="I171" s="64"/>
      <c r="J171" s="65"/>
    </row>
    <row r="172" spans="1:10" x14ac:dyDescent="0.25">
      <c r="B172" s="36"/>
      <c r="C172" s="55"/>
      <c r="D172" s="37"/>
      <c r="E172" s="44"/>
      <c r="F172" s="63"/>
      <c r="G172" s="64"/>
      <c r="H172" s="64"/>
      <c r="I172" s="64"/>
      <c r="J172" s="65"/>
    </row>
    <row r="173" spans="1:10" x14ac:dyDescent="0.25">
      <c r="B173" s="36"/>
      <c r="C173" s="55"/>
      <c r="D173" s="37"/>
      <c r="E173" s="44"/>
      <c r="F173" s="63"/>
      <c r="G173" s="64"/>
      <c r="H173" s="64"/>
      <c r="I173" s="64"/>
      <c r="J173" s="65"/>
    </row>
    <row r="174" spans="1:10" x14ac:dyDescent="0.25">
      <c r="B174" s="36"/>
      <c r="C174" s="55"/>
      <c r="D174" s="37"/>
      <c r="E174" s="44"/>
      <c r="F174" s="63"/>
      <c r="G174" s="64"/>
      <c r="H174" s="64"/>
      <c r="I174" s="64"/>
      <c r="J174" s="65"/>
    </row>
    <row r="175" spans="1:10" x14ac:dyDescent="0.25">
      <c r="B175" s="36"/>
      <c r="C175" s="55"/>
      <c r="D175" s="37"/>
      <c r="E175" s="44"/>
      <c r="F175" s="63"/>
      <c r="G175" s="64"/>
      <c r="H175" s="64"/>
      <c r="I175" s="64"/>
      <c r="J175" s="65"/>
    </row>
    <row r="176" spans="1:10" x14ac:dyDescent="0.25">
      <c r="B176" s="36"/>
      <c r="C176" s="55"/>
      <c r="D176" s="37"/>
      <c r="E176" s="37"/>
      <c r="F176" s="63"/>
      <c r="G176" s="64"/>
      <c r="H176" s="64"/>
      <c r="I176" s="64"/>
      <c r="J176" s="65"/>
    </row>
    <row r="177" spans="2:10" x14ac:dyDescent="0.25">
      <c r="B177" s="36"/>
      <c r="C177" s="55"/>
      <c r="D177" s="37"/>
      <c r="E177" s="44"/>
      <c r="F177" s="63"/>
      <c r="G177" s="64"/>
      <c r="H177" s="64"/>
      <c r="I177" s="64"/>
      <c r="J177" s="65"/>
    </row>
    <row r="178" spans="2:10" x14ac:dyDescent="0.25">
      <c r="B178" s="36"/>
      <c r="C178" s="55"/>
      <c r="D178" s="37"/>
      <c r="E178" s="44"/>
      <c r="F178" s="63"/>
      <c r="G178" s="64"/>
      <c r="H178" s="64"/>
      <c r="I178" s="64"/>
      <c r="J178" s="65"/>
    </row>
    <row r="179" spans="2:10" x14ac:dyDescent="0.25">
      <c r="B179" s="36"/>
      <c r="C179" s="36"/>
      <c r="D179" s="37"/>
      <c r="E179" s="44"/>
      <c r="F179" s="63"/>
      <c r="G179" s="64"/>
      <c r="H179" s="64"/>
      <c r="I179" s="64"/>
      <c r="J179" s="65"/>
    </row>
    <row r="180" spans="2:10" x14ac:dyDescent="0.25">
      <c r="B180" s="36"/>
      <c r="C180" s="36"/>
      <c r="D180" s="37"/>
      <c r="E180" s="44"/>
      <c r="F180" s="83"/>
      <c r="G180" s="84"/>
      <c r="H180" s="84"/>
      <c r="I180" s="84"/>
      <c r="J180" s="85"/>
    </row>
    <row r="181" spans="2:10" x14ac:dyDescent="0.25">
      <c r="B181" s="36"/>
      <c r="C181" s="55"/>
      <c r="D181" s="37"/>
      <c r="E181" s="37"/>
      <c r="F181" s="63"/>
      <c r="G181" s="64"/>
      <c r="H181" s="64"/>
      <c r="I181" s="64"/>
      <c r="J181" s="65"/>
    </row>
    <row r="182" spans="2:10" x14ac:dyDescent="0.25">
      <c r="B182" s="36"/>
      <c r="C182" s="55"/>
      <c r="D182" s="37"/>
      <c r="E182" s="37"/>
      <c r="F182" s="63"/>
      <c r="G182" s="64"/>
      <c r="H182" s="64"/>
      <c r="I182" s="64"/>
      <c r="J182" s="65"/>
    </row>
    <row r="183" spans="2:10" x14ac:dyDescent="0.25">
      <c r="B183" s="36"/>
      <c r="C183" s="55"/>
      <c r="D183" s="37"/>
      <c r="E183" s="37"/>
      <c r="F183" s="63"/>
      <c r="G183" s="64"/>
      <c r="H183" s="64"/>
      <c r="I183" s="64"/>
      <c r="J183" s="65"/>
    </row>
    <row r="184" spans="2:10" x14ac:dyDescent="0.25">
      <c r="B184" s="36"/>
      <c r="C184" s="55"/>
      <c r="D184" s="37"/>
      <c r="E184" s="37"/>
      <c r="F184" s="63"/>
      <c r="G184" s="64"/>
      <c r="H184" s="64"/>
      <c r="I184" s="64"/>
      <c r="J184" s="65"/>
    </row>
    <row r="185" spans="2:10" x14ac:dyDescent="0.25">
      <c r="B185" s="36"/>
      <c r="C185" s="36"/>
      <c r="D185" s="37"/>
      <c r="E185" s="37"/>
      <c r="F185" s="63"/>
      <c r="G185" s="64"/>
      <c r="H185" s="64"/>
      <c r="I185" s="64"/>
      <c r="J185" s="65"/>
    </row>
    <row r="186" spans="2:10" x14ac:dyDescent="0.25">
      <c r="B186" s="36"/>
      <c r="C186" s="36"/>
      <c r="D186" s="37"/>
      <c r="E186" s="37"/>
      <c r="F186" s="63"/>
      <c r="G186" s="64"/>
      <c r="H186" s="64"/>
      <c r="I186" s="64"/>
      <c r="J186" s="65"/>
    </row>
    <row r="187" spans="2:10" x14ac:dyDescent="0.25">
      <c r="B187" s="36"/>
      <c r="C187" s="36"/>
      <c r="D187" s="37"/>
      <c r="E187" s="37"/>
      <c r="F187" s="63"/>
      <c r="G187" s="64"/>
      <c r="H187" s="64"/>
      <c r="I187" s="64"/>
      <c r="J187" s="65"/>
    </row>
    <row r="188" spans="2:10" x14ac:dyDescent="0.25">
      <c r="B188" s="36"/>
      <c r="C188" s="36"/>
      <c r="D188" s="37"/>
      <c r="E188" s="37"/>
      <c r="F188" s="63"/>
      <c r="G188" s="64"/>
      <c r="H188" s="64"/>
      <c r="I188" s="64"/>
      <c r="J188" s="65"/>
    </row>
    <row r="189" spans="2:10" x14ac:dyDescent="0.25">
      <c r="B189" s="36"/>
      <c r="C189" s="36"/>
      <c r="D189" s="37"/>
      <c r="E189" s="37"/>
      <c r="F189" s="63"/>
      <c r="G189" s="64"/>
      <c r="H189" s="64"/>
      <c r="I189" s="64"/>
      <c r="J189" s="65"/>
    </row>
    <row r="190" spans="2:10" x14ac:dyDescent="0.25">
      <c r="B190" s="36"/>
      <c r="C190" s="36"/>
      <c r="D190" s="37"/>
      <c r="E190" s="37"/>
      <c r="F190" s="63"/>
      <c r="G190" s="64"/>
      <c r="H190" s="64"/>
      <c r="I190" s="64"/>
      <c r="J190" s="65"/>
    </row>
    <row r="191" spans="2:10" x14ac:dyDescent="0.25">
      <c r="B191" s="36"/>
      <c r="C191" s="36"/>
      <c r="D191" s="37"/>
      <c r="E191" s="37"/>
      <c r="F191" s="63"/>
      <c r="G191" s="64"/>
      <c r="H191" s="64"/>
      <c r="I191" s="64"/>
      <c r="J191" s="65"/>
    </row>
    <row r="192" spans="2:10" x14ac:dyDescent="0.25">
      <c r="B192" s="36"/>
      <c r="C192" s="36"/>
      <c r="D192" s="37"/>
      <c r="E192" s="37"/>
      <c r="F192" s="63"/>
      <c r="G192" s="64"/>
      <c r="H192" s="64"/>
      <c r="I192" s="64"/>
      <c r="J192" s="65"/>
    </row>
    <row r="193" spans="2:10" x14ac:dyDescent="0.25">
      <c r="B193" s="36"/>
      <c r="C193" s="36"/>
      <c r="D193" s="37"/>
      <c r="E193" s="37"/>
      <c r="F193" s="63"/>
      <c r="G193" s="64"/>
      <c r="H193" s="64"/>
      <c r="I193" s="64"/>
      <c r="J193" s="65"/>
    </row>
    <row r="194" spans="2:10" x14ac:dyDescent="0.25">
      <c r="B194" s="36"/>
      <c r="C194" s="36"/>
      <c r="D194" s="37"/>
      <c r="E194" s="37"/>
      <c r="F194" s="63"/>
      <c r="G194" s="64"/>
      <c r="H194" s="64"/>
      <c r="I194" s="64"/>
      <c r="J194" s="65"/>
    </row>
    <row r="195" spans="2:10" x14ac:dyDescent="0.25">
      <c r="B195" s="36"/>
      <c r="C195" s="36"/>
      <c r="D195" s="37"/>
      <c r="E195" s="37"/>
      <c r="F195" s="63"/>
      <c r="G195" s="64"/>
      <c r="H195" s="64"/>
      <c r="I195" s="64"/>
      <c r="J195" s="65"/>
    </row>
    <row r="196" spans="2:10" x14ac:dyDescent="0.25">
      <c r="B196" s="36"/>
      <c r="C196" s="36"/>
      <c r="D196" s="37"/>
      <c r="E196" s="37"/>
      <c r="F196" s="63"/>
      <c r="G196" s="64"/>
      <c r="H196" s="64"/>
      <c r="I196" s="64"/>
      <c r="J196" s="65"/>
    </row>
    <row r="197" spans="2:10" x14ac:dyDescent="0.25">
      <c r="B197" s="36"/>
      <c r="C197" s="36"/>
      <c r="D197" s="37"/>
      <c r="E197" s="37"/>
      <c r="F197" s="63"/>
      <c r="G197" s="64"/>
      <c r="H197" s="64"/>
      <c r="I197" s="64"/>
      <c r="J197" s="65"/>
    </row>
    <row r="198" spans="2:10" x14ac:dyDescent="0.25">
      <c r="B198" s="36"/>
      <c r="C198" s="36"/>
      <c r="D198" s="37"/>
      <c r="E198" s="37"/>
      <c r="F198" s="63"/>
      <c r="G198" s="64"/>
      <c r="H198" s="64"/>
      <c r="I198" s="64"/>
      <c r="J198" s="65"/>
    </row>
    <row r="199" spans="2:10" x14ac:dyDescent="0.25">
      <c r="B199" s="36"/>
      <c r="C199" s="36"/>
      <c r="D199" s="37"/>
      <c r="E199" s="37"/>
      <c r="F199" s="63"/>
      <c r="G199" s="64"/>
      <c r="H199" s="64"/>
      <c r="I199" s="64"/>
      <c r="J199" s="65"/>
    </row>
    <row r="200" spans="2:10" x14ac:dyDescent="0.25">
      <c r="B200" s="36"/>
      <c r="C200" s="36"/>
      <c r="D200" s="37"/>
      <c r="E200" s="37"/>
      <c r="F200" s="63"/>
      <c r="G200" s="64"/>
      <c r="H200" s="64"/>
      <c r="I200" s="64"/>
      <c r="J200" s="65"/>
    </row>
    <row r="201" spans="2:10" x14ac:dyDescent="0.25">
      <c r="B201" s="36"/>
      <c r="C201" s="36"/>
      <c r="D201" s="37"/>
      <c r="E201" s="44"/>
      <c r="F201" s="63"/>
      <c r="G201" s="64"/>
      <c r="H201" s="64"/>
      <c r="I201" s="64"/>
      <c r="J201" s="65"/>
    </row>
    <row r="202" spans="2:10" x14ac:dyDescent="0.25">
      <c r="B202" s="36"/>
      <c r="C202" s="36"/>
      <c r="D202" s="37"/>
      <c r="E202" s="37"/>
      <c r="F202" s="63"/>
      <c r="G202" s="64"/>
      <c r="H202" s="64"/>
      <c r="I202" s="64"/>
      <c r="J202" s="65"/>
    </row>
    <row r="203" spans="2:10" x14ac:dyDescent="0.25">
      <c r="B203" s="36"/>
      <c r="C203" s="36"/>
      <c r="D203" s="37"/>
      <c r="E203" s="37"/>
      <c r="F203" s="63"/>
      <c r="G203" s="64"/>
      <c r="H203" s="64"/>
      <c r="I203" s="64"/>
      <c r="J203" s="65"/>
    </row>
    <row r="204" spans="2:10" x14ac:dyDescent="0.25">
      <c r="B204" s="36"/>
      <c r="C204" s="36"/>
      <c r="D204" s="37"/>
      <c r="E204" s="37"/>
      <c r="F204" s="63"/>
      <c r="G204" s="64"/>
      <c r="H204" s="64"/>
      <c r="I204" s="64"/>
      <c r="J204" s="65"/>
    </row>
    <row r="205" spans="2:10" x14ac:dyDescent="0.25">
      <c r="B205" s="36"/>
      <c r="C205" s="36"/>
      <c r="D205" s="37"/>
      <c r="E205" s="37"/>
      <c r="F205" s="63"/>
      <c r="G205" s="64"/>
      <c r="H205" s="64"/>
      <c r="I205" s="64"/>
      <c r="J205" s="65"/>
    </row>
    <row r="206" spans="2:10" x14ac:dyDescent="0.25">
      <c r="B206" s="36"/>
      <c r="C206" s="36"/>
      <c r="D206" s="37"/>
      <c r="E206" s="37"/>
      <c r="F206" s="63"/>
      <c r="G206" s="64"/>
      <c r="H206" s="64"/>
      <c r="I206" s="64"/>
      <c r="J206" s="65"/>
    </row>
    <row r="207" spans="2:10" x14ac:dyDescent="0.25">
      <c r="B207" s="36"/>
      <c r="C207" s="36"/>
      <c r="D207" s="37"/>
      <c r="E207" s="37"/>
      <c r="F207" s="63"/>
      <c r="G207" s="64"/>
      <c r="H207" s="64"/>
      <c r="I207" s="64"/>
      <c r="J207" s="65"/>
    </row>
  </sheetData>
  <mergeCells count="47">
    <mergeCell ref="F203:J203"/>
    <mergeCell ref="F204:J204"/>
    <mergeCell ref="F205:J205"/>
    <mergeCell ref="F206:J206"/>
    <mergeCell ref="F207:J207"/>
    <mergeCell ref="F202:J202"/>
    <mergeCell ref="F191:J191"/>
    <mergeCell ref="F192:J192"/>
    <mergeCell ref="F193:J193"/>
    <mergeCell ref="F194:J194"/>
    <mergeCell ref="F195:J195"/>
    <mergeCell ref="F196:J196"/>
    <mergeCell ref="F197:J197"/>
    <mergeCell ref="F198:J198"/>
    <mergeCell ref="F199:J199"/>
    <mergeCell ref="F200:J200"/>
    <mergeCell ref="F201:J201"/>
    <mergeCell ref="F190:J190"/>
    <mergeCell ref="F179:J179"/>
    <mergeCell ref="F180:J180"/>
    <mergeCell ref="F181:J181"/>
    <mergeCell ref="F182:J182"/>
    <mergeCell ref="F183:J183"/>
    <mergeCell ref="F184:J184"/>
    <mergeCell ref="F185:J185"/>
    <mergeCell ref="F186:J186"/>
    <mergeCell ref="F187:J187"/>
    <mergeCell ref="F188:J188"/>
    <mergeCell ref="F189:J189"/>
    <mergeCell ref="F178:J178"/>
    <mergeCell ref="F167:J167"/>
    <mergeCell ref="F168:J168"/>
    <mergeCell ref="F169:J169"/>
    <mergeCell ref="F170:J170"/>
    <mergeCell ref="F171:J171"/>
    <mergeCell ref="F172:J172"/>
    <mergeCell ref="F173:J173"/>
    <mergeCell ref="F174:J174"/>
    <mergeCell ref="F175:J175"/>
    <mergeCell ref="F176:J176"/>
    <mergeCell ref="F177:J177"/>
    <mergeCell ref="F166:J166"/>
    <mergeCell ref="I14:J14"/>
    <mergeCell ref="B150:J150"/>
    <mergeCell ref="G151:I158"/>
    <mergeCell ref="B159:J159"/>
    <mergeCell ref="B165:J165"/>
  </mergeCells>
  <hyperlinks>
    <hyperlink ref="G2" r:id="rId1" display="http://www.neo-geo.com/snk/carts/mvs/3countbout.jpg" xr:uid="{F8ADDE05-194D-49E9-BD88-AF4D2D8543B7}"/>
    <hyperlink ref="H2" r:id="rId2" display="http://www.neo-geo.com/snk/carts/jap/firesuplex.jpg" xr:uid="{9F6E127E-D9D0-4414-81C1-7337988908E8}"/>
    <hyperlink ref="I2" r:id="rId3" display="http://www.neo-geo.com/snk/carts/us/3countbout.jpg" xr:uid="{96B60721-7F27-42AB-9992-480B82DB7C5C}"/>
    <hyperlink ref="G3" r:id="rId4" display="http://www.neo-geo.com/snk/carts/mvs/AEROF2.jpg" xr:uid="{00A9C35C-C6E3-4892-87D9-429C8B44B9A7}"/>
    <hyperlink ref="H3" r:id="rId5" display="http://www.neo-geo.com/snk/inserts/jap/sonicwings2.jpg" xr:uid="{A8434A44-5F01-4FAE-8716-07C11F938E71}"/>
    <hyperlink ref="I3" r:id="rId6" display="http://www.neo-geo.com/snk/carts/us/aerofighters2.jpg" xr:uid="{B8C165AD-A26F-4119-B698-7D9FA93E7439}"/>
    <hyperlink ref="G4" r:id="rId7" display="http://www.neo-geo.com/snk/carts/mvs/SONICWINGS3.jpg" xr:uid="{8CA82E86-2ADC-46C9-9B1B-642BAF720045}"/>
    <hyperlink ref="H4" r:id="rId8" display="http://www.neo-geo.com/snk/carts/jap/sonicwings3.jpg" xr:uid="{6667B848-F762-467E-A0F3-686815DC34F2}"/>
    <hyperlink ref="E5" r:id="rId9" display="http://www.neo-geo.com/reviews/neo-reviews/adk/adk1.html" xr:uid="{397083C1-DAAB-47CE-8375-16D0F0ACC44C}"/>
    <hyperlink ref="G5" r:id="rId10" display="http://www.neo-geo.com/snk/carts/mvs/ADK.jpg" xr:uid="{C942CCED-51AF-4DAD-B315-81C1707794D3}"/>
    <hyperlink ref="H5" r:id="rId11" display="http://www.neo-geo.com/snk/inserts/jap/adk.jpg" xr:uid="{63AB6009-197F-4C5C-9B7A-2E9F656A1E7E}"/>
    <hyperlink ref="I5" r:id="rId12" display="http://www.neo-geo.com/snk/carts/us/adk.jpg" xr:uid="{BC444E42-AF01-4A0E-842E-8A86FBE6E808}"/>
    <hyperlink ref="G6" r:id="rId13" display="http://www.neo-geo.com/snk/carts/mvs/alphamission2.jpg" xr:uid="{97792356-8E8C-4051-8A87-3DCA0F8A47FF}"/>
    <hyperlink ref="H6" r:id="rId14" display="http://www.neo-geo.com/snk/carts/jap/cartons/aso2.jpg" xr:uid="{12669309-E38C-48A9-B72B-EAD7C8650EF5}"/>
    <hyperlink ref="I6" r:id="rId15" display="http://www.neo-geo.com/snk/carts/us/alphamission2.jpg" xr:uid="{E7B0887A-C1B0-4AFE-BC0D-949AA05F2131}"/>
    <hyperlink ref="G7" r:id="rId16" display="http://www.neo-geo.com/snk/carts/mvs/ANDRODUNOS.jpg" xr:uid="{C319DEF4-A553-4F25-BB6E-DC2220FA1E11}"/>
    <hyperlink ref="H7" r:id="rId17" display="http://www.neo-geo.com/snk/inserts/jap/androdunos.jpg" xr:uid="{8E70D8D5-AF17-475C-BAAB-F0ED4C5925D1}"/>
    <hyperlink ref="I7" r:id="rId18" display="http://www.neo-geo.com/snk/carts/us/androdunos.jpg" xr:uid="{4B071B48-78C6-4117-BE1E-3FB80F9A6579}"/>
    <hyperlink ref="G8" r:id="rId19" display="http://www.neo-geo.com/snk/carts/mvs/ART OF FIGHTING.jpg" xr:uid="{7B728C4B-C1A8-431C-97D6-2DBDD4449BE4}"/>
    <hyperlink ref="H8" r:id="rId20" display="http://www.neo-geo.com/snk/inserts/jap/aof.jpg" xr:uid="{D38FD63D-2D07-429E-97BD-CDAAD7461D8B}"/>
    <hyperlink ref="I8" r:id="rId21" display="http://www.neo-geo.com/snk/carts/us/aof.jpg" xr:uid="{FE3DADDA-693D-403C-8207-BA18A7A2E9E2}"/>
    <hyperlink ref="E9" r:id="rId22" display="http://www.neo-geo.com/reviews/neo-reviews/aof2/aof2a.html" xr:uid="{0235D5CE-DB52-4BEE-A282-0B24B207772B}"/>
    <hyperlink ref="G9" r:id="rId23" display="http://www.neo-geo.com/snk/carts/mvs/ARTOFFIGHTING2.jpg" xr:uid="{03A50ED6-6C54-40AF-9F8C-B574AAEFFCB9}"/>
    <hyperlink ref="H9" r:id="rId24" display="http://www.neo-geo.com/snk/carts/jap/aof2.jpg" xr:uid="{1537A50E-1C54-4B5A-B362-6E76B8AB0EC8}"/>
    <hyperlink ref="I9" r:id="rId25" display="http://www.neo-geo.com/snk/carts/us/aof2.jpg" xr:uid="{90513D62-B044-416F-84F1-B9A2955667FC}"/>
    <hyperlink ref="E10" r:id="rId26" display="http://www.neo-geo.com/reviews/neo-reviews/aof3/aof3.html" xr:uid="{188191C5-FBA0-406B-9DBA-ADB031322FF1}"/>
    <hyperlink ref="G10" r:id="rId27" display="http://www.neo-geo.com/snk/carts/mvs/ART OF FIGH 3.jpg" xr:uid="{16F1C38D-0720-4E2F-9965-5CCF287396BD}"/>
    <hyperlink ref="H10" r:id="rId28" display="http://www.neo-geo.com/snk/carts/jap/aof3.jpg" xr:uid="{95ED5EDE-DA47-4363-9CDF-0F7CF9298F74}"/>
    <hyperlink ref="I10" r:id="rId29" display="http://www.neo-geo.com/snk/carts/us/aof3.jpg" xr:uid="{473E9842-871E-437F-9BAF-54779957C4B5}"/>
    <hyperlink ref="E11" r:id="rId30" display="http://www.neo-geo.com/reviews/neo-reviews/bangbead/bangbead.html" xr:uid="{915FA855-42DF-40C9-99B9-26E4BC1DA2EB}"/>
    <hyperlink ref="G11" r:id="rId31" display="http://www.neo-geo.com/snk/carts/mvs/BANGBEAD.jpg" xr:uid="{55679B2E-FAED-4EDD-8762-14E1E566A435}"/>
    <hyperlink ref="G12" r:id="rId32" display="http://www.neo-geo.com/snk/carts/mvs/BASEBALL PRO.jpg" xr:uid="{3DCB02A0-E7B5-4E23-9E8B-ECFE2D67DC72}"/>
    <hyperlink ref="H12" r:id="rId33" display="http://www.neo-geo.com/snk/carts/jap/cartons/baseballstars.jpg" xr:uid="{BBC78FB9-CAAB-40BD-92BB-D9D0E732270D}"/>
    <hyperlink ref="I12" r:id="rId34" display="http://www.neo-geo.com/snk/carts/us/baseballpro.jpg" xr:uid="{22B7C93A-19AD-4556-8E30-92F66200BE7B}"/>
    <hyperlink ref="E13" r:id="rId35" display="http://www.neo-geo.com/reviews/neo-reviews/bbs2/bbs2.html" xr:uid="{5D1EBA24-DE17-4D1B-B5EA-37627EFA849B}"/>
    <hyperlink ref="G13" r:id="rId36" display="http://www.neo-geo.com/snk/carts/mvs/BASEBALLS2.jpg" xr:uid="{1DE2DC84-FA76-460F-BCDD-38C05F8FF0AB}"/>
    <hyperlink ref="H13" r:id="rId37" display="http://www.neo-geo.com/snk/inserts/jap/baseballstars2.jpg" xr:uid="{58BD7B92-8953-4ADB-8E09-5CEC5048A156}"/>
    <hyperlink ref="I13" r:id="rId38" display="http://www.neo-geo.com/snk/carts/us/baseballstars2.jpg" xr:uid="{C9285181-182D-49B1-A624-9E62B5BC1774}"/>
    <hyperlink ref="E14" r:id="rId39" display="http://www.neo-geo.com/reviews/neo-reviews/blazingstar/bs.htm" xr:uid="{CD54E657-778C-48F4-899D-E22E07776C3E}"/>
    <hyperlink ref="G14" r:id="rId40" display="http://www.neo-geo.com/snk/carts/mvs/BLAZINGSTAR.jpg" xr:uid="{6482B10D-8665-4D6F-9509-1FC2DC673244}"/>
    <hyperlink ref="H14" r:id="rId41" display="http://www.neo-geo.com/snk/carts/jap/blazingstar.jpg" xr:uid="{B27ABDCE-9039-43D4-9B77-3C6BCF90B45B}"/>
    <hyperlink ref="E15" r:id="rId42" display="http://www.neo-geo.com/reviews/neo-reviews/bluesJ/bluesjour.htm" xr:uid="{415A5C9F-C4BB-48D4-91BE-06C13B273B17}"/>
    <hyperlink ref="G15" r:id="rId43" display="http://www.neo-geo.com/snk/carts/mvs/BLUE'SJOURNEY.jpg" xr:uid="{C7970205-74FE-430D-8A56-C269BEE6B0E5}"/>
    <hyperlink ref="H15" r:id="rId44" display="http://www.neo-geo.com/snk/carts/jap/cartons/raguy.jpg" xr:uid="{965DC053-F40A-434D-9246-50C45454CBE9}"/>
    <hyperlink ref="I15" r:id="rId45" display="http://www.neo-geo.com/snk/carts/us/bluesjourney.jpg" xr:uid="{AD09E17B-6D24-463A-931E-EF864205B396}"/>
    <hyperlink ref="G16" r:id="rId46" display="http://www.neo-geo.com/snk/carts/mvs/BREAKERS.jpg" xr:uid="{703F192A-48E3-4A98-AFEA-953A93A4D867}"/>
    <hyperlink ref="H16" r:id="rId47" display="http://www.neo-geo.com/snk/carts/jap/breakers.jpg" xr:uid="{A75677B7-F7DD-44FF-BF92-BB502E353C3E}"/>
    <hyperlink ref="G17" r:id="rId48" display="http://www.neo-geo.com/snk/carts/mvs/BREAKERSREVEN.jpg" xr:uid="{463B0BF8-C17D-4830-B96A-695091635672}"/>
    <hyperlink ref="E18" r:id="rId49" display="http://www.neo-geo.com/reviews/neo-reviews/BurningFigt/burnfight.htm" xr:uid="{227F5B70-5A40-4AD1-A95D-0E718C22506A}"/>
    <hyperlink ref="G18" r:id="rId50" display="http://www.neo-geo.com/snk/carts/mvs/BURNING FIGHT.jpg" xr:uid="{B4E6BE76-DFCE-4564-BA18-40A7DBF5B58B}"/>
    <hyperlink ref="H18" r:id="rId51" display="http://www.neo-geo.com/snk/inserts/jap/burningfight.jpg" xr:uid="{C9C504AF-8164-434F-A5BD-C3D995B7FF7A}"/>
    <hyperlink ref="I18" r:id="rId52" display="http://www.neo-geo.com/snk/carts/us/burningfight.jpg" xr:uid="{69558233-4F38-4FB6-BB15-BE998B04EEA3}"/>
    <hyperlink ref="E19" r:id="rId53" display="http://www.neo-geo.com/reviews/neo-reviews/bust-a-move/bust-a-move1.html" xr:uid="{F7CF28F6-0486-4672-A0BA-F2B42102241A}"/>
    <hyperlink ref="G19" r:id="rId54" display="http://www.neo-geo.com/snk/carts/mvs/BUSTAMU.jpg" xr:uid="{E33708B5-BC49-45A1-AF75-9FACE1303049}"/>
    <hyperlink ref="G20" r:id="rId55" display="http://www.neo-geo.com/snk/carts/mvs/bamex.jpg" xr:uid="{FA2DEB71-FDE4-4745-87C5-8261B84195A5}"/>
    <hyperlink ref="E21" r:id="rId56" display="http://www.neo-geo.com/reviews/neo-reviews/captain_tomaday/captain_tomaday.html" xr:uid="{3E5CA164-0E5F-4D70-9B9E-247EF8F15A60}"/>
    <hyperlink ref="G21" r:id="rId57" display="http://www.neo-geo.com/snk/carts/mvs/CAPITAINTOMAD.jpg" xr:uid="{730D6191-B2C6-4522-AA3C-547C10B91A11}"/>
    <hyperlink ref="H22" r:id="rId58" display="http://www.neo-geo.com/snk/carts/jap/chibiquiz.jpg" xr:uid="{D91C8DCD-4D5B-4BAA-86B8-3D3C575CDFAD}"/>
    <hyperlink ref="E23" r:id="rId59" display="http://www.neo-geo.com/reviews/neo-reviews/CrossedSwords/crossedswords.html" xr:uid="{B6326EFD-D65D-42CC-8E3D-EDADB582B715}"/>
    <hyperlink ref="G23" r:id="rId60" display="http://www.neo-geo.com/snk/carts/mvs/CROSSED.jpg" xr:uid="{B69BD32E-A6FB-4C00-887E-EA5E32588531}"/>
    <hyperlink ref="H23" r:id="rId61" display="http://www.neo-geo.com/snk/inserts/jap/crossedswords.jpg" xr:uid="{FA21E8BF-579E-466E-8D14-4A7DE0BC19F9}"/>
    <hyperlink ref="I23" r:id="rId62" display="http://www.neo-geo.com/snk/carts/us/crossedswords.jpg" xr:uid="{6ECA0BC5-67B1-4140-A3A2-1A69C93FD895}"/>
    <hyperlink ref="E24" r:id="rId63" display="http://www.neo-geo.com/reviews/neo-reviews/cyberlip/cyberlip.html" xr:uid="{288D33F5-621C-4521-967F-74FA0AE3363F}"/>
    <hyperlink ref="G24" r:id="rId64" display="http://www.neo-geo.com/snk/carts/mvs/CIBER LIP.jpg" xr:uid="{C0AB2B35-5FA5-41FB-A160-881DC00B1743}"/>
    <hyperlink ref="H24" r:id="rId65" display="http://www.neo-geo.com/snk/carts/jap/cartons/cyber-lip.jpg" xr:uid="{F52E6C5C-3F90-4A15-9FDE-322BE760CD85}"/>
    <hyperlink ref="I24" r:id="rId66" display="http://www.neo-geo.com/snk/carts/us/cyberlip.jpg" xr:uid="{D1D93C4C-D2DD-4807-ABF6-FA944AB13338}"/>
    <hyperlink ref="E25" r:id="rId67" display="http://www.neo-geo.com/reviews/neo-reviews/doubledragon/dd.html" xr:uid="{C2FA1F41-1908-4FE2-A6FF-E7967098019A}"/>
    <hyperlink ref="G25" r:id="rId68" display="http://www.neo-geo.com/snk/carts/mvs/DOUBLEDRAGON.jpg" xr:uid="{E0D5641F-DD21-4943-AD8E-45FC7AAF863A}"/>
    <hyperlink ref="H25" r:id="rId69" display="http://www.neo-geo.com/snk/carts/jap/doubledragon.jpg" xr:uid="{B5968F55-EFE9-4E03-BC80-7C4BC1002E80}"/>
    <hyperlink ref="I25" r:id="rId70" display="http://www.neo-geo.com/snk/carts/us/doubledragon.jpg" xr:uid="{4473E1C0-52A2-43FA-85B3-C86E234C7B15}"/>
    <hyperlink ref="E26" r:id="rId71" display="http://www.neo-geo.com/reviews/neo-reviews/eight-man/eightman.htm" xr:uid="{DBEEF9A7-FC3B-46D9-A8E6-29989F274B90}"/>
    <hyperlink ref="G26" r:id="rId72" display="http://www.neo-geo.com/snk/carts/mvs/8 MAN.jpg" xr:uid="{2CF87D98-27D8-4D08-8D78-ED5F29A0D67B}"/>
    <hyperlink ref="H26" r:id="rId73" display="http://www.neo-geo.com/snk/carts/jap/8man.jpg" xr:uid="{506B970D-660A-40A0-AB45-087FBA90B567}"/>
    <hyperlink ref="I26" r:id="rId74" display="http://www.neo-geo.com/snk/carts/us/8man.jpg" xr:uid="{06769E8D-22B5-44F4-B647-1FDCB92A3766}"/>
    <hyperlink ref="E27" r:id="rId75" display="http://www.neo-geo.com/reviews/neo-reviews/ff/ff.html" xr:uid="{ACBF225A-B80C-4CDE-93A7-4732FECFE6D1}"/>
    <hyperlink ref="G27" r:id="rId76" display="http://www.neo-geo.com/snk/carts/mvs/FATALFURY.jpg" xr:uid="{A96BEB1C-B137-4D6F-BFD0-760B9593B414}"/>
    <hyperlink ref="H27" r:id="rId77" display="http://www.neo-geo.com/snk/inserts/jap/fatalfury.jpg" xr:uid="{9F316D7A-DEF5-47AC-94BD-2CA7179FC592}"/>
    <hyperlink ref="I27" r:id="rId78" display="http://www.neo-geo.com/snk/carts/us/fatalfury.jpg" xr:uid="{9397616F-4789-4E9F-AA6A-E4B647F3ADDC}"/>
    <hyperlink ref="E28" r:id="rId79" display="http://www.neo-geo.com/reviews/neo-reviews/ff2/Ff2a.html" xr:uid="{FDE0370F-BBBA-4392-94FD-4E8EB19C82A6}"/>
    <hyperlink ref="G28" r:id="rId80" display="http://www.neo-geo.com/snk/carts/mvs/FATALFURY2.jpg" xr:uid="{5778656E-C71E-4CE8-8F39-F7B9B5968B14}"/>
    <hyperlink ref="H28" r:id="rId81" display="http://www.neo-geo.com/snk/inserts/jap/fatalfury2.jpg" xr:uid="{D1074411-DC3E-4373-8F69-6BD45CDFFFFE}"/>
    <hyperlink ref="I28" r:id="rId82" display="http://www.neo-geo.com/snk/carts/us/fatalfury2.jpg" xr:uid="{1E00B43D-045D-4A8E-855C-B946C5C0590C}"/>
    <hyperlink ref="E29" r:id="rId83" display="http://www.neo-geo.com/reviews/neo-reviews/ffspecial/ffspecial.html" xr:uid="{E258E7E6-FB4F-42AF-9B66-13D9D44FE487}"/>
    <hyperlink ref="G29" r:id="rId84" display="http://www.neo-geo.com/snk/carts/mvs/FATALFURYSPEC.jpg" xr:uid="{EFF18D6C-384A-4B47-8C8C-E7CEBF21AAD7}"/>
    <hyperlink ref="H29" r:id="rId85" display="https://www.neo-geo.com/snk/carts/jap/fatalfuryspecial.jpg" xr:uid="{8C035106-7082-477A-8388-37A30201AA34}"/>
    <hyperlink ref="I29" r:id="rId86" display="http://www.neo-geo.com/snk/carts/us/fatalfuryspecial.jpg" xr:uid="{E12B7500-0F62-4308-8AF1-41005E4EFF22}"/>
    <hyperlink ref="E30" r:id="rId87" display="http://www.neo-geo.com/reviews/neo-reviews/ff3/ff3.htm" xr:uid="{70F884ED-1068-4055-A8F9-C2872F67A818}"/>
    <hyperlink ref="G30" r:id="rId88" display="http://www.neo-geo.com/snk/carts/mvs/FATALFURY3.jpg" xr:uid="{7F293DA4-6243-4BC1-B06A-358E40B86FDC}"/>
    <hyperlink ref="H30" r:id="rId89" display="http://www.neo-geo.com/snk/inserts/jap/fatalfury3.jpg" xr:uid="{2D5E0F87-09C7-4FD2-A3C0-F4157C735BF8}"/>
    <hyperlink ref="I30" r:id="rId90" display="http://www.neo-geo.com/snk/carts/us/fatalfury3.jpg" xr:uid="{DCCC3FC6-F964-4F7E-BFAB-933904293CCE}"/>
    <hyperlink ref="G31" r:id="rId91" display="http://www.neo-geo.com/snk/carts/mvs/FIGHTFEVER.jpg" xr:uid="{5FCAE655-37B0-4538-9AD5-1F03569A87D8}"/>
    <hyperlink ref="G32" r:id="rId92" display="http://www.neo-geo.com/snk/carts/mvs/FLIPSHOT.jpg" xr:uid="{39AA4B08-0226-4D68-B5F0-630F1057B0A4}"/>
    <hyperlink ref="E33" r:id="rId93" display="http://www.neo-geo.com/reviews/neo-reviews/fb-frenzy/footballfrenzy.html" xr:uid="{5C1F2B3D-52CF-4C0C-A5F8-EC2B1D1470D5}"/>
    <hyperlink ref="G33" r:id="rId94" display="http://www.neo-geo.com/snk/carts/mvs/FOOTBALFRENZY.jpg" xr:uid="{52E6538A-73D6-4520-ADB0-B51509DDBF37}"/>
    <hyperlink ref="H33" r:id="rId95" display="http://www.neo-geo.com/snk/inserts/jap/footballfrenzy.jpg" xr:uid="{BAD2AB95-A692-47A9-9A4E-33AE627D474E}"/>
    <hyperlink ref="I33" r:id="rId96" display="http://www.neo-geo.com/snk/carts/us/footballfrenzy.jpg" xr:uid="{93B8EF4A-98EE-4CAE-AE8C-39E8E92CC343}"/>
    <hyperlink ref="G34" r:id="rId97" display="http://www.neo-geo.com/snk/carts/mvs/galaxyfight.jpg" xr:uid="{6044E5C8-BD84-42C8-A4FE-CB022FB6458B}"/>
    <hyperlink ref="H34" r:id="rId98" display="http://www.neo-geo.com/snk/carts/jap/galaxyfight.jpg" xr:uid="{1A91EDE6-9D69-4524-B60F-0F2D11A8E64B}"/>
    <hyperlink ref="I34" r:id="rId99" display="http://www.neo-geo.com/snk/carts/us/galaxyfight.jpg" xr:uid="{859AC4AB-BCE7-4F29-B8D9-39DAC17920FC}"/>
    <hyperlink ref="E35" r:id="rId100" display="http://www.neo-geo.com/reviews/neo-reviews/ganryu/ganryu.htm" xr:uid="{B6125742-E0DA-4B6E-94B7-774552D01FE9}"/>
    <hyperlink ref="G35" r:id="rId101" display="http://www.neo-geo.com/snk/carts/mvs/GANRYU.jpg" xr:uid="{099CEAF2-AB7A-4E53-9366-B9BDBA78C215}"/>
    <hyperlink ref="E36" r:id="rId102" display="http://www.neo-geo.com/reviews/neo-reviews/motw/motw3.html" xr:uid="{C85DE036-FE9A-4F8A-8B88-70319A021DCD}"/>
    <hyperlink ref="G36" r:id="rId103" display="http://www.neo-geo.com/snk/carts/mvs/motw.jpg" xr:uid="{AA593EED-0811-439E-9F13-B1B2B924B492}"/>
    <hyperlink ref="H36" r:id="rId104" display="http://www.neo-geo.com/snk/carts/jap/motw.jpg" xr:uid="{B41080B0-B684-4E20-A7FF-EE8AB7133916}"/>
    <hyperlink ref="I36" r:id="rId105" display="http://www.neo-geo.com/snk/carts/us/motw.jpg" xr:uid="{04838114-F29D-47C2-BC2F-BC637A7B3E4D}"/>
    <hyperlink ref="E37" r:id="rId106" display="http://www.neo-geo.com/reviews/neo-reviews/ghostpilots/ghost.html" xr:uid="{821A7F70-4822-4B7E-85F6-03944BEA77DC}"/>
    <hyperlink ref="G37" r:id="rId107" display="http://www.neo-geo.com/snk/carts/mvs/GHOSTPILOT.jpg" xr:uid="{0C4A3A31-41F7-4D57-8E3F-40711293FA4C}"/>
    <hyperlink ref="H37" r:id="rId108" display="http://www.neo-geo.com/snk/carts/jap/cartons/ghostpilots.jpg" xr:uid="{762D0357-0C8A-4CB4-B3E5-B68F6BE4944C}"/>
    <hyperlink ref="I37" r:id="rId109" display="http://www.neo-geo.com/snk/carts/us/ghostpilots.jpg" xr:uid="{6D6E9088-FB4B-4B73-B73C-D460DDED5A3E}"/>
    <hyperlink ref="G38" r:id="rId110" display="http://www.neo-geo.com/snk/carts/mvs/GOALGOALGOAL.jpg" xr:uid="{4D8183E7-2F9F-4154-BAA7-72C0031EDE64}"/>
    <hyperlink ref="E39" r:id="rId111" display="http://www.neo-geo.com/reviews/neo-reviews/Gururin/gururin.html" xr:uid="{3EEC4FF2-AAFD-4A44-9F51-46DE57057BF1}"/>
    <hyperlink ref="G39" r:id="rId112" display="http://www.neo-geo.com/snk/carts/mvs/GURURIN.jpg" xr:uid="{A6BAF13F-4129-477D-BE56-3BD974344A41}"/>
    <hyperlink ref="G40" r:id="rId113" display="http://www.neo-geo.com/snk/carts/mvs/IRRITATINGMAZE.jpg" xr:uid="{4FB90A18-F04A-4025-87C0-05C37C570912}"/>
    <hyperlink ref="G41" r:id="rId114" display="http://www.neo-geo.com/snk/carts/mvs/KABUKIKLASH.jpg" xr:uid="{721B16F3-229F-4C22-B1BB-7F5420D449BC}"/>
    <hyperlink ref="H41" r:id="rId115" display="http://www.neo-geo.com/snk/carts/jap/kabuki.jpg" xr:uid="{5FD4FED8-EF89-4C68-ABF8-A6966DB3A290}"/>
    <hyperlink ref="E42" r:id="rId116" display="http://www.neo-geo.com/reviews/neo-reviews/karnovsr/KR.html" xr:uid="{BC6652F4-4CD9-4A80-B392-8E367F699B3C}"/>
    <hyperlink ref="G42" r:id="rId117" display="http://www.neo-geo.com/snk/carts/mvs/KARNOV'.jpg" xr:uid="{636F51FF-9895-49B9-9E1E-3E26F01B6A07}"/>
    <hyperlink ref="H42" r:id="rId118" display="http://www.neo-geo.com/snk/carts/jap/fhdynamite.jpg" xr:uid="{47E60DB5-4161-4AF2-A698-F522FC54A97B}"/>
    <hyperlink ref="I42" r:id="rId119" display="http://www.neo-geo.com/snk/carts/us/karnovrev.jpg" xr:uid="{B7ECF740-65FC-42ED-9D6E-13A3219C16F9}"/>
    <hyperlink ref="G43" r:id="rId120" display="http://www.neo-geo.com/snk/carts/mvs/KOF94.jpg" xr:uid="{BD0CE308-3CC7-4604-BA74-D915920D34CB}"/>
    <hyperlink ref="H43" r:id="rId121" display="http://www.neo-geo.com/snk/inserts/jap/kof94.jpg" xr:uid="{FE1FE4DF-DE61-458B-B4E9-151727713085}"/>
    <hyperlink ref="I43" r:id="rId122" display="http://www.neo-geo.com/snk/carts/us/kof94.jpg" xr:uid="{F6CB1DE4-E9C8-4B59-B52B-5723D83EF2B5}"/>
    <hyperlink ref="G44" r:id="rId123" display="http://www.neo-geo.com/snk/carts/mvs/KOF'95.jpg" xr:uid="{39494CC2-19D1-44B9-A845-A0830A430F98}"/>
    <hyperlink ref="H44" r:id="rId124" display="http://www.neo-geo.com/snk/carts/jap/kof94.jpg" xr:uid="{4EDF5DAA-D432-43A0-A219-298739F86C7A}"/>
    <hyperlink ref="I44" r:id="rId125" display="http://www.neo-geo.com/snk/carts/us/kof95.jpg" xr:uid="{6E71693D-7953-418E-8282-5DF3F1D4267E}"/>
    <hyperlink ref="E45" r:id="rId126" display="http://www.neo-geo.com/reviews/neo-reviews/kof96/kof96.html" xr:uid="{FBC44116-DADB-448D-91AB-2583E8749F49}"/>
    <hyperlink ref="G45" r:id="rId127" display="http://www.neo-geo.com/snk/carts/mvs/KOF'96.jpg" xr:uid="{7038DFC3-6DA0-4A6A-926B-F9732CE5EF3A}"/>
    <hyperlink ref="H45" r:id="rId128" display="http://www.neo-geo.com/snk/carts/jap/kof96.jpg" xr:uid="{95F45FA1-5CF1-4CF8-AD25-F72EF40E3B37}"/>
    <hyperlink ref="I45" r:id="rId129" display="http://www.neo-geo.com/snk/carts/us/kof96.jpg" xr:uid="{284F8B05-D76D-46E6-8303-A28A20D7C2D1}"/>
    <hyperlink ref="E46" r:id="rId130" display="http://www.neo-geo.com/reviews/neo-reviews/kof97/kof97.htm" xr:uid="{D896D4F6-416A-4CA9-9FC4-359D32F6BD46}"/>
    <hyperlink ref="G46" r:id="rId131" display="http://www.neo-geo.com/snk/carts/mvs/KOF'97.jpg" xr:uid="{372445DC-08F6-478F-B2AF-FBA04C9F2A93}"/>
    <hyperlink ref="H46" r:id="rId132" display="https://www.neo-geo.com/snk/carts/jap/kof97.jpg" xr:uid="{FB3FEDB8-E348-4072-9A60-77C4BD7BFB9A}"/>
    <hyperlink ref="I46" r:id="rId133" display="http://www.neo-geo.com/snk/carts/us/kof97.jpg" xr:uid="{98EDFCBA-7035-4352-9390-93FC686266D9}"/>
    <hyperlink ref="E47" r:id="rId134" display="http://www.neo-geo.com/reviews/neo-reviews/kof98/kof98.html" xr:uid="{80A4F6E9-220D-4D00-A721-2667820C96A5}"/>
    <hyperlink ref="G47" r:id="rId135" display="http://www.neo-geo.com/snk/carts/mvs/KOF98.jpg" xr:uid="{02AA456F-D192-4881-867E-F3C4D061D9F5}"/>
    <hyperlink ref="H47" r:id="rId136" display="http://www.neo-geo.com/snk/carts/jap/kof98.jpg" xr:uid="{B78412B8-8D93-425F-B443-C65623501E20}"/>
    <hyperlink ref="I47" r:id="rId137" display="http://www.neo-geo.com/snk/carts/us/kof98.jpg" xr:uid="{5E57FA48-D65F-4657-96B6-36B9D319844C}"/>
    <hyperlink ref="E48" r:id="rId138" display="http://www.neo-geo.com/reviews/neo-reviews/kof99/kof99.htm" xr:uid="{58DD3489-6AB6-4041-8BBD-82ECD6FAE396}"/>
    <hyperlink ref="G48" r:id="rId139" display="http://www.neo-geo.com/snk/carts/mvs/KOF99.jpg" xr:uid="{05C0C094-DA91-4026-BEFF-BD17C855FE6A}"/>
    <hyperlink ref="H48" r:id="rId140" display="http://www.neo-geo.com/snk/carts/jap/kof99.jpg" xr:uid="{83F8DEC4-AE42-4487-9A6B-0EE3FFD64BA0}"/>
    <hyperlink ref="I48" r:id="rId141" display="http://www.neo-geo.com/snk/carts/us/kof99.jpg" xr:uid="{19E2E34A-968A-4277-87D5-F5C54478AE31}"/>
    <hyperlink ref="E49" r:id="rId142" display="http://www.neo-geo.com/reviews/neo-reviews/kof2k/kof2k-2.htm" xr:uid="{CB96B779-9A0D-47C2-818F-ABBA8B73B191}"/>
    <hyperlink ref="G49" r:id="rId143" display="http://www.neo-geo.com/snk/carts/mvs/KOF2000.jpg" xr:uid="{F20F9A46-5D5E-49B0-A7D0-3737AAF21AE5}"/>
    <hyperlink ref="H49" r:id="rId144" display="http://www.neo-geo.com/snk/carts/jap/kof2000.jpg" xr:uid="{C4080CCE-A371-45C5-BC99-25976166123E}"/>
    <hyperlink ref="E50" r:id="rId145" display="http://www.neo-geo.com/reviews/neo-reviews/kof2k1/kof2k1.htm" xr:uid="{619A1101-6F47-4168-8037-E50C0419C6EA}"/>
    <hyperlink ref="G50" r:id="rId146" display="http://www.neo-geo.com/snk/carts/mvs/kof2001.jpg" xr:uid="{B5449A99-38F0-4E7F-A5C0-A6EAC9C43299}"/>
    <hyperlink ref="H50" r:id="rId147" display="http://www.neo-geo.com/snk/carts/jap/kof2001.jpg" xr:uid="{856B92B5-E72D-4B5B-8FA7-7C36140C7001}"/>
    <hyperlink ref="E51" r:id="rId148" display="http://www.neo-geo.com/reviews/neo-reviews/kof2k2/kof2k2.htm" xr:uid="{CC6CF4BF-907A-4C31-8715-736B02AF49E4}"/>
    <hyperlink ref="G51" r:id="rId149" display="http://www.neo-geo.com/snk/carts/mvs/KOF2002.jpg" xr:uid="{6D8A6463-9D26-4DA8-99FD-A6FD02DDE493}"/>
    <hyperlink ref="I52" r:id="rId150" display="http://www.neostore.com/detail.asp?ProductID=1080" xr:uid="{7195755E-75FA-4697-B53A-33B88D0A991B}"/>
    <hyperlink ref="E53" r:id="rId151" display="http://www.neo-geo.com/reviews/neo-reviews/kingofmonsters/kom.html" xr:uid="{B5C327E8-6459-4B0F-B9FE-DC53FF278DEC}"/>
    <hyperlink ref="G53" r:id="rId152" display="http://www.neo-geo.com/snk/carts/mvs/KING OF THE.jpg" xr:uid="{574A80A8-D4D7-48E1-BBF7-CB467550489F}"/>
    <hyperlink ref="H53" r:id="rId153" display="http://www.neo-geo.com/snk/carts/jap/cartons/kom.jpg" xr:uid="{DBEB4AA8-A86D-4100-9938-1E0A74DBFFCF}"/>
    <hyperlink ref="I53" r:id="rId154" display="http://www.neo-geo.com/snk/carts/us/kom.jpg" xr:uid="{7496BA5F-5362-4CF2-8C27-B064244C2FC5}"/>
    <hyperlink ref="E54" r:id="rId155" display="http://www.neo-geo.com/reviews/neo-reviews/kom2/kom2.html" xr:uid="{497B2726-296D-49A1-8B6C-7CED5C9ACDDF}"/>
    <hyperlink ref="G54" r:id="rId156" display="http://www.neo-geo.com/snk/carts/mvs/kom2.jpg" xr:uid="{D51A6BFF-24FF-4A33-86BB-80231F047437}"/>
    <hyperlink ref="H54" r:id="rId157" display="http://www.neo-geo.com/snk/inserts/jap/kom2.jpg" xr:uid="{55A7CA81-A7C6-4916-B27E-B80D891BA565}"/>
    <hyperlink ref="I54" r:id="rId158" display="http://www.neo-geo.com/snk/carts/us/kom2.jpg" xr:uid="{AFD1E2DB-AA46-4AF3-B705-5B1649C67FD3}"/>
    <hyperlink ref="E55" r:id="rId159" display="http://www.neo-geo.com/reviews/neo-reviews/kizuna/kizuna.htm" xr:uid="{C3E00913-5049-4903-98A9-0EDF2503DC9B}"/>
    <hyperlink ref="G55" r:id="rId160" display="http://www.neo-geo.com/snk/carts/mvs/SUPER TAG KIZUNA.jpg" xr:uid="{27C7F554-E221-4A75-B3F9-83490D51930D}"/>
    <hyperlink ref="H55" r:id="rId161" display="http://www.neo-geo.com/snk/carts/jap/kizuna.jpg" xr:uid="{777A7B47-9031-4D31-A4C5-E1478483645B}"/>
    <hyperlink ref="I55" r:id="rId162" display="http://www.neo-geo.com/snk/carts/us/kizuna.jpg" xr:uid="{A9222D6E-1A4C-4194-8431-EDC816716FFD}"/>
    <hyperlink ref="E56" r:id="rId163" display="http://www.neo-geo.com/reviews/neo-reviews/lastblade/lastblade.html" xr:uid="{77FA69F4-6DEC-43FF-AE07-3E6763D94F6B}"/>
    <hyperlink ref="G56" r:id="rId164" display="http://www.neo-geo.com/snk/carts/mvs/LAST BLADE.jpg" xr:uid="{C8E4E94C-5251-4D18-BE52-2FB07D983F53}"/>
    <hyperlink ref="H56" r:id="rId165" display="http://www.neo-geo.com/snk/carts/jap/lastblade.jpg" xr:uid="{F4642CE5-9AF8-4DC7-B247-72614BB69DF9}"/>
    <hyperlink ref="I56" r:id="rId166" display="http://www.neo-geo.com/snk/carts/us/lastblade.jpg" xr:uid="{66CFD6C9-3D6C-46DF-9CE2-55D9B91FD2F3}"/>
    <hyperlink ref="E57" r:id="rId167" display="http://www.neo-geo.com/reviews/neo-reviews/lastblade2/lastblade2b.html" xr:uid="{17EE2C4C-9ACE-4CF9-89BE-053B30A1CD1F}"/>
    <hyperlink ref="G57" r:id="rId168" display="http://www.neo-geo.com/snk/carts/mvs/lastblade2.jpg" xr:uid="{0AA3D52E-0200-42FC-8298-F80BCD668887}"/>
    <hyperlink ref="H57" r:id="rId169" display="http://www.neo-geo.com/snk/carts/jap/lastblade2.jpg" xr:uid="{E858AD66-FA65-4725-B55D-DCC25926ECCD}"/>
    <hyperlink ref="I57" r:id="rId170" display="http://www.neo-geo.com/snk/carts/us/lastblade2.jpg" xr:uid="{23442E0D-035B-4FB7-8288-CFFC572CBB86}"/>
    <hyperlink ref="E58" r:id="rId171" display="http://www.neo-geo.com/reviews/neo-reviews/last-resort/LastResort.htm" xr:uid="{A2DB6FCF-135F-4917-AFF1-61205DF942C1}"/>
    <hyperlink ref="G58" r:id="rId172" display="http://www.neo-geo.com/snk/carts/mvs/LAST RESORT.jpg" xr:uid="{1B51C563-B2EF-4027-90AB-B8F91B43C27B}"/>
    <hyperlink ref="H58" r:id="rId173" display="http://www.neo-geo.com/snk/inserts/jap/lastresort.jpg" xr:uid="{C0CCAF0F-EF16-4684-B017-7BFB4D1DCAFC}"/>
    <hyperlink ref="I58" r:id="rId174" display="http://www.neo-geo.com/snk/carts/euro/lastresort.jpg" xr:uid="{8EFD63C4-D85A-4A6E-A577-88D4A0E14B74}"/>
    <hyperlink ref="E59" r:id="rId175" display="http://www.neo-geo.com/reviews/neo-reviews/lbowling/lbowl.htm" xr:uid="{2D17CFA2-BFD9-4455-9E3D-95B7A3E2B559}"/>
    <hyperlink ref="G59" r:id="rId176" display="http://www.neo-geo.com/snk/carts/mvs/LEAGUE BOW.jpg" xr:uid="{2100AC31-B5A3-4639-A92E-0619F6948A5B}"/>
    <hyperlink ref="H59" r:id="rId177" display="http://www.neo-geo.com/snk/carts/jap/cartons/leaguebowling.jpg" xr:uid="{AFAC6F1B-73C0-4A68-B4D9-55E1DAE8335C}"/>
    <hyperlink ref="I59" r:id="rId178" display="http://www.neo-geo.com/snk/carts/us/leaguebowling.jpg" xr:uid="{B364C7BF-A0C5-4EFA-BA0F-D3ADAF124AF0}"/>
    <hyperlink ref="E60" r:id="rId179" display="http://www.neo-geo.com/reviews/neo-reviews/legendjoe/legend.htm" xr:uid="{3D8F0FB7-A82D-4098-95ED-0E073C66EFF6}"/>
    <hyperlink ref="G60" r:id="rId180" display="http://www.neo-geo.com/snk/carts/mvs/legend.jpg" xr:uid="{DB29C27F-DDE9-46A3-B80A-AD7637C1254E}"/>
    <hyperlink ref="H60" r:id="rId181" display="http://www.neo-geo.com/snk/carts/jap/legendjoe.jpg" xr:uid="{8FBDAF92-A2B9-46F2-84F4-58D902C69FFE}"/>
    <hyperlink ref="E61" r:id="rId182" display="http://www.neo-geo.com/reviews/neo-reviews/md2/md2.html" xr:uid="{C6ED944A-29A4-4470-8941-D18934005D0B}"/>
    <hyperlink ref="G61" r:id="rId183" display="http://www.neo-geo.com/snk/carts/mvs/magical drop2.jpg" xr:uid="{BFE56887-7B5A-441C-95D8-BE25D77DCCEB}"/>
    <hyperlink ref="H61" r:id="rId184" display="http://www.neo-geo.com/snk/carts/jap/magicaldrop2.jpg" xr:uid="{9039F2C9-8C91-4261-8E3E-63C74D81D48F}"/>
    <hyperlink ref="E62" r:id="rId185" display="http://www.neo-geo.com/reviews/neo-reviews/md3/md3.html" xr:uid="{E6A4DAA7-E580-4319-9538-2CD6FCCCBEDF}"/>
    <hyperlink ref="G62" r:id="rId186" display="http://www.neo-geo.com/snk/carts/mvs/magical drop3.jpg" xr:uid="{CF06774E-F0F1-42E4-90EF-7AA40C6386BC}"/>
    <hyperlink ref="H62" r:id="rId187" display="http://www.neo-geo.com/snk/carts/jap/magicaldrop3.jpg" xr:uid="{5D8FECDD-41DB-4A56-87A0-4276870090BC}"/>
    <hyperlink ref="H63" r:id="rId188" display="http://www.neo-geo.com/snk/inserts/jap/magicianlord.jpg" xr:uid="{5BCF7E8E-9037-46D5-BC9F-93205285D735}"/>
    <hyperlink ref="I63" r:id="rId189" display="http://www.neo-geo.com/snk/carts/us/magicianlord.jpg" xr:uid="{555185F4-E1E0-4221-ADF9-38459E38AAC9}"/>
    <hyperlink ref="G64" r:id="rId190" display="http://www.neo-geo.com/snk/carts/mvs/majong baka.jpg" xr:uid="{61753372-81E5-47DE-AA0B-00F65D362F8D}"/>
    <hyperlink ref="H64" r:id="rId191" display="http://www.neo-geo.com/snk/carts/jap/mahjong-bakatonosama.jpg" xr:uid="{52EC2FAD-09A1-40B4-9267-FA5092ED3A97}"/>
    <hyperlink ref="H65" r:id="rId192" display="http://www.neo-geo.com/snk/carts/jap/cartons/mahjong-retsuden.jpg" xr:uid="{F0615E26-4EBE-41C2-9D1B-8EF02DE0F296}"/>
    <hyperlink ref="E66" r:id="rId193" display="http://www.neo-geo.com/reviews/neo-reviews/minasan/mahj-mno.htm" xr:uid="{D3796AE7-E500-40C2-9399-54AB909296B3}"/>
    <hyperlink ref="H66" r:id="rId194" display="http://www.neo-geo.com/snk/carts/jap/mahjong-minashanno.jpg" xr:uid="{F9929869-0CE8-4D7D-B96F-332B421554A9}"/>
    <hyperlink ref="H67" r:id="rId195" display="http://www.neo-geo.com/snk/carts/jap/masterofsyougi.jpg" xr:uid="{597F8E65-F983-40DA-8409-215D519BE700}"/>
    <hyperlink ref="E68" r:id="rId196" display="http://www.neo-geo.com/reviews/neo-reviews/Matrimelee/Matrimelee1.html" xr:uid="{0A9C008A-7259-4CCD-91ED-42183B5ECD53}"/>
    <hyperlink ref="G68" r:id="rId197" display="http://www.neo-geo.com/snk/carts/mvs/matrimelee.jpg" xr:uid="{CFC3A1DC-AD8C-40E9-835E-732D38CE83E4}"/>
    <hyperlink ref="E69" r:id="rId198" display="http://www.neo-geo.com/reviews/neo-reviews/metalslug/metalslug1.html" xr:uid="{AFB00824-004F-4C49-A4A4-265D243A6D77}"/>
    <hyperlink ref="G69" r:id="rId199" display="http://www.neo-geo.com/snk/carts/mvs/metal slug.jpg" xr:uid="{5D566255-0B79-46F2-8851-745C23B4766E}"/>
    <hyperlink ref="H69" r:id="rId200" display="http://www.neo-geo.com/snk/carts/jap/metalslug.jpg" xr:uid="{B658586F-1981-4EE1-8423-9CBED424344F}"/>
    <hyperlink ref="I69" r:id="rId201" display="http://www.neo-geo.com/snk/carts/us/metalslug.jpg" xr:uid="{B22FC37C-B38D-4481-B2F3-C8E58F5A5DCD}"/>
    <hyperlink ref="E70" r:id="rId202" display="http://www.neo-geo.com/reviews/neo-reviews/ms2/ms2.html" xr:uid="{DAFAA648-3BBC-4FBC-B36F-2F3B9BC73431}"/>
    <hyperlink ref="G70" r:id="rId203" display="http://www.neo-geo.com/snk/carts/mvs/metal slug2.jpg" xr:uid="{988367AA-19B5-41FF-833E-28304A70C303}"/>
    <hyperlink ref="H70" r:id="rId204" display="http://www.neo-geo.com/snk/carts/jap/metalslug2.jpg" xr:uid="{D8156476-4531-427D-A6D6-D622C3BC2642}"/>
    <hyperlink ref="I70" r:id="rId205" display="http://www.neo-geo.com/snk/carts/us/ms2.jpg" xr:uid="{47670C89-7BD1-4686-AEC2-FE6FE40733BB}"/>
    <hyperlink ref="E71" r:id="rId206" display="http://www.neo-geo.com/reviews/neo-reviews/msx/msxa.html" xr:uid="{7B53BB2B-7273-40A7-8DFA-6DA85C31965E}"/>
    <hyperlink ref="G71" r:id="rId207" display="http://www.neo-geo.com/snk/carts/mvs/METAL SLUGX.jpg" xr:uid="{810FFB20-530C-475C-94BF-B458432DDB0D}"/>
    <hyperlink ref="H71" r:id="rId208" display="http://www.neo-geo.com/snk/carts/jap/msx.jpg" xr:uid="{C1BD4FA5-0FA2-4921-B9CB-25E61A2B4FC6}"/>
    <hyperlink ref="I71" r:id="rId209" display="http://www.neo-geo.com/snk/carts/us/msx.jpg" xr:uid="{420BF8F9-AE45-488C-9369-04964B0ED7E5}"/>
    <hyperlink ref="E72" r:id="rId210" display="http://www.neo-geo.com/reviews/neo-reviews/ms3/metalslug3.html" xr:uid="{B78BD275-C3E9-42F7-9603-544E5747DD58}"/>
    <hyperlink ref="G72" r:id="rId211" display="http://www.neo-geo.com/snk/carts/mvs/metal slug3.jpg" xr:uid="{D00453EA-24DA-44AE-9B67-4F87CED66DA0}"/>
    <hyperlink ref="H72" r:id="rId212" display="http://www.neo-geo.com/snk/carts/jap/metalslug3.jpg" xr:uid="{09D67399-7851-483B-BA96-66619E4BDC8D}"/>
    <hyperlink ref="I72" r:id="rId213" display="http://www.neostore.com/store/ms3/ms3-cart.jpg" xr:uid="{8283E6D8-DBB5-46C8-879A-93A819E74B4F}"/>
    <hyperlink ref="E73" r:id="rId214" display="http://www.neo-geo.com/reviews/neo-reviews/ms4/metalslug4-1.html" xr:uid="{66D7558D-C7FB-4A12-8B19-FFD803DE1BF3}"/>
    <hyperlink ref="G73" r:id="rId215" display="http://www.neo-geo.com/snk/carts/mvs/ms4kit.jpg" xr:uid="{75598276-A921-42B7-B825-FC1C244F6531}"/>
    <hyperlink ref="H73" r:id="rId216" display="http://www.neo-geo.com/snk/carts/jap/metalslug4.jpg" xr:uid="{FA7329D4-AC92-4473-B922-7FD99A54AE42}"/>
    <hyperlink ref="I73" r:id="rId217" display="http://www.neo-geo.com/snk/carts/us/ms4.jpg" xr:uid="{8230441B-D1AB-4402-A7D4-CC5D39E04266}"/>
    <hyperlink ref="H74" r:id="rId218" display="http://www.neo-geo.com/snk/carts/jap/ms5.jpg" xr:uid="{B433FF24-E2D0-4484-972C-AC42F1D3C455}"/>
    <hyperlink ref="I74" r:id="rId219" display="http://www.neo-geo.com/snk/carts/us/ms5.jpg" xr:uid="{A8D96567-123B-4633-BEA1-57D1C1B68E8D}"/>
    <hyperlink ref="E75" r:id="rId220" display="http://www.neo-geo.com/reviews/neo-reviews/mpex/mpe.html" xr:uid="{4A2F3952-A95E-4368-9594-D1A934E2A874}"/>
    <hyperlink ref="G75" r:id="rId221" display="http://www.neo-geo.com/snk/carts/mvs/MONEY PUZZ.jpg" xr:uid="{443C8D1A-F4D0-4747-ADA4-EE868F91A97F}"/>
    <hyperlink ref="G76" r:id="rId222" display="http://www.neo-geo.com/snk/carts/mvs/MUTATIONNATIO.jpg" xr:uid="{C5FD4AC3-E0A3-4702-8509-AACF5E595BA0}"/>
    <hyperlink ref="H76" r:id="rId223" display="http://www.neo-geo.com/snk/inserts/jap/mutationnation.jpg" xr:uid="{2C78EAE3-5F4F-4183-82AF-D187EF29B598}"/>
    <hyperlink ref="I76" r:id="rId224" display="http://www.neo-geo.com/snk/carts/us/mutationnation.jpg" xr:uid="{0B4BA70A-03FF-4048-87C5-92829F03114C}"/>
    <hyperlink ref="E77" r:id="rId225" display="http://www.neo-geo.com/reviews/neo-reviews/nam75/nam-1975a.htm" xr:uid="{E53D7CC9-6920-4517-B83E-18996A70DC48}"/>
    <hyperlink ref="H77" r:id="rId226" display="http://www.neo-geo.com/snk/inserts/jap/nam75.jpg" xr:uid="{097743AC-004E-4B99-BB61-F4D902BDCA9B}"/>
    <hyperlink ref="I77" r:id="rId227" display="http://www.neo-geo.com/snk/carts/us/nam75.jpg" xr:uid="{BE02FA8C-8A47-472A-9917-A82D79C082A5}"/>
    <hyperlink ref="E78" r:id="rId228" display="http://www.neo-geo.com/reviews/neo-reviews/neobomberman/neobomerman.htm" xr:uid="{9E4953C8-F468-4C35-BBA6-E52016C2A36A}"/>
    <hyperlink ref="G78" r:id="rId229" display="http://www.neo-geo.com/snk/carts/mvs/NEOBOMBERMA.jpg" xr:uid="{C22F15A2-EAB1-405C-BBCC-7475CA8DEE67}"/>
    <hyperlink ref="G79" r:id="rId230" display="http://www.neo-geo.com/snk/carts/mvs/NEODRIFTOUT.jpg" xr:uid="{D2E5A4D5-3A27-4AA5-9623-8E05E2DAF56E}"/>
    <hyperlink ref="G80" r:id="rId231" display="http://www.neo-geo.com/snk/carts/mvs/NEOGEOCUP98.jpg" xr:uid="{E741E36D-1E72-48D4-B5BD-2E22F240A876}"/>
    <hyperlink ref="H80" r:id="rId232" display="http://www.neo-geo.com/snk/carts/jap/neocup98.jpg" xr:uid="{2396FCA2-DAB9-43B1-8BDB-7C408AE96D72}"/>
    <hyperlink ref="E81" r:id="rId233" display="http://www.neo-geo.com/reviews/neo-reviews/neomrdo/neomrdo.html" xr:uid="{D74F05E5-807A-4D6D-9E03-DF8C2D9A162A}"/>
    <hyperlink ref="G81" r:id="rId234" display="http://www.neo-geo.com/snk/carts/mvs/NEOMRDO.jpg" xr:uid="{338C30D0-BB47-4429-881A-1CE412329FB3}"/>
    <hyperlink ref="E82" r:id="rId235" display="http://www.neo-geo.com/reviews/neo-reviews/ntm/ntm.html" xr:uid="{4AC08405-8525-420E-9A7C-F30ED4C70330}"/>
    <hyperlink ref="G82" r:id="rId236" display="http://www.neo-geo.com/snk/carts/mvs/NEO TURF MASTER.jpg" xr:uid="{83C9B8C6-4E4B-468A-8027-FB777A2161BC}"/>
    <hyperlink ref="H82" r:id="rId237" display="http://www.neo-geo.com/snk/carts/jap/btg.jpg" xr:uid="{B26CB7A7-5D0E-4EF2-B98A-63E44FBE49D7}"/>
    <hyperlink ref="I82" r:id="rId238" display="http://www.neo-geo.com/snk/carts/us/neoturfmasters.jpg" xr:uid="{AE95ACBC-3D0A-4790-9D5D-09E74752ECFA}"/>
    <hyperlink ref="E83" r:id="rId239" display="http://www.neo-geo.com/reviews/neo-reviews/nitd/nitd.html" xr:uid="{453236DE-E941-49C2-B3D6-AF935F0E8970}"/>
    <hyperlink ref="G83" r:id="rId240" display="http://www.neo-geo.com/snk/carts/mvs/NIGHTMERE IN.jpg" xr:uid="{B3F2C124-4954-43DA-9E69-AFFF88768E4E}"/>
    <hyperlink ref="E84" r:id="rId241" display="http://www.neo-geo.com/reviews/neo-reviews/ninja_combat/ninja_combat.html" xr:uid="{9482C8F4-3A5E-48C0-B3CE-823045EA0EE6}"/>
    <hyperlink ref="G84" r:id="rId242" display="http://www.neo-geo.com/snk/carts/mvs/NINJA KOMBAT.jpg" xr:uid="{454AABB8-2F43-4B33-84A0-4A7198A447AD}"/>
    <hyperlink ref="H84" r:id="rId243" display="http://www.neo-geo.com/snk/carts/jap/cartons/ninjacombat.jpg" xr:uid="{12BA3C35-5EA4-484A-BCB3-40F17F19A947}"/>
    <hyperlink ref="I84" r:id="rId244" display="http://www.neo-geo.com/snk/carts/us/ninjacombat.jpg" xr:uid="{EA545F30-0063-4A6A-84A5-EF15984FBFC1}"/>
    <hyperlink ref="E85" r:id="rId245" display="http://www.neo-geo.com/reviews/neo-reviews/ninjacom/ninjacomm.html" xr:uid="{EBD0A976-C150-41DA-ACCE-7D9805234428}"/>
    <hyperlink ref="G85" r:id="rId246" display="http://www.neo-geo.com/snk/carts/mvs/NINJACOMMAND.jpg" xr:uid="{A8013719-761E-451F-83B4-A85E0809468B}"/>
    <hyperlink ref="H85" r:id="rId247" display="http://www.neo-geo.com/snk/inserts/jap/ninjacommando.jpg" xr:uid="{A9675947-C738-4C77-8C56-48E568565F02}"/>
    <hyperlink ref="I85" r:id="rId248" display="http://www.neo-geo.com/snk/carts/us/ninjacommando.jpg" xr:uid="{D8C07CA0-6389-4D29-AE25-AAF0E40E3729}"/>
    <hyperlink ref="E86" r:id="rId249" display="http://www.neo-geo.com/reviews/neo-reviews/ninjamas/ninjamas1.html" xr:uid="{C5805E82-CE1C-4419-81C5-67FE184CAA6E}"/>
    <hyperlink ref="G86" r:id="rId250" display="http://www.neo-geo.com/snk/carts/mvs/NINJAMASTE.jpg" xr:uid="{2B747D19-344C-4A33-97F2-9D3219C3949A}"/>
    <hyperlink ref="H86" r:id="rId251" display="http://www.neo-geo.com/snk/carts/jap/ninjamasters.jpg" xr:uid="{BF391753-03D9-4388-BEAC-8D22A7528806}"/>
    <hyperlink ref="I86" r:id="rId252" display="http://www.neo-geo.com/snk/carts/us/ninjamasters.jpg" xr:uid="{79B723C1-0879-48F5-B71A-F32BDFE2B488}"/>
    <hyperlink ref="E87" r:id="rId253" display="http://www.neo-geo.com/reviews/neo-reviews/Overtop/overtop.html" xr:uid="{5B7823C2-ABD7-42D3-9701-8106D6B79C91}"/>
    <hyperlink ref="G87" r:id="rId254" display="http://www.neo-geo.com/snk/carts/mvs/OVERTOP.jpg" xr:uid="{72183F44-AAF0-4D3A-8FFC-9951EE920B01}"/>
    <hyperlink ref="H87" r:id="rId255" display="http://www.neo-geo.com/snk/carts/jap/overtop.jpg" xr:uid="{FC8FEC31-901E-41BD-A558-855182B4045D}"/>
    <hyperlink ref="G88" r:id="rId256" display="http://www.neo-geo.com/snk/carts/mvs/PANICBOMBER.jpg" xr:uid="{EAAF2CC5-B0D7-4E71-BF8F-73C297C316E4}"/>
    <hyperlink ref="G89" r:id="rId257" display="http://www.neo-geo.com/snk/carts/mvs/PLEASUREGOAL.jpg" xr:uid="{769A8689-564C-4169-AE0F-CA6A6DC7846D}"/>
    <hyperlink ref="G91" r:id="rId258" display="http://www.neo-geo.com/snk/carts/mvs/POPANDBOUNCE.jpg" xr:uid="{5DFAF6CF-4D61-4383-BA75-C88F4901251B}"/>
    <hyperlink ref="G92" r:id="rId259" display="http://www.neo-geo.com/snk/carts/mvs/PWSPIKE2.jpg" xr:uid="{15D9D19C-FB4F-4E7D-B757-24D126EE2D0C}"/>
    <hyperlink ref="E93" r:id="rId260" display="http://www.neo-geo.com/reviews/neo-reviews/pi2/pi2.html" xr:uid="{E1B0494F-8B8B-4238-8668-B7AD1A979456}"/>
    <hyperlink ref="G93" r:id="rId261" display="http://www.neo-geo.com/snk/carts/mvs/PREISTORICA.jpg" xr:uid="{C43D30F3-FC5A-4269-A88C-A0EBDA4632C9}"/>
    <hyperlink ref="E94" r:id="rId262" display="http://www.neo-geo.com/reviews/neo-reviews/pulstar/pulstar.html" xr:uid="{16A5936D-81BA-42AD-B6E1-9049FCF850FE}"/>
    <hyperlink ref="G94" r:id="rId263" display="http://www.neo-geo.com/snk/carts/mvs/PULSTAR.jpg" xr:uid="{813A6311-D453-4EEF-9D5F-D9CD0781D801}"/>
    <hyperlink ref="H94" r:id="rId264" display="http://www.neo-geo.com/snk/carts/jap/pulstar.jpg" xr:uid="{A79A6AAE-EA66-440C-A1A9-58C84D52C207}"/>
    <hyperlink ref="E95" r:id="rId265" display="http://www.neo-geo.com/reviews/neo-reviews/puzzled/puzzled.html" xr:uid="{B916DC00-4DB3-4FB5-B1FE-055987B7B2F0}"/>
    <hyperlink ref="H95" r:id="rId266" display="http://www.neo-geo.com/snk/carts/jap/cartons/joyjoykid.jpg" xr:uid="{F5057AB8-BF35-4C0D-942C-001C13E50306}"/>
    <hyperlink ref="I95" r:id="rId267" display="http://www.neo-geo.com/snk/carts/us/puzzled.jpg" xr:uid="{CC268D23-979B-42C1-8BDB-28C38D2FF640}"/>
    <hyperlink ref="G96" r:id="rId268" display="http://www.neo-geo.com/snk/carts/mvs/PUZZLE DE PON.jpg" xr:uid="{3AE42BCB-C6F2-497D-B513-4126821178F8}"/>
    <hyperlink ref="E97" r:id="rId269" display="http://www.neo-geo.com/reviews/neo-reviews/puzzledeponr/puzzledeponr.html" xr:uid="{869CD02C-842C-46A5-AED3-CB2AE759EF80}"/>
    <hyperlink ref="G97" r:id="rId270" display="http://www.neo-geo.com/snk/carts/mvs/PUZZLE DE PONR.jpg" xr:uid="{E61CAD34-5128-4822-AED6-156C8F00A1A9}"/>
    <hyperlink ref="H99" r:id="rId271" display="http://www.neo-geo.com/snk/carts/jap/quiz-detective.jpg" xr:uid="{F3A1E25E-12A3-4887-83E6-CD68AFF2B878}"/>
    <hyperlink ref="G100" r:id="rId272" display="http://www.neo-geo.com/snk/carts/mvs/QIZKINGOFFIGHTE.jpg" xr:uid="{67A6D737-01E2-4ADC-B006-1CC4AA2A7920}"/>
    <hyperlink ref="H100" r:id="rId273" display="http://www.neo-geo.com/snk/carts/jap/quizkof.jpg" xr:uid="{DEFC25F5-7319-457E-B178-5AAACFF6EFDA}"/>
    <hyperlink ref="H101" r:id="rId274" display="http://www.neo-geo.com/snk/carts/jap/quiz-detective2.jpg" xr:uid="{FB8C6B9B-D6E5-4484-A2C0-E484FEA2941E}"/>
    <hyperlink ref="G102" r:id="rId275" display="http://www.neo-geo.com/snk/carts/mvs/rotd.jpg" xr:uid="{1F297D59-5454-41F4-BA95-EFE2672B4977}"/>
    <hyperlink ref="H102" r:id="rId276" display="http://www.neo-geo.com/snk/carts/jap/rotd.jpg" xr:uid="{3D97CAB0-28D4-47B4-BED5-19B77ACDBAB0}"/>
    <hyperlink ref="I102" r:id="rId277" display="http://www.neo-geo.com/snk/carts/us/rotd.jpg" xr:uid="{96A1CAC2-1309-4DF7-B880-BBE563E8A2FB}"/>
    <hyperlink ref="G103" r:id="rId278" display="http://www.neo-geo.com/snk/carts/mvs/RAGNAGARD.jpg" xr:uid="{B1D564CD-0440-43B4-9276-3F476FAE1A2E}"/>
    <hyperlink ref="H103" r:id="rId279" display="http://www.neo-geo.com/snk/carts/jap/shinoken.jpg" xr:uid="{71429C76-C485-4B94-B206-7CEFFB6A0257}"/>
    <hyperlink ref="G104" r:id="rId280" display="http://www.neo-geo.com/snk/carts/mvs/REALBOUT.jpg" xr:uid="{D2558FF2-8012-496E-9330-49B03D211D2F}"/>
    <hyperlink ref="H104" r:id="rId281" display="http://www.neo-geo.com/snk/carts/jap/realbout.jpg" xr:uid="{A8C4E23A-693D-498A-AE58-B74D838DB255}"/>
    <hyperlink ref="I104" r:id="rId282" display="http://www.neo-geo.com/snk/carts/us/realbout.jpg" xr:uid="{969FF2B4-96A1-44FA-9CEC-51B60EFC1DF0}"/>
    <hyperlink ref="E105" r:id="rId283" display="http://www.neo-geo.com/reviews/neo-reviews/rbspecial/rbspecial.html" xr:uid="{60E02D9B-2F60-4CC4-B207-3C72B00C5828}"/>
    <hyperlink ref="G105" r:id="rId284" display="http://www.neo-geo.com/snk/carts/mvs/REALBOUTSPEC.jpg" xr:uid="{7596FDFD-0517-40AF-AB5A-2DBB01016DBB}"/>
    <hyperlink ref="H105" r:id="rId285" display="http://www.neo-geo.com/snk/carts/jap/realboutspecial.jpg" xr:uid="{69038CB3-1722-4B07-824C-D48940B37E14}"/>
    <hyperlink ref="I105" r:id="rId286" display="http://www.neo-geo.com/snk/inserts/euro/realboutspecial.jpg" xr:uid="{D308A76D-8325-498D-9B1D-AF23F5CAACF3}"/>
    <hyperlink ref="E106" r:id="rId287" display="http://www.neo-geo.com/reviews/neo-reviews/rbff2/rbff2a.html" xr:uid="{5B6F5371-C64C-40A5-8739-289EEB9254B9}"/>
    <hyperlink ref="G106" r:id="rId288" display="http://www.neo-geo.com/snk/carts/mvs/REALBOUT2.jpg" xr:uid="{ED8269BC-DFA4-4C3F-9217-47FAB26DD625}"/>
    <hyperlink ref="H106" r:id="rId289" display="http://www.neo-geo.com/snk/carts/jap/realbout2.jpg" xr:uid="{B8CF6D70-AFD7-4391-A6BC-02BE2619E65D}"/>
    <hyperlink ref="I106" r:id="rId290" display="http://www.neo-geo.com/snk/carts/us/realbout2.jpg" xr:uid="{23A891C5-280E-42A5-BF6D-63F1FEB9E296}"/>
    <hyperlink ref="H107" r:id="rId291" display="http://www.neo-geo.com/snk/carts/jap/cartons/ridinghero.jpg" xr:uid="{F1B1BA06-FF80-4500-9AC5-37B85A87556A}"/>
    <hyperlink ref="I107" r:id="rId292" display="http://www.neo-geo.com/snk/carts/us/ridinghero.jpg" xr:uid="{566B8BC6-DACF-4EF0-946C-4B5CF528BAD3}"/>
    <hyperlink ref="E108" r:id="rId293" display="http://www.neo-geo.com/reviews/neo-reviews/roboarmy/roboarmy.htm" xr:uid="{0D72B591-F833-430A-A432-3A4477CC64A7}"/>
    <hyperlink ref="G108" r:id="rId294" display="http://www.neo-geo.com/snk/carts/mvs/ROBOARMY.jpg" xr:uid="{D074E408-0A0B-4F0E-8A93-E2638583BC8D}"/>
    <hyperlink ref="H108" r:id="rId295" display="http://www.neo-geo.com/snk/carts/jap/roboarmy.jpg" xr:uid="{98A93EFF-74F6-491D-AE57-0077BD54ECDD}"/>
    <hyperlink ref="I108" r:id="rId296" display="http://www.neo-geo.com/snk/inserts/euro/roboarmy.jpg" xr:uid="{BE7CCDB4-42FD-460B-AD9F-F4D35444696D}"/>
    <hyperlink ref="E109" r:id="rId297" display="http://www.neo-geo.com/reviews/neo-reviews/samurai_shodown/samurai_shodown.html" xr:uid="{B0291341-7EA5-49AC-A718-1DB050DE4155}"/>
    <hyperlink ref="G109" r:id="rId298" display="http://www.neo-geo.com/snk/carts/mvs/SAMURAI1.jpg" xr:uid="{CB2058F9-3895-48FD-B553-A1E8B314E849}"/>
    <hyperlink ref="H109" r:id="rId299" display="http://www.neo-geo.com/snk/carts/jap/ss1.jpg" xr:uid="{608E7A18-7BFC-4E5E-AC70-589A7A6DFD97}"/>
    <hyperlink ref="I109" r:id="rId300" display="http://www.neo-geo.com/snk/carts/us/ss1.jpg" xr:uid="{D1C5377A-AC74-436C-BC95-235E328F7D82}"/>
    <hyperlink ref="E110" r:id="rId301" display="http://www.neo-geo.com/reviews/neo-reviews/samurai2/samurai2.html" xr:uid="{1CB1F5E0-82EC-49DE-A7BA-2C8E4E28E0B1}"/>
    <hyperlink ref="G110" r:id="rId302" display="http://www.neo-geo.com/snk/carts/mvs/SAMURAI2.jpg" xr:uid="{D46DAF1D-88C2-4D1C-8AD7-9C459BAF71C8}"/>
    <hyperlink ref="H110" r:id="rId303" display="http://www.neo-geo.com/snk/carts/jap/ss2.jpg" xr:uid="{E1911545-D670-44E6-B758-5098ECB01324}"/>
    <hyperlink ref="I110" r:id="rId304" display="http://www.neo-geo.com/snk/carts/us/ss2.jpg" xr:uid="{BE79DBAB-601C-4665-A436-B2EEC6A7C3E7}"/>
    <hyperlink ref="E111" r:id="rId305" display="http://www.neo-geo.com/reviews/neo-reviews/samurai3/ss3.htm" xr:uid="{EF4B0B29-53FF-4696-8291-72CD63FF8113}"/>
    <hyperlink ref="G111" r:id="rId306" display="http://www.neo-geo.com/snk/carts/mvs/SAMURAI3.jpg" xr:uid="{612537BB-9022-436A-B6D2-BCD054ED6B2F}"/>
    <hyperlink ref="H111" r:id="rId307" display="http://www.neo-geo.com/snk/carts/jap/ss3.jpg" xr:uid="{97FCC75A-3C99-4ECB-A227-06EBEF4B63EB}"/>
    <hyperlink ref="I111" r:id="rId308" display="http://www.neo-geo.com/snk/carts/us/ss3.jpg" xr:uid="{157FD72A-EAAC-400E-B55F-32F35097884D}"/>
    <hyperlink ref="E112" r:id="rId309" display="http://www.neo-geo.com/reviews/neo-reviews/samurai4/samurai4a.html" xr:uid="{B63E96EC-EDBF-4146-AA2A-69C2B028153B}"/>
    <hyperlink ref="G112" r:id="rId310" display="http://www.neo-geo.com/snk/carts/mvs/SAMURAI4.jpg" xr:uid="{82F0A477-020C-4BC1-85F0-E6FC73B126DD}"/>
    <hyperlink ref="H112" r:id="rId311" display="http://www.neo-geo.com/snk/carts/jap/ss4.jpg" xr:uid="{696DF34C-051D-4DAA-8BA5-08BD83B39BF9}"/>
    <hyperlink ref="I112" r:id="rId312" display="http://www.neo-geo.com/snk/carts/us/ss4.jpg" xr:uid="{0F1B6B66-2418-4221-BE20-1D568A4A8041}"/>
    <hyperlink ref="G113" r:id="rId313" display="http://www.neo-geo.com/snk/carts/mvs/samurai5.jpg" xr:uid="{C7DBE7BE-093C-4074-A6B3-1DC496CB8696}"/>
    <hyperlink ref="E115" r:id="rId314" display="http://www.neo-geo.com/reviews/neo-reviews/Savagereign/savager.html" xr:uid="{A5AFA948-7DBA-43A2-B06D-FFB61DA00F18}"/>
    <hyperlink ref="G115" r:id="rId315" display="http://www.neo-geo.com/snk/carts/mvs/SAVAGE REIGN.jpg" xr:uid="{5AA66ABA-F9CD-463C-BEAA-C6D0FE6BEFBC}"/>
    <hyperlink ref="H115" r:id="rId316" display="http://www.neo-geo.com/snk/carts/jap/savage.jpg" xr:uid="{448DA6C0-A4C4-428B-815F-0930E8180E08}"/>
    <hyperlink ref="I115" r:id="rId317" display="http://www.neo-geo.com/snk/carts/us/savagereign.jpg" xr:uid="{D3C9266A-6439-40A0-BCEE-282A5A43AF2C}"/>
    <hyperlink ref="E116" r:id="rId318" display="http://www.neo-geo.com/reviews/neo-reviews/sengoku/sengoku.html" xr:uid="{D658BD8B-9F81-439C-9946-50BF83B2838F}"/>
    <hyperlink ref="G116" r:id="rId319" display="http://www.neo-geo.com/snk/carts/mvs/SENGOKU.jpg" xr:uid="{113333FF-0EF4-457E-9616-4067D238AA21}"/>
    <hyperlink ref="H116" r:id="rId320" display="http://www.neo-geo.com/snk/carts/jap/cartons/sengoku.jpg" xr:uid="{5017D482-ED11-4D11-9C18-3B63A513790D}"/>
    <hyperlink ref="I116" r:id="rId321" display="http://www.neo-geo.com/snk/carts/us/sengoku.jpg" xr:uid="{E77A9399-1941-44EF-9DA4-B21592671331}"/>
    <hyperlink ref="E117" r:id="rId322" display="http://www.neo-geo.com/reviews/neo-reviews/sengoku2/sengoku2.html" xr:uid="{5B08CD8E-9F40-4DF4-B5A4-CBB606A01CF5}"/>
    <hyperlink ref="G117" r:id="rId323" display="http://www.neo-geo.com/snk/carts/mvs/SENGOKU2.jpg" xr:uid="{699A16C0-FC90-4C59-A7CE-F9CAFA3D616C}"/>
    <hyperlink ref="H117" r:id="rId324" display="http://www.neo-geo.com/snk/carts/jap/sengoku2.jpg" xr:uid="{42FCE606-7880-44C5-89CB-BEC76A9FD2AE}"/>
    <hyperlink ref="I117" r:id="rId325" display="http://www.neo-geo.com/snk/carts/us/sengoku2.jpg" xr:uid="{DC6E3474-6ACE-401D-8BD1-8E7AE9A0D236}"/>
    <hyperlink ref="E118" r:id="rId326" display="http://www.neo-geo.com/reviews/neo-reviews/sengoku3/sengoku3b.html" xr:uid="{D1FF5DCF-F7CC-4FEC-B56A-D4CFCB5EC76F}"/>
    <hyperlink ref="G118" r:id="rId327" display="http://www.neo-geo.com/snk/carts/mvs/SENGOKU3.jpg" xr:uid="{84C6A230-F201-4E4D-B383-37F3EB50239A}"/>
    <hyperlink ref="H118" r:id="rId328" display="http://www.neo-geo.com/snk/carts/jap/sengoku3.jpg" xr:uid="{12387BBC-11D4-4A09-9DE6-E6B964C4292B}"/>
    <hyperlink ref="I118" r:id="rId329" display="http://www.neo-geo.com/snk/carts/us/sengoku3.jpg" xr:uid="{4C66DE15-4A8D-4EF4-BD90-5A5D22BC2FE1}"/>
    <hyperlink ref="E119" r:id="rId330" display="http://www.neo-geo.com/reviews/neo-reviews/shocktroop1/shocktroopersa.html" xr:uid="{1BE5959D-972A-44B0-B8A2-E6ABC9C94CE9}"/>
    <hyperlink ref="G119" r:id="rId331" display="http://www.neo-geo.com/snk/carts/mvs/SHOCKTROOP1.jpg" xr:uid="{E17ADE22-0E28-468C-B9FA-0E92CD749768}"/>
    <hyperlink ref="E120" r:id="rId332" display="http://www.neo-geo.com/reviews/neo-reviews/shocktroop2/st2a.html" xr:uid="{388DA2EF-7BDB-4498-909B-32E66781A029}"/>
    <hyperlink ref="G120" r:id="rId333" display="http://www.neo-geo.com/snk/carts/mvs/SHOCKTROOP2.jpg" xr:uid="{B9387661-C447-46E6-A890-5C628576FF90}"/>
    <hyperlink ref="G121" r:id="rId334" display="http://www.neo-geo.com/snk/carts/mvs/SOCCERBRAWL.jpg" xr:uid="{15CCA900-5C01-45D6-9BE8-797DAE3EE285}"/>
    <hyperlink ref="H121" r:id="rId335" display="http://www.neo-geo.com/snk/inserts/jap/soccerbrawl.jpg" xr:uid="{0848AA5E-41B0-4D5E-87F1-0B30CB975DB6}"/>
    <hyperlink ref="I121" r:id="rId336" display="http://www.neo-geo.com/snk/carts/us/soccerbrawl.jpg" xr:uid="{50B01762-77AA-48D4-B250-4A5017C395E4}"/>
    <hyperlink ref="E122" r:id="rId337" display="http://www.neo-geo.com/reviews/neo-reviews/spinmaster/spinmaster1.html" xr:uid="{BD12A3BA-F4EB-4AFE-A894-BE95795075C1}"/>
    <hyperlink ref="G122" r:id="rId338" display="http://www.neo-geo.com/snk/carts/mvs/SPINMASTER.jpg" xr:uid="{42FAAAB6-4AB1-478F-AB1C-458D7E086C23}"/>
    <hyperlink ref="H122" r:id="rId339" display="http://www.neo-geo.com/snk/carts/jap/miracleadv.jpg" xr:uid="{F0137D7F-A8A0-4057-9CFC-DA3014416852}"/>
    <hyperlink ref="I122" r:id="rId340" display="http://www.neo-geo.com/snk/carts/us/spinmaster.jpg" xr:uid="{9153872C-929C-4A7B-A209-12C7D275E36C}"/>
    <hyperlink ref="G123" r:id="rId341" display="http://www.neo-geo.com/snk/carts/mvs/STAKESWINNER.jpg" xr:uid="{A6D79FFD-509F-4C83-B05E-ED5678CF6F7E}"/>
    <hyperlink ref="H123" r:id="rId342" display="http://www.neo-geo.com/snk/inserts/jap/stakeswinner.jpg" xr:uid="{A8A6E658-2A7B-44A8-A9D7-5836CFD54A40}"/>
    <hyperlink ref="I123" r:id="rId343" display="http://www.neo-geo.com/snk/carts/us/stakeswinner.jpg" xr:uid="{207929CA-7E98-4FC2-A507-F00C9C9EA81A}"/>
    <hyperlink ref="E124" r:id="rId344" display="http://www.neo-geo.com/reviews/neo-reviews/sw2/sw2.html" xr:uid="{A3D58870-A31B-4EFE-A61C-966482608CEC}"/>
    <hyperlink ref="G124" r:id="rId345" display="http://www.neo-geo.com/snk/carts/mvs/STAKESWINNER2.jpg" xr:uid="{59D0ED1C-F7C8-4569-ABF2-BF792B24B59D}"/>
    <hyperlink ref="H124" r:id="rId346" display="http://www.neo-geo.com/snk/carts/jap/stakeswinner2.jpg" xr:uid="{462ECDDC-1F5D-4B9C-8445-9EB330DB5F36}"/>
    <hyperlink ref="E125" r:id="rId347" display="http://www.neo-geo.com/reviews/neo-reviews/streethoop/streethoop.html" xr:uid="{0315CAF1-BD39-4D98-9987-CCCDDD5DFB86}"/>
    <hyperlink ref="G125" r:id="rId348" display="http://www.neo-geo.com/snk/carts/mvs/STREETHOOP.jpg" xr:uid="{3FC54579-4D1B-4CA9-AC50-512902BAB1EB}"/>
    <hyperlink ref="H125" r:id="rId349" display="http://www.neo-geo.com/snk/carts/jap/dunkdreams.jpg" xr:uid="{D2E53671-8A8C-4E52-B7E6-2ABDA6809A39}"/>
    <hyperlink ref="I125" r:id="rId350" display="http://www.neo-geo.com/snk/carts/us/streethoop.jpg" xr:uid="{D7145751-A69C-45E4-A949-F9B429C58408}"/>
    <hyperlink ref="E126" r:id="rId351" display="http://www.neo-geo.com/reviews/neo-reviews/strikers45/strikers.html" xr:uid="{83BE64B8-1300-4CB9-9D0A-089CDA58C8BC}"/>
    <hyperlink ref="G126" r:id="rId352" display="http://www.neo-geo.com/snk/carts/mvs/STRIKER1945.jpg" xr:uid="{911AC716-FD62-4E26-B1FD-ECA40DAAA5E8}"/>
    <hyperlink ref="E127" r:id="rId353" display="http://www.neo-geo.com/reviews/neo-reviews/superbb2020/sbb2020.html" xr:uid="{CC80A432-B647-4AA5-9385-A015C50EFAA4}"/>
    <hyperlink ref="G127" r:id="rId354" display="http://www.neo-geo.com/snk/carts/mvs/2020SUPERBAS.jpg" xr:uid="{A6AB3C5E-5EFE-44E1-A39C-18D482BFEA4E}"/>
    <hyperlink ref="H127" r:id="rId355" display="http://www.neo-geo.com/snk/carts/jap/2020bb.jpg" xr:uid="{A227F604-86F4-4259-9FEB-275EDA8B6016}"/>
    <hyperlink ref="I127" r:id="rId356" display="http://www.neo-geo.com/snk/carts/us/2020superbb.jpg" xr:uid="{12CF644F-B145-469D-BCEC-2AAFB8D99A38}"/>
    <hyperlink ref="E128" r:id="rId357" display="http://www.neo-geo.com/reviews/neo-reviews/superdball/superdodgeball1.html" xr:uid="{9404D77C-F595-4651-A07F-6F84A40F3AFF}"/>
    <hyperlink ref="G128" r:id="rId358" display="http://www.neo-geo.com/snk/carts/mvs/SUPERDODGEBAL.jpg" xr:uid="{60DB9484-E700-46C0-A3DF-6454545922FC}"/>
    <hyperlink ref="G129" r:id="rId359" display="http://www.neo-geo.com/snk/carts/mvs/supersidekicks.jpg" xr:uid="{54CE20A9-74A7-485D-B200-8EE48EBCE08C}"/>
    <hyperlink ref="H129" r:id="rId360" display="http://www.neo-geo.com/snk/inserts/jap/ssk.jpg" xr:uid="{7FCE853C-783A-4304-B5D1-9126BA9A622C}"/>
    <hyperlink ref="I129" r:id="rId361" display="http://www.neo-geo.com/snk/inserts/euro/ssk.jpg" xr:uid="{EA053829-5CB1-4ABC-95C1-6163992C9995}"/>
    <hyperlink ref="G130" r:id="rId362" display="http://www.neo-geo.com/snk/carts/mvs/SIDEKICKS2.jpg" xr:uid="{12E34C7A-8055-4A5E-944D-31E5DD72A4FB}"/>
    <hyperlink ref="H130" r:id="rId363" display="http://www.neo-geo.com/snk/inserts/jap/ssk2.jpg" xr:uid="{39907DB6-AD4D-486F-B9CD-EE6B2C8E171E}"/>
    <hyperlink ref="I130" r:id="rId364" display="http://www.neo-geo.com/snk/carts/us/supersidekicks2.jpg" xr:uid="{C6C66269-3BD5-45E1-AC6B-1D73B9C05C2F}"/>
    <hyperlink ref="G131" r:id="rId365" display="http://www.neo-geo.com/snk/carts/mvs/SIDEKICKS3.jpg" xr:uid="{060800D7-0B63-4C2C-9852-AB858A11ED89}"/>
    <hyperlink ref="H131" r:id="rId366" display="http://www.neo-geo.com/snk/carts/jap/sidekicks3.jpg" xr:uid="{CD0A59DA-6CB4-482B-8A60-CDBBF96C0965}"/>
    <hyperlink ref="I131" r:id="rId367" display="http://www.neo-geo.com/snk/carts/us/supersidekicks3.jpg" xr:uid="{B1B7E22B-2B2F-4FC4-876D-F73AF12406BB}"/>
    <hyperlink ref="G132" r:id="rId368" display="http://www.neo-geo.com/snk/carts/mvs/SIDE KICKS4.jpg" xr:uid="{D0B7DF5B-E94C-492E-A1D3-9BA2577C62B0}"/>
    <hyperlink ref="H132" r:id="rId369" display="http://www.neo-geo.com/snk/carts/jap/ultimate11.jpg" xr:uid="{F91906C0-F2E4-420C-B80F-EA35922BF3F8}"/>
    <hyperlink ref="I132" r:id="rId370" display="http://www.neo-geo.com/snk/carts/us/ultimate11.jpg" xr:uid="{174A71F1-E594-4D5E-B114-20F8D9980970}"/>
    <hyperlink ref="E133" r:id="rId371" display="http://www.neo-geo.com/reviews/neo-reviews/super_spy/superspy2.htm" xr:uid="{AC393A95-B94F-48B2-BC20-9A9DD374D18E}"/>
    <hyperlink ref="G133" r:id="rId372" display="http://www.neo-geo.com/snk/carts/mvs/SPR SPY.jpg" xr:uid="{C932872C-EE3E-4EA9-AC28-7DB1AB3E31F6}"/>
    <hyperlink ref="H133" r:id="rId373" display="http://www.neo-geo.com/snk/carts/jap/cartons/superspy.jpg" xr:uid="{7603861F-1706-4B17-8EE1-69AD1569D829}"/>
    <hyperlink ref="I133" r:id="rId374" display="http://www.neo-geo.com/snk/carts/us/superspy.jpg" xr:uid="{C3D3ADA6-DDDC-4126-9002-167F68C77E2E}"/>
    <hyperlink ref="G135" r:id="rId375" display="http://www.neo-geo.com/snk/carts/mvs/TECMO96.jpg" xr:uid="{5B29FE41-EA57-4DF4-9A45-4B36D6F50712}"/>
    <hyperlink ref="E136" r:id="rId376" display="http://www.neo-geo.com/reviews/neo-reviews/thrash_rally/thrashrally.html" xr:uid="{08A3B0C0-2F95-4AC6-9780-49C3EA55195D}"/>
    <hyperlink ref="G136" r:id="rId377" display="http://www.neo-geo.com/snk/carts/mvs/THRASH RALLY.jpg" xr:uid="{886E9ACF-00BD-484B-A389-0314770EC150}"/>
    <hyperlink ref="H136" r:id="rId378" display="http://www.neo-geo.com/snk/inserts/jap/thrashrally.jpg" xr:uid="{8C0111DE-C37C-4968-BEF2-E98DC921F807}"/>
    <hyperlink ref="I136" r:id="rId379" display="http://www.neo-geo.com/snk/carts/us/thrashrally.jpg" xr:uid="{F850F27C-3930-4F5D-A20B-C1EB7E2498F2}"/>
    <hyperlink ref="E137" r:id="rId380" display="http://www.neo-geo.com/reviews/neo-reviews/tophunter/tophunter.html" xr:uid="{D174EB39-41F8-41EB-90BA-CDF3E5D19D59}"/>
    <hyperlink ref="G137" r:id="rId381" display="http://www.neo-geo.com/snk/carts/mvs/TOP HUNTER.jpg" xr:uid="{CBF6C7CD-5597-4A9C-8ED8-37963CCDDA75}"/>
    <hyperlink ref="H137" r:id="rId382" display="http://www.neo-geo.com/snk/inserts/jap/tophunter.jpg" xr:uid="{502C4E31-3336-4948-81A2-8D17032B5486}"/>
    <hyperlink ref="I137" r:id="rId383" display="http://www.neo-geo.com/snk/carts/us/tophunter.jpg" xr:uid="{D5AA9285-7E59-4AA9-9266-F99663553DE9}"/>
    <hyperlink ref="G138" r:id="rId384" display="http://www.neo-geo.com/snk/carts/mvs/topplayergolf.jpg" xr:uid="{9DC9D799-AF12-46B7-BDF8-AF71DB143206}"/>
    <hyperlink ref="H138" r:id="rId385" display="http://www.neo-geo.com/snk/carts/jap/cartons/top-players-golf.jpg" xr:uid="{C2970C28-E7B3-4C9C-9D38-16AFED7FA27B}"/>
    <hyperlink ref="I138" r:id="rId386" display="http://www.neo-geo.com/snk/carts/us/topgolf.jpg" xr:uid="{4A41D19E-C746-4B33-9B24-F3A305258121}"/>
    <hyperlink ref="E139" r:id="rId387" display="http://www.neo-geo.com/reviews/neo-reviews/twinklestar/twinklestar.html" xr:uid="{FCDF88B7-3ABF-4364-83A4-D09B4BEA5D7E}"/>
    <hyperlink ref="G139" r:id="rId388" display="http://www.neo-geo.com/snk/carts/mvs/TWINKLESTAR.jpg" xr:uid="{80979466-66AD-4B4C-826F-9CD99BC298B4}"/>
    <hyperlink ref="H139" r:id="rId389" display="http://www.neo-geo.com/snk/carts/jap/tss.jpg" xr:uid="{C255E2F6-E84B-4675-A891-AC44CD26CA87}"/>
    <hyperlink ref="E140" r:id="rId390" display="http://www.neo-geo.com/reviews/neo-reviews/viewpoint/viewpoint.html" xr:uid="{F5D4C89F-410D-46C0-95BE-042EF811A695}"/>
    <hyperlink ref="G140" r:id="rId391" display="http://www.neo-geo.com/snk/carts/mvs/viewpoint.jpg" xr:uid="{066C6575-0672-4771-8D9A-50A6A4BD9E93}"/>
    <hyperlink ref="H140" r:id="rId392" display="http://www.neo-geo.com/snk/carts/jap/viewpoint.jpg" xr:uid="{4D9468C1-AE4C-423F-A8EA-FF42DB179537}"/>
    <hyperlink ref="I140" r:id="rId393" display="http://www.neo-geo.com/snk/carts/us/viewpoint.jpg" xr:uid="{EFB4BA41-6D16-42FB-AF0B-2D91048FCD64}"/>
    <hyperlink ref="H141" r:id="rId394" display="http://www.neo-geo.com/snk/carts/jap/gowcaizer.jpg" xr:uid="{83913B90-E782-47DE-B261-FA686E5CF48F}"/>
    <hyperlink ref="I141" r:id="rId395" display="http://www.neo-geo.com/snk/carts/us/vfg.jpg" xr:uid="{E69F888F-DC38-4994-BDE8-DBDE5AD08402}"/>
    <hyperlink ref="E142" r:id="rId396" display="http://www.neo-geo.com/reviews/neo-reviews/ww7/ww7-2.html" xr:uid="{809815C0-487C-4ECA-B219-2542A9B9F9ED}"/>
    <hyperlink ref="G142" r:id="rId397" display="http://www.neo-geo.com/snk/carts/mvs/wakuwaku7.jpg" xr:uid="{AE1C9735-D4DC-411E-8AB5-28E93DA040CB}"/>
    <hyperlink ref="H142" r:id="rId398" display="http://www.neo-geo.com/snk/carts/jap/ww7.jpg" xr:uid="{D493E9C0-FBFF-4897-B21D-46E84C09E351}"/>
    <hyperlink ref="E143" r:id="rId399" display="http://www.neo-geo.com/reviews/neo-reviews/windjam/windjam.html" xr:uid="{27C65EB4-ED74-422E-85B1-4BA4F5DF4371}"/>
    <hyperlink ref="G143" r:id="rId400" display="http://www.neo-geo.com/snk/carts/mvs/WINJAMMERS.jpg" xr:uid="{02AB8BD9-05A7-4541-9604-56BE509EF47B}"/>
    <hyperlink ref="H143" r:id="rId401" display="http://www.neo-geo.com/snk/carts/jap/flyingpowerdisk.jpg" xr:uid="{58295A45-50FC-4FE2-9B37-C3B7A738F4F9}"/>
    <hyperlink ref="I143" r:id="rId402" display="http://www.neo-geo.com/snk/carts/us/windjammers.jpg" xr:uid="{56EC38D5-6E28-4644-9251-F6ADCD335D34}"/>
    <hyperlink ref="E144" r:id="rId403" display="http://www.neo-geo.com/reviews/neo-reviews/wh/wh.html" xr:uid="{49636047-CB81-4D34-97CA-97743E49F2E5}"/>
    <hyperlink ref="G144" r:id="rId404" display="http://www.neo-geo.com/snk/carts/mvs/WH.jpg" xr:uid="{EA0F3766-B241-442F-A76B-EA48385D45CC}"/>
    <hyperlink ref="H144" r:id="rId405" display="http://www.neo-geo.com/snk/inserts/jap/worldheroes.jpg" xr:uid="{7EB64CA8-9988-4E38-A10F-9026EA7441E1}"/>
    <hyperlink ref="I144" r:id="rId406" display="http://www.neo-geo.com/snk/inserts/euro/wh.jpg" xr:uid="{BE2E0030-FE40-4D27-AAAD-B4928FAD4357}"/>
    <hyperlink ref="E145" r:id="rId407" display="http://www.neo-geo.com/reviews/neo-reviews/wh2/wh2.html" xr:uid="{F0168B38-BC35-405B-94A6-29D52A137F07}"/>
    <hyperlink ref="G145" r:id="rId408" display="http://www.neo-geo.com/snk/carts/mvs/WH2.jpg" xr:uid="{0018337A-4042-4469-B711-1621AC19DA40}"/>
    <hyperlink ref="H145" r:id="rId409" display="http://www.neo-geo.com/snk/inserts/jap/worldheroes2.jpg" xr:uid="{27C198E2-0051-44D7-8E9D-EC1EE5ECE477}"/>
    <hyperlink ref="I145" r:id="rId410" display="http://www.neo-geo.com/snk/carts/us/wh2.jpg" xr:uid="{FF58347A-C701-4B0F-B228-33AF7B59F61F}"/>
    <hyperlink ref="E146" r:id="rId411" display="http://www.neo-geo.com/reviews/neo-reviews/wh2j/wh2j.html" xr:uid="{0AE94050-4C2E-42E7-978B-06346B4441E6}"/>
    <hyperlink ref="G146" r:id="rId412" display="http://www.neo-geo.com/snk/carts/mvs/WH2JET.jpg" xr:uid="{46D4C6CF-4F85-46C4-8359-803EFAA461FA}"/>
    <hyperlink ref="H146" r:id="rId413" display="http://www.neo-geo.com/snk/inserts/jap/worldheroesjet.jpg" xr:uid="{BEADFFEF-38E2-4677-94F4-A1CBCC362731}"/>
    <hyperlink ref="I146" r:id="rId414" display="http://www.neo-geo.com/snk/carts/us/wh2jet.jpg" xr:uid="{E739713A-A652-4FB2-8C2C-68DAEDFB97C8}"/>
    <hyperlink ref="E147" r:id="rId415" display="http://www.neo-geo.com/reviews/neo-reviews/whp/whp.html" xr:uid="{FEA90ACA-2E99-44B5-8B73-0A6C496FE1A9}"/>
    <hyperlink ref="G147" r:id="rId416" display="http://www.neo-geo.com/snk/carts/mvs/WHPERFECT.jpg" xr:uid="{74951D13-C091-4594-9499-1BB51B8333E3}"/>
    <hyperlink ref="H147" r:id="rId417" display="http://www.neo-geo.com/snk/carts/jap/whp.jpg" xr:uid="{79D7BBA0-D120-4C57-9BFE-285C928FC48D}"/>
    <hyperlink ref="I147" r:id="rId418" display="http://www.neo-geo.com/snk/carts/us/whp.jpg" xr:uid="{00715C6C-F081-424C-81B5-43CB1BB32473}"/>
    <hyperlink ref="G148" r:id="rId419" display="http://www.neo-geo.com/snk/carts/mvs/ZEDBLADE.jpg" xr:uid="{F5871337-FCA3-43AF-BCC8-F66A0852D5D2}"/>
    <hyperlink ref="E149" r:id="rId420" display="http://www.neo-geo.com/reviews/neo-reviews/zupapa/zupapa1.html" xr:uid="{98A24900-C4AD-4233-8F81-482E0C57BF22}"/>
    <hyperlink ref="G149" r:id="rId421" display="http://www.neo-geo.com/snk/carts/mvs/zupapa.jpg" xr:uid="{2956D216-2138-43CF-A5EF-A95D2F99E233}"/>
    <hyperlink ref="E153" r:id="rId422" display="http://www.neo-geo.com/reviews/neo-reviews/Ironclad/ironclad.html" xr:uid="{3373A893-83BD-4857-BBCC-F0174F38921C}"/>
    <hyperlink ref="E158" r:id="rId423" display="http://www.neo-geo.com/reviews/neo-reviews/Zintrick/zintrick.html" xr:uid="{13708FB4-3D90-4845-AAA1-1848065BA732}"/>
    <hyperlink ref="E161" r:id="rId424" display="http://members.tripod.com/fresa/proto/games/digger_man.htm" xr:uid="{4A055FC4-F7CB-484C-AE6A-9782ED1C27C4}"/>
    <hyperlink ref="G164" r:id="rId425" display="http://www.neo-geo.com/snk/carts/mvs/VLINER.jpg" xr:uid="{701659E4-8879-45F3-8CB6-479CBB6099FA}"/>
  </hyperlinks>
  <pageMargins left="0.7" right="0.7" top="0.75" bottom="0.75" header="0.3" footer="0.3"/>
  <pageSetup orientation="portrait" horizontalDpi="0" verticalDpi="0" r:id="rId426"/>
  <drawing r:id="rId42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BA04D-3036-4A6A-A675-E729438D6DD8}">
  <dimension ref="A3:B27"/>
  <sheetViews>
    <sheetView workbookViewId="0">
      <selection activeCell="A20" sqref="A20"/>
    </sheetView>
  </sheetViews>
  <sheetFormatPr defaultRowHeight="15" x14ac:dyDescent="0.25"/>
  <cols>
    <col min="1" max="1" width="20" bestFit="1" customWidth="1"/>
    <col min="2" max="2" width="15.140625" bestFit="1" customWidth="1"/>
  </cols>
  <sheetData>
    <row r="3" spans="1:2" x14ac:dyDescent="0.25">
      <c r="A3" s="24" t="s">
        <v>9093</v>
      </c>
      <c r="B3" t="s">
        <v>9095</v>
      </c>
    </row>
    <row r="4" spans="1:2" x14ac:dyDescent="0.25">
      <c r="A4" s="25" t="s">
        <v>9088</v>
      </c>
      <c r="B4">
        <v>167</v>
      </c>
    </row>
    <row r="5" spans="1:2" x14ac:dyDescent="0.25">
      <c r="A5" s="26" t="s">
        <v>8355</v>
      </c>
      <c r="B5">
        <v>4</v>
      </c>
    </row>
    <row r="6" spans="1:2" x14ac:dyDescent="0.25">
      <c r="A6" s="26" t="s">
        <v>9086</v>
      </c>
      <c r="B6">
        <v>154</v>
      </c>
    </row>
    <row r="7" spans="1:2" x14ac:dyDescent="0.25">
      <c r="A7" s="26" t="s">
        <v>9041</v>
      </c>
      <c r="B7">
        <v>1</v>
      </c>
    </row>
    <row r="8" spans="1:2" x14ac:dyDescent="0.25">
      <c r="A8" s="26" t="s">
        <v>9034</v>
      </c>
      <c r="B8">
        <v>5</v>
      </c>
    </row>
    <row r="9" spans="1:2" x14ac:dyDescent="0.25">
      <c r="A9" s="26" t="s">
        <v>10176</v>
      </c>
      <c r="B9">
        <v>2</v>
      </c>
    </row>
    <row r="10" spans="1:2" x14ac:dyDescent="0.25">
      <c r="A10" s="26" t="s">
        <v>9734</v>
      </c>
      <c r="B10">
        <v>1</v>
      </c>
    </row>
    <row r="11" spans="1:2" x14ac:dyDescent="0.25">
      <c r="A11" s="25" t="s">
        <v>9089</v>
      </c>
      <c r="B11">
        <v>40</v>
      </c>
    </row>
    <row r="12" spans="1:2" x14ac:dyDescent="0.25">
      <c r="A12" s="26" t="s">
        <v>8355</v>
      </c>
      <c r="B12">
        <v>1</v>
      </c>
    </row>
    <row r="13" spans="1:2" x14ac:dyDescent="0.25">
      <c r="A13" s="26" t="s">
        <v>8986</v>
      </c>
      <c r="B13">
        <v>20</v>
      </c>
    </row>
    <row r="14" spans="1:2" x14ac:dyDescent="0.25">
      <c r="A14" s="26" t="s">
        <v>9041</v>
      </c>
      <c r="B14">
        <v>1</v>
      </c>
    </row>
    <row r="15" spans="1:2" x14ac:dyDescent="0.25">
      <c r="A15" s="26" t="s">
        <v>9034</v>
      </c>
      <c r="B15">
        <v>16</v>
      </c>
    </row>
    <row r="16" spans="1:2" x14ac:dyDescent="0.25">
      <c r="A16" s="26" t="s">
        <v>10176</v>
      </c>
      <c r="B16">
        <v>1</v>
      </c>
    </row>
    <row r="17" spans="1:2" x14ac:dyDescent="0.25">
      <c r="A17" s="26" t="s">
        <v>9742</v>
      </c>
      <c r="B17">
        <v>1</v>
      </c>
    </row>
    <row r="18" spans="1:2" x14ac:dyDescent="0.25">
      <c r="A18" s="25" t="s">
        <v>9731</v>
      </c>
      <c r="B18">
        <v>3</v>
      </c>
    </row>
    <row r="19" spans="1:2" x14ac:dyDescent="0.25">
      <c r="A19" s="26" t="s">
        <v>9731</v>
      </c>
      <c r="B19">
        <v>2</v>
      </c>
    </row>
    <row r="20" spans="1:2" x14ac:dyDescent="0.25">
      <c r="A20" s="26" t="s">
        <v>10176</v>
      </c>
      <c r="B20">
        <v>1</v>
      </c>
    </row>
    <row r="21" spans="1:2" x14ac:dyDescent="0.25">
      <c r="A21" s="25" t="s">
        <v>9897</v>
      </c>
      <c r="B21">
        <v>18</v>
      </c>
    </row>
    <row r="22" spans="1:2" x14ac:dyDescent="0.25">
      <c r="A22" s="26" t="s">
        <v>8986</v>
      </c>
      <c r="B22">
        <v>4</v>
      </c>
    </row>
    <row r="23" spans="1:2" x14ac:dyDescent="0.25">
      <c r="A23" s="26" t="s">
        <v>9086</v>
      </c>
      <c r="B23">
        <v>1</v>
      </c>
    </row>
    <row r="24" spans="1:2" x14ac:dyDescent="0.25">
      <c r="A24" s="26" t="s">
        <v>9041</v>
      </c>
      <c r="B24">
        <v>11</v>
      </c>
    </row>
    <row r="25" spans="1:2" x14ac:dyDescent="0.25">
      <c r="A25" s="26" t="s">
        <v>9034</v>
      </c>
      <c r="B25">
        <v>1</v>
      </c>
    </row>
    <row r="26" spans="1:2" x14ac:dyDescent="0.25">
      <c r="A26" s="26" t="s">
        <v>10176</v>
      </c>
      <c r="B26">
        <v>1</v>
      </c>
    </row>
    <row r="27" spans="1:2" x14ac:dyDescent="0.25">
      <c r="A27" s="25" t="s">
        <v>9094</v>
      </c>
      <c r="B27">
        <v>228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D1EE9-44B4-4A8C-B1AE-C782DB2E53C1}">
  <dimension ref="A1:O191"/>
  <sheetViews>
    <sheetView zoomScaleNormal="100" workbookViewId="0">
      <pane xSplit="7" ySplit="1" topLeftCell="H2" activePane="bottomRight" state="frozen"/>
      <selection activeCell="F24" sqref="F24"/>
      <selection pane="topRight" activeCell="F24" sqref="F24"/>
      <selection pane="bottomLeft" activeCell="F24" sqref="F24"/>
      <selection pane="bottomRight" activeCell="D2" sqref="D2"/>
    </sheetView>
  </sheetViews>
  <sheetFormatPr defaultRowHeight="14.25" customHeight="1" x14ac:dyDescent="0.25"/>
  <cols>
    <col min="1" max="1" width="16.28515625" bestFit="1" customWidth="1"/>
    <col min="2" max="2" width="10.28515625" bestFit="1" customWidth="1"/>
    <col min="3" max="3" width="11.42578125" bestFit="1" customWidth="1"/>
    <col min="4" max="4" width="17.42578125" bestFit="1" customWidth="1"/>
    <col min="5" max="5" width="17.140625" bestFit="1" customWidth="1"/>
    <col min="6" max="6" width="20.28515625" bestFit="1" customWidth="1"/>
    <col min="7" max="7" width="82" bestFit="1" customWidth="1"/>
    <col min="8" max="8" width="44.28515625" bestFit="1" customWidth="1"/>
    <col min="9" max="10" width="76.42578125" customWidth="1"/>
    <col min="11" max="11" width="17" bestFit="1" customWidth="1"/>
    <col min="12" max="12" width="16.140625" bestFit="1" customWidth="1"/>
    <col min="13" max="13" width="16.85546875" bestFit="1" customWidth="1"/>
    <col min="14" max="14" width="20.42578125" bestFit="1" customWidth="1"/>
    <col min="15" max="15" width="10.7109375" bestFit="1" customWidth="1"/>
  </cols>
  <sheetData>
    <row r="1" spans="1:15" ht="14.25" customHeight="1" x14ac:dyDescent="0.25">
      <c r="A1" s="14" t="s">
        <v>7769</v>
      </c>
      <c r="B1" s="14" t="s">
        <v>8875</v>
      </c>
      <c r="C1" s="14" t="s">
        <v>8874</v>
      </c>
      <c r="D1" s="14" t="s">
        <v>8873</v>
      </c>
      <c r="E1" s="14" t="s">
        <v>8872</v>
      </c>
      <c r="F1" s="14" t="s">
        <v>8871</v>
      </c>
      <c r="G1" s="14" t="s">
        <v>8870</v>
      </c>
      <c r="H1" s="14" t="s">
        <v>8869</v>
      </c>
      <c r="I1" s="14" t="s">
        <v>8868</v>
      </c>
      <c r="J1" s="14" t="s">
        <v>8867</v>
      </c>
      <c r="K1" s="14" t="s">
        <v>8866</v>
      </c>
      <c r="L1" s="14" t="s">
        <v>8865</v>
      </c>
      <c r="M1" s="14" t="s">
        <v>8864</v>
      </c>
      <c r="N1" s="14" t="s">
        <v>8863</v>
      </c>
      <c r="O1" s="14" t="s">
        <v>8987</v>
      </c>
    </row>
    <row r="2" spans="1:15" ht="14.25" customHeight="1" x14ac:dyDescent="0.25">
      <c r="A2" s="18" t="s">
        <v>7774</v>
      </c>
      <c r="B2">
        <v>73881</v>
      </c>
      <c r="C2">
        <v>29794</v>
      </c>
      <c r="D2" t="s">
        <v>8348</v>
      </c>
      <c r="E2">
        <v>36275</v>
      </c>
      <c r="F2" t="s">
        <v>1912</v>
      </c>
      <c r="G2" t="s">
        <v>7937</v>
      </c>
      <c r="H2" t="s">
        <v>6508</v>
      </c>
      <c r="I2" s="19" t="s">
        <v>8822</v>
      </c>
      <c r="J2" s="19" t="s">
        <v>8821</v>
      </c>
      <c r="K2" s="18"/>
      <c r="M2" s="18" t="s">
        <v>8882</v>
      </c>
      <c r="N2" s="18"/>
      <c r="O2" t="str">
        <f>IF(ISERROR(VLOOKUP(A2,GamesTable[game_id],1,0)),"not found","found")</f>
        <v>found</v>
      </c>
    </row>
    <row r="3" spans="1:15" ht="14.25" customHeight="1" x14ac:dyDescent="0.25">
      <c r="A3" s="18" t="s">
        <v>7775</v>
      </c>
      <c r="B3">
        <v>73887</v>
      </c>
      <c r="C3">
        <v>29794</v>
      </c>
      <c r="D3" t="s">
        <v>8348</v>
      </c>
      <c r="E3">
        <v>36275</v>
      </c>
      <c r="F3" t="s">
        <v>1912</v>
      </c>
      <c r="G3" t="s">
        <v>8820</v>
      </c>
      <c r="H3" t="s">
        <v>6042</v>
      </c>
      <c r="I3" t="s">
        <v>8819</v>
      </c>
      <c r="J3" s="19" t="s">
        <v>8818</v>
      </c>
      <c r="K3" s="18"/>
      <c r="M3" s="18" t="s">
        <v>8977</v>
      </c>
      <c r="N3" s="18"/>
      <c r="O3" t="str">
        <f>IF(ISERROR(VLOOKUP(A3,GamesTable[game_id],1,0)),"not found","found")</f>
        <v>found</v>
      </c>
    </row>
    <row r="4" spans="1:15" ht="14.25" customHeight="1" x14ac:dyDescent="0.25">
      <c r="A4" s="22" t="s">
        <v>7889</v>
      </c>
      <c r="B4">
        <v>74020</v>
      </c>
      <c r="C4">
        <v>29794</v>
      </c>
      <c r="D4" t="s">
        <v>8348</v>
      </c>
      <c r="E4">
        <v>73888</v>
      </c>
      <c r="F4" t="s">
        <v>2929</v>
      </c>
      <c r="G4" t="s">
        <v>4946</v>
      </c>
      <c r="H4" t="s">
        <v>8817</v>
      </c>
      <c r="I4" s="19" t="s">
        <v>8816</v>
      </c>
      <c r="J4" s="19" t="s">
        <v>8815</v>
      </c>
      <c r="K4" s="18">
        <v>34335.041666666664</v>
      </c>
      <c r="M4" s="18"/>
      <c r="N4" s="18">
        <v>34335.041666666664</v>
      </c>
      <c r="O4" t="str">
        <f>IF(ISERROR(VLOOKUP(A4,GamesTable[game_id],1,0)),"not found","found")</f>
        <v>found</v>
      </c>
    </row>
    <row r="5" spans="1:15" ht="14.25" customHeight="1" x14ac:dyDescent="0.25">
      <c r="A5" s="18" t="s">
        <v>7890</v>
      </c>
      <c r="B5">
        <v>74021</v>
      </c>
      <c r="C5">
        <v>29794</v>
      </c>
      <c r="D5" t="s">
        <v>8348</v>
      </c>
      <c r="E5">
        <v>73888</v>
      </c>
      <c r="F5" t="s">
        <v>2929</v>
      </c>
      <c r="G5" t="s">
        <v>4014</v>
      </c>
      <c r="H5" t="s">
        <v>8814</v>
      </c>
      <c r="I5" s="19" t="s">
        <v>8813</v>
      </c>
      <c r="J5" t="s">
        <v>8812</v>
      </c>
      <c r="K5" s="18">
        <v>34700.041666666664</v>
      </c>
      <c r="M5" s="18"/>
      <c r="N5" s="18">
        <v>34700.041666666664</v>
      </c>
      <c r="O5" t="str">
        <f>IF(ISERROR(VLOOKUP(A5,GamesTable[game_id],1,0)),"not found","found")</f>
        <v>found</v>
      </c>
    </row>
    <row r="6" spans="1:15" ht="14.25" customHeight="1" x14ac:dyDescent="0.25">
      <c r="A6" s="18" t="s">
        <v>7778</v>
      </c>
      <c r="B6">
        <v>74043</v>
      </c>
      <c r="C6">
        <v>29794</v>
      </c>
      <c r="D6" t="s">
        <v>8348</v>
      </c>
      <c r="E6">
        <v>74042</v>
      </c>
      <c r="F6" t="s">
        <v>3770</v>
      </c>
      <c r="G6" t="s">
        <v>8811</v>
      </c>
      <c r="H6" t="s">
        <v>8810</v>
      </c>
      <c r="I6" s="19" t="s">
        <v>8809</v>
      </c>
      <c r="J6" t="s">
        <v>8808</v>
      </c>
      <c r="K6" s="18">
        <v>34341.083333333336</v>
      </c>
      <c r="M6" s="18">
        <v>34341.083333333336</v>
      </c>
      <c r="N6" s="18">
        <v>34341.083333333336</v>
      </c>
      <c r="O6" t="str">
        <f>IF(ISERROR(VLOOKUP(A6,GamesTable[game_id],1,0)),"not found","found")</f>
        <v>found</v>
      </c>
    </row>
    <row r="7" spans="1:15" ht="14.25" customHeight="1" x14ac:dyDescent="0.25">
      <c r="A7" s="18" t="s">
        <v>7776</v>
      </c>
      <c r="B7">
        <v>74141</v>
      </c>
      <c r="C7">
        <v>29794</v>
      </c>
      <c r="D7" t="s">
        <v>8348</v>
      </c>
      <c r="E7">
        <v>36275</v>
      </c>
      <c r="F7" t="s">
        <v>1912</v>
      </c>
      <c r="G7" t="s">
        <v>7938</v>
      </c>
      <c r="H7" t="s">
        <v>8807</v>
      </c>
      <c r="I7" s="19" t="s">
        <v>8806</v>
      </c>
      <c r="J7" s="19" t="s">
        <v>8805</v>
      </c>
      <c r="K7" s="18"/>
      <c r="M7" s="18" t="s">
        <v>8883</v>
      </c>
      <c r="N7" s="18"/>
      <c r="O7" t="str">
        <f>IF(ISERROR(VLOOKUP(A7,GamesTable[game_id],1,0)),"not found","found")</f>
        <v>found</v>
      </c>
    </row>
    <row r="8" spans="1:15" ht="14.25" customHeight="1" x14ac:dyDescent="0.25">
      <c r="A8" s="18" t="s">
        <v>7777</v>
      </c>
      <c r="B8">
        <v>29801</v>
      </c>
      <c r="C8">
        <v>29794</v>
      </c>
      <c r="D8" t="s">
        <v>8348</v>
      </c>
      <c r="E8">
        <v>74193</v>
      </c>
      <c r="F8" t="s">
        <v>1859</v>
      </c>
      <c r="G8" t="s">
        <v>8862</v>
      </c>
      <c r="H8" t="s">
        <v>5806</v>
      </c>
      <c r="I8" s="19" t="s">
        <v>8861</v>
      </c>
      <c r="J8" t="s">
        <v>8860</v>
      </c>
      <c r="K8" s="18"/>
      <c r="M8" s="18" t="s">
        <v>8876</v>
      </c>
      <c r="N8" s="18"/>
      <c r="O8" t="str">
        <f>IF(ISERROR(VLOOKUP(A8,GamesTable[game_id],1,0)),"not found","found")</f>
        <v>found</v>
      </c>
    </row>
    <row r="9" spans="1:15" ht="14.25" customHeight="1" x14ac:dyDescent="0.25">
      <c r="A9" s="18" t="s">
        <v>7779</v>
      </c>
      <c r="B9">
        <v>74315</v>
      </c>
      <c r="C9">
        <v>29794</v>
      </c>
      <c r="D9" t="s">
        <v>8348</v>
      </c>
      <c r="E9">
        <v>36275</v>
      </c>
      <c r="F9" t="s">
        <v>1912</v>
      </c>
      <c r="G9" t="s">
        <v>8804</v>
      </c>
      <c r="H9" t="s">
        <v>6010</v>
      </c>
      <c r="I9" t="s">
        <v>8803</v>
      </c>
      <c r="J9" s="19" t="s">
        <v>8802</v>
      </c>
      <c r="K9" s="18">
        <v>33604.041666666664</v>
      </c>
      <c r="M9" s="18" t="s">
        <v>8884</v>
      </c>
      <c r="N9" s="18">
        <v>33604.041666666664</v>
      </c>
      <c r="O9" t="str">
        <f>IF(ISERROR(VLOOKUP(A9,GamesTable[game_id],1,0)),"not found","found")</f>
        <v>found</v>
      </c>
    </row>
    <row r="10" spans="1:15" ht="14.25" customHeight="1" x14ac:dyDescent="0.25">
      <c r="A10" s="18" t="s">
        <v>7913</v>
      </c>
      <c r="B10">
        <v>74316</v>
      </c>
      <c r="C10">
        <v>29794</v>
      </c>
      <c r="D10" t="s">
        <v>8348</v>
      </c>
      <c r="E10">
        <v>36275</v>
      </c>
      <c r="F10" t="s">
        <v>1912</v>
      </c>
      <c r="G10" t="s">
        <v>7939</v>
      </c>
      <c r="H10" t="s">
        <v>8801</v>
      </c>
      <c r="I10" s="19" t="s">
        <v>8800</v>
      </c>
      <c r="J10" s="19" t="s">
        <v>8799</v>
      </c>
      <c r="K10" s="18">
        <v>34335.041666666664</v>
      </c>
      <c r="M10" s="18">
        <v>34395.041666666664</v>
      </c>
      <c r="N10" s="18">
        <v>34335.041666666664</v>
      </c>
      <c r="O10" t="str">
        <f>IF(ISERROR(VLOOKUP(A10,GamesTable[game_id],1,0)),"not found","found")</f>
        <v>found</v>
      </c>
    </row>
    <row r="11" spans="1:15" ht="14.25" customHeight="1" x14ac:dyDescent="0.25">
      <c r="A11" s="18" t="s">
        <v>7914</v>
      </c>
      <c r="B11">
        <v>29804</v>
      </c>
      <c r="C11">
        <v>29794</v>
      </c>
      <c r="D11" t="s">
        <v>8348</v>
      </c>
      <c r="E11">
        <v>36275</v>
      </c>
      <c r="F11" t="s">
        <v>1912</v>
      </c>
      <c r="G11" t="s">
        <v>4070</v>
      </c>
      <c r="H11" t="s">
        <v>8859</v>
      </c>
      <c r="I11" s="19" t="s">
        <v>8858</v>
      </c>
      <c r="J11" t="s">
        <v>8857</v>
      </c>
      <c r="K11" s="18">
        <v>35065.041666666664</v>
      </c>
      <c r="M11" s="18">
        <v>35402.041666666664</v>
      </c>
      <c r="N11" s="18">
        <v>35065.041666666664</v>
      </c>
      <c r="O11" t="str">
        <f>IF(ISERROR(VLOOKUP(A11,GamesTable[game_id],1,0)),"not found","found")</f>
        <v>found</v>
      </c>
    </row>
    <row r="12" spans="1:15" ht="14.25" customHeight="1" x14ac:dyDescent="0.25">
      <c r="A12" s="18" t="s">
        <v>7781</v>
      </c>
      <c r="B12">
        <v>74466</v>
      </c>
      <c r="C12">
        <v>29794</v>
      </c>
      <c r="D12" t="s">
        <v>8348</v>
      </c>
      <c r="E12">
        <v>74465</v>
      </c>
      <c r="F12" t="s">
        <v>6341</v>
      </c>
      <c r="G12" t="s">
        <v>8798</v>
      </c>
      <c r="H12" t="s">
        <v>8797</v>
      </c>
      <c r="J12" t="s">
        <v>8796</v>
      </c>
      <c r="K12" s="18"/>
      <c r="M12" s="18"/>
      <c r="N12" s="18"/>
      <c r="O12" t="str">
        <f>IF(ISERROR(VLOOKUP(A12,GamesTable[game_id],1,0)),"not found","found")</f>
        <v>found</v>
      </c>
    </row>
    <row r="13" spans="1:15" ht="14.25" customHeight="1" x14ac:dyDescent="0.25">
      <c r="A13" s="18" t="s">
        <v>7780</v>
      </c>
      <c r="B13">
        <v>74495</v>
      </c>
      <c r="C13">
        <v>29794</v>
      </c>
      <c r="D13" t="s">
        <v>8348</v>
      </c>
      <c r="E13">
        <v>74193</v>
      </c>
      <c r="F13" t="s">
        <v>1859</v>
      </c>
      <c r="G13" t="s">
        <v>2425</v>
      </c>
      <c r="J13" s="19" t="s">
        <v>8795</v>
      </c>
      <c r="K13" s="18"/>
      <c r="M13" s="18" t="s">
        <v>8885</v>
      </c>
      <c r="N13" s="18"/>
      <c r="O13" t="str">
        <f>IF(ISERROR(VLOOKUP(A13,GamesTable[game_id],1,0)),"not found","found")</f>
        <v>found</v>
      </c>
    </row>
    <row r="14" spans="1:15" ht="14.25" customHeight="1" x14ac:dyDescent="0.25">
      <c r="A14" s="18" t="s">
        <v>7782</v>
      </c>
      <c r="B14">
        <v>74496</v>
      </c>
      <c r="C14">
        <v>29794</v>
      </c>
      <c r="D14" t="s">
        <v>8348</v>
      </c>
      <c r="E14">
        <v>74193</v>
      </c>
      <c r="F14" t="s">
        <v>1859</v>
      </c>
      <c r="G14" t="s">
        <v>1860</v>
      </c>
      <c r="H14" t="s">
        <v>1853</v>
      </c>
      <c r="I14" s="19" t="s">
        <v>8794</v>
      </c>
      <c r="J14" t="s">
        <v>8793</v>
      </c>
      <c r="K14" s="18">
        <v>36526.041666666664</v>
      </c>
      <c r="M14" s="18"/>
      <c r="N14" s="18">
        <v>36526.041666666664</v>
      </c>
      <c r="O14" t="str">
        <f>IF(ISERROR(VLOOKUP(A14,GamesTable[game_id],1,0)),"not found","found")</f>
        <v>found</v>
      </c>
    </row>
    <row r="15" spans="1:15" ht="14.25" customHeight="1" x14ac:dyDescent="0.25">
      <c r="A15" s="18" t="s">
        <v>7915</v>
      </c>
      <c r="B15">
        <v>74515</v>
      </c>
      <c r="C15">
        <v>29794</v>
      </c>
      <c r="D15" t="s">
        <v>8348</v>
      </c>
      <c r="E15">
        <v>36275</v>
      </c>
      <c r="F15" t="s">
        <v>1912</v>
      </c>
      <c r="G15" t="s">
        <v>6119</v>
      </c>
      <c r="H15" t="s">
        <v>8792</v>
      </c>
      <c r="I15" t="s">
        <v>8791</v>
      </c>
      <c r="J15" t="s">
        <v>8790</v>
      </c>
      <c r="K15" s="18">
        <v>33604.041666666664</v>
      </c>
      <c r="M15" s="18" t="s">
        <v>8886</v>
      </c>
      <c r="N15" s="18">
        <v>33604.041666666664</v>
      </c>
      <c r="O15" t="str">
        <f>IF(ISERROR(VLOOKUP(A15,GamesTable[game_id],1,0)),"not found","found")</f>
        <v>found</v>
      </c>
    </row>
    <row r="16" spans="1:15" ht="14.25" customHeight="1" x14ac:dyDescent="0.25">
      <c r="A16" s="18" t="s">
        <v>7787</v>
      </c>
      <c r="B16">
        <v>74516</v>
      </c>
      <c r="C16">
        <v>29794</v>
      </c>
      <c r="D16" t="s">
        <v>8348</v>
      </c>
      <c r="E16">
        <v>36275</v>
      </c>
      <c r="F16" t="s">
        <v>1912</v>
      </c>
      <c r="G16" t="s">
        <v>7941</v>
      </c>
      <c r="H16" t="s">
        <v>8789</v>
      </c>
      <c r="I16" t="s">
        <v>8788</v>
      </c>
      <c r="J16" s="19" t="s">
        <v>8787</v>
      </c>
      <c r="K16" s="18">
        <v>32874.041666666664</v>
      </c>
      <c r="M16" s="18"/>
      <c r="N16" s="18" t="s">
        <v>8887</v>
      </c>
      <c r="O16" t="str">
        <f>IF(ISERROR(VLOOKUP(A16,GamesTable[game_id],1,0)),"not found","found")</f>
        <v>found</v>
      </c>
    </row>
    <row r="17" spans="1:15" ht="14.25" customHeight="1" x14ac:dyDescent="0.25">
      <c r="A17" s="18" t="s">
        <v>7803</v>
      </c>
      <c r="B17">
        <v>74550</v>
      </c>
      <c r="C17">
        <v>29794</v>
      </c>
      <c r="D17" t="s">
        <v>8348</v>
      </c>
      <c r="E17">
        <v>74193</v>
      </c>
      <c r="F17" t="s">
        <v>1859</v>
      </c>
      <c r="G17" t="s">
        <v>2478</v>
      </c>
      <c r="H17" t="s">
        <v>2469</v>
      </c>
      <c r="I17" t="s">
        <v>8786</v>
      </c>
      <c r="J17" t="s">
        <v>8785</v>
      </c>
      <c r="K17" s="18">
        <v>35796.041666666664</v>
      </c>
      <c r="M17" s="18">
        <v>36019.041666666664</v>
      </c>
      <c r="N17" s="18">
        <v>35796.041666666664</v>
      </c>
      <c r="O17" t="str">
        <f>IF(ISERROR(VLOOKUP(A17,GamesTable[game_id],1,0)),"not found","found")</f>
        <v>found</v>
      </c>
    </row>
    <row r="18" spans="1:15" ht="14.25" customHeight="1" x14ac:dyDescent="0.25">
      <c r="A18" s="18" t="s">
        <v>7784</v>
      </c>
      <c r="B18">
        <v>74800</v>
      </c>
      <c r="C18">
        <v>29794</v>
      </c>
      <c r="D18" t="s">
        <v>8348</v>
      </c>
      <c r="G18" t="s">
        <v>2855</v>
      </c>
      <c r="H18" t="s">
        <v>2845</v>
      </c>
      <c r="I18" s="19" t="s">
        <v>8784</v>
      </c>
      <c r="J18" s="19" t="s">
        <v>8783</v>
      </c>
      <c r="K18" s="18"/>
      <c r="M18" s="18" t="s">
        <v>8888</v>
      </c>
      <c r="N18" s="18"/>
      <c r="O18" t="str">
        <f>IF(ISERROR(VLOOKUP(A18,GamesTable[game_id],1,0)),"not found","found")</f>
        <v>found</v>
      </c>
    </row>
    <row r="19" spans="1:15" ht="14.25" customHeight="1" x14ac:dyDescent="0.25">
      <c r="A19" s="18" t="s">
        <v>7783</v>
      </c>
      <c r="B19">
        <v>74841</v>
      </c>
      <c r="C19">
        <v>29794</v>
      </c>
      <c r="D19" t="s">
        <v>8348</v>
      </c>
      <c r="E19">
        <v>74548</v>
      </c>
      <c r="F19" t="s">
        <v>5638</v>
      </c>
      <c r="G19" t="s">
        <v>7940</v>
      </c>
      <c r="H19" t="s">
        <v>6769</v>
      </c>
      <c r="I19" t="s">
        <v>8782</v>
      </c>
      <c r="J19" s="19" t="s">
        <v>8781</v>
      </c>
      <c r="K19" s="18"/>
      <c r="M19" s="18" t="s">
        <v>8889</v>
      </c>
      <c r="N19" s="18"/>
      <c r="O19" t="str">
        <f>IF(ISERROR(VLOOKUP(A19,GamesTable[game_id],1,0)),"not found","found")</f>
        <v>found</v>
      </c>
    </row>
    <row r="20" spans="1:15" ht="14.25" customHeight="1" x14ac:dyDescent="0.25">
      <c r="A20" s="18" t="s">
        <v>7785</v>
      </c>
      <c r="B20">
        <v>74943</v>
      </c>
      <c r="C20">
        <v>29794</v>
      </c>
      <c r="D20" t="s">
        <v>8348</v>
      </c>
      <c r="E20">
        <v>74193</v>
      </c>
      <c r="F20" t="s">
        <v>1859</v>
      </c>
      <c r="G20" t="s">
        <v>3149</v>
      </c>
      <c r="H20" t="s">
        <v>3143</v>
      </c>
      <c r="I20" s="19" t="s">
        <v>8780</v>
      </c>
      <c r="J20" t="s">
        <v>8779</v>
      </c>
      <c r="K20" s="18">
        <v>35065.041666666664</v>
      </c>
      <c r="M20" s="18"/>
      <c r="N20" s="18">
        <v>35065.041666666664</v>
      </c>
      <c r="O20" t="str">
        <f>IF(ISERROR(VLOOKUP(A20,GamesTable[game_id],1,0)),"not found","found")</f>
        <v>found</v>
      </c>
    </row>
    <row r="21" spans="1:15" ht="14.25" customHeight="1" x14ac:dyDescent="0.25">
      <c r="A21" s="18" t="s">
        <v>7786</v>
      </c>
      <c r="B21">
        <v>74944</v>
      </c>
      <c r="C21">
        <v>29794</v>
      </c>
      <c r="D21" t="s">
        <v>8348</v>
      </c>
      <c r="E21">
        <v>74193</v>
      </c>
      <c r="F21" t="s">
        <v>1859</v>
      </c>
      <c r="G21" t="s">
        <v>2558</v>
      </c>
      <c r="H21" t="s">
        <v>2552</v>
      </c>
      <c r="I21" t="s">
        <v>8778</v>
      </c>
      <c r="J21" s="19" t="s">
        <v>8777</v>
      </c>
      <c r="K21" s="18">
        <v>35796.041666666664</v>
      </c>
      <c r="M21" s="18"/>
      <c r="N21" s="18">
        <v>35796.041666666664</v>
      </c>
      <c r="O21" t="str">
        <f>IF(ISERROR(VLOOKUP(A21,GamesTable[game_id],1,0)),"not found","found")</f>
        <v>found</v>
      </c>
    </row>
    <row r="22" spans="1:15" ht="14.25" customHeight="1" x14ac:dyDescent="0.25">
      <c r="A22" s="18" t="s">
        <v>7788</v>
      </c>
      <c r="B22">
        <v>75011</v>
      </c>
      <c r="C22">
        <v>29794</v>
      </c>
      <c r="D22" t="s">
        <v>8348</v>
      </c>
      <c r="E22">
        <v>36275</v>
      </c>
      <c r="F22" t="s">
        <v>1912</v>
      </c>
      <c r="G22" t="s">
        <v>8776</v>
      </c>
      <c r="H22" t="s">
        <v>7098</v>
      </c>
      <c r="I22" t="s">
        <v>8775</v>
      </c>
      <c r="J22" t="s">
        <v>8774</v>
      </c>
      <c r="K22" s="18"/>
      <c r="M22" s="18" t="s">
        <v>8890</v>
      </c>
      <c r="N22" s="18"/>
      <c r="O22" t="str">
        <f>IF(ISERROR(VLOOKUP(A22,GamesTable[game_id],1,0)),"not found","found")</f>
        <v>found</v>
      </c>
    </row>
    <row r="23" spans="1:15" ht="14.25" customHeight="1" x14ac:dyDescent="0.25">
      <c r="A23" s="18" t="s">
        <v>7791</v>
      </c>
      <c r="B23">
        <v>75129</v>
      </c>
      <c r="C23">
        <v>29794</v>
      </c>
      <c r="D23" t="s">
        <v>8348</v>
      </c>
      <c r="E23">
        <v>74193</v>
      </c>
      <c r="F23" t="s">
        <v>1859</v>
      </c>
      <c r="G23" t="s">
        <v>2404</v>
      </c>
      <c r="H23" t="s">
        <v>2398</v>
      </c>
      <c r="I23" t="s">
        <v>8773</v>
      </c>
      <c r="J23" s="19" t="s">
        <v>8772</v>
      </c>
      <c r="K23" s="18"/>
      <c r="M23" s="18" t="s">
        <v>8891</v>
      </c>
      <c r="N23" s="18"/>
      <c r="O23" t="str">
        <f>IF(ISERROR(VLOOKUP(A23,GamesTable[game_id],1,0)),"not found","found")</f>
        <v>found</v>
      </c>
    </row>
    <row r="24" spans="1:15" ht="14.25" customHeight="1" x14ac:dyDescent="0.25">
      <c r="A24" s="18" t="s">
        <v>7841</v>
      </c>
      <c r="B24">
        <v>75307</v>
      </c>
      <c r="C24">
        <v>29794</v>
      </c>
      <c r="D24" t="s">
        <v>8348</v>
      </c>
      <c r="E24">
        <v>75306</v>
      </c>
      <c r="F24" t="s">
        <v>3882</v>
      </c>
      <c r="G24" t="s">
        <v>8771</v>
      </c>
      <c r="H24" t="s">
        <v>3873</v>
      </c>
      <c r="J24" t="s">
        <v>8770</v>
      </c>
      <c r="K24" s="18"/>
      <c r="M24" s="18" t="s">
        <v>8892</v>
      </c>
      <c r="N24" s="18"/>
      <c r="O24" t="str">
        <f>IF(ISERROR(VLOOKUP(A24,GamesTable[game_id],1,0)),"not found","found")</f>
        <v>found</v>
      </c>
    </row>
    <row r="25" spans="1:15" ht="14.25" customHeight="1" x14ac:dyDescent="0.25">
      <c r="A25" s="18" t="s">
        <v>7813</v>
      </c>
      <c r="B25">
        <v>29835</v>
      </c>
      <c r="C25">
        <v>29794</v>
      </c>
      <c r="D25" t="s">
        <v>8348</v>
      </c>
      <c r="E25">
        <v>73839</v>
      </c>
      <c r="F25" t="s">
        <v>194</v>
      </c>
      <c r="G25" t="s">
        <v>8839</v>
      </c>
      <c r="H25" t="s">
        <v>8838</v>
      </c>
      <c r="I25" s="19" t="s">
        <v>8837</v>
      </c>
      <c r="J25" s="19" t="s">
        <v>8836</v>
      </c>
      <c r="K25" s="18">
        <v>35065.041666666664</v>
      </c>
      <c r="M25" s="18"/>
      <c r="N25" s="18">
        <v>35065.041666666664</v>
      </c>
      <c r="O25" t="str">
        <f>IF(ISERROR(VLOOKUP(A25,GamesTable[game_id],1,0)),"not found","found")</f>
        <v>found</v>
      </c>
    </row>
    <row r="26" spans="1:15" ht="14.25" customHeight="1" x14ac:dyDescent="0.25">
      <c r="A26" s="18" t="s">
        <v>7790</v>
      </c>
      <c r="B26">
        <v>75570</v>
      </c>
      <c r="C26">
        <v>29794</v>
      </c>
      <c r="D26" t="s">
        <v>8348</v>
      </c>
      <c r="E26">
        <v>74548</v>
      </c>
      <c r="F26" t="s">
        <v>5638</v>
      </c>
      <c r="G26" t="s">
        <v>8769</v>
      </c>
      <c r="H26" t="s">
        <v>8768</v>
      </c>
      <c r="I26" s="19" t="s">
        <v>8767</v>
      </c>
      <c r="J26" t="s">
        <v>8766</v>
      </c>
      <c r="K26" s="18"/>
      <c r="M26" s="18" t="s">
        <v>8893</v>
      </c>
      <c r="N26" s="18"/>
      <c r="O26" t="str">
        <f>IF(ISERROR(VLOOKUP(A26,GamesTable[game_id],1,0)),"not found","found")</f>
        <v>found</v>
      </c>
    </row>
    <row r="27" spans="1:15" ht="14.25" customHeight="1" x14ac:dyDescent="0.25">
      <c r="A27" t="s">
        <v>7789</v>
      </c>
      <c r="B27">
        <v>29815</v>
      </c>
      <c r="C27">
        <v>29794</v>
      </c>
      <c r="D27" t="s">
        <v>8348</v>
      </c>
      <c r="E27">
        <v>73839</v>
      </c>
      <c r="F27" t="s">
        <v>194</v>
      </c>
      <c r="G27" t="s">
        <v>8856</v>
      </c>
      <c r="H27" t="s">
        <v>8855</v>
      </c>
      <c r="I27" t="s">
        <v>8854</v>
      </c>
      <c r="J27" t="s">
        <v>8853</v>
      </c>
      <c r="K27" s="18">
        <v>34700.041666666664</v>
      </c>
      <c r="M27" s="18"/>
      <c r="N27" s="18">
        <v>35065.041666666664</v>
      </c>
      <c r="O27" t="str">
        <f>IF(ISERROR(VLOOKUP(A27,GamesTable[game_id],1,0)),"not found","found")</f>
        <v>found</v>
      </c>
    </row>
    <row r="28" spans="1:15" ht="14.25" customHeight="1" x14ac:dyDescent="0.25">
      <c r="A28" s="20" t="s">
        <v>8980</v>
      </c>
      <c r="B28">
        <v>29816</v>
      </c>
      <c r="C28">
        <v>29794</v>
      </c>
      <c r="D28" t="s">
        <v>8348</v>
      </c>
      <c r="G28" t="s">
        <v>8852</v>
      </c>
      <c r="K28" s="18">
        <v>41640.041666666664</v>
      </c>
      <c r="M28" s="18"/>
      <c r="N28" s="18"/>
      <c r="O28" t="str">
        <f>IF(ISERROR(VLOOKUP(A28,GamesTable[game_id],1,0)),"not found","found")</f>
        <v>found</v>
      </c>
    </row>
    <row r="29" spans="1:15" ht="14.25" customHeight="1" x14ac:dyDescent="0.25">
      <c r="A29" t="s">
        <v>7822</v>
      </c>
      <c r="B29">
        <v>75573</v>
      </c>
      <c r="C29">
        <v>29794</v>
      </c>
      <c r="D29" t="s">
        <v>8348</v>
      </c>
      <c r="E29">
        <v>73839</v>
      </c>
      <c r="F29" t="s">
        <v>194</v>
      </c>
      <c r="G29" t="s">
        <v>8765</v>
      </c>
      <c r="J29" s="19" t="s">
        <v>8764</v>
      </c>
      <c r="K29" s="18"/>
      <c r="M29" s="18"/>
      <c r="N29" s="18">
        <v>37622.041666666664</v>
      </c>
      <c r="O29" t="str">
        <f>IF(ISERROR(VLOOKUP(A29,GamesTable[game_id],1,0)),"not found","found")</f>
        <v>found</v>
      </c>
    </row>
    <row r="30" spans="1:15" ht="14.25" customHeight="1" x14ac:dyDescent="0.25">
      <c r="A30" t="s">
        <v>7822</v>
      </c>
      <c r="B30">
        <v>75574</v>
      </c>
      <c r="C30">
        <v>29794</v>
      </c>
      <c r="D30" t="s">
        <v>8348</v>
      </c>
      <c r="E30">
        <v>73839</v>
      </c>
      <c r="F30" t="s">
        <v>194</v>
      </c>
      <c r="G30" t="s">
        <v>8763</v>
      </c>
      <c r="K30" s="18"/>
      <c r="M30" s="18"/>
      <c r="N30" s="18">
        <v>37622.041666666664</v>
      </c>
      <c r="O30" t="str">
        <f>IF(ISERROR(VLOOKUP(A30,GamesTable[game_id],1,0)),"not found","found")</f>
        <v>found</v>
      </c>
    </row>
    <row r="31" spans="1:15" ht="14.25" customHeight="1" x14ac:dyDescent="0.25">
      <c r="A31" t="s">
        <v>7822</v>
      </c>
      <c r="B31">
        <v>75575</v>
      </c>
      <c r="C31">
        <v>29794</v>
      </c>
      <c r="D31" t="s">
        <v>8348</v>
      </c>
      <c r="E31">
        <v>73839</v>
      </c>
      <c r="F31" t="s">
        <v>194</v>
      </c>
      <c r="G31" t="s">
        <v>8762</v>
      </c>
      <c r="K31" s="18"/>
      <c r="M31" s="18"/>
      <c r="N31" s="18">
        <v>37622.041666666664</v>
      </c>
      <c r="O31" t="str">
        <f>IF(ISERROR(VLOOKUP(A31,GamesTable[game_id],1,0)),"not found","found")</f>
        <v>found</v>
      </c>
    </row>
    <row r="32" spans="1:15" ht="14.25" customHeight="1" x14ac:dyDescent="0.25">
      <c r="A32" s="18" t="s">
        <v>7792</v>
      </c>
      <c r="B32">
        <v>75628</v>
      </c>
      <c r="C32">
        <v>29794</v>
      </c>
      <c r="D32" t="s">
        <v>8348</v>
      </c>
      <c r="E32">
        <v>36275</v>
      </c>
      <c r="F32" t="s">
        <v>1912</v>
      </c>
      <c r="G32" t="s">
        <v>8018</v>
      </c>
      <c r="H32" t="s">
        <v>7296</v>
      </c>
      <c r="I32" t="s">
        <v>8761</v>
      </c>
      <c r="J32" t="s">
        <v>8760</v>
      </c>
      <c r="K32" s="18"/>
      <c r="M32" s="18">
        <v>33065.041666666664</v>
      </c>
      <c r="N32" s="18"/>
      <c r="O32" t="str">
        <f>IF(ISERROR(VLOOKUP(A32,GamesTable[game_id],1,0)),"not found","found")</f>
        <v>found</v>
      </c>
    </row>
    <row r="33" spans="1:15" ht="14.25" customHeight="1" x14ac:dyDescent="0.25">
      <c r="A33" s="18" t="s">
        <v>7793</v>
      </c>
      <c r="B33">
        <v>75871</v>
      </c>
      <c r="C33">
        <v>29794</v>
      </c>
      <c r="D33" t="s">
        <v>8348</v>
      </c>
      <c r="E33">
        <v>75870</v>
      </c>
      <c r="F33" t="s">
        <v>112</v>
      </c>
      <c r="G33" t="s">
        <v>8759</v>
      </c>
      <c r="J33" s="19" t="s">
        <v>8758</v>
      </c>
      <c r="K33" s="18"/>
      <c r="M33" s="18"/>
      <c r="N33" s="18">
        <v>36526.041666666664</v>
      </c>
      <c r="O33" t="str">
        <f>IF(ISERROR(VLOOKUP(A33,GamesTable[game_id],1,0)),"not found","found")</f>
        <v>found</v>
      </c>
    </row>
    <row r="34" spans="1:15" ht="14.25" customHeight="1" x14ac:dyDescent="0.25">
      <c r="A34" s="18" t="s">
        <v>7794</v>
      </c>
      <c r="B34">
        <v>29818</v>
      </c>
      <c r="C34">
        <v>29794</v>
      </c>
      <c r="D34" t="s">
        <v>8348</v>
      </c>
      <c r="G34" t="s">
        <v>8851</v>
      </c>
      <c r="H34" t="s">
        <v>4685</v>
      </c>
      <c r="I34" s="19" t="s">
        <v>8850</v>
      </c>
      <c r="J34" s="19" t="s">
        <v>8849</v>
      </c>
      <c r="K34" s="18">
        <v>34700.041666666664</v>
      </c>
      <c r="M34" s="18">
        <v>34761.041666666664</v>
      </c>
      <c r="N34" s="18"/>
      <c r="O34" t="str">
        <f>IF(ISERROR(VLOOKUP(A34,GamesTable[game_id],1,0)),"not found","found")</f>
        <v>found</v>
      </c>
    </row>
    <row r="35" spans="1:15" ht="14.25" customHeight="1" x14ac:dyDescent="0.25">
      <c r="A35" s="18" t="s">
        <v>7795</v>
      </c>
      <c r="B35">
        <v>29819</v>
      </c>
      <c r="C35">
        <v>29794</v>
      </c>
      <c r="D35" t="s">
        <v>8348</v>
      </c>
      <c r="E35">
        <v>76027</v>
      </c>
      <c r="F35" t="s">
        <v>1302</v>
      </c>
      <c r="G35" t="s">
        <v>8848</v>
      </c>
      <c r="H35" t="s">
        <v>8848</v>
      </c>
      <c r="I35" s="19" t="s">
        <v>8847</v>
      </c>
      <c r="J35" s="19" t="s">
        <v>8846</v>
      </c>
      <c r="K35" s="18"/>
      <c r="M35" s="18"/>
      <c r="N35" s="18">
        <v>35431.041666666664</v>
      </c>
      <c r="O35" t="str">
        <f>IF(ISERROR(VLOOKUP(A35,GamesTable[game_id],1,0)),"not found","found")</f>
        <v>found</v>
      </c>
    </row>
    <row r="36" spans="1:15" ht="14.25" customHeight="1" x14ac:dyDescent="0.25">
      <c r="A36" s="18" t="s">
        <v>7796</v>
      </c>
      <c r="B36">
        <v>76163</v>
      </c>
      <c r="C36">
        <v>29794</v>
      </c>
      <c r="D36" t="s">
        <v>8348</v>
      </c>
      <c r="E36">
        <v>36275</v>
      </c>
      <c r="F36" t="s">
        <v>1912</v>
      </c>
      <c r="G36" t="s">
        <v>8757</v>
      </c>
      <c r="H36" t="s">
        <v>8756</v>
      </c>
      <c r="I36" t="s">
        <v>8755</v>
      </c>
      <c r="J36" s="19" t="s">
        <v>8754</v>
      </c>
      <c r="K36" s="18">
        <v>33239.041666666664</v>
      </c>
      <c r="M36" s="18"/>
      <c r="N36" s="18">
        <v>33239.041666666664</v>
      </c>
      <c r="O36" t="str">
        <f>IF(ISERROR(VLOOKUP(A36,GamesTable[game_id],1,0)),"not found","found")</f>
        <v>found</v>
      </c>
    </row>
    <row r="37" spans="1:15" ht="14.25" customHeight="1" x14ac:dyDescent="0.25">
      <c r="A37" s="18" t="s">
        <v>7818</v>
      </c>
      <c r="B37">
        <v>76300</v>
      </c>
      <c r="C37">
        <v>29794</v>
      </c>
      <c r="D37" t="s">
        <v>8348</v>
      </c>
      <c r="E37">
        <v>74107</v>
      </c>
      <c r="F37" t="s">
        <v>4214</v>
      </c>
      <c r="G37" t="s">
        <v>4253</v>
      </c>
      <c r="H37" t="s">
        <v>4247</v>
      </c>
      <c r="I37" t="s">
        <v>8753</v>
      </c>
      <c r="J37" s="19" t="s">
        <v>8752</v>
      </c>
      <c r="K37" s="18"/>
      <c r="M37" s="18" t="s">
        <v>8894</v>
      </c>
      <c r="N37" s="18"/>
      <c r="O37" t="str">
        <f>IF(ISERROR(VLOOKUP(A37,GamesTable[game_id],1,0)),"not found","found")</f>
        <v>found</v>
      </c>
    </row>
    <row r="38" spans="1:15" ht="14.25" customHeight="1" x14ac:dyDescent="0.25">
      <c r="A38" s="18" t="s">
        <v>7798</v>
      </c>
      <c r="B38">
        <v>76316</v>
      </c>
      <c r="C38">
        <v>29794</v>
      </c>
      <c r="D38" t="s">
        <v>8348</v>
      </c>
      <c r="E38">
        <v>36275</v>
      </c>
      <c r="F38" t="s">
        <v>1912</v>
      </c>
      <c r="G38" t="s">
        <v>8751</v>
      </c>
      <c r="H38" t="s">
        <v>8750</v>
      </c>
      <c r="I38" t="s">
        <v>8749</v>
      </c>
      <c r="J38" s="19" t="s">
        <v>8748</v>
      </c>
      <c r="K38" s="18"/>
      <c r="M38" s="18" t="s">
        <v>8895</v>
      </c>
      <c r="N38" s="18"/>
      <c r="O38" t="str">
        <f>IF(ISERROR(VLOOKUP(A38,GamesTable[game_id],1,0)),"not found","found")</f>
        <v>found</v>
      </c>
    </row>
    <row r="39" spans="1:15" ht="14.25" customHeight="1" x14ac:dyDescent="0.25">
      <c r="A39" s="18" t="s">
        <v>7799</v>
      </c>
      <c r="B39">
        <v>76317</v>
      </c>
      <c r="C39">
        <v>29794</v>
      </c>
      <c r="D39" t="s">
        <v>8348</v>
      </c>
      <c r="E39">
        <v>36275</v>
      </c>
      <c r="F39" t="s">
        <v>1912</v>
      </c>
      <c r="G39" t="s">
        <v>8747</v>
      </c>
      <c r="H39" t="s">
        <v>8746</v>
      </c>
      <c r="I39" t="s">
        <v>8745</v>
      </c>
      <c r="J39" s="19" t="s">
        <v>8744</v>
      </c>
      <c r="K39" s="18"/>
      <c r="M39" s="18">
        <v>33889.041666666664</v>
      </c>
      <c r="N39" s="18"/>
      <c r="O39" t="str">
        <f>IF(ISERROR(VLOOKUP(A39,GamesTable[game_id],1,0)),"not found","found")</f>
        <v>found</v>
      </c>
    </row>
    <row r="40" spans="1:15" ht="14.25" customHeight="1" x14ac:dyDescent="0.25">
      <c r="A40" s="18" t="s">
        <v>7800</v>
      </c>
      <c r="B40">
        <v>76318</v>
      </c>
      <c r="C40">
        <v>29794</v>
      </c>
      <c r="D40" t="s">
        <v>8348</v>
      </c>
      <c r="E40">
        <v>36275</v>
      </c>
      <c r="F40" t="s">
        <v>1912</v>
      </c>
      <c r="G40" t="s">
        <v>8743</v>
      </c>
      <c r="H40" t="s">
        <v>8742</v>
      </c>
      <c r="I40" s="19" t="s">
        <v>8741</v>
      </c>
      <c r="J40" s="19" t="s">
        <v>8740</v>
      </c>
      <c r="K40" s="18"/>
      <c r="M40" s="18" t="s">
        <v>8896</v>
      </c>
      <c r="N40" s="18"/>
      <c r="O40" t="str">
        <f>IF(ISERROR(VLOOKUP(A40,GamesTable[game_id],1,0)),"not found","found")</f>
        <v>found</v>
      </c>
    </row>
    <row r="41" spans="1:15" ht="14.25" customHeight="1" x14ac:dyDescent="0.25">
      <c r="A41" s="18" t="s">
        <v>7797</v>
      </c>
      <c r="B41">
        <v>76319</v>
      </c>
      <c r="C41">
        <v>29794</v>
      </c>
      <c r="D41" t="s">
        <v>8348</v>
      </c>
      <c r="E41">
        <v>36275</v>
      </c>
      <c r="F41" t="s">
        <v>1912</v>
      </c>
      <c r="G41" t="s">
        <v>8739</v>
      </c>
      <c r="H41" t="s">
        <v>5447</v>
      </c>
      <c r="I41" t="s">
        <v>8738</v>
      </c>
      <c r="J41" s="19" t="s">
        <v>8737</v>
      </c>
      <c r="K41" s="18"/>
      <c r="M41" s="18" t="s">
        <v>8897</v>
      </c>
      <c r="N41" s="18"/>
      <c r="O41" t="str">
        <f>IF(ISERROR(VLOOKUP(A41,GamesTable[game_id],1,0)),"not found","found")</f>
        <v>found</v>
      </c>
    </row>
    <row r="42" spans="1:15" ht="14.25" customHeight="1" x14ac:dyDescent="0.25">
      <c r="A42" s="18" t="s">
        <v>7802</v>
      </c>
      <c r="B42">
        <v>76339</v>
      </c>
      <c r="C42">
        <v>29794</v>
      </c>
      <c r="D42" t="s">
        <v>8348</v>
      </c>
      <c r="E42">
        <v>76338</v>
      </c>
      <c r="F42" t="s">
        <v>5384</v>
      </c>
      <c r="G42" t="s">
        <v>8736</v>
      </c>
      <c r="H42" t="s">
        <v>5374</v>
      </c>
      <c r="I42" s="19" t="s">
        <v>8735</v>
      </c>
      <c r="J42" s="19" t="s">
        <v>8734</v>
      </c>
      <c r="K42" s="18"/>
      <c r="M42" s="18" t="s">
        <v>8898</v>
      </c>
      <c r="N42" s="18"/>
      <c r="O42" t="str">
        <f>IF(ISERROR(VLOOKUP(A42,GamesTable[game_id],1,0)),"not found","found")</f>
        <v>found</v>
      </c>
    </row>
    <row r="43" spans="1:15" ht="14.25" customHeight="1" x14ac:dyDescent="0.25">
      <c r="A43" s="18" t="s">
        <v>7801</v>
      </c>
      <c r="B43">
        <v>29827</v>
      </c>
      <c r="C43">
        <v>29794</v>
      </c>
      <c r="D43" t="s">
        <v>8348</v>
      </c>
      <c r="E43">
        <v>36275</v>
      </c>
      <c r="F43" t="s">
        <v>1912</v>
      </c>
      <c r="G43" t="s">
        <v>8845</v>
      </c>
      <c r="H43" t="s">
        <v>6365</v>
      </c>
      <c r="I43" t="s">
        <v>8844</v>
      </c>
      <c r="J43" t="s">
        <v>8843</v>
      </c>
      <c r="K43" s="18">
        <v>33604.041666666664</v>
      </c>
      <c r="M43" s="18"/>
      <c r="N43" s="18">
        <v>33604.041666666664</v>
      </c>
      <c r="O43" t="str">
        <f>IF(ISERROR(VLOOKUP(A43,GamesTable[game_id],1,0)),"not found","found")</f>
        <v>found</v>
      </c>
    </row>
    <row r="44" spans="1:15" ht="14.25" customHeight="1" x14ac:dyDescent="0.25">
      <c r="A44" s="18" t="s">
        <v>7805</v>
      </c>
      <c r="B44">
        <v>76588</v>
      </c>
      <c r="C44">
        <v>29794</v>
      </c>
      <c r="D44" t="s">
        <v>8348</v>
      </c>
      <c r="E44">
        <v>74334</v>
      </c>
      <c r="F44" t="s">
        <v>3242</v>
      </c>
      <c r="G44" t="s">
        <v>4878</v>
      </c>
      <c r="H44" t="s">
        <v>8733</v>
      </c>
      <c r="I44" s="19" t="s">
        <v>8732</v>
      </c>
      <c r="J44" s="19" t="s">
        <v>8731</v>
      </c>
      <c r="K44" s="18"/>
      <c r="M44" s="18" t="s">
        <v>8899</v>
      </c>
      <c r="N44" s="18"/>
      <c r="O44" t="str">
        <f>IF(ISERROR(VLOOKUP(A44,GamesTable[game_id],1,0)),"not found","found")</f>
        <v>found</v>
      </c>
    </row>
    <row r="45" spans="1:15" ht="14.25" customHeight="1" x14ac:dyDescent="0.25">
      <c r="A45" s="18" t="s">
        <v>7806</v>
      </c>
      <c r="B45">
        <v>76681</v>
      </c>
      <c r="C45">
        <v>29794</v>
      </c>
      <c r="D45" t="s">
        <v>8348</v>
      </c>
      <c r="E45">
        <v>74193</v>
      </c>
      <c r="F45" t="s">
        <v>1859</v>
      </c>
      <c r="G45" t="s">
        <v>2200</v>
      </c>
      <c r="H45" t="s">
        <v>2194</v>
      </c>
      <c r="I45" t="s">
        <v>8730</v>
      </c>
      <c r="J45" t="s">
        <v>8729</v>
      </c>
      <c r="K45" s="18">
        <v>36161.041666666664</v>
      </c>
      <c r="M45" s="18"/>
      <c r="N45" s="18">
        <v>36161.041666666664</v>
      </c>
      <c r="O45" t="str">
        <f>IF(ISERROR(VLOOKUP(A45,GamesTable[game_id],1,0)),"not found","found")</f>
        <v>found</v>
      </c>
    </row>
    <row r="46" spans="1:15" ht="14.25" customHeight="1" x14ac:dyDescent="0.25">
      <c r="A46" s="18" t="s">
        <v>7807</v>
      </c>
      <c r="B46">
        <v>76686</v>
      </c>
      <c r="C46">
        <v>29794</v>
      </c>
      <c r="D46" t="s">
        <v>8348</v>
      </c>
      <c r="E46">
        <v>73839</v>
      </c>
      <c r="F46" t="s">
        <v>194</v>
      </c>
      <c r="G46" t="s">
        <v>8728</v>
      </c>
      <c r="H46" t="s">
        <v>8727</v>
      </c>
      <c r="I46" t="s">
        <v>8726</v>
      </c>
      <c r="J46" s="19" t="s">
        <v>8725</v>
      </c>
      <c r="K46" s="18"/>
      <c r="M46" s="18" t="s">
        <v>8900</v>
      </c>
      <c r="N46" s="18"/>
      <c r="O46" t="str">
        <f>IF(ISERROR(VLOOKUP(A46,GamesTable[game_id],1,0)),"not found","found")</f>
        <v>found</v>
      </c>
    </row>
    <row r="47" spans="1:15" ht="14.25" customHeight="1" x14ac:dyDescent="0.25">
      <c r="A47" s="18" t="s">
        <v>7811</v>
      </c>
      <c r="B47">
        <v>76728</v>
      </c>
      <c r="C47">
        <v>29794</v>
      </c>
      <c r="D47" t="s">
        <v>8348</v>
      </c>
      <c r="E47">
        <v>36275</v>
      </c>
      <c r="F47" t="s">
        <v>1912</v>
      </c>
      <c r="G47" t="s">
        <v>8724</v>
      </c>
      <c r="H47" t="s">
        <v>6890</v>
      </c>
      <c r="I47" s="19" t="s">
        <v>8723</v>
      </c>
      <c r="J47" t="s">
        <v>8722</v>
      </c>
      <c r="K47" s="18"/>
      <c r="M47" s="18" t="s">
        <v>8901</v>
      </c>
      <c r="N47" s="18"/>
      <c r="O47" t="str">
        <f>IF(ISERROR(VLOOKUP(A47,GamesTable[game_id],1,0)),"not found","found")</f>
        <v>found</v>
      </c>
    </row>
    <row r="48" spans="1:15" ht="14.25" customHeight="1" x14ac:dyDescent="0.25">
      <c r="A48" s="18" t="s">
        <v>7808</v>
      </c>
      <c r="B48">
        <v>29832</v>
      </c>
      <c r="C48">
        <v>29794</v>
      </c>
      <c r="D48" t="s">
        <v>8348</v>
      </c>
      <c r="E48">
        <v>73855</v>
      </c>
      <c r="F48" t="s">
        <v>8481</v>
      </c>
      <c r="G48" t="s">
        <v>8842</v>
      </c>
      <c r="H48" t="s">
        <v>8842</v>
      </c>
      <c r="I48" s="19" t="s">
        <v>8841</v>
      </c>
      <c r="J48" t="s">
        <v>8840</v>
      </c>
      <c r="K48" s="18">
        <v>35065.041666666664</v>
      </c>
      <c r="M48" s="18"/>
      <c r="N48" s="18">
        <v>35065.041666666664</v>
      </c>
      <c r="O48" t="str">
        <f>IF(ISERROR(VLOOKUP(A48,GamesTable[game_id],1,0)),"not found","found")</f>
        <v>found</v>
      </c>
    </row>
    <row r="49" spans="1:15" ht="14.25" customHeight="1" x14ac:dyDescent="0.25">
      <c r="A49" s="18" t="s">
        <v>7809</v>
      </c>
      <c r="B49">
        <v>76777</v>
      </c>
      <c r="C49">
        <v>29794</v>
      </c>
      <c r="D49" t="s">
        <v>8348</v>
      </c>
      <c r="E49">
        <v>74193</v>
      </c>
      <c r="F49" t="s">
        <v>1859</v>
      </c>
      <c r="G49" t="s">
        <v>3799</v>
      </c>
      <c r="H49" t="s">
        <v>3794</v>
      </c>
      <c r="I49" t="s">
        <v>8721</v>
      </c>
      <c r="J49" t="s">
        <v>8720</v>
      </c>
      <c r="K49" s="18">
        <v>34700.041666666664</v>
      </c>
      <c r="M49" s="18"/>
      <c r="N49" s="18">
        <v>34700.041666666664</v>
      </c>
      <c r="O49" t="str">
        <f>IF(ISERROR(VLOOKUP(A49,GamesTable[game_id],1,0)),"not found","found")</f>
        <v>found</v>
      </c>
    </row>
    <row r="50" spans="1:15" ht="14.25" customHeight="1" x14ac:dyDescent="0.25">
      <c r="A50" s="18" t="s">
        <v>7812</v>
      </c>
      <c r="B50">
        <v>77006</v>
      </c>
      <c r="C50">
        <v>29794</v>
      </c>
      <c r="D50" t="s">
        <v>8348</v>
      </c>
      <c r="E50">
        <v>76027</v>
      </c>
      <c r="F50" t="s">
        <v>1302</v>
      </c>
      <c r="G50" t="s">
        <v>5108</v>
      </c>
      <c r="H50" t="s">
        <v>5099</v>
      </c>
      <c r="I50" t="s">
        <v>8719</v>
      </c>
      <c r="J50" s="19" t="s">
        <v>8718</v>
      </c>
      <c r="K50" s="18">
        <v>34335.041666666664</v>
      </c>
      <c r="M50" s="18" t="s">
        <v>8902</v>
      </c>
      <c r="N50" s="18">
        <v>34335.041666666664</v>
      </c>
      <c r="O50" t="str">
        <f>IF(ISERROR(VLOOKUP(A50,GamesTable[game_id],1,0)),"not found","found")</f>
        <v>found</v>
      </c>
    </row>
    <row r="51" spans="1:15" ht="14.25" customHeight="1" x14ac:dyDescent="0.25">
      <c r="A51" s="20" t="s">
        <v>7804</v>
      </c>
      <c r="B51">
        <v>77259</v>
      </c>
      <c r="C51">
        <v>29794</v>
      </c>
      <c r="D51" t="s">
        <v>8348</v>
      </c>
      <c r="E51">
        <v>73839</v>
      </c>
      <c r="F51" t="s">
        <v>194</v>
      </c>
      <c r="G51" t="s">
        <v>8717</v>
      </c>
      <c r="H51" t="s">
        <v>8716</v>
      </c>
      <c r="I51" t="s">
        <v>8715</v>
      </c>
      <c r="K51" s="18"/>
      <c r="M51" s="18"/>
      <c r="N51" s="18">
        <v>34700.041666666664</v>
      </c>
      <c r="O51" t="str">
        <f>IF(ISERROR(VLOOKUP(A51,GamesTable[game_id],1,0)),"not found","found")</f>
        <v>found</v>
      </c>
    </row>
    <row r="52" spans="1:15" ht="14.25" customHeight="1" x14ac:dyDescent="0.25">
      <c r="A52" s="18" t="s">
        <v>7816</v>
      </c>
      <c r="B52">
        <v>77431</v>
      </c>
      <c r="C52">
        <v>29794</v>
      </c>
      <c r="D52" t="s">
        <v>8348</v>
      </c>
      <c r="E52">
        <v>77430</v>
      </c>
      <c r="F52" t="s">
        <v>8714</v>
      </c>
      <c r="G52" t="s">
        <v>8713</v>
      </c>
      <c r="H52" t="s">
        <v>8713</v>
      </c>
      <c r="J52" t="s">
        <v>8712</v>
      </c>
      <c r="K52" s="18">
        <v>36892.041666666664</v>
      </c>
      <c r="M52" s="18"/>
      <c r="N52" s="18">
        <v>36892.041666666664</v>
      </c>
      <c r="O52" t="str">
        <f>IF(ISERROR(VLOOKUP(A52,GamesTable[game_id],1,0)),"not found","found")</f>
        <v>found</v>
      </c>
    </row>
    <row r="53" spans="1:15" ht="14.25" customHeight="1" x14ac:dyDescent="0.25">
      <c r="A53" s="18" t="s">
        <v>7815</v>
      </c>
      <c r="B53">
        <v>77514</v>
      </c>
      <c r="C53">
        <v>29794</v>
      </c>
      <c r="D53" t="s">
        <v>8348</v>
      </c>
      <c r="E53">
        <v>77513</v>
      </c>
      <c r="F53" t="s">
        <v>4347</v>
      </c>
      <c r="G53" t="s">
        <v>8711</v>
      </c>
      <c r="H53" t="s">
        <v>5829</v>
      </c>
      <c r="J53" t="s">
        <v>8710</v>
      </c>
      <c r="K53" s="18"/>
      <c r="M53" s="18" t="s">
        <v>8903</v>
      </c>
      <c r="N53" s="18"/>
      <c r="O53" t="str">
        <f>IF(ISERROR(VLOOKUP(A53,GamesTable[game_id],1,0)),"not found","found")</f>
        <v>found</v>
      </c>
    </row>
    <row r="54" spans="1:15" ht="14.25" customHeight="1" x14ac:dyDescent="0.25">
      <c r="A54" s="18" t="s">
        <v>7819</v>
      </c>
      <c r="B54">
        <v>29837</v>
      </c>
      <c r="C54">
        <v>29794</v>
      </c>
      <c r="D54" t="s">
        <v>8348</v>
      </c>
      <c r="E54">
        <v>73855</v>
      </c>
      <c r="F54" t="s">
        <v>8481</v>
      </c>
      <c r="G54" t="s">
        <v>5143</v>
      </c>
      <c r="H54" t="s">
        <v>8835</v>
      </c>
      <c r="I54" s="19" t="s">
        <v>8834</v>
      </c>
      <c r="J54" t="s">
        <v>8833</v>
      </c>
      <c r="K54" s="18"/>
      <c r="M54" s="18" t="s">
        <v>8877</v>
      </c>
      <c r="N54" s="18"/>
      <c r="O54" t="str">
        <f>IF(ISERROR(VLOOKUP(A54,GamesTable[game_id],1,0)),"not found","found")</f>
        <v>found</v>
      </c>
    </row>
    <row r="55" spans="1:15" ht="14.25" customHeight="1" x14ac:dyDescent="0.25">
      <c r="A55" t="s">
        <v>9744</v>
      </c>
      <c r="B55">
        <v>77590</v>
      </c>
      <c r="C55">
        <v>29794</v>
      </c>
      <c r="D55" t="s">
        <v>8348</v>
      </c>
      <c r="E55">
        <v>73839</v>
      </c>
      <c r="F55" t="s">
        <v>194</v>
      </c>
      <c r="G55" t="s">
        <v>8709</v>
      </c>
      <c r="J55" s="19" t="s">
        <v>8708</v>
      </c>
      <c r="K55" s="18"/>
      <c r="M55" s="18"/>
      <c r="N55" s="18">
        <v>37622.041666666664</v>
      </c>
      <c r="O55" t="str">
        <f>IF(ISERROR(VLOOKUP(A55,GamesTable[game_id],1,0)),"not found","found")</f>
        <v>found</v>
      </c>
    </row>
    <row r="56" spans="1:15" ht="14.25" customHeight="1" x14ac:dyDescent="0.25">
      <c r="A56" s="18" t="s">
        <v>7830</v>
      </c>
      <c r="B56">
        <v>77591</v>
      </c>
      <c r="C56">
        <v>29794</v>
      </c>
      <c r="D56" t="s">
        <v>8348</v>
      </c>
      <c r="E56">
        <v>36275</v>
      </c>
      <c r="F56" t="s">
        <v>1912</v>
      </c>
      <c r="G56" t="s">
        <v>8707</v>
      </c>
      <c r="H56" t="s">
        <v>7170</v>
      </c>
      <c r="I56" t="s">
        <v>8706</v>
      </c>
      <c r="J56" t="s">
        <v>8705</v>
      </c>
      <c r="K56" s="18">
        <v>33239.041666666664</v>
      </c>
      <c r="M56" s="18" t="s">
        <v>8904</v>
      </c>
      <c r="N56" s="18"/>
      <c r="O56" t="str">
        <f>IF(ISERROR(VLOOKUP(A56,GamesTable[game_id],1,0)),"not found","found")</f>
        <v>found</v>
      </c>
    </row>
    <row r="57" spans="1:15" ht="14.25" customHeight="1" x14ac:dyDescent="0.25">
      <c r="A57" s="18" t="s">
        <v>7916</v>
      </c>
      <c r="B57">
        <v>77592</v>
      </c>
      <c r="C57">
        <v>29794</v>
      </c>
      <c r="D57" t="s">
        <v>8348</v>
      </c>
      <c r="E57">
        <v>36275</v>
      </c>
      <c r="F57" t="s">
        <v>1912</v>
      </c>
      <c r="G57" t="s">
        <v>8704</v>
      </c>
      <c r="H57" t="s">
        <v>8703</v>
      </c>
      <c r="I57" t="s">
        <v>8702</v>
      </c>
      <c r="J57" s="19" t="s">
        <v>8701</v>
      </c>
      <c r="K57" s="18"/>
      <c r="M57" s="18" t="s">
        <v>8905</v>
      </c>
      <c r="N57" s="18"/>
      <c r="O57" t="str">
        <f>IF(ISERROR(VLOOKUP(A57,GamesTable[game_id],1,0)),"not found","found")</f>
        <v>found</v>
      </c>
    </row>
    <row r="58" spans="1:15" ht="14.25" customHeight="1" x14ac:dyDescent="0.25">
      <c r="A58" s="18" t="s">
        <v>7820</v>
      </c>
      <c r="B58">
        <v>77608</v>
      </c>
      <c r="C58">
        <v>29794</v>
      </c>
      <c r="D58" t="s">
        <v>8348</v>
      </c>
      <c r="E58">
        <v>36275</v>
      </c>
      <c r="F58" t="s">
        <v>1912</v>
      </c>
      <c r="G58" t="s">
        <v>3613</v>
      </c>
      <c r="H58" t="s">
        <v>8700</v>
      </c>
      <c r="I58" s="19" t="s">
        <v>8699</v>
      </c>
      <c r="J58" t="s">
        <v>8698</v>
      </c>
      <c r="K58" s="18"/>
      <c r="M58" s="18" t="s">
        <v>8906</v>
      </c>
      <c r="N58" s="18"/>
      <c r="O58" t="str">
        <f>IF(ISERROR(VLOOKUP(A58,GamesTable[game_id],1,0)),"not found","found")</f>
        <v>found</v>
      </c>
    </row>
    <row r="59" spans="1:15" ht="14.25" customHeight="1" x14ac:dyDescent="0.25">
      <c r="A59" s="18" t="s">
        <v>7820</v>
      </c>
      <c r="B59">
        <v>77609</v>
      </c>
      <c r="C59">
        <v>29794</v>
      </c>
      <c r="D59" t="s">
        <v>8348</v>
      </c>
      <c r="E59">
        <v>36275</v>
      </c>
      <c r="F59" t="s">
        <v>1912</v>
      </c>
      <c r="G59" t="s">
        <v>8697</v>
      </c>
      <c r="J59" s="19" t="s">
        <v>8696</v>
      </c>
      <c r="K59" s="18"/>
      <c r="M59" s="18" t="s">
        <v>8906</v>
      </c>
      <c r="N59" s="18"/>
      <c r="O59" t="str">
        <f>IF(ISERROR(VLOOKUP(A59,GamesTable[game_id],1,0)),"not found","found")</f>
        <v>found</v>
      </c>
    </row>
    <row r="60" spans="1:15" ht="14.25" customHeight="1" x14ac:dyDescent="0.25">
      <c r="A60" s="18" t="s">
        <v>8992</v>
      </c>
      <c r="B60">
        <v>77728</v>
      </c>
      <c r="C60">
        <v>29794</v>
      </c>
      <c r="D60" t="s">
        <v>8348</v>
      </c>
      <c r="E60">
        <v>73839</v>
      </c>
      <c r="F60" t="s">
        <v>194</v>
      </c>
      <c r="G60" t="s">
        <v>8695</v>
      </c>
      <c r="J60" t="s">
        <v>8694</v>
      </c>
      <c r="K60" s="18"/>
      <c r="M60" s="18"/>
      <c r="N60" s="18">
        <v>35796.041666666664</v>
      </c>
      <c r="O60" t="str">
        <f>IF(ISERROR(VLOOKUP(A60,GamesTable[game_id],1,0)),"not found","found")</f>
        <v>found</v>
      </c>
    </row>
    <row r="61" spans="1:15" ht="14.25" customHeight="1" x14ac:dyDescent="0.25">
      <c r="A61" s="18" t="s">
        <v>7833</v>
      </c>
      <c r="B61">
        <v>29841</v>
      </c>
      <c r="C61">
        <v>29794</v>
      </c>
      <c r="D61" t="s">
        <v>8348</v>
      </c>
      <c r="E61">
        <v>77750</v>
      </c>
      <c r="F61" t="s">
        <v>86</v>
      </c>
      <c r="G61" t="s">
        <v>88</v>
      </c>
      <c r="H61" t="s">
        <v>88</v>
      </c>
      <c r="I61" t="s">
        <v>8832</v>
      </c>
      <c r="J61" t="s">
        <v>8831</v>
      </c>
      <c r="K61" s="18"/>
      <c r="M61" s="18" t="s">
        <v>8878</v>
      </c>
      <c r="N61" s="18"/>
      <c r="O61" t="str">
        <f>IF(ISERROR(VLOOKUP(A61,GamesTable[game_id],1,0)),"not found","found")</f>
        <v>found</v>
      </c>
    </row>
    <row r="62" spans="1:15" ht="14.25" customHeight="1" x14ac:dyDescent="0.25">
      <c r="A62" s="18" t="s">
        <v>7836</v>
      </c>
      <c r="B62">
        <v>77753</v>
      </c>
      <c r="C62">
        <v>29794</v>
      </c>
      <c r="D62" t="s">
        <v>8348</v>
      </c>
      <c r="E62">
        <v>36275</v>
      </c>
      <c r="F62" t="s">
        <v>1912</v>
      </c>
      <c r="G62" t="s">
        <v>6703</v>
      </c>
      <c r="H62" t="s">
        <v>6697</v>
      </c>
      <c r="I62" t="s">
        <v>8693</v>
      </c>
      <c r="J62" s="19" t="s">
        <v>8692</v>
      </c>
      <c r="K62" s="18">
        <v>33604.041666666664</v>
      </c>
      <c r="M62" s="18" t="s">
        <v>8907</v>
      </c>
      <c r="N62" s="18">
        <v>33604.041666666664</v>
      </c>
      <c r="O62" t="str">
        <f>IF(ISERROR(VLOOKUP(A62,GamesTable[game_id],1,0)),"not found","found")</f>
        <v>found</v>
      </c>
    </row>
    <row r="63" spans="1:15" ht="14.25" customHeight="1" x14ac:dyDescent="0.25">
      <c r="A63" s="18" t="s">
        <v>7834</v>
      </c>
      <c r="B63">
        <v>77768</v>
      </c>
      <c r="C63">
        <v>29794</v>
      </c>
      <c r="D63" t="s">
        <v>8348</v>
      </c>
      <c r="E63">
        <v>36275</v>
      </c>
      <c r="F63" t="s">
        <v>1912</v>
      </c>
      <c r="G63" t="s">
        <v>8691</v>
      </c>
      <c r="H63" t="s">
        <v>6918</v>
      </c>
      <c r="I63" t="s">
        <v>8690</v>
      </c>
      <c r="J63" t="s">
        <v>8689</v>
      </c>
      <c r="K63" s="18">
        <v>32874.041666666664</v>
      </c>
      <c r="M63" s="18">
        <v>33158.041666666664</v>
      </c>
      <c r="N63" s="18">
        <v>32874.041666666664</v>
      </c>
      <c r="O63" t="str">
        <f>IF(ISERROR(VLOOKUP(A63,GamesTable[game_id],1,0)),"not found","found")</f>
        <v>found</v>
      </c>
    </row>
    <row r="64" spans="1:15" ht="14.25" customHeight="1" x14ac:dyDescent="0.25">
      <c r="A64" s="18" t="s">
        <v>7835</v>
      </c>
      <c r="B64">
        <v>77775</v>
      </c>
      <c r="C64">
        <v>29794</v>
      </c>
      <c r="D64" t="s">
        <v>8348</v>
      </c>
      <c r="E64">
        <v>36275</v>
      </c>
      <c r="F64" t="s">
        <v>1912</v>
      </c>
      <c r="G64" t="s">
        <v>6558</v>
      </c>
      <c r="H64" t="s">
        <v>6548</v>
      </c>
      <c r="I64" s="19" t="s">
        <v>8688</v>
      </c>
      <c r="J64" t="s">
        <v>8687</v>
      </c>
      <c r="K64" s="18">
        <v>33239.041666666664</v>
      </c>
      <c r="M64" s="18" t="s">
        <v>8908</v>
      </c>
      <c r="N64" s="18">
        <v>33239.041666666664</v>
      </c>
      <c r="O64" t="str">
        <f>IF(ISERROR(VLOOKUP(A64,GamesTable[game_id],1,0)),"not found","found")</f>
        <v>found</v>
      </c>
    </row>
    <row r="65" spans="1:15" ht="14.25" customHeight="1" x14ac:dyDescent="0.25">
      <c r="A65" s="18" t="s">
        <v>7837</v>
      </c>
      <c r="B65">
        <v>77972</v>
      </c>
      <c r="C65">
        <v>29794</v>
      </c>
      <c r="D65" t="s">
        <v>8348</v>
      </c>
      <c r="E65">
        <v>73855</v>
      </c>
      <c r="F65" t="s">
        <v>8481</v>
      </c>
      <c r="G65" t="s">
        <v>3412</v>
      </c>
      <c r="H65" t="s">
        <v>3403</v>
      </c>
      <c r="I65" s="19" t="s">
        <v>8686</v>
      </c>
      <c r="J65" t="s">
        <v>8685</v>
      </c>
      <c r="K65" s="18"/>
      <c r="M65" s="18" t="s">
        <v>8909</v>
      </c>
      <c r="N65" s="18"/>
      <c r="O65" t="str">
        <f>IF(ISERROR(VLOOKUP(A65,GamesTable[game_id],1,0)),"not found","found")</f>
        <v>found</v>
      </c>
    </row>
    <row r="66" spans="1:15" ht="14.25" customHeight="1" x14ac:dyDescent="0.25">
      <c r="A66" s="18" t="s">
        <v>7838</v>
      </c>
      <c r="B66">
        <v>77973</v>
      </c>
      <c r="C66">
        <v>29794</v>
      </c>
      <c r="D66" t="s">
        <v>8348</v>
      </c>
      <c r="E66">
        <v>73855</v>
      </c>
      <c r="F66" t="s">
        <v>8481</v>
      </c>
      <c r="G66" t="s">
        <v>3074</v>
      </c>
      <c r="H66" t="s">
        <v>8684</v>
      </c>
      <c r="I66" t="s">
        <v>8683</v>
      </c>
      <c r="J66" s="19" t="s">
        <v>8682</v>
      </c>
      <c r="K66" s="18">
        <v>35431.041666666664</v>
      </c>
      <c r="M66" s="18"/>
      <c r="N66" s="18">
        <v>35431.041666666664</v>
      </c>
      <c r="O66" t="str">
        <f>IF(ISERROR(VLOOKUP(A66,GamesTable[game_id],1,0)),"not found","found")</f>
        <v>found</v>
      </c>
    </row>
    <row r="67" spans="1:15" ht="14.25" customHeight="1" x14ac:dyDescent="0.25">
      <c r="A67" s="18" t="s">
        <v>7839</v>
      </c>
      <c r="B67">
        <v>77989</v>
      </c>
      <c r="C67">
        <v>29794</v>
      </c>
      <c r="D67" t="s">
        <v>8348</v>
      </c>
      <c r="E67">
        <v>74548</v>
      </c>
      <c r="F67" t="s">
        <v>5638</v>
      </c>
      <c r="G67" t="s">
        <v>8681</v>
      </c>
      <c r="H67" t="s">
        <v>7528</v>
      </c>
      <c r="I67" t="s">
        <v>8680</v>
      </c>
      <c r="J67" t="s">
        <v>8679</v>
      </c>
      <c r="K67" s="18">
        <v>32874.041666666664</v>
      </c>
      <c r="M67" s="18" t="s">
        <v>8887</v>
      </c>
      <c r="N67" s="18">
        <v>32874.041666666664</v>
      </c>
      <c r="O67" t="str">
        <f>IF(ISERROR(VLOOKUP(A67,GamesTable[game_id],1,0)),"not found","found")</f>
        <v>found</v>
      </c>
    </row>
    <row r="68" spans="1:15" ht="14.25" customHeight="1" x14ac:dyDescent="0.25">
      <c r="A68" s="18" t="s">
        <v>7840</v>
      </c>
      <c r="B68">
        <v>78089</v>
      </c>
      <c r="C68">
        <v>29794</v>
      </c>
      <c r="D68" t="s">
        <v>8348</v>
      </c>
      <c r="E68">
        <v>36275</v>
      </c>
      <c r="F68" t="s">
        <v>1912</v>
      </c>
      <c r="G68" t="s">
        <v>8678</v>
      </c>
      <c r="H68" t="s">
        <v>8677</v>
      </c>
      <c r="J68" s="19" t="s">
        <v>8676</v>
      </c>
      <c r="K68" s="18"/>
      <c r="M68" s="18" t="s">
        <v>8887</v>
      </c>
      <c r="N68" s="18"/>
      <c r="O68" t="str">
        <f>IF(ISERROR(VLOOKUP(A68,GamesTable[game_id],1,0)),"not found","found")</f>
        <v>found</v>
      </c>
    </row>
    <row r="69" spans="1:15" ht="14.25" customHeight="1" x14ac:dyDescent="0.25">
      <c r="A69" s="18" t="s">
        <v>7846</v>
      </c>
      <c r="B69">
        <v>78353</v>
      </c>
      <c r="C69">
        <v>29794</v>
      </c>
      <c r="D69" t="s">
        <v>8348</v>
      </c>
      <c r="E69">
        <v>78352</v>
      </c>
      <c r="F69" t="s">
        <v>3949</v>
      </c>
      <c r="G69" t="s">
        <v>3950</v>
      </c>
      <c r="H69" t="s">
        <v>3950</v>
      </c>
      <c r="I69" s="19" t="s">
        <v>8671</v>
      </c>
      <c r="J69" t="s">
        <v>8670</v>
      </c>
      <c r="K69" s="18"/>
      <c r="M69" s="18" t="s">
        <v>8911</v>
      </c>
      <c r="N69" s="18"/>
      <c r="O69" t="str">
        <f>IF(ISERROR(VLOOKUP(A69,GamesTable[game_id],1,0)),"not found","found")</f>
        <v>found</v>
      </c>
    </row>
    <row r="70" spans="1:15" ht="14.25" customHeight="1" x14ac:dyDescent="0.25">
      <c r="A70" s="18" t="s">
        <v>7917</v>
      </c>
      <c r="B70">
        <v>78354</v>
      </c>
      <c r="C70">
        <v>29794</v>
      </c>
      <c r="D70" t="s">
        <v>8348</v>
      </c>
      <c r="E70">
        <v>36275</v>
      </c>
      <c r="F70" t="s">
        <v>1912</v>
      </c>
      <c r="G70" t="s">
        <v>8669</v>
      </c>
      <c r="H70" t="s">
        <v>8668</v>
      </c>
      <c r="I70" t="s">
        <v>8667</v>
      </c>
      <c r="J70" t="s">
        <v>8666</v>
      </c>
      <c r="K70" s="18"/>
      <c r="M70" s="18" t="s">
        <v>8912</v>
      </c>
      <c r="N70" s="18"/>
      <c r="O70" t="str">
        <f>IF(ISERROR(VLOOKUP(A70,GamesTable[game_id],1,0)),"not found","found")</f>
        <v>found</v>
      </c>
    </row>
    <row r="71" spans="1:15" ht="14.25" customHeight="1" x14ac:dyDescent="0.25">
      <c r="A71" s="18" t="s">
        <v>7918</v>
      </c>
      <c r="B71">
        <v>78355</v>
      </c>
      <c r="C71">
        <v>29794</v>
      </c>
      <c r="D71" t="s">
        <v>8348</v>
      </c>
      <c r="E71">
        <v>74967</v>
      </c>
      <c r="F71" t="s">
        <v>8355</v>
      </c>
      <c r="G71" t="s">
        <v>8665</v>
      </c>
      <c r="K71" s="18"/>
      <c r="M71" s="18"/>
      <c r="N71" s="18">
        <v>42005.041666666664</v>
      </c>
      <c r="O71" t="str">
        <f>IF(ISERROR(VLOOKUP(A71,GamesTable[game_id],1,0)),"not found","found")</f>
        <v>found</v>
      </c>
    </row>
    <row r="72" spans="1:15" ht="14.25" customHeight="1" x14ac:dyDescent="0.25">
      <c r="A72" s="18" t="s">
        <v>7918</v>
      </c>
      <c r="B72">
        <v>78356</v>
      </c>
      <c r="C72">
        <v>29794</v>
      </c>
      <c r="D72" t="s">
        <v>8348</v>
      </c>
      <c r="E72">
        <v>36275</v>
      </c>
      <c r="F72" t="s">
        <v>1912</v>
      </c>
      <c r="G72" t="s">
        <v>8664</v>
      </c>
      <c r="H72" t="s">
        <v>1927</v>
      </c>
      <c r="I72" s="19" t="s">
        <v>8663</v>
      </c>
      <c r="J72" s="19" t="s">
        <v>8662</v>
      </c>
      <c r="K72" s="18"/>
      <c r="M72" s="18" t="s">
        <v>8913</v>
      </c>
      <c r="N72" s="18"/>
      <c r="O72" t="str">
        <f>IF(ISERROR(VLOOKUP(A72,GamesTable[game_id],1,0)),"not found","found")</f>
        <v>found</v>
      </c>
    </row>
    <row r="73" spans="1:15" ht="14.25" customHeight="1" x14ac:dyDescent="0.25">
      <c r="A73" s="18" t="s">
        <v>7919</v>
      </c>
      <c r="B73">
        <v>78358</v>
      </c>
      <c r="C73">
        <v>29794</v>
      </c>
      <c r="D73" t="s">
        <v>8348</v>
      </c>
      <c r="E73">
        <v>78357</v>
      </c>
      <c r="F73" t="s">
        <v>8661</v>
      </c>
      <c r="G73" t="s">
        <v>8660</v>
      </c>
      <c r="H73" t="s">
        <v>8659</v>
      </c>
      <c r="I73" t="s">
        <v>8658</v>
      </c>
      <c r="J73" t="s">
        <v>8657</v>
      </c>
      <c r="K73" s="18"/>
      <c r="M73" s="18" t="s">
        <v>8914</v>
      </c>
      <c r="N73" s="18"/>
      <c r="O73" t="str">
        <f>IF(ISERROR(VLOOKUP(A73,GamesTable[game_id],1,0)),"not found","found")</f>
        <v>found</v>
      </c>
    </row>
    <row r="74" spans="1:15" ht="14.25" customHeight="1" x14ac:dyDescent="0.25">
      <c r="A74" s="18" t="s">
        <v>7919</v>
      </c>
      <c r="B74">
        <v>78359</v>
      </c>
      <c r="C74">
        <v>29794</v>
      </c>
      <c r="D74" t="s">
        <v>8348</v>
      </c>
      <c r="E74">
        <v>73839</v>
      </c>
      <c r="F74" t="s">
        <v>194</v>
      </c>
      <c r="G74" t="s">
        <v>8656</v>
      </c>
      <c r="J74" t="s">
        <v>8655</v>
      </c>
      <c r="K74" s="18"/>
      <c r="M74" s="18"/>
      <c r="N74" s="18">
        <v>37257.041666666664</v>
      </c>
      <c r="O74" t="str">
        <f>IF(ISERROR(VLOOKUP(A74,GamesTable[game_id],1,0)),"not found","found")</f>
        <v>found</v>
      </c>
    </row>
    <row r="75" spans="1:15" ht="14.25" customHeight="1" x14ac:dyDescent="0.25">
      <c r="A75" s="18" t="s">
        <v>7920</v>
      </c>
      <c r="B75">
        <v>78361</v>
      </c>
      <c r="C75">
        <v>29794</v>
      </c>
      <c r="D75" t="s">
        <v>8348</v>
      </c>
      <c r="E75">
        <v>78360</v>
      </c>
      <c r="F75" t="s">
        <v>1436</v>
      </c>
      <c r="G75" t="s">
        <v>8654</v>
      </c>
      <c r="H75" t="s">
        <v>8653</v>
      </c>
      <c r="I75" t="s">
        <v>8652</v>
      </c>
      <c r="J75" s="19" t="s">
        <v>8651</v>
      </c>
      <c r="K75" s="18"/>
      <c r="M75" s="18" t="s">
        <v>8915</v>
      </c>
      <c r="N75" s="18"/>
      <c r="O75" t="str">
        <f>IF(ISERROR(VLOOKUP(A75,GamesTable[game_id],1,0)),"not found","found")</f>
        <v>found</v>
      </c>
    </row>
    <row r="76" spans="1:15" ht="14.25" customHeight="1" x14ac:dyDescent="0.25">
      <c r="A76" s="18" t="s">
        <v>7920</v>
      </c>
      <c r="B76">
        <v>78362</v>
      </c>
      <c r="C76">
        <v>29794</v>
      </c>
      <c r="D76" t="s">
        <v>8348</v>
      </c>
      <c r="E76">
        <v>73839</v>
      </c>
      <c r="F76" t="s">
        <v>194</v>
      </c>
      <c r="G76" t="s">
        <v>8650</v>
      </c>
      <c r="J76" t="s">
        <v>8649</v>
      </c>
      <c r="K76" s="18"/>
      <c r="M76" s="18"/>
      <c r="N76" s="18">
        <v>37622.041666666664</v>
      </c>
      <c r="O76" t="str">
        <f>IF(ISERROR(VLOOKUP(A76,GamesTable[game_id],1,0)),"not found","found")</f>
        <v>found</v>
      </c>
    </row>
    <row r="77" spans="1:15" ht="14.25" customHeight="1" x14ac:dyDescent="0.25">
      <c r="A77" s="18" t="s">
        <v>7918</v>
      </c>
      <c r="B77">
        <v>78363</v>
      </c>
      <c r="C77">
        <v>29794</v>
      </c>
      <c r="D77" t="s">
        <v>8348</v>
      </c>
      <c r="E77">
        <v>73839</v>
      </c>
      <c r="F77" t="s">
        <v>194</v>
      </c>
      <c r="G77" t="s">
        <v>8648</v>
      </c>
      <c r="J77" t="s">
        <v>8647</v>
      </c>
      <c r="K77" s="18"/>
      <c r="M77" s="18"/>
      <c r="N77" s="18">
        <v>36526.041666666664</v>
      </c>
      <c r="O77" t="str">
        <f>IF(ISERROR(VLOOKUP(A77,GamesTable[game_id],1,0)),"not found","found")</f>
        <v>found</v>
      </c>
    </row>
    <row r="78" spans="1:15" ht="14.25" customHeight="1" x14ac:dyDescent="0.25">
      <c r="A78" s="18" t="s">
        <v>7921</v>
      </c>
      <c r="B78">
        <v>78364</v>
      </c>
      <c r="C78">
        <v>29794</v>
      </c>
      <c r="D78" t="s">
        <v>8348</v>
      </c>
      <c r="E78">
        <v>36275</v>
      </c>
      <c r="F78" t="s">
        <v>1912</v>
      </c>
      <c r="G78" t="s">
        <v>8646</v>
      </c>
      <c r="H78" t="s">
        <v>8645</v>
      </c>
      <c r="I78" t="s">
        <v>8644</v>
      </c>
      <c r="J78" t="s">
        <v>8643</v>
      </c>
      <c r="K78" s="18"/>
      <c r="M78" s="18" t="s">
        <v>8916</v>
      </c>
      <c r="N78" s="18"/>
      <c r="O78" t="str">
        <f>IF(ISERROR(VLOOKUP(A78,GamesTable[game_id],1,0)),"not found","found")</f>
        <v>found</v>
      </c>
    </row>
    <row r="79" spans="1:15" ht="14.25" customHeight="1" x14ac:dyDescent="0.25">
      <c r="A79" s="18" t="s">
        <v>7846</v>
      </c>
      <c r="B79">
        <v>252658</v>
      </c>
      <c r="C79">
        <v>29794</v>
      </c>
      <c r="D79" t="s">
        <v>8348</v>
      </c>
      <c r="G79" t="s">
        <v>8347</v>
      </c>
      <c r="H79" t="s">
        <v>3943</v>
      </c>
      <c r="I79" t="s">
        <v>8346</v>
      </c>
      <c r="K79" s="18"/>
      <c r="M79" s="18"/>
      <c r="N79" s="18"/>
      <c r="O79" t="str">
        <f>IF(ISERROR(VLOOKUP(A79,GamesTable[game_id],1,0)),"not found","found")</f>
        <v>found</v>
      </c>
    </row>
    <row r="80" spans="1:15" ht="14.25" customHeight="1" x14ac:dyDescent="0.25">
      <c r="A80" s="18" t="s">
        <v>7844</v>
      </c>
      <c r="B80">
        <v>78406</v>
      </c>
      <c r="C80">
        <v>29794</v>
      </c>
      <c r="D80" t="s">
        <v>8348</v>
      </c>
      <c r="E80">
        <v>74465</v>
      </c>
      <c r="F80" t="s">
        <v>6341</v>
      </c>
      <c r="G80" t="s">
        <v>8642</v>
      </c>
      <c r="H80" t="s">
        <v>8641</v>
      </c>
      <c r="J80" t="s">
        <v>8640</v>
      </c>
      <c r="K80" s="18"/>
      <c r="M80" s="18" t="s">
        <v>8917</v>
      </c>
      <c r="N80" s="18"/>
      <c r="O80" t="str">
        <f>IF(ISERROR(VLOOKUP(A80,GamesTable[game_id],1,0)),"not found","found")</f>
        <v>found</v>
      </c>
    </row>
    <row r="81" spans="1:15" ht="14.25" customHeight="1" x14ac:dyDescent="0.25">
      <c r="A81" s="18" t="s">
        <v>7843</v>
      </c>
      <c r="B81">
        <v>78484</v>
      </c>
      <c r="C81">
        <v>29794</v>
      </c>
      <c r="D81" t="s">
        <v>8348</v>
      </c>
      <c r="E81">
        <v>76027</v>
      </c>
      <c r="F81" t="s">
        <v>1302</v>
      </c>
      <c r="G81" t="s">
        <v>3125</v>
      </c>
      <c r="H81" t="s">
        <v>3116</v>
      </c>
      <c r="I81" s="19" t="s">
        <v>8639</v>
      </c>
      <c r="J81" s="19" t="s">
        <v>8638</v>
      </c>
      <c r="K81" s="18">
        <v>35431.041666666664</v>
      </c>
      <c r="M81" s="18" t="s">
        <v>8918</v>
      </c>
      <c r="N81" s="18">
        <v>35431.041666666664</v>
      </c>
      <c r="O81" t="str">
        <f>IF(ISERROR(VLOOKUP(A81,GamesTable[game_id],1,0)),"not found","found")</f>
        <v>found</v>
      </c>
    </row>
    <row r="82" spans="1:15" ht="14.25" customHeight="1" x14ac:dyDescent="0.25">
      <c r="A82" s="18" t="s">
        <v>7847</v>
      </c>
      <c r="B82">
        <v>78643</v>
      </c>
      <c r="C82">
        <v>29794</v>
      </c>
      <c r="D82" t="s">
        <v>8348</v>
      </c>
      <c r="E82">
        <v>36275</v>
      </c>
      <c r="F82" t="s">
        <v>1912</v>
      </c>
      <c r="G82" t="s">
        <v>8637</v>
      </c>
      <c r="H82" t="s">
        <v>8636</v>
      </c>
      <c r="I82" s="19" t="s">
        <v>8635</v>
      </c>
      <c r="J82" t="s">
        <v>8634</v>
      </c>
      <c r="K82" s="18"/>
      <c r="M82" s="18" t="s">
        <v>8919</v>
      </c>
      <c r="N82" s="18"/>
      <c r="O82" t="str">
        <f>IF(ISERROR(VLOOKUP(A82,GamesTable[game_id],1,0)),"not found","found")</f>
        <v>found</v>
      </c>
    </row>
    <row r="83" spans="1:15" ht="14.25" customHeight="1" x14ac:dyDescent="0.25">
      <c r="A83" s="18" t="s">
        <v>7848</v>
      </c>
      <c r="B83">
        <v>78662</v>
      </c>
      <c r="C83">
        <v>29794</v>
      </c>
      <c r="D83" t="s">
        <v>8348</v>
      </c>
      <c r="E83">
        <v>36275</v>
      </c>
      <c r="F83" t="s">
        <v>1912</v>
      </c>
      <c r="G83" t="s">
        <v>8019</v>
      </c>
      <c r="H83" t="s">
        <v>8633</v>
      </c>
      <c r="I83" t="s">
        <v>8632</v>
      </c>
      <c r="J83" s="19" t="s">
        <v>8631</v>
      </c>
      <c r="K83" s="18">
        <v>32874.041666666664</v>
      </c>
      <c r="M83" s="18" t="s">
        <v>8887</v>
      </c>
      <c r="N83" s="18">
        <v>32874.041666666664</v>
      </c>
      <c r="O83" t="str">
        <f>IF(ISERROR(VLOOKUP(A83,GamesTable[game_id],1,0)),"not found","found")</f>
        <v>found</v>
      </c>
    </row>
    <row r="84" spans="1:15" ht="14.25" customHeight="1" x14ac:dyDescent="0.25">
      <c r="A84" s="18" t="s">
        <v>7851</v>
      </c>
      <c r="B84">
        <v>78706</v>
      </c>
      <c r="C84">
        <v>29794</v>
      </c>
      <c r="D84" t="s">
        <v>8348</v>
      </c>
      <c r="E84">
        <v>74107</v>
      </c>
      <c r="F84" t="s">
        <v>4214</v>
      </c>
      <c r="G84" t="s">
        <v>4215</v>
      </c>
      <c r="H84" t="s">
        <v>4205</v>
      </c>
      <c r="I84" t="s">
        <v>8630</v>
      </c>
      <c r="J84" s="19" t="s">
        <v>8629</v>
      </c>
      <c r="K84" s="18"/>
      <c r="M84" s="18">
        <v>35435.083333333336</v>
      </c>
      <c r="N84" s="18"/>
      <c r="O84" t="str">
        <f>IF(ISERROR(VLOOKUP(A84,GamesTable[game_id],1,0)),"not found","found")</f>
        <v>found</v>
      </c>
    </row>
    <row r="85" spans="1:15" ht="14.25" customHeight="1" x14ac:dyDescent="0.25">
      <c r="A85" s="18" t="s">
        <v>7853</v>
      </c>
      <c r="B85">
        <v>78707</v>
      </c>
      <c r="C85">
        <v>29794</v>
      </c>
      <c r="D85" t="s">
        <v>8348</v>
      </c>
      <c r="E85">
        <v>74193</v>
      </c>
      <c r="F85" t="s">
        <v>1859</v>
      </c>
      <c r="G85" t="s">
        <v>3735</v>
      </c>
      <c r="H85" t="s">
        <v>3729</v>
      </c>
      <c r="I85" s="19" t="s">
        <v>8628</v>
      </c>
      <c r="J85" t="s">
        <v>8627</v>
      </c>
      <c r="K85" s="18"/>
      <c r="M85" s="18" t="s">
        <v>8920</v>
      </c>
      <c r="N85" s="18"/>
      <c r="O85" t="str">
        <f>IF(ISERROR(VLOOKUP(A85,GamesTable[game_id],1,0)),"not found","found")</f>
        <v>found</v>
      </c>
    </row>
    <row r="86" spans="1:15" ht="14.25" customHeight="1" x14ac:dyDescent="0.25">
      <c r="A86" s="18" t="s">
        <v>7854</v>
      </c>
      <c r="B86">
        <v>78708</v>
      </c>
      <c r="C86">
        <v>29794</v>
      </c>
      <c r="D86" t="s">
        <v>8348</v>
      </c>
      <c r="E86">
        <v>74193</v>
      </c>
      <c r="F86" t="s">
        <v>1859</v>
      </c>
      <c r="G86" t="s">
        <v>3850</v>
      </c>
      <c r="H86" t="s">
        <v>8626</v>
      </c>
      <c r="I86" t="s">
        <v>8625</v>
      </c>
      <c r="J86" s="19" t="s">
        <v>8624</v>
      </c>
      <c r="K86" s="18">
        <v>35065.041666666664</v>
      </c>
      <c r="M86" s="18"/>
      <c r="N86" s="18">
        <v>35065.041666666664</v>
      </c>
      <c r="O86" t="str">
        <f>IF(ISERROR(VLOOKUP(A86,GamesTable[game_id],1,0)),"not found","found")</f>
        <v>found</v>
      </c>
    </row>
    <row r="87" spans="1:15" ht="14.25" customHeight="1" x14ac:dyDescent="0.25">
      <c r="A87" s="18" t="s">
        <v>7901</v>
      </c>
      <c r="B87">
        <v>78709</v>
      </c>
      <c r="C87">
        <v>29794</v>
      </c>
      <c r="D87" t="s">
        <v>8348</v>
      </c>
      <c r="E87">
        <v>78352</v>
      </c>
      <c r="F87" t="s">
        <v>3949</v>
      </c>
      <c r="G87" t="s">
        <v>3982</v>
      </c>
      <c r="H87" t="s">
        <v>8623</v>
      </c>
      <c r="I87" t="s">
        <v>8622</v>
      </c>
      <c r="J87" s="19" t="s">
        <v>8621</v>
      </c>
      <c r="K87" s="18">
        <v>35065.041666666664</v>
      </c>
      <c r="M87" s="18" t="s">
        <v>8921</v>
      </c>
      <c r="N87" s="18">
        <v>35065.041666666664</v>
      </c>
      <c r="O87" t="str">
        <f>IF(ISERROR(VLOOKUP(A87,GamesTable[game_id],1,0)),"not found","found")</f>
        <v>found</v>
      </c>
    </row>
    <row r="88" spans="1:15" ht="14.25" customHeight="1" x14ac:dyDescent="0.25">
      <c r="A88" s="18" t="s">
        <v>7852</v>
      </c>
      <c r="B88">
        <v>78710</v>
      </c>
      <c r="C88">
        <v>29794</v>
      </c>
      <c r="D88" t="s">
        <v>8348</v>
      </c>
      <c r="E88">
        <v>36275</v>
      </c>
      <c r="F88" t="s">
        <v>1912</v>
      </c>
      <c r="G88" t="s">
        <v>2584</v>
      </c>
      <c r="H88" t="s">
        <v>8620</v>
      </c>
      <c r="I88" s="19" t="s">
        <v>8619</v>
      </c>
      <c r="J88" s="19" t="s">
        <v>8618</v>
      </c>
      <c r="K88" s="18"/>
      <c r="M88" s="18" t="s">
        <v>8922</v>
      </c>
      <c r="N88" s="18"/>
      <c r="O88" t="str">
        <f>IF(ISERROR(VLOOKUP(A88,GamesTable[game_id],1,0)),"not found","found")</f>
        <v>found</v>
      </c>
    </row>
    <row r="89" spans="1:15" ht="14.25" customHeight="1" x14ac:dyDescent="0.25">
      <c r="A89" s="18" t="s">
        <v>7856</v>
      </c>
      <c r="B89">
        <v>78780</v>
      </c>
      <c r="C89">
        <v>29794</v>
      </c>
      <c r="D89" t="s">
        <v>8348</v>
      </c>
      <c r="E89">
        <v>73839</v>
      </c>
      <c r="F89" t="s">
        <v>194</v>
      </c>
      <c r="G89" t="s">
        <v>1837</v>
      </c>
      <c r="H89" t="s">
        <v>1830</v>
      </c>
      <c r="I89" s="19" t="s">
        <v>8617</v>
      </c>
      <c r="J89" s="19" t="s">
        <v>8616</v>
      </c>
      <c r="K89" s="18"/>
      <c r="M89" s="18" t="s">
        <v>8923</v>
      </c>
      <c r="N89" s="18"/>
      <c r="O89" t="str">
        <f>IF(ISERROR(VLOOKUP(A89,GamesTable[game_id],1,0)),"not found","found")</f>
        <v>found</v>
      </c>
    </row>
    <row r="90" spans="1:15" ht="14.25" customHeight="1" x14ac:dyDescent="0.25">
      <c r="A90" s="18" t="s">
        <v>7849</v>
      </c>
      <c r="B90">
        <v>78786</v>
      </c>
      <c r="C90">
        <v>29794</v>
      </c>
      <c r="D90" t="s">
        <v>8348</v>
      </c>
      <c r="E90">
        <v>74548</v>
      </c>
      <c r="F90" t="s">
        <v>5638</v>
      </c>
      <c r="G90" t="s">
        <v>8615</v>
      </c>
      <c r="H90" t="s">
        <v>7340</v>
      </c>
      <c r="I90" s="19" t="s">
        <v>8614</v>
      </c>
      <c r="J90" t="s">
        <v>8608</v>
      </c>
      <c r="K90" s="18"/>
      <c r="M90" s="18" t="s">
        <v>8879</v>
      </c>
      <c r="N90" s="18"/>
      <c r="O90" t="str">
        <f>IF(ISERROR(VLOOKUP(A90,GamesTable[game_id],1,0)),"not found","found")</f>
        <v>found</v>
      </c>
    </row>
    <row r="91" spans="1:15" ht="14.25" customHeight="1" x14ac:dyDescent="0.25">
      <c r="A91" s="18" t="s">
        <v>7850</v>
      </c>
      <c r="B91">
        <v>78787</v>
      </c>
      <c r="C91">
        <v>29794</v>
      </c>
      <c r="D91" t="s">
        <v>8348</v>
      </c>
      <c r="E91">
        <v>74548</v>
      </c>
      <c r="F91" t="s">
        <v>5638</v>
      </c>
      <c r="G91" t="s">
        <v>5789</v>
      </c>
      <c r="H91" t="s">
        <v>5780</v>
      </c>
      <c r="I91" t="s">
        <v>8613</v>
      </c>
      <c r="J91" s="19" t="s">
        <v>8612</v>
      </c>
      <c r="K91" s="18"/>
      <c r="M91" s="18"/>
      <c r="N91" s="18" t="s">
        <v>8924</v>
      </c>
      <c r="O91" t="str">
        <f>IF(ISERROR(VLOOKUP(A91,GamesTable[game_id],1,0)),"not found","found")</f>
        <v>found</v>
      </c>
    </row>
    <row r="92" spans="1:15" ht="14.25" customHeight="1" x14ac:dyDescent="0.25">
      <c r="A92" s="18" t="s">
        <v>7855</v>
      </c>
      <c r="B92">
        <v>78793</v>
      </c>
      <c r="C92">
        <v>29794</v>
      </c>
      <c r="D92" t="s">
        <v>8348</v>
      </c>
      <c r="E92">
        <v>74042</v>
      </c>
      <c r="F92" t="s">
        <v>3770</v>
      </c>
      <c r="G92" t="s">
        <v>8611</v>
      </c>
      <c r="H92" t="s">
        <v>8610</v>
      </c>
      <c r="I92" t="s">
        <v>8609</v>
      </c>
      <c r="J92" t="s">
        <v>8608</v>
      </c>
      <c r="K92" s="18"/>
      <c r="M92" s="18" t="s">
        <v>8925</v>
      </c>
      <c r="N92" s="18"/>
      <c r="O92" t="str">
        <f>IF(ISERROR(VLOOKUP(A92,GamesTable[game_id],1,0)),"not found","found")</f>
        <v>found</v>
      </c>
    </row>
    <row r="93" spans="1:15" ht="14.25" customHeight="1" x14ac:dyDescent="0.25">
      <c r="A93" s="18" t="s">
        <v>7857</v>
      </c>
      <c r="B93">
        <v>78934</v>
      </c>
      <c r="C93">
        <v>29794</v>
      </c>
      <c r="D93" t="s">
        <v>8348</v>
      </c>
      <c r="E93">
        <v>74042</v>
      </c>
      <c r="F93" t="s">
        <v>3770</v>
      </c>
      <c r="G93" t="s">
        <v>3771</v>
      </c>
      <c r="H93" t="s">
        <v>3764</v>
      </c>
      <c r="I93" s="19" t="s">
        <v>8607</v>
      </c>
      <c r="J93" t="s">
        <v>8606</v>
      </c>
      <c r="K93" s="18"/>
      <c r="M93" s="18" t="s">
        <v>8926</v>
      </c>
      <c r="N93" s="18"/>
      <c r="O93" t="str">
        <f>IF(ISERROR(VLOOKUP(A93,GamesTable[game_id],1,0)),"not found","found")</f>
        <v>found</v>
      </c>
    </row>
    <row r="94" spans="1:15" ht="14.25" customHeight="1" x14ac:dyDescent="0.25">
      <c r="A94" t="s">
        <v>7924</v>
      </c>
      <c r="B94">
        <v>78978</v>
      </c>
      <c r="C94">
        <v>29794</v>
      </c>
      <c r="D94" t="s">
        <v>8348</v>
      </c>
      <c r="E94">
        <v>36275</v>
      </c>
      <c r="F94" t="s">
        <v>1912</v>
      </c>
      <c r="G94" t="s">
        <v>8605</v>
      </c>
      <c r="K94" s="18"/>
      <c r="M94" s="18"/>
      <c r="N94" s="18">
        <v>35065.041666666664</v>
      </c>
      <c r="O94" t="str">
        <f>IF(ISERROR(VLOOKUP(A94,GamesTable[game_id],1,0)),"not found","found")</f>
        <v>found</v>
      </c>
    </row>
    <row r="95" spans="1:15" ht="14.25" customHeight="1" x14ac:dyDescent="0.25">
      <c r="A95" s="18" t="s">
        <v>7858</v>
      </c>
      <c r="B95">
        <v>79004</v>
      </c>
      <c r="C95">
        <v>29794</v>
      </c>
      <c r="D95" t="s">
        <v>8348</v>
      </c>
      <c r="E95">
        <v>74533</v>
      </c>
      <c r="F95" t="s">
        <v>8604</v>
      </c>
      <c r="G95" t="s">
        <v>5017</v>
      </c>
      <c r="H95" t="s">
        <v>8603</v>
      </c>
      <c r="I95" s="19" t="s">
        <v>8602</v>
      </c>
      <c r="J95" s="19" t="s">
        <v>8601</v>
      </c>
      <c r="K95" s="18">
        <v>34335.041666666664</v>
      </c>
      <c r="M95" s="18" t="s">
        <v>8927</v>
      </c>
      <c r="N95" s="18">
        <v>34335.041666666664</v>
      </c>
      <c r="O95" t="str">
        <f>IF(ISERROR(VLOOKUP(A95,GamesTable[game_id],1,0)),"not found","found")</f>
        <v>found</v>
      </c>
    </row>
    <row r="96" spans="1:15" ht="14.25" customHeight="1" x14ac:dyDescent="0.25">
      <c r="A96" s="18" t="s">
        <v>7861</v>
      </c>
      <c r="B96">
        <v>79266</v>
      </c>
      <c r="C96">
        <v>29794</v>
      </c>
      <c r="D96" t="s">
        <v>8348</v>
      </c>
      <c r="E96">
        <v>79265</v>
      </c>
      <c r="F96" t="s">
        <v>2520</v>
      </c>
      <c r="G96" t="s">
        <v>8600</v>
      </c>
      <c r="H96" t="s">
        <v>3466</v>
      </c>
      <c r="I96" t="s">
        <v>8599</v>
      </c>
      <c r="J96" t="s">
        <v>8598</v>
      </c>
      <c r="K96" s="18"/>
      <c r="M96" s="18" t="s">
        <v>8928</v>
      </c>
      <c r="N96" s="18"/>
      <c r="O96" t="str">
        <f>IF(ISERROR(VLOOKUP(A96,GamesTable[game_id],1,0)),"not found","found")</f>
        <v>found</v>
      </c>
    </row>
    <row r="97" spans="1:15" ht="14.25" customHeight="1" x14ac:dyDescent="0.25">
      <c r="A97" s="18" t="s">
        <v>7862</v>
      </c>
      <c r="B97">
        <v>79275</v>
      </c>
      <c r="C97">
        <v>29794</v>
      </c>
      <c r="D97" t="s">
        <v>8348</v>
      </c>
      <c r="E97">
        <v>79274</v>
      </c>
      <c r="F97" t="s">
        <v>8597</v>
      </c>
      <c r="G97" t="s">
        <v>8596</v>
      </c>
      <c r="H97" t="s">
        <v>8595</v>
      </c>
      <c r="J97" t="s">
        <v>8594</v>
      </c>
      <c r="K97" s="18"/>
      <c r="M97" s="18" t="s">
        <v>8929</v>
      </c>
      <c r="N97" s="18"/>
      <c r="O97" t="str">
        <f>IF(ISERROR(VLOOKUP(A97,GamesTable[game_id],1,0)),"not found","found")</f>
        <v>found</v>
      </c>
    </row>
    <row r="98" spans="1:15" ht="14.25" customHeight="1" x14ac:dyDescent="0.25">
      <c r="A98" s="18" t="s">
        <v>7863</v>
      </c>
      <c r="B98">
        <v>79337</v>
      </c>
      <c r="C98">
        <v>29794</v>
      </c>
      <c r="D98" t="s">
        <v>8348</v>
      </c>
      <c r="E98">
        <v>73888</v>
      </c>
      <c r="F98" t="s">
        <v>2929</v>
      </c>
      <c r="G98" t="s">
        <v>2930</v>
      </c>
      <c r="H98" t="s">
        <v>2924</v>
      </c>
      <c r="I98" s="19" t="s">
        <v>8593</v>
      </c>
      <c r="J98" t="s">
        <v>8592</v>
      </c>
      <c r="K98" s="18">
        <v>35431.041666666664</v>
      </c>
      <c r="M98" s="18"/>
      <c r="N98" s="18">
        <v>35431.041666666664</v>
      </c>
      <c r="O98" t="str">
        <f>IF(ISERROR(VLOOKUP(A98,GamesTable[game_id],1,0)),"not found","found")</f>
        <v>found</v>
      </c>
    </row>
    <row r="99" spans="1:15" ht="14.25" customHeight="1" x14ac:dyDescent="0.25">
      <c r="A99" t="s">
        <v>7842</v>
      </c>
      <c r="B99">
        <v>78252</v>
      </c>
      <c r="C99">
        <v>29794</v>
      </c>
      <c r="D99" t="s">
        <v>8348</v>
      </c>
      <c r="E99">
        <v>76567</v>
      </c>
      <c r="F99" t="s">
        <v>8510</v>
      </c>
      <c r="G99" t="s">
        <v>8675</v>
      </c>
      <c r="H99" t="s">
        <v>8674</v>
      </c>
      <c r="I99" s="19" t="s">
        <v>8673</v>
      </c>
      <c r="J99" t="s">
        <v>8672</v>
      </c>
      <c r="K99" s="18"/>
      <c r="M99" s="18" t="s">
        <v>8910</v>
      </c>
      <c r="N99" s="18"/>
      <c r="O99" t="str">
        <f>IF(ISERROR(VLOOKUP(A99,GamesTable[game_id],1,0)),"not found","found")</f>
        <v>found</v>
      </c>
    </row>
    <row r="100" spans="1:15" ht="14.25" customHeight="1" x14ac:dyDescent="0.25">
      <c r="A100" s="18" t="s">
        <v>7865</v>
      </c>
      <c r="B100">
        <v>79387</v>
      </c>
      <c r="C100">
        <v>29794</v>
      </c>
      <c r="D100" t="s">
        <v>8348</v>
      </c>
      <c r="E100">
        <v>73888</v>
      </c>
      <c r="F100" t="s">
        <v>2929</v>
      </c>
      <c r="G100" t="s">
        <v>8591</v>
      </c>
      <c r="H100" t="s">
        <v>8590</v>
      </c>
      <c r="I100" s="19" t="s">
        <v>8589</v>
      </c>
      <c r="J100" t="s">
        <v>8588</v>
      </c>
      <c r="K100" s="18"/>
      <c r="M100" s="18" t="s">
        <v>8930</v>
      </c>
      <c r="N100" s="18"/>
      <c r="O100" t="str">
        <f>IF(ISERROR(VLOOKUP(A100,GamesTable[game_id],1,0)),"not found","found")</f>
        <v>found</v>
      </c>
    </row>
    <row r="101" spans="1:15" ht="14.25" customHeight="1" x14ac:dyDescent="0.25">
      <c r="A101" s="18" t="s">
        <v>7864</v>
      </c>
      <c r="B101">
        <v>79396</v>
      </c>
      <c r="C101">
        <v>29794</v>
      </c>
      <c r="D101" t="s">
        <v>8348</v>
      </c>
      <c r="G101" t="s">
        <v>2002</v>
      </c>
      <c r="H101" t="s">
        <v>1991</v>
      </c>
      <c r="I101" t="s">
        <v>8587</v>
      </c>
      <c r="J101" t="s">
        <v>8586</v>
      </c>
      <c r="K101" s="18"/>
      <c r="M101" s="18" t="s">
        <v>8931</v>
      </c>
      <c r="N101" s="18"/>
      <c r="O101" t="str">
        <f>IF(ISERROR(VLOOKUP(A101,GamesTable[game_id],1,0)),"not found","found")</f>
        <v>found</v>
      </c>
    </row>
    <row r="102" spans="1:15" ht="14.25" customHeight="1" x14ac:dyDescent="0.25">
      <c r="A102" s="18" t="s">
        <v>7866</v>
      </c>
      <c r="B102">
        <v>79452</v>
      </c>
      <c r="C102">
        <v>29794</v>
      </c>
      <c r="D102" t="s">
        <v>8348</v>
      </c>
      <c r="E102">
        <v>77513</v>
      </c>
      <c r="F102" t="s">
        <v>4347</v>
      </c>
      <c r="G102" t="s">
        <v>4348</v>
      </c>
      <c r="H102" t="s">
        <v>4338</v>
      </c>
      <c r="I102" s="19" t="s">
        <v>8585</v>
      </c>
      <c r="J102" t="s">
        <v>8584</v>
      </c>
      <c r="K102" s="18"/>
      <c r="M102" s="18" t="s">
        <v>8932</v>
      </c>
      <c r="N102" s="18"/>
      <c r="O102" t="str">
        <f>IF(ISERROR(VLOOKUP(A102,GamesTable[game_id],1,0)),"not found","found")</f>
        <v>found</v>
      </c>
    </row>
    <row r="103" spans="1:15" ht="14.25" customHeight="1" x14ac:dyDescent="0.25">
      <c r="A103" s="18" t="s">
        <v>7860</v>
      </c>
      <c r="B103">
        <v>79476</v>
      </c>
      <c r="C103">
        <v>29794</v>
      </c>
      <c r="D103" t="s">
        <v>8348</v>
      </c>
      <c r="E103">
        <v>73839</v>
      </c>
      <c r="F103" t="s">
        <v>194</v>
      </c>
      <c r="G103" t="s">
        <v>8583</v>
      </c>
      <c r="H103" t="s">
        <v>4685</v>
      </c>
      <c r="I103" t="s">
        <v>8582</v>
      </c>
      <c r="J103" t="s">
        <v>8581</v>
      </c>
      <c r="K103" s="18">
        <v>34335.041666666664</v>
      </c>
      <c r="M103" s="18"/>
      <c r="N103" s="18">
        <v>34335.041666666664</v>
      </c>
      <c r="O103" t="str">
        <f>IF(ISERROR(VLOOKUP(A103,GamesTable[game_id],1,0)),"not found","found")</f>
        <v>found</v>
      </c>
    </row>
    <row r="104" spans="1:15" ht="14.25" customHeight="1" x14ac:dyDescent="0.25">
      <c r="A104" s="18" t="s">
        <v>7859</v>
      </c>
      <c r="B104">
        <v>79478</v>
      </c>
      <c r="C104">
        <v>29794</v>
      </c>
      <c r="D104" t="s">
        <v>8348</v>
      </c>
      <c r="G104" t="s">
        <v>8580</v>
      </c>
      <c r="H104" t="s">
        <v>2449</v>
      </c>
      <c r="I104" s="19" t="s">
        <v>8579</v>
      </c>
      <c r="J104" t="s">
        <v>8578</v>
      </c>
      <c r="K104" s="18">
        <v>36161.041666666664</v>
      </c>
      <c r="M104" s="18"/>
      <c r="N104" s="18">
        <v>36161.041666666664</v>
      </c>
      <c r="O104" t="str">
        <f>IF(ISERROR(VLOOKUP(A104,GamesTable[game_id],1,0)),"not found","found")</f>
        <v>found</v>
      </c>
    </row>
    <row r="105" spans="1:15" ht="14.25" customHeight="1" x14ac:dyDescent="0.25">
      <c r="A105" s="18" t="s">
        <v>7868</v>
      </c>
      <c r="B105">
        <v>79486</v>
      </c>
      <c r="C105">
        <v>29794</v>
      </c>
      <c r="D105" t="s">
        <v>8348</v>
      </c>
      <c r="G105" t="s">
        <v>3918</v>
      </c>
      <c r="H105" t="s">
        <v>8577</v>
      </c>
      <c r="I105" s="19" t="s">
        <v>8576</v>
      </c>
      <c r="J105" t="s">
        <v>8575</v>
      </c>
      <c r="K105" s="18"/>
      <c r="M105" s="18" t="s">
        <v>8933</v>
      </c>
      <c r="N105" s="18"/>
      <c r="O105" t="str">
        <f>IF(ISERROR(VLOOKUP(A105,GamesTable[game_id],1,0)),"not found","found")</f>
        <v>found</v>
      </c>
    </row>
    <row r="106" spans="1:15" ht="14.25" customHeight="1" x14ac:dyDescent="0.25">
      <c r="A106" s="18" t="s">
        <v>7867</v>
      </c>
      <c r="B106">
        <v>79487</v>
      </c>
      <c r="C106">
        <v>29794</v>
      </c>
      <c r="D106" t="s">
        <v>8348</v>
      </c>
      <c r="G106" t="s">
        <v>2981</v>
      </c>
      <c r="H106" t="s">
        <v>2975</v>
      </c>
      <c r="I106" t="s">
        <v>8574</v>
      </c>
      <c r="J106" t="s">
        <v>8573</v>
      </c>
      <c r="K106" s="18">
        <v>35431.041666666664</v>
      </c>
      <c r="M106" s="18"/>
      <c r="N106" s="18">
        <v>35431.041666666664</v>
      </c>
      <c r="O106" t="str">
        <f>IF(ISERROR(VLOOKUP(A106,GamesTable[game_id],1,0)),"not found","found")</f>
        <v>found</v>
      </c>
    </row>
    <row r="107" spans="1:15" ht="14.25" customHeight="1" x14ac:dyDescent="0.25">
      <c r="A107" s="18" t="s">
        <v>7817</v>
      </c>
      <c r="B107">
        <v>79499</v>
      </c>
      <c r="C107">
        <v>29794</v>
      </c>
      <c r="D107" t="s">
        <v>8348</v>
      </c>
      <c r="E107">
        <v>36275</v>
      </c>
      <c r="F107" t="s">
        <v>1912</v>
      </c>
      <c r="G107" t="s">
        <v>8572</v>
      </c>
      <c r="H107" t="s">
        <v>6802</v>
      </c>
      <c r="I107" t="s">
        <v>8571</v>
      </c>
      <c r="J107" t="s">
        <v>8570</v>
      </c>
      <c r="K107" s="18">
        <v>32874.041666666664</v>
      </c>
      <c r="M107" s="18" t="s">
        <v>8934</v>
      </c>
      <c r="N107" s="18">
        <v>32874.041666666664</v>
      </c>
      <c r="O107" t="str">
        <f>IF(ISERROR(VLOOKUP(A107,GamesTable[game_id],1,0)),"not found","found")</f>
        <v>found</v>
      </c>
    </row>
    <row r="108" spans="1:15" ht="14.25" customHeight="1" x14ac:dyDescent="0.25">
      <c r="A108" s="18" t="s">
        <v>7870</v>
      </c>
      <c r="B108">
        <v>79561</v>
      </c>
      <c r="C108">
        <v>29794</v>
      </c>
      <c r="D108" t="s">
        <v>8348</v>
      </c>
      <c r="E108">
        <v>36275</v>
      </c>
      <c r="F108" t="s">
        <v>1912</v>
      </c>
      <c r="G108" t="s">
        <v>8569</v>
      </c>
      <c r="H108" t="s">
        <v>6739</v>
      </c>
      <c r="J108" t="s">
        <v>8568</v>
      </c>
      <c r="K108" s="18"/>
      <c r="M108" s="18">
        <v>33245.083333333336</v>
      </c>
      <c r="N108" s="18"/>
      <c r="O108" t="str">
        <f>IF(ISERROR(VLOOKUP(A108,GamesTable[game_id],1,0)),"not found","found")</f>
        <v>found</v>
      </c>
    </row>
    <row r="109" spans="1:15" ht="14.25" customHeight="1" x14ac:dyDescent="0.25">
      <c r="A109" s="18" t="s">
        <v>7871</v>
      </c>
      <c r="B109">
        <v>79576</v>
      </c>
      <c r="C109">
        <v>29794</v>
      </c>
      <c r="D109" t="s">
        <v>8348</v>
      </c>
      <c r="E109">
        <v>79265</v>
      </c>
      <c r="F109" t="s">
        <v>2520</v>
      </c>
      <c r="G109" t="s">
        <v>8567</v>
      </c>
      <c r="H109" t="s">
        <v>8566</v>
      </c>
      <c r="J109" t="s">
        <v>8563</v>
      </c>
      <c r="K109" s="18"/>
      <c r="M109" s="18"/>
      <c r="N109" s="18">
        <v>34700.041666666664</v>
      </c>
      <c r="O109" t="str">
        <f>IF(ISERROR(VLOOKUP(A109,GamesTable[game_id],1,0)),"not found","found")</f>
        <v>found</v>
      </c>
    </row>
    <row r="110" spans="1:15" ht="14.25" customHeight="1" x14ac:dyDescent="0.25">
      <c r="A110" s="18" t="s">
        <v>7869</v>
      </c>
      <c r="B110">
        <v>79579</v>
      </c>
      <c r="C110">
        <v>29794</v>
      </c>
      <c r="D110" t="s">
        <v>8348</v>
      </c>
      <c r="E110">
        <v>36275</v>
      </c>
      <c r="F110" t="s">
        <v>1912</v>
      </c>
      <c r="G110" t="s">
        <v>8565</v>
      </c>
      <c r="H110" t="s">
        <v>8564</v>
      </c>
      <c r="J110" t="s">
        <v>8563</v>
      </c>
      <c r="K110" s="18"/>
      <c r="M110" s="18"/>
      <c r="N110" s="18">
        <v>33604.041666666664</v>
      </c>
      <c r="O110" t="str">
        <f>IF(ISERROR(VLOOKUP(A110,GamesTable[game_id],1,0)),"not found","found")</f>
        <v>found</v>
      </c>
    </row>
    <row r="111" spans="1:15" ht="14.25" customHeight="1" x14ac:dyDescent="0.25">
      <c r="A111" s="18" t="s">
        <v>7878</v>
      </c>
      <c r="B111">
        <v>79655</v>
      </c>
      <c r="C111">
        <v>29794</v>
      </c>
      <c r="D111" t="s">
        <v>8348</v>
      </c>
      <c r="E111">
        <v>76226</v>
      </c>
      <c r="F111" t="s">
        <v>8562</v>
      </c>
      <c r="G111" t="s">
        <v>8561</v>
      </c>
      <c r="H111" t="s">
        <v>1689</v>
      </c>
      <c r="I111" t="s">
        <v>8560</v>
      </c>
      <c r="J111" t="s">
        <v>8559</v>
      </c>
      <c r="K111" s="18"/>
      <c r="M111" s="18">
        <v>37413.083333333336</v>
      </c>
      <c r="N111" s="18"/>
      <c r="O111" t="str">
        <f>IF(ISERROR(VLOOKUP(A111,GamesTable[game_id],1,0)),"not found","found")</f>
        <v>found</v>
      </c>
    </row>
    <row r="112" spans="1:15" ht="14.25" customHeight="1" x14ac:dyDescent="0.25">
      <c r="A112" s="18" t="s">
        <v>7872</v>
      </c>
      <c r="B112">
        <v>79656</v>
      </c>
      <c r="C112">
        <v>29794</v>
      </c>
      <c r="D112" t="s">
        <v>8348</v>
      </c>
      <c r="E112">
        <v>79265</v>
      </c>
      <c r="F112" t="s">
        <v>2520</v>
      </c>
      <c r="G112" t="s">
        <v>3515</v>
      </c>
      <c r="H112" t="s">
        <v>3509</v>
      </c>
      <c r="I112" t="s">
        <v>8558</v>
      </c>
      <c r="J112" t="s">
        <v>8557</v>
      </c>
      <c r="K112" s="18"/>
      <c r="M112" s="18" t="s">
        <v>8935</v>
      </c>
      <c r="N112" s="18"/>
      <c r="O112" t="str">
        <f>IF(ISERROR(VLOOKUP(A112,GamesTable[game_id],1,0)),"not found","found")</f>
        <v>found</v>
      </c>
    </row>
    <row r="113" spans="1:15" ht="14.25" customHeight="1" x14ac:dyDescent="0.25">
      <c r="A113" s="18" t="s">
        <v>7873</v>
      </c>
      <c r="B113">
        <v>79707</v>
      </c>
      <c r="C113">
        <v>29794</v>
      </c>
      <c r="D113" t="s">
        <v>8348</v>
      </c>
      <c r="E113">
        <v>36275</v>
      </c>
      <c r="F113" t="s">
        <v>1912</v>
      </c>
      <c r="G113" t="s">
        <v>8556</v>
      </c>
      <c r="H113" t="s">
        <v>8555</v>
      </c>
      <c r="I113" s="19" t="s">
        <v>8554</v>
      </c>
      <c r="J113" s="19" t="s">
        <v>8553</v>
      </c>
      <c r="K113" s="18">
        <v>34700.041666666664</v>
      </c>
      <c r="M113" s="18" t="s">
        <v>8936</v>
      </c>
      <c r="N113" s="18">
        <v>34700.041666666664</v>
      </c>
      <c r="O113" t="str">
        <f>IF(ISERROR(VLOOKUP(A113,GamesTable[game_id],1,0)),"not found","found")</f>
        <v>found</v>
      </c>
    </row>
    <row r="114" spans="1:15" ht="14.25" customHeight="1" x14ac:dyDescent="0.25">
      <c r="A114" s="18" t="s">
        <v>7874</v>
      </c>
      <c r="B114">
        <v>79709</v>
      </c>
      <c r="C114">
        <v>29794</v>
      </c>
      <c r="D114" t="s">
        <v>8348</v>
      </c>
      <c r="E114">
        <v>36275</v>
      </c>
      <c r="F114" t="s">
        <v>1912</v>
      </c>
      <c r="G114" t="s">
        <v>8552</v>
      </c>
      <c r="H114" t="s">
        <v>8551</v>
      </c>
      <c r="I114" s="19" t="s">
        <v>8550</v>
      </c>
      <c r="J114" t="s">
        <v>8549</v>
      </c>
      <c r="K114" s="18"/>
      <c r="M114" s="18" t="s">
        <v>8937</v>
      </c>
      <c r="N114" s="18"/>
      <c r="O114" t="str">
        <f>IF(ISERROR(VLOOKUP(A114,GamesTable[game_id],1,0)),"not found","found")</f>
        <v>found</v>
      </c>
    </row>
    <row r="115" spans="1:15" ht="14.25" customHeight="1" x14ac:dyDescent="0.25">
      <c r="A115" s="18" t="s">
        <v>7875</v>
      </c>
      <c r="B115">
        <v>79710</v>
      </c>
      <c r="C115">
        <v>29794</v>
      </c>
      <c r="D115" t="s">
        <v>8348</v>
      </c>
      <c r="E115">
        <v>36275</v>
      </c>
      <c r="F115" t="s">
        <v>1912</v>
      </c>
      <c r="G115" t="s">
        <v>3332</v>
      </c>
      <c r="H115" t="s">
        <v>3326</v>
      </c>
      <c r="I115" s="19" t="s">
        <v>8548</v>
      </c>
      <c r="J115" t="s">
        <v>8547</v>
      </c>
      <c r="K115" s="18">
        <v>35065.041666666664</v>
      </c>
      <c r="M115" s="18" t="s">
        <v>8938</v>
      </c>
      <c r="N115" s="18">
        <v>35065.041666666664</v>
      </c>
      <c r="O115" t="str">
        <f>IF(ISERROR(VLOOKUP(A115,GamesTable[game_id],1,0)),"not found","found")</f>
        <v>found</v>
      </c>
    </row>
    <row r="116" spans="1:15" ht="14.25" customHeight="1" x14ac:dyDescent="0.25">
      <c r="A116" s="18" t="s">
        <v>7876</v>
      </c>
      <c r="B116">
        <v>29885</v>
      </c>
      <c r="C116">
        <v>29794</v>
      </c>
      <c r="D116" t="s">
        <v>8348</v>
      </c>
      <c r="E116">
        <v>36275</v>
      </c>
      <c r="F116" t="s">
        <v>1912</v>
      </c>
      <c r="G116" t="s">
        <v>8830</v>
      </c>
      <c r="H116" t="s">
        <v>7480</v>
      </c>
      <c r="I116" s="19" t="s">
        <v>8829</v>
      </c>
      <c r="J116" t="s">
        <v>8828</v>
      </c>
      <c r="K116" s="18">
        <v>32874.041666666664</v>
      </c>
      <c r="M116" s="18" t="s">
        <v>8879</v>
      </c>
      <c r="N116" s="18">
        <v>32874.041666666664</v>
      </c>
      <c r="O116" t="str">
        <f>IF(ISERROR(VLOOKUP(A116,GamesTable[game_id],1,0)),"not found","found")</f>
        <v>found</v>
      </c>
    </row>
    <row r="117" spans="1:15" ht="14.25" customHeight="1" x14ac:dyDescent="0.25">
      <c r="A117" s="18" t="s">
        <v>7877</v>
      </c>
      <c r="B117">
        <v>79803</v>
      </c>
      <c r="C117">
        <v>29794</v>
      </c>
      <c r="D117" t="s">
        <v>8348</v>
      </c>
      <c r="E117">
        <v>36275</v>
      </c>
      <c r="F117" t="s">
        <v>1912</v>
      </c>
      <c r="G117" t="s">
        <v>6446</v>
      </c>
      <c r="H117" t="s">
        <v>6432</v>
      </c>
      <c r="I117" t="s">
        <v>8546</v>
      </c>
      <c r="J117" s="19" t="s">
        <v>8545</v>
      </c>
      <c r="K117" s="18">
        <v>33239.041666666664</v>
      </c>
      <c r="M117" s="18" t="s">
        <v>8939</v>
      </c>
      <c r="N117" s="18">
        <v>33239.041666666664</v>
      </c>
      <c r="O117" t="str">
        <f>IF(ISERROR(VLOOKUP(A117,GamesTable[game_id],1,0)),"not found","found")</f>
        <v>found</v>
      </c>
    </row>
    <row r="118" spans="1:15" ht="14.25" customHeight="1" x14ac:dyDescent="0.25">
      <c r="A118" s="18" t="s">
        <v>7881</v>
      </c>
      <c r="B118">
        <v>79932</v>
      </c>
      <c r="C118">
        <v>29794</v>
      </c>
      <c r="D118" t="s">
        <v>8348</v>
      </c>
      <c r="E118">
        <v>36275</v>
      </c>
      <c r="F118" t="s">
        <v>1912</v>
      </c>
      <c r="G118" t="s">
        <v>8544</v>
      </c>
      <c r="H118" t="s">
        <v>5965</v>
      </c>
      <c r="I118" t="s">
        <v>8543</v>
      </c>
      <c r="J118" s="19" t="s">
        <v>8542</v>
      </c>
      <c r="K118" s="18">
        <v>33970.041666666664</v>
      </c>
      <c r="M118" s="18">
        <v>34157.083333333336</v>
      </c>
      <c r="N118" s="18">
        <v>33970.041666666664</v>
      </c>
      <c r="O118" t="str">
        <f>IF(ISERROR(VLOOKUP(A118,GamesTable[game_id],1,0)),"not found","found")</f>
        <v>found</v>
      </c>
    </row>
    <row r="119" spans="1:15" ht="14.25" customHeight="1" x14ac:dyDescent="0.25">
      <c r="A119" s="18" t="s">
        <v>7922</v>
      </c>
      <c r="B119">
        <v>79934</v>
      </c>
      <c r="C119">
        <v>29794</v>
      </c>
      <c r="D119" t="s">
        <v>8348</v>
      </c>
      <c r="E119">
        <v>36275</v>
      </c>
      <c r="F119" t="s">
        <v>1912</v>
      </c>
      <c r="G119" t="s">
        <v>8541</v>
      </c>
      <c r="H119" t="s">
        <v>8540</v>
      </c>
      <c r="I119" t="s">
        <v>8539</v>
      </c>
      <c r="J119" t="s">
        <v>8538</v>
      </c>
      <c r="K119" s="18"/>
      <c r="M119" s="18" t="s">
        <v>8940</v>
      </c>
      <c r="N119" s="18"/>
      <c r="O119" t="str">
        <f>IF(ISERROR(VLOOKUP(A119,GamesTable[game_id],1,0)),"not found","found")</f>
        <v>found</v>
      </c>
    </row>
    <row r="120" spans="1:15" ht="14.25" customHeight="1" x14ac:dyDescent="0.25">
      <c r="A120" s="18" t="s">
        <v>7923</v>
      </c>
      <c r="B120">
        <v>79935</v>
      </c>
      <c r="C120">
        <v>29794</v>
      </c>
      <c r="D120" t="s">
        <v>8348</v>
      </c>
      <c r="E120">
        <v>36275</v>
      </c>
      <c r="F120" t="s">
        <v>1912</v>
      </c>
      <c r="G120" t="s">
        <v>8537</v>
      </c>
      <c r="H120" t="s">
        <v>8536</v>
      </c>
      <c r="I120" s="19" t="s">
        <v>8535</v>
      </c>
      <c r="J120" t="s">
        <v>8534</v>
      </c>
      <c r="K120" s="18"/>
      <c r="M120" s="18" t="s">
        <v>8941</v>
      </c>
      <c r="N120" s="18">
        <v>34700.041666666664</v>
      </c>
      <c r="O120" t="str">
        <f>IF(ISERROR(VLOOKUP(A120,GamesTable[game_id],1,0)),"not found","found")</f>
        <v>found</v>
      </c>
    </row>
    <row r="121" spans="1:15" ht="14.25" customHeight="1" x14ac:dyDescent="0.25">
      <c r="A121" s="18" t="s">
        <v>7924</v>
      </c>
      <c r="B121">
        <v>79936</v>
      </c>
      <c r="C121">
        <v>29794</v>
      </c>
      <c r="D121" t="s">
        <v>8348</v>
      </c>
      <c r="E121">
        <v>36275</v>
      </c>
      <c r="F121" t="s">
        <v>1912</v>
      </c>
      <c r="G121" t="s">
        <v>8533</v>
      </c>
      <c r="H121" t="s">
        <v>8532</v>
      </c>
      <c r="I121" t="s">
        <v>8531</v>
      </c>
      <c r="J121" s="19" t="s">
        <v>8530</v>
      </c>
      <c r="K121" s="18">
        <v>35065.041666666664</v>
      </c>
      <c r="M121" s="18" t="s">
        <v>8942</v>
      </c>
      <c r="N121" s="18">
        <v>35065.041666666664</v>
      </c>
      <c r="O121" t="str">
        <f>IF(ISERROR(VLOOKUP(A121,GamesTable[game_id],1,0)),"not found","found")</f>
        <v>found</v>
      </c>
    </row>
    <row r="122" spans="1:15" ht="14.25" customHeight="1" x14ac:dyDescent="0.25">
      <c r="A122" s="18" t="s">
        <v>7925</v>
      </c>
      <c r="B122">
        <v>79937</v>
      </c>
      <c r="C122">
        <v>29794</v>
      </c>
      <c r="D122" t="s">
        <v>8348</v>
      </c>
      <c r="E122">
        <v>73839</v>
      </c>
      <c r="F122" t="s">
        <v>194</v>
      </c>
      <c r="G122" t="s">
        <v>8529</v>
      </c>
      <c r="H122" t="s">
        <v>8528</v>
      </c>
      <c r="I122" t="s">
        <v>8527</v>
      </c>
      <c r="J122" s="19" t="s">
        <v>8526</v>
      </c>
      <c r="K122" s="18">
        <v>37622.041666666664</v>
      </c>
      <c r="M122" s="18" t="s">
        <v>8943</v>
      </c>
      <c r="N122" s="18">
        <v>37622.041666666664</v>
      </c>
      <c r="O122" t="str">
        <f>IF(ISERROR(VLOOKUP(A122,GamesTable[game_id],1,0)),"not found","found")</f>
        <v>found</v>
      </c>
    </row>
    <row r="123" spans="1:15" ht="14.25" customHeight="1" x14ac:dyDescent="0.25">
      <c r="A123" s="18" t="s">
        <v>7880</v>
      </c>
      <c r="B123">
        <v>79939</v>
      </c>
      <c r="C123">
        <v>29794</v>
      </c>
      <c r="D123" t="s">
        <v>8348</v>
      </c>
      <c r="G123" t="s">
        <v>8525</v>
      </c>
      <c r="H123" t="s">
        <v>8524</v>
      </c>
      <c r="I123" s="19" t="s">
        <v>8523</v>
      </c>
      <c r="J123" s="19" t="s">
        <v>8522</v>
      </c>
      <c r="K123" s="18">
        <v>37987.041666666664</v>
      </c>
      <c r="M123" s="18" t="s">
        <v>8944</v>
      </c>
      <c r="N123" s="18">
        <v>37987.041666666664</v>
      </c>
      <c r="O123" t="str">
        <f>IF(ISERROR(VLOOKUP(A123,GamesTable[game_id],1,0)),"not found","found")</f>
        <v>found</v>
      </c>
    </row>
    <row r="124" spans="1:15" ht="14.25" customHeight="1" x14ac:dyDescent="0.25">
      <c r="A124" t="s">
        <v>7922</v>
      </c>
      <c r="B124">
        <v>79963</v>
      </c>
      <c r="C124">
        <v>29794</v>
      </c>
      <c r="D124" t="s">
        <v>8348</v>
      </c>
      <c r="E124">
        <v>36275</v>
      </c>
      <c r="F124" t="s">
        <v>1912</v>
      </c>
      <c r="G124" t="s">
        <v>8521</v>
      </c>
      <c r="K124" s="18"/>
      <c r="M124" s="18"/>
      <c r="N124" s="18">
        <v>34335.041666666664</v>
      </c>
      <c r="O124" t="str">
        <f>IF(ISERROR(VLOOKUP(A124,GamesTable[game_id],1,0)),"not found","found")</f>
        <v>found</v>
      </c>
    </row>
    <row r="125" spans="1:15" ht="14.25" customHeight="1" x14ac:dyDescent="0.25">
      <c r="A125" s="18" t="s">
        <v>7882</v>
      </c>
      <c r="B125">
        <v>79969</v>
      </c>
      <c r="C125">
        <v>29794</v>
      </c>
      <c r="D125" t="s">
        <v>8348</v>
      </c>
      <c r="E125">
        <v>36275</v>
      </c>
      <c r="F125" t="s">
        <v>1912</v>
      </c>
      <c r="G125" t="s">
        <v>8520</v>
      </c>
      <c r="H125" t="s">
        <v>8519</v>
      </c>
      <c r="I125" t="s">
        <v>8518</v>
      </c>
      <c r="J125" t="s">
        <v>8517</v>
      </c>
      <c r="K125" s="18">
        <v>34700.041666666664</v>
      </c>
      <c r="M125" s="18" t="s">
        <v>8945</v>
      </c>
      <c r="N125" s="18">
        <v>34700.041666666664</v>
      </c>
      <c r="O125" t="str">
        <f>IF(ISERROR(VLOOKUP(A125,GamesTable[game_id],1,0)),"not found","found")</f>
        <v>found</v>
      </c>
    </row>
    <row r="126" spans="1:15" ht="14.25" customHeight="1" x14ac:dyDescent="0.25">
      <c r="A126" s="18" t="s">
        <v>7885</v>
      </c>
      <c r="B126">
        <v>80051</v>
      </c>
      <c r="C126">
        <v>29794</v>
      </c>
      <c r="D126" t="s">
        <v>8348</v>
      </c>
      <c r="E126">
        <v>36275</v>
      </c>
      <c r="F126" t="s">
        <v>1912</v>
      </c>
      <c r="G126" t="s">
        <v>8516</v>
      </c>
      <c r="H126" t="s">
        <v>7139</v>
      </c>
      <c r="I126" t="s">
        <v>8515</v>
      </c>
      <c r="J126" s="19" t="s">
        <v>8514</v>
      </c>
      <c r="K126" s="18">
        <v>33239.041666666664</v>
      </c>
      <c r="M126" s="18">
        <v>33574.041666666664</v>
      </c>
      <c r="N126" s="18">
        <v>33239.041666666664</v>
      </c>
      <c r="O126" t="str">
        <f>IF(ISERROR(VLOOKUP(A126,GamesTable[game_id],1,0)),"not found","found")</f>
        <v>found</v>
      </c>
    </row>
    <row r="127" spans="1:15" ht="14.25" customHeight="1" x14ac:dyDescent="0.25">
      <c r="A127" s="18" t="s">
        <v>7926</v>
      </c>
      <c r="B127">
        <v>80052</v>
      </c>
      <c r="C127">
        <v>29794</v>
      </c>
      <c r="D127" t="s">
        <v>8348</v>
      </c>
      <c r="E127">
        <v>36275</v>
      </c>
      <c r="F127" t="s">
        <v>1912</v>
      </c>
      <c r="G127" t="s">
        <v>6151</v>
      </c>
      <c r="H127" t="s">
        <v>8513</v>
      </c>
      <c r="I127" s="19" t="s">
        <v>8512</v>
      </c>
      <c r="J127" s="19" t="s">
        <v>8511</v>
      </c>
      <c r="K127" s="18">
        <v>33970.041666666664</v>
      </c>
      <c r="M127" s="18" t="s">
        <v>8946</v>
      </c>
      <c r="N127" s="18">
        <v>33970.041666666664</v>
      </c>
      <c r="O127" t="str">
        <f>IF(ISERROR(VLOOKUP(A127,GamesTable[game_id],1,0)),"not found","found")</f>
        <v>found</v>
      </c>
    </row>
    <row r="128" spans="1:15" ht="14.25" customHeight="1" x14ac:dyDescent="0.25">
      <c r="A128" s="18" t="s">
        <v>7927</v>
      </c>
      <c r="B128">
        <v>80053</v>
      </c>
      <c r="C128">
        <v>29794</v>
      </c>
      <c r="D128" t="s">
        <v>8348</v>
      </c>
      <c r="E128">
        <v>76567</v>
      </c>
      <c r="F128" t="s">
        <v>8510</v>
      </c>
      <c r="G128" t="s">
        <v>8509</v>
      </c>
      <c r="H128" t="s">
        <v>8508</v>
      </c>
      <c r="I128" t="s">
        <v>8507</v>
      </c>
      <c r="J128" t="s">
        <v>8506</v>
      </c>
      <c r="K128" s="18">
        <v>36892.041666666664</v>
      </c>
      <c r="M128" s="18" t="s">
        <v>8947</v>
      </c>
      <c r="N128" s="18">
        <v>36892.041666666664</v>
      </c>
      <c r="O128" t="str">
        <f>IF(ISERROR(VLOOKUP(A128,GamesTable[game_id],1,0)),"not found","found")</f>
        <v>found</v>
      </c>
    </row>
    <row r="129" spans="1:15" ht="14.25" customHeight="1" x14ac:dyDescent="0.25">
      <c r="A129" s="18" t="s">
        <v>7887</v>
      </c>
      <c r="B129">
        <v>80124</v>
      </c>
      <c r="C129">
        <v>29794</v>
      </c>
      <c r="D129" t="s">
        <v>8348</v>
      </c>
      <c r="E129">
        <v>79265</v>
      </c>
      <c r="F129" t="s">
        <v>2520</v>
      </c>
      <c r="G129" t="s">
        <v>8505</v>
      </c>
      <c r="H129" t="s">
        <v>2893</v>
      </c>
      <c r="I129" s="19" t="s">
        <v>8504</v>
      </c>
      <c r="J129" s="19" t="s">
        <v>8503</v>
      </c>
      <c r="K129" s="18">
        <v>35431.041666666664</v>
      </c>
      <c r="M129" s="18">
        <v>35745.041666666664</v>
      </c>
      <c r="N129" s="18">
        <v>35431.041666666664</v>
      </c>
      <c r="O129" t="str">
        <f>IF(ISERROR(VLOOKUP(A129,GamesTable[game_id],1,0)),"not found","found")</f>
        <v>found</v>
      </c>
    </row>
    <row r="130" spans="1:15" ht="14.25" customHeight="1" x14ac:dyDescent="0.25">
      <c r="A130" s="18" t="s">
        <v>7886</v>
      </c>
      <c r="B130">
        <v>80125</v>
      </c>
      <c r="C130">
        <v>29794</v>
      </c>
      <c r="D130" t="s">
        <v>8348</v>
      </c>
      <c r="E130">
        <v>79265</v>
      </c>
      <c r="F130" t="s">
        <v>2520</v>
      </c>
      <c r="G130" t="s">
        <v>2521</v>
      </c>
      <c r="H130" t="s">
        <v>2511</v>
      </c>
      <c r="I130" t="s">
        <v>8502</v>
      </c>
      <c r="J130" s="19" t="s">
        <v>8501</v>
      </c>
      <c r="K130" s="18">
        <v>35796.041666666664</v>
      </c>
      <c r="M130" s="18">
        <v>35957.041666666664</v>
      </c>
      <c r="N130" s="18">
        <v>35796.041666666664</v>
      </c>
      <c r="O130" t="str">
        <f>IF(ISERROR(VLOOKUP(A130,GamesTable[game_id],1,0)),"not found","found")</f>
        <v>found</v>
      </c>
    </row>
    <row r="131" spans="1:15" ht="14.25" customHeight="1" x14ac:dyDescent="0.25">
      <c r="A131" s="18" t="s">
        <v>7845</v>
      </c>
      <c r="B131">
        <v>80144</v>
      </c>
      <c r="C131">
        <v>29794</v>
      </c>
      <c r="D131" t="s">
        <v>8348</v>
      </c>
      <c r="E131">
        <v>74042</v>
      </c>
      <c r="F131" t="s">
        <v>3770</v>
      </c>
      <c r="G131" t="s">
        <v>8500</v>
      </c>
      <c r="H131" t="s">
        <v>3897</v>
      </c>
      <c r="K131" s="18"/>
      <c r="M131" s="18"/>
      <c r="N131" s="18">
        <v>34700.041666666664</v>
      </c>
      <c r="O131" t="str">
        <f>IF(ISERROR(VLOOKUP(A131,GamesTable[game_id],1,0)),"not found","found")</f>
        <v>found</v>
      </c>
    </row>
    <row r="132" spans="1:15" ht="14.25" customHeight="1" x14ac:dyDescent="0.25">
      <c r="A132" s="18" t="s">
        <v>7896</v>
      </c>
      <c r="B132">
        <v>80260</v>
      </c>
      <c r="C132">
        <v>29794</v>
      </c>
      <c r="D132" t="s">
        <v>8348</v>
      </c>
      <c r="E132">
        <v>73839</v>
      </c>
      <c r="F132" t="s">
        <v>194</v>
      </c>
      <c r="G132" t="s">
        <v>8499</v>
      </c>
      <c r="I132" s="19" t="s">
        <v>8498</v>
      </c>
      <c r="J132" s="19" t="s">
        <v>8497</v>
      </c>
      <c r="K132" s="18">
        <v>37622.041666666664</v>
      </c>
      <c r="M132" s="18" t="s">
        <v>8948</v>
      </c>
      <c r="N132" s="18">
        <v>37622.041666666664</v>
      </c>
      <c r="O132" t="str">
        <f>IF(ISERROR(VLOOKUP(A132,GamesTable[game_id],1,0)),"not found","found")</f>
        <v>found</v>
      </c>
    </row>
    <row r="133" spans="1:15" ht="14.25" customHeight="1" x14ac:dyDescent="0.25">
      <c r="A133" s="18" t="s">
        <v>7896</v>
      </c>
      <c r="B133">
        <v>80261</v>
      </c>
      <c r="C133">
        <v>29794</v>
      </c>
      <c r="D133" t="s">
        <v>8348</v>
      </c>
      <c r="E133">
        <v>73839</v>
      </c>
      <c r="F133" t="s">
        <v>194</v>
      </c>
      <c r="G133" t="s">
        <v>8496</v>
      </c>
      <c r="J133" s="19" t="s">
        <v>8495</v>
      </c>
      <c r="K133" s="18"/>
      <c r="M133" s="18"/>
      <c r="N133" s="18">
        <v>37622.041666666664</v>
      </c>
      <c r="O133" t="str">
        <f>IF(ISERROR(VLOOKUP(A133,GamesTable[game_id],1,0)),"not found","found")</f>
        <v>found</v>
      </c>
    </row>
    <row r="134" spans="1:15" ht="14.25" customHeight="1" x14ac:dyDescent="0.25">
      <c r="A134" s="18" t="s">
        <v>7896</v>
      </c>
      <c r="B134">
        <v>80262</v>
      </c>
      <c r="C134">
        <v>29794</v>
      </c>
      <c r="D134" t="s">
        <v>8348</v>
      </c>
      <c r="E134">
        <v>73839</v>
      </c>
      <c r="F134" t="s">
        <v>194</v>
      </c>
      <c r="G134" t="s">
        <v>8494</v>
      </c>
      <c r="J134" s="19" t="s">
        <v>8493</v>
      </c>
      <c r="K134" s="18"/>
      <c r="M134" s="18"/>
      <c r="N134" s="18">
        <v>37622.041666666664</v>
      </c>
      <c r="O134" t="str">
        <f>IF(ISERROR(VLOOKUP(A134,GamesTable[game_id],1,0)),"not found","found")</f>
        <v>found</v>
      </c>
    </row>
    <row r="135" spans="1:15" ht="14.25" customHeight="1" x14ac:dyDescent="0.25">
      <c r="A135" s="18" t="s">
        <v>7888</v>
      </c>
      <c r="B135">
        <v>80272</v>
      </c>
      <c r="C135">
        <v>29794</v>
      </c>
      <c r="D135" t="s">
        <v>8348</v>
      </c>
      <c r="E135">
        <v>36275</v>
      </c>
      <c r="F135" t="s">
        <v>1912</v>
      </c>
      <c r="G135" t="s">
        <v>8492</v>
      </c>
      <c r="H135" t="s">
        <v>6469</v>
      </c>
      <c r="I135" t="s">
        <v>8491</v>
      </c>
      <c r="J135" s="19" t="s">
        <v>8490</v>
      </c>
      <c r="K135" s="18">
        <v>33239.041666666664</v>
      </c>
      <c r="M135" s="18" t="s">
        <v>8949</v>
      </c>
      <c r="N135" s="18">
        <v>33239.041666666664</v>
      </c>
      <c r="O135" t="str">
        <f>IF(ISERROR(VLOOKUP(A135,GamesTable[game_id],1,0)),"not found","found")</f>
        <v>found</v>
      </c>
    </row>
    <row r="136" spans="1:15" ht="14.25" customHeight="1" x14ac:dyDescent="0.25">
      <c r="A136" s="18" t="s">
        <v>7891</v>
      </c>
      <c r="B136">
        <v>80457</v>
      </c>
      <c r="C136">
        <v>29794</v>
      </c>
      <c r="D136" t="s">
        <v>8348</v>
      </c>
      <c r="E136">
        <v>73855</v>
      </c>
      <c r="F136" t="s">
        <v>8481</v>
      </c>
      <c r="G136" t="s">
        <v>5316</v>
      </c>
      <c r="H136" t="s">
        <v>5306</v>
      </c>
      <c r="I136" s="19" t="s">
        <v>8489</v>
      </c>
      <c r="J136" t="s">
        <v>8488</v>
      </c>
      <c r="K136" s="18">
        <v>33970.041666666664</v>
      </c>
      <c r="M136" s="18" t="s">
        <v>8950</v>
      </c>
      <c r="N136" s="18">
        <v>33970.041666666664</v>
      </c>
      <c r="O136" t="str">
        <f>IF(ISERROR(VLOOKUP(A136,GamesTable[game_id],1,0)),"not found","found")</f>
        <v>found</v>
      </c>
    </row>
    <row r="137" spans="1:15" ht="14.25" customHeight="1" x14ac:dyDescent="0.25">
      <c r="A137" s="18" t="s">
        <v>7893</v>
      </c>
      <c r="B137">
        <v>80497</v>
      </c>
      <c r="C137">
        <v>29794</v>
      </c>
      <c r="D137" t="s">
        <v>8348</v>
      </c>
      <c r="E137">
        <v>79265</v>
      </c>
      <c r="F137" t="s">
        <v>2520</v>
      </c>
      <c r="G137" t="s">
        <v>8487</v>
      </c>
      <c r="H137" t="s">
        <v>4413</v>
      </c>
      <c r="I137" t="s">
        <v>8486</v>
      </c>
      <c r="J137" s="19" t="s">
        <v>8485</v>
      </c>
      <c r="K137" s="18">
        <v>34700.041666666664</v>
      </c>
      <c r="M137" s="18" t="s">
        <v>8951</v>
      </c>
      <c r="N137" s="18">
        <v>34700.041666666664</v>
      </c>
      <c r="O137" t="str">
        <f>IF(ISERROR(VLOOKUP(A137,GamesTable[game_id],1,0)),"not found","found")</f>
        <v>found</v>
      </c>
    </row>
    <row r="138" spans="1:15" ht="14.25" customHeight="1" x14ac:dyDescent="0.25">
      <c r="A138" s="18" t="s">
        <v>7931</v>
      </c>
      <c r="B138">
        <v>80498</v>
      </c>
      <c r="C138">
        <v>29794</v>
      </c>
      <c r="D138" t="s">
        <v>8348</v>
      </c>
      <c r="E138">
        <v>79265</v>
      </c>
      <c r="F138" t="s">
        <v>2520</v>
      </c>
      <c r="G138" t="s">
        <v>3201</v>
      </c>
      <c r="H138" t="s">
        <v>8484</v>
      </c>
      <c r="I138" s="19" t="s">
        <v>8483</v>
      </c>
      <c r="J138" s="19" t="s">
        <v>8482</v>
      </c>
      <c r="K138" s="18">
        <v>35065.041666666664</v>
      </c>
      <c r="M138" s="18" t="s">
        <v>8952</v>
      </c>
      <c r="N138" s="18">
        <v>35065.041666666664</v>
      </c>
      <c r="O138" t="str">
        <f>IF(ISERROR(VLOOKUP(A138,GamesTable[game_id],1,0)),"not found","found")</f>
        <v>found</v>
      </c>
    </row>
    <row r="139" spans="1:15" ht="14.25" customHeight="1" x14ac:dyDescent="0.25">
      <c r="A139" s="18" t="s">
        <v>7894</v>
      </c>
      <c r="B139">
        <v>80603</v>
      </c>
      <c r="C139">
        <v>29794</v>
      </c>
      <c r="D139" t="s">
        <v>8348</v>
      </c>
      <c r="E139">
        <v>73855</v>
      </c>
      <c r="F139" t="s">
        <v>8481</v>
      </c>
      <c r="G139" t="s">
        <v>8480</v>
      </c>
      <c r="H139" t="s">
        <v>4822</v>
      </c>
      <c r="I139" t="s">
        <v>8479</v>
      </c>
      <c r="J139" s="19" t="s">
        <v>8478</v>
      </c>
      <c r="K139" s="18">
        <v>34335.041666666664</v>
      </c>
      <c r="M139" s="18">
        <v>34558.041666666664</v>
      </c>
      <c r="N139" s="18">
        <v>34335.041666666664</v>
      </c>
      <c r="O139" t="str">
        <f>IF(ISERROR(VLOOKUP(A139,GamesTable[game_id],1,0)),"not found","found")</f>
        <v>found</v>
      </c>
    </row>
    <row r="140" spans="1:15" ht="14.25" customHeight="1" x14ac:dyDescent="0.25">
      <c r="A140" s="18" t="s">
        <v>7879</v>
      </c>
      <c r="B140">
        <v>80624</v>
      </c>
      <c r="C140">
        <v>29794</v>
      </c>
      <c r="D140" t="s">
        <v>8348</v>
      </c>
      <c r="E140">
        <v>74557</v>
      </c>
      <c r="F140" t="s">
        <v>2052</v>
      </c>
      <c r="G140" t="s">
        <v>2053</v>
      </c>
      <c r="H140" t="s">
        <v>8477</v>
      </c>
      <c r="I140" t="s">
        <v>8476</v>
      </c>
      <c r="J140" s="19" t="s">
        <v>8475</v>
      </c>
      <c r="K140" s="18">
        <v>36161.041666666664</v>
      </c>
      <c r="M140" s="18"/>
      <c r="N140" s="18" t="s">
        <v>8953</v>
      </c>
      <c r="O140" t="str">
        <f>IF(ISERROR(VLOOKUP(A140,GamesTable[game_id],1,0)),"not found","found")</f>
        <v>found</v>
      </c>
    </row>
    <row r="141" spans="1:15" ht="14.25" customHeight="1" x14ac:dyDescent="0.25">
      <c r="A141" s="18" t="s">
        <v>7883</v>
      </c>
      <c r="B141">
        <v>80669</v>
      </c>
      <c r="C141">
        <v>29794</v>
      </c>
      <c r="D141" t="s">
        <v>8348</v>
      </c>
      <c r="E141">
        <v>80668</v>
      </c>
      <c r="F141" t="s">
        <v>142</v>
      </c>
      <c r="G141" t="s">
        <v>8474</v>
      </c>
      <c r="J141" t="s">
        <v>8473</v>
      </c>
      <c r="K141" s="18"/>
      <c r="M141" s="18"/>
      <c r="N141" s="18">
        <v>37987.041666666664</v>
      </c>
      <c r="O141" t="str">
        <f>IF(ISERROR(VLOOKUP(A141,GamesTable[game_id],1,0)),"not found","found")</f>
        <v>found</v>
      </c>
    </row>
    <row r="142" spans="1:15" ht="14.25" customHeight="1" x14ac:dyDescent="0.25">
      <c r="A142" s="18" t="s">
        <v>7884</v>
      </c>
      <c r="B142">
        <v>80698</v>
      </c>
      <c r="C142">
        <v>29794</v>
      </c>
      <c r="D142" t="s">
        <v>8348</v>
      </c>
      <c r="E142">
        <v>73996</v>
      </c>
      <c r="F142" t="s">
        <v>3827</v>
      </c>
      <c r="G142" t="s">
        <v>3828</v>
      </c>
      <c r="H142" t="s">
        <v>3822</v>
      </c>
      <c r="I142" t="s">
        <v>8472</v>
      </c>
      <c r="J142" s="19" t="s">
        <v>8471</v>
      </c>
      <c r="K142" s="18">
        <v>35076.041666666664</v>
      </c>
      <c r="M142" s="18"/>
      <c r="N142" s="18">
        <v>35076.041666666664</v>
      </c>
      <c r="O142" t="str">
        <f>IF(ISERROR(VLOOKUP(A142,GamesTable[game_id],1,0)),"not found","found")</f>
        <v>found</v>
      </c>
    </row>
    <row r="143" spans="1:15" ht="14.25" customHeight="1" x14ac:dyDescent="0.25">
      <c r="A143" s="18" t="s">
        <v>7892</v>
      </c>
      <c r="B143">
        <v>80805</v>
      </c>
      <c r="C143">
        <v>29794</v>
      </c>
      <c r="D143" t="s">
        <v>8348</v>
      </c>
      <c r="E143">
        <v>36275</v>
      </c>
      <c r="F143" t="s">
        <v>1912</v>
      </c>
      <c r="G143" t="s">
        <v>5684</v>
      </c>
      <c r="H143" t="s">
        <v>5674</v>
      </c>
      <c r="I143" s="19" t="s">
        <v>8470</v>
      </c>
      <c r="J143" s="19" t="s">
        <v>8469</v>
      </c>
      <c r="K143" s="18">
        <v>33604.041666666664</v>
      </c>
      <c r="M143" s="18" t="s">
        <v>8954</v>
      </c>
      <c r="N143" s="18">
        <v>33604.041666666664</v>
      </c>
      <c r="O143" t="str">
        <f>IF(ISERROR(VLOOKUP(A143,GamesTable[game_id],1,0)),"not found","found")</f>
        <v>found</v>
      </c>
    </row>
    <row r="144" spans="1:15" ht="14.25" customHeight="1" x14ac:dyDescent="0.25">
      <c r="A144" s="18" t="s">
        <v>7928</v>
      </c>
      <c r="B144">
        <v>80806</v>
      </c>
      <c r="C144">
        <v>29794</v>
      </c>
      <c r="D144" t="s">
        <v>8348</v>
      </c>
      <c r="E144">
        <v>36275</v>
      </c>
      <c r="F144" t="s">
        <v>1912</v>
      </c>
      <c r="G144" t="s">
        <v>8468</v>
      </c>
      <c r="H144" t="s">
        <v>8467</v>
      </c>
      <c r="I144" s="19" t="s">
        <v>8466</v>
      </c>
      <c r="J144" s="19" t="s">
        <v>8465</v>
      </c>
      <c r="K144" s="18">
        <v>34335.041666666664</v>
      </c>
      <c r="M144" s="18" t="s">
        <v>8955</v>
      </c>
      <c r="N144" s="18">
        <v>34335.041666666664</v>
      </c>
      <c r="O144" t="str">
        <f>IF(ISERROR(VLOOKUP(A144,GamesTable[game_id],1,0)),"not found","found")</f>
        <v>found</v>
      </c>
    </row>
    <row r="145" spans="1:15" ht="14.25" customHeight="1" x14ac:dyDescent="0.25">
      <c r="A145" s="18" t="s">
        <v>7929</v>
      </c>
      <c r="B145">
        <v>80807</v>
      </c>
      <c r="C145">
        <v>29794</v>
      </c>
      <c r="D145" t="s">
        <v>8348</v>
      </c>
      <c r="E145">
        <v>36275</v>
      </c>
      <c r="F145" t="s">
        <v>1912</v>
      </c>
      <c r="G145" t="s">
        <v>8464</v>
      </c>
      <c r="H145" t="s">
        <v>8463</v>
      </c>
      <c r="I145" t="s">
        <v>8462</v>
      </c>
      <c r="J145" s="19" t="s">
        <v>8461</v>
      </c>
      <c r="K145" s="18">
        <v>34700.041666666664</v>
      </c>
      <c r="M145" s="18">
        <v>34853.041666666664</v>
      </c>
      <c r="N145" s="18">
        <v>34700.041666666664</v>
      </c>
      <c r="O145" t="str">
        <f>IF(ISERROR(VLOOKUP(A145,GamesTable[game_id],1,0)),"not found","found")</f>
        <v>found</v>
      </c>
    </row>
    <row r="146" spans="1:15" ht="14.25" customHeight="1" x14ac:dyDescent="0.25">
      <c r="A146" s="18" t="s">
        <v>7845</v>
      </c>
      <c r="B146">
        <v>80911</v>
      </c>
      <c r="C146">
        <v>29794</v>
      </c>
      <c r="D146" t="s">
        <v>8348</v>
      </c>
      <c r="E146">
        <v>74042</v>
      </c>
      <c r="F146" t="s">
        <v>3770</v>
      </c>
      <c r="G146" t="s">
        <v>8460</v>
      </c>
      <c r="J146" t="s">
        <v>8459</v>
      </c>
      <c r="K146" s="18"/>
      <c r="M146" s="18"/>
      <c r="N146" s="18">
        <v>34700.041666666664</v>
      </c>
      <c r="O146" t="str">
        <f>IF(ISERROR(VLOOKUP(A146,GamesTable[game_id],1,0)),"not found","found")</f>
        <v>found</v>
      </c>
    </row>
    <row r="147" spans="1:15" ht="14.25" customHeight="1" x14ac:dyDescent="0.25">
      <c r="A147" s="18" t="s">
        <v>7903</v>
      </c>
      <c r="B147">
        <v>81007</v>
      </c>
      <c r="C147">
        <v>29794</v>
      </c>
      <c r="D147" t="s">
        <v>8348</v>
      </c>
      <c r="G147" t="s">
        <v>4546</v>
      </c>
      <c r="H147" t="s">
        <v>4540</v>
      </c>
      <c r="I147" t="s">
        <v>8458</v>
      </c>
      <c r="J147" t="s">
        <v>8457</v>
      </c>
      <c r="K147" s="18">
        <v>35065.041666666664</v>
      </c>
      <c r="M147" s="18">
        <v>35223.083333333336</v>
      </c>
      <c r="N147" s="18">
        <v>35065.041666666664</v>
      </c>
      <c r="O147" t="str">
        <f>IF(ISERROR(VLOOKUP(A147,GamesTable[game_id],1,0)),"not found","found")</f>
        <v>found</v>
      </c>
    </row>
    <row r="148" spans="1:15" ht="14.25" customHeight="1" x14ac:dyDescent="0.25">
      <c r="A148" s="18" t="s">
        <v>7814</v>
      </c>
      <c r="B148">
        <v>81129</v>
      </c>
      <c r="C148">
        <v>29794</v>
      </c>
      <c r="D148" t="s">
        <v>8348</v>
      </c>
      <c r="E148">
        <v>36275</v>
      </c>
      <c r="F148" t="s">
        <v>1912</v>
      </c>
      <c r="G148" t="s">
        <v>2958</v>
      </c>
      <c r="H148" t="s">
        <v>2952</v>
      </c>
      <c r="I148" t="s">
        <v>8456</v>
      </c>
      <c r="J148" s="19" t="s">
        <v>8455</v>
      </c>
      <c r="K148" s="18" t="s">
        <v>8956</v>
      </c>
      <c r="M148" s="18"/>
      <c r="N148" s="18">
        <v>35431.041666666664</v>
      </c>
      <c r="O148" t="str">
        <f>IF(ISERROR(VLOOKUP(A148,GamesTable[game_id],1,0)),"not found","found")</f>
        <v>found</v>
      </c>
    </row>
    <row r="149" spans="1:15" ht="14.25" customHeight="1" x14ac:dyDescent="0.25">
      <c r="A149" t="s">
        <v>7823</v>
      </c>
      <c r="B149">
        <v>81149</v>
      </c>
      <c r="C149">
        <v>29794</v>
      </c>
      <c r="D149" t="s">
        <v>8348</v>
      </c>
      <c r="E149">
        <v>73839</v>
      </c>
      <c r="F149" t="s">
        <v>194</v>
      </c>
      <c r="G149" t="s">
        <v>8436</v>
      </c>
      <c r="J149" t="s">
        <v>8435</v>
      </c>
      <c r="K149" s="18"/>
      <c r="M149" s="18"/>
      <c r="N149" s="18">
        <v>37257.041666666664</v>
      </c>
      <c r="O149" t="str">
        <f>IF(ISERROR(VLOOKUP(A149,GamesTable[game_id],1,0)),"not found","found")</f>
        <v>found</v>
      </c>
    </row>
    <row r="150" spans="1:15" ht="14.25" customHeight="1" x14ac:dyDescent="0.25">
      <c r="A150" t="s">
        <v>7823</v>
      </c>
      <c r="B150">
        <v>81150</v>
      </c>
      <c r="C150">
        <v>29794</v>
      </c>
      <c r="D150" t="s">
        <v>8348</v>
      </c>
      <c r="E150">
        <v>73839</v>
      </c>
      <c r="F150" t="s">
        <v>194</v>
      </c>
      <c r="G150" t="s">
        <v>8434</v>
      </c>
      <c r="J150" t="s">
        <v>8433</v>
      </c>
      <c r="K150" s="18"/>
      <c r="M150" s="18"/>
      <c r="N150" s="18">
        <v>37987.041666666664</v>
      </c>
      <c r="O150" t="str">
        <f>IF(ISERROR(VLOOKUP(A150,GamesTable[game_id],1,0)),"not found","found")</f>
        <v>found</v>
      </c>
    </row>
    <row r="151" spans="1:15" ht="14.25" customHeight="1" x14ac:dyDescent="0.25">
      <c r="A151" t="s">
        <v>7823</v>
      </c>
      <c r="B151">
        <v>81151</v>
      </c>
      <c r="C151">
        <v>29794</v>
      </c>
      <c r="D151" t="s">
        <v>8348</v>
      </c>
      <c r="E151">
        <v>73839</v>
      </c>
      <c r="F151" t="s">
        <v>194</v>
      </c>
      <c r="G151" t="s">
        <v>8432</v>
      </c>
      <c r="J151" t="s">
        <v>8431</v>
      </c>
      <c r="K151" s="18"/>
      <c r="M151" s="18"/>
      <c r="N151" s="18">
        <v>38353.041666666664</v>
      </c>
      <c r="O151" t="str">
        <f>IF(ISERROR(VLOOKUP(A151,GamesTable[game_id],1,0)),"not found","found")</f>
        <v>found</v>
      </c>
    </row>
    <row r="152" spans="1:15" ht="14.25" customHeight="1" x14ac:dyDescent="0.25">
      <c r="A152" s="18" t="s">
        <v>7821</v>
      </c>
      <c r="B152">
        <v>81152</v>
      </c>
      <c r="C152">
        <v>29794</v>
      </c>
      <c r="D152" t="s">
        <v>8348</v>
      </c>
      <c r="E152">
        <v>36275</v>
      </c>
      <c r="F152" t="s">
        <v>1912</v>
      </c>
      <c r="G152" t="s">
        <v>8430</v>
      </c>
      <c r="H152" t="s">
        <v>1901</v>
      </c>
      <c r="I152" t="s">
        <v>8429</v>
      </c>
      <c r="J152" t="s">
        <v>8428</v>
      </c>
      <c r="K152" s="18">
        <v>36526.041666666664</v>
      </c>
      <c r="M152" s="18" t="s">
        <v>8962</v>
      </c>
      <c r="N152" s="18">
        <v>36526.041666666664</v>
      </c>
      <c r="O152" t="str">
        <f>IF(ISERROR(VLOOKUP(A152,GamesTable[game_id],1,0)),"not found","found")</f>
        <v>found</v>
      </c>
    </row>
    <row r="153" spans="1:15" ht="14.25" customHeight="1" x14ac:dyDescent="0.25">
      <c r="A153" s="18" t="s">
        <v>7822</v>
      </c>
      <c r="B153">
        <v>81153</v>
      </c>
      <c r="C153">
        <v>29794</v>
      </c>
      <c r="D153" t="s">
        <v>8348</v>
      </c>
      <c r="E153">
        <v>74843</v>
      </c>
      <c r="F153" t="s">
        <v>8427</v>
      </c>
      <c r="G153" t="s">
        <v>8426</v>
      </c>
      <c r="H153" t="s">
        <v>1755</v>
      </c>
      <c r="I153" s="19" t="s">
        <v>8425</v>
      </c>
      <c r="J153" t="s">
        <v>8424</v>
      </c>
      <c r="K153" s="18">
        <v>36892.041666666664</v>
      </c>
      <c r="M153" s="18" t="s">
        <v>8963</v>
      </c>
      <c r="N153" s="18">
        <v>36892.041666666664</v>
      </c>
      <c r="O153" t="str">
        <f>IF(ISERROR(VLOOKUP(A153,GamesTable[game_id],1,0)),"not found","found")</f>
        <v>found</v>
      </c>
    </row>
    <row r="154" spans="1:15" ht="14.25" customHeight="1" x14ac:dyDescent="0.25">
      <c r="A154" s="18" t="s">
        <v>7823</v>
      </c>
      <c r="B154">
        <v>81154</v>
      </c>
      <c r="C154">
        <v>29794</v>
      </c>
      <c r="D154" t="s">
        <v>8348</v>
      </c>
      <c r="E154">
        <v>73839</v>
      </c>
      <c r="F154" t="s">
        <v>194</v>
      </c>
      <c r="G154" t="s">
        <v>8423</v>
      </c>
      <c r="H154" t="s">
        <v>1650</v>
      </c>
      <c r="I154" t="s">
        <v>8422</v>
      </c>
      <c r="J154" t="s">
        <v>8421</v>
      </c>
      <c r="K154" s="18">
        <v>37257.041666666664</v>
      </c>
      <c r="M154" s="18">
        <v>37539.083333333336</v>
      </c>
      <c r="N154" s="18">
        <v>37257.041666666664</v>
      </c>
      <c r="O154" t="str">
        <f>IF(ISERROR(VLOOKUP(A154,GamesTable[game_id],1,0)),"not found","found")</f>
        <v>found</v>
      </c>
    </row>
    <row r="155" spans="1:15" ht="14.25" customHeight="1" x14ac:dyDescent="0.25">
      <c r="A155" s="18" t="s">
        <v>7823</v>
      </c>
      <c r="B155">
        <v>81155</v>
      </c>
      <c r="C155">
        <v>29794</v>
      </c>
      <c r="D155" t="s">
        <v>8348</v>
      </c>
      <c r="E155">
        <v>73839</v>
      </c>
      <c r="F155" t="s">
        <v>194</v>
      </c>
      <c r="G155" t="s">
        <v>8420</v>
      </c>
      <c r="J155" s="19" t="s">
        <v>8419</v>
      </c>
      <c r="K155" s="18"/>
      <c r="M155" s="18"/>
      <c r="N155" s="18">
        <v>37257.041666666664</v>
      </c>
      <c r="O155" t="str">
        <f>IF(ISERROR(VLOOKUP(A155,GamesTable[game_id],1,0)),"not found","found")</f>
        <v>found</v>
      </c>
    </row>
    <row r="156" spans="1:15" ht="14.25" customHeight="1" x14ac:dyDescent="0.25">
      <c r="A156" s="18" t="s">
        <v>7823</v>
      </c>
      <c r="B156">
        <v>81156</v>
      </c>
      <c r="C156">
        <v>29794</v>
      </c>
      <c r="D156" t="s">
        <v>8348</v>
      </c>
      <c r="E156">
        <v>73839</v>
      </c>
      <c r="F156" t="s">
        <v>194</v>
      </c>
      <c r="G156" t="s">
        <v>8418</v>
      </c>
      <c r="J156" t="s">
        <v>8417</v>
      </c>
      <c r="K156" s="18"/>
      <c r="M156" s="18"/>
      <c r="N156" s="18">
        <v>37257.041666666664</v>
      </c>
      <c r="O156" t="str">
        <f>IF(ISERROR(VLOOKUP(A156,GamesTable[game_id],1,0)),"not found","found")</f>
        <v>found</v>
      </c>
    </row>
    <row r="157" spans="1:15" ht="14.25" customHeight="1" x14ac:dyDescent="0.25">
      <c r="A157" s="18" t="s">
        <v>7823</v>
      </c>
      <c r="B157">
        <v>81157</v>
      </c>
      <c r="C157">
        <v>29794</v>
      </c>
      <c r="D157" t="s">
        <v>8348</v>
      </c>
      <c r="E157">
        <v>73839</v>
      </c>
      <c r="F157" t="s">
        <v>194</v>
      </c>
      <c r="G157" t="s">
        <v>8416</v>
      </c>
      <c r="J157" t="s">
        <v>8415</v>
      </c>
      <c r="K157" s="18"/>
      <c r="M157" s="18"/>
      <c r="N157" s="18">
        <v>37257.041666666664</v>
      </c>
      <c r="O157" t="str">
        <f>IF(ISERROR(VLOOKUP(A157,GamesTable[game_id],1,0)),"not found","found")</f>
        <v>found</v>
      </c>
    </row>
    <row r="158" spans="1:15" ht="14.25" customHeight="1" x14ac:dyDescent="0.25">
      <c r="A158" s="18" t="s">
        <v>7824</v>
      </c>
      <c r="B158">
        <v>81158</v>
      </c>
      <c r="C158">
        <v>29794</v>
      </c>
      <c r="D158" t="s">
        <v>8348</v>
      </c>
      <c r="E158">
        <v>73839</v>
      </c>
      <c r="F158" t="s">
        <v>194</v>
      </c>
      <c r="G158" t="s">
        <v>8414</v>
      </c>
      <c r="H158" t="s">
        <v>1424</v>
      </c>
      <c r="I158" s="19" t="s">
        <v>8413</v>
      </c>
      <c r="J158" t="s">
        <v>8412</v>
      </c>
      <c r="K158" s="18">
        <v>37622.041666666664</v>
      </c>
      <c r="M158" s="18">
        <v>37967.041666666664</v>
      </c>
      <c r="N158" s="18">
        <v>37622.041666666664</v>
      </c>
      <c r="O158" t="str">
        <f>IF(ISERROR(VLOOKUP(A158,GamesTable[game_id],1,0)),"not found","found")</f>
        <v>found</v>
      </c>
    </row>
    <row r="159" spans="1:15" ht="14.25" customHeight="1" x14ac:dyDescent="0.25">
      <c r="A159" t="s">
        <v>7824</v>
      </c>
      <c r="B159">
        <v>81159</v>
      </c>
      <c r="C159">
        <v>29794</v>
      </c>
      <c r="D159" t="s">
        <v>8348</v>
      </c>
      <c r="E159">
        <v>73839</v>
      </c>
      <c r="F159" t="s">
        <v>194</v>
      </c>
      <c r="G159" t="s">
        <v>8411</v>
      </c>
      <c r="J159" t="s">
        <v>8410</v>
      </c>
      <c r="K159" s="18"/>
      <c r="M159" s="18"/>
      <c r="N159" s="18">
        <v>37987.041666666664</v>
      </c>
      <c r="O159" t="str">
        <f>IF(ISERROR(VLOOKUP(A159,GamesTable[game_id],1,0)),"not found","found")</f>
        <v>found</v>
      </c>
    </row>
    <row r="160" spans="1:15" ht="14.25" customHeight="1" x14ac:dyDescent="0.25">
      <c r="A160" t="s">
        <v>7824</v>
      </c>
      <c r="B160">
        <v>81160</v>
      </c>
      <c r="C160">
        <v>29794</v>
      </c>
      <c r="D160" t="s">
        <v>8348</v>
      </c>
      <c r="E160">
        <v>73839</v>
      </c>
      <c r="F160" t="s">
        <v>194</v>
      </c>
      <c r="G160" t="s">
        <v>8409</v>
      </c>
      <c r="J160" s="19" t="s">
        <v>8408</v>
      </c>
      <c r="K160" s="18"/>
      <c r="M160" s="18"/>
      <c r="N160" s="18">
        <v>37987.041666666664</v>
      </c>
      <c r="O160" t="str">
        <f>IF(ISERROR(VLOOKUP(A160,GamesTable[game_id],1,0)),"not found","found")</f>
        <v>found</v>
      </c>
    </row>
    <row r="161" spans="1:15" ht="14.25" customHeight="1" x14ac:dyDescent="0.25">
      <c r="A161" s="18" t="s">
        <v>7825</v>
      </c>
      <c r="B161">
        <v>81140</v>
      </c>
      <c r="C161">
        <v>29794</v>
      </c>
      <c r="D161" t="s">
        <v>8348</v>
      </c>
      <c r="E161">
        <v>36275</v>
      </c>
      <c r="F161" t="s">
        <v>1912</v>
      </c>
      <c r="G161" t="s">
        <v>8454</v>
      </c>
      <c r="H161" t="s">
        <v>5598</v>
      </c>
      <c r="I161" t="s">
        <v>8453</v>
      </c>
      <c r="J161" s="19" t="s">
        <v>8452</v>
      </c>
      <c r="K161" s="18">
        <v>34335.041666666664</v>
      </c>
      <c r="M161" s="18" t="s">
        <v>8957</v>
      </c>
      <c r="N161" s="18">
        <v>34335.041666666664</v>
      </c>
      <c r="O161" t="str">
        <f>IF(ISERROR(VLOOKUP(A161,GamesTable[game_id],1,0)),"not found","found")</f>
        <v>found</v>
      </c>
    </row>
    <row r="162" spans="1:15" ht="14.25" customHeight="1" x14ac:dyDescent="0.25">
      <c r="A162" s="18" t="s">
        <v>7826</v>
      </c>
      <c r="B162">
        <v>81141</v>
      </c>
      <c r="C162">
        <v>29794</v>
      </c>
      <c r="D162" t="s">
        <v>8348</v>
      </c>
      <c r="E162">
        <v>36275</v>
      </c>
      <c r="F162" t="s">
        <v>1912</v>
      </c>
      <c r="G162" t="s">
        <v>8451</v>
      </c>
      <c r="H162" t="s">
        <v>4587</v>
      </c>
      <c r="I162" s="19" t="s">
        <v>8450</v>
      </c>
      <c r="J162" s="19" t="s">
        <v>8449</v>
      </c>
      <c r="K162" s="18">
        <v>34700.041666666664</v>
      </c>
      <c r="M162" s="18" t="s">
        <v>8958</v>
      </c>
      <c r="N162" s="18">
        <v>34700.041666666664</v>
      </c>
      <c r="O162" t="str">
        <f>IF(ISERROR(VLOOKUP(A162,GamesTable[game_id],1,0)),"not found","found")</f>
        <v>found</v>
      </c>
    </row>
    <row r="163" spans="1:15" ht="14.25" customHeight="1" x14ac:dyDescent="0.25">
      <c r="A163" s="18" t="s">
        <v>7827</v>
      </c>
      <c r="B163">
        <v>81142</v>
      </c>
      <c r="C163">
        <v>29794</v>
      </c>
      <c r="D163" t="s">
        <v>8348</v>
      </c>
      <c r="E163">
        <v>36275</v>
      </c>
      <c r="F163" t="s">
        <v>1912</v>
      </c>
      <c r="G163" t="s">
        <v>8448</v>
      </c>
      <c r="H163" t="s">
        <v>3693</v>
      </c>
      <c r="I163" t="s">
        <v>8447</v>
      </c>
      <c r="J163" s="19" t="s">
        <v>8446</v>
      </c>
      <c r="K163" s="18">
        <v>35065.041666666664</v>
      </c>
      <c r="M163" s="18" t="s">
        <v>8959</v>
      </c>
      <c r="N163" s="18">
        <v>35065.041666666664</v>
      </c>
      <c r="O163" t="str">
        <f>IF(ISERROR(VLOOKUP(A163,GamesTable[game_id],1,0)),"not found","found")</f>
        <v>found</v>
      </c>
    </row>
    <row r="164" spans="1:15" ht="14.25" customHeight="1" x14ac:dyDescent="0.25">
      <c r="A164" s="18" t="s">
        <v>7828</v>
      </c>
      <c r="B164">
        <v>81143</v>
      </c>
      <c r="C164">
        <v>29794</v>
      </c>
      <c r="D164" t="s">
        <v>8348</v>
      </c>
      <c r="E164">
        <v>36275</v>
      </c>
      <c r="F164" t="s">
        <v>1912</v>
      </c>
      <c r="G164" t="s">
        <v>8445</v>
      </c>
      <c r="H164" t="s">
        <v>3087</v>
      </c>
      <c r="I164" t="s">
        <v>8444</v>
      </c>
      <c r="J164" t="s">
        <v>8443</v>
      </c>
      <c r="K164" s="18">
        <v>35431.041666666664</v>
      </c>
      <c r="M164" s="18" t="s">
        <v>8960</v>
      </c>
      <c r="N164" s="18">
        <v>35431.041666666664</v>
      </c>
      <c r="O164" t="str">
        <f>IF(ISERROR(VLOOKUP(A164,GamesTable[game_id],1,0)),"not found","found")</f>
        <v>found</v>
      </c>
    </row>
    <row r="165" spans="1:15" ht="14.25" customHeight="1" x14ac:dyDescent="0.25">
      <c r="A165" s="18" t="s">
        <v>7824</v>
      </c>
      <c r="B165">
        <v>81144</v>
      </c>
      <c r="C165">
        <v>29794</v>
      </c>
      <c r="D165" t="s">
        <v>8348</v>
      </c>
      <c r="E165">
        <v>73839</v>
      </c>
      <c r="F165" t="s">
        <v>194</v>
      </c>
      <c r="G165" t="s">
        <v>8442</v>
      </c>
      <c r="J165" s="19" t="s">
        <v>8440</v>
      </c>
      <c r="K165" s="18"/>
      <c r="M165" s="18"/>
      <c r="N165" s="18">
        <v>35431.041666666664</v>
      </c>
      <c r="O165" t="str">
        <f>IF(ISERROR(VLOOKUP(A165,GamesTable[game_id],1,0)),"not found","found")</f>
        <v>found</v>
      </c>
    </row>
    <row r="166" spans="1:15" ht="14.25" customHeight="1" x14ac:dyDescent="0.25">
      <c r="A166" s="18" t="s">
        <v>7828</v>
      </c>
      <c r="B166">
        <v>81145</v>
      </c>
      <c r="C166">
        <v>29794</v>
      </c>
      <c r="D166" t="s">
        <v>8348</v>
      </c>
      <c r="E166">
        <v>73839</v>
      </c>
      <c r="F166" t="s">
        <v>194</v>
      </c>
      <c r="G166" t="s">
        <v>8441</v>
      </c>
      <c r="J166" s="19" t="s">
        <v>8440</v>
      </c>
      <c r="K166" s="18"/>
      <c r="M166" s="18"/>
      <c r="N166" s="18">
        <v>35431.041666666664</v>
      </c>
      <c r="O166" t="str">
        <f>IF(ISERROR(VLOOKUP(A166,GamesTable[game_id],1,0)),"not found","found")</f>
        <v>found</v>
      </c>
    </row>
    <row r="167" spans="1:15" ht="14.25" customHeight="1" x14ac:dyDescent="0.25">
      <c r="A167" s="18" t="s">
        <v>7773</v>
      </c>
      <c r="B167">
        <v>29916</v>
      </c>
      <c r="C167">
        <v>29794</v>
      </c>
      <c r="D167" t="s">
        <v>8348</v>
      </c>
      <c r="E167">
        <v>36275</v>
      </c>
      <c r="F167" t="s">
        <v>1912</v>
      </c>
      <c r="G167" t="s">
        <v>8827</v>
      </c>
      <c r="H167" t="s">
        <v>2675</v>
      </c>
      <c r="I167" s="19" t="s">
        <v>8826</v>
      </c>
      <c r="J167" s="19" t="s">
        <v>8825</v>
      </c>
      <c r="K167" s="18">
        <v>35796.041666666664</v>
      </c>
      <c r="M167" s="18" t="s">
        <v>8880</v>
      </c>
      <c r="N167" s="18">
        <v>35796.041666666664</v>
      </c>
      <c r="O167" t="str">
        <f>IF(ISERROR(VLOOKUP(A167,GamesTable[game_id],1,0)),"not found","found")</f>
        <v>found</v>
      </c>
    </row>
    <row r="168" spans="1:15" ht="14.25" customHeight="1" x14ac:dyDescent="0.25">
      <c r="A168" s="18" t="s">
        <v>7829</v>
      </c>
      <c r="B168">
        <v>81148</v>
      </c>
      <c r="C168">
        <v>29794</v>
      </c>
      <c r="D168" t="s">
        <v>8348</v>
      </c>
      <c r="E168">
        <v>36275</v>
      </c>
      <c r="F168" t="s">
        <v>1912</v>
      </c>
      <c r="G168" t="s">
        <v>8439</v>
      </c>
      <c r="H168" t="s">
        <v>2307</v>
      </c>
      <c r="I168" t="s">
        <v>8438</v>
      </c>
      <c r="J168" t="s">
        <v>8437</v>
      </c>
      <c r="K168" s="18">
        <v>36161.041666666664</v>
      </c>
      <c r="M168" s="18" t="s">
        <v>8961</v>
      </c>
      <c r="N168" s="18">
        <v>36161.041666666664</v>
      </c>
      <c r="O168" t="str">
        <f>IF(ISERROR(VLOOKUP(A168,GamesTable[game_id],1,0)),"not found","found")</f>
        <v>found</v>
      </c>
    </row>
    <row r="169" spans="1:15" ht="14.25" customHeight="1" x14ac:dyDescent="0.25">
      <c r="A169" s="21" t="s">
        <v>8993</v>
      </c>
      <c r="B169">
        <v>81162</v>
      </c>
      <c r="C169">
        <v>29794</v>
      </c>
      <c r="D169" t="s">
        <v>8348</v>
      </c>
      <c r="E169">
        <v>73839</v>
      </c>
      <c r="F169" t="s">
        <v>194</v>
      </c>
      <c r="G169" t="s">
        <v>8407</v>
      </c>
      <c r="H169" t="s">
        <v>8407</v>
      </c>
      <c r="J169" s="19" t="s">
        <v>8406</v>
      </c>
      <c r="K169" s="18"/>
      <c r="M169" s="18"/>
      <c r="N169" s="18">
        <v>37987.041666666664</v>
      </c>
      <c r="O169" t="str">
        <f>IF(ISERROR(VLOOKUP(A169,GamesTable[game_id],1,0)),"not found","found")</f>
        <v>found</v>
      </c>
    </row>
    <row r="170" spans="1:15" ht="14.25" customHeight="1" x14ac:dyDescent="0.25">
      <c r="A170" s="18" t="s">
        <v>7831</v>
      </c>
      <c r="B170">
        <v>81167</v>
      </c>
      <c r="C170">
        <v>29794</v>
      </c>
      <c r="D170" t="s">
        <v>8348</v>
      </c>
      <c r="E170">
        <v>36275</v>
      </c>
      <c r="F170" t="s">
        <v>1912</v>
      </c>
      <c r="G170" t="s">
        <v>8405</v>
      </c>
      <c r="H170" t="s">
        <v>3028</v>
      </c>
      <c r="I170" t="s">
        <v>8404</v>
      </c>
      <c r="J170" s="19" t="s">
        <v>8403</v>
      </c>
      <c r="K170" s="18">
        <v>35431.041666666664</v>
      </c>
      <c r="M170" s="18">
        <v>35562.041666666664</v>
      </c>
      <c r="N170" s="18">
        <v>35431.041666666664</v>
      </c>
      <c r="O170" t="str">
        <f>IF(ISERROR(VLOOKUP(A170,GamesTable[game_id],1,0)),"not found","found")</f>
        <v>found</v>
      </c>
    </row>
    <row r="171" spans="1:15" ht="14.25" customHeight="1" x14ac:dyDescent="0.25">
      <c r="A171" s="18" t="s">
        <v>7832</v>
      </c>
      <c r="B171">
        <v>81168</v>
      </c>
      <c r="C171">
        <v>29794</v>
      </c>
      <c r="D171" t="s">
        <v>8348</v>
      </c>
      <c r="E171">
        <v>36275</v>
      </c>
      <c r="F171" t="s">
        <v>1912</v>
      </c>
      <c r="G171" t="s">
        <v>8402</v>
      </c>
      <c r="H171" t="s">
        <v>2622</v>
      </c>
      <c r="I171" t="s">
        <v>8401</v>
      </c>
      <c r="J171" s="19" t="s">
        <v>8400</v>
      </c>
      <c r="K171" s="18">
        <v>35796.041666666664</v>
      </c>
      <c r="M171" s="18" t="s">
        <v>8964</v>
      </c>
      <c r="N171" s="18">
        <v>35796.041666666664</v>
      </c>
      <c r="O171" t="str">
        <f>IF(ISERROR(VLOOKUP(A171,GamesTable[game_id],1,0)),"not found","found")</f>
        <v>found</v>
      </c>
    </row>
    <row r="172" spans="1:15" ht="14.25" customHeight="1" x14ac:dyDescent="0.25">
      <c r="A172" s="18" t="s">
        <v>7895</v>
      </c>
      <c r="B172">
        <v>81210</v>
      </c>
      <c r="C172">
        <v>29794</v>
      </c>
      <c r="D172" t="s">
        <v>8348</v>
      </c>
      <c r="E172">
        <v>36275</v>
      </c>
      <c r="F172" t="s">
        <v>1912</v>
      </c>
      <c r="G172" t="s">
        <v>8399</v>
      </c>
      <c r="H172" t="s">
        <v>7248</v>
      </c>
      <c r="I172" t="s">
        <v>8398</v>
      </c>
      <c r="J172" t="s">
        <v>8397</v>
      </c>
      <c r="K172" s="18">
        <v>32874.041666666664</v>
      </c>
      <c r="M172" s="18">
        <v>33095.083333333336</v>
      </c>
      <c r="N172" s="18">
        <v>32874.041666666664</v>
      </c>
      <c r="O172" t="str">
        <f>IF(ISERROR(VLOOKUP(A172,GamesTable[game_id],1,0)),"not found","found")</f>
        <v>found</v>
      </c>
    </row>
    <row r="173" spans="1:15" ht="14.25" customHeight="1" x14ac:dyDescent="0.25">
      <c r="A173" s="18" t="s">
        <v>7930</v>
      </c>
      <c r="B173">
        <v>81216</v>
      </c>
      <c r="C173">
        <v>29794</v>
      </c>
      <c r="D173" t="s">
        <v>8348</v>
      </c>
      <c r="E173">
        <v>36275</v>
      </c>
      <c r="F173" t="s">
        <v>1912</v>
      </c>
      <c r="G173" t="s">
        <v>3652</v>
      </c>
      <c r="H173" t="s">
        <v>8396</v>
      </c>
      <c r="I173" t="s">
        <v>8395</v>
      </c>
      <c r="J173" s="19" t="s">
        <v>8394</v>
      </c>
      <c r="K173" s="18">
        <v>35065.041666666664</v>
      </c>
      <c r="M173" s="18" t="s">
        <v>8965</v>
      </c>
      <c r="N173" s="18">
        <v>35065.041666666664</v>
      </c>
      <c r="O173" t="str">
        <f>IF(ISERROR(VLOOKUP(A173,GamesTable[game_id],1,0)),"not found","found")</f>
        <v>found</v>
      </c>
    </row>
    <row r="174" spans="1:15" ht="14.25" customHeight="1" x14ac:dyDescent="0.25">
      <c r="A174" s="18" t="s">
        <v>7900</v>
      </c>
      <c r="B174">
        <v>81222</v>
      </c>
      <c r="C174">
        <v>29794</v>
      </c>
      <c r="D174" t="s">
        <v>8348</v>
      </c>
      <c r="E174">
        <v>74548</v>
      </c>
      <c r="F174" t="s">
        <v>5638</v>
      </c>
      <c r="G174" t="s">
        <v>8393</v>
      </c>
      <c r="H174" t="s">
        <v>8392</v>
      </c>
      <c r="I174" s="19" t="s">
        <v>8391</v>
      </c>
      <c r="J174" t="s">
        <v>8390</v>
      </c>
      <c r="K174" s="18">
        <v>33239.041666666664</v>
      </c>
      <c r="M174" s="18" t="s">
        <v>8939</v>
      </c>
      <c r="N174" s="18">
        <v>33239.041666666664</v>
      </c>
      <c r="O174" t="str">
        <f>IF(ISERROR(VLOOKUP(A174,GamesTable[game_id],1,0)),"not found","found")</f>
        <v>found</v>
      </c>
    </row>
    <row r="175" spans="1:15" ht="14.25" customHeight="1" x14ac:dyDescent="0.25">
      <c r="A175" s="18" t="s">
        <v>7897</v>
      </c>
      <c r="B175">
        <v>81325</v>
      </c>
      <c r="C175">
        <v>29794</v>
      </c>
      <c r="D175" t="s">
        <v>8348</v>
      </c>
      <c r="E175">
        <v>36275</v>
      </c>
      <c r="F175" t="s">
        <v>1912</v>
      </c>
      <c r="G175" t="s">
        <v>8389</v>
      </c>
      <c r="H175" t="s">
        <v>5914</v>
      </c>
      <c r="I175" t="s">
        <v>8388</v>
      </c>
      <c r="J175" t="s">
        <v>8387</v>
      </c>
      <c r="K175" s="18"/>
      <c r="M175" s="18" t="s">
        <v>8966</v>
      </c>
      <c r="N175" s="18"/>
      <c r="O175" t="str">
        <f>IF(ISERROR(VLOOKUP(A175,GamesTable[game_id],1,0)),"not found","found")</f>
        <v>found</v>
      </c>
    </row>
    <row r="176" spans="1:15" ht="14.25" customHeight="1" x14ac:dyDescent="0.25">
      <c r="A176" s="18" t="s">
        <v>7899</v>
      </c>
      <c r="B176">
        <v>81328</v>
      </c>
      <c r="C176">
        <v>29794</v>
      </c>
      <c r="D176" t="s">
        <v>8348</v>
      </c>
      <c r="E176">
        <v>36275</v>
      </c>
      <c r="F176" t="s">
        <v>1912</v>
      </c>
      <c r="G176" t="s">
        <v>8386</v>
      </c>
      <c r="H176" t="s">
        <v>8385</v>
      </c>
      <c r="J176" t="s">
        <v>8384</v>
      </c>
      <c r="K176" s="18"/>
      <c r="M176" s="18" t="s">
        <v>8967</v>
      </c>
      <c r="N176" s="18"/>
      <c r="O176" t="str">
        <f>IF(ISERROR(VLOOKUP(A176,GamesTable[game_id],1,0)),"not found","found")</f>
        <v>found</v>
      </c>
    </row>
    <row r="177" spans="1:15" ht="14.25" customHeight="1" x14ac:dyDescent="0.25">
      <c r="A177" s="18" t="s">
        <v>7902</v>
      </c>
      <c r="B177">
        <v>81518</v>
      </c>
      <c r="C177">
        <v>29794</v>
      </c>
      <c r="D177" t="s">
        <v>8348</v>
      </c>
      <c r="E177">
        <v>74042</v>
      </c>
      <c r="F177" t="s">
        <v>3770</v>
      </c>
      <c r="G177" t="s">
        <v>3276</v>
      </c>
      <c r="H177" t="s">
        <v>3269</v>
      </c>
      <c r="I177" t="s">
        <v>8383</v>
      </c>
      <c r="J177" s="19" t="s">
        <v>8382</v>
      </c>
      <c r="K177" s="18">
        <v>35065.041666666664</v>
      </c>
      <c r="M177" s="18" t="s">
        <v>8968</v>
      </c>
      <c r="N177" s="18">
        <v>35065.041666666664</v>
      </c>
      <c r="O177" t="str">
        <f>IF(ISERROR(VLOOKUP(A177,GamesTable[game_id],1,0)),"not found","found")</f>
        <v>found</v>
      </c>
    </row>
    <row r="178" spans="1:15" ht="14.25" customHeight="1" x14ac:dyDescent="0.25">
      <c r="A178" s="18" t="s">
        <v>7904</v>
      </c>
      <c r="B178">
        <v>81663</v>
      </c>
      <c r="C178">
        <v>29794</v>
      </c>
      <c r="D178" t="s">
        <v>8348</v>
      </c>
      <c r="E178">
        <v>36448</v>
      </c>
      <c r="F178" t="s">
        <v>8378</v>
      </c>
      <c r="G178" t="s">
        <v>5758</v>
      </c>
      <c r="H178" t="s">
        <v>5735</v>
      </c>
      <c r="I178" s="19" t="s">
        <v>8377</v>
      </c>
      <c r="J178" s="19" t="s">
        <v>8376</v>
      </c>
      <c r="K178" s="18">
        <v>33604.041666666664</v>
      </c>
      <c r="M178" s="18" t="s">
        <v>8969</v>
      </c>
      <c r="N178" s="18">
        <v>33604.041666666664</v>
      </c>
      <c r="O178" t="str">
        <f>IF(ISERROR(VLOOKUP(A178,GamesTable[game_id],1,0)),"not found","found")</f>
        <v>found</v>
      </c>
    </row>
    <row r="179" spans="1:15" ht="14.25" customHeight="1" x14ac:dyDescent="0.25">
      <c r="A179" s="18" t="s">
        <v>8988</v>
      </c>
      <c r="B179">
        <v>81606</v>
      </c>
      <c r="C179">
        <v>29794</v>
      </c>
      <c r="D179" t="s">
        <v>8348</v>
      </c>
      <c r="E179">
        <v>75285</v>
      </c>
      <c r="F179" t="s">
        <v>8381</v>
      </c>
      <c r="G179" t="s">
        <v>8380</v>
      </c>
      <c r="H179" t="s">
        <v>8380</v>
      </c>
      <c r="J179" t="s">
        <v>8379</v>
      </c>
      <c r="K179" s="18"/>
      <c r="M179" s="18"/>
      <c r="N179" s="18">
        <v>36892.041666666664</v>
      </c>
      <c r="O179" t="str">
        <f>IF(ISERROR(VLOOKUP(A179,GamesTable[game_id],1,0)),"not found","found")</f>
        <v>found</v>
      </c>
    </row>
    <row r="180" spans="1:15" ht="14.25" customHeight="1" x14ac:dyDescent="0.25">
      <c r="A180" s="18" t="s">
        <v>7810</v>
      </c>
      <c r="B180">
        <v>81723</v>
      </c>
      <c r="C180">
        <v>29794</v>
      </c>
      <c r="D180" t="s">
        <v>8348</v>
      </c>
      <c r="E180">
        <v>73996</v>
      </c>
      <c r="F180" t="s">
        <v>3827</v>
      </c>
      <c r="G180" t="s">
        <v>4182</v>
      </c>
      <c r="H180" t="s">
        <v>4176</v>
      </c>
      <c r="I180" t="s">
        <v>8375</v>
      </c>
      <c r="J180" s="19" t="s">
        <v>8374</v>
      </c>
      <c r="K180" s="18">
        <v>34700.041666666664</v>
      </c>
      <c r="M180" s="18" t="s">
        <v>8970</v>
      </c>
      <c r="N180" s="18">
        <v>34700.041666666664</v>
      </c>
      <c r="O180" t="str">
        <f>IF(ISERROR(VLOOKUP(A180,GamesTable[game_id],1,0)),"not found","found")</f>
        <v>found</v>
      </c>
    </row>
    <row r="181" spans="1:15" ht="14.25" customHeight="1" x14ac:dyDescent="0.25">
      <c r="A181" s="18" t="s">
        <v>7905</v>
      </c>
      <c r="B181">
        <v>81779</v>
      </c>
      <c r="C181">
        <v>29794</v>
      </c>
      <c r="D181" t="s">
        <v>8348</v>
      </c>
      <c r="E181">
        <v>74334</v>
      </c>
      <c r="F181" t="s">
        <v>3242</v>
      </c>
      <c r="G181" t="s">
        <v>3243</v>
      </c>
      <c r="H181" t="s">
        <v>3233</v>
      </c>
      <c r="I181" t="s">
        <v>8373</v>
      </c>
      <c r="J181" s="19" t="s">
        <v>8372</v>
      </c>
      <c r="K181" s="18">
        <v>35065.041666666664</v>
      </c>
      <c r="M181" s="18" t="s">
        <v>8971</v>
      </c>
      <c r="N181" s="18">
        <v>35065.041666666664</v>
      </c>
      <c r="O181" t="str">
        <f>IF(ISERROR(VLOOKUP(A181,GamesTable[game_id],1,0)),"not found","found")</f>
        <v>found</v>
      </c>
    </row>
    <row r="182" spans="1:15" ht="14.25" customHeight="1" x14ac:dyDescent="0.25">
      <c r="A182" s="18" t="s">
        <v>7909</v>
      </c>
      <c r="B182">
        <v>29933</v>
      </c>
      <c r="C182">
        <v>29794</v>
      </c>
      <c r="D182" t="s">
        <v>8348</v>
      </c>
      <c r="E182">
        <v>73855</v>
      </c>
      <c r="F182" t="s">
        <v>8481</v>
      </c>
      <c r="G182" t="s">
        <v>5181</v>
      </c>
      <c r="H182" t="s">
        <v>5172</v>
      </c>
      <c r="I182" t="s">
        <v>8824</v>
      </c>
      <c r="J182" s="19" t="s">
        <v>8823</v>
      </c>
      <c r="K182" s="18">
        <v>34335.041666666664</v>
      </c>
      <c r="M182" s="18" t="s">
        <v>8881</v>
      </c>
      <c r="N182" s="18">
        <v>34335.041666666664</v>
      </c>
      <c r="O182" t="str">
        <f>IF(ISERROR(VLOOKUP(A182,GamesTable[game_id],1,0)),"not found","found")</f>
        <v>found</v>
      </c>
    </row>
    <row r="183" spans="1:15" ht="14.25" customHeight="1" x14ac:dyDescent="0.25">
      <c r="A183" s="18" t="s">
        <v>7906</v>
      </c>
      <c r="B183">
        <v>81971</v>
      </c>
      <c r="C183">
        <v>29794</v>
      </c>
      <c r="D183" t="s">
        <v>8348</v>
      </c>
      <c r="E183">
        <v>74548</v>
      </c>
      <c r="F183" t="s">
        <v>5638</v>
      </c>
      <c r="G183" t="s">
        <v>8371</v>
      </c>
      <c r="H183" t="s">
        <v>5642</v>
      </c>
      <c r="I183" s="19" t="s">
        <v>8370</v>
      </c>
      <c r="J183" s="19" t="s">
        <v>8369</v>
      </c>
      <c r="K183" s="18"/>
      <c r="M183" s="18" t="s">
        <v>8972</v>
      </c>
      <c r="N183" s="18"/>
      <c r="O183" t="str">
        <f>IF(ISERROR(VLOOKUP(A183,GamesTable[game_id],1,0)),"not found","found")</f>
        <v>found</v>
      </c>
    </row>
    <row r="184" spans="1:15" ht="14.25" customHeight="1" x14ac:dyDescent="0.25">
      <c r="A184" s="18" t="s">
        <v>7907</v>
      </c>
      <c r="B184">
        <v>81972</v>
      </c>
      <c r="C184">
        <v>29794</v>
      </c>
      <c r="D184" t="s">
        <v>8348</v>
      </c>
      <c r="E184">
        <v>74042</v>
      </c>
      <c r="F184" t="s">
        <v>3770</v>
      </c>
      <c r="G184" t="s">
        <v>8368</v>
      </c>
      <c r="H184" t="s">
        <v>8367</v>
      </c>
      <c r="I184" t="s">
        <v>8366</v>
      </c>
      <c r="J184" t="s">
        <v>8365</v>
      </c>
      <c r="K184" s="18"/>
      <c r="M184" s="18" t="s">
        <v>8973</v>
      </c>
      <c r="N184" s="18"/>
      <c r="O184" t="str">
        <f>IF(ISERROR(VLOOKUP(A184,GamesTable[game_id],1,0)),"not found","found")</f>
        <v>found</v>
      </c>
    </row>
    <row r="185" spans="1:15" ht="14.25" customHeight="1" x14ac:dyDescent="0.25">
      <c r="A185" s="18" t="s">
        <v>9733</v>
      </c>
      <c r="B185">
        <v>81973</v>
      </c>
      <c r="C185">
        <v>29794</v>
      </c>
      <c r="D185" t="s">
        <v>8348</v>
      </c>
      <c r="E185">
        <v>74042</v>
      </c>
      <c r="F185" t="s">
        <v>3770</v>
      </c>
      <c r="G185" t="s">
        <v>8364</v>
      </c>
      <c r="H185" t="s">
        <v>8363</v>
      </c>
      <c r="I185" s="19" t="s">
        <v>8362</v>
      </c>
      <c r="J185" s="19" t="s">
        <v>8361</v>
      </c>
      <c r="K185" s="18"/>
      <c r="M185" s="18" t="s">
        <v>8974</v>
      </c>
      <c r="N185" s="18">
        <v>34335.041666666664</v>
      </c>
      <c r="O185" t="str">
        <f>IF(ISERROR(VLOOKUP(A185,GamesTable[game_id],1,0)),"not found","found")</f>
        <v>found</v>
      </c>
    </row>
    <row r="186" spans="1:15" ht="14.25" customHeight="1" x14ac:dyDescent="0.25">
      <c r="A186" s="18" t="s">
        <v>7908</v>
      </c>
      <c r="B186">
        <v>81974</v>
      </c>
      <c r="C186">
        <v>29794</v>
      </c>
      <c r="D186" t="s">
        <v>8348</v>
      </c>
      <c r="E186">
        <v>74042</v>
      </c>
      <c r="F186" t="s">
        <v>3770</v>
      </c>
      <c r="G186" t="s">
        <v>4300</v>
      </c>
      <c r="H186" t="s">
        <v>8360</v>
      </c>
      <c r="I186" t="s">
        <v>8359</v>
      </c>
      <c r="J186" t="s">
        <v>8358</v>
      </c>
      <c r="K186" s="18">
        <v>34700.041666666664</v>
      </c>
      <c r="M186" s="18" t="s">
        <v>8975</v>
      </c>
      <c r="N186" s="18">
        <v>34700.041666666664</v>
      </c>
      <c r="O186" t="str">
        <f>IF(ISERROR(VLOOKUP(A186,GamesTable[game_id],1,0)),"not found","found")</f>
        <v>found</v>
      </c>
    </row>
    <row r="187" spans="1:15" ht="14.25" customHeight="1" x14ac:dyDescent="0.25">
      <c r="A187" s="18" t="s">
        <v>7910</v>
      </c>
      <c r="B187">
        <v>82067</v>
      </c>
      <c r="C187">
        <v>29794</v>
      </c>
      <c r="D187" t="s">
        <v>8348</v>
      </c>
      <c r="E187">
        <v>74257</v>
      </c>
      <c r="F187" t="s">
        <v>4913</v>
      </c>
      <c r="G187" t="s">
        <v>4914</v>
      </c>
      <c r="H187" t="s">
        <v>4904</v>
      </c>
      <c r="I187" t="s">
        <v>8357</v>
      </c>
      <c r="J187" t="s">
        <v>8356</v>
      </c>
      <c r="K187" s="18">
        <v>34335.041666666664</v>
      </c>
      <c r="M187" s="18" t="s">
        <v>8976</v>
      </c>
      <c r="N187" s="18">
        <v>34335.041666666664</v>
      </c>
      <c r="O187" t="str">
        <f>IF(ISERROR(VLOOKUP(A187,GamesTable[game_id],1,0)),"not found","found")</f>
        <v>found</v>
      </c>
    </row>
    <row r="188" spans="1:15" ht="14.25" customHeight="1" x14ac:dyDescent="0.25">
      <c r="A188" s="18" t="s">
        <v>7911</v>
      </c>
      <c r="B188">
        <v>82095</v>
      </c>
      <c r="C188">
        <v>29794</v>
      </c>
      <c r="D188" t="s">
        <v>8348</v>
      </c>
      <c r="E188">
        <v>74967</v>
      </c>
      <c r="F188" t="s">
        <v>8355</v>
      </c>
      <c r="G188" t="s">
        <v>8354</v>
      </c>
      <c r="H188" t="s">
        <v>8353</v>
      </c>
      <c r="J188" s="19" t="s">
        <v>8352</v>
      </c>
      <c r="K188" s="18"/>
      <c r="M188" s="18"/>
      <c r="N188" s="18">
        <v>35065.041666666664</v>
      </c>
      <c r="O188" t="str">
        <f>IF(ISERROR(VLOOKUP(A188,GamesTable[game_id],1,0)),"not found","found")</f>
        <v>found</v>
      </c>
    </row>
    <row r="189" spans="1:15" ht="14.25" customHeight="1" x14ac:dyDescent="0.25">
      <c r="A189" s="18" t="s">
        <v>7912</v>
      </c>
      <c r="B189">
        <v>82117</v>
      </c>
      <c r="C189">
        <v>29794</v>
      </c>
      <c r="D189" t="s">
        <v>8348</v>
      </c>
      <c r="E189">
        <v>36275</v>
      </c>
      <c r="F189" t="s">
        <v>1912</v>
      </c>
      <c r="G189" t="s">
        <v>5036</v>
      </c>
      <c r="H189" t="s">
        <v>8351</v>
      </c>
      <c r="I189" s="19" t="s">
        <v>8350</v>
      </c>
      <c r="J189" t="s">
        <v>8349</v>
      </c>
      <c r="K189" s="18">
        <v>36892.041666666664</v>
      </c>
      <c r="M189" s="18"/>
      <c r="N189" s="18">
        <v>36892.041666666664</v>
      </c>
      <c r="O189" t="str">
        <f>IF(ISERROR(VLOOKUP(A189,GamesTable[game_id],1,0)),"not found","found")</f>
        <v>found</v>
      </c>
    </row>
    <row r="190" spans="1:15" ht="14.25" customHeight="1" x14ac:dyDescent="0.25">
      <c r="A190" s="18"/>
      <c r="K190" s="18"/>
      <c r="M190" s="18"/>
      <c r="N190" s="18"/>
    </row>
    <row r="191" spans="1:15" ht="14.25" customHeight="1" x14ac:dyDescent="0.25">
      <c r="A191" s="18"/>
      <c r="K191" s="18"/>
      <c r="M191" s="18"/>
      <c r="N191" s="18"/>
    </row>
  </sheetData>
  <autoFilter ref="A1:O189" xr:uid="{756D1EE9-44B4-4A8C-B1AE-C782DB2E53C1}"/>
  <phoneticPr fontId="7" type="noConversion"/>
  <pageMargins left="0.7" right="0.7" top="0.75" bottom="0.75" header="0.3" footer="0.3"/>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834F4-0771-4F1A-B5E5-F44D8F77272B}">
  <dimension ref="A1:M167"/>
  <sheetViews>
    <sheetView workbookViewId="0">
      <selection activeCell="F24" sqref="A1:M167"/>
    </sheetView>
  </sheetViews>
  <sheetFormatPr defaultRowHeight="15" x14ac:dyDescent="0.25"/>
  <cols>
    <col min="1" max="1" width="16.28515625" bestFit="1" customWidth="1"/>
    <col min="2" max="2" width="8" bestFit="1" customWidth="1"/>
    <col min="3" max="3" width="74.5703125" bestFit="1" customWidth="1"/>
    <col min="4" max="4" width="6.7109375" bestFit="1" customWidth="1"/>
    <col min="5" max="5" width="17.85546875" bestFit="1" customWidth="1"/>
    <col min="6" max="6" width="10.7109375" bestFit="1" customWidth="1"/>
    <col min="7" max="7" width="9.85546875" bestFit="1" customWidth="1"/>
    <col min="8" max="8" width="43.5703125" bestFit="1" customWidth="1"/>
    <col min="11" max="11" width="39.5703125" customWidth="1"/>
  </cols>
  <sheetData>
    <row r="1" spans="1:13" x14ac:dyDescent="0.25">
      <c r="A1" s="14" t="s">
        <v>7769</v>
      </c>
      <c r="B1" s="14" t="s">
        <v>8341</v>
      </c>
      <c r="C1" s="14" t="s">
        <v>7770</v>
      </c>
      <c r="D1" s="14" t="s">
        <v>7761</v>
      </c>
      <c r="E1" s="14" t="s">
        <v>8158</v>
      </c>
      <c r="F1" s="14" t="s">
        <v>8340</v>
      </c>
      <c r="G1" s="14" t="s">
        <v>8338</v>
      </c>
      <c r="H1" s="14" t="s">
        <v>8339</v>
      </c>
      <c r="I1" t="s">
        <v>8342</v>
      </c>
      <c r="J1" t="s">
        <v>8997</v>
      </c>
      <c r="K1" t="s">
        <v>8998</v>
      </c>
      <c r="L1" t="s">
        <v>8999</v>
      </c>
      <c r="M1" t="s">
        <v>9001</v>
      </c>
    </row>
    <row r="2" spans="1:13" hidden="1" x14ac:dyDescent="0.25">
      <c r="A2" t="s">
        <v>7774</v>
      </c>
      <c r="B2">
        <f>COUNTIF(A:A,Table2[[#This Row],[game_id]])</f>
        <v>1</v>
      </c>
      <c r="C2" t="s">
        <v>7937</v>
      </c>
      <c r="D2">
        <v>1991</v>
      </c>
      <c r="F2" s="15">
        <v>1</v>
      </c>
      <c r="G2">
        <v>39665</v>
      </c>
      <c r="H2" t="s">
        <v>8337</v>
      </c>
      <c r="I2" t="str">
        <f>IF(ISERROR(VLOOKUP(Table2[[#This Row],[IGDB_id]],GamesTable[IGDB id],1,0)),"NO","yes")</f>
        <v>yes</v>
      </c>
      <c r="J2" t="str">
        <f>IF(ISERROR(VLOOKUP(A2,GamesTable[game_id],1,0)),"not found","found")</f>
        <v>found</v>
      </c>
      <c r="K2" t="str">
        <f>VLOOKUP(Table2[[#This Row],[game_id]],GamesTable[[game_id]:[game title]],2,0)</f>
        <v>2020 Super Baseball</v>
      </c>
      <c r="L2" t="str">
        <f>VLOOKUP(VLOOKUP(Table2[[#This Row],[game_id]],GamesTable[[game_id]:[IGDB id]],7,0),G:H,2,0)</f>
        <v>2020 Super Baseball</v>
      </c>
      <c r="M2">
        <f>VLOOKUP(Table2[[#This Row],[game_id]],GamesTable[[game_id]:[IGDB id]],7,0)</f>
        <v>39665</v>
      </c>
    </row>
    <row r="3" spans="1:13" hidden="1" x14ac:dyDescent="0.25">
      <c r="A3" t="s">
        <v>7775</v>
      </c>
      <c r="B3">
        <f>COUNTIF(A:A,Table2[[#This Row],[game_id]])</f>
        <v>2</v>
      </c>
      <c r="C3" t="s">
        <v>7942</v>
      </c>
      <c r="D3">
        <v>1993</v>
      </c>
      <c r="F3" s="15">
        <v>0.9123747579140965</v>
      </c>
      <c r="G3">
        <v>6734</v>
      </c>
      <c r="H3" t="s">
        <v>8336</v>
      </c>
      <c r="I3" s="3" t="str">
        <f>IF(ISERROR(VLOOKUP(Table2[[#This Row],[IGDB_id]],GamesTable[IGDB id],1,0)),"NO","yes")</f>
        <v>yes</v>
      </c>
      <c r="J3" t="str">
        <f>IF(ISERROR(VLOOKUP(A3,GamesTable[game_id],1,0)),"not found","found")</f>
        <v>found</v>
      </c>
      <c r="K3" t="str">
        <f>VLOOKUP(Table2[[#This Row],[game_id]],GamesTable[[game_id]:[game title]],2,0)</f>
        <v>3 Count Bout</v>
      </c>
      <c r="L3" t="str">
        <f>VLOOKUP(VLOOKUP(Table2[[#This Row],[game_id]],GamesTable[[game_id]:[IGDB id]],7,0),G:H,2,0)</f>
        <v>3 Count Bout</v>
      </c>
      <c r="M3">
        <f>VLOOKUP(Table2[[#This Row],[game_id]],GamesTable[[game_id]:[IGDB id]],7,0)</f>
        <v>6734</v>
      </c>
    </row>
    <row r="4" spans="1:13" hidden="1" x14ac:dyDescent="0.25">
      <c r="A4" t="s">
        <v>7848</v>
      </c>
      <c r="B4">
        <f>COUNTIF(A:A,Table2[[#This Row],[game_id]])</f>
        <v>2</v>
      </c>
      <c r="C4" t="s">
        <v>7984</v>
      </c>
      <c r="D4">
        <v>1990</v>
      </c>
      <c r="F4" s="15">
        <v>0.9</v>
      </c>
      <c r="G4">
        <v>28409</v>
      </c>
      <c r="H4" t="s">
        <v>8335</v>
      </c>
      <c r="I4" s="3" t="str">
        <f>IF(ISERROR(VLOOKUP(Table2[[#This Row],[IGDB_id]],GamesTable[IGDB id],1,0)),"NO","yes")</f>
        <v>yes</v>
      </c>
      <c r="J4" t="str">
        <f>IF(ISERROR(VLOOKUP(A4,GamesTable[game_id],1,0)),"not found","found")</f>
        <v>found</v>
      </c>
      <c r="K4" t="str">
        <f>VLOOKUP(Table2[[#This Row],[game_id]],GamesTable[[game_id]:[game title]],2,0)</f>
        <v xml:space="preserve">NAM-1975 </v>
      </c>
      <c r="L4" t="str">
        <f>VLOOKUP(VLOOKUP(Table2[[#This Row],[game_id]],GamesTable[[game_id]:[IGDB id]],7,0),G:H,2,0)</f>
        <v>ACA NEOGEO NAM-1975</v>
      </c>
      <c r="M4">
        <f>VLOOKUP(Table2[[#This Row],[game_id]],GamesTable[[game_id]:[IGDB id]],7,0)</f>
        <v>28409</v>
      </c>
    </row>
    <row r="5" spans="1:13" hidden="1" x14ac:dyDescent="0.25">
      <c r="A5" t="s">
        <v>7889</v>
      </c>
      <c r="B5">
        <f>COUNTIF(A:A,Table2[[#This Row],[game_id]])</f>
        <v>1</v>
      </c>
      <c r="C5" t="s">
        <v>4946</v>
      </c>
      <c r="D5">
        <v>1994</v>
      </c>
      <c r="F5" s="15">
        <v>0.88888888888888895</v>
      </c>
      <c r="G5">
        <v>6773</v>
      </c>
      <c r="H5" t="s">
        <v>8334</v>
      </c>
      <c r="I5" t="str">
        <f>IF(ISERROR(VLOOKUP(Table2[[#This Row],[IGDB_id]],GamesTable[IGDB id],1,0)),"NO","yes")</f>
        <v>yes</v>
      </c>
      <c r="J5" t="str">
        <f>IF(ISERROR(VLOOKUP(A5,GamesTable[game_id],1,0)),"not found","found")</f>
        <v>found</v>
      </c>
      <c r="K5" t="str">
        <f>VLOOKUP(Table2[[#This Row],[game_id]],GamesTable[[game_id]:[game title]],2,0)</f>
        <v>Aero Fighters 2</v>
      </c>
      <c r="L5" t="str">
        <f>VLOOKUP(VLOOKUP(Table2[[#This Row],[game_id]],GamesTable[[game_id]:[IGDB id]],7,0),G:H,2,0)</f>
        <v>Aero Fighters 2</v>
      </c>
      <c r="M5">
        <f>VLOOKUP(Table2[[#This Row],[game_id]],GamesTable[[game_id]:[IGDB id]],7,0)</f>
        <v>6773</v>
      </c>
    </row>
    <row r="6" spans="1:13" hidden="1" x14ac:dyDescent="0.25">
      <c r="A6" t="s">
        <v>7890</v>
      </c>
      <c r="B6">
        <f>COUNTIF(A:A,Table2[[#This Row],[game_id]])</f>
        <v>2</v>
      </c>
      <c r="C6" t="s">
        <v>4014</v>
      </c>
      <c r="D6">
        <v>1995</v>
      </c>
      <c r="F6" s="15">
        <v>0.89</v>
      </c>
      <c r="G6">
        <v>55051</v>
      </c>
      <c r="H6" t="s">
        <v>8333</v>
      </c>
      <c r="I6" s="3" t="str">
        <f>IF(ISERROR(VLOOKUP(Table2[[#This Row],[IGDB_id]],GamesTable[IGDB id],1,0)),"NO","yes")</f>
        <v>yes</v>
      </c>
      <c r="J6" t="str">
        <f>IF(ISERROR(VLOOKUP(A6,GamesTable[game_id],1,0)),"not found","found")</f>
        <v>found</v>
      </c>
      <c r="K6" t="str">
        <f>VLOOKUP(Table2[[#This Row],[game_id]],GamesTable[[game_id]:[game title]],2,0)</f>
        <v>Aero Fighters 3</v>
      </c>
      <c r="L6" t="str">
        <f>VLOOKUP(VLOOKUP(Table2[[#This Row],[game_id]],GamesTable[[game_id]:[IGDB id]],7,0),G:H,2,0)</f>
        <v>Aero Fighters 3</v>
      </c>
      <c r="M6">
        <f>VLOOKUP(Table2[[#This Row],[game_id]],GamesTable[[game_id]:[IGDB id]],7,0)</f>
        <v>55051</v>
      </c>
    </row>
    <row r="7" spans="1:13" hidden="1" x14ac:dyDescent="0.25">
      <c r="A7" t="s">
        <v>7778</v>
      </c>
      <c r="B7">
        <f>COUNTIF(A:A,Table2[[#This Row],[game_id]])</f>
        <v>1</v>
      </c>
      <c r="C7" t="s">
        <v>7944</v>
      </c>
      <c r="D7">
        <v>1994</v>
      </c>
      <c r="F7" s="15">
        <v>0.90322580645161288</v>
      </c>
      <c r="G7">
        <v>39336</v>
      </c>
      <c r="H7" t="s">
        <v>8332</v>
      </c>
      <c r="I7" t="str">
        <f>IF(ISERROR(VLOOKUP(Table2[[#This Row],[IGDB_id]],GamesTable[IGDB id],1,0)),"NO","yes")</f>
        <v>yes</v>
      </c>
      <c r="J7" t="str">
        <f>IF(ISERROR(VLOOKUP(A7,GamesTable[game_id],1,0)),"not found","found")</f>
        <v>found</v>
      </c>
      <c r="K7" t="str">
        <f>VLOOKUP(Table2[[#This Row],[game_id]],GamesTable[[game_id]:[game title]],2,0)</f>
        <v>Aggressors of Dark Kombat</v>
      </c>
      <c r="L7" t="str">
        <f>VLOOKUP(VLOOKUP(Table2[[#This Row],[game_id]],GamesTable[[game_id]:[IGDB id]],7,0),G:H,2,0)</f>
        <v>Aggressors of Dark Kombat</v>
      </c>
      <c r="M7">
        <f>VLOOKUP(Table2[[#This Row],[game_id]],GamesTable[[game_id]:[IGDB id]],7,0)</f>
        <v>39336</v>
      </c>
    </row>
    <row r="8" spans="1:13" hidden="1" x14ac:dyDescent="0.25">
      <c r="A8" t="s">
        <v>7776</v>
      </c>
      <c r="B8">
        <f>COUNTIF(A:A,Table2[[#This Row],[game_id]])</f>
        <v>1</v>
      </c>
      <c r="C8" t="s">
        <v>7938</v>
      </c>
      <c r="D8">
        <v>1991</v>
      </c>
      <c r="F8" s="15">
        <v>0.8896551724137931</v>
      </c>
      <c r="G8">
        <v>13681</v>
      </c>
      <c r="H8" t="s">
        <v>8331</v>
      </c>
      <c r="I8" t="str">
        <f>IF(ISERROR(VLOOKUP(Table2[[#This Row],[IGDB_id]],GamesTable[IGDB id],1,0)),"NO","yes")</f>
        <v>yes</v>
      </c>
      <c r="J8" t="str">
        <f>IF(ISERROR(VLOOKUP(A8,GamesTable[game_id],1,0)),"not found","found")</f>
        <v>found</v>
      </c>
      <c r="K8" t="str">
        <f>VLOOKUP(Table2[[#This Row],[game_id]],GamesTable[[game_id]:[game title]],2,0)</f>
        <v>Alpha Mission II</v>
      </c>
      <c r="L8" t="str">
        <f>VLOOKUP(VLOOKUP(Table2[[#This Row],[game_id]],GamesTable[[game_id]:[IGDB id]],7,0),G:H,2,0)</f>
        <v>Alpha Mission II</v>
      </c>
      <c r="M8">
        <f>VLOOKUP(Table2[[#This Row],[game_id]],GamesTable[[game_id]:[IGDB id]],7,0)</f>
        <v>13681</v>
      </c>
    </row>
    <row r="9" spans="1:13" hidden="1" x14ac:dyDescent="0.25">
      <c r="A9" t="s">
        <v>7777</v>
      </c>
      <c r="B9">
        <f>COUNTIF(A:A,Table2[[#This Row],[game_id]])</f>
        <v>1</v>
      </c>
      <c r="C9" t="s">
        <v>7943</v>
      </c>
      <c r="D9">
        <v>1992</v>
      </c>
      <c r="E9">
        <v>39622</v>
      </c>
      <c r="F9" s="15">
        <v>1</v>
      </c>
      <c r="G9">
        <v>39622</v>
      </c>
      <c r="H9" t="s">
        <v>8330</v>
      </c>
      <c r="I9" t="str">
        <f>IF(ISERROR(VLOOKUP(Table2[[#This Row],[IGDB_id]],GamesTable[IGDB id],1,0)),"NO","yes")</f>
        <v>yes</v>
      </c>
      <c r="J9" t="str">
        <f>IF(ISERROR(VLOOKUP(A9,GamesTable[game_id],1,0)),"not found","found")</f>
        <v>found</v>
      </c>
      <c r="K9" t="str">
        <f>VLOOKUP(Table2[[#This Row],[game_id]],GamesTable[[game_id]:[game title]],2,0)</f>
        <v xml:space="preserve">Andro Dunos </v>
      </c>
      <c r="L9" t="str">
        <f>VLOOKUP(VLOOKUP(Table2[[#This Row],[game_id]],GamesTable[[game_id]:[IGDB id]],7,0),G:H,2,0)</f>
        <v>Andro Dunos</v>
      </c>
      <c r="M9">
        <f>VLOOKUP(Table2[[#This Row],[game_id]],GamesTable[[game_id]:[IGDB id]],7,0)</f>
        <v>39622</v>
      </c>
    </row>
    <row r="10" spans="1:13" hidden="1" x14ac:dyDescent="0.25">
      <c r="A10" t="s">
        <v>7779</v>
      </c>
      <c r="B10">
        <f>COUNTIF(A:A,Table2[[#This Row],[game_id]])</f>
        <v>1</v>
      </c>
      <c r="C10" t="s">
        <v>7945</v>
      </c>
      <c r="D10">
        <v>1992</v>
      </c>
      <c r="F10" s="15">
        <v>0.89523809523809528</v>
      </c>
      <c r="G10">
        <v>4514</v>
      </c>
      <c r="H10" t="s">
        <v>8329</v>
      </c>
      <c r="I10" t="str">
        <f>IF(ISERROR(VLOOKUP(Table2[[#This Row],[IGDB_id]],GamesTable[IGDB id],1,0)),"NO","yes")</f>
        <v>yes</v>
      </c>
      <c r="J10" t="str">
        <f>IF(ISERROR(VLOOKUP(A10,GamesTable[game_id],1,0)),"not found","found")</f>
        <v>found</v>
      </c>
      <c r="K10" t="str">
        <f>VLOOKUP(Table2[[#This Row],[game_id]],GamesTable[[game_id]:[game title]],2,0)</f>
        <v>Art of Fighting</v>
      </c>
      <c r="L10" t="str">
        <f>VLOOKUP(VLOOKUP(Table2[[#This Row],[game_id]],GamesTable[[game_id]:[IGDB id]],7,0),G:H,2,0)</f>
        <v>Art of Fighting</v>
      </c>
      <c r="M10">
        <f>VLOOKUP(Table2[[#This Row],[game_id]],GamesTable[[game_id]:[IGDB id]],7,0)</f>
        <v>4514</v>
      </c>
    </row>
    <row r="11" spans="1:13" hidden="1" x14ac:dyDescent="0.25">
      <c r="A11" t="s">
        <v>7913</v>
      </c>
      <c r="B11">
        <f>COUNTIF(A:A,Table2[[#This Row],[game_id]])</f>
        <v>1</v>
      </c>
      <c r="C11" t="s">
        <v>7939</v>
      </c>
      <c r="D11">
        <v>1994</v>
      </c>
      <c r="F11" s="15">
        <v>0.89600000000000002</v>
      </c>
      <c r="G11">
        <v>6556</v>
      </c>
      <c r="H11" t="s">
        <v>8328</v>
      </c>
      <c r="I11" t="str">
        <f>IF(ISERROR(VLOOKUP(Table2[[#This Row],[IGDB_id]],GamesTable[IGDB id],1,0)),"NO","yes")</f>
        <v>yes</v>
      </c>
      <c r="J11" t="str">
        <f>IF(ISERROR(VLOOKUP(A11,GamesTable[game_id],1,0)),"not found","found")</f>
        <v>found</v>
      </c>
      <c r="K11" t="str">
        <f>VLOOKUP(Table2[[#This Row],[game_id]],GamesTable[[game_id]:[game title]],2,0)</f>
        <v>Art of Fighting 2</v>
      </c>
      <c r="L11" t="str">
        <f>VLOOKUP(VLOOKUP(Table2[[#This Row],[game_id]],GamesTable[[game_id]:[IGDB id]],7,0),G:H,2,0)</f>
        <v>Art of Fighting 2</v>
      </c>
      <c r="M11">
        <f>VLOOKUP(Table2[[#This Row],[game_id]],GamesTable[[game_id]:[IGDB id]],7,0)</f>
        <v>6556</v>
      </c>
    </row>
    <row r="12" spans="1:13" hidden="1" x14ac:dyDescent="0.25">
      <c r="A12" t="s">
        <v>7781</v>
      </c>
      <c r="B12">
        <f>COUNTIF(A:A,Table2[[#This Row],[game_id]])</f>
        <v>1</v>
      </c>
      <c r="C12" t="s">
        <v>7946</v>
      </c>
      <c r="D12">
        <v>1991</v>
      </c>
      <c r="E12">
        <v>47575</v>
      </c>
      <c r="F12" s="15">
        <v>0.98446161860857129</v>
      </c>
      <c r="G12">
        <v>47575</v>
      </c>
      <c r="H12" t="s">
        <v>8326</v>
      </c>
      <c r="I12" t="str">
        <f>IF(ISERROR(VLOOKUP(Table2[[#This Row],[IGDB_id]],GamesTable[IGDB id],1,0)),"NO","yes")</f>
        <v>yes</v>
      </c>
      <c r="J12" t="str">
        <f>IF(ISERROR(VLOOKUP(A12,GamesTable[game_id],1,0)),"not found","found")</f>
        <v>found</v>
      </c>
      <c r="K12" t="str">
        <f>VLOOKUP(Table2[[#This Row],[game_id]],GamesTable[[game_id]:[game title]],2,0)</f>
        <v xml:space="preserve">Bakatonosama Mahjong Manyuuki </v>
      </c>
      <c r="L12" t="str">
        <f>VLOOKUP(VLOOKUP(Table2[[#This Row],[game_id]],GamesTable[[game_id]:[IGDB id]],7,0),G:H,2,0)</f>
        <v>Bakatonosama Mahjong Manyuki</v>
      </c>
      <c r="M12">
        <f>VLOOKUP(Table2[[#This Row],[game_id]],GamesTable[[game_id]:[IGDB id]],7,0)</f>
        <v>47575</v>
      </c>
    </row>
    <row r="13" spans="1:13" hidden="1" x14ac:dyDescent="0.25">
      <c r="A13" t="s">
        <v>7780</v>
      </c>
      <c r="B13">
        <f>COUNTIF(A:A,Table2[[#This Row],[game_id]])</f>
        <v>1</v>
      </c>
      <c r="C13" t="s">
        <v>2425</v>
      </c>
      <c r="D13">
        <v>2001</v>
      </c>
      <c r="F13" s="15">
        <v>1</v>
      </c>
      <c r="G13">
        <v>40189</v>
      </c>
      <c r="H13" t="s">
        <v>8325</v>
      </c>
      <c r="I13" t="str">
        <f>IF(ISERROR(VLOOKUP(Table2[[#This Row],[IGDB_id]],GamesTable[IGDB id],1,0)),"NO","yes")</f>
        <v>yes</v>
      </c>
      <c r="J13" t="str">
        <f>IF(ISERROR(VLOOKUP(A13,GamesTable[game_id],1,0)),"not found","found")</f>
        <v>found</v>
      </c>
      <c r="K13" t="str">
        <f>VLOOKUP(Table2[[#This Row],[game_id]],GamesTable[[game_id]:[game title]],2,0)</f>
        <v>Bang Bang Busters</v>
      </c>
      <c r="L13" t="str">
        <f>VLOOKUP(VLOOKUP(Table2[[#This Row],[game_id]],GamesTable[[game_id]:[IGDB id]],7,0),G:H,2,0)</f>
        <v>Bang Bang Busters</v>
      </c>
      <c r="M13">
        <f>VLOOKUP(Table2[[#This Row],[game_id]],GamesTable[[game_id]:[IGDB id]],7,0)</f>
        <v>40189</v>
      </c>
    </row>
    <row r="14" spans="1:13" hidden="1" x14ac:dyDescent="0.25">
      <c r="A14" t="s">
        <v>7915</v>
      </c>
      <c r="B14">
        <f>COUNTIF(A:A,Table2[[#This Row],[game_id]])</f>
        <v>1</v>
      </c>
      <c r="C14" t="s">
        <v>6119</v>
      </c>
      <c r="D14">
        <v>1992</v>
      </c>
      <c r="F14" s="15">
        <v>1</v>
      </c>
      <c r="G14">
        <v>9942</v>
      </c>
      <c r="H14" t="s">
        <v>8324</v>
      </c>
      <c r="I14" t="str">
        <f>IF(ISERROR(VLOOKUP(Table2[[#This Row],[IGDB_id]],GamesTable[IGDB id],1,0)),"NO","yes")</f>
        <v>yes</v>
      </c>
      <c r="J14" t="str">
        <f>IF(ISERROR(VLOOKUP(A14,GamesTable[game_id],1,0)),"not found","found")</f>
        <v>found</v>
      </c>
      <c r="K14" t="str">
        <f>VLOOKUP(Table2[[#This Row],[game_id]],GamesTable[[game_id]:[game title]],2,0)</f>
        <v>Baseball Stars 2</v>
      </c>
      <c r="L14" t="str">
        <f>VLOOKUP(VLOOKUP(Table2[[#This Row],[game_id]],GamesTable[[game_id]:[IGDB id]],7,0),G:H,2,0)</f>
        <v>Baseball Stars 2</v>
      </c>
      <c r="M14">
        <f>VLOOKUP(Table2[[#This Row],[game_id]],GamesTable[[game_id]:[IGDB id]],7,0)</f>
        <v>9942</v>
      </c>
    </row>
    <row r="15" spans="1:13" hidden="1" x14ac:dyDescent="0.25">
      <c r="A15" t="s">
        <v>7787</v>
      </c>
      <c r="B15">
        <f>COUNTIF(A:A,Table2[[#This Row],[game_id]])</f>
        <v>1</v>
      </c>
      <c r="C15" t="s">
        <v>7941</v>
      </c>
      <c r="D15">
        <v>1990</v>
      </c>
      <c r="F15" s="15">
        <v>1</v>
      </c>
      <c r="G15">
        <v>39595</v>
      </c>
      <c r="H15" t="s">
        <v>8323</v>
      </c>
      <c r="I15" t="str">
        <f>IF(ISERROR(VLOOKUP(Table2[[#This Row],[IGDB_id]],GamesTable[IGDB id],1,0)),"NO","yes")</f>
        <v>yes</v>
      </c>
      <c r="J15" t="str">
        <f>IF(ISERROR(VLOOKUP(A15,GamesTable[game_id],1,0)),"not found","found")</f>
        <v>found</v>
      </c>
      <c r="K15" t="str">
        <f>VLOOKUP(Table2[[#This Row],[game_id]],GamesTable[[game_id]:[game title]],2,0)</f>
        <v>Baseball Stars Professional</v>
      </c>
      <c r="L15" t="str">
        <f>VLOOKUP(VLOOKUP(Table2[[#This Row],[game_id]],GamesTable[[game_id]:[IGDB id]],7,0),G:H,2,0)</f>
        <v>Baseball Stars Professional</v>
      </c>
      <c r="M15">
        <f>VLOOKUP(Table2[[#This Row],[game_id]],GamesTable[[game_id]:[IGDB id]],7,0)</f>
        <v>39595</v>
      </c>
    </row>
    <row r="16" spans="1:13" hidden="1" x14ac:dyDescent="0.25">
      <c r="A16" t="s">
        <v>7784</v>
      </c>
      <c r="B16">
        <f>COUNTIF(A:A,Table2[[#This Row],[game_id]])</f>
        <v>1</v>
      </c>
      <c r="C16" t="s">
        <v>2855</v>
      </c>
      <c r="D16">
        <v>1990</v>
      </c>
      <c r="F16" s="15">
        <v>1</v>
      </c>
      <c r="G16">
        <v>10500</v>
      </c>
      <c r="H16" t="s">
        <v>8322</v>
      </c>
      <c r="I16" t="str">
        <f>IF(ISERROR(VLOOKUP(Table2[[#This Row],[IGDB_id]],GamesTable[IGDB id],1,0)),"NO","yes")</f>
        <v>yes</v>
      </c>
      <c r="J16" t="str">
        <f>IF(ISERROR(VLOOKUP(A16,GamesTable[game_id],1,0)),"not found","found")</f>
        <v>found</v>
      </c>
      <c r="K16" t="str">
        <f>VLOOKUP(Table2[[#This Row],[game_id]],GamesTable[[game_id]:[game title]],2,0)</f>
        <v>Blazing Star</v>
      </c>
      <c r="L16" t="str">
        <f>VLOOKUP(VLOOKUP(Table2[[#This Row],[game_id]],GamesTable[[game_id]:[IGDB id]],7,0),G:H,2,0)</f>
        <v>Blazing Star</v>
      </c>
      <c r="M16">
        <f>VLOOKUP(Table2[[#This Row],[game_id]],GamesTable[[game_id]:[IGDB id]],7,0)</f>
        <v>10500</v>
      </c>
    </row>
    <row r="17" spans="1:13" hidden="1" x14ac:dyDescent="0.25">
      <c r="A17" t="s">
        <v>7783</v>
      </c>
      <c r="B17">
        <f>COUNTIF(A:A,Table2[[#This Row],[game_id]])</f>
        <v>2</v>
      </c>
      <c r="C17" t="s">
        <v>7940</v>
      </c>
      <c r="D17">
        <v>1990</v>
      </c>
      <c r="F17" s="15">
        <v>0.94444444444444442</v>
      </c>
      <c r="G17">
        <v>39653</v>
      </c>
      <c r="H17" t="s">
        <v>8321</v>
      </c>
      <c r="I17" s="3" t="str">
        <f>IF(ISERROR(VLOOKUP(Table2[[#This Row],[IGDB_id]],GamesTable[IGDB id],1,0)),"NO","yes")</f>
        <v>yes</v>
      </c>
      <c r="J17" t="str">
        <f>IF(ISERROR(VLOOKUP(A17,GamesTable[game_id],1,0)),"not found","found")</f>
        <v>found</v>
      </c>
      <c r="K17" t="str">
        <f>VLOOKUP(Table2[[#This Row],[game_id]],GamesTable[[game_id]:[game title]],2,0)</f>
        <v>Blue's Journey</v>
      </c>
      <c r="L17" t="str">
        <f>VLOOKUP(VLOOKUP(Table2[[#This Row],[game_id]],GamesTable[[game_id]:[IGDB id]],7,0),G:H,2,0)</f>
        <v>Blue's Journey</v>
      </c>
      <c r="M17">
        <f>VLOOKUP(Table2[[#This Row],[game_id]],GamesTable[[game_id]:[IGDB id]],7,0)</f>
        <v>39653</v>
      </c>
    </row>
    <row r="18" spans="1:13" hidden="1" x14ac:dyDescent="0.25">
      <c r="A18" t="s">
        <v>7858</v>
      </c>
      <c r="B18">
        <f>COUNTIF(A:A,Table2[[#This Row],[game_id]])</f>
        <v>1</v>
      </c>
      <c r="C18" t="s">
        <v>5017</v>
      </c>
      <c r="D18">
        <v>1994</v>
      </c>
      <c r="F18" s="15">
        <v>0.93333333333333335</v>
      </c>
      <c r="G18">
        <v>39663</v>
      </c>
      <c r="H18" t="s">
        <v>8320</v>
      </c>
      <c r="I18" t="str">
        <f>IF(ISERROR(VLOOKUP(Table2[[#This Row],[IGDB_id]],GamesTable[IGDB id],1,0)),"NO","yes")</f>
        <v>yes</v>
      </c>
      <c r="J18" t="str">
        <f>IF(ISERROR(VLOOKUP(A18,GamesTable[game_id],1,0)),"not found","found")</f>
        <v>found</v>
      </c>
      <c r="K18" t="str">
        <f>VLOOKUP(Table2[[#This Row],[game_id]],GamesTable[[game_id]:[game title]],2,0)</f>
        <v>Panic Bomber</v>
      </c>
      <c r="L18" t="str">
        <f>VLOOKUP(VLOOKUP(Table2[[#This Row],[game_id]],GamesTable[[game_id]:[IGDB id]],7,0),G:H,2,0)</f>
        <v>Bomberman: Panic Bomber</v>
      </c>
      <c r="M18">
        <f>VLOOKUP(Table2[[#This Row],[game_id]],GamesTable[[game_id]:[IGDB id]],7,0)</f>
        <v>39663</v>
      </c>
    </row>
    <row r="19" spans="1:13" hidden="1" x14ac:dyDescent="0.25">
      <c r="A19" t="s">
        <v>7785</v>
      </c>
      <c r="B19">
        <f>COUNTIF(A:A,Table2[[#This Row],[game_id]])</f>
        <v>1</v>
      </c>
      <c r="C19" t="s">
        <v>3149</v>
      </c>
      <c r="D19">
        <v>1996</v>
      </c>
      <c r="F19" s="15">
        <v>1</v>
      </c>
      <c r="G19">
        <v>72533</v>
      </c>
      <c r="H19" t="s">
        <v>3149</v>
      </c>
      <c r="I19" t="str">
        <f>IF(ISERROR(VLOOKUP(Table2[[#This Row],[IGDB_id]],GamesTable[IGDB id],1,0)),"NO","yes")</f>
        <v>yes</v>
      </c>
      <c r="J19" t="str">
        <f>IF(ISERROR(VLOOKUP(A19,GamesTable[game_id],1,0)),"not found","found")</f>
        <v>found</v>
      </c>
      <c r="K19" t="str">
        <f>VLOOKUP(Table2[[#This Row],[game_id]],GamesTable[[game_id]:[game title]],2,0)</f>
        <v>Breakers</v>
      </c>
      <c r="L19" t="str">
        <f>VLOOKUP(VLOOKUP(Table2[[#This Row],[game_id]],GamesTable[[game_id]:[IGDB id]],7,0),G:H,2,0)</f>
        <v>Breakers</v>
      </c>
      <c r="M19">
        <f>VLOOKUP(Table2[[#This Row],[game_id]],GamesTable[[game_id]:[IGDB id]],7,0)</f>
        <v>72533</v>
      </c>
    </row>
    <row r="20" spans="1:13" hidden="1" x14ac:dyDescent="0.25">
      <c r="A20" t="s">
        <v>7786</v>
      </c>
      <c r="B20">
        <f>COUNTIF(A:A,Table2[[#This Row],[game_id]])</f>
        <v>1</v>
      </c>
      <c r="C20" t="s">
        <v>2558</v>
      </c>
      <c r="D20">
        <v>1998</v>
      </c>
      <c r="E20">
        <v>39558</v>
      </c>
      <c r="F20" s="15">
        <v>1</v>
      </c>
      <c r="G20">
        <v>39558</v>
      </c>
      <c r="H20" t="s">
        <v>8319</v>
      </c>
      <c r="I20" t="str">
        <f>IF(ISERROR(VLOOKUP(Table2[[#This Row],[IGDB_id]],GamesTable[IGDB id],1,0)),"NO","yes")</f>
        <v>yes</v>
      </c>
      <c r="J20" t="str">
        <f>IF(ISERROR(VLOOKUP(A20,GamesTable[game_id],1,0)),"not found","found")</f>
        <v>found</v>
      </c>
      <c r="K20" t="str">
        <f>VLOOKUP(Table2[[#This Row],[game_id]],GamesTable[[game_id]:[game title]],2,0)</f>
        <v>Breakers Revenge</v>
      </c>
      <c r="L20" t="str">
        <f>VLOOKUP(VLOOKUP(Table2[[#This Row],[game_id]],GamesTable[[game_id]:[IGDB id]],7,0),G:H,2,0)</f>
        <v>Breakers Revenge</v>
      </c>
      <c r="M20">
        <f>VLOOKUP(Table2[[#This Row],[game_id]],GamesTable[[game_id]:[IGDB id]],7,0)</f>
        <v>39558</v>
      </c>
    </row>
    <row r="21" spans="1:13" hidden="1" x14ac:dyDescent="0.25">
      <c r="A21" t="s">
        <v>7788</v>
      </c>
      <c r="B21">
        <f>COUNTIF(A:A,Table2[[#This Row],[game_id]])</f>
        <v>1</v>
      </c>
      <c r="C21" t="s">
        <v>7947</v>
      </c>
      <c r="D21">
        <v>1991</v>
      </c>
      <c r="F21" s="15">
        <v>1</v>
      </c>
      <c r="G21">
        <v>39557</v>
      </c>
      <c r="H21" t="s">
        <v>8318</v>
      </c>
      <c r="I21" t="str">
        <f>IF(ISERROR(VLOOKUP(Table2[[#This Row],[IGDB_id]],GamesTable[IGDB id],1,0)),"NO","yes")</f>
        <v>yes</v>
      </c>
      <c r="J21" t="str">
        <f>IF(ISERROR(VLOOKUP(A21,GamesTable[game_id],1,0)),"not found","found")</f>
        <v>found</v>
      </c>
      <c r="K21" t="str">
        <f>VLOOKUP(Table2[[#This Row],[game_id]],GamesTable[[game_id]:[game title]],2,0)</f>
        <v xml:space="preserve">Burning Fight </v>
      </c>
      <c r="L21" t="str">
        <f>VLOOKUP(VLOOKUP(Table2[[#This Row],[game_id]],GamesTable[[game_id]:[IGDB id]],7,0),G:H,2,0)</f>
        <v>Burning Fight</v>
      </c>
      <c r="M21">
        <f>VLOOKUP(Table2[[#This Row],[game_id]],GamesTable[[game_id]:[IGDB id]],7,0)</f>
        <v>39557</v>
      </c>
    </row>
    <row r="22" spans="1:13" hidden="1" x14ac:dyDescent="0.25">
      <c r="A22" t="s">
        <v>7860</v>
      </c>
      <c r="B22">
        <f>COUNTIF(A:A,Table2[[#This Row],[game_id]])</f>
        <v>1</v>
      </c>
      <c r="C22" t="s">
        <v>7987</v>
      </c>
      <c r="D22">
        <v>1994</v>
      </c>
      <c r="F22" s="15">
        <v>0.9263157894736842</v>
      </c>
      <c r="G22">
        <v>28391</v>
      </c>
      <c r="H22" t="s">
        <v>8317</v>
      </c>
      <c r="I22" t="str">
        <f>IF(ISERROR(VLOOKUP(Table2[[#This Row],[IGDB_id]],GamesTable[IGDB id],1,0)),"NO","yes")</f>
        <v>yes</v>
      </c>
      <c r="J22" t="str">
        <f>IF(ISERROR(VLOOKUP(A22,GamesTable[game_id],1,0)),"not found","found")</f>
        <v>found</v>
      </c>
      <c r="K22" t="str">
        <f>VLOOKUP(Table2[[#This Row],[game_id]],GamesTable[[game_id]:[game title]],2,0)</f>
        <v xml:space="preserve">Puzzle Bobble / Bust-A-Move </v>
      </c>
      <c r="L22" t="str">
        <f>VLOOKUP(VLOOKUP(Table2[[#This Row],[game_id]],GamesTable[[game_id]:[IGDB id]],7,0),G:H,2,0)</f>
        <v>Bust-A-Move</v>
      </c>
      <c r="M22">
        <f>VLOOKUP(Table2[[#This Row],[game_id]],GamesTable[[game_id]:[IGDB id]],7,0)</f>
        <v>28391</v>
      </c>
    </row>
    <row r="23" spans="1:13" hidden="1" x14ac:dyDescent="0.25">
      <c r="A23" t="s">
        <v>7791</v>
      </c>
      <c r="B23">
        <f>COUNTIF(A:A,Table2[[#This Row],[game_id]])</f>
        <v>1</v>
      </c>
      <c r="C23" t="s">
        <v>2404</v>
      </c>
      <c r="D23">
        <v>1999</v>
      </c>
      <c r="F23" s="15">
        <v>1</v>
      </c>
      <c r="G23">
        <v>40981</v>
      </c>
      <c r="H23" t="s">
        <v>8316</v>
      </c>
      <c r="I23" t="str">
        <f>IF(ISERROR(VLOOKUP(Table2[[#This Row],[IGDB_id]],GamesTable[IGDB id],1,0)),"NO","yes")</f>
        <v>yes</v>
      </c>
      <c r="J23" t="str">
        <f>IF(ISERROR(VLOOKUP(A23,GamesTable[game_id],1,0)),"not found","found")</f>
        <v>found</v>
      </c>
      <c r="K23" t="str">
        <f>VLOOKUP(Table2[[#This Row],[game_id]],GamesTable[[game_id]:[game title]],2,0)</f>
        <v>Captain Tomaday</v>
      </c>
      <c r="L23" t="str">
        <f>VLOOKUP(VLOOKUP(Table2[[#This Row],[game_id]],GamesTable[[game_id]:[IGDB id]],7,0),G:H,2,0)</f>
        <v>Captain Tomaday</v>
      </c>
      <c r="M23">
        <f>VLOOKUP(Table2[[#This Row],[game_id]],GamesTable[[game_id]:[IGDB id]],7,0)</f>
        <v>40981</v>
      </c>
    </row>
    <row r="24" spans="1:13" hidden="1" x14ac:dyDescent="0.25">
      <c r="A24" t="s">
        <v>7841</v>
      </c>
      <c r="B24">
        <f>COUNTIF(A:A,Table2[[#This Row],[game_id]])</f>
        <v>1</v>
      </c>
      <c r="C24" t="s">
        <v>3883</v>
      </c>
      <c r="D24">
        <v>1995</v>
      </c>
      <c r="E24">
        <v>47574</v>
      </c>
      <c r="F24" s="15">
        <v>0.96551724137931039</v>
      </c>
      <c r="G24">
        <v>47574</v>
      </c>
      <c r="H24" t="s">
        <v>8315</v>
      </c>
      <c r="I24" t="str">
        <f>IF(ISERROR(VLOOKUP(Table2[[#This Row],[IGDB_id]],GamesTable[IGDB id],1,0)),"NO","yes")</f>
        <v>yes</v>
      </c>
      <c r="J24" t="str">
        <f>IF(ISERROR(VLOOKUP(A24,GamesTable[game_id],1,0)),"not found","found")</f>
        <v>found</v>
      </c>
      <c r="K24" t="str">
        <f>VLOOKUP(Table2[[#This Row],[game_id]],GamesTable[[game_id]:[game title]],2,0)</f>
        <v>Chibi Maruko-chan: Maruko Deluxe Quiz</v>
      </c>
      <c r="L24" t="str">
        <f>VLOOKUP(VLOOKUP(Table2[[#This Row],[game_id]],GamesTable[[game_id]:[IGDB id]],7,0),G:H,2,0)</f>
        <v>Chibi Maruko-chan Deluxe Quiz</v>
      </c>
      <c r="M24">
        <f>VLOOKUP(Table2[[#This Row],[game_id]],GamesTable[[game_id]:[IGDB id]],7,0)</f>
        <v>47574</v>
      </c>
    </row>
    <row r="25" spans="1:13" hidden="1" x14ac:dyDescent="0.25">
      <c r="A25" t="s">
        <v>7790</v>
      </c>
      <c r="B25">
        <f>COUNTIF(A:A,Table2[[#This Row],[game_id]])</f>
        <v>1</v>
      </c>
      <c r="C25" t="s">
        <v>7948</v>
      </c>
      <c r="D25">
        <v>1991</v>
      </c>
      <c r="F25" s="15">
        <v>1</v>
      </c>
      <c r="G25">
        <v>39642</v>
      </c>
      <c r="H25" t="s">
        <v>8314</v>
      </c>
      <c r="I25" t="str">
        <f>IF(ISERROR(VLOOKUP(Table2[[#This Row],[IGDB_id]],GamesTable[IGDB id],1,0)),"NO","yes")</f>
        <v>yes</v>
      </c>
      <c r="J25" t="str">
        <f>IF(ISERROR(VLOOKUP(A25,GamesTable[game_id],1,0)),"not found","found")</f>
        <v>found</v>
      </c>
      <c r="K25" t="str">
        <f>VLOOKUP(Table2[[#This Row],[game_id]],GamesTable[[game_id]:[game title]],2,0)</f>
        <v xml:space="preserve">Crossed Swords </v>
      </c>
      <c r="L25" t="str">
        <f>VLOOKUP(VLOOKUP(Table2[[#This Row],[game_id]],GamesTable[[game_id]:[IGDB id]],7,0),G:H,2,0)</f>
        <v>Crossed Swords</v>
      </c>
      <c r="M25">
        <f>VLOOKUP(Table2[[#This Row],[game_id]],GamesTable[[game_id]:[IGDB id]],7,0)</f>
        <v>39642</v>
      </c>
    </row>
    <row r="26" spans="1:13" hidden="1" x14ac:dyDescent="0.25">
      <c r="A26" t="s">
        <v>7792</v>
      </c>
      <c r="B26">
        <f>COUNTIF(A:A,Table2[[#This Row],[game_id]])</f>
        <v>1</v>
      </c>
      <c r="C26" t="s">
        <v>7949</v>
      </c>
      <c r="D26">
        <v>1990</v>
      </c>
      <c r="F26" s="15">
        <v>1</v>
      </c>
      <c r="G26">
        <v>71622</v>
      </c>
      <c r="H26" t="s">
        <v>8018</v>
      </c>
      <c r="I26" t="str">
        <f>IF(ISERROR(VLOOKUP(Table2[[#This Row],[IGDB_id]],GamesTable[IGDB id],1,0)),"NO","yes")</f>
        <v>yes</v>
      </c>
      <c r="J26" t="str">
        <f>IF(ISERROR(VLOOKUP(A26,GamesTable[game_id],1,0)),"not found","found")</f>
        <v>found</v>
      </c>
      <c r="K26" t="str">
        <f>VLOOKUP(Table2[[#This Row],[game_id]],GamesTable[[game_id]:[game title]],2,0)</f>
        <v xml:space="preserve">Cyber-Lip </v>
      </c>
      <c r="L26" t="str">
        <f>VLOOKUP(VLOOKUP(Table2[[#This Row],[game_id]],GamesTable[[game_id]:[IGDB id]],7,0),G:H,2,0)</f>
        <v>Cyber-Lip</v>
      </c>
      <c r="M26">
        <f>VLOOKUP(Table2[[#This Row],[game_id]],GamesTable[[game_id]:[IGDB id]],7,0)</f>
        <v>71622</v>
      </c>
    </row>
    <row r="27" spans="1:13" hidden="1" x14ac:dyDescent="0.25">
      <c r="A27" t="s">
        <v>7794</v>
      </c>
      <c r="B27">
        <f>COUNTIF(A:A,Table2[[#This Row],[game_id]])</f>
        <v>2</v>
      </c>
      <c r="C27" t="s">
        <v>7950</v>
      </c>
      <c r="D27">
        <v>1995</v>
      </c>
      <c r="F27" s="15">
        <v>1</v>
      </c>
      <c r="G27">
        <v>13880</v>
      </c>
      <c r="H27" t="s">
        <v>8312</v>
      </c>
      <c r="I27" s="3" t="str">
        <f>IF(ISERROR(VLOOKUP(Table2[[#This Row],[IGDB_id]],GamesTable[IGDB id],1,0)),"NO","yes")</f>
        <v>yes</v>
      </c>
      <c r="J27" t="str">
        <f>IF(ISERROR(VLOOKUP(A27,GamesTable[game_id],1,0)),"not found","found")</f>
        <v>found</v>
      </c>
      <c r="K27" t="str">
        <f>VLOOKUP(Table2[[#This Row],[game_id]],GamesTable[[game_id]:[game title]],2,0)</f>
        <v xml:space="preserve">Double Dragon </v>
      </c>
      <c r="L27" t="str">
        <f>VLOOKUP(VLOOKUP(Table2[[#This Row],[game_id]],GamesTable[[game_id]:[IGDB id]],7,0),G:H,2,0)</f>
        <v>Double Dragon</v>
      </c>
      <c r="M27">
        <f>VLOOKUP(Table2[[#This Row],[game_id]],GamesTable[[game_id]:[IGDB id]],7,0)</f>
        <v>13880</v>
      </c>
    </row>
    <row r="28" spans="1:13" x14ac:dyDescent="0.25">
      <c r="A28" t="s">
        <v>7794</v>
      </c>
      <c r="B28">
        <f>COUNTIF(A:A,Table2[[#This Row],[game_id]])</f>
        <v>2</v>
      </c>
      <c r="C28" t="s">
        <v>7950</v>
      </c>
      <c r="D28">
        <v>1995</v>
      </c>
      <c r="F28" s="15">
        <v>1</v>
      </c>
      <c r="G28">
        <v>6787</v>
      </c>
      <c r="H28" t="s">
        <v>8312</v>
      </c>
      <c r="I28" s="3" t="str">
        <f>IF(ISERROR(VLOOKUP(Table2[[#This Row],[IGDB_id]],GamesTable[IGDB id],1,0)),"NO","yes")</f>
        <v>NO</v>
      </c>
      <c r="J28" t="str">
        <f>IF(ISERROR(VLOOKUP(A28,GamesTable[game_id],1,0)),"not found","found")</f>
        <v>found</v>
      </c>
      <c r="K28" t="str">
        <f>VLOOKUP(Table2[[#This Row],[game_id]],GamesTable[[game_id]:[game title]],2,0)</f>
        <v xml:space="preserve">Double Dragon </v>
      </c>
      <c r="L28" t="str">
        <f>VLOOKUP(VLOOKUP(Table2[[#This Row],[game_id]],GamesTable[[game_id]:[IGDB id]],7,0),G:H,2,0)</f>
        <v>Double Dragon</v>
      </c>
      <c r="M28">
        <f>VLOOKUP(Table2[[#This Row],[game_id]],GamesTable[[game_id]:[IGDB id]],7,0)</f>
        <v>13880</v>
      </c>
    </row>
    <row r="29" spans="1:13" hidden="1" x14ac:dyDescent="0.25">
      <c r="A29" t="s">
        <v>7796</v>
      </c>
      <c r="B29">
        <f>COUNTIF(A:A,Table2[[#This Row],[game_id]])</f>
        <v>1</v>
      </c>
      <c r="C29" t="s">
        <v>7951</v>
      </c>
      <c r="D29">
        <v>1991</v>
      </c>
      <c r="F29" s="15">
        <v>0.97087378640776689</v>
      </c>
      <c r="G29">
        <v>40976</v>
      </c>
      <c r="H29" t="s">
        <v>8311</v>
      </c>
      <c r="I29" t="str">
        <f>IF(ISERROR(VLOOKUP(Table2[[#This Row],[IGDB_id]],GamesTable[IGDB id],1,0)),"NO","yes")</f>
        <v>yes</v>
      </c>
      <c r="J29" t="str">
        <f>IF(ISERROR(VLOOKUP(A29,GamesTable[game_id],1,0)),"not found","found")</f>
        <v>found</v>
      </c>
      <c r="K29" t="str">
        <f>VLOOKUP(Table2[[#This Row],[game_id]],GamesTable[[game_id]:[game title]],2,0)</f>
        <v xml:space="preserve">Eight Man </v>
      </c>
      <c r="L29" t="str">
        <f>VLOOKUP(VLOOKUP(Table2[[#This Row],[game_id]],GamesTable[[game_id]:[IGDB id]],7,0),G:H,2,0)</f>
        <v>EightMan</v>
      </c>
      <c r="M29">
        <f>VLOOKUP(Table2[[#This Row],[game_id]],GamesTable[[game_id]:[IGDB id]],7,0)</f>
        <v>40976</v>
      </c>
    </row>
    <row r="30" spans="1:13" hidden="1" x14ac:dyDescent="0.25">
      <c r="A30" t="s">
        <v>7818</v>
      </c>
      <c r="B30">
        <f>COUNTIF(A:A,Table2[[#This Row],[game_id]])</f>
        <v>2</v>
      </c>
      <c r="C30" t="s">
        <v>4253</v>
      </c>
      <c r="D30">
        <v>1995</v>
      </c>
      <c r="F30" s="15">
        <v>0.91798172492765939</v>
      </c>
      <c r="G30">
        <v>39554</v>
      </c>
      <c r="H30" t="s">
        <v>8310</v>
      </c>
      <c r="I30" s="3" t="str">
        <f>IF(ISERROR(VLOOKUP(Table2[[#This Row],[IGDB_id]],GamesTable[IGDB id],1,0)),"NO","yes")</f>
        <v>yes</v>
      </c>
      <c r="J30" t="str">
        <f>IF(ISERROR(VLOOKUP(A30,GamesTable[game_id],1,0)),"not found","found")</f>
        <v>found</v>
      </c>
      <c r="K30" t="str">
        <f>VLOOKUP(Table2[[#This Row],[game_id]],GamesTable[[game_id]:[game title]],2,0)</f>
        <v>Far East of Eden - Kabuki Klash</v>
      </c>
      <c r="L30" t="str">
        <f>VLOOKUP(VLOOKUP(Table2[[#This Row],[game_id]],GamesTable[[game_id]:[IGDB id]],7,0),G:H,2,0)</f>
        <v>Far East of Eden: Kabuki Klash</v>
      </c>
      <c r="M30">
        <f>VLOOKUP(Table2[[#This Row],[game_id]],GamesTable[[game_id]:[IGDB id]],7,0)</f>
        <v>39554</v>
      </c>
    </row>
    <row r="31" spans="1:13" hidden="1" x14ac:dyDescent="0.25">
      <c r="A31" t="s">
        <v>7797</v>
      </c>
      <c r="B31">
        <f>COUNTIF(A:A,Table2[[#This Row],[game_id]])</f>
        <v>2</v>
      </c>
      <c r="C31" t="s">
        <v>7952</v>
      </c>
      <c r="D31">
        <v>1993</v>
      </c>
      <c r="F31" s="15">
        <v>0.86</v>
      </c>
      <c r="G31">
        <v>71128</v>
      </c>
      <c r="H31" t="s">
        <v>8308</v>
      </c>
      <c r="I31" s="3" t="str">
        <f>IF(ISERROR(VLOOKUP(Table2[[#This Row],[IGDB_id]],GamesTable[IGDB id],1,0)),"NO","yes")</f>
        <v>yes</v>
      </c>
      <c r="J31" t="str">
        <f>IF(ISERROR(VLOOKUP(A31,GamesTable[game_id],1,0)),"not found","found")</f>
        <v>found</v>
      </c>
      <c r="K31" t="str">
        <f>VLOOKUP(Table2[[#This Row],[game_id]],GamesTable[[game_id]:[game title]],2,0)</f>
        <v>Fatal Fury Special</v>
      </c>
      <c r="L31" t="str">
        <f>VLOOKUP(VLOOKUP(Table2[[#This Row],[game_id]],GamesTable[[game_id]:[IGDB id]],7,0),G:H,2,0)</f>
        <v>Fatal Fury</v>
      </c>
      <c r="M31">
        <f>VLOOKUP(Table2[[#This Row],[game_id]],GamesTable[[game_id]:[IGDB id]],7,0)</f>
        <v>71128</v>
      </c>
    </row>
    <row r="32" spans="1:13" hidden="1" x14ac:dyDescent="0.25">
      <c r="A32" t="s">
        <v>7799</v>
      </c>
      <c r="B32">
        <f>COUNTIF(A:A,Table2[[#This Row],[game_id]])</f>
        <v>1</v>
      </c>
      <c r="C32" t="s">
        <v>7954</v>
      </c>
      <c r="D32">
        <v>1992</v>
      </c>
      <c r="F32" s="15">
        <v>0.85517241379310349</v>
      </c>
      <c r="G32">
        <v>4435</v>
      </c>
      <c r="H32" t="s">
        <v>8307</v>
      </c>
      <c r="I32" t="str">
        <f>IF(ISERROR(VLOOKUP(Table2[[#This Row],[IGDB_id]],GamesTable[IGDB id],1,0)),"NO","yes")</f>
        <v>yes</v>
      </c>
      <c r="J32" t="str">
        <f>IF(ISERROR(VLOOKUP(A32,GamesTable[game_id],1,0)),"not found","found")</f>
        <v>found</v>
      </c>
      <c r="K32" t="str">
        <f>VLOOKUP(Table2[[#This Row],[game_id]],GamesTable[[game_id]:[game title]],2,0)</f>
        <v>Fatal Fury 2</v>
      </c>
      <c r="L32" t="str">
        <f>VLOOKUP(VLOOKUP(Table2[[#This Row],[game_id]],GamesTable[[game_id]:[IGDB id]],7,0),G:H,2,0)</f>
        <v>Fatal Fury 2</v>
      </c>
      <c r="M32">
        <f>VLOOKUP(Table2[[#This Row],[game_id]],GamesTable[[game_id]:[IGDB id]],7,0)</f>
        <v>4435</v>
      </c>
    </row>
    <row r="33" spans="1:13" hidden="1" x14ac:dyDescent="0.25">
      <c r="A33" t="s">
        <v>7800</v>
      </c>
      <c r="B33">
        <f>COUNTIF(A:A,Table2[[#This Row],[game_id]])</f>
        <v>1</v>
      </c>
      <c r="C33" t="s">
        <v>7955</v>
      </c>
      <c r="D33">
        <v>1995</v>
      </c>
      <c r="F33" s="15">
        <v>0.91200000000000003</v>
      </c>
      <c r="G33">
        <v>6690</v>
      </c>
      <c r="H33" t="s">
        <v>8306</v>
      </c>
      <c r="I33" t="str">
        <f>IF(ISERROR(VLOOKUP(Table2[[#This Row],[IGDB_id]],GamesTable[IGDB id],1,0)),"NO","yes")</f>
        <v>yes</v>
      </c>
      <c r="J33" t="str">
        <f>IF(ISERROR(VLOOKUP(A33,GamesTable[game_id],1,0)),"not found","found")</f>
        <v>found</v>
      </c>
      <c r="K33" t="str">
        <f>VLOOKUP(Table2[[#This Row],[game_id]],GamesTable[[game_id]:[game title]],2,0)</f>
        <v>Fatal Fury 3 - Road to the Final Victory</v>
      </c>
      <c r="L33" t="str">
        <f>VLOOKUP(VLOOKUP(Table2[[#This Row],[game_id]],GamesTable[[game_id]:[IGDB id]],7,0),G:H,2,0)</f>
        <v>Fatal Fury 3: Road to the Final Victory</v>
      </c>
      <c r="M33">
        <f>VLOOKUP(Table2[[#This Row],[game_id]],GamesTable[[game_id]:[IGDB id]],7,0)</f>
        <v>6690</v>
      </c>
    </row>
    <row r="34" spans="1:13" x14ac:dyDescent="0.25">
      <c r="A34" t="s">
        <v>7797</v>
      </c>
      <c r="B34">
        <f>COUNTIF(A:A,Table2[[#This Row],[game_id]])</f>
        <v>2</v>
      </c>
      <c r="C34" t="s">
        <v>7952</v>
      </c>
      <c r="D34">
        <v>1993</v>
      </c>
      <c r="F34" s="15">
        <v>0.9</v>
      </c>
      <c r="G34">
        <v>5385</v>
      </c>
      <c r="H34" t="s">
        <v>8305</v>
      </c>
      <c r="I34" s="3" t="str">
        <f>IF(ISERROR(VLOOKUP(Table2[[#This Row],[IGDB_id]],GamesTable[IGDB id],1,0)),"NO","yes")</f>
        <v>NO</v>
      </c>
      <c r="J34" t="str">
        <f>IF(ISERROR(VLOOKUP(A34,GamesTable[game_id],1,0)),"not found","found")</f>
        <v>found</v>
      </c>
      <c r="K34" t="str">
        <f>VLOOKUP(Table2[[#This Row],[game_id]],GamesTable[[game_id]:[game title]],2,0)</f>
        <v>Fatal Fury Special</v>
      </c>
      <c r="L34" t="str">
        <f>VLOOKUP(VLOOKUP(Table2[[#This Row],[game_id]],GamesTable[[game_id]:[IGDB id]],7,0),G:H,2,0)</f>
        <v>Fatal Fury</v>
      </c>
      <c r="M34">
        <f>VLOOKUP(Table2[[#This Row],[game_id]],GamesTable[[game_id]:[IGDB id]],7,0)</f>
        <v>71128</v>
      </c>
    </row>
    <row r="35" spans="1:13" hidden="1" x14ac:dyDescent="0.25">
      <c r="A35" t="s">
        <v>7798</v>
      </c>
      <c r="B35">
        <f>COUNTIF(A:A,Table2[[#This Row],[game_id]])</f>
        <v>1</v>
      </c>
      <c r="C35" t="s">
        <v>7953</v>
      </c>
      <c r="D35">
        <v>1991</v>
      </c>
      <c r="F35" s="15">
        <v>0.88</v>
      </c>
      <c r="G35">
        <v>5386</v>
      </c>
      <c r="H35" t="s">
        <v>8304</v>
      </c>
      <c r="I35" t="str">
        <f>IF(ISERROR(VLOOKUP(Table2[[#This Row],[IGDB_id]],GamesTable[IGDB id],1,0)),"NO","yes")</f>
        <v>yes</v>
      </c>
      <c r="J35" t="str">
        <f>IF(ISERROR(VLOOKUP(A35,GamesTable[game_id],1,0)),"not found","found")</f>
        <v>found</v>
      </c>
      <c r="K35" t="str">
        <f>VLOOKUP(Table2[[#This Row],[game_id]],GamesTable[[game_id]:[game title]],2,0)</f>
        <v>Fatal Fury - King of Fighters</v>
      </c>
      <c r="L35" t="str">
        <f>VLOOKUP(VLOOKUP(Table2[[#This Row],[game_id]],GamesTable[[game_id]:[IGDB id]],7,0),G:H,2,0)</f>
        <v>Fatal Fury: King of Fighters</v>
      </c>
      <c r="M35">
        <f>VLOOKUP(Table2[[#This Row],[game_id]],GamesTable[[game_id]:[IGDB id]],7,0)</f>
        <v>5386</v>
      </c>
    </row>
    <row r="36" spans="1:13" hidden="1" x14ac:dyDescent="0.25">
      <c r="A36" t="s">
        <v>7802</v>
      </c>
      <c r="B36">
        <f>COUNTIF(A:A,Table2[[#This Row],[game_id]])</f>
        <v>1</v>
      </c>
      <c r="C36" t="s">
        <v>7957</v>
      </c>
      <c r="D36">
        <v>1994</v>
      </c>
      <c r="F36" s="15">
        <v>0.875</v>
      </c>
      <c r="G36">
        <v>39553</v>
      </c>
      <c r="H36" t="s">
        <v>8303</v>
      </c>
      <c r="I36" t="str">
        <f>IF(ISERROR(VLOOKUP(Table2[[#This Row],[IGDB_id]],GamesTable[IGDB id],1,0)),"NO","yes")</f>
        <v>yes</v>
      </c>
      <c r="J36" t="str">
        <f>IF(ISERROR(VLOOKUP(A36,GamesTable[game_id],1,0)),"not found","found")</f>
        <v>found</v>
      </c>
      <c r="K36" t="str">
        <f>VLOOKUP(Table2[[#This Row],[game_id]],GamesTable[[game_id]:[game title]],2,0)</f>
        <v>Fight Fever</v>
      </c>
      <c r="L36" t="str">
        <f>VLOOKUP(VLOOKUP(Table2[[#This Row],[game_id]],GamesTable[[game_id]:[IGDB id]],7,0),G:H,2,0)</f>
        <v>Fight Fever</v>
      </c>
      <c r="M36">
        <f>VLOOKUP(Table2[[#This Row],[game_id]],GamesTable[[game_id]:[IGDB id]],7,0)</f>
        <v>39553</v>
      </c>
    </row>
    <row r="37" spans="1:13" hidden="1" x14ac:dyDescent="0.25">
      <c r="A37" t="s">
        <v>7819</v>
      </c>
      <c r="B37">
        <f>COUNTIF(A:A,Table2[[#This Row],[game_id]])</f>
        <v>1</v>
      </c>
      <c r="C37" t="s">
        <v>5143</v>
      </c>
      <c r="D37">
        <v>1994</v>
      </c>
      <c r="F37" s="15">
        <v>0.91724137931034488</v>
      </c>
      <c r="G37">
        <v>39546</v>
      </c>
      <c r="H37" t="s">
        <v>8302</v>
      </c>
      <c r="I37" t="str">
        <f>IF(ISERROR(VLOOKUP(Table2[[#This Row],[IGDB_id]],GamesTable[IGDB id],1,0)),"NO","yes")</f>
        <v>yes</v>
      </c>
      <c r="J37" t="str">
        <f>IF(ISERROR(VLOOKUP(A37,GamesTable[game_id],1,0)),"not found","found")</f>
        <v>found</v>
      </c>
      <c r="K37" t="str">
        <f>VLOOKUP(Table2[[#This Row],[game_id]],GamesTable[[game_id]:[game title]],2,0)</f>
        <v>Karnov's Revenge</v>
      </c>
      <c r="L37" t="str">
        <f>VLOOKUP(VLOOKUP(Table2[[#This Row],[game_id]],GamesTable[[game_id]:[IGDB id]],7,0),G:H,2,0)</f>
        <v>Fighter's History Dynamite</v>
      </c>
      <c r="M37">
        <f>VLOOKUP(Table2[[#This Row],[game_id]],GamesTable[[game_id]:[IGDB id]],7,0)</f>
        <v>39546</v>
      </c>
    </row>
    <row r="38" spans="1:13" x14ac:dyDescent="0.25">
      <c r="A38" t="s">
        <v>7775</v>
      </c>
      <c r="B38">
        <f>COUNTIF(A:A,Table2[[#This Row],[game_id]])</f>
        <v>2</v>
      </c>
      <c r="C38" t="s">
        <v>7942</v>
      </c>
      <c r="D38">
        <v>1993</v>
      </c>
      <c r="F38" s="15">
        <v>0.89523809523809528</v>
      </c>
      <c r="G38">
        <v>47589</v>
      </c>
      <c r="H38" t="s">
        <v>8301</v>
      </c>
      <c r="I38" s="3" t="str">
        <f>IF(ISERROR(VLOOKUP(Table2[[#This Row],[IGDB_id]],GamesTable[IGDB id],1,0)),"NO","yes")</f>
        <v>NO</v>
      </c>
      <c r="J38" t="str">
        <f>IF(ISERROR(VLOOKUP(A38,GamesTable[game_id],1,0)),"not found","found")</f>
        <v>found</v>
      </c>
      <c r="K38" t="str">
        <f>VLOOKUP(Table2[[#This Row],[game_id]],GamesTable[[game_id]:[game title]],2,0)</f>
        <v>3 Count Bout</v>
      </c>
      <c r="L38" t="str">
        <f>VLOOKUP(VLOOKUP(Table2[[#This Row],[game_id]],GamesTable[[game_id]:[IGDB id]],7,0),G:H,2,0)</f>
        <v>3 Count Bout</v>
      </c>
      <c r="M38">
        <f>VLOOKUP(Table2[[#This Row],[game_id]],GamesTable[[game_id]:[IGDB id]],7,0)</f>
        <v>6734</v>
      </c>
    </row>
    <row r="39" spans="1:13" hidden="1" x14ac:dyDescent="0.25">
      <c r="A39" t="s">
        <v>7803</v>
      </c>
      <c r="B39">
        <f>COUNTIF(A:A,Table2[[#This Row],[game_id]])</f>
        <v>1</v>
      </c>
      <c r="C39" t="s">
        <v>2478</v>
      </c>
      <c r="D39">
        <v>1999</v>
      </c>
      <c r="E39">
        <v>75463</v>
      </c>
      <c r="F39" s="15">
        <v>0.94285714285714284</v>
      </c>
      <c r="G39">
        <v>75463</v>
      </c>
      <c r="H39" t="s">
        <v>8300</v>
      </c>
      <c r="I39" t="str">
        <f>IF(ISERROR(VLOOKUP(Table2[[#This Row],[IGDB_id]],GamesTable[IGDB id],1,0)),"NO","yes")</f>
        <v>yes</v>
      </c>
      <c r="J39" t="str">
        <f>IF(ISERROR(VLOOKUP(A39,GamesTable[game_id],1,0)),"not found","found")</f>
        <v>found</v>
      </c>
      <c r="K39" t="str">
        <f>VLOOKUP(Table2[[#This Row],[game_id]],GamesTable[[game_id]:[game title]],2,0)</f>
        <v>Battle Flip Shot</v>
      </c>
      <c r="L39" t="str">
        <f>VLOOKUP(VLOOKUP(Table2[[#This Row],[game_id]],GamesTable[[game_id]:[IGDB id]],7,0),G:H,2,0)</f>
        <v>Flip Shot</v>
      </c>
      <c r="M39">
        <f>VLOOKUP(Table2[[#This Row],[game_id]],GamesTable[[game_id]:[IGDB id]],7,0)</f>
        <v>75463</v>
      </c>
    </row>
    <row r="40" spans="1:13" hidden="1" x14ac:dyDescent="0.25">
      <c r="A40" t="s">
        <v>7801</v>
      </c>
      <c r="B40">
        <f>COUNTIF(A:A,Table2[[#This Row],[game_id]])</f>
        <v>1</v>
      </c>
      <c r="C40" t="s">
        <v>7956</v>
      </c>
      <c r="D40">
        <v>1992</v>
      </c>
      <c r="F40" s="15">
        <v>1</v>
      </c>
      <c r="G40">
        <v>39649</v>
      </c>
      <c r="H40" t="s">
        <v>8299</v>
      </c>
      <c r="I40" t="str">
        <f>IF(ISERROR(VLOOKUP(Table2[[#This Row],[IGDB_id]],GamesTable[IGDB id],1,0)),"NO","yes")</f>
        <v>yes</v>
      </c>
      <c r="J40" t="str">
        <f>IF(ISERROR(VLOOKUP(A40,GamesTable[game_id],1,0)),"not found","found")</f>
        <v>found</v>
      </c>
      <c r="K40" t="str">
        <f>VLOOKUP(Table2[[#This Row],[game_id]],GamesTable[[game_id]:[game title]],2,0)</f>
        <v xml:space="preserve">Football Frenzy </v>
      </c>
      <c r="L40" t="str">
        <f>VLOOKUP(VLOOKUP(Table2[[#This Row],[game_id]],GamesTable[[game_id]:[IGDB id]],7,0),G:H,2,0)</f>
        <v>Football Frenzy</v>
      </c>
      <c r="M40">
        <f>VLOOKUP(Table2[[#This Row],[game_id]],GamesTable[[game_id]:[IGDB id]],7,0)</f>
        <v>39649</v>
      </c>
    </row>
    <row r="41" spans="1:13" hidden="1" x14ac:dyDescent="0.25">
      <c r="A41" t="s">
        <v>7861</v>
      </c>
      <c r="B41">
        <f>COUNTIF(A:A,Table2[[#This Row],[game_id]])</f>
        <v>2</v>
      </c>
      <c r="C41" t="s">
        <v>7988</v>
      </c>
      <c r="D41">
        <v>1996</v>
      </c>
      <c r="E41">
        <v>39950</v>
      </c>
      <c r="F41" s="15">
        <v>0.95</v>
      </c>
      <c r="G41">
        <v>75464</v>
      </c>
      <c r="H41" t="s">
        <v>8298</v>
      </c>
      <c r="I41" s="3" t="str">
        <f>IF(ISERROR(VLOOKUP(Table2[[#This Row],[IGDB_id]],GamesTable[IGDB id],1,0)),"NO","yes")</f>
        <v>yes</v>
      </c>
      <c r="J41" t="str">
        <f>IF(ISERROR(VLOOKUP(A41,GamesTable[game_id],1,0)),"not found","found")</f>
        <v>found</v>
      </c>
      <c r="K41" t="str">
        <f>VLOOKUP(Table2[[#This Row],[game_id]],GamesTable[[game_id]:[game title]],2,0)</f>
        <v xml:space="preserve">Pleasure Goal / Futsal - 5 on 5 Mini Soccer </v>
      </c>
      <c r="L41" t="str">
        <f>VLOOKUP(VLOOKUP(Table2[[#This Row],[game_id]],GamesTable[[game_id]:[IGDB id]],7,0),G:H,2,0)</f>
        <v>Futsal: 5 on 5 Mini Soccer</v>
      </c>
      <c r="M41">
        <f>VLOOKUP(Table2[[#This Row],[game_id]],GamesTable[[game_id]:[IGDB id]],7,0)</f>
        <v>75464</v>
      </c>
    </row>
    <row r="42" spans="1:13" hidden="1" x14ac:dyDescent="0.25">
      <c r="A42" t="s">
        <v>7805</v>
      </c>
      <c r="B42">
        <f>COUNTIF(A:A,Table2[[#This Row],[game_id]])</f>
        <v>1</v>
      </c>
      <c r="C42" t="s">
        <v>4878</v>
      </c>
      <c r="D42">
        <v>1995</v>
      </c>
      <c r="F42" s="15">
        <v>1</v>
      </c>
      <c r="G42">
        <v>39531</v>
      </c>
      <c r="H42" t="s">
        <v>8297</v>
      </c>
      <c r="I42" t="str">
        <f>IF(ISERROR(VLOOKUP(Table2[[#This Row],[IGDB_id]],GamesTable[IGDB id],1,0)),"NO","yes")</f>
        <v>yes</v>
      </c>
      <c r="J42" t="str">
        <f>IF(ISERROR(VLOOKUP(A42,GamesTable[game_id],1,0)),"not found","found")</f>
        <v>found</v>
      </c>
      <c r="K42" t="str">
        <f>VLOOKUP(Table2[[#This Row],[game_id]],GamesTable[[game_id]:[game title]],2,0)</f>
        <v>Galaxy Fight - Universal Warriors</v>
      </c>
      <c r="L42" t="str">
        <f>VLOOKUP(VLOOKUP(Table2[[#This Row],[game_id]],GamesTable[[game_id]:[IGDB id]],7,0),G:H,2,0)</f>
        <v>Galaxy Fight: Universal Warriors</v>
      </c>
      <c r="M42">
        <f>VLOOKUP(Table2[[#This Row],[game_id]],GamesTable[[game_id]:[IGDB id]],7,0)</f>
        <v>39531</v>
      </c>
    </row>
    <row r="43" spans="1:13" hidden="1" x14ac:dyDescent="0.25">
      <c r="A43" t="s">
        <v>7806</v>
      </c>
      <c r="B43">
        <f>COUNTIF(A:A,Table2[[#This Row],[game_id]])</f>
        <v>1</v>
      </c>
      <c r="C43" t="s">
        <v>2200</v>
      </c>
      <c r="D43">
        <v>1999</v>
      </c>
      <c r="F43" s="15">
        <v>0.87041088124351584</v>
      </c>
      <c r="G43">
        <v>39891</v>
      </c>
      <c r="H43" t="s">
        <v>8020</v>
      </c>
      <c r="I43" t="str">
        <f>IF(ISERROR(VLOOKUP(Table2[[#This Row],[IGDB_id]],GamesTable[IGDB id],1,0)),"NO","yes")</f>
        <v>yes</v>
      </c>
      <c r="J43" t="str">
        <f>IF(ISERROR(VLOOKUP(A43,GamesTable[game_id],1,0)),"not found","found")</f>
        <v>found</v>
      </c>
      <c r="K43" t="str">
        <f>VLOOKUP(Table2[[#This Row],[game_id]],GamesTable[[game_id]:[game title]],2,0)</f>
        <v>Ganryu</v>
      </c>
      <c r="L43" t="str">
        <f>VLOOKUP(VLOOKUP(Table2[[#This Row],[game_id]],GamesTable[[game_id]:[IGDB id]],7,0),G:H,2,0)</f>
        <v>Ganryu</v>
      </c>
      <c r="M43">
        <f>VLOOKUP(Table2[[#This Row],[game_id]],GamesTable[[game_id]:[IGDB id]],7,0)</f>
        <v>39891</v>
      </c>
    </row>
    <row r="44" spans="1:13" hidden="1" x14ac:dyDescent="0.25">
      <c r="A44" t="s">
        <v>7807</v>
      </c>
      <c r="B44">
        <f>COUNTIF(A:A,Table2[[#This Row],[game_id]])</f>
        <v>1</v>
      </c>
      <c r="C44" t="s">
        <v>7958</v>
      </c>
      <c r="D44">
        <v>1999</v>
      </c>
      <c r="F44" s="15">
        <v>1</v>
      </c>
      <c r="G44">
        <v>10605</v>
      </c>
      <c r="H44" t="s">
        <v>8296</v>
      </c>
      <c r="I44" t="str">
        <f>IF(ISERROR(VLOOKUP(Table2[[#This Row],[IGDB_id]],GamesTable[IGDB id],1,0)),"NO","yes")</f>
        <v>yes</v>
      </c>
      <c r="J44" t="str">
        <f>IF(ISERROR(VLOOKUP(A44,GamesTable[game_id],1,0)),"not found","found")</f>
        <v>found</v>
      </c>
      <c r="K44" t="str">
        <f>VLOOKUP(Table2[[#This Row],[game_id]],GamesTable[[game_id]:[game title]],2,0)</f>
        <v xml:space="preserve">Garou - Mark of the Wolves </v>
      </c>
      <c r="L44" t="str">
        <f>VLOOKUP(VLOOKUP(Table2[[#This Row],[game_id]],GamesTable[[game_id]:[IGDB id]],7,0),G:H,2,0)</f>
        <v>Garou: Mark of the Wolves</v>
      </c>
      <c r="M44">
        <f>VLOOKUP(Table2[[#This Row],[game_id]],GamesTable[[game_id]:[IGDB id]],7,0)</f>
        <v>10605</v>
      </c>
    </row>
    <row r="45" spans="1:13" hidden="1" x14ac:dyDescent="0.25">
      <c r="A45" t="s">
        <v>7811</v>
      </c>
      <c r="B45">
        <f>COUNTIF(A:A,Table2[[#This Row],[game_id]])</f>
        <v>1</v>
      </c>
      <c r="C45" t="s">
        <v>7959</v>
      </c>
      <c r="D45">
        <v>1991</v>
      </c>
      <c r="F45" s="15">
        <v>1</v>
      </c>
      <c r="G45">
        <v>39734</v>
      </c>
      <c r="H45" t="s">
        <v>8295</v>
      </c>
      <c r="I45" t="str">
        <f>IF(ISERROR(VLOOKUP(Table2[[#This Row],[IGDB_id]],GamesTable[IGDB id],1,0)),"NO","yes")</f>
        <v>yes</v>
      </c>
      <c r="J45" t="str">
        <f>IF(ISERROR(VLOOKUP(A45,GamesTable[game_id],1,0)),"not found","found")</f>
        <v>found</v>
      </c>
      <c r="K45" t="str">
        <f>VLOOKUP(Table2[[#This Row],[game_id]],GamesTable[[game_id]:[game title]],2,0)</f>
        <v xml:space="preserve">Ghost Pilots </v>
      </c>
      <c r="L45" t="str">
        <f>VLOOKUP(VLOOKUP(Table2[[#This Row],[game_id]],GamesTable[[game_id]:[IGDB id]],7,0),G:H,2,0)</f>
        <v>Ghost Pilots</v>
      </c>
      <c r="M45">
        <f>VLOOKUP(Table2[[#This Row],[game_id]],GamesTable[[game_id]:[IGDB id]],7,0)</f>
        <v>39734</v>
      </c>
    </row>
    <row r="46" spans="1:13" hidden="1" x14ac:dyDescent="0.25">
      <c r="A46" t="s">
        <v>7808</v>
      </c>
      <c r="B46">
        <f>COUNTIF(A:A,Table2[[#This Row],[game_id]])</f>
        <v>1</v>
      </c>
      <c r="C46" t="s">
        <v>3169</v>
      </c>
      <c r="D46">
        <v>1996</v>
      </c>
      <c r="E46" t="s">
        <v>8170</v>
      </c>
      <c r="F46" s="15">
        <v>0.91111111111111109</v>
      </c>
      <c r="G46">
        <v>40126</v>
      </c>
      <c r="H46" t="s">
        <v>8294</v>
      </c>
      <c r="I46" t="str">
        <f>IF(ISERROR(VLOOKUP(Table2[[#This Row],[IGDB_id]],GamesTable[IGDB id],1,0)),"NO","yes")</f>
        <v>yes</v>
      </c>
      <c r="J46" t="str">
        <f>IF(ISERROR(VLOOKUP(A46,GamesTable[game_id],1,0)),"not found","found")</f>
        <v>found</v>
      </c>
      <c r="K46" t="str">
        <f>VLOOKUP(Table2[[#This Row],[game_id]],GamesTable[[game_id]:[game title]],2,0)</f>
        <v>Ghostlop</v>
      </c>
      <c r="L46" t="str">
        <f>VLOOKUP(VLOOKUP(Table2[[#This Row],[game_id]],GamesTable[[game_id]:[IGDB id]],7,0),G:H,2,0)</f>
        <v>GHOSTLOP</v>
      </c>
      <c r="M46">
        <f>VLOOKUP(Table2[[#This Row],[game_id]],GamesTable[[game_id]:[IGDB id]],7,0)</f>
        <v>40126</v>
      </c>
    </row>
    <row r="47" spans="1:13" hidden="1" x14ac:dyDescent="0.25">
      <c r="A47" t="s">
        <v>7809</v>
      </c>
      <c r="B47">
        <f>COUNTIF(A:A,Table2[[#This Row],[game_id]])</f>
        <v>1</v>
      </c>
      <c r="C47" t="s">
        <v>3799</v>
      </c>
      <c r="D47">
        <v>1995</v>
      </c>
      <c r="F47" s="15">
        <v>1</v>
      </c>
      <c r="G47">
        <v>39549</v>
      </c>
      <c r="H47" t="s">
        <v>8292</v>
      </c>
      <c r="I47" t="str">
        <f>IF(ISERROR(VLOOKUP(Table2[[#This Row],[IGDB_id]],GamesTable[IGDB id],1,0)),"NO","yes")</f>
        <v>yes</v>
      </c>
      <c r="J47" t="str">
        <f>IF(ISERROR(VLOOKUP(A47,GamesTable[game_id],1,0)),"not found","found")</f>
        <v>found</v>
      </c>
      <c r="K47" t="str">
        <f>VLOOKUP(Table2[[#This Row],[game_id]],GamesTable[[game_id]:[game title]],2,0)</f>
        <v>Goal! Goal! Goal!</v>
      </c>
      <c r="L47" t="str">
        <f>VLOOKUP(VLOOKUP(Table2[[#This Row],[game_id]],GamesTable[[game_id]:[IGDB id]],7,0),G:H,2,0)</f>
        <v>Goal! Goal! Goal!</v>
      </c>
      <c r="M47">
        <f>VLOOKUP(Table2[[#This Row],[game_id]],GamesTable[[game_id]:[IGDB id]],7,0)</f>
        <v>39549</v>
      </c>
    </row>
    <row r="48" spans="1:13" hidden="1" x14ac:dyDescent="0.25">
      <c r="A48" t="s">
        <v>7812</v>
      </c>
      <c r="B48">
        <f>COUNTIF(A:A,Table2[[#This Row],[game_id]])</f>
        <v>1</v>
      </c>
      <c r="C48" t="s">
        <v>5108</v>
      </c>
      <c r="D48">
        <v>1994</v>
      </c>
      <c r="E48">
        <v>40123</v>
      </c>
      <c r="F48" s="15">
        <v>1</v>
      </c>
      <c r="G48">
        <v>40123</v>
      </c>
      <c r="H48" t="s">
        <v>8290</v>
      </c>
      <c r="I48" t="str">
        <f>IF(ISERROR(VLOOKUP(Table2[[#This Row],[IGDB_id]],GamesTable[IGDB id],1,0)),"NO","yes")</f>
        <v>yes</v>
      </c>
      <c r="J48" t="str">
        <f>IF(ISERROR(VLOOKUP(A48,GamesTable[game_id],1,0)),"not found","found")</f>
        <v>found</v>
      </c>
      <c r="K48" t="str">
        <f>VLOOKUP(Table2[[#This Row],[game_id]],GamesTable[[game_id]:[game title]],2,0)</f>
        <v>Gururin</v>
      </c>
      <c r="L48" t="str">
        <f>VLOOKUP(VLOOKUP(Table2[[#This Row],[game_id]],GamesTable[[game_id]:[IGDB id]],7,0),G:H,2,0)</f>
        <v>GURURIN</v>
      </c>
      <c r="M48">
        <f>VLOOKUP(Table2[[#This Row],[game_id]],GamesTable[[game_id]:[IGDB id]],7,0)</f>
        <v>40123</v>
      </c>
    </row>
    <row r="49" spans="1:13" hidden="1" x14ac:dyDescent="0.25">
      <c r="A49" t="s">
        <v>7815</v>
      </c>
      <c r="B49">
        <f>COUNTIF(A:A,Table2[[#This Row],[game_id]])</f>
        <v>2</v>
      </c>
      <c r="C49" t="s">
        <v>5838</v>
      </c>
      <c r="D49">
        <v>1994</v>
      </c>
      <c r="E49" t="s">
        <v>8159</v>
      </c>
      <c r="F49" s="15">
        <v>1</v>
      </c>
      <c r="G49">
        <v>75458</v>
      </c>
      <c r="H49" t="s">
        <v>8289</v>
      </c>
      <c r="I49" s="3" t="str">
        <f>IF(ISERROR(VLOOKUP(Table2[[#This Row],[IGDB_id]],GamesTable[IGDB id],1,0)),"NO","yes")</f>
        <v>yes</v>
      </c>
      <c r="J49" t="str">
        <f>IF(ISERROR(VLOOKUP(A49,GamesTable[game_id],1,0)),"not found","found")</f>
        <v>found</v>
      </c>
      <c r="K49" t="str">
        <f>VLOOKUP(Table2[[#This Row],[game_id]],GamesTable[[game_id]:[game title]],2,0)</f>
        <v>Janshin Densetsu - Quest of Jongmaster</v>
      </c>
      <c r="L49" t="str">
        <f>VLOOKUP(VLOOKUP(Table2[[#This Row],[game_id]],GamesTable[[game_id]:[IGDB id]],7,0),G:H,2,0)</f>
        <v>Janshin Densetsu: Quest of Jongmaster</v>
      </c>
      <c r="M49">
        <f>VLOOKUP(Table2[[#This Row],[game_id]],GamesTable[[game_id]:[IGDB id]],7,0)</f>
        <v>75458</v>
      </c>
    </row>
    <row r="50" spans="1:13" hidden="1" x14ac:dyDescent="0.25">
      <c r="A50" t="s">
        <v>7816</v>
      </c>
      <c r="B50">
        <f>COUNTIF(A:A,Table2[[#This Row],[game_id]])</f>
        <v>1</v>
      </c>
      <c r="C50" t="s">
        <v>7960</v>
      </c>
      <c r="D50">
        <v>2001</v>
      </c>
      <c r="E50">
        <v>47597</v>
      </c>
      <c r="F50" s="15">
        <v>1</v>
      </c>
      <c r="G50">
        <v>47597</v>
      </c>
      <c r="H50" t="s">
        <v>8288</v>
      </c>
      <c r="I50" t="str">
        <f>IF(ISERROR(VLOOKUP(Table2[[#This Row],[IGDB_id]],GamesTable[IGDB id],1,0)),"NO","yes")</f>
        <v>yes</v>
      </c>
      <c r="J50" t="str">
        <f>IF(ISERROR(VLOOKUP(A50,GamesTable[game_id],1,0)),"not found","found")</f>
        <v>found</v>
      </c>
      <c r="K50" t="str">
        <f>VLOOKUP(Table2[[#This Row],[game_id]],GamesTable[[game_id]:[game title]],2,0)</f>
        <v xml:space="preserve">Jockey Grand Prix </v>
      </c>
      <c r="L50" t="str">
        <f>VLOOKUP(VLOOKUP(Table2[[#This Row],[game_id]],GamesTable[[game_id]:[IGDB id]],7,0),G:H,2,0)</f>
        <v>Jockey Grand Prix</v>
      </c>
      <c r="M50">
        <f>VLOOKUP(Table2[[#This Row],[game_id]],GamesTable[[game_id]:[IGDB id]],7,0)</f>
        <v>47597</v>
      </c>
    </row>
    <row r="51" spans="1:13" hidden="1" x14ac:dyDescent="0.25">
      <c r="A51" t="s">
        <v>7817</v>
      </c>
      <c r="B51">
        <f>COUNTIF(A:A,Table2[[#This Row],[game_id]])</f>
        <v>2</v>
      </c>
      <c r="C51" t="s">
        <v>7961</v>
      </c>
      <c r="D51">
        <v>1990</v>
      </c>
      <c r="F51" s="15">
        <v>0.9651801846280732</v>
      </c>
      <c r="G51">
        <v>40970</v>
      </c>
      <c r="H51" t="s">
        <v>8287</v>
      </c>
      <c r="I51" s="3" t="str">
        <f>IF(ISERROR(VLOOKUP(Table2[[#This Row],[IGDB_id]],GamesTable[IGDB id],1,0)),"NO","yes")</f>
        <v>yes</v>
      </c>
      <c r="J51" t="str">
        <f>IF(ISERROR(VLOOKUP(A51,GamesTable[game_id],1,0)),"not found","found")</f>
        <v>found</v>
      </c>
      <c r="K51" t="str">
        <f>VLOOKUP(Table2[[#This Row],[game_id]],GamesTable[[game_id]:[game title]],2,0)</f>
        <v xml:space="preserve">Puzzled / Joy Joy Kid </v>
      </c>
      <c r="L51" t="str">
        <f>VLOOKUP(VLOOKUP(Table2[[#This Row],[game_id]],GamesTable[[game_id]:[IGDB id]],7,0),G:H,2,0)</f>
        <v>Joy Joy kid</v>
      </c>
      <c r="M51">
        <f>VLOOKUP(Table2[[#This Row],[game_id]],GamesTable[[game_id]:[IGDB id]],7,0)</f>
        <v>40970</v>
      </c>
    </row>
    <row r="52" spans="1:13" x14ac:dyDescent="0.25">
      <c r="A52" t="s">
        <v>7815</v>
      </c>
      <c r="B52">
        <f>COUNTIF(A:A,Table2[[#This Row],[game_id]])</f>
        <v>2</v>
      </c>
      <c r="C52" t="s">
        <v>5838</v>
      </c>
      <c r="D52">
        <v>1994</v>
      </c>
      <c r="E52" t="s">
        <v>8159</v>
      </c>
      <c r="F52" s="15">
        <v>0.98907219289563186</v>
      </c>
      <c r="G52">
        <v>47595</v>
      </c>
      <c r="H52" t="s">
        <v>8286</v>
      </c>
      <c r="I52" s="3" t="str">
        <f>IF(ISERROR(VLOOKUP(Table2[[#This Row],[IGDB_id]],GamesTable[IGDB id],1,0)),"NO","yes")</f>
        <v>NO</v>
      </c>
      <c r="J52" t="str">
        <f>IF(ISERROR(VLOOKUP(A52,GamesTable[game_id],1,0)),"not found","found")</f>
        <v>found</v>
      </c>
      <c r="K52" t="str">
        <f>VLOOKUP(Table2[[#This Row],[game_id]],GamesTable[[game_id]:[game title]],2,0)</f>
        <v>Janshin Densetsu - Quest of Jongmaster</v>
      </c>
      <c r="L52" t="str">
        <f>VLOOKUP(VLOOKUP(Table2[[#This Row],[game_id]],GamesTable[[game_id]:[IGDB id]],7,0),G:H,2,0)</f>
        <v>Janshin Densetsu: Quest of Jongmaster</v>
      </c>
      <c r="M52">
        <f>VLOOKUP(Table2[[#This Row],[game_id]],GamesTable[[game_id]:[IGDB id]],7,0)</f>
        <v>75458</v>
      </c>
    </row>
    <row r="53" spans="1:13" x14ac:dyDescent="0.25">
      <c r="A53" t="s">
        <v>7818</v>
      </c>
      <c r="B53">
        <f>COUNTIF(A:A,Table2[[#This Row],[game_id]])</f>
        <v>2</v>
      </c>
      <c r="C53" t="s">
        <v>4253</v>
      </c>
      <c r="D53">
        <v>1995</v>
      </c>
      <c r="F53" s="15">
        <v>0.84454858875588279</v>
      </c>
      <c r="G53">
        <v>71642</v>
      </c>
      <c r="H53" t="s">
        <v>8285</v>
      </c>
      <c r="I53" s="3" t="str">
        <f>IF(ISERROR(VLOOKUP(Table2[[#This Row],[IGDB_id]],GamesTable[IGDB id],1,0)),"NO","yes")</f>
        <v>NO</v>
      </c>
      <c r="J53" t="str">
        <f>IF(ISERROR(VLOOKUP(A53,GamesTable[game_id],1,0)),"not found","found")</f>
        <v>found</v>
      </c>
      <c r="K53" t="str">
        <f>VLOOKUP(Table2[[#This Row],[game_id]],GamesTable[[game_id]:[game title]],2,0)</f>
        <v>Far East of Eden - Kabuki Klash</v>
      </c>
      <c r="L53" t="str">
        <f>VLOOKUP(VLOOKUP(Table2[[#This Row],[game_id]],GamesTable[[game_id]:[IGDB id]],7,0),G:H,2,0)</f>
        <v>Far East of Eden: Kabuki Klash</v>
      </c>
      <c r="M53">
        <f>VLOOKUP(Table2[[#This Row],[game_id]],GamesTable[[game_id]:[IGDB id]],7,0)</f>
        <v>39554</v>
      </c>
    </row>
    <row r="54" spans="1:13" hidden="1" x14ac:dyDescent="0.25">
      <c r="A54" t="s">
        <v>7830</v>
      </c>
      <c r="B54">
        <f>COUNTIF(A:A,Table2[[#This Row],[game_id]])</f>
        <v>2</v>
      </c>
      <c r="C54" t="s">
        <v>7971</v>
      </c>
      <c r="D54">
        <v>1991</v>
      </c>
      <c r="F54" s="15">
        <v>1</v>
      </c>
      <c r="G54">
        <v>6800</v>
      </c>
      <c r="H54" t="s">
        <v>8284</v>
      </c>
      <c r="I54" s="3" t="str">
        <f>IF(ISERROR(VLOOKUP(Table2[[#This Row],[IGDB_id]],GamesTable[IGDB id],1,0)),"NO","yes")</f>
        <v>yes</v>
      </c>
      <c r="J54" t="str">
        <f>IF(ISERROR(VLOOKUP(A54,GamesTable[game_id],1,0)),"not found","found")</f>
        <v>found</v>
      </c>
      <c r="K54" t="str">
        <f>VLOOKUP(Table2[[#This Row],[game_id]],GamesTable[[game_id]:[game title]],2,0)</f>
        <v xml:space="preserve">King of the Monsters </v>
      </c>
      <c r="L54" t="str">
        <f>VLOOKUP(VLOOKUP(Table2[[#This Row],[game_id]],GamesTable[[game_id]:[IGDB id]],7,0),G:H,2,0)</f>
        <v>King of the Monsters</v>
      </c>
      <c r="M54">
        <f>VLOOKUP(Table2[[#This Row],[game_id]],GamesTable[[game_id]:[IGDB id]],7,0)</f>
        <v>6800</v>
      </c>
    </row>
    <row r="55" spans="1:13" x14ac:dyDescent="0.25">
      <c r="A55" t="s">
        <v>7830</v>
      </c>
      <c r="B55">
        <f>COUNTIF(A:A,Table2[[#This Row],[game_id]])</f>
        <v>2</v>
      </c>
      <c r="C55" t="s">
        <v>7971</v>
      </c>
      <c r="D55">
        <v>1991</v>
      </c>
      <c r="F55" s="15">
        <v>0.96666666666666667</v>
      </c>
      <c r="G55">
        <v>39466</v>
      </c>
      <c r="H55" t="s">
        <v>8283</v>
      </c>
      <c r="I55" s="3" t="str">
        <f>IF(ISERROR(VLOOKUP(Table2[[#This Row],[IGDB_id]],GamesTable[IGDB id],1,0)),"NO","yes")</f>
        <v>NO</v>
      </c>
      <c r="J55" t="str">
        <f>IF(ISERROR(VLOOKUP(A55,GamesTable[game_id],1,0)),"not found","found")</f>
        <v>found</v>
      </c>
      <c r="K55" t="str">
        <f>VLOOKUP(Table2[[#This Row],[game_id]],GamesTable[[game_id]:[game title]],2,0)</f>
        <v xml:space="preserve">King of the Monsters </v>
      </c>
      <c r="L55" t="str">
        <f>VLOOKUP(VLOOKUP(Table2[[#This Row],[game_id]],GamesTable[[game_id]:[IGDB id]],7,0),G:H,2,0)</f>
        <v>King of the Monsters</v>
      </c>
      <c r="M55">
        <f>VLOOKUP(Table2[[#This Row],[game_id]],GamesTable[[game_id]:[IGDB id]],7,0)</f>
        <v>6800</v>
      </c>
    </row>
    <row r="56" spans="1:13" hidden="1" x14ac:dyDescent="0.25">
      <c r="A56" t="s">
        <v>7820</v>
      </c>
      <c r="B56">
        <f>COUNTIF(A:A,Table2[[#This Row],[game_id]])</f>
        <v>1</v>
      </c>
      <c r="C56" t="s">
        <v>3613</v>
      </c>
      <c r="D56">
        <v>1996</v>
      </c>
      <c r="F56" s="15">
        <v>0.90476190476190477</v>
      </c>
      <c r="G56">
        <v>39530</v>
      </c>
      <c r="H56" t="s">
        <v>8282</v>
      </c>
      <c r="I56" t="str">
        <f>IF(ISERROR(VLOOKUP(Table2[[#This Row],[IGDB_id]],GamesTable[IGDB id],1,0)),"NO","yes")</f>
        <v>yes</v>
      </c>
      <c r="J56" t="str">
        <f>IF(ISERROR(VLOOKUP(A56,GamesTable[game_id],1,0)),"not found","found")</f>
        <v>found</v>
      </c>
      <c r="K56" t="str">
        <f>VLOOKUP(Table2[[#This Row],[game_id]],GamesTable[[game_id]:[game title]],2,0)</f>
        <v>Kizuna Encounter - Super Tag Battle</v>
      </c>
      <c r="L56" t="str">
        <f>VLOOKUP(VLOOKUP(Table2[[#This Row],[game_id]],GamesTable[[game_id]:[IGDB id]],7,0),G:H,2,0)</f>
        <v>Kizuna Encounter: Super Tag Battle</v>
      </c>
      <c r="M56">
        <f>VLOOKUP(Table2[[#This Row],[game_id]],GamesTable[[game_id]:[IGDB id]],7,0)</f>
        <v>39530</v>
      </c>
    </row>
    <row r="57" spans="1:13" hidden="1" x14ac:dyDescent="0.25">
      <c r="A57" t="s">
        <v>8167</v>
      </c>
      <c r="B57">
        <f>COUNTIF(A:A,Table2[[#This Row],[game_id]])</f>
        <v>1</v>
      </c>
      <c r="C57" t="s">
        <v>8168</v>
      </c>
      <c r="D57">
        <v>2013</v>
      </c>
      <c r="E57">
        <v>75478</v>
      </c>
      <c r="F57" s="15">
        <v>1</v>
      </c>
      <c r="G57">
        <v>75478</v>
      </c>
      <c r="H57" t="s">
        <v>8281</v>
      </c>
      <c r="I57" t="str">
        <f>IF(ISERROR(VLOOKUP(Table2[[#This Row],[IGDB_id]],GamesTable[IGDB id],1,0)),"NO","yes")</f>
        <v>yes</v>
      </c>
      <c r="J57" t="str">
        <f>IF(ISERROR(VLOOKUP(A57,GamesTable[game_id],1,0)),"not found","found")</f>
        <v>found</v>
      </c>
      <c r="K57" t="str">
        <f>VLOOKUP(Table2[[#This Row],[game_id]],GamesTable[[game_id]:[game title]],2,0)</f>
        <v>Knight's Chance</v>
      </c>
      <c r="L57" t="str">
        <f>VLOOKUP(VLOOKUP(Table2[[#This Row],[game_id]],GamesTable[[game_id]:[IGDB id]],7,0),G:H,2,0)</f>
        <v>Knight's Chance</v>
      </c>
      <c r="M57">
        <f>VLOOKUP(Table2[[#This Row],[game_id]],GamesTable[[game_id]:[IGDB id]],7,0)</f>
        <v>75478</v>
      </c>
    </row>
    <row r="58" spans="1:13" hidden="1" x14ac:dyDescent="0.25">
      <c r="A58" t="s">
        <v>7836</v>
      </c>
      <c r="B58">
        <f>COUNTIF(A:A,Table2[[#This Row],[game_id]])</f>
        <v>1</v>
      </c>
      <c r="C58" t="s">
        <v>6703</v>
      </c>
      <c r="D58">
        <v>1992</v>
      </c>
      <c r="F58" s="15">
        <v>1</v>
      </c>
      <c r="G58">
        <v>36750</v>
      </c>
      <c r="H58" t="s">
        <v>8279</v>
      </c>
      <c r="I58" t="str">
        <f>IF(ISERROR(VLOOKUP(Table2[[#This Row],[IGDB_id]],GamesTable[IGDB id],1,0)),"NO","yes")</f>
        <v>yes</v>
      </c>
      <c r="J58" t="str">
        <f>IF(ISERROR(VLOOKUP(A58,GamesTable[game_id],1,0)),"not found","found")</f>
        <v>found</v>
      </c>
      <c r="K58" t="str">
        <f>VLOOKUP(Table2[[#This Row],[game_id]],GamesTable[[game_id]:[game title]],2,0)</f>
        <v>Last Resort</v>
      </c>
      <c r="L58" t="str">
        <f>VLOOKUP(VLOOKUP(Table2[[#This Row],[game_id]],GamesTable[[game_id]:[IGDB id]],7,0),G:H,2,0)</f>
        <v>Last Resort</v>
      </c>
      <c r="M58">
        <f>VLOOKUP(Table2[[#This Row],[game_id]],GamesTable[[game_id]:[IGDB id]],7,0)</f>
        <v>36750</v>
      </c>
    </row>
    <row r="59" spans="1:13" hidden="1" x14ac:dyDescent="0.25">
      <c r="A59" t="s">
        <v>7834</v>
      </c>
      <c r="B59">
        <f>COUNTIF(A:A,Table2[[#This Row],[game_id]])</f>
        <v>1</v>
      </c>
      <c r="C59" t="s">
        <v>7974</v>
      </c>
      <c r="D59">
        <v>1990</v>
      </c>
      <c r="F59" s="15">
        <v>1</v>
      </c>
      <c r="G59">
        <v>40206</v>
      </c>
      <c r="H59" t="s">
        <v>8278</v>
      </c>
      <c r="I59" t="str">
        <f>IF(ISERROR(VLOOKUP(Table2[[#This Row],[IGDB_id]],GamesTable[IGDB id],1,0)),"NO","yes")</f>
        <v>yes</v>
      </c>
      <c r="J59" t="str">
        <f>IF(ISERROR(VLOOKUP(A59,GamesTable[game_id],1,0)),"not found","found")</f>
        <v>found</v>
      </c>
      <c r="K59" t="str">
        <f>VLOOKUP(Table2[[#This Row],[game_id]],GamesTable[[game_id]:[game title]],2,0)</f>
        <v xml:space="preserve">League Bowling </v>
      </c>
      <c r="L59" t="str">
        <f>VLOOKUP(VLOOKUP(Table2[[#This Row],[game_id]],GamesTable[[game_id]:[IGDB id]],7,0),G:H,2,0)</f>
        <v>League Bowling</v>
      </c>
      <c r="M59">
        <f>VLOOKUP(Table2[[#This Row],[game_id]],GamesTable[[game_id]:[IGDB id]],7,0)</f>
        <v>40206</v>
      </c>
    </row>
    <row r="60" spans="1:13" hidden="1" x14ac:dyDescent="0.25">
      <c r="A60" t="s">
        <v>7835</v>
      </c>
      <c r="B60">
        <f>COUNTIF(A:A,Table2[[#This Row],[game_id]])</f>
        <v>1</v>
      </c>
      <c r="C60" t="s">
        <v>6558</v>
      </c>
      <c r="D60">
        <v>1991</v>
      </c>
      <c r="E60">
        <v>47573</v>
      </c>
      <c r="F60" s="15">
        <v>0.90303030303030307</v>
      </c>
      <c r="G60">
        <v>47580</v>
      </c>
      <c r="H60" t="s">
        <v>8277</v>
      </c>
      <c r="I60" t="str">
        <f>IF(ISERROR(VLOOKUP(Table2[[#This Row],[IGDB_id]],GamesTable[IGDB id],1,0)),"NO","yes")</f>
        <v>yes</v>
      </c>
      <c r="J60" t="str">
        <f>IF(ISERROR(VLOOKUP(A60,GamesTable[game_id],1,0)),"not found","found")</f>
        <v>found</v>
      </c>
      <c r="K60" t="str">
        <f>VLOOKUP(Table2[[#This Row],[game_id]],GamesTable[[game_id]:[game title]],2,0)</f>
        <v>Legend of Success Joe</v>
      </c>
      <c r="L60" t="str">
        <f>VLOOKUP(VLOOKUP(Table2[[#This Row],[game_id]],GamesTable[[game_id]:[IGDB id]],7,0),G:H,2,0)</f>
        <v>Legend of Success Joe</v>
      </c>
      <c r="M60">
        <f>VLOOKUP(Table2[[#This Row],[game_id]],GamesTable[[game_id]:[IGDB id]],7,0)</f>
        <v>47580</v>
      </c>
    </row>
    <row r="61" spans="1:13" hidden="1" x14ac:dyDescent="0.25">
      <c r="A61" t="s">
        <v>7837</v>
      </c>
      <c r="B61">
        <f>COUNTIF(A:A,Table2[[#This Row],[game_id]])</f>
        <v>1</v>
      </c>
      <c r="C61" t="s">
        <v>3412</v>
      </c>
      <c r="D61">
        <v>1996</v>
      </c>
      <c r="F61" s="15">
        <v>1</v>
      </c>
      <c r="G61">
        <v>39348</v>
      </c>
      <c r="H61" t="s">
        <v>8276</v>
      </c>
      <c r="I61" t="str">
        <f>IF(ISERROR(VLOOKUP(Table2[[#This Row],[IGDB_id]],GamesTable[IGDB id],1,0)),"NO","yes")</f>
        <v>yes</v>
      </c>
      <c r="J61" t="str">
        <f>IF(ISERROR(VLOOKUP(A61,GamesTable[game_id],1,0)),"not found","found")</f>
        <v>found</v>
      </c>
      <c r="K61" t="str">
        <f>VLOOKUP(Table2[[#This Row],[game_id]],GamesTable[[game_id]:[game title]],2,0)</f>
        <v>Magical Drop II</v>
      </c>
      <c r="L61" t="str">
        <f>VLOOKUP(VLOOKUP(Table2[[#This Row],[game_id]],GamesTable[[game_id]:[IGDB id]],7,0),G:H,2,0)</f>
        <v>Magical Drop II</v>
      </c>
      <c r="M61">
        <f>VLOOKUP(Table2[[#This Row],[game_id]],GamesTable[[game_id]:[IGDB id]],7,0)</f>
        <v>39348</v>
      </c>
    </row>
    <row r="62" spans="1:13" hidden="1" x14ac:dyDescent="0.25">
      <c r="A62" t="s">
        <v>7838</v>
      </c>
      <c r="B62">
        <f>COUNTIF(A:A,Table2[[#This Row],[game_id]])</f>
        <v>1</v>
      </c>
      <c r="C62" t="s">
        <v>3074</v>
      </c>
      <c r="D62">
        <v>1997</v>
      </c>
      <c r="F62" s="15">
        <v>1</v>
      </c>
      <c r="G62">
        <v>39347</v>
      </c>
      <c r="H62" t="s">
        <v>8275</v>
      </c>
      <c r="I62" t="str">
        <f>IF(ISERROR(VLOOKUP(Table2[[#This Row],[IGDB_id]],GamesTable[IGDB id],1,0)),"NO","yes")</f>
        <v>yes</v>
      </c>
      <c r="J62" t="str">
        <f>IF(ISERROR(VLOOKUP(A62,GamesTable[game_id],1,0)),"not found","found")</f>
        <v>found</v>
      </c>
      <c r="K62" t="str">
        <f>VLOOKUP(Table2[[#This Row],[game_id]],GamesTable[[game_id]:[game title]],2,0)</f>
        <v>Magical Drop III</v>
      </c>
      <c r="L62" t="str">
        <f>VLOOKUP(VLOOKUP(Table2[[#This Row],[game_id]],GamesTable[[game_id]:[IGDB id]],7,0),G:H,2,0)</f>
        <v>Magical Drop III</v>
      </c>
      <c r="M62">
        <f>VLOOKUP(Table2[[#This Row],[game_id]],GamesTable[[game_id]:[IGDB id]],7,0)</f>
        <v>39347</v>
      </c>
    </row>
    <row r="63" spans="1:13" hidden="1" x14ac:dyDescent="0.25">
      <c r="A63" t="s">
        <v>7839</v>
      </c>
      <c r="B63">
        <f>COUNTIF(A:A,Table2[[#This Row],[game_id]])</f>
        <v>1</v>
      </c>
      <c r="C63" t="s">
        <v>7975</v>
      </c>
      <c r="D63">
        <v>1990</v>
      </c>
      <c r="F63" s="15">
        <v>1</v>
      </c>
      <c r="G63">
        <v>19109</v>
      </c>
      <c r="H63" t="s">
        <v>8274</v>
      </c>
      <c r="I63" t="str">
        <f>IF(ISERROR(VLOOKUP(Table2[[#This Row],[IGDB_id]],GamesTable[IGDB id],1,0)),"NO","yes")</f>
        <v>yes</v>
      </c>
      <c r="J63" t="str">
        <f>IF(ISERROR(VLOOKUP(A63,GamesTable[game_id],1,0)),"not found","found")</f>
        <v>found</v>
      </c>
      <c r="K63" t="str">
        <f>VLOOKUP(Table2[[#This Row],[game_id]],GamesTable[[game_id]:[game title]],2,0)</f>
        <v xml:space="preserve">Magician Lord </v>
      </c>
      <c r="L63" t="str">
        <f>VLOOKUP(VLOOKUP(Table2[[#This Row],[game_id]],GamesTable[[game_id]:[IGDB id]],7,0),G:H,2,0)</f>
        <v>Magician Lord</v>
      </c>
      <c r="M63">
        <f>VLOOKUP(Table2[[#This Row],[game_id]],GamesTable[[game_id]:[IGDB id]],7,0)</f>
        <v>19109</v>
      </c>
    </row>
    <row r="64" spans="1:13" hidden="1" x14ac:dyDescent="0.25">
      <c r="A64" t="s">
        <v>7840</v>
      </c>
      <c r="B64">
        <f>COUNTIF(A:A,Table2[[#This Row],[game_id]])</f>
        <v>2</v>
      </c>
      <c r="C64" t="s">
        <v>7976</v>
      </c>
      <c r="D64">
        <v>1990</v>
      </c>
      <c r="F64" s="15">
        <v>1</v>
      </c>
      <c r="G64">
        <v>75450</v>
      </c>
      <c r="H64" t="s">
        <v>8273</v>
      </c>
      <c r="I64" s="3" t="str">
        <f>IF(ISERROR(VLOOKUP(Table2[[#This Row],[IGDB_id]],GamesTable[IGDB id],1,0)),"NO","yes")</f>
        <v>yes</v>
      </c>
      <c r="J64" t="str">
        <f>IF(ISERROR(VLOOKUP(A64,GamesTable[game_id],1,0)),"not found","found")</f>
        <v>found</v>
      </c>
      <c r="K64" t="str">
        <f>VLOOKUP(Table2[[#This Row],[game_id]],GamesTable[[game_id]:[game title]],2,0)</f>
        <v>Mahjong Story</v>
      </c>
      <c r="L64" t="str">
        <f>VLOOKUP(VLOOKUP(Table2[[#This Row],[game_id]],GamesTable[[game_id]:[IGDB id]],7,0),G:H,2,0)</f>
        <v>Mahjong Kyo Retsuden</v>
      </c>
      <c r="M64">
        <f>VLOOKUP(Table2[[#This Row],[game_id]],GamesTable[[game_id]:[IGDB id]],7,0)</f>
        <v>75450</v>
      </c>
    </row>
    <row r="65" spans="1:13" x14ac:dyDescent="0.25">
      <c r="A65" t="s">
        <v>7840</v>
      </c>
      <c r="B65">
        <f>COUNTIF(A:A,Table2[[#This Row],[game_id]])</f>
        <v>2</v>
      </c>
      <c r="C65" t="s">
        <v>7976</v>
      </c>
      <c r="D65">
        <v>1990</v>
      </c>
      <c r="F65" s="15">
        <v>0.98360655737704916</v>
      </c>
      <c r="G65">
        <v>47590</v>
      </c>
      <c r="H65" t="s">
        <v>8272</v>
      </c>
      <c r="I65" s="3" t="str">
        <f>IF(ISERROR(VLOOKUP(Table2[[#This Row],[IGDB_id]],GamesTable[IGDB id],1,0)),"NO","yes")</f>
        <v>NO</v>
      </c>
      <c r="J65" t="str">
        <f>IF(ISERROR(VLOOKUP(A65,GamesTable[game_id],1,0)),"not found","found")</f>
        <v>found</v>
      </c>
      <c r="K65" t="str">
        <f>VLOOKUP(Table2[[#This Row],[game_id]],GamesTable[[game_id]:[game title]],2,0)</f>
        <v>Mahjong Story</v>
      </c>
      <c r="L65" t="str">
        <f>VLOOKUP(VLOOKUP(Table2[[#This Row],[game_id]],GamesTable[[game_id]:[IGDB id]],7,0),G:H,2,0)</f>
        <v>Mahjong Kyo Retsuden</v>
      </c>
      <c r="M65">
        <f>VLOOKUP(Table2[[#This Row],[game_id]],GamesTable[[game_id]:[IGDB id]],7,0)</f>
        <v>75450</v>
      </c>
    </row>
    <row r="66" spans="1:13" hidden="1" x14ac:dyDescent="0.25">
      <c r="A66" t="s">
        <v>7845</v>
      </c>
      <c r="B66">
        <f>COUNTIF(A:A,Table2[[#This Row],[game_id]])</f>
        <v>2</v>
      </c>
      <c r="C66" t="s">
        <v>3907</v>
      </c>
      <c r="D66">
        <v>1990</v>
      </c>
      <c r="E66" t="s">
        <v>8166</v>
      </c>
      <c r="F66" s="15">
        <v>0.86638537663534754</v>
      </c>
      <c r="G66">
        <v>75451</v>
      </c>
      <c r="H66" t="s">
        <v>8271</v>
      </c>
      <c r="I66" s="3" t="str">
        <f>IF(ISERROR(VLOOKUP(Table2[[#This Row],[IGDB_id]],GamesTable[IGDB id],1,0)),"NO","yes")</f>
        <v>yes</v>
      </c>
      <c r="J66" t="str">
        <f>IF(ISERROR(VLOOKUP(A66,GamesTable[game_id],1,0)),"not found","found")</f>
        <v>found</v>
      </c>
      <c r="K66" t="str">
        <f>VLOOKUP(Table2[[#This Row],[game_id]],GamesTable[[game_id]:[game title]],2,0)</f>
        <v>Master of Shougi</v>
      </c>
      <c r="L66" t="str">
        <f>VLOOKUP(VLOOKUP(Table2[[#This Row],[game_id]],GamesTable[[game_id]:[IGDB id]],7,0),G:H,2,0)</f>
        <v>Master of Syougi</v>
      </c>
      <c r="M66">
        <f>VLOOKUP(Table2[[#This Row],[game_id]],GamesTable[[game_id]:[IGDB id]],7,0)</f>
        <v>75451</v>
      </c>
    </row>
    <row r="67" spans="1:13" hidden="1" x14ac:dyDescent="0.25">
      <c r="A67" t="s">
        <v>7918</v>
      </c>
      <c r="B67">
        <f>COUNTIF(A:A,Table2[[#This Row],[game_id]])</f>
        <v>2</v>
      </c>
      <c r="C67" t="s">
        <v>7979</v>
      </c>
      <c r="D67">
        <v>2000</v>
      </c>
      <c r="F67" s="15">
        <v>0.93333333333333335</v>
      </c>
      <c r="G67">
        <v>1404</v>
      </c>
      <c r="H67" t="s">
        <v>8270</v>
      </c>
      <c r="I67" s="3" t="str">
        <f>IF(ISERROR(VLOOKUP(Table2[[#This Row],[IGDB_id]],GamesTable[IGDB id],1,0)),"NO","yes")</f>
        <v>yes</v>
      </c>
      <c r="J67" t="str">
        <f>IF(ISERROR(VLOOKUP(A67,GamesTable[game_id],1,0)),"not found","found")</f>
        <v>found</v>
      </c>
      <c r="K67" t="str">
        <f>VLOOKUP(Table2[[#This Row],[game_id]],GamesTable[[game_id]:[game title]],2,0)</f>
        <v xml:space="preserve">Metal Slug 3 </v>
      </c>
      <c r="L67" t="str">
        <f>VLOOKUP(VLOOKUP(Table2[[#This Row],[game_id]],GamesTable[[game_id]:[IGDB id]],7,0),G:H,2,0)</f>
        <v>Metal Slug</v>
      </c>
      <c r="M67">
        <f>VLOOKUP(Table2[[#This Row],[game_id]],GamesTable[[game_id]:[IGDB id]],7,0)</f>
        <v>1404</v>
      </c>
    </row>
    <row r="68" spans="1:13" hidden="1" x14ac:dyDescent="0.25">
      <c r="A68" t="s">
        <v>7917</v>
      </c>
      <c r="B68">
        <f>COUNTIF(A:A,Table2[[#This Row],[game_id]])</f>
        <v>1</v>
      </c>
      <c r="C68" t="s">
        <v>7978</v>
      </c>
      <c r="D68">
        <v>1998</v>
      </c>
      <c r="F68" s="15">
        <v>0.8727272727272728</v>
      </c>
      <c r="G68">
        <v>1407</v>
      </c>
      <c r="H68" t="s">
        <v>8269</v>
      </c>
      <c r="I68" t="str">
        <f>IF(ISERROR(VLOOKUP(Table2[[#This Row],[IGDB_id]],GamesTable[IGDB id],1,0)),"NO","yes")</f>
        <v>yes</v>
      </c>
      <c r="J68" t="str">
        <f>IF(ISERROR(VLOOKUP(A68,GamesTable[game_id],1,0)),"not found","found")</f>
        <v>found</v>
      </c>
      <c r="K68" t="str">
        <f>VLOOKUP(Table2[[#This Row],[game_id]],GamesTable[[game_id]:[game title]],2,0)</f>
        <v xml:space="preserve">Metal Slug 2 - Super Vehicle-001/II </v>
      </c>
      <c r="L68" t="str">
        <f>VLOOKUP(VLOOKUP(Table2[[#This Row],[game_id]],GamesTable[[game_id]:[IGDB id]],7,0),G:H,2,0)</f>
        <v>Metal Slug 2</v>
      </c>
      <c r="M68">
        <f>VLOOKUP(Table2[[#This Row],[game_id]],GamesTable[[game_id]:[IGDB id]],7,0)</f>
        <v>1407</v>
      </c>
    </row>
    <row r="69" spans="1:13" x14ac:dyDescent="0.25">
      <c r="A69" t="s">
        <v>7918</v>
      </c>
      <c r="B69">
        <f>COUNTIF(A:A,Table2[[#This Row],[game_id]])</f>
        <v>2</v>
      </c>
      <c r="C69" t="s">
        <v>7979</v>
      </c>
      <c r="D69">
        <v>2000</v>
      </c>
      <c r="F69" s="15">
        <v>1</v>
      </c>
      <c r="G69">
        <v>1408</v>
      </c>
      <c r="H69" t="s">
        <v>8268</v>
      </c>
      <c r="I69" s="3" t="str">
        <f>IF(ISERROR(VLOOKUP(Table2[[#This Row],[IGDB_id]],GamesTable[IGDB id],1,0)),"NO","yes")</f>
        <v>NO</v>
      </c>
      <c r="J69" t="str">
        <f>IF(ISERROR(VLOOKUP(A69,GamesTable[game_id],1,0)),"not found","found")</f>
        <v>found</v>
      </c>
      <c r="K69" t="str">
        <f>VLOOKUP(Table2[[#This Row],[game_id]],GamesTable[[game_id]:[game title]],2,0)</f>
        <v xml:space="preserve">Metal Slug 3 </v>
      </c>
      <c r="L69" t="str">
        <f>VLOOKUP(VLOOKUP(Table2[[#This Row],[game_id]],GamesTable[[game_id]:[IGDB id]],7,0),G:H,2,0)</f>
        <v>Metal Slug</v>
      </c>
      <c r="M69">
        <f>VLOOKUP(Table2[[#This Row],[game_id]],GamesTable[[game_id]:[IGDB id]],7,0)</f>
        <v>1404</v>
      </c>
    </row>
    <row r="70" spans="1:13" hidden="1" x14ac:dyDescent="0.25">
      <c r="A70" t="s">
        <v>7919</v>
      </c>
      <c r="B70">
        <f>COUNTIF(A:A,Table2[[#This Row],[game_id]])</f>
        <v>1</v>
      </c>
      <c r="C70" t="s">
        <v>7980</v>
      </c>
      <c r="D70">
        <v>2002</v>
      </c>
      <c r="F70" s="15">
        <v>1</v>
      </c>
      <c r="G70">
        <v>1409</v>
      </c>
      <c r="H70" t="s">
        <v>8267</v>
      </c>
      <c r="I70" t="str">
        <f>IF(ISERROR(VLOOKUP(Table2[[#This Row],[IGDB_id]],GamesTable[IGDB id],1,0)),"NO","yes")</f>
        <v>yes</v>
      </c>
      <c r="J70" t="str">
        <f>IF(ISERROR(VLOOKUP(A70,GamesTable[game_id],1,0)),"not found","found")</f>
        <v>found</v>
      </c>
      <c r="K70" t="str">
        <f>VLOOKUP(Table2[[#This Row],[game_id]],GamesTable[[game_id]:[game title]],2,0)</f>
        <v xml:space="preserve">Metal Slug 4 </v>
      </c>
      <c r="L70" t="str">
        <f>VLOOKUP(VLOOKUP(Table2[[#This Row],[game_id]],GamesTable[[game_id]:[IGDB id]],7,0),G:H,2,0)</f>
        <v>Metal Slug 4</v>
      </c>
      <c r="M70">
        <f>VLOOKUP(Table2[[#This Row],[game_id]],GamesTable[[game_id]:[IGDB id]],7,0)</f>
        <v>1409</v>
      </c>
    </row>
    <row r="71" spans="1:13" hidden="1" x14ac:dyDescent="0.25">
      <c r="A71" t="s">
        <v>7920</v>
      </c>
      <c r="B71">
        <f>COUNTIF(A:A,Table2[[#This Row],[game_id]])</f>
        <v>1</v>
      </c>
      <c r="C71" t="s">
        <v>7981</v>
      </c>
      <c r="D71">
        <v>2003</v>
      </c>
      <c r="F71" s="15">
        <v>1</v>
      </c>
      <c r="G71">
        <v>1410</v>
      </c>
      <c r="H71" t="s">
        <v>8266</v>
      </c>
      <c r="I71" t="str">
        <f>IF(ISERROR(VLOOKUP(Table2[[#This Row],[IGDB_id]],GamesTable[IGDB id],1,0)),"NO","yes")</f>
        <v>yes</v>
      </c>
      <c r="J71" t="str">
        <f>IF(ISERROR(VLOOKUP(A71,GamesTable[game_id],1,0)),"not found","found")</f>
        <v>found</v>
      </c>
      <c r="K71" t="str">
        <f>VLOOKUP(Table2[[#This Row],[game_id]],GamesTable[[game_id]:[game title]],2,0)</f>
        <v xml:space="preserve">Metal Slug 5 </v>
      </c>
      <c r="L71" t="str">
        <f>VLOOKUP(VLOOKUP(Table2[[#This Row],[game_id]],GamesTable[[game_id]:[IGDB id]],7,0),G:H,2,0)</f>
        <v>Metal Slug 5</v>
      </c>
      <c r="M71">
        <f>VLOOKUP(Table2[[#This Row],[game_id]],GamesTable[[game_id]:[IGDB id]],7,0)</f>
        <v>1410</v>
      </c>
    </row>
    <row r="72" spans="1:13" hidden="1" x14ac:dyDescent="0.25">
      <c r="A72" t="s">
        <v>7921</v>
      </c>
      <c r="B72">
        <f>COUNTIF(A:A,Table2[[#This Row],[game_id]])</f>
        <v>1</v>
      </c>
      <c r="C72" t="s">
        <v>7982</v>
      </c>
      <c r="D72">
        <v>1999</v>
      </c>
      <c r="F72" s="15">
        <v>0.9</v>
      </c>
      <c r="G72">
        <v>18840</v>
      </c>
      <c r="H72" t="s">
        <v>8265</v>
      </c>
      <c r="I72" t="str">
        <f>IF(ISERROR(VLOOKUP(Table2[[#This Row],[IGDB_id]],GamesTable[IGDB id],1,0)),"NO","yes")</f>
        <v>yes</v>
      </c>
      <c r="J72" t="str">
        <f>IF(ISERROR(VLOOKUP(A72,GamesTable[game_id],1,0)),"not found","found")</f>
        <v>found</v>
      </c>
      <c r="K72" t="str">
        <f>VLOOKUP(Table2[[#This Row],[game_id]],GamesTable[[game_id]:[game title]],2,0)</f>
        <v xml:space="preserve">Metal Slug X - Super Vehicle-001 </v>
      </c>
      <c r="L72" t="str">
        <f>VLOOKUP(VLOOKUP(Table2[[#This Row],[game_id]],GamesTable[[game_id]:[IGDB id]],7,0),G:H,2,0)</f>
        <v>Metal Slug X</v>
      </c>
      <c r="M72">
        <f>VLOOKUP(Table2[[#This Row],[game_id]],GamesTable[[game_id]:[IGDB id]],7,0)</f>
        <v>18840</v>
      </c>
    </row>
    <row r="73" spans="1:13" hidden="1" x14ac:dyDescent="0.25">
      <c r="A73" t="s">
        <v>7844</v>
      </c>
      <c r="B73">
        <f>COUNTIF(A:A,Table2[[#This Row],[game_id]])</f>
        <v>3</v>
      </c>
      <c r="C73" t="s">
        <v>7977</v>
      </c>
      <c r="D73">
        <v>1990</v>
      </c>
      <c r="E73" t="s">
        <v>8166</v>
      </c>
      <c r="F73" s="15">
        <v>0.8971243700661885</v>
      </c>
      <c r="G73">
        <v>64013</v>
      </c>
      <c r="H73" t="s">
        <v>8264</v>
      </c>
      <c r="I73" s="3" t="str">
        <f>IF(ISERROR(VLOOKUP(Table2[[#This Row],[IGDB_id]],GamesTable[IGDB id],1,0)),"NO","yes")</f>
        <v>yes</v>
      </c>
      <c r="J73" t="str">
        <f>IF(ISERROR(VLOOKUP(A73,GamesTable[game_id],1,0)),"not found","found")</f>
        <v>found</v>
      </c>
      <c r="K73" t="str">
        <f>VLOOKUP(Table2[[#This Row],[game_id]],GamesTable[[game_id]:[game title]],2,0)</f>
        <v xml:space="preserve">Minasan no Okagesamadesu! Dai Sugoroku Taikai </v>
      </c>
      <c r="L73" t="str">
        <f>VLOOKUP(VLOOKUP(Table2[[#This Row],[game_id]],GamesTable[[game_id]:[IGDB id]],7,0),G:H,2,0)</f>
        <v>Minasan No Okagesamadesu!</v>
      </c>
      <c r="M73">
        <f>VLOOKUP(Table2[[#This Row],[game_id]],GamesTable[[game_id]:[IGDB id]],7,0)</f>
        <v>64013</v>
      </c>
    </row>
    <row r="74" spans="1:13" x14ac:dyDescent="0.25">
      <c r="A74" t="s">
        <v>7844</v>
      </c>
      <c r="B74">
        <f>COUNTIF(A:A,Table2[[#This Row],[game_id]])</f>
        <v>3</v>
      </c>
      <c r="C74" t="s">
        <v>7977</v>
      </c>
      <c r="D74">
        <v>1990</v>
      </c>
      <c r="E74" t="s">
        <v>8166</v>
      </c>
      <c r="F74" s="15">
        <v>0.98644655789176583</v>
      </c>
      <c r="G74">
        <v>47573</v>
      </c>
      <c r="H74" t="s">
        <v>8263</v>
      </c>
      <c r="I74" s="3" t="str">
        <f>IF(ISERROR(VLOOKUP(Table2[[#This Row],[IGDB_id]],GamesTable[IGDB id],1,0)),"NO","yes")</f>
        <v>NO</v>
      </c>
      <c r="J74" t="str">
        <f>IF(ISERROR(VLOOKUP(A74,GamesTable[game_id],1,0)),"not found","found")</f>
        <v>found</v>
      </c>
      <c r="K74" t="str">
        <f>VLOOKUP(Table2[[#This Row],[game_id]],GamesTable[[game_id]:[game title]],2,0)</f>
        <v xml:space="preserve">Minasan no Okagesamadesu! Dai Sugoroku Taikai </v>
      </c>
      <c r="L74" t="str">
        <f>VLOOKUP(VLOOKUP(Table2[[#This Row],[game_id]],GamesTable[[game_id]:[IGDB id]],7,0),G:H,2,0)</f>
        <v>Minasan No Okagesamadesu!</v>
      </c>
      <c r="M74">
        <f>VLOOKUP(Table2[[#This Row],[game_id]],GamesTable[[game_id]:[IGDB id]],7,0)</f>
        <v>64013</v>
      </c>
    </row>
    <row r="75" spans="1:13" x14ac:dyDescent="0.25">
      <c r="A75" t="s">
        <v>7844</v>
      </c>
      <c r="B75">
        <f>COUNTIF(A:A,Table2[[#This Row],[game_id]])</f>
        <v>3</v>
      </c>
      <c r="C75" t="s">
        <v>7977</v>
      </c>
      <c r="D75">
        <v>1990</v>
      </c>
      <c r="E75" t="s">
        <v>8166</v>
      </c>
      <c r="F75" s="15">
        <v>0.90946561078405652</v>
      </c>
      <c r="G75">
        <v>47594</v>
      </c>
      <c r="H75" t="s">
        <v>8262</v>
      </c>
      <c r="I75" s="3" t="str">
        <f>IF(ISERROR(VLOOKUP(Table2[[#This Row],[IGDB_id]],GamesTable[IGDB id],1,0)),"NO","yes")</f>
        <v>NO</v>
      </c>
      <c r="J75" t="str">
        <f>IF(ISERROR(VLOOKUP(A75,GamesTable[game_id],1,0)),"not found","found")</f>
        <v>found</v>
      </c>
      <c r="K75" t="str">
        <f>VLOOKUP(Table2[[#This Row],[game_id]],GamesTable[[game_id]:[game title]],2,0)</f>
        <v xml:space="preserve">Minasan no Okagesamadesu! Dai Sugoroku Taikai </v>
      </c>
      <c r="L75" t="str">
        <f>VLOOKUP(VLOOKUP(Table2[[#This Row],[game_id]],GamesTable[[game_id]:[IGDB id]],7,0),G:H,2,0)</f>
        <v>Minasan No Okagesamadesu!</v>
      </c>
      <c r="M75">
        <f>VLOOKUP(Table2[[#This Row],[game_id]],GamesTable[[game_id]:[IGDB id]],7,0)</f>
        <v>64013</v>
      </c>
    </row>
    <row r="76" spans="1:13" hidden="1" x14ac:dyDescent="0.25">
      <c r="A76" t="s">
        <v>7843</v>
      </c>
      <c r="B76">
        <f>COUNTIF(A:A,Table2[[#This Row],[game_id]])</f>
        <v>1</v>
      </c>
      <c r="C76" t="s">
        <v>3125</v>
      </c>
      <c r="D76">
        <v>1997</v>
      </c>
      <c r="F76" s="15">
        <v>0.8928571428571429</v>
      </c>
      <c r="G76">
        <v>37280</v>
      </c>
      <c r="H76" t="s">
        <v>8261</v>
      </c>
      <c r="I76" t="str">
        <f>IF(ISERROR(VLOOKUP(Table2[[#This Row],[IGDB_id]],GamesTable[IGDB id],1,0)),"NO","yes")</f>
        <v>yes</v>
      </c>
      <c r="J76" t="str">
        <f>IF(ISERROR(VLOOKUP(A76,GamesTable[game_id],1,0)),"not found","found")</f>
        <v>found</v>
      </c>
      <c r="K76" t="str">
        <f>VLOOKUP(Table2[[#This Row],[game_id]],GamesTable[[game_id]:[game title]],2,0)</f>
        <v>Money Puzzle Exchanger / Money Idol Exchanger</v>
      </c>
      <c r="L76" t="str">
        <f>VLOOKUP(VLOOKUP(Table2[[#This Row],[game_id]],GamesTable[[game_id]:[IGDB id]],7,0),G:H,2,0)</f>
        <v>Money Puzzle Exchanger</v>
      </c>
      <c r="M76">
        <f>VLOOKUP(Table2[[#This Row],[game_id]],GamesTable[[game_id]:[IGDB id]],7,0)</f>
        <v>37280</v>
      </c>
    </row>
    <row r="77" spans="1:13" hidden="1" x14ac:dyDescent="0.25">
      <c r="A77" t="s">
        <v>7847</v>
      </c>
      <c r="B77">
        <f>COUNTIF(A:A,Table2[[#This Row],[game_id]])</f>
        <v>1</v>
      </c>
      <c r="C77" t="s">
        <v>7983</v>
      </c>
      <c r="D77">
        <v>1992</v>
      </c>
      <c r="F77" s="15">
        <v>1</v>
      </c>
      <c r="G77">
        <v>39522</v>
      </c>
      <c r="H77" t="s">
        <v>8260</v>
      </c>
      <c r="I77" t="str">
        <f>IF(ISERROR(VLOOKUP(Table2[[#This Row],[IGDB_id]],GamesTable[IGDB id],1,0)),"NO","yes")</f>
        <v>yes</v>
      </c>
      <c r="J77" t="str">
        <f>IF(ISERROR(VLOOKUP(A77,GamesTable[game_id],1,0)),"not found","found")</f>
        <v>found</v>
      </c>
      <c r="K77" t="str">
        <f>VLOOKUP(Table2[[#This Row],[game_id]],GamesTable[[game_id]:[game title]],2,0)</f>
        <v xml:space="preserve">Mutation Nation </v>
      </c>
      <c r="L77" t="str">
        <f>VLOOKUP(VLOOKUP(Table2[[#This Row],[game_id]],GamesTable[[game_id]:[IGDB id]],7,0),G:H,2,0)</f>
        <v>Mutation Nation</v>
      </c>
      <c r="M77">
        <f>VLOOKUP(Table2[[#This Row],[game_id]],GamesTable[[game_id]:[IGDB id]],7,0)</f>
        <v>39522</v>
      </c>
    </row>
    <row r="78" spans="1:13" x14ac:dyDescent="0.25">
      <c r="A78" t="s">
        <v>7848</v>
      </c>
      <c r="B78">
        <f>COUNTIF(A:A,Table2[[#This Row],[game_id]])</f>
        <v>2</v>
      </c>
      <c r="C78" t="s">
        <v>7984</v>
      </c>
      <c r="D78">
        <v>1990</v>
      </c>
      <c r="F78" s="15">
        <v>1</v>
      </c>
      <c r="G78">
        <v>95471</v>
      </c>
      <c r="H78" t="s">
        <v>8019</v>
      </c>
      <c r="I78" s="3" t="str">
        <f>IF(ISERROR(VLOOKUP(Table2[[#This Row],[IGDB_id]],GamesTable[IGDB id],1,0)),"NO","yes")</f>
        <v>NO</v>
      </c>
      <c r="J78" t="str">
        <f>IF(ISERROR(VLOOKUP(A78,GamesTable[game_id],1,0)),"not found","found")</f>
        <v>found</v>
      </c>
      <c r="K78" t="str">
        <f>VLOOKUP(Table2[[#This Row],[game_id]],GamesTable[[game_id]:[game title]],2,0)</f>
        <v xml:space="preserve">NAM-1975 </v>
      </c>
      <c r="L78" t="str">
        <f>VLOOKUP(VLOOKUP(Table2[[#This Row],[game_id]],GamesTable[[game_id]:[IGDB id]],7,0),G:H,2,0)</f>
        <v>ACA NEOGEO NAM-1975</v>
      </c>
      <c r="M78">
        <f>VLOOKUP(Table2[[#This Row],[game_id]],GamesTable[[game_id]:[IGDB id]],7,0)</f>
        <v>28409</v>
      </c>
    </row>
    <row r="79" spans="1:13" hidden="1" x14ac:dyDescent="0.25">
      <c r="A79" t="s">
        <v>7851</v>
      </c>
      <c r="B79">
        <f>COUNTIF(A:A,Table2[[#This Row],[game_id]])</f>
        <v>1</v>
      </c>
      <c r="C79" t="s">
        <v>4215</v>
      </c>
      <c r="D79">
        <v>1997</v>
      </c>
      <c r="E79">
        <v>39463</v>
      </c>
      <c r="F79" s="15">
        <v>1</v>
      </c>
      <c r="G79">
        <v>39463</v>
      </c>
      <c r="H79" t="s">
        <v>8259</v>
      </c>
      <c r="I79" t="str">
        <f>IF(ISERROR(VLOOKUP(Table2[[#This Row],[IGDB_id]],GamesTable[IGDB id],1,0)),"NO","yes")</f>
        <v>yes</v>
      </c>
      <c r="J79" t="str">
        <f>IF(ISERROR(VLOOKUP(A79,GamesTable[game_id],1,0)),"not found","found")</f>
        <v>found</v>
      </c>
      <c r="K79" t="str">
        <f>VLOOKUP(Table2[[#This Row],[game_id]],GamesTable[[game_id]:[game title]],2,0)</f>
        <v>Neo Bomberman</v>
      </c>
      <c r="L79" t="str">
        <f>VLOOKUP(VLOOKUP(Table2[[#This Row],[game_id]],GamesTable[[game_id]:[IGDB id]],7,0),G:H,2,0)</f>
        <v>Neo Bomberman</v>
      </c>
      <c r="M79">
        <f>VLOOKUP(Table2[[#This Row],[game_id]],GamesTable[[game_id]:[IGDB id]],7,0)</f>
        <v>39463</v>
      </c>
    </row>
    <row r="80" spans="1:13" hidden="1" x14ac:dyDescent="0.25">
      <c r="A80" t="s">
        <v>7853</v>
      </c>
      <c r="B80">
        <f>COUNTIF(A:A,Table2[[#This Row],[game_id]])</f>
        <v>1</v>
      </c>
      <c r="C80" t="s">
        <v>3735</v>
      </c>
      <c r="D80">
        <v>1996</v>
      </c>
      <c r="F80" s="15">
        <v>1</v>
      </c>
      <c r="G80">
        <v>39600</v>
      </c>
      <c r="H80" t="s">
        <v>8258</v>
      </c>
      <c r="I80" t="str">
        <f>IF(ISERROR(VLOOKUP(Table2[[#This Row],[IGDB_id]],GamesTable[IGDB id],1,0)),"NO","yes")</f>
        <v>yes</v>
      </c>
      <c r="J80" t="str">
        <f>IF(ISERROR(VLOOKUP(A80,GamesTable[game_id],1,0)),"not found","found")</f>
        <v>found</v>
      </c>
      <c r="K80" t="str">
        <f>VLOOKUP(Table2[[#This Row],[game_id]],GamesTable[[game_id]:[game title]],2,0)</f>
        <v>Neo Drift Out - New Technology</v>
      </c>
      <c r="L80" t="str">
        <f>VLOOKUP(VLOOKUP(Table2[[#This Row],[game_id]],GamesTable[[game_id]:[IGDB id]],7,0),G:H,2,0)</f>
        <v>Neo Drift Out: New Technology</v>
      </c>
      <c r="M80">
        <f>VLOOKUP(Table2[[#This Row],[game_id]],GamesTable[[game_id]:[IGDB id]],7,0)</f>
        <v>39600</v>
      </c>
    </row>
    <row r="81" spans="1:13" hidden="1" x14ac:dyDescent="0.25">
      <c r="A81" t="s">
        <v>7852</v>
      </c>
      <c r="B81">
        <f>COUNTIF(A:A,Table2[[#This Row],[game_id]])</f>
        <v>1</v>
      </c>
      <c r="C81" t="s">
        <v>2584</v>
      </c>
      <c r="D81">
        <v>1998</v>
      </c>
      <c r="F81" s="15">
        <v>1</v>
      </c>
      <c r="G81">
        <v>39529</v>
      </c>
      <c r="H81" t="s">
        <v>8257</v>
      </c>
      <c r="I81" t="str">
        <f>IF(ISERROR(VLOOKUP(Table2[[#This Row],[IGDB_id]],GamesTable[IGDB id],1,0)),"NO","yes")</f>
        <v>yes</v>
      </c>
      <c r="J81" t="str">
        <f>IF(ISERROR(VLOOKUP(A81,GamesTable[game_id],1,0)),"not found","found")</f>
        <v>found</v>
      </c>
      <c r="K81" t="str">
        <f>VLOOKUP(Table2[[#This Row],[game_id]],GamesTable[[game_id]:[game title]],2,0)</f>
        <v>Neo-Geo Cup '98 - The Road to the Victory</v>
      </c>
      <c r="L81" t="str">
        <f>VLOOKUP(VLOOKUP(Table2[[#This Row],[game_id]],GamesTable[[game_id]:[IGDB id]],7,0),G:H,2,0)</f>
        <v>Neo Geo Cup '98: The Road to the Victory</v>
      </c>
      <c r="M81">
        <f>VLOOKUP(Table2[[#This Row],[game_id]],GamesTable[[game_id]:[IGDB id]],7,0)</f>
        <v>39529</v>
      </c>
    </row>
    <row r="82" spans="1:13" hidden="1" x14ac:dyDescent="0.25">
      <c r="A82" t="s">
        <v>7854</v>
      </c>
      <c r="B82">
        <f>COUNTIF(A:A,Table2[[#This Row],[game_id]])</f>
        <v>1</v>
      </c>
      <c r="C82" t="s">
        <v>3850</v>
      </c>
      <c r="D82">
        <v>1996</v>
      </c>
      <c r="E82">
        <v>39540</v>
      </c>
      <c r="F82" s="15">
        <v>1</v>
      </c>
      <c r="G82">
        <v>39540</v>
      </c>
      <c r="H82" t="s">
        <v>8256</v>
      </c>
      <c r="I82" t="str">
        <f>IF(ISERROR(VLOOKUP(Table2[[#This Row],[IGDB_id]],GamesTable[IGDB id],1,0)),"NO","yes")</f>
        <v>yes</v>
      </c>
      <c r="J82" t="str">
        <f>IF(ISERROR(VLOOKUP(A82,GamesTable[game_id],1,0)),"not found","found")</f>
        <v>found</v>
      </c>
      <c r="K82" t="str">
        <f>VLOOKUP(Table2[[#This Row],[game_id]],GamesTable[[game_id]:[game title]],2,0)</f>
        <v>Neo Mr. Do!</v>
      </c>
      <c r="L82" t="str">
        <f>VLOOKUP(VLOOKUP(Table2[[#This Row],[game_id]],GamesTable[[game_id]:[IGDB id]],7,0),G:H,2,0)</f>
        <v>Neo Mr. Do!</v>
      </c>
      <c r="M82">
        <f>VLOOKUP(Table2[[#This Row],[game_id]],GamesTable[[game_id]:[IGDB id]],7,0)</f>
        <v>39540</v>
      </c>
    </row>
    <row r="83" spans="1:13" hidden="1" x14ac:dyDescent="0.25">
      <c r="A83" t="s">
        <v>7901</v>
      </c>
      <c r="B83">
        <f>COUNTIF(A:A,Table2[[#This Row],[game_id]])</f>
        <v>1</v>
      </c>
      <c r="C83" t="s">
        <v>3982</v>
      </c>
      <c r="D83">
        <v>1996</v>
      </c>
      <c r="F83" s="15">
        <v>0.89629629629629637</v>
      </c>
      <c r="G83">
        <v>20323</v>
      </c>
      <c r="H83" t="s">
        <v>8254</v>
      </c>
      <c r="I83" t="str">
        <f>IF(ISERROR(VLOOKUP(Table2[[#This Row],[IGDB_id]],GamesTable[IGDB id],1,0)),"NO","yes")</f>
        <v>yes</v>
      </c>
      <c r="J83" t="str">
        <f>IF(ISERROR(VLOOKUP(A83,GamesTable[game_id],1,0)),"not found","found")</f>
        <v>found</v>
      </c>
      <c r="K83" t="str">
        <f>VLOOKUP(Table2[[#This Row],[game_id]],GamesTable[[game_id]:[game title]],2,0)</f>
        <v>Neo Turf Masters</v>
      </c>
      <c r="L83" t="str">
        <f>VLOOKUP(VLOOKUP(Table2[[#This Row],[game_id]],GamesTable[[game_id]:[IGDB id]],7,0),G:H,2,0)</f>
        <v>Neo Turf Masters</v>
      </c>
      <c r="M83">
        <f>VLOOKUP(Table2[[#This Row],[game_id]],GamesTable[[game_id]:[IGDB id]],7,0)</f>
        <v>20323</v>
      </c>
    </row>
    <row r="84" spans="1:13" hidden="1" x14ac:dyDescent="0.25">
      <c r="A84" t="s">
        <v>7856</v>
      </c>
      <c r="B84">
        <f>COUNTIF(A:A,Table2[[#This Row],[game_id]])</f>
        <v>1</v>
      </c>
      <c r="C84" t="s">
        <v>1837</v>
      </c>
      <c r="D84">
        <v>2000</v>
      </c>
      <c r="E84">
        <v>40992</v>
      </c>
      <c r="F84" s="15">
        <v>1</v>
      </c>
      <c r="G84">
        <v>40992</v>
      </c>
      <c r="H84" t="s">
        <v>8252</v>
      </c>
      <c r="I84" t="str">
        <f>IF(ISERROR(VLOOKUP(Table2[[#This Row],[IGDB_id]],GamesTable[IGDB id],1,0)),"NO","yes")</f>
        <v>yes</v>
      </c>
      <c r="J84" t="str">
        <f>IF(ISERROR(VLOOKUP(A84,GamesTable[game_id],1,0)),"not found","found")</f>
        <v>found</v>
      </c>
      <c r="K84" t="str">
        <f>VLOOKUP(Table2[[#This Row],[game_id]],GamesTable[[game_id]:[game title]],2,0)</f>
        <v>Nightmare in the Dark</v>
      </c>
      <c r="L84" t="str">
        <f>VLOOKUP(VLOOKUP(Table2[[#This Row],[game_id]],GamesTable[[game_id]:[IGDB id]],7,0),G:H,2,0)</f>
        <v>Nightmare in the dark</v>
      </c>
      <c r="M84">
        <f>VLOOKUP(Table2[[#This Row],[game_id]],GamesTable[[game_id]:[IGDB id]],7,0)</f>
        <v>40992</v>
      </c>
    </row>
    <row r="85" spans="1:13" hidden="1" x14ac:dyDescent="0.25">
      <c r="A85" t="s">
        <v>7849</v>
      </c>
      <c r="B85">
        <f>COUNTIF(A:A,Table2[[#This Row],[game_id]])</f>
        <v>1</v>
      </c>
      <c r="C85" t="s">
        <v>7985</v>
      </c>
      <c r="D85">
        <v>1990</v>
      </c>
      <c r="F85" s="15">
        <v>1</v>
      </c>
      <c r="G85">
        <v>39889</v>
      </c>
      <c r="H85" t="s">
        <v>8251</v>
      </c>
      <c r="I85" t="str">
        <f>IF(ISERROR(VLOOKUP(Table2[[#This Row],[IGDB_id]],GamesTable[IGDB id],1,0)),"NO","yes")</f>
        <v>yes</v>
      </c>
      <c r="J85" t="str">
        <f>IF(ISERROR(VLOOKUP(A85,GamesTable[game_id],1,0)),"not found","found")</f>
        <v>found</v>
      </c>
      <c r="K85" t="str">
        <f>VLOOKUP(Table2[[#This Row],[game_id]],GamesTable[[game_id]:[game title]],2,0)</f>
        <v xml:space="preserve">Ninja Combat </v>
      </c>
      <c r="L85" t="str">
        <f>VLOOKUP(VLOOKUP(Table2[[#This Row],[game_id]],GamesTable[[game_id]:[IGDB id]],7,0),G:H,2,0)</f>
        <v>Ninja Combat</v>
      </c>
      <c r="M85">
        <f>VLOOKUP(Table2[[#This Row],[game_id]],GamesTable[[game_id]:[IGDB id]],7,0)</f>
        <v>39889</v>
      </c>
    </row>
    <row r="86" spans="1:13" hidden="1" x14ac:dyDescent="0.25">
      <c r="A86" t="s">
        <v>7850</v>
      </c>
      <c r="B86">
        <f>COUNTIF(A:A,Table2[[#This Row],[game_id]])</f>
        <v>1</v>
      </c>
      <c r="C86" t="s">
        <v>5789</v>
      </c>
      <c r="D86">
        <v>1992</v>
      </c>
      <c r="F86" s="15">
        <v>1</v>
      </c>
      <c r="G86">
        <v>39951</v>
      </c>
      <c r="H86" t="s">
        <v>8250</v>
      </c>
      <c r="I86" t="str">
        <f>IF(ISERROR(VLOOKUP(Table2[[#This Row],[IGDB_id]],GamesTable[IGDB id],1,0)),"NO","yes")</f>
        <v>yes</v>
      </c>
      <c r="J86" t="str">
        <f>IF(ISERROR(VLOOKUP(A86,GamesTable[game_id],1,0)),"not found","found")</f>
        <v>found</v>
      </c>
      <c r="K86" t="str">
        <f>VLOOKUP(Table2[[#This Row],[game_id]],GamesTable[[game_id]:[game title]],2,0)</f>
        <v>Ninja Commando</v>
      </c>
      <c r="L86" t="str">
        <f>VLOOKUP(VLOOKUP(Table2[[#This Row],[game_id]],GamesTable[[game_id]:[IGDB id]],7,0),G:H,2,0)</f>
        <v>Ninja Commando</v>
      </c>
      <c r="M86">
        <f>VLOOKUP(Table2[[#This Row],[game_id]],GamesTable[[game_id]:[IGDB id]],7,0)</f>
        <v>39951</v>
      </c>
    </row>
    <row r="87" spans="1:13" hidden="1" x14ac:dyDescent="0.25">
      <c r="A87" t="s">
        <v>7855</v>
      </c>
      <c r="B87">
        <f>COUNTIF(A:A,Table2[[#This Row],[game_id]])</f>
        <v>1</v>
      </c>
      <c r="C87" t="s">
        <v>3562</v>
      </c>
      <c r="D87">
        <v>1996</v>
      </c>
      <c r="F87" s="15">
        <v>0.75441793385289657</v>
      </c>
      <c r="G87">
        <v>39458</v>
      </c>
      <c r="H87" t="s">
        <v>8249</v>
      </c>
      <c r="I87" t="str">
        <f>IF(ISERROR(VLOOKUP(Table2[[#This Row],[IGDB_id]],GamesTable[IGDB id],1,0)),"NO","yes")</f>
        <v>yes</v>
      </c>
      <c r="J87" t="str">
        <f>IF(ISERROR(VLOOKUP(A87,GamesTable[game_id],1,0)),"not found","found")</f>
        <v>found</v>
      </c>
      <c r="K87" t="str">
        <f>VLOOKUP(Table2[[#This Row],[game_id]],GamesTable[[game_id]:[game title]],2,0)</f>
        <v>Ninja Master's</v>
      </c>
      <c r="L87" t="str">
        <f>VLOOKUP(VLOOKUP(Table2[[#This Row],[game_id]],GamesTable[[game_id]:[IGDB id]],7,0),G:H,2,0)</f>
        <v>Ninja Master's: Haou Ninpou-ko</v>
      </c>
      <c r="M87">
        <f>VLOOKUP(Table2[[#This Row],[game_id]],GamesTable[[game_id]:[IGDB id]],7,0)</f>
        <v>39458</v>
      </c>
    </row>
    <row r="88" spans="1:13" hidden="1" x14ac:dyDescent="0.25">
      <c r="A88" t="s">
        <v>7857</v>
      </c>
      <c r="B88">
        <f>COUNTIF(A:A,Table2[[#This Row],[game_id]])</f>
        <v>1</v>
      </c>
      <c r="C88" t="s">
        <v>3771</v>
      </c>
      <c r="D88">
        <v>1996</v>
      </c>
      <c r="F88" s="15">
        <v>1</v>
      </c>
      <c r="G88">
        <v>64011</v>
      </c>
      <c r="H88" t="s">
        <v>8248</v>
      </c>
      <c r="I88" t="str">
        <f>IF(ISERROR(VLOOKUP(Table2[[#This Row],[IGDB_id]],GamesTable[IGDB id],1,0)),"NO","yes")</f>
        <v>yes</v>
      </c>
      <c r="J88" t="str">
        <f>IF(ISERROR(VLOOKUP(A88,GamesTable[game_id],1,0)),"not found","found")</f>
        <v>found</v>
      </c>
      <c r="K88" t="str">
        <f>VLOOKUP(Table2[[#This Row],[game_id]],GamesTable[[game_id]:[game title]],2,0)</f>
        <v>Over Top</v>
      </c>
      <c r="L88" t="str">
        <f>VLOOKUP(VLOOKUP(Table2[[#This Row],[game_id]],GamesTable[[game_id]:[IGDB id]],7,0),G:H,2,0)</f>
        <v>Over Top</v>
      </c>
      <c r="M88">
        <f>VLOOKUP(Table2[[#This Row],[game_id]],GamesTable[[game_id]:[IGDB id]],7,0)</f>
        <v>64011</v>
      </c>
    </row>
    <row r="89" spans="1:13" x14ac:dyDescent="0.25">
      <c r="A89" t="s">
        <v>7861</v>
      </c>
      <c r="B89">
        <f>COUNTIF(A:A,Table2[[#This Row],[game_id]])</f>
        <v>2</v>
      </c>
      <c r="C89" t="s">
        <v>7988</v>
      </c>
      <c r="D89">
        <v>1996</v>
      </c>
      <c r="E89">
        <v>39950</v>
      </c>
      <c r="F89" s="15">
        <v>0.85205719884962761</v>
      </c>
      <c r="G89">
        <v>39950</v>
      </c>
      <c r="H89" t="s">
        <v>8247</v>
      </c>
      <c r="I89" s="3" t="str">
        <f>IF(ISERROR(VLOOKUP(Table2[[#This Row],[IGDB_id]],GamesTable[IGDB id],1,0)),"NO","yes")</f>
        <v>NO</v>
      </c>
      <c r="J89" t="str">
        <f>IF(ISERROR(VLOOKUP(A89,GamesTable[game_id],1,0)),"not found","found")</f>
        <v>found</v>
      </c>
      <c r="K89" t="str">
        <f>VLOOKUP(Table2[[#This Row],[game_id]],GamesTable[[game_id]:[game title]],2,0)</f>
        <v xml:space="preserve">Pleasure Goal / Futsal - 5 on 5 Mini Soccer </v>
      </c>
      <c r="L89" t="str">
        <f>VLOOKUP(VLOOKUP(Table2[[#This Row],[game_id]],GamesTable[[game_id]:[IGDB id]],7,0),G:H,2,0)</f>
        <v>Futsal: 5 on 5 Mini Soccer</v>
      </c>
      <c r="M89">
        <f>VLOOKUP(Table2[[#This Row],[game_id]],GamesTable[[game_id]:[IGDB id]],7,0)</f>
        <v>75464</v>
      </c>
    </row>
    <row r="90" spans="1:13" hidden="1" x14ac:dyDescent="0.25">
      <c r="A90" t="s">
        <v>7862</v>
      </c>
      <c r="B90">
        <f>COUNTIF(A:A,Table2[[#This Row],[game_id]])</f>
        <v>1</v>
      </c>
      <c r="C90" t="s">
        <v>7989</v>
      </c>
      <c r="D90">
        <v>2003</v>
      </c>
      <c r="F90" s="15">
        <v>0.93333333333333335</v>
      </c>
      <c r="G90">
        <v>40188</v>
      </c>
      <c r="H90" t="s">
        <v>8246</v>
      </c>
      <c r="I90" t="str">
        <f>IF(ISERROR(VLOOKUP(Table2[[#This Row],[IGDB_id]],GamesTable[IGDB id],1,0)),"NO","yes")</f>
        <v>yes</v>
      </c>
      <c r="J90" t="str">
        <f>IF(ISERROR(VLOOKUP(A90,GamesTable[game_id],1,0)),"not found","found")</f>
        <v>found</v>
      </c>
      <c r="K90" t="str">
        <f>VLOOKUP(Table2[[#This Row],[game_id]],GamesTable[[game_id]:[game title]],2,0)</f>
        <v xml:space="preserve">Pochi and Nyaa </v>
      </c>
      <c r="L90" t="str">
        <f>VLOOKUP(VLOOKUP(Table2[[#This Row],[game_id]],GamesTable[[game_id]:[IGDB id]],7,0),G:H,2,0)</f>
        <v>Pochi &amp; Nyaa</v>
      </c>
      <c r="M90">
        <f>VLOOKUP(Table2[[#This Row],[game_id]],GamesTable[[game_id]:[IGDB id]],7,0)</f>
        <v>40188</v>
      </c>
    </row>
    <row r="91" spans="1:13" hidden="1" x14ac:dyDescent="0.25">
      <c r="A91" t="s">
        <v>7865</v>
      </c>
      <c r="B91">
        <f>COUNTIF(A:A,Table2[[#This Row],[game_id]])</f>
        <v>1</v>
      </c>
      <c r="C91" t="s">
        <v>7990</v>
      </c>
      <c r="D91">
        <v>1994</v>
      </c>
      <c r="F91" s="15">
        <v>1</v>
      </c>
      <c r="G91">
        <v>39979</v>
      </c>
      <c r="H91" t="s">
        <v>8244</v>
      </c>
      <c r="I91" t="str">
        <f>IF(ISERROR(VLOOKUP(Table2[[#This Row],[IGDB_id]],GamesTable[IGDB id],1,0)),"NO","yes")</f>
        <v>yes</v>
      </c>
      <c r="J91" t="str">
        <f>IF(ISERROR(VLOOKUP(A91,GamesTable[game_id],1,0)),"not found","found")</f>
        <v>found</v>
      </c>
      <c r="K91" t="str">
        <f>VLOOKUP(Table2[[#This Row],[game_id]],GamesTable[[game_id]:[game title]],2,0)</f>
        <v xml:space="preserve">Power Spikes II </v>
      </c>
      <c r="L91" t="str">
        <f>VLOOKUP(VLOOKUP(Table2[[#This Row],[game_id]],GamesTable[[game_id]:[IGDB id]],7,0),G:H,2,0)</f>
        <v>Power Spikes II</v>
      </c>
      <c r="M91">
        <f>VLOOKUP(Table2[[#This Row],[game_id]],GamesTable[[game_id]:[IGDB id]],7,0)</f>
        <v>39979</v>
      </c>
    </row>
    <row r="92" spans="1:13" hidden="1" x14ac:dyDescent="0.25">
      <c r="A92" t="s">
        <v>7864</v>
      </c>
      <c r="B92">
        <f>COUNTIF(A:A,Table2[[#This Row],[game_id]])</f>
        <v>1</v>
      </c>
      <c r="C92" t="s">
        <v>2002</v>
      </c>
      <c r="D92">
        <v>1999</v>
      </c>
      <c r="F92" s="15">
        <v>1</v>
      </c>
      <c r="G92">
        <v>39280</v>
      </c>
      <c r="H92" t="s">
        <v>8243</v>
      </c>
      <c r="I92" t="str">
        <f>IF(ISERROR(VLOOKUP(Table2[[#This Row],[IGDB_id]],GamesTable[IGDB id],1,0)),"NO","yes")</f>
        <v>yes</v>
      </c>
      <c r="J92" t="str">
        <f>IF(ISERROR(VLOOKUP(A92,GamesTable[game_id],1,0)),"not found","found")</f>
        <v>found</v>
      </c>
      <c r="K92" t="str">
        <f>VLOOKUP(Table2[[#This Row],[game_id]],GamesTable[[game_id]:[game title]],2,0)</f>
        <v>Prehistoric Isle 2</v>
      </c>
      <c r="L92" t="str">
        <f>VLOOKUP(VLOOKUP(Table2[[#This Row],[game_id]],GamesTable[[game_id]:[IGDB id]],7,0),G:H,2,0)</f>
        <v>Prehistoric Isle 2</v>
      </c>
      <c r="M92">
        <f>VLOOKUP(Table2[[#This Row],[game_id]],GamesTable[[game_id]:[IGDB id]],7,0)</f>
        <v>39280</v>
      </c>
    </row>
    <row r="93" spans="1:13" hidden="1" x14ac:dyDescent="0.25">
      <c r="A93" t="s">
        <v>7866</v>
      </c>
      <c r="B93">
        <f>COUNTIF(A:A,Table2[[#This Row],[game_id]])</f>
        <v>1</v>
      </c>
      <c r="C93" t="s">
        <v>4348</v>
      </c>
      <c r="D93">
        <v>1995</v>
      </c>
      <c r="F93" s="15">
        <v>1</v>
      </c>
      <c r="G93">
        <v>7255</v>
      </c>
      <c r="H93" t="s">
        <v>4348</v>
      </c>
      <c r="I93" t="str">
        <f>IF(ISERROR(VLOOKUP(Table2[[#This Row],[IGDB_id]],GamesTable[IGDB id],1,0)),"NO","yes")</f>
        <v>yes</v>
      </c>
      <c r="J93" t="str">
        <f>IF(ISERROR(VLOOKUP(A93,GamesTable[game_id],1,0)),"not found","found")</f>
        <v>found</v>
      </c>
      <c r="K93" t="str">
        <f>VLOOKUP(Table2[[#This Row],[game_id]],GamesTable[[game_id]:[game title]],2,0)</f>
        <v>Pulstar</v>
      </c>
      <c r="L93" t="str">
        <f>VLOOKUP(VLOOKUP(Table2[[#This Row],[game_id]],GamesTable[[game_id]:[IGDB id]],7,0),G:H,2,0)</f>
        <v>Pulstar</v>
      </c>
      <c r="M93">
        <f>VLOOKUP(Table2[[#This Row],[game_id]],GamesTable[[game_id]:[IGDB id]],7,0)</f>
        <v>7255</v>
      </c>
    </row>
    <row r="94" spans="1:13" hidden="1" x14ac:dyDescent="0.25">
      <c r="A94" t="s">
        <v>7868</v>
      </c>
      <c r="B94">
        <f>COUNTIF(A:A,Table2[[#This Row],[game_id]])</f>
        <v>1</v>
      </c>
      <c r="C94" t="s">
        <v>3918</v>
      </c>
      <c r="D94">
        <v>1995</v>
      </c>
      <c r="E94">
        <v>39983</v>
      </c>
      <c r="F94" s="15">
        <v>1</v>
      </c>
      <c r="G94">
        <v>39983</v>
      </c>
      <c r="H94" t="s">
        <v>8242</v>
      </c>
      <c r="I94" t="str">
        <f>IF(ISERROR(VLOOKUP(Table2[[#This Row],[IGDB_id]],GamesTable[IGDB id],1,0)),"NO","yes")</f>
        <v>yes</v>
      </c>
      <c r="J94" t="str">
        <f>IF(ISERROR(VLOOKUP(A94,GamesTable[game_id],1,0)),"not found","found")</f>
        <v>found</v>
      </c>
      <c r="K94" t="str">
        <f>VLOOKUP(Table2[[#This Row],[game_id]],GamesTable[[game_id]:[game title]],2,0)</f>
        <v>Puzzle De Pon!</v>
      </c>
      <c r="L94" t="str">
        <f>VLOOKUP(VLOOKUP(Table2[[#This Row],[game_id]],GamesTable[[game_id]:[IGDB id]],7,0),G:H,2,0)</f>
        <v>Puzzle De Pon!</v>
      </c>
      <c r="M94">
        <f>VLOOKUP(Table2[[#This Row],[game_id]],GamesTable[[game_id]:[IGDB id]],7,0)</f>
        <v>39983</v>
      </c>
    </row>
    <row r="95" spans="1:13" hidden="1" x14ac:dyDescent="0.25">
      <c r="A95" t="s">
        <v>7867</v>
      </c>
      <c r="B95">
        <f>COUNTIF(A:A,Table2[[#This Row],[game_id]])</f>
        <v>1</v>
      </c>
      <c r="C95" t="s">
        <v>2981</v>
      </c>
      <c r="D95">
        <v>1997</v>
      </c>
      <c r="E95">
        <v>47579</v>
      </c>
      <c r="F95" s="15">
        <v>1</v>
      </c>
      <c r="G95">
        <v>47579</v>
      </c>
      <c r="H95" t="s">
        <v>8241</v>
      </c>
      <c r="I95" t="str">
        <f>IF(ISERROR(VLOOKUP(Table2[[#This Row],[IGDB_id]],GamesTable[IGDB id],1,0)),"NO","yes")</f>
        <v>yes</v>
      </c>
      <c r="J95" t="str">
        <f>IF(ISERROR(VLOOKUP(A95,GamesTable[game_id],1,0)),"not found","found")</f>
        <v>found</v>
      </c>
      <c r="K95" t="str">
        <f>VLOOKUP(Table2[[#This Row],[game_id]],GamesTable[[game_id]:[game title]],2,0)</f>
        <v>Puzzle De Pon! R!</v>
      </c>
      <c r="L95" t="str">
        <f>VLOOKUP(VLOOKUP(Table2[[#This Row],[game_id]],GamesTable[[game_id]:[IGDB id]],7,0),G:H,2,0)</f>
        <v>Puzzle de Pon! R</v>
      </c>
      <c r="M95">
        <f>VLOOKUP(Table2[[#This Row],[game_id]],GamesTable[[game_id]:[IGDB id]],7,0)</f>
        <v>47579</v>
      </c>
    </row>
    <row r="96" spans="1:13" x14ac:dyDescent="0.25">
      <c r="A96" t="s">
        <v>7817</v>
      </c>
      <c r="B96">
        <f>COUNTIF(A:A,Table2[[#This Row],[game_id]])</f>
        <v>2</v>
      </c>
      <c r="C96" t="s">
        <v>7961</v>
      </c>
      <c r="D96">
        <v>1990</v>
      </c>
      <c r="F96" s="15">
        <v>0.85000000000000009</v>
      </c>
      <c r="G96">
        <v>39962</v>
      </c>
      <c r="H96" t="s">
        <v>8240</v>
      </c>
      <c r="I96" s="3" t="str">
        <f>IF(ISERROR(VLOOKUP(Table2[[#This Row],[IGDB_id]],GamesTable[IGDB id],1,0)),"NO","yes")</f>
        <v>NO</v>
      </c>
      <c r="J96" t="str">
        <f>IF(ISERROR(VLOOKUP(A96,GamesTable[game_id],1,0)),"not found","found")</f>
        <v>found</v>
      </c>
      <c r="K96" t="str">
        <f>VLOOKUP(Table2[[#This Row],[game_id]],GamesTable[[game_id]:[game title]],2,0)</f>
        <v xml:space="preserve">Puzzled / Joy Joy Kid </v>
      </c>
      <c r="L96" t="str">
        <f>VLOOKUP(VLOOKUP(Table2[[#This Row],[game_id]],GamesTable[[game_id]:[IGDB id]],7,0),G:H,2,0)</f>
        <v>Joy Joy kid</v>
      </c>
      <c r="M96">
        <f>VLOOKUP(Table2[[#This Row],[game_id]],GamesTable[[game_id]:[IGDB id]],7,0)</f>
        <v>40970</v>
      </c>
    </row>
    <row r="97" spans="1:13" hidden="1" x14ac:dyDescent="0.25">
      <c r="A97" t="s">
        <v>7870</v>
      </c>
      <c r="B97">
        <f>COUNTIF(A:A,Table2[[#This Row],[game_id]])</f>
        <v>2</v>
      </c>
      <c r="C97" t="s">
        <v>7992</v>
      </c>
      <c r="D97">
        <v>1991</v>
      </c>
      <c r="E97" t="s">
        <v>8165</v>
      </c>
      <c r="F97" s="15">
        <v>0.89230769230769236</v>
      </c>
      <c r="G97">
        <v>64010</v>
      </c>
      <c r="H97" t="s">
        <v>8239</v>
      </c>
      <c r="I97" s="3" t="str">
        <f>IF(ISERROR(VLOOKUP(Table2[[#This Row],[IGDB_id]],GamesTable[IGDB id],1,0)),"NO","yes")</f>
        <v>yes</v>
      </c>
      <c r="J97" t="str">
        <f>IF(ISERROR(VLOOKUP(A97,GamesTable[game_id],1,0)),"not found","found")</f>
        <v>found</v>
      </c>
      <c r="K97" t="str">
        <f>VLOOKUP(Table2[[#This Row],[game_id]],GamesTable[[game_id]:[game title]],2,0)</f>
        <v xml:space="preserve">Quiz Daisousa Sen - The Last Count Down </v>
      </c>
      <c r="L97" t="str">
        <f>VLOOKUP(VLOOKUP(Table2[[#This Row],[game_id]],GamesTable[[game_id]:[IGDB id]],7,0),G:H,2,0)</f>
        <v>Quiz Daisousa Sen</v>
      </c>
      <c r="M97">
        <f>VLOOKUP(Table2[[#This Row],[game_id]],GamesTable[[game_id]:[IGDB id]],7,0)</f>
        <v>64010</v>
      </c>
    </row>
    <row r="98" spans="1:13" x14ac:dyDescent="0.25">
      <c r="A98" t="s">
        <v>7870</v>
      </c>
      <c r="B98">
        <f>COUNTIF(A:A,Table2[[#This Row],[game_id]])</f>
        <v>2</v>
      </c>
      <c r="C98" t="s">
        <v>7992</v>
      </c>
      <c r="D98">
        <v>1991</v>
      </c>
      <c r="E98" t="s">
        <v>8165</v>
      </c>
      <c r="F98" s="15">
        <v>1</v>
      </c>
      <c r="G98">
        <v>75510</v>
      </c>
      <c r="H98" t="s">
        <v>8238</v>
      </c>
      <c r="I98" s="3" t="str">
        <f>IF(ISERROR(VLOOKUP(Table2[[#This Row],[IGDB_id]],GamesTable[IGDB id],1,0)),"NO","yes")</f>
        <v>NO</v>
      </c>
      <c r="J98" t="str">
        <f>IF(ISERROR(VLOOKUP(A98,GamesTable[game_id],1,0)),"not found","found")</f>
        <v>found</v>
      </c>
      <c r="K98" t="str">
        <f>VLOOKUP(Table2[[#This Row],[game_id]],GamesTable[[game_id]:[game title]],2,0)</f>
        <v xml:space="preserve">Quiz Daisousa Sen - The Last Count Down </v>
      </c>
      <c r="L98" t="str">
        <f>VLOOKUP(VLOOKUP(Table2[[#This Row],[game_id]],GamesTable[[game_id]:[IGDB id]],7,0),G:H,2,0)</f>
        <v>Quiz Daisousa Sen</v>
      </c>
      <c r="M98">
        <f>VLOOKUP(Table2[[#This Row],[game_id]],GamesTable[[game_id]:[IGDB id]],7,0)</f>
        <v>64010</v>
      </c>
    </row>
    <row r="99" spans="1:13" hidden="1" x14ac:dyDescent="0.25">
      <c r="A99" t="s">
        <v>7871</v>
      </c>
      <c r="B99">
        <f>COUNTIF(A:A,Table2[[#This Row],[game_id]])</f>
        <v>1</v>
      </c>
      <c r="C99" t="s">
        <v>7993</v>
      </c>
      <c r="D99">
        <v>1995</v>
      </c>
      <c r="F99" s="15">
        <v>1</v>
      </c>
      <c r="G99">
        <v>51692</v>
      </c>
      <c r="H99" t="s">
        <v>8237</v>
      </c>
      <c r="I99" t="str">
        <f>IF(ISERROR(VLOOKUP(Table2[[#This Row],[IGDB_id]],GamesTable[IGDB id],1,0)),"NO","yes")</f>
        <v>yes</v>
      </c>
      <c r="J99" t="str">
        <f>IF(ISERROR(VLOOKUP(A99,GamesTable[game_id],1,0)),"not found","found")</f>
        <v>found</v>
      </c>
      <c r="K99" t="str">
        <f>VLOOKUP(Table2[[#This Row],[game_id]],GamesTable[[game_id]:[game title]],2,0)</f>
        <v xml:space="preserve">Quiz King of Fighters </v>
      </c>
      <c r="L99" t="str">
        <f>VLOOKUP(VLOOKUP(Table2[[#This Row],[game_id]],GamesTable[[game_id]:[IGDB id]],7,0),G:H,2,0)</f>
        <v>Quiz King of Fighters</v>
      </c>
      <c r="M99">
        <f>VLOOKUP(Table2[[#This Row],[game_id]],GamesTable[[game_id]:[IGDB id]],7,0)</f>
        <v>51692</v>
      </c>
    </row>
    <row r="100" spans="1:13" hidden="1" x14ac:dyDescent="0.25">
      <c r="A100" t="s">
        <v>7869</v>
      </c>
      <c r="B100">
        <f>COUNTIF(A:A,Table2[[#This Row],[game_id]])</f>
        <v>2</v>
      </c>
      <c r="C100" t="s">
        <v>7991</v>
      </c>
      <c r="D100">
        <v>1992</v>
      </c>
      <c r="E100" t="s">
        <v>8164</v>
      </c>
      <c r="F100" s="15">
        <v>0.89142857142857146</v>
      </c>
      <c r="G100">
        <v>64009</v>
      </c>
      <c r="H100" t="s">
        <v>8236</v>
      </c>
      <c r="I100" s="3" t="str">
        <f>IF(ISERROR(VLOOKUP(Table2[[#This Row],[IGDB_id]],GamesTable[IGDB id],1,0)),"NO","yes")</f>
        <v>yes</v>
      </c>
      <c r="J100" t="str">
        <f>IF(ISERROR(VLOOKUP(A100,GamesTable[game_id],1,0)),"not found","found")</f>
        <v>found</v>
      </c>
      <c r="K100" t="str">
        <f>VLOOKUP(Table2[[#This Row],[game_id]],GamesTable[[game_id]:[game title]],2,0)</f>
        <v xml:space="preserve">Quiz Meitantei Neo &amp; Geo - Quiz Daisousa Sen Part 2 </v>
      </c>
      <c r="L100" t="str">
        <f>VLOOKUP(VLOOKUP(Table2[[#This Row],[game_id]],GamesTable[[game_id]:[IGDB id]],7,0),G:H,2,0)</f>
        <v>Quiz Meitantei Neo &amp; Geo</v>
      </c>
      <c r="M100">
        <f>VLOOKUP(Table2[[#This Row],[game_id]],GamesTable[[game_id]:[IGDB id]],7,0)</f>
        <v>64009</v>
      </c>
    </row>
    <row r="101" spans="1:13" x14ac:dyDescent="0.25">
      <c r="A101" t="s">
        <v>7869</v>
      </c>
      <c r="B101">
        <f>COUNTIF(A:A,Table2[[#This Row],[game_id]])</f>
        <v>2</v>
      </c>
      <c r="C101" t="s">
        <v>7991</v>
      </c>
      <c r="D101">
        <v>1992</v>
      </c>
      <c r="E101" t="s">
        <v>8164</v>
      </c>
      <c r="F101" s="15">
        <v>0.99533437013996895</v>
      </c>
      <c r="G101">
        <v>75511</v>
      </c>
      <c r="H101" t="s">
        <v>8235</v>
      </c>
      <c r="I101" s="3" t="str">
        <f>IF(ISERROR(VLOOKUP(Table2[[#This Row],[IGDB_id]],GamesTable[IGDB id],1,0)),"NO","yes")</f>
        <v>NO</v>
      </c>
      <c r="J101" t="str">
        <f>IF(ISERROR(VLOOKUP(A101,GamesTable[game_id],1,0)),"not found","found")</f>
        <v>found</v>
      </c>
      <c r="K101" t="str">
        <f>VLOOKUP(Table2[[#This Row],[game_id]],GamesTable[[game_id]:[game title]],2,0)</f>
        <v xml:space="preserve">Quiz Meitantei Neo &amp; Geo - Quiz Daisousa Sen Part 2 </v>
      </c>
      <c r="L101" t="str">
        <f>VLOOKUP(VLOOKUP(Table2[[#This Row],[game_id]],GamesTable[[game_id]:[IGDB id]],7,0),G:H,2,0)</f>
        <v>Quiz Meitantei Neo &amp; Geo</v>
      </c>
      <c r="M101">
        <f>VLOOKUP(Table2[[#This Row],[game_id]],GamesTable[[game_id]:[IGDB id]],7,0)</f>
        <v>64009</v>
      </c>
    </row>
    <row r="102" spans="1:13" hidden="1" x14ac:dyDescent="0.25">
      <c r="A102" t="s">
        <v>8161</v>
      </c>
      <c r="B102">
        <f>COUNTIF(A:A,Table2[[#This Row],[game_id]])</f>
        <v>1</v>
      </c>
      <c r="C102" t="s">
        <v>8162</v>
      </c>
      <c r="D102">
        <v>2014</v>
      </c>
      <c r="E102">
        <v>75512</v>
      </c>
      <c r="F102" s="15">
        <v>0.8752211966138983</v>
      </c>
      <c r="G102">
        <v>75512</v>
      </c>
      <c r="H102" t="s">
        <v>8234</v>
      </c>
      <c r="I102" t="str">
        <f>IF(ISERROR(VLOOKUP(Table2[[#This Row],[IGDB_id]],GamesTable[IGDB id],1,0)),"NO","yes")</f>
        <v>yes</v>
      </c>
      <c r="J102" t="str">
        <f>IF(ISERROR(VLOOKUP(A102,GamesTable[game_id],1,0)),"not found","found")</f>
        <v>found</v>
      </c>
      <c r="K102" t="str">
        <f>VLOOKUP(Table2[[#This Row],[game_id]],GamesTable[[game_id]:[game title]],2,0)</f>
        <v>Razion Ex</v>
      </c>
      <c r="L102" t="str">
        <f>VLOOKUP(VLOOKUP(Table2[[#This Row],[game_id]],GamesTable[[game_id]:[IGDB id]],7,0),G:H,2,0)</f>
        <v>R.A.Z.I.O.N</v>
      </c>
      <c r="M102">
        <f>VLOOKUP(Table2[[#This Row],[game_id]],GamesTable[[game_id]:[IGDB id]],7,0)</f>
        <v>75512</v>
      </c>
    </row>
    <row r="103" spans="1:13" hidden="1" x14ac:dyDescent="0.25">
      <c r="A103" t="s">
        <v>7878</v>
      </c>
      <c r="B103">
        <f>COUNTIF(A:A,Table2[[#This Row],[game_id]])</f>
        <v>1</v>
      </c>
      <c r="C103" t="s">
        <v>7997</v>
      </c>
      <c r="D103">
        <v>2002</v>
      </c>
      <c r="F103" s="15">
        <v>1</v>
      </c>
      <c r="G103">
        <v>39589</v>
      </c>
      <c r="H103" t="s">
        <v>8233</v>
      </c>
      <c r="I103" t="str">
        <f>IF(ISERROR(VLOOKUP(Table2[[#This Row],[IGDB_id]],GamesTable[IGDB id],1,0)),"NO","yes")</f>
        <v>yes</v>
      </c>
      <c r="J103" t="str">
        <f>IF(ISERROR(VLOOKUP(A103,GamesTable[game_id],1,0)),"not found","found")</f>
        <v>found</v>
      </c>
      <c r="K103" t="str">
        <f>VLOOKUP(Table2[[#This Row],[game_id]],GamesTable[[game_id]:[game title]],2,0)</f>
        <v xml:space="preserve">Rage of the Dragons </v>
      </c>
      <c r="L103" t="str">
        <f>VLOOKUP(VLOOKUP(Table2[[#This Row],[game_id]],GamesTable[[game_id]:[IGDB id]],7,0),G:H,2,0)</f>
        <v>Rage of the Dragons</v>
      </c>
      <c r="M103">
        <f>VLOOKUP(Table2[[#This Row],[game_id]],GamesTable[[game_id]:[IGDB id]],7,0)</f>
        <v>39589</v>
      </c>
    </row>
    <row r="104" spans="1:13" hidden="1" x14ac:dyDescent="0.25">
      <c r="A104" t="s">
        <v>7872</v>
      </c>
      <c r="B104">
        <f>COUNTIF(A:A,Table2[[#This Row],[game_id]])</f>
        <v>1</v>
      </c>
      <c r="C104" t="s">
        <v>3515</v>
      </c>
      <c r="D104">
        <v>1996</v>
      </c>
      <c r="F104" s="15">
        <v>0.85555555555555562</v>
      </c>
      <c r="G104">
        <v>40201</v>
      </c>
      <c r="H104" t="s">
        <v>8131</v>
      </c>
      <c r="I104" t="str">
        <f>IF(ISERROR(VLOOKUP(Table2[[#This Row],[IGDB_id]],GamesTable[IGDB id],1,0)),"NO","yes")</f>
        <v>yes</v>
      </c>
      <c r="J104" t="str">
        <f>IF(ISERROR(VLOOKUP(A104,GamesTable[game_id],1,0)),"not found","found")</f>
        <v>found</v>
      </c>
      <c r="K104" t="str">
        <f>VLOOKUP(Table2[[#This Row],[game_id]],GamesTable[[game_id]:[game title]],2,0)</f>
        <v>Ragnagard</v>
      </c>
      <c r="L104" t="str">
        <f>VLOOKUP(VLOOKUP(Table2[[#This Row],[game_id]],GamesTable[[game_id]:[IGDB id]],7,0),G:H,2,0)</f>
        <v>Ragnagard</v>
      </c>
      <c r="M104">
        <f>VLOOKUP(Table2[[#This Row],[game_id]],GamesTable[[game_id]:[IGDB id]],7,0)</f>
        <v>40201</v>
      </c>
    </row>
    <row r="105" spans="1:13" x14ac:dyDescent="0.25">
      <c r="A105" t="s">
        <v>7783</v>
      </c>
      <c r="B105">
        <f>COUNTIF(A:A,Table2[[#This Row],[game_id]])</f>
        <v>2</v>
      </c>
      <c r="C105" t="s">
        <v>7940</v>
      </c>
      <c r="D105">
        <v>1990</v>
      </c>
      <c r="F105" s="15">
        <v>0.85555555555555562</v>
      </c>
      <c r="G105">
        <v>75513</v>
      </c>
      <c r="H105" t="s">
        <v>8232</v>
      </c>
      <c r="I105" s="3" t="str">
        <f>IF(ISERROR(VLOOKUP(Table2[[#This Row],[IGDB_id]],GamesTable[IGDB id],1,0)),"NO","yes")</f>
        <v>NO</v>
      </c>
      <c r="J105" t="str">
        <f>IF(ISERROR(VLOOKUP(A105,GamesTable[game_id],1,0)),"not found","found")</f>
        <v>found</v>
      </c>
      <c r="K105" t="str">
        <f>VLOOKUP(Table2[[#This Row],[game_id]],GamesTable[[game_id]:[game title]],2,0)</f>
        <v>Blue's Journey</v>
      </c>
      <c r="L105" t="str">
        <f>VLOOKUP(VLOOKUP(Table2[[#This Row],[game_id]],GamesTable[[game_id]:[IGDB id]],7,0),G:H,2,0)</f>
        <v>Blue's Journey</v>
      </c>
      <c r="M105">
        <f>VLOOKUP(Table2[[#This Row],[game_id]],GamesTable[[game_id]:[IGDB id]],7,0)</f>
        <v>39653</v>
      </c>
    </row>
    <row r="106" spans="1:13" hidden="1" x14ac:dyDescent="0.25">
      <c r="A106" t="s">
        <v>7873</v>
      </c>
      <c r="B106">
        <f>COUNTIF(A:A,Table2[[#This Row],[game_id]])</f>
        <v>1</v>
      </c>
      <c r="C106" t="s">
        <v>7994</v>
      </c>
      <c r="D106">
        <v>1995</v>
      </c>
      <c r="F106" s="15">
        <v>0.9</v>
      </c>
      <c r="G106">
        <v>39520</v>
      </c>
      <c r="H106" t="s">
        <v>8231</v>
      </c>
      <c r="I106" t="str">
        <f>IF(ISERROR(VLOOKUP(Table2[[#This Row],[IGDB_id]],GamesTable[IGDB id],1,0)),"NO","yes")</f>
        <v>yes</v>
      </c>
      <c r="J106" t="str">
        <f>IF(ISERROR(VLOOKUP(A106,GamesTable[game_id],1,0)),"not found","found")</f>
        <v>found</v>
      </c>
      <c r="K106" t="str">
        <f>VLOOKUP(Table2[[#This Row],[game_id]],GamesTable[[game_id]:[game title]],2,0)</f>
        <v>Real Bout Fatal Fury</v>
      </c>
      <c r="L106" t="str">
        <f>VLOOKUP(VLOOKUP(Table2[[#This Row],[game_id]],GamesTable[[game_id]:[IGDB id]],7,0),G:H,2,0)</f>
        <v>Real Bout Fatal Fury</v>
      </c>
      <c r="M106">
        <f>VLOOKUP(Table2[[#This Row],[game_id]],GamesTable[[game_id]:[IGDB id]],7,0)</f>
        <v>39520</v>
      </c>
    </row>
    <row r="107" spans="1:13" hidden="1" x14ac:dyDescent="0.25">
      <c r="A107" t="s">
        <v>7874</v>
      </c>
      <c r="B107">
        <f>COUNTIF(A:A,Table2[[#This Row],[game_id]])</f>
        <v>1</v>
      </c>
      <c r="C107" t="s">
        <v>7995</v>
      </c>
      <c r="D107">
        <v>1998</v>
      </c>
      <c r="F107" s="15">
        <v>0.9</v>
      </c>
      <c r="G107">
        <v>46787</v>
      </c>
      <c r="H107" t="s">
        <v>8230</v>
      </c>
      <c r="I107" t="str">
        <f>IF(ISERROR(VLOOKUP(Table2[[#This Row],[IGDB_id]],GamesTable[IGDB id],1,0)),"NO","yes")</f>
        <v>yes</v>
      </c>
      <c r="J107" t="str">
        <f>IF(ISERROR(VLOOKUP(A107,GamesTable[game_id],1,0)),"not found","found")</f>
        <v>found</v>
      </c>
      <c r="K107" t="str">
        <f>VLOOKUP(Table2[[#This Row],[game_id]],GamesTable[[game_id]:[game title]],2,0)</f>
        <v>Real Bout Fatal Fury 2 - The Newcomers</v>
      </c>
      <c r="L107" t="str">
        <f>VLOOKUP(VLOOKUP(Table2[[#This Row],[game_id]],GamesTable[[game_id]:[IGDB id]],7,0),G:H,2,0)</f>
        <v>Real Bout Fatal Fury 2: The Newcomers</v>
      </c>
      <c r="M107">
        <f>VLOOKUP(Table2[[#This Row],[game_id]],GamesTable[[game_id]:[IGDB id]],7,0)</f>
        <v>46787</v>
      </c>
    </row>
    <row r="108" spans="1:13" hidden="1" x14ac:dyDescent="0.25">
      <c r="A108" t="s">
        <v>7875</v>
      </c>
      <c r="B108">
        <f>COUNTIF(A:A,Table2[[#This Row],[game_id]])</f>
        <v>1</v>
      </c>
      <c r="C108" t="s">
        <v>3332</v>
      </c>
      <c r="D108">
        <v>1996</v>
      </c>
      <c r="F108" s="15">
        <v>0.9</v>
      </c>
      <c r="G108">
        <v>39521</v>
      </c>
      <c r="H108" t="s">
        <v>8229</v>
      </c>
      <c r="I108" t="str">
        <f>IF(ISERROR(VLOOKUP(Table2[[#This Row],[IGDB_id]],GamesTable[IGDB id],1,0)),"NO","yes")</f>
        <v>yes</v>
      </c>
      <c r="J108" t="str">
        <f>IF(ISERROR(VLOOKUP(A108,GamesTable[game_id],1,0)),"not found","found")</f>
        <v>found</v>
      </c>
      <c r="K108" t="str">
        <f>VLOOKUP(Table2[[#This Row],[game_id]],GamesTable[[game_id]:[game title]],2,0)</f>
        <v>Real Bout Fatal Fury Special</v>
      </c>
      <c r="L108" t="str">
        <f>VLOOKUP(VLOOKUP(Table2[[#This Row],[game_id]],GamesTable[[game_id]:[IGDB id]],7,0),G:H,2,0)</f>
        <v>Real Bout Fatal Fury Special</v>
      </c>
      <c r="M108">
        <f>VLOOKUP(Table2[[#This Row],[game_id]],GamesTable[[game_id]:[IGDB id]],7,0)</f>
        <v>39521</v>
      </c>
    </row>
    <row r="109" spans="1:13" hidden="1" x14ac:dyDescent="0.25">
      <c r="A109" t="s">
        <v>7876</v>
      </c>
      <c r="B109">
        <f>COUNTIF(A:A,Table2[[#This Row],[game_id]])</f>
        <v>1</v>
      </c>
      <c r="C109" t="s">
        <v>7996</v>
      </c>
      <c r="D109">
        <v>1990</v>
      </c>
      <c r="F109" s="15">
        <v>1</v>
      </c>
      <c r="G109">
        <v>39961</v>
      </c>
      <c r="H109" t="s">
        <v>8228</v>
      </c>
      <c r="I109" t="str">
        <f>IF(ISERROR(VLOOKUP(Table2[[#This Row],[IGDB_id]],GamesTable[IGDB id],1,0)),"NO","yes")</f>
        <v>yes</v>
      </c>
      <c r="J109" t="str">
        <f>IF(ISERROR(VLOOKUP(A109,GamesTable[game_id],1,0)),"not found","found")</f>
        <v>found</v>
      </c>
      <c r="K109" t="str">
        <f>VLOOKUP(Table2[[#This Row],[game_id]],GamesTable[[game_id]:[game title]],2,0)</f>
        <v xml:space="preserve">Riding Hero </v>
      </c>
      <c r="L109" t="str">
        <f>VLOOKUP(VLOOKUP(Table2[[#This Row],[game_id]],GamesTable[[game_id]:[IGDB id]],7,0),G:H,2,0)</f>
        <v>Riding Hero</v>
      </c>
      <c r="M109">
        <f>VLOOKUP(Table2[[#This Row],[game_id]],GamesTable[[game_id]:[IGDB id]],7,0)</f>
        <v>39961</v>
      </c>
    </row>
    <row r="110" spans="1:13" hidden="1" x14ac:dyDescent="0.25">
      <c r="A110" t="s">
        <v>7877</v>
      </c>
      <c r="B110">
        <f>COUNTIF(A:A,Table2[[#This Row],[game_id]])</f>
        <v>1</v>
      </c>
      <c r="C110" t="s">
        <v>6446</v>
      </c>
      <c r="D110">
        <v>1991</v>
      </c>
      <c r="F110" s="15">
        <v>1</v>
      </c>
      <c r="G110">
        <v>46786</v>
      </c>
      <c r="H110" t="s">
        <v>8227</v>
      </c>
      <c r="I110" t="str">
        <f>IF(ISERROR(VLOOKUP(Table2[[#This Row],[IGDB_id]],GamesTable[IGDB id],1,0)),"NO","yes")</f>
        <v>yes</v>
      </c>
      <c r="J110" t="str">
        <f>IF(ISERROR(VLOOKUP(A110,GamesTable[game_id],1,0)),"not found","found")</f>
        <v>found</v>
      </c>
      <c r="K110" t="str">
        <f>VLOOKUP(Table2[[#This Row],[game_id]],GamesTable[[game_id]:[game title]],2,0)</f>
        <v>Robo Army</v>
      </c>
      <c r="L110" t="str">
        <f>VLOOKUP(VLOOKUP(Table2[[#This Row],[game_id]],GamesTable[[game_id]:[IGDB id]],7,0),G:H,2,0)</f>
        <v>Robo Army</v>
      </c>
      <c r="M110">
        <f>VLOOKUP(Table2[[#This Row],[game_id]],GamesTable[[game_id]:[IGDB id]],7,0)</f>
        <v>46786</v>
      </c>
    </row>
    <row r="111" spans="1:13" hidden="1" x14ac:dyDescent="0.25">
      <c r="A111" t="s">
        <v>7881</v>
      </c>
      <c r="B111">
        <f>COUNTIF(A:A,Table2[[#This Row],[game_id]])</f>
        <v>1</v>
      </c>
      <c r="C111" t="s">
        <v>7999</v>
      </c>
      <c r="D111">
        <v>1993</v>
      </c>
      <c r="F111" s="15">
        <v>0.9</v>
      </c>
      <c r="G111">
        <v>4260</v>
      </c>
      <c r="H111" t="s">
        <v>8226</v>
      </c>
      <c r="I111" t="str">
        <f>IF(ISERROR(VLOOKUP(Table2[[#This Row],[IGDB_id]],GamesTable[IGDB id],1,0)),"NO","yes")</f>
        <v>yes</v>
      </c>
      <c r="J111" t="str">
        <f>IF(ISERROR(VLOOKUP(A111,GamesTable[game_id],1,0)),"not found","found")</f>
        <v>found</v>
      </c>
      <c r="K111" t="str">
        <f>VLOOKUP(Table2[[#This Row],[game_id]],GamesTable[[game_id]:[game title]],2,0)</f>
        <v>Samurai Shodown</v>
      </c>
      <c r="L111" t="str">
        <f>VLOOKUP(VLOOKUP(Table2[[#This Row],[game_id]],GamesTable[[game_id]:[IGDB id]],7,0),G:H,2,0)</f>
        <v>Samurai Shodown</v>
      </c>
      <c r="M111">
        <f>VLOOKUP(Table2[[#This Row],[game_id]],GamesTable[[game_id]:[IGDB id]],7,0)</f>
        <v>4260</v>
      </c>
    </row>
    <row r="112" spans="1:13" hidden="1" x14ac:dyDescent="0.25">
      <c r="A112" t="s">
        <v>7922</v>
      </c>
      <c r="B112">
        <f>COUNTIF(A:A,Table2[[#This Row],[game_id]])</f>
        <v>1</v>
      </c>
      <c r="C112" t="s">
        <v>8000</v>
      </c>
      <c r="D112">
        <v>1994</v>
      </c>
      <c r="F112" s="15">
        <v>0.86206896551724144</v>
      </c>
      <c r="G112">
        <v>19986</v>
      </c>
      <c r="H112" t="s">
        <v>8225</v>
      </c>
      <c r="I112" t="str">
        <f>IF(ISERROR(VLOOKUP(Table2[[#This Row],[IGDB_id]],GamesTable[IGDB id],1,0)),"NO","yes")</f>
        <v>yes</v>
      </c>
      <c r="J112" t="str">
        <f>IF(ISERROR(VLOOKUP(A112,GamesTable[game_id],1,0)),"not found","found")</f>
        <v>found</v>
      </c>
      <c r="K112" t="str">
        <f>VLOOKUP(Table2[[#This Row],[game_id]],GamesTable[[game_id]:[game title]],2,0)</f>
        <v>Samurai Shodown II</v>
      </c>
      <c r="L112" t="str">
        <f>VLOOKUP(VLOOKUP(Table2[[#This Row],[game_id]],GamesTable[[game_id]:[IGDB id]],7,0),G:H,2,0)</f>
        <v>Samurai Shodown II</v>
      </c>
      <c r="M112">
        <f>VLOOKUP(Table2[[#This Row],[game_id]],GamesTable[[game_id]:[IGDB id]],7,0)</f>
        <v>19986</v>
      </c>
    </row>
    <row r="113" spans="1:13" hidden="1" x14ac:dyDescent="0.25">
      <c r="A113" t="s">
        <v>7923</v>
      </c>
      <c r="B113">
        <f>COUNTIF(A:A,Table2[[#This Row],[game_id]])</f>
        <v>1</v>
      </c>
      <c r="C113" t="s">
        <v>8001</v>
      </c>
      <c r="D113">
        <v>1995</v>
      </c>
      <c r="F113" s="15">
        <v>0.87692307692307692</v>
      </c>
      <c r="G113">
        <v>19987</v>
      </c>
      <c r="H113" t="s">
        <v>8224</v>
      </c>
      <c r="I113" t="str">
        <f>IF(ISERROR(VLOOKUP(Table2[[#This Row],[IGDB_id]],GamesTable[IGDB id],1,0)),"NO","yes")</f>
        <v>yes</v>
      </c>
      <c r="J113" t="str">
        <f>IF(ISERROR(VLOOKUP(A113,GamesTable[game_id],1,0)),"not found","found")</f>
        <v>found</v>
      </c>
      <c r="K113" t="str">
        <f>VLOOKUP(Table2[[#This Row],[game_id]],GamesTable[[game_id]:[game title]],2,0)</f>
        <v>Samurai Shodown III</v>
      </c>
      <c r="L113" t="str">
        <f>VLOOKUP(VLOOKUP(Table2[[#This Row],[game_id]],GamesTable[[game_id]:[IGDB id]],7,0),G:H,2,0)</f>
        <v>Samurai Shodown III</v>
      </c>
      <c r="M113">
        <f>VLOOKUP(Table2[[#This Row],[game_id]],GamesTable[[game_id]:[IGDB id]],7,0)</f>
        <v>19987</v>
      </c>
    </row>
    <row r="114" spans="1:13" hidden="1" x14ac:dyDescent="0.25">
      <c r="A114" t="s">
        <v>7924</v>
      </c>
      <c r="B114">
        <f>COUNTIF(A:A,Table2[[#This Row],[game_id]])</f>
        <v>1</v>
      </c>
      <c r="C114" t="s">
        <v>8002</v>
      </c>
      <c r="D114">
        <v>1996</v>
      </c>
      <c r="F114" s="15">
        <v>0.91794871794871802</v>
      </c>
      <c r="G114">
        <v>19988</v>
      </c>
      <c r="H114" t="s">
        <v>8223</v>
      </c>
      <c r="I114" t="str">
        <f>IF(ISERROR(VLOOKUP(Table2[[#This Row],[IGDB_id]],GamesTable[IGDB id],1,0)),"NO","yes")</f>
        <v>yes</v>
      </c>
      <c r="J114" t="str">
        <f>IF(ISERROR(VLOOKUP(A114,GamesTable[game_id],1,0)),"not found","found")</f>
        <v>found</v>
      </c>
      <c r="K114" t="str">
        <f>VLOOKUP(Table2[[#This Row],[game_id]],GamesTable[[game_id]:[game title]],2,0)</f>
        <v>Samurai Shodown IV - Amakusa's Revenge</v>
      </c>
      <c r="L114" t="str">
        <f>VLOOKUP(VLOOKUP(Table2[[#This Row],[game_id]],GamesTable[[game_id]:[IGDB id]],7,0),G:H,2,0)</f>
        <v>Samurai Shodown IV: Amakusa's Revenge</v>
      </c>
      <c r="M114">
        <f>VLOOKUP(Table2[[#This Row],[game_id]],GamesTable[[game_id]:[IGDB id]],7,0)</f>
        <v>19988</v>
      </c>
    </row>
    <row r="115" spans="1:13" hidden="1" x14ac:dyDescent="0.25">
      <c r="A115" t="s">
        <v>7925</v>
      </c>
      <c r="B115">
        <f>COUNTIF(A:A,Table2[[#This Row],[game_id]])</f>
        <v>1</v>
      </c>
      <c r="C115" t="s">
        <v>8003</v>
      </c>
      <c r="D115">
        <v>2003</v>
      </c>
      <c r="F115" s="15">
        <v>0.9</v>
      </c>
      <c r="G115">
        <v>6026</v>
      </c>
      <c r="H115" t="s">
        <v>8222</v>
      </c>
      <c r="I115" t="str">
        <f>IF(ISERROR(VLOOKUP(Table2[[#This Row],[IGDB_id]],GamesTable[IGDB id],1,0)),"NO","yes")</f>
        <v>yes</v>
      </c>
      <c r="J115" t="str">
        <f>IF(ISERROR(VLOOKUP(A115,GamesTable[game_id],1,0)),"not found","found")</f>
        <v>found</v>
      </c>
      <c r="K115" t="str">
        <f>VLOOKUP(Table2[[#This Row],[game_id]],GamesTable[[game_id]:[game title]],2,0)</f>
        <v>Samurai Shodown V</v>
      </c>
      <c r="L115" t="str">
        <f>VLOOKUP(VLOOKUP(Table2[[#This Row],[game_id]],GamesTable[[game_id]:[IGDB id]],7,0),G:H,2,0)</f>
        <v>Samurai Shodown V</v>
      </c>
      <c r="M115">
        <f>VLOOKUP(Table2[[#This Row],[game_id]],GamesTable[[game_id]:[IGDB id]],7,0)</f>
        <v>6026</v>
      </c>
    </row>
    <row r="116" spans="1:13" hidden="1" x14ac:dyDescent="0.25">
      <c r="A116" t="s">
        <v>7880</v>
      </c>
      <c r="B116">
        <f>COUNTIF(A:A,Table2[[#This Row],[game_id]])</f>
        <v>3</v>
      </c>
      <c r="C116" t="s">
        <v>7998</v>
      </c>
      <c r="D116">
        <v>2004</v>
      </c>
      <c r="F116" s="15">
        <v>0.9</v>
      </c>
      <c r="G116">
        <v>39566</v>
      </c>
      <c r="H116" t="s">
        <v>8221</v>
      </c>
      <c r="I116" s="3" t="str">
        <f>IF(ISERROR(VLOOKUP(Table2[[#This Row],[IGDB_id]],GamesTable[IGDB id],1,0)),"NO","yes")</f>
        <v>yes</v>
      </c>
      <c r="J116" t="str">
        <f>IF(ISERROR(VLOOKUP(A116,GamesTable[game_id],1,0)),"not found","found")</f>
        <v>found</v>
      </c>
      <c r="K116" t="str">
        <f>VLOOKUP(Table2[[#This Row],[game_id]],GamesTable[[game_id]:[game title]],2,0)</f>
        <v>Samurai Shodown V Special</v>
      </c>
      <c r="L116" t="str">
        <f>VLOOKUP(VLOOKUP(Table2[[#This Row],[game_id]],GamesTable[[game_id]:[IGDB id]],7,0),G:H,2,0)</f>
        <v>Samurai Shodown V Special</v>
      </c>
      <c r="M116">
        <f>VLOOKUP(Table2[[#This Row],[game_id]],GamesTable[[game_id]:[IGDB id]],7,0)</f>
        <v>39566</v>
      </c>
    </row>
    <row r="117" spans="1:13" x14ac:dyDescent="0.25">
      <c r="A117" t="s">
        <v>7880</v>
      </c>
      <c r="B117">
        <f>COUNTIF(A:A,Table2[[#This Row],[game_id]])</f>
        <v>3</v>
      </c>
      <c r="C117" t="s">
        <v>7998</v>
      </c>
      <c r="D117">
        <v>2004</v>
      </c>
      <c r="F117" s="15">
        <v>0.6743221690590111</v>
      </c>
      <c r="G117">
        <v>75446</v>
      </c>
      <c r="H117" t="s">
        <v>8220</v>
      </c>
      <c r="I117" s="3" t="str">
        <f>IF(ISERROR(VLOOKUP(Table2[[#This Row],[IGDB_id]],GamesTable[IGDB id],1,0)),"NO","yes")</f>
        <v>NO</v>
      </c>
      <c r="J117" t="str">
        <f>IF(ISERROR(VLOOKUP(A117,GamesTable[game_id],1,0)),"not found","found")</f>
        <v>found</v>
      </c>
      <c r="K117" t="str">
        <f>VLOOKUP(Table2[[#This Row],[game_id]],GamesTable[[game_id]:[game title]],2,0)</f>
        <v>Samurai Shodown V Special</v>
      </c>
      <c r="L117" t="str">
        <f>VLOOKUP(VLOOKUP(Table2[[#This Row],[game_id]],GamesTable[[game_id]:[IGDB id]],7,0),G:H,2,0)</f>
        <v>Samurai Shodown V Special</v>
      </c>
      <c r="M117">
        <f>VLOOKUP(Table2[[#This Row],[game_id]],GamesTable[[game_id]:[IGDB id]],7,0)</f>
        <v>39566</v>
      </c>
    </row>
    <row r="118" spans="1:13" x14ac:dyDescent="0.25">
      <c r="A118" t="s">
        <v>7880</v>
      </c>
      <c r="B118">
        <f>COUNTIF(A:A,Table2[[#This Row],[game_id]])</f>
        <v>3</v>
      </c>
      <c r="C118" t="s">
        <v>7998</v>
      </c>
      <c r="D118">
        <v>2004</v>
      </c>
      <c r="F118" s="15">
        <v>0.6743221690590111</v>
      </c>
      <c r="G118">
        <v>75447</v>
      </c>
      <c r="H118" t="s">
        <v>8219</v>
      </c>
      <c r="I118" s="3" t="str">
        <f>IF(ISERROR(VLOOKUP(Table2[[#This Row],[IGDB_id]],GamesTable[IGDB id],1,0)),"NO","yes")</f>
        <v>NO</v>
      </c>
      <c r="J118" t="str">
        <f>IF(ISERROR(VLOOKUP(A118,GamesTable[game_id],1,0)),"not found","found")</f>
        <v>found</v>
      </c>
      <c r="K118" t="str">
        <f>VLOOKUP(Table2[[#This Row],[game_id]],GamesTable[[game_id]:[game title]],2,0)</f>
        <v>Samurai Shodown V Special</v>
      </c>
      <c r="L118" t="str">
        <f>VLOOKUP(VLOOKUP(Table2[[#This Row],[game_id]],GamesTable[[game_id]:[IGDB id]],7,0),G:H,2,0)</f>
        <v>Samurai Shodown V Special</v>
      </c>
      <c r="M118">
        <f>VLOOKUP(Table2[[#This Row],[game_id]],GamesTable[[game_id]:[IGDB id]],7,0)</f>
        <v>39566</v>
      </c>
    </row>
    <row r="119" spans="1:13" hidden="1" x14ac:dyDescent="0.25">
      <c r="A119" t="s">
        <v>7882</v>
      </c>
      <c r="B119">
        <f>COUNTIF(A:A,Table2[[#This Row],[game_id]])</f>
        <v>1</v>
      </c>
      <c r="C119" t="s">
        <v>5409</v>
      </c>
      <c r="D119">
        <v>1995</v>
      </c>
      <c r="F119" s="15">
        <v>0.8606060606060606</v>
      </c>
      <c r="G119">
        <v>39565</v>
      </c>
      <c r="H119" t="s">
        <v>8218</v>
      </c>
      <c r="I119" t="str">
        <f>IF(ISERROR(VLOOKUP(Table2[[#This Row],[IGDB_id]],GamesTable[IGDB id],1,0)),"NO","yes")</f>
        <v>yes</v>
      </c>
      <c r="J119" t="str">
        <f>IF(ISERROR(VLOOKUP(A119,GamesTable[game_id],1,0)),"not found","found")</f>
        <v>found</v>
      </c>
      <c r="K119" t="str">
        <f>VLOOKUP(Table2[[#This Row],[game_id]],GamesTable[[game_id]:[game title]],2,0)</f>
        <v>Savage Reign</v>
      </c>
      <c r="L119" t="str">
        <f>VLOOKUP(VLOOKUP(Table2[[#This Row],[game_id]],GamesTable[[game_id]:[IGDB id]],7,0),G:H,2,0)</f>
        <v>Savage Reign</v>
      </c>
      <c r="M119">
        <f>VLOOKUP(Table2[[#This Row],[game_id]],GamesTable[[game_id]:[IGDB id]],7,0)</f>
        <v>39565</v>
      </c>
    </row>
    <row r="120" spans="1:13" hidden="1" x14ac:dyDescent="0.25">
      <c r="A120" t="s">
        <v>7885</v>
      </c>
      <c r="B120">
        <f>COUNTIF(A:A,Table2[[#This Row],[game_id]])</f>
        <v>1</v>
      </c>
      <c r="C120" t="s">
        <v>8005</v>
      </c>
      <c r="D120">
        <v>1991</v>
      </c>
      <c r="F120" s="15">
        <v>0.8666666666666667</v>
      </c>
      <c r="G120">
        <v>5433</v>
      </c>
      <c r="H120" t="s">
        <v>8217</v>
      </c>
      <c r="I120" t="str">
        <f>IF(ISERROR(VLOOKUP(Table2[[#This Row],[IGDB_id]],GamesTable[IGDB id],1,0)),"NO","yes")</f>
        <v>yes</v>
      </c>
      <c r="J120" t="str">
        <f>IF(ISERROR(VLOOKUP(A120,GamesTable[game_id],1,0)),"not found","found")</f>
        <v>found</v>
      </c>
      <c r="K120" t="str">
        <f>VLOOKUP(Table2[[#This Row],[game_id]],GamesTable[[game_id]:[game title]],2,0)</f>
        <v>Sengoku</v>
      </c>
      <c r="L120" t="str">
        <f>VLOOKUP(VLOOKUP(Table2[[#This Row],[game_id]],GamesTable[[game_id]:[IGDB id]],7,0),G:H,2,0)</f>
        <v>Sengoku</v>
      </c>
      <c r="M120">
        <f>VLOOKUP(Table2[[#This Row],[game_id]],GamesTable[[game_id]:[IGDB id]],7,0)</f>
        <v>5433</v>
      </c>
    </row>
    <row r="121" spans="1:13" hidden="1" x14ac:dyDescent="0.25">
      <c r="A121" t="s">
        <v>7926</v>
      </c>
      <c r="B121">
        <f>COUNTIF(A:A,Table2[[#This Row],[game_id]])</f>
        <v>1</v>
      </c>
      <c r="C121" t="s">
        <v>6151</v>
      </c>
      <c r="D121">
        <v>1993</v>
      </c>
      <c r="F121" s="15">
        <v>0.875</v>
      </c>
      <c r="G121">
        <v>46785</v>
      </c>
      <c r="H121" t="s">
        <v>8216</v>
      </c>
      <c r="I121" t="str">
        <f>IF(ISERROR(VLOOKUP(Table2[[#This Row],[IGDB_id]],GamesTable[IGDB id],1,0)),"NO","yes")</f>
        <v>yes</v>
      </c>
      <c r="J121" t="str">
        <f>IF(ISERROR(VLOOKUP(A121,GamesTable[game_id],1,0)),"not found","found")</f>
        <v>found</v>
      </c>
      <c r="K121" t="str">
        <f>VLOOKUP(Table2[[#This Row],[game_id]],GamesTable[[game_id]:[game title]],2,0)</f>
        <v>Sengoku 2</v>
      </c>
      <c r="L121" t="str">
        <f>VLOOKUP(VLOOKUP(Table2[[#This Row],[game_id]],GamesTable[[game_id]:[IGDB id]],7,0),G:H,2,0)</f>
        <v>Sengoku 2</v>
      </c>
      <c r="M121">
        <f>VLOOKUP(Table2[[#This Row],[game_id]],GamesTable[[game_id]:[IGDB id]],7,0)</f>
        <v>46785</v>
      </c>
    </row>
    <row r="122" spans="1:13" hidden="1" x14ac:dyDescent="0.25">
      <c r="A122" t="s">
        <v>7927</v>
      </c>
      <c r="B122">
        <f>COUNTIF(A:A,Table2[[#This Row],[game_id]])</f>
        <v>2</v>
      </c>
      <c r="C122" t="s">
        <v>8006</v>
      </c>
      <c r="D122">
        <v>2001</v>
      </c>
      <c r="E122" t="s">
        <v>8160</v>
      </c>
      <c r="F122" s="15">
        <v>0.87264362674534612</v>
      </c>
      <c r="G122">
        <v>46784</v>
      </c>
      <c r="H122" t="s">
        <v>8215</v>
      </c>
      <c r="I122" s="3" t="str">
        <f>IF(ISERROR(VLOOKUP(Table2[[#This Row],[IGDB_id]],GamesTable[IGDB id],1,0)),"NO","yes")</f>
        <v>yes</v>
      </c>
      <c r="J122" t="str">
        <f>IF(ISERROR(VLOOKUP(A122,GamesTable[game_id],1,0)),"not found","found")</f>
        <v>found</v>
      </c>
      <c r="K122" t="str">
        <f>VLOOKUP(Table2[[#This Row],[game_id]],GamesTable[[game_id]:[game title]],2,0)</f>
        <v>Sengoku 3</v>
      </c>
      <c r="L122" t="str">
        <f>VLOOKUP(VLOOKUP(Table2[[#This Row],[game_id]],GamesTable[[game_id]:[IGDB id]],7,0),G:H,2,0)</f>
        <v>Sengoku 3</v>
      </c>
      <c r="M122">
        <f>VLOOKUP(Table2[[#This Row],[game_id]],GamesTable[[game_id]:[IGDB id]],7,0)</f>
        <v>46784</v>
      </c>
    </row>
    <row r="123" spans="1:13" x14ac:dyDescent="0.25">
      <c r="A123" t="s">
        <v>7927</v>
      </c>
      <c r="B123">
        <f>COUNTIF(A:A,Table2[[#This Row],[game_id]])</f>
        <v>2</v>
      </c>
      <c r="C123" t="s">
        <v>8006</v>
      </c>
      <c r="D123">
        <v>2001</v>
      </c>
      <c r="E123" t="s">
        <v>8160</v>
      </c>
      <c r="F123" s="15">
        <v>0.55822682084279363</v>
      </c>
      <c r="G123">
        <v>75445</v>
      </c>
      <c r="H123" t="s">
        <v>8214</v>
      </c>
      <c r="I123" s="3" t="str">
        <f>IF(ISERROR(VLOOKUP(Table2[[#This Row],[IGDB_id]],GamesTable[IGDB id],1,0)),"NO","yes")</f>
        <v>NO</v>
      </c>
      <c r="J123" t="str">
        <f>IF(ISERROR(VLOOKUP(A123,GamesTable[game_id],1,0)),"not found","found")</f>
        <v>found</v>
      </c>
      <c r="K123" t="str">
        <f>VLOOKUP(Table2[[#This Row],[game_id]],GamesTable[[game_id]:[game title]],2,0)</f>
        <v>Sengoku 3</v>
      </c>
      <c r="L123" t="str">
        <f>VLOOKUP(VLOOKUP(Table2[[#This Row],[game_id]],GamesTable[[game_id]:[IGDB id]],7,0),G:H,2,0)</f>
        <v>Sengoku 3</v>
      </c>
      <c r="M123">
        <f>VLOOKUP(Table2[[#This Row],[game_id]],GamesTable[[game_id]:[IGDB id]],7,0)</f>
        <v>46784</v>
      </c>
    </row>
    <row r="124" spans="1:13" hidden="1" x14ac:dyDescent="0.25">
      <c r="A124" t="s">
        <v>7887</v>
      </c>
      <c r="B124">
        <f>COUNTIF(A:A,Table2[[#This Row],[game_id]])</f>
        <v>1</v>
      </c>
      <c r="C124" t="s">
        <v>8007</v>
      </c>
      <c r="D124">
        <v>1997</v>
      </c>
      <c r="F124" s="15">
        <v>1</v>
      </c>
      <c r="G124">
        <v>47598</v>
      </c>
      <c r="H124" t="s">
        <v>8213</v>
      </c>
      <c r="I124" t="str">
        <f>IF(ISERROR(VLOOKUP(Table2[[#This Row],[IGDB_id]],GamesTable[IGDB id],1,0)),"NO","yes")</f>
        <v>yes</v>
      </c>
      <c r="J124" t="str">
        <f>IF(ISERROR(VLOOKUP(A124,GamesTable[game_id],1,0)),"not found","found")</f>
        <v>found</v>
      </c>
      <c r="K124" t="str">
        <f>VLOOKUP(Table2[[#This Row],[game_id]],GamesTable[[game_id]:[game title]],2,0)</f>
        <v xml:space="preserve">Shock Troopers </v>
      </c>
      <c r="L124" t="str">
        <f>VLOOKUP(VLOOKUP(Table2[[#This Row],[game_id]],GamesTable[[game_id]:[IGDB id]],7,0),G:H,2,0)</f>
        <v>Shock Troopers</v>
      </c>
      <c r="M124">
        <f>VLOOKUP(Table2[[#This Row],[game_id]],GamesTable[[game_id]:[IGDB id]],7,0)</f>
        <v>47598</v>
      </c>
    </row>
    <row r="125" spans="1:13" x14ac:dyDescent="0.25">
      <c r="A125" t="s">
        <v>7845</v>
      </c>
      <c r="B125">
        <f>COUNTIF(A:A,Table2[[#This Row],[game_id]])</f>
        <v>2</v>
      </c>
      <c r="C125" t="s">
        <v>3907</v>
      </c>
      <c r="D125">
        <v>1990</v>
      </c>
      <c r="E125" t="s">
        <v>8166</v>
      </c>
      <c r="F125" s="15">
        <v>0.88021356364112768</v>
      </c>
      <c r="G125">
        <v>47600</v>
      </c>
      <c r="H125" t="s">
        <v>8212</v>
      </c>
      <c r="I125" s="3" t="str">
        <f>IF(ISERROR(VLOOKUP(Table2[[#This Row],[IGDB_id]],GamesTable[IGDB id],1,0)),"NO","yes")</f>
        <v>NO</v>
      </c>
      <c r="J125" t="str">
        <f>IF(ISERROR(VLOOKUP(A125,GamesTable[game_id],1,0)),"not found","found")</f>
        <v>found</v>
      </c>
      <c r="K125" t="str">
        <f>VLOOKUP(Table2[[#This Row],[game_id]],GamesTable[[game_id]:[game title]],2,0)</f>
        <v>Master of Shougi</v>
      </c>
      <c r="L125" t="str">
        <f>VLOOKUP(VLOOKUP(Table2[[#This Row],[game_id]],GamesTable[[game_id]:[IGDB id]],7,0),G:H,2,0)</f>
        <v>Master of Syougi</v>
      </c>
      <c r="M125">
        <f>VLOOKUP(Table2[[#This Row],[game_id]],GamesTable[[game_id]:[IGDB id]],7,0)</f>
        <v>75451</v>
      </c>
    </row>
    <row r="126" spans="1:13" hidden="1" x14ac:dyDescent="0.25">
      <c r="A126" t="s">
        <v>7896</v>
      </c>
      <c r="B126">
        <f>COUNTIF(A:A,Table2[[#This Row],[game_id]])</f>
        <v>1</v>
      </c>
      <c r="C126" t="s">
        <v>8012</v>
      </c>
      <c r="D126">
        <v>2003</v>
      </c>
      <c r="F126" s="15">
        <v>1</v>
      </c>
      <c r="G126">
        <v>6184</v>
      </c>
      <c r="H126" t="s">
        <v>8211</v>
      </c>
      <c r="I126" t="str">
        <f>IF(ISERROR(VLOOKUP(Table2[[#This Row],[IGDB_id]],GamesTable[IGDB id],1,0)),"NO","yes")</f>
        <v>yes</v>
      </c>
      <c r="J126" t="str">
        <f>IF(ISERROR(VLOOKUP(A126,GamesTable[game_id],1,0)),"not found","found")</f>
        <v>found</v>
      </c>
      <c r="K126" t="str">
        <f>VLOOKUP(Table2[[#This Row],[game_id]],GamesTable[[game_id]:[game title]],2,0)</f>
        <v xml:space="preserve">SNK vs. Capcom - SVC Chaos </v>
      </c>
      <c r="L126" t="str">
        <f>VLOOKUP(VLOOKUP(Table2[[#This Row],[game_id]],GamesTable[[game_id]:[IGDB id]],7,0),G:H,2,0)</f>
        <v>SNK vs. Capcom: SVC Chaos</v>
      </c>
      <c r="M126">
        <f>VLOOKUP(Table2[[#This Row],[game_id]],GamesTable[[game_id]:[IGDB id]],7,0)</f>
        <v>6184</v>
      </c>
    </row>
    <row r="127" spans="1:13" hidden="1" x14ac:dyDescent="0.25">
      <c r="A127" t="s">
        <v>7888</v>
      </c>
      <c r="B127">
        <f>COUNTIF(A:A,Table2[[#This Row],[game_id]])</f>
        <v>1</v>
      </c>
      <c r="C127" t="s">
        <v>8008</v>
      </c>
      <c r="D127">
        <v>1991</v>
      </c>
      <c r="F127" s="15">
        <v>1</v>
      </c>
      <c r="G127">
        <v>39843</v>
      </c>
      <c r="H127" t="s">
        <v>8210</v>
      </c>
      <c r="I127" t="str">
        <f>IF(ISERROR(VLOOKUP(Table2[[#This Row],[IGDB_id]],GamesTable[IGDB id],1,0)),"NO","yes")</f>
        <v>yes</v>
      </c>
      <c r="J127" t="str">
        <f>IF(ISERROR(VLOOKUP(A127,GamesTable[game_id],1,0)),"not found","found")</f>
        <v>found</v>
      </c>
      <c r="K127" t="str">
        <f>VLOOKUP(Table2[[#This Row],[game_id]],GamesTable[[game_id]:[game title]],2,0)</f>
        <v xml:space="preserve">Soccer Brawl </v>
      </c>
      <c r="L127" t="str">
        <f>VLOOKUP(VLOOKUP(Table2[[#This Row],[game_id]],GamesTable[[game_id]:[IGDB id]],7,0),G:H,2,0)</f>
        <v>Soccer Brawl</v>
      </c>
      <c r="M127">
        <f>VLOOKUP(Table2[[#This Row],[game_id]],GamesTable[[game_id]:[IGDB id]],7,0)</f>
        <v>39843</v>
      </c>
    </row>
    <row r="128" spans="1:13" x14ac:dyDescent="0.25">
      <c r="A128" t="s">
        <v>7890</v>
      </c>
      <c r="B128">
        <f>COUNTIF(A:A,Table2[[#This Row],[game_id]])</f>
        <v>2</v>
      </c>
      <c r="C128" t="s">
        <v>4014</v>
      </c>
      <c r="D128">
        <v>1995</v>
      </c>
      <c r="F128" s="15">
        <v>0.91</v>
      </c>
      <c r="G128">
        <v>6775</v>
      </c>
      <c r="H128" t="s">
        <v>8209</v>
      </c>
      <c r="I128" s="3" t="str">
        <f>IF(ISERROR(VLOOKUP(Table2[[#This Row],[IGDB_id]],GamesTable[IGDB id],1,0)),"NO","yes")</f>
        <v>NO</v>
      </c>
      <c r="J128" t="str">
        <f>IF(ISERROR(VLOOKUP(A128,GamesTable[game_id],1,0)),"not found","found")</f>
        <v>found</v>
      </c>
      <c r="K128" t="str">
        <f>VLOOKUP(Table2[[#This Row],[game_id]],GamesTable[[game_id]:[game title]],2,0)</f>
        <v>Aero Fighters 3</v>
      </c>
      <c r="L128" t="str">
        <f>VLOOKUP(VLOOKUP(Table2[[#This Row],[game_id]],GamesTable[[game_id]:[IGDB id]],7,0),G:H,2,0)</f>
        <v>Aero Fighters 3</v>
      </c>
      <c r="M128">
        <f>VLOOKUP(Table2[[#This Row],[game_id]],GamesTable[[game_id]:[IGDB id]],7,0)</f>
        <v>55051</v>
      </c>
    </row>
    <row r="129" spans="1:13" hidden="1" x14ac:dyDescent="0.25">
      <c r="A129" t="s">
        <v>7891</v>
      </c>
      <c r="B129">
        <f>COUNTIF(A:A,Table2[[#This Row],[game_id]])</f>
        <v>1</v>
      </c>
      <c r="C129" t="s">
        <v>5316</v>
      </c>
      <c r="D129">
        <v>1993</v>
      </c>
      <c r="F129" s="15">
        <v>0.87010847385895873</v>
      </c>
      <c r="G129">
        <v>15469</v>
      </c>
      <c r="H129" t="s">
        <v>8140</v>
      </c>
      <c r="I129" t="str">
        <f>IF(ISERROR(VLOOKUP(Table2[[#This Row],[IGDB_id]],GamesTable[IGDB id],1,0)),"NO","yes")</f>
        <v>yes</v>
      </c>
      <c r="J129" t="str">
        <f>IF(ISERROR(VLOOKUP(A129,GamesTable[game_id],1,0)),"not found","found")</f>
        <v>found</v>
      </c>
      <c r="K129" t="str">
        <f>VLOOKUP(Table2[[#This Row],[game_id]],GamesTable[[game_id]:[game title]],2,0)</f>
        <v>Spin Master / Miracle Adventure</v>
      </c>
      <c r="L129" t="str">
        <f>VLOOKUP(VLOOKUP(Table2[[#This Row],[game_id]],GamesTable[[game_id]:[IGDB id]],7,0),G:H,2,0)</f>
        <v>Spinmaster</v>
      </c>
      <c r="M129">
        <f>VLOOKUP(Table2[[#This Row],[game_id]],GamesTable[[game_id]:[IGDB id]],7,0)</f>
        <v>15469</v>
      </c>
    </row>
    <row r="130" spans="1:13" hidden="1" x14ac:dyDescent="0.25">
      <c r="A130" t="s">
        <v>7931</v>
      </c>
      <c r="B130">
        <f>COUNTIF(A:A,Table2[[#This Row],[game_id]])</f>
        <v>2</v>
      </c>
      <c r="C130" t="s">
        <v>3201</v>
      </c>
      <c r="D130">
        <v>1996</v>
      </c>
      <c r="E130">
        <v>39625</v>
      </c>
      <c r="F130" s="15">
        <v>0.96</v>
      </c>
      <c r="G130">
        <v>39626</v>
      </c>
      <c r="H130" t="s">
        <v>8208</v>
      </c>
      <c r="I130" s="3" t="str">
        <f>IF(ISERROR(VLOOKUP(Table2[[#This Row],[IGDB_id]],GamesTable[IGDB id],1,0)),"NO","yes")</f>
        <v>yes</v>
      </c>
      <c r="J130" t="str">
        <f>IF(ISERROR(VLOOKUP(A130,GamesTable[game_id],1,0)),"not found","found")</f>
        <v>found</v>
      </c>
      <c r="K130" t="str">
        <f>VLOOKUP(Table2[[#This Row],[game_id]],GamesTable[[game_id]:[game title]],2,0)</f>
        <v>Stakes Winner 2</v>
      </c>
      <c r="L130" t="str">
        <f>VLOOKUP(VLOOKUP(Table2[[#This Row],[game_id]],GamesTable[[game_id]:[IGDB id]],7,0),G:H,2,0)</f>
        <v>Stakes Winner</v>
      </c>
      <c r="M130">
        <f>VLOOKUP(Table2[[#This Row],[game_id]],GamesTable[[game_id]:[IGDB id]],7,0)</f>
        <v>39626</v>
      </c>
    </row>
    <row r="131" spans="1:13" x14ac:dyDescent="0.25">
      <c r="A131" t="s">
        <v>7931</v>
      </c>
      <c r="B131">
        <f>COUNTIF(A:A,Table2[[#This Row],[game_id]])</f>
        <v>2</v>
      </c>
      <c r="C131" t="s">
        <v>3201</v>
      </c>
      <c r="D131">
        <v>1996</v>
      </c>
      <c r="E131">
        <v>39625</v>
      </c>
      <c r="F131" s="15">
        <v>1</v>
      </c>
      <c r="G131">
        <v>39625</v>
      </c>
      <c r="H131" t="s">
        <v>8207</v>
      </c>
      <c r="I131" s="3" t="str">
        <f>IF(ISERROR(VLOOKUP(Table2[[#This Row],[IGDB_id]],GamesTable[IGDB id],1,0)),"NO","yes")</f>
        <v>NO</v>
      </c>
      <c r="J131" t="str">
        <f>IF(ISERROR(VLOOKUP(A131,GamesTable[game_id],1,0)),"not found","found")</f>
        <v>found</v>
      </c>
      <c r="K131" t="str">
        <f>VLOOKUP(Table2[[#This Row],[game_id]],GamesTable[[game_id]:[game title]],2,0)</f>
        <v>Stakes Winner 2</v>
      </c>
      <c r="L131" t="str">
        <f>VLOOKUP(VLOOKUP(Table2[[#This Row],[game_id]],GamesTable[[game_id]:[IGDB id]],7,0),G:H,2,0)</f>
        <v>Stakes Winner</v>
      </c>
      <c r="M131">
        <f>VLOOKUP(Table2[[#This Row],[game_id]],GamesTable[[game_id]:[IGDB id]],7,0)</f>
        <v>39626</v>
      </c>
    </row>
    <row r="132" spans="1:13" hidden="1" x14ac:dyDescent="0.25">
      <c r="A132" t="s">
        <v>7894</v>
      </c>
      <c r="B132">
        <f>COUNTIF(A:A,Table2[[#This Row],[game_id]])</f>
        <v>1</v>
      </c>
      <c r="C132" t="s">
        <v>8010</v>
      </c>
      <c r="D132">
        <v>1994</v>
      </c>
      <c r="F132" s="15">
        <v>0.8666666666666667</v>
      </c>
      <c r="G132">
        <v>46820</v>
      </c>
      <c r="H132" t="s">
        <v>8206</v>
      </c>
      <c r="I132" t="str">
        <f>IF(ISERROR(VLOOKUP(Table2[[#This Row],[IGDB_id]],GamesTable[IGDB id],1,0)),"NO","yes")</f>
        <v>yes</v>
      </c>
      <c r="J132" t="str">
        <f>IF(ISERROR(VLOOKUP(A132,GamesTable[game_id],1,0)),"not found","found")</f>
        <v>found</v>
      </c>
      <c r="K132" t="str">
        <f>VLOOKUP(Table2[[#This Row],[game_id]],GamesTable[[game_id]:[game title]],2,0)</f>
        <v xml:space="preserve">Street Hoop / Street Slam / Dunk Dream </v>
      </c>
      <c r="L132" t="str">
        <f>VLOOKUP(VLOOKUP(Table2[[#This Row],[game_id]],GamesTable[[game_id]:[IGDB id]],7,0),G:H,2,0)</f>
        <v>Street Hoop</v>
      </c>
      <c r="M132">
        <f>VLOOKUP(Table2[[#This Row],[game_id]],GamesTable[[game_id]:[IGDB id]],7,0)</f>
        <v>46820</v>
      </c>
    </row>
    <row r="133" spans="1:13" hidden="1" x14ac:dyDescent="0.25">
      <c r="A133" t="s">
        <v>7879</v>
      </c>
      <c r="B133">
        <f>COUNTIF(A:A,Table2[[#This Row],[game_id]])</f>
        <v>1</v>
      </c>
      <c r="C133" t="s">
        <v>2053</v>
      </c>
      <c r="D133">
        <v>1999</v>
      </c>
      <c r="E133">
        <v>72911</v>
      </c>
      <c r="F133" s="15">
        <v>1</v>
      </c>
      <c r="G133">
        <v>72911</v>
      </c>
      <c r="H133" t="s">
        <v>8205</v>
      </c>
      <c r="I133" t="str">
        <f>IF(ISERROR(VLOOKUP(Table2[[#This Row],[IGDB_id]],GamesTable[IGDB id],1,0)),"NO","yes")</f>
        <v>yes</v>
      </c>
      <c r="J133" t="str">
        <f>IF(ISERROR(VLOOKUP(A133,GamesTable[game_id],1,0)),"not found","found")</f>
        <v>found</v>
      </c>
      <c r="K133" t="str">
        <f>VLOOKUP(Table2[[#This Row],[game_id]],GamesTable[[game_id]:[game title]],2,0)</f>
        <v>Strikers 1945 Plus</v>
      </c>
      <c r="L133" t="str">
        <f>VLOOKUP(VLOOKUP(Table2[[#This Row],[game_id]],GamesTable[[game_id]:[IGDB id]],7,0),G:H,2,0)</f>
        <v>Strikers 1945 Plus</v>
      </c>
      <c r="M133">
        <f>VLOOKUP(Table2[[#This Row],[game_id]],GamesTable[[game_id]:[IGDB id]],7,0)</f>
        <v>72911</v>
      </c>
    </row>
    <row r="134" spans="1:13" hidden="1" x14ac:dyDescent="0.25">
      <c r="A134" t="s">
        <v>7892</v>
      </c>
      <c r="B134">
        <f>COUNTIF(A:A,Table2[[#This Row],[game_id]])</f>
        <v>1</v>
      </c>
      <c r="C134" t="s">
        <v>5684</v>
      </c>
      <c r="D134">
        <v>1992</v>
      </c>
      <c r="F134" s="15">
        <v>0.89333333333333331</v>
      </c>
      <c r="G134">
        <v>52191</v>
      </c>
      <c r="H134" t="s">
        <v>8204</v>
      </c>
      <c r="I134" t="str">
        <f>IF(ISERROR(VLOOKUP(Table2[[#This Row],[IGDB_id]],GamesTable[IGDB id],1,0)),"NO","yes")</f>
        <v>yes</v>
      </c>
      <c r="J134" t="str">
        <f>IF(ISERROR(VLOOKUP(A134,GamesTable[game_id],1,0)),"not found","found")</f>
        <v>found</v>
      </c>
      <c r="K134" t="str">
        <f>VLOOKUP(Table2[[#This Row],[game_id]],GamesTable[[game_id]:[game title]],2,0)</f>
        <v>Super Sidekicks</v>
      </c>
      <c r="L134" t="str">
        <f>VLOOKUP(VLOOKUP(Table2[[#This Row],[game_id]],GamesTable[[game_id]:[IGDB id]],7,0),G:H,2,0)</f>
        <v>Super Sidekicks</v>
      </c>
      <c r="M134">
        <f>VLOOKUP(Table2[[#This Row],[game_id]],GamesTable[[game_id]:[IGDB id]],7,0)</f>
        <v>52191</v>
      </c>
    </row>
    <row r="135" spans="1:13" hidden="1" x14ac:dyDescent="0.25">
      <c r="A135" t="s">
        <v>7928</v>
      </c>
      <c r="B135">
        <f>COUNTIF(A:A,Table2[[#This Row],[game_id]])</f>
        <v>1</v>
      </c>
      <c r="C135" t="s">
        <v>8009</v>
      </c>
      <c r="D135">
        <v>1994</v>
      </c>
      <c r="F135" s="15">
        <v>0.84500000000000008</v>
      </c>
      <c r="G135">
        <v>39497</v>
      </c>
      <c r="H135" t="s">
        <v>8203</v>
      </c>
      <c r="I135" t="str">
        <f>IF(ISERROR(VLOOKUP(Table2[[#This Row],[IGDB_id]],GamesTable[IGDB id],1,0)),"NO","yes")</f>
        <v>yes</v>
      </c>
      <c r="J135" t="str">
        <f>IF(ISERROR(VLOOKUP(A135,GamesTable[game_id],1,0)),"not found","found")</f>
        <v>found</v>
      </c>
      <c r="K135" t="str">
        <f>VLOOKUP(Table2[[#This Row],[game_id]],GamesTable[[game_id]:[game title]],2,0)</f>
        <v>Super Sidekicks 2 - The World Championship</v>
      </c>
      <c r="L135" t="str">
        <f>VLOOKUP(VLOOKUP(Table2[[#This Row],[game_id]],GamesTable[[game_id]:[IGDB id]],7,0),G:H,2,0)</f>
        <v>Super Sidekicks 2</v>
      </c>
      <c r="M135">
        <f>VLOOKUP(Table2[[#This Row],[game_id]],GamesTable[[game_id]:[IGDB id]],7,0)</f>
        <v>39497</v>
      </c>
    </row>
    <row r="136" spans="1:13" hidden="1" x14ac:dyDescent="0.25">
      <c r="A136" t="s">
        <v>7929</v>
      </c>
      <c r="B136">
        <f>COUNTIF(A:A,Table2[[#This Row],[game_id]])</f>
        <v>1</v>
      </c>
      <c r="C136" t="s">
        <v>4732</v>
      </c>
      <c r="D136">
        <v>1995</v>
      </c>
      <c r="F136" s="15">
        <v>0.88750000000000007</v>
      </c>
      <c r="G136">
        <v>39332</v>
      </c>
      <c r="H136" t="s">
        <v>8202</v>
      </c>
      <c r="I136" t="str">
        <f>IF(ISERROR(VLOOKUP(Table2[[#This Row],[IGDB_id]],GamesTable[IGDB id],1,0)),"NO","yes")</f>
        <v>yes</v>
      </c>
      <c r="J136" t="str">
        <f>IF(ISERROR(VLOOKUP(A136,GamesTable[game_id],1,0)),"not found","found")</f>
        <v>found</v>
      </c>
      <c r="K136" t="str">
        <f>VLOOKUP(Table2[[#This Row],[game_id]],GamesTable[[game_id]:[game title]],2,0)</f>
        <v>Super Sidekicks 3 - The Next Glory</v>
      </c>
      <c r="L136" t="str">
        <f>VLOOKUP(VLOOKUP(Table2[[#This Row],[game_id]],GamesTable[[game_id]:[IGDB id]],7,0),G:H,2,0)</f>
        <v>Super Sidekicks 3: The Next Glory</v>
      </c>
      <c r="M136">
        <f>VLOOKUP(Table2[[#This Row],[game_id]],GamesTable[[game_id]:[IGDB id]],7,0)</f>
        <v>39332</v>
      </c>
    </row>
    <row r="137" spans="1:13" hidden="1" x14ac:dyDescent="0.25">
      <c r="A137" t="s">
        <v>7903</v>
      </c>
      <c r="B137">
        <f>COUNTIF(A:A,Table2[[#This Row],[game_id]])</f>
        <v>1</v>
      </c>
      <c r="C137" t="s">
        <v>4546</v>
      </c>
      <c r="D137">
        <v>1996</v>
      </c>
      <c r="F137" s="15">
        <v>1</v>
      </c>
      <c r="G137">
        <v>39963</v>
      </c>
      <c r="H137" t="s">
        <v>8201</v>
      </c>
      <c r="I137" t="str">
        <f>IF(ISERROR(VLOOKUP(Table2[[#This Row],[IGDB_id]],GamesTable[IGDB id],1,0)),"NO","yes")</f>
        <v>yes</v>
      </c>
      <c r="J137" t="str">
        <f>IF(ISERROR(VLOOKUP(A137,GamesTable[game_id],1,0)),"not found","found")</f>
        <v>found</v>
      </c>
      <c r="K137" t="str">
        <f>VLOOKUP(Table2[[#This Row],[game_id]],GamesTable[[game_id]:[game title]],2,0)</f>
        <v>Tecmo World Soccer '96</v>
      </c>
      <c r="L137" t="str">
        <f>VLOOKUP(VLOOKUP(Table2[[#This Row],[game_id]],GamesTable[[game_id]:[IGDB id]],7,0),G:H,2,0)</f>
        <v>Tecmo World Soccer '96</v>
      </c>
      <c r="M137">
        <f>VLOOKUP(Table2[[#This Row],[game_id]],GamesTable[[game_id]:[IGDB id]],7,0)</f>
        <v>39963</v>
      </c>
    </row>
    <row r="138" spans="1:13" hidden="1" x14ac:dyDescent="0.25">
      <c r="A138" t="s">
        <v>7814</v>
      </c>
      <c r="B138">
        <f>COUNTIF(A:A,Table2[[#This Row],[game_id]])</f>
        <v>1</v>
      </c>
      <c r="C138" t="s">
        <v>2958</v>
      </c>
      <c r="D138">
        <v>1997</v>
      </c>
      <c r="E138">
        <v>47599</v>
      </c>
      <c r="F138" s="15">
        <v>0.8755434396907229</v>
      </c>
      <c r="G138">
        <v>47599</v>
      </c>
      <c r="H138" t="s">
        <v>8200</v>
      </c>
      <c r="I138" t="str">
        <f>IF(ISERROR(VLOOKUP(Table2[[#This Row],[IGDB_id]],GamesTable[IGDB id],1,0)),"NO","yes")</f>
        <v>yes</v>
      </c>
      <c r="J138" t="str">
        <f>IF(ISERROR(VLOOKUP(A138,GamesTable[game_id],1,0)),"not found","found")</f>
        <v>found</v>
      </c>
      <c r="K138" t="str">
        <f>VLOOKUP(Table2[[#This Row],[game_id]],GamesTable[[game_id]:[game title]],2,0)</f>
        <v>The Irritating Maze</v>
      </c>
      <c r="L138" t="str">
        <f>VLOOKUP(VLOOKUP(Table2[[#This Row],[game_id]],GamesTable[[game_id]:[IGDB id]],7,0),G:H,2,0)</f>
        <v>The Irritating Maze</v>
      </c>
      <c r="M138">
        <f>VLOOKUP(Table2[[#This Row],[game_id]],GamesTable[[game_id]:[IGDB id]],7,0)</f>
        <v>47599</v>
      </c>
    </row>
    <row r="139" spans="1:13" hidden="1" x14ac:dyDescent="0.25">
      <c r="A139" t="s">
        <v>7821</v>
      </c>
      <c r="B139">
        <f>COUNTIF(A:A,Table2[[#This Row],[game_id]])</f>
        <v>1</v>
      </c>
      <c r="C139" t="s">
        <v>7962</v>
      </c>
      <c r="D139">
        <v>2000</v>
      </c>
      <c r="F139" s="15">
        <v>1</v>
      </c>
      <c r="G139">
        <v>15431</v>
      </c>
      <c r="H139" t="s">
        <v>8199</v>
      </c>
      <c r="I139" t="str">
        <f>IF(ISERROR(VLOOKUP(Table2[[#This Row],[IGDB_id]],GamesTable[IGDB id],1,0)),"NO","yes")</f>
        <v>yes</v>
      </c>
      <c r="J139" t="str">
        <f>IF(ISERROR(VLOOKUP(A139,GamesTable[game_id],1,0)),"not found","found")</f>
        <v>found</v>
      </c>
      <c r="K139" t="str">
        <f>VLOOKUP(Table2[[#This Row],[game_id]],GamesTable[[game_id]:[game title]],2,0)</f>
        <v xml:space="preserve">The King of Fighters 2000 </v>
      </c>
      <c r="L139" t="str">
        <f>VLOOKUP(VLOOKUP(Table2[[#This Row],[game_id]],GamesTable[[game_id]:[IGDB id]],7,0),G:H,2,0)</f>
        <v>The King of Fighters 2000</v>
      </c>
      <c r="M139">
        <f>VLOOKUP(Table2[[#This Row],[game_id]],GamesTable[[game_id]:[IGDB id]],7,0)</f>
        <v>15431</v>
      </c>
    </row>
    <row r="140" spans="1:13" hidden="1" x14ac:dyDescent="0.25">
      <c r="A140" t="s">
        <v>7822</v>
      </c>
      <c r="B140">
        <f>COUNTIF(A:A,Table2[[#This Row],[game_id]])</f>
        <v>1</v>
      </c>
      <c r="C140" t="s">
        <v>7963</v>
      </c>
      <c r="D140">
        <v>2001</v>
      </c>
      <c r="F140" s="15">
        <v>1</v>
      </c>
      <c r="G140">
        <v>15432</v>
      </c>
      <c r="H140" t="s">
        <v>8198</v>
      </c>
      <c r="I140" t="str">
        <f>IF(ISERROR(VLOOKUP(Table2[[#This Row],[IGDB_id]],GamesTable[IGDB id],1,0)),"NO","yes")</f>
        <v>yes</v>
      </c>
      <c r="J140" t="str">
        <f>IF(ISERROR(VLOOKUP(A140,GamesTable[game_id],1,0)),"not found","found")</f>
        <v>found</v>
      </c>
      <c r="K140" t="str">
        <f>VLOOKUP(Table2[[#This Row],[game_id]],GamesTable[[game_id]:[game title]],2,0)</f>
        <v xml:space="preserve">The King of Fighters 2001 </v>
      </c>
      <c r="L140" t="str">
        <f>VLOOKUP(VLOOKUP(Table2[[#This Row],[game_id]],GamesTable[[game_id]:[IGDB id]],7,0),G:H,2,0)</f>
        <v>The King of Fighters 2001</v>
      </c>
      <c r="M140">
        <f>VLOOKUP(Table2[[#This Row],[game_id]],GamesTable[[game_id]:[IGDB id]],7,0)</f>
        <v>15432</v>
      </c>
    </row>
    <row r="141" spans="1:13" hidden="1" x14ac:dyDescent="0.25">
      <c r="A141" t="s">
        <v>7823</v>
      </c>
      <c r="B141">
        <f>COUNTIF(A:A,Table2[[#This Row],[game_id]])</f>
        <v>1</v>
      </c>
      <c r="C141" t="s">
        <v>7964</v>
      </c>
      <c r="D141">
        <v>2002</v>
      </c>
      <c r="F141" s="15">
        <v>1</v>
      </c>
      <c r="G141">
        <v>5884</v>
      </c>
      <c r="H141" t="s">
        <v>8197</v>
      </c>
      <c r="I141" t="str">
        <f>IF(ISERROR(VLOOKUP(Table2[[#This Row],[IGDB_id]],GamesTable[IGDB id],1,0)),"NO","yes")</f>
        <v>yes</v>
      </c>
      <c r="J141" t="str">
        <f>IF(ISERROR(VLOOKUP(A141,GamesTable[game_id],1,0)),"not found","found")</f>
        <v>found</v>
      </c>
      <c r="K141" t="str">
        <f>VLOOKUP(Table2[[#This Row],[game_id]],GamesTable[[game_id]:[game title]],2,0)</f>
        <v xml:space="preserve">The King of Fighters 2002 </v>
      </c>
      <c r="L141" t="str">
        <f>VLOOKUP(VLOOKUP(Table2[[#This Row],[game_id]],GamesTable[[game_id]:[IGDB id]],7,0),G:H,2,0)</f>
        <v>The King of Fighters 2002</v>
      </c>
      <c r="M141">
        <f>VLOOKUP(Table2[[#This Row],[game_id]],GamesTable[[game_id]:[IGDB id]],7,0)</f>
        <v>5884</v>
      </c>
    </row>
    <row r="142" spans="1:13" hidden="1" x14ac:dyDescent="0.25">
      <c r="A142" t="s">
        <v>7824</v>
      </c>
      <c r="B142">
        <f>COUNTIF(A:A,Table2[[#This Row],[game_id]])</f>
        <v>1</v>
      </c>
      <c r="C142" t="s">
        <v>7965</v>
      </c>
      <c r="D142">
        <v>2003</v>
      </c>
      <c r="F142" s="15">
        <v>1</v>
      </c>
      <c r="G142">
        <v>15433</v>
      </c>
      <c r="H142" t="s">
        <v>8196</v>
      </c>
      <c r="I142" t="str">
        <f>IF(ISERROR(VLOOKUP(Table2[[#This Row],[IGDB_id]],GamesTable[IGDB id],1,0)),"NO","yes")</f>
        <v>yes</v>
      </c>
      <c r="J142" t="str">
        <f>IF(ISERROR(VLOOKUP(A142,GamesTable[game_id],1,0)),"not found","found")</f>
        <v>found</v>
      </c>
      <c r="K142" t="str">
        <f>VLOOKUP(Table2[[#This Row],[game_id]],GamesTable[[game_id]:[game title]],2,0)</f>
        <v xml:space="preserve">The King of Fighters 2003 </v>
      </c>
      <c r="L142" t="str">
        <f>VLOOKUP(VLOOKUP(Table2[[#This Row],[game_id]],GamesTable[[game_id]:[IGDB id]],7,0),G:H,2,0)</f>
        <v>The King of Fighters 2003</v>
      </c>
      <c r="M142">
        <f>VLOOKUP(Table2[[#This Row],[game_id]],GamesTable[[game_id]:[IGDB id]],7,0)</f>
        <v>15433</v>
      </c>
    </row>
    <row r="143" spans="1:13" hidden="1" x14ac:dyDescent="0.25">
      <c r="A143" t="s">
        <v>7825</v>
      </c>
      <c r="B143">
        <f>COUNTIF(A:A,Table2[[#This Row],[game_id]])</f>
        <v>1</v>
      </c>
      <c r="C143" t="s">
        <v>7966</v>
      </c>
      <c r="D143">
        <v>1994</v>
      </c>
      <c r="F143" s="15">
        <v>1</v>
      </c>
      <c r="G143">
        <v>15426</v>
      </c>
      <c r="H143" t="s">
        <v>8195</v>
      </c>
      <c r="I143" t="str">
        <f>IF(ISERROR(VLOOKUP(Table2[[#This Row],[IGDB_id]],GamesTable[IGDB id],1,0)),"NO","yes")</f>
        <v>yes</v>
      </c>
      <c r="J143" t="str">
        <f>IF(ISERROR(VLOOKUP(A143,GamesTable[game_id],1,0)),"not found","found")</f>
        <v>found</v>
      </c>
      <c r="K143" t="str">
        <f>VLOOKUP(Table2[[#This Row],[game_id]],GamesTable[[game_id]:[game title]],2,0)</f>
        <v xml:space="preserve">The King of Fighters '94 </v>
      </c>
      <c r="L143" t="str">
        <f>VLOOKUP(VLOOKUP(Table2[[#This Row],[game_id]],GamesTable[[game_id]:[IGDB id]],7,0),G:H,2,0)</f>
        <v>The King of Fighters '94</v>
      </c>
      <c r="M143">
        <f>VLOOKUP(Table2[[#This Row],[game_id]],GamesTable[[game_id]:[IGDB id]],7,0)</f>
        <v>15426</v>
      </c>
    </row>
    <row r="144" spans="1:13" hidden="1" x14ac:dyDescent="0.25">
      <c r="A144" t="s">
        <v>7826</v>
      </c>
      <c r="B144">
        <f>COUNTIF(A:A,Table2[[#This Row],[game_id]])</f>
        <v>1</v>
      </c>
      <c r="C144" t="s">
        <v>7967</v>
      </c>
      <c r="D144">
        <v>1995</v>
      </c>
      <c r="F144" s="15">
        <v>1</v>
      </c>
      <c r="G144">
        <v>15427</v>
      </c>
      <c r="H144" t="s">
        <v>8194</v>
      </c>
      <c r="I144" t="str">
        <f>IF(ISERROR(VLOOKUP(Table2[[#This Row],[IGDB_id]],GamesTable[IGDB id],1,0)),"NO","yes")</f>
        <v>yes</v>
      </c>
      <c r="J144" t="str">
        <f>IF(ISERROR(VLOOKUP(A144,GamesTable[game_id],1,0)),"not found","found")</f>
        <v>found</v>
      </c>
      <c r="K144" t="str">
        <f>VLOOKUP(Table2[[#This Row],[game_id]],GamesTable[[game_id]:[game title]],2,0)</f>
        <v xml:space="preserve">The King of Fighters '95 </v>
      </c>
      <c r="L144" t="str">
        <f>VLOOKUP(VLOOKUP(Table2[[#This Row],[game_id]],GamesTable[[game_id]:[IGDB id]],7,0),G:H,2,0)</f>
        <v>The King of Fighters '95</v>
      </c>
      <c r="M144">
        <f>VLOOKUP(Table2[[#This Row],[game_id]],GamesTable[[game_id]:[IGDB id]],7,0)</f>
        <v>15427</v>
      </c>
    </row>
    <row r="145" spans="1:13" hidden="1" x14ac:dyDescent="0.25">
      <c r="A145" t="s">
        <v>7827</v>
      </c>
      <c r="B145">
        <f>COUNTIF(A:A,Table2[[#This Row],[game_id]])</f>
        <v>1</v>
      </c>
      <c r="C145" t="s">
        <v>7968</v>
      </c>
      <c r="D145">
        <v>1996</v>
      </c>
      <c r="F145" s="15">
        <v>1</v>
      </c>
      <c r="G145">
        <v>12588</v>
      </c>
      <c r="H145" t="s">
        <v>8193</v>
      </c>
      <c r="I145" t="str">
        <f>IF(ISERROR(VLOOKUP(Table2[[#This Row],[IGDB_id]],GamesTable[IGDB id],1,0)),"NO","yes")</f>
        <v>yes</v>
      </c>
      <c r="J145" t="str">
        <f>IF(ISERROR(VLOOKUP(A145,GamesTable[game_id],1,0)),"not found","found")</f>
        <v>found</v>
      </c>
      <c r="K145" t="str">
        <f>VLOOKUP(Table2[[#This Row],[game_id]],GamesTable[[game_id]:[game title]],2,0)</f>
        <v xml:space="preserve">The King of Fighters '96 </v>
      </c>
      <c r="L145" t="str">
        <f>VLOOKUP(VLOOKUP(Table2[[#This Row],[game_id]],GamesTable[[game_id]:[IGDB id]],7,0),G:H,2,0)</f>
        <v>The King of Fighters '96</v>
      </c>
      <c r="M145">
        <f>VLOOKUP(Table2[[#This Row],[game_id]],GamesTable[[game_id]:[IGDB id]],7,0)</f>
        <v>12588</v>
      </c>
    </row>
    <row r="146" spans="1:13" hidden="1" x14ac:dyDescent="0.25">
      <c r="A146" t="s">
        <v>7828</v>
      </c>
      <c r="B146">
        <f>COUNTIF(A:A,Table2[[#This Row],[game_id]])</f>
        <v>1</v>
      </c>
      <c r="C146" t="s">
        <v>7969</v>
      </c>
      <c r="D146">
        <v>1997</v>
      </c>
      <c r="F146" s="15">
        <v>1</v>
      </c>
      <c r="G146">
        <v>15428</v>
      </c>
      <c r="H146" t="s">
        <v>8192</v>
      </c>
      <c r="I146" t="str">
        <f>IF(ISERROR(VLOOKUP(Table2[[#This Row],[IGDB_id]],GamesTable[IGDB id],1,0)),"NO","yes")</f>
        <v>yes</v>
      </c>
      <c r="J146" t="str">
        <f>IF(ISERROR(VLOOKUP(A146,GamesTable[game_id],1,0)),"not found","found")</f>
        <v>found</v>
      </c>
      <c r="K146" t="str">
        <f>VLOOKUP(Table2[[#This Row],[game_id]],GamesTable[[game_id]:[game title]],2,0)</f>
        <v xml:space="preserve">The King of Fighters '97 </v>
      </c>
      <c r="L146" t="str">
        <f>VLOOKUP(VLOOKUP(Table2[[#This Row],[game_id]],GamesTable[[game_id]:[IGDB id]],7,0),G:H,2,0)</f>
        <v>The King of Fighters '97</v>
      </c>
      <c r="M146">
        <f>VLOOKUP(Table2[[#This Row],[game_id]],GamesTable[[game_id]:[IGDB id]],7,0)</f>
        <v>15428</v>
      </c>
    </row>
    <row r="147" spans="1:13" hidden="1" x14ac:dyDescent="0.25">
      <c r="A147" t="s">
        <v>7773</v>
      </c>
      <c r="B147">
        <f>COUNTIF(A:A,Table2[[#This Row],[game_id]])</f>
        <v>1</v>
      </c>
      <c r="C147" t="s">
        <v>7771</v>
      </c>
      <c r="D147">
        <v>1998</v>
      </c>
      <c r="F147" s="15">
        <v>0.9263157894736842</v>
      </c>
      <c r="G147">
        <v>15429</v>
      </c>
      <c r="H147" t="s">
        <v>8191</v>
      </c>
      <c r="I147" t="str">
        <f>IF(ISERROR(VLOOKUP(Table2[[#This Row],[IGDB_id]],GamesTable[IGDB id],1,0)),"NO","yes")</f>
        <v>yes</v>
      </c>
      <c r="J147" t="str">
        <f>IF(ISERROR(VLOOKUP(A147,GamesTable[game_id],1,0)),"not found","found")</f>
        <v>found</v>
      </c>
      <c r="K147" t="str">
        <f>VLOOKUP(Table2[[#This Row],[game_id]],GamesTable[[game_id]:[game title]],2,0)</f>
        <v>The King of Fighters '98 - The Slugfest</v>
      </c>
      <c r="L147" t="str">
        <f>VLOOKUP(VLOOKUP(Table2[[#This Row],[game_id]],GamesTable[[game_id]:[IGDB id]],7,0),G:H,2,0)</f>
        <v>The King of Fighters '98</v>
      </c>
      <c r="M147">
        <f>VLOOKUP(Table2[[#This Row],[game_id]],GamesTable[[game_id]:[IGDB id]],7,0)</f>
        <v>15429</v>
      </c>
    </row>
    <row r="148" spans="1:13" hidden="1" x14ac:dyDescent="0.25">
      <c r="A148" t="s">
        <v>7829</v>
      </c>
      <c r="B148">
        <f>COUNTIF(A:A,Table2[[#This Row],[game_id]])</f>
        <v>1</v>
      </c>
      <c r="C148" t="s">
        <v>7970</v>
      </c>
      <c r="D148">
        <v>1999</v>
      </c>
      <c r="F148" s="15">
        <v>1</v>
      </c>
      <c r="G148">
        <v>15430</v>
      </c>
      <c r="H148" t="s">
        <v>8190</v>
      </c>
      <c r="I148" t="str">
        <f>IF(ISERROR(VLOOKUP(Table2[[#This Row],[IGDB_id]],GamesTable[IGDB id],1,0)),"NO","yes")</f>
        <v>yes</v>
      </c>
      <c r="J148" t="str">
        <f>IF(ISERROR(VLOOKUP(A148,GamesTable[game_id],1,0)),"not found","found")</f>
        <v>found</v>
      </c>
      <c r="K148" t="str">
        <f>VLOOKUP(Table2[[#This Row],[game_id]],GamesTable[[game_id]:[game title]],2,0)</f>
        <v xml:space="preserve">The King of Fighters '99 - Millennium Battle </v>
      </c>
      <c r="L148" t="str">
        <f>VLOOKUP(VLOOKUP(Table2[[#This Row],[game_id]],GamesTable[[game_id]:[IGDB id]],7,0),G:H,2,0)</f>
        <v>The King of Fighters '99: Millennium Battle</v>
      </c>
      <c r="M148">
        <f>VLOOKUP(Table2[[#This Row],[game_id]],GamesTable[[game_id]:[IGDB id]],7,0)</f>
        <v>15430</v>
      </c>
    </row>
    <row r="149" spans="1:13" hidden="1" x14ac:dyDescent="0.25">
      <c r="A149" t="s">
        <v>7831</v>
      </c>
      <c r="B149">
        <f>COUNTIF(A:A,Table2[[#This Row],[game_id]])</f>
        <v>1</v>
      </c>
      <c r="C149" t="s">
        <v>7973</v>
      </c>
      <c r="D149">
        <v>1997</v>
      </c>
      <c r="F149" s="15">
        <v>0.86428571428571432</v>
      </c>
      <c r="G149">
        <v>22844</v>
      </c>
      <c r="H149" t="s">
        <v>8189</v>
      </c>
      <c r="I149" t="str">
        <f>IF(ISERROR(VLOOKUP(Table2[[#This Row],[IGDB_id]],GamesTable[IGDB id],1,0)),"NO","yes")</f>
        <v>yes</v>
      </c>
      <c r="J149" t="str">
        <f>IF(ISERROR(VLOOKUP(A149,GamesTable[game_id],1,0)),"not found","found")</f>
        <v>found</v>
      </c>
      <c r="K149" t="str">
        <f>VLOOKUP(Table2[[#This Row],[game_id]],GamesTable[[game_id]:[game title]],2,0)</f>
        <v>The Last Blade</v>
      </c>
      <c r="L149" t="str">
        <f>VLOOKUP(VLOOKUP(Table2[[#This Row],[game_id]],GamesTable[[game_id]:[IGDB id]],7,0),G:H,2,0)</f>
        <v>The Last Blade</v>
      </c>
      <c r="M149">
        <f>VLOOKUP(Table2[[#This Row],[game_id]],GamesTable[[game_id]:[IGDB id]],7,0)</f>
        <v>22844</v>
      </c>
    </row>
    <row r="150" spans="1:13" hidden="1" x14ac:dyDescent="0.25">
      <c r="A150" t="s">
        <v>7895</v>
      </c>
      <c r="B150">
        <f>COUNTIF(A:A,Table2[[#This Row],[game_id]])</f>
        <v>1</v>
      </c>
      <c r="C150" t="s">
        <v>8011</v>
      </c>
      <c r="D150">
        <v>1990</v>
      </c>
      <c r="F150" s="15">
        <v>1</v>
      </c>
      <c r="G150">
        <v>46838</v>
      </c>
      <c r="H150" t="s">
        <v>8186</v>
      </c>
      <c r="I150" t="str">
        <f>IF(ISERROR(VLOOKUP(Table2[[#This Row],[IGDB_id]],GamesTable[IGDB id],1,0)),"NO","yes")</f>
        <v>yes</v>
      </c>
      <c r="J150" t="str">
        <f>IF(ISERROR(VLOOKUP(A150,GamesTable[game_id],1,0)),"not found","found")</f>
        <v>found</v>
      </c>
      <c r="K150" t="str">
        <f>VLOOKUP(Table2[[#This Row],[game_id]],GamesTable[[game_id]:[game title]],2,0)</f>
        <v xml:space="preserve">The Super Spy </v>
      </c>
      <c r="L150" t="str">
        <f>VLOOKUP(VLOOKUP(Table2[[#This Row],[game_id]],GamesTable[[game_id]:[IGDB id]],7,0),G:H,2,0)</f>
        <v>The Super Spy</v>
      </c>
      <c r="M150">
        <f>VLOOKUP(Table2[[#This Row],[game_id]],GamesTable[[game_id]:[IGDB id]],7,0)</f>
        <v>46838</v>
      </c>
    </row>
    <row r="151" spans="1:13" hidden="1" x14ac:dyDescent="0.25">
      <c r="A151" t="s">
        <v>7930</v>
      </c>
      <c r="B151">
        <f>COUNTIF(A:A,Table2[[#This Row],[game_id]])</f>
        <v>1</v>
      </c>
      <c r="C151" t="s">
        <v>3652</v>
      </c>
      <c r="D151">
        <v>1996</v>
      </c>
      <c r="F151" s="15">
        <v>0.90212765957446805</v>
      </c>
      <c r="G151">
        <v>39537</v>
      </c>
      <c r="H151" t="s">
        <v>8185</v>
      </c>
      <c r="I151" t="str">
        <f>IF(ISERROR(VLOOKUP(Table2[[#This Row],[IGDB_id]],GamesTable[IGDB id],1,0)),"NO","yes")</f>
        <v>yes</v>
      </c>
      <c r="J151" t="str">
        <f>IF(ISERROR(VLOOKUP(A151,GamesTable[game_id],1,0)),"not found","found")</f>
        <v>found</v>
      </c>
      <c r="K151" t="str">
        <f>VLOOKUP(Table2[[#This Row],[game_id]],GamesTable[[game_id]:[game title]],2,0)</f>
        <v>The Ultimate 11 - The SNK Football Championship</v>
      </c>
      <c r="L151" t="str">
        <f>VLOOKUP(VLOOKUP(Table2[[#This Row],[game_id]],GamesTable[[game_id]:[IGDB id]],7,0),G:H,2,0)</f>
        <v>The Ultimate 11: SNK Football Championship</v>
      </c>
      <c r="M151">
        <f>VLOOKUP(Table2[[#This Row],[game_id]],GamesTable[[game_id]:[IGDB id]],7,0)</f>
        <v>39537</v>
      </c>
    </row>
    <row r="152" spans="1:13" hidden="1" x14ac:dyDescent="0.25">
      <c r="A152" t="s">
        <v>7900</v>
      </c>
      <c r="B152">
        <f>COUNTIF(A:A,Table2[[#This Row],[game_id]])</f>
        <v>1</v>
      </c>
      <c r="C152" t="s">
        <v>8015</v>
      </c>
      <c r="D152">
        <v>1991</v>
      </c>
      <c r="F152" s="15">
        <v>1</v>
      </c>
      <c r="G152">
        <v>46521</v>
      </c>
      <c r="H152" t="s">
        <v>8184</v>
      </c>
      <c r="I152" t="str">
        <f>IF(ISERROR(VLOOKUP(Table2[[#This Row],[IGDB_id]],GamesTable[IGDB id],1,0)),"NO","yes")</f>
        <v>yes</v>
      </c>
      <c r="J152" t="str">
        <f>IF(ISERROR(VLOOKUP(A152,GamesTable[game_id],1,0)),"not found","found")</f>
        <v>found</v>
      </c>
      <c r="K152" t="str">
        <f>VLOOKUP(Table2[[#This Row],[game_id]],GamesTable[[game_id]:[game title]],2,0)</f>
        <v xml:space="preserve">Thrash Rally </v>
      </c>
      <c r="L152" t="str">
        <f>VLOOKUP(VLOOKUP(Table2[[#This Row],[game_id]],GamesTable[[game_id]:[IGDB id]],7,0),G:H,2,0)</f>
        <v>Thrash Rally</v>
      </c>
      <c r="M152">
        <f>VLOOKUP(Table2[[#This Row],[game_id]],GamesTable[[game_id]:[IGDB id]],7,0)</f>
        <v>46521</v>
      </c>
    </row>
    <row r="153" spans="1:13" hidden="1" x14ac:dyDescent="0.25">
      <c r="A153" t="s">
        <v>7897</v>
      </c>
      <c r="B153">
        <f>COUNTIF(A:A,Table2[[#This Row],[game_id]])</f>
        <v>2</v>
      </c>
      <c r="C153" t="s">
        <v>8013</v>
      </c>
      <c r="D153">
        <v>1994</v>
      </c>
      <c r="F153" s="15">
        <v>0.89473684210526316</v>
      </c>
      <c r="G153">
        <v>46520</v>
      </c>
      <c r="H153" t="s">
        <v>8182</v>
      </c>
      <c r="I153" s="3" t="str">
        <f>IF(ISERROR(VLOOKUP(Table2[[#This Row],[IGDB_id]],GamesTable[IGDB id],1,0)),"NO","yes")</f>
        <v>yes</v>
      </c>
      <c r="J153" t="str">
        <f>IF(ISERROR(VLOOKUP(A153,GamesTable[game_id],1,0)),"not found","found")</f>
        <v>found</v>
      </c>
      <c r="K153" t="str">
        <f>VLOOKUP(Table2[[#This Row],[game_id]],GamesTable[[game_id]:[game title]],2,0)</f>
        <v xml:space="preserve">Top Hunter - Roddy &amp; Cathy </v>
      </c>
      <c r="L153" t="str">
        <f>VLOOKUP(VLOOKUP(Table2[[#This Row],[game_id]],GamesTable[[game_id]:[IGDB id]],7,0),G:H,2,0)</f>
        <v>Top Hunter</v>
      </c>
      <c r="M153">
        <f>VLOOKUP(Table2[[#This Row],[game_id]],GamesTable[[game_id]:[IGDB id]],7,0)</f>
        <v>46520</v>
      </c>
    </row>
    <row r="154" spans="1:13" x14ac:dyDescent="0.25">
      <c r="A154" t="s">
        <v>7897</v>
      </c>
      <c r="B154">
        <f>COUNTIF(A:A,Table2[[#This Row],[game_id]])</f>
        <v>2</v>
      </c>
      <c r="C154" t="s">
        <v>8013</v>
      </c>
      <c r="D154">
        <v>1994</v>
      </c>
      <c r="F154" s="15">
        <v>1</v>
      </c>
      <c r="G154">
        <v>47578</v>
      </c>
      <c r="H154" t="s">
        <v>8181</v>
      </c>
      <c r="I154" s="3" t="str">
        <f>IF(ISERROR(VLOOKUP(Table2[[#This Row],[IGDB_id]],GamesTable[IGDB id],1,0)),"NO","yes")</f>
        <v>NO</v>
      </c>
      <c r="J154" t="str">
        <f>IF(ISERROR(VLOOKUP(A154,GamesTable[game_id],1,0)),"not found","found")</f>
        <v>found</v>
      </c>
      <c r="K154" t="str">
        <f>VLOOKUP(Table2[[#This Row],[game_id]],GamesTable[[game_id]:[game title]],2,0)</f>
        <v xml:space="preserve">Top Hunter - Roddy &amp; Cathy </v>
      </c>
      <c r="L154" t="str">
        <f>VLOOKUP(VLOOKUP(Table2[[#This Row],[game_id]],GamesTable[[game_id]:[IGDB id]],7,0),G:H,2,0)</f>
        <v>Top Hunter</v>
      </c>
      <c r="M154">
        <f>VLOOKUP(Table2[[#This Row],[game_id]],GamesTable[[game_id]:[IGDB id]],7,0)</f>
        <v>46520</v>
      </c>
    </row>
    <row r="155" spans="1:13" hidden="1" x14ac:dyDescent="0.25">
      <c r="A155" t="s">
        <v>7899</v>
      </c>
      <c r="B155">
        <f>COUNTIF(A:A,Table2[[#This Row],[game_id]])</f>
        <v>1</v>
      </c>
      <c r="C155" t="s">
        <v>8014</v>
      </c>
      <c r="D155">
        <v>1990</v>
      </c>
      <c r="F155" s="15">
        <v>1</v>
      </c>
      <c r="G155">
        <v>40471</v>
      </c>
      <c r="H155" t="s">
        <v>8180</v>
      </c>
      <c r="I155" t="str">
        <f>IF(ISERROR(VLOOKUP(Table2[[#This Row],[IGDB_id]],GamesTable[IGDB id],1,0)),"NO","yes")</f>
        <v>yes</v>
      </c>
      <c r="J155" t="str">
        <f>IF(ISERROR(VLOOKUP(A155,GamesTable[game_id],1,0)),"not found","found")</f>
        <v>found</v>
      </c>
      <c r="K155" t="str">
        <f>VLOOKUP(Table2[[#This Row],[game_id]],GamesTable[[game_id]:[game title]],2,0)</f>
        <v xml:space="preserve">Top Player's Golf </v>
      </c>
      <c r="L155" t="str">
        <f>VLOOKUP(VLOOKUP(Table2[[#This Row],[game_id]],GamesTable[[game_id]:[IGDB id]],7,0),G:H,2,0)</f>
        <v>Top Player's Golf</v>
      </c>
      <c r="M155">
        <f>VLOOKUP(Table2[[#This Row],[game_id]],GamesTable[[game_id]:[IGDB id]],7,0)</f>
        <v>40471</v>
      </c>
    </row>
    <row r="156" spans="1:13" hidden="1" x14ac:dyDescent="0.25">
      <c r="A156" t="s">
        <v>7898</v>
      </c>
      <c r="B156">
        <f>COUNTIF(A:A,Table2[[#This Row],[game_id]])</f>
        <v>1</v>
      </c>
      <c r="C156" t="s">
        <v>49</v>
      </c>
      <c r="D156">
        <v>2010</v>
      </c>
      <c r="F156" s="15">
        <v>0.98694516956879941</v>
      </c>
      <c r="G156">
        <v>47591</v>
      </c>
      <c r="H156" t="s">
        <v>8179</v>
      </c>
      <c r="I156" t="str">
        <f>IF(ISERROR(VLOOKUP(Table2[[#This Row],[IGDB_id]],GamesTable[IGDB id],1,0)),"NO","yes")</f>
        <v>yes</v>
      </c>
      <c r="J156" t="str">
        <f>IF(ISERROR(VLOOKUP(A156,GamesTable[game_id],1,0)),"not found","found")</f>
        <v>found</v>
      </c>
      <c r="K156" t="str">
        <f>VLOOKUP(Table2[[#This Row],[game_id]],GamesTable[[game_id]:[game title]],2,0)</f>
        <v>Treasures of The Caribbean</v>
      </c>
      <c r="L156" t="str">
        <f>VLOOKUP(VLOOKUP(Table2[[#This Row],[game_id]],GamesTable[[game_id]:[IGDB id]],7,0),G:H,2,0)</f>
        <v>Treasure of the Caribbean</v>
      </c>
      <c r="M156">
        <f>VLOOKUP(Table2[[#This Row],[game_id]],GamesTable[[game_id]:[IGDB id]],7,0)</f>
        <v>47591</v>
      </c>
    </row>
    <row r="157" spans="1:13" hidden="1" x14ac:dyDescent="0.25">
      <c r="A157" t="s">
        <v>7902</v>
      </c>
      <c r="B157">
        <f>COUNTIF(A:A,Table2[[#This Row],[game_id]])</f>
        <v>1</v>
      </c>
      <c r="C157" t="s">
        <v>3276</v>
      </c>
      <c r="D157">
        <v>1996</v>
      </c>
      <c r="F157" s="15">
        <v>1</v>
      </c>
      <c r="G157">
        <v>35378</v>
      </c>
      <c r="H157" t="s">
        <v>8178</v>
      </c>
      <c r="I157" t="str">
        <f>IF(ISERROR(VLOOKUP(Table2[[#This Row],[IGDB_id]],GamesTable[IGDB id],1,0)),"NO","yes")</f>
        <v>yes</v>
      </c>
      <c r="J157" t="str">
        <f>IF(ISERROR(VLOOKUP(A157,GamesTable[game_id],1,0)),"not found","found")</f>
        <v>found</v>
      </c>
      <c r="K157" t="str">
        <f>VLOOKUP(Table2[[#This Row],[game_id]],GamesTable[[game_id]:[game title]],2,0)</f>
        <v>Twinkle Star Sprites</v>
      </c>
      <c r="L157" t="str">
        <f>VLOOKUP(VLOOKUP(Table2[[#This Row],[game_id]],GamesTable[[game_id]:[IGDB id]],7,0),G:H,2,0)</f>
        <v>TWINKLE STAR SPRITES</v>
      </c>
      <c r="M157">
        <f>VLOOKUP(Table2[[#This Row],[game_id]],GamesTable[[game_id]:[IGDB id]],7,0)</f>
        <v>35378</v>
      </c>
    </row>
    <row r="158" spans="1:13" hidden="1" x14ac:dyDescent="0.25">
      <c r="A158" t="s">
        <v>7904</v>
      </c>
      <c r="B158">
        <f>COUNTIF(A:A,Table2[[#This Row],[game_id]])</f>
        <v>1</v>
      </c>
      <c r="C158" t="s">
        <v>5758</v>
      </c>
      <c r="D158">
        <v>1992</v>
      </c>
      <c r="F158" s="15">
        <v>1</v>
      </c>
      <c r="G158">
        <v>20707</v>
      </c>
      <c r="H158" t="s">
        <v>5758</v>
      </c>
      <c r="I158" t="str">
        <f>IF(ISERROR(VLOOKUP(Table2[[#This Row],[IGDB_id]],GamesTable[IGDB id],1,0)),"NO","yes")</f>
        <v>yes</v>
      </c>
      <c r="J158" t="str">
        <f>IF(ISERROR(VLOOKUP(A158,GamesTable[game_id],1,0)),"not found","found")</f>
        <v>found</v>
      </c>
      <c r="K158" t="str">
        <f>VLOOKUP(Table2[[#This Row],[game_id]],GamesTable[[game_id]:[game title]],2,0)</f>
        <v>Viewpoint</v>
      </c>
      <c r="L158" t="str">
        <f>VLOOKUP(VLOOKUP(Table2[[#This Row],[game_id]],GamesTable[[game_id]:[IGDB id]],7,0),G:H,2,0)</f>
        <v>Viewpoint</v>
      </c>
      <c r="M158">
        <f>VLOOKUP(Table2[[#This Row],[game_id]],GamesTable[[game_id]:[IGDB id]],7,0)</f>
        <v>20707</v>
      </c>
    </row>
    <row r="159" spans="1:13" hidden="1" x14ac:dyDescent="0.25">
      <c r="A159" t="s">
        <v>7810</v>
      </c>
      <c r="B159">
        <f>COUNTIF(A:A,Table2[[#This Row],[game_id]])</f>
        <v>1</v>
      </c>
      <c r="C159" t="s">
        <v>4182</v>
      </c>
      <c r="D159">
        <v>1995</v>
      </c>
      <c r="F159" s="15">
        <v>0.89655172413793105</v>
      </c>
      <c r="G159">
        <v>39590</v>
      </c>
      <c r="H159" t="s">
        <v>8177</v>
      </c>
      <c r="I159" t="str">
        <f>IF(ISERROR(VLOOKUP(Table2[[#This Row],[IGDB_id]],GamesTable[IGDB id],1,0)),"NO","yes")</f>
        <v>yes</v>
      </c>
      <c r="J159" t="str">
        <f>IF(ISERROR(VLOOKUP(A159,GamesTable[game_id],1,0)),"not found","found")</f>
        <v>found</v>
      </c>
      <c r="K159" t="str">
        <f>VLOOKUP(Table2[[#This Row],[game_id]],GamesTable[[game_id]:[game title]],2,0)</f>
        <v>Voltage Fighter</v>
      </c>
      <c r="L159" t="str">
        <f>VLOOKUP(VLOOKUP(Table2[[#This Row],[game_id]],GamesTable[[game_id]:[IGDB id]],7,0),G:H,2,0)</f>
        <v>Voltage Fighter Gowcaizer</v>
      </c>
      <c r="M159">
        <f>VLOOKUP(Table2[[#This Row],[game_id]],GamesTable[[game_id]:[IGDB id]],7,0)</f>
        <v>39590</v>
      </c>
    </row>
    <row r="160" spans="1:13" hidden="1" x14ac:dyDescent="0.25">
      <c r="A160" t="s">
        <v>7905</v>
      </c>
      <c r="B160">
        <f>COUNTIF(A:A,Table2[[#This Row],[game_id]])</f>
        <v>1</v>
      </c>
      <c r="C160" t="s">
        <v>3243</v>
      </c>
      <c r="D160">
        <v>1996</v>
      </c>
      <c r="F160" s="15">
        <v>1</v>
      </c>
      <c r="G160">
        <v>27593</v>
      </c>
      <c r="H160" t="s">
        <v>8176</v>
      </c>
      <c r="I160" t="str">
        <f>IF(ISERROR(VLOOKUP(Table2[[#This Row],[IGDB_id]],GamesTable[IGDB id],1,0)),"NO","yes")</f>
        <v>yes</v>
      </c>
      <c r="J160" t="str">
        <f>IF(ISERROR(VLOOKUP(A160,GamesTable[game_id],1,0)),"not found","found")</f>
        <v>found</v>
      </c>
      <c r="K160" t="str">
        <f>VLOOKUP(Table2[[#This Row],[game_id]],GamesTable[[game_id]:[game title]],2,0)</f>
        <v>Waku Waku 7</v>
      </c>
      <c r="L160" t="str">
        <f>VLOOKUP(VLOOKUP(Table2[[#This Row],[game_id]],GamesTable[[game_id]:[IGDB id]],7,0),G:H,2,0)</f>
        <v>Waku Waku 7</v>
      </c>
      <c r="M160">
        <f>VLOOKUP(Table2[[#This Row],[game_id]],GamesTable[[game_id]:[IGDB id]],7,0)</f>
        <v>27593</v>
      </c>
    </row>
    <row r="161" spans="1:13" hidden="1" x14ac:dyDescent="0.25">
      <c r="A161" t="s">
        <v>7909</v>
      </c>
      <c r="B161">
        <f>COUNTIF(A:A,Table2[[#This Row],[game_id]])</f>
        <v>1</v>
      </c>
      <c r="C161" t="s">
        <v>5181</v>
      </c>
      <c r="D161">
        <v>1994</v>
      </c>
      <c r="E161">
        <v>11222</v>
      </c>
      <c r="F161" s="15">
        <v>0.85263157894736841</v>
      </c>
      <c r="G161">
        <v>11222</v>
      </c>
      <c r="H161" t="s">
        <v>0</v>
      </c>
      <c r="I161" t="str">
        <f>IF(ISERROR(VLOOKUP(Table2[[#This Row],[IGDB_id]],GamesTable[IGDB id],1,0)),"NO","yes")</f>
        <v>yes</v>
      </c>
      <c r="J161" t="str">
        <f>IF(ISERROR(VLOOKUP(A161,GamesTable[game_id],1,0)),"not found","found")</f>
        <v>found</v>
      </c>
      <c r="K161" t="str">
        <f>VLOOKUP(Table2[[#This Row],[game_id]],GamesTable[[game_id]:[game title]],2,0)</f>
        <v>Windjammers / Flying Power Disc</v>
      </c>
      <c r="L161" t="str">
        <f>VLOOKUP(VLOOKUP(Table2[[#This Row],[game_id]],GamesTable[[game_id]:[IGDB id]],7,0),G:H,2,0)</f>
        <v>Windjammers</v>
      </c>
      <c r="M161">
        <f>VLOOKUP(Table2[[#This Row],[game_id]],GamesTable[[game_id]:[IGDB id]],7,0)</f>
        <v>11222</v>
      </c>
    </row>
    <row r="162" spans="1:13" hidden="1" x14ac:dyDescent="0.25">
      <c r="A162" t="s">
        <v>7906</v>
      </c>
      <c r="B162">
        <f>COUNTIF(A:A,Table2[[#This Row],[game_id]])</f>
        <v>1</v>
      </c>
      <c r="C162" t="s">
        <v>8016</v>
      </c>
      <c r="D162">
        <v>1992</v>
      </c>
      <c r="F162" s="15">
        <v>1</v>
      </c>
      <c r="G162">
        <v>4463</v>
      </c>
      <c r="H162" t="s">
        <v>8175</v>
      </c>
      <c r="I162" t="str">
        <f>IF(ISERROR(VLOOKUP(Table2[[#This Row],[IGDB_id]],GamesTable[IGDB id],1,0)),"NO","yes")</f>
        <v>yes</v>
      </c>
      <c r="J162" t="str">
        <f>IF(ISERROR(VLOOKUP(A162,GamesTable[game_id],1,0)),"not found","found")</f>
        <v>found</v>
      </c>
      <c r="K162" t="str">
        <f>VLOOKUP(Table2[[#This Row],[game_id]],GamesTable[[game_id]:[game title]],2,0)</f>
        <v xml:space="preserve">World Heroes </v>
      </c>
      <c r="L162" t="str">
        <f>VLOOKUP(VLOOKUP(Table2[[#This Row],[game_id]],GamesTable[[game_id]:[IGDB id]],7,0),G:H,2,0)</f>
        <v>World Heroes</v>
      </c>
      <c r="M162">
        <f>VLOOKUP(Table2[[#This Row],[game_id]],GamesTable[[game_id]:[IGDB id]],7,0)</f>
        <v>4463</v>
      </c>
    </row>
    <row r="163" spans="1:13" hidden="1" x14ac:dyDescent="0.25">
      <c r="A163" t="s">
        <v>7907</v>
      </c>
      <c r="B163">
        <f>COUNTIF(A:A,Table2[[#This Row],[game_id]])</f>
        <v>2</v>
      </c>
      <c r="C163" t="s">
        <v>8017</v>
      </c>
      <c r="D163">
        <v>1993</v>
      </c>
      <c r="F163" s="15">
        <v>1</v>
      </c>
      <c r="G163">
        <v>37251</v>
      </c>
      <c r="H163" t="s">
        <v>8174</v>
      </c>
      <c r="I163" s="3" t="str">
        <f>IF(ISERROR(VLOOKUP(Table2[[#This Row],[IGDB_id]],GamesTable[IGDB id],1,0)),"NO","yes")</f>
        <v>yes</v>
      </c>
      <c r="J163" t="str">
        <f>IF(ISERROR(VLOOKUP(A163,GamesTable[game_id],1,0)),"not found","found")</f>
        <v>found</v>
      </c>
      <c r="K163" t="str">
        <f>VLOOKUP(Table2[[#This Row],[game_id]],GamesTable[[game_id]:[game title]],2,0)</f>
        <v xml:space="preserve">World Heroes 2 </v>
      </c>
      <c r="L163" t="str">
        <f>VLOOKUP(VLOOKUP(Table2[[#This Row],[game_id]],GamesTable[[game_id]:[IGDB id]],7,0),G:H,2,0)</f>
        <v>World Heroes 2</v>
      </c>
      <c r="M163">
        <f>VLOOKUP(Table2[[#This Row],[game_id]],GamesTable[[game_id]:[IGDB id]],7,0)</f>
        <v>37251</v>
      </c>
    </row>
    <row r="164" spans="1:13" x14ac:dyDescent="0.25">
      <c r="A164" t="s">
        <v>7907</v>
      </c>
      <c r="B164">
        <f>COUNTIF(A:A,Table2[[#This Row],[game_id]])</f>
        <v>2</v>
      </c>
      <c r="C164" t="s">
        <v>8017</v>
      </c>
      <c r="D164">
        <v>1993</v>
      </c>
      <c r="F164" s="15">
        <v>0.9285714285714286</v>
      </c>
      <c r="G164">
        <v>39562</v>
      </c>
      <c r="H164" t="s">
        <v>8173</v>
      </c>
      <c r="I164" s="3" t="str">
        <f>IF(ISERROR(VLOOKUP(Table2[[#This Row],[IGDB_id]],GamesTable[IGDB id],1,0)),"NO","yes")</f>
        <v>NO</v>
      </c>
      <c r="J164" t="str">
        <f>IF(ISERROR(VLOOKUP(A164,GamesTable[game_id],1,0)),"not found","found")</f>
        <v>found</v>
      </c>
      <c r="K164" t="str">
        <f>VLOOKUP(Table2[[#This Row],[game_id]],GamesTable[[game_id]:[game title]],2,0)</f>
        <v xml:space="preserve">World Heroes 2 </v>
      </c>
      <c r="L164" t="str">
        <f>VLOOKUP(VLOOKUP(Table2[[#This Row],[game_id]],GamesTable[[game_id]:[IGDB id]],7,0),G:H,2,0)</f>
        <v>World Heroes 2</v>
      </c>
      <c r="M164">
        <f>VLOOKUP(Table2[[#This Row],[game_id]],GamesTable[[game_id]:[IGDB id]],7,0)</f>
        <v>37251</v>
      </c>
    </row>
    <row r="165" spans="1:13" hidden="1" x14ac:dyDescent="0.25">
      <c r="A165" t="s">
        <v>7908</v>
      </c>
      <c r="B165">
        <f>COUNTIF(A:A,Table2[[#This Row],[game_id]])</f>
        <v>1</v>
      </c>
      <c r="C165" t="s">
        <v>4300</v>
      </c>
      <c r="D165">
        <v>1995</v>
      </c>
      <c r="F165" s="15">
        <v>1</v>
      </c>
      <c r="G165">
        <v>46779</v>
      </c>
      <c r="H165" t="s">
        <v>8172</v>
      </c>
      <c r="I165" t="str">
        <f>IF(ISERROR(VLOOKUP(Table2[[#This Row],[IGDB_id]],GamesTable[IGDB id],1,0)),"NO","yes")</f>
        <v>yes</v>
      </c>
      <c r="J165" t="str">
        <f>IF(ISERROR(VLOOKUP(A165,GamesTable[game_id],1,0)),"not found","found")</f>
        <v>found</v>
      </c>
      <c r="K165" t="str">
        <f>VLOOKUP(Table2[[#This Row],[game_id]],GamesTable[[game_id]:[game title]],2,0)</f>
        <v>World Heroes Perfect</v>
      </c>
      <c r="L165" t="str">
        <f>VLOOKUP(VLOOKUP(Table2[[#This Row],[game_id]],GamesTable[[game_id]:[IGDB id]],7,0),G:H,2,0)</f>
        <v>World Heroes Perfect</v>
      </c>
      <c r="M165">
        <f>VLOOKUP(Table2[[#This Row],[game_id]],GamesTable[[game_id]:[IGDB id]],7,0)</f>
        <v>46779</v>
      </c>
    </row>
    <row r="166" spans="1:13" hidden="1" x14ac:dyDescent="0.25">
      <c r="A166" t="s">
        <v>7910</v>
      </c>
      <c r="B166">
        <f>COUNTIF(A:A,Table2[[#This Row],[game_id]])</f>
        <v>1</v>
      </c>
      <c r="C166" t="s">
        <v>4914</v>
      </c>
      <c r="D166">
        <v>1994</v>
      </c>
      <c r="F166" s="15">
        <v>0.89473684210526316</v>
      </c>
      <c r="G166">
        <v>39345</v>
      </c>
      <c r="H166" t="s">
        <v>8171</v>
      </c>
      <c r="I166" t="str">
        <f>IF(ISERROR(VLOOKUP(Table2[[#This Row],[IGDB_id]],GamesTable[IGDB id],1,0)),"NO","yes")</f>
        <v>yes</v>
      </c>
      <c r="J166" t="str">
        <f>IF(ISERROR(VLOOKUP(A166,GamesTable[game_id],1,0)),"not found","found")</f>
        <v>found</v>
      </c>
      <c r="K166" t="str">
        <f>VLOOKUP(Table2[[#This Row],[game_id]],GamesTable[[game_id]:[game title]],2,0)</f>
        <v>Zed Blade / Operation Ragnarok</v>
      </c>
      <c r="L166" t="str">
        <f>VLOOKUP(VLOOKUP(Table2[[#This Row],[game_id]],GamesTable[[game_id]:[IGDB id]],7,0),G:H,2,0)</f>
        <v>Zed Blade</v>
      </c>
      <c r="M166">
        <f>VLOOKUP(Table2[[#This Row],[game_id]],GamesTable[[game_id]:[IGDB id]],7,0)</f>
        <v>39345</v>
      </c>
    </row>
    <row r="167" spans="1:13" hidden="1" x14ac:dyDescent="0.25">
      <c r="A167" t="s">
        <v>7912</v>
      </c>
      <c r="B167">
        <f>COUNTIF(A:A,Table2[[#This Row],[game_id]])</f>
        <v>1</v>
      </c>
      <c r="C167" t="s">
        <v>5036</v>
      </c>
      <c r="D167">
        <v>2001</v>
      </c>
      <c r="E167">
        <v>47577</v>
      </c>
      <c r="F167" s="15">
        <v>1</v>
      </c>
      <c r="G167">
        <v>47577</v>
      </c>
      <c r="H167" t="s">
        <v>5036</v>
      </c>
      <c r="I167" t="str">
        <f>IF(ISERROR(VLOOKUP(Table2[[#This Row],[IGDB_id]],GamesTable[IGDB id],1,0)),"NO","yes")</f>
        <v>yes</v>
      </c>
      <c r="J167" t="str">
        <f>IF(ISERROR(VLOOKUP(A167,GamesTable[game_id],1,0)),"not found","found")</f>
        <v>found</v>
      </c>
      <c r="K167" t="str">
        <f>VLOOKUP(Table2[[#This Row],[game_id]],GamesTable[[game_id]:[game title]],2,0)</f>
        <v>Zupapa!</v>
      </c>
      <c r="L167" t="str">
        <f>VLOOKUP(VLOOKUP(Table2[[#This Row],[game_id]],GamesTable[[game_id]:[IGDB id]],7,0),G:H,2,0)</f>
        <v>Zupapa!</v>
      </c>
      <c r="M167">
        <f>VLOOKUP(Table2[[#This Row],[game_id]],GamesTable[[game_id]:[IGDB id]],7,0)</f>
        <v>47577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2B554-3AC9-446A-AD88-2F474EA5D450}">
  <dimension ref="A1:B13"/>
  <sheetViews>
    <sheetView workbookViewId="0">
      <selection activeCell="F24" sqref="F24"/>
    </sheetView>
  </sheetViews>
  <sheetFormatPr defaultRowHeight="15" x14ac:dyDescent="0.25"/>
  <cols>
    <col min="2" max="2" width="35.140625" bestFit="1" customWidth="1"/>
  </cols>
  <sheetData>
    <row r="1" spans="1:2" x14ac:dyDescent="0.25">
      <c r="A1" s="16" t="s">
        <v>8338</v>
      </c>
      <c r="B1" s="17" t="s">
        <v>8339</v>
      </c>
    </row>
    <row r="2" spans="1:2" x14ac:dyDescent="0.25">
      <c r="A2" s="10">
        <v>75409</v>
      </c>
      <c r="B2" s="12" t="s">
        <v>8183</v>
      </c>
    </row>
    <row r="3" spans="1:2" x14ac:dyDescent="0.25">
      <c r="A3" s="11">
        <v>43987</v>
      </c>
      <c r="B3" s="13" t="s">
        <v>8187</v>
      </c>
    </row>
    <row r="4" spans="1:2" x14ac:dyDescent="0.25">
      <c r="A4" s="10">
        <v>45825</v>
      </c>
      <c r="B4" s="12" t="s">
        <v>8188</v>
      </c>
    </row>
    <row r="5" spans="1:2" x14ac:dyDescent="0.25">
      <c r="A5" s="11">
        <v>39543</v>
      </c>
      <c r="B5" s="13" t="s">
        <v>8245</v>
      </c>
    </row>
    <row r="6" spans="1:2" x14ac:dyDescent="0.25">
      <c r="A6" s="10">
        <v>45814</v>
      </c>
      <c r="B6" s="12" t="s">
        <v>8253</v>
      </c>
    </row>
    <row r="7" spans="1:2" x14ac:dyDescent="0.25">
      <c r="A7" s="11">
        <v>75495</v>
      </c>
      <c r="B7" s="13" t="s">
        <v>8255</v>
      </c>
    </row>
    <row r="8" spans="1:2" x14ac:dyDescent="0.25">
      <c r="A8" s="10">
        <v>45817</v>
      </c>
      <c r="B8" s="12" t="s">
        <v>8280</v>
      </c>
    </row>
    <row r="9" spans="1:2" x14ac:dyDescent="0.25">
      <c r="A9" s="11">
        <v>9124</v>
      </c>
      <c r="B9" s="13" t="s">
        <v>8291</v>
      </c>
    </row>
    <row r="10" spans="1:2" x14ac:dyDescent="0.25">
      <c r="A10" s="10">
        <v>75470</v>
      </c>
      <c r="B10" s="12" t="s">
        <v>8293</v>
      </c>
    </row>
    <row r="11" spans="1:2" x14ac:dyDescent="0.25">
      <c r="A11" s="11">
        <v>9125</v>
      </c>
      <c r="B11" s="13" t="s">
        <v>8309</v>
      </c>
    </row>
    <row r="12" spans="1:2" x14ac:dyDescent="0.25">
      <c r="A12" s="10">
        <v>17173</v>
      </c>
      <c r="B12" s="12" t="s">
        <v>8313</v>
      </c>
    </row>
    <row r="13" spans="1:2" x14ac:dyDescent="0.25">
      <c r="A13" s="11">
        <v>6566</v>
      </c>
      <c r="B13" s="13" t="s">
        <v>8327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4EAC2-568A-4F70-A884-6BC375548D65}">
  <sheetPr codeName="Sheet8"/>
  <dimension ref="A1:W189"/>
  <sheetViews>
    <sheetView workbookViewId="0"/>
  </sheetViews>
  <sheetFormatPr defaultRowHeight="15" x14ac:dyDescent="0.25"/>
  <cols>
    <col min="1" max="1" width="6.85546875" bestFit="1" customWidth="1"/>
    <col min="2" max="2" width="11.42578125" bestFit="1" customWidth="1"/>
    <col min="3" max="3" width="17.42578125" bestFit="1" customWidth="1"/>
    <col min="4" max="4" width="17.140625" bestFit="1" customWidth="1"/>
    <col min="5" max="5" width="20.28515625" bestFit="1" customWidth="1"/>
    <col min="6" max="7" width="80.5703125" bestFit="1" customWidth="1"/>
    <col min="8" max="10" width="73.42578125" bestFit="1" customWidth="1"/>
    <col min="11" max="11" width="44.28515625" bestFit="1" customWidth="1"/>
    <col min="12" max="12" width="73.42578125" bestFit="1" customWidth="1"/>
    <col min="13" max="14" width="80.5703125" bestFit="1" customWidth="1"/>
    <col min="15" max="15" width="15.42578125" bestFit="1" customWidth="1"/>
    <col min="16" max="16" width="14.42578125" bestFit="1" customWidth="1"/>
    <col min="17" max="17" width="15.140625" bestFit="1" customWidth="1"/>
    <col min="18" max="18" width="14.85546875" bestFit="1" customWidth="1"/>
    <col min="19" max="19" width="15.140625" bestFit="1" customWidth="1"/>
    <col min="20" max="20" width="17" bestFit="1" customWidth="1"/>
    <col min="21" max="21" width="16.140625" bestFit="1" customWidth="1"/>
    <col min="22" max="22" width="16.85546875" bestFit="1" customWidth="1"/>
    <col min="23" max="23" width="20.42578125" bestFit="1" customWidth="1"/>
  </cols>
  <sheetData>
    <row r="1" spans="1:23" x14ac:dyDescent="0.25">
      <c r="A1" t="s">
        <v>9000</v>
      </c>
      <c r="B1" t="s">
        <v>8874</v>
      </c>
      <c r="C1" t="s">
        <v>8873</v>
      </c>
      <c r="D1" t="s">
        <v>8872</v>
      </c>
      <c r="E1" t="s">
        <v>8871</v>
      </c>
      <c r="F1" t="s">
        <v>8870</v>
      </c>
      <c r="G1" t="s">
        <v>9119</v>
      </c>
      <c r="H1" t="s">
        <v>9120</v>
      </c>
      <c r="I1" t="s">
        <v>9121</v>
      </c>
      <c r="J1" t="s">
        <v>9122</v>
      </c>
      <c r="K1" t="s">
        <v>8869</v>
      </c>
      <c r="L1" t="s">
        <v>9123</v>
      </c>
      <c r="M1" t="s">
        <v>8868</v>
      </c>
      <c r="N1" t="s">
        <v>8867</v>
      </c>
      <c r="O1" t="s">
        <v>9124</v>
      </c>
      <c r="P1" t="s">
        <v>9125</v>
      </c>
      <c r="Q1" t="s">
        <v>9126</v>
      </c>
      <c r="R1" t="s">
        <v>9127</v>
      </c>
      <c r="S1" t="s">
        <v>9128</v>
      </c>
      <c r="T1" t="s">
        <v>8866</v>
      </c>
      <c r="U1" t="s">
        <v>8865</v>
      </c>
      <c r="V1" t="s">
        <v>8864</v>
      </c>
      <c r="W1" t="s">
        <v>8863</v>
      </c>
    </row>
    <row r="2" spans="1:23" x14ac:dyDescent="0.25">
      <c r="A2">
        <v>29801</v>
      </c>
      <c r="B2">
        <v>29794</v>
      </c>
      <c r="C2" t="s">
        <v>8348</v>
      </c>
      <c r="D2">
        <v>74193</v>
      </c>
      <c r="E2" t="s">
        <v>1859</v>
      </c>
      <c r="F2" t="s">
        <v>8862</v>
      </c>
      <c r="G2" t="s">
        <v>8862</v>
      </c>
      <c r="H2" t="s">
        <v>8862</v>
      </c>
      <c r="I2" t="s">
        <v>8862</v>
      </c>
      <c r="J2" t="s">
        <v>8862</v>
      </c>
      <c r="K2" t="s">
        <v>5806</v>
      </c>
      <c r="L2" t="s">
        <v>8862</v>
      </c>
      <c r="M2" t="s">
        <v>8861</v>
      </c>
      <c r="N2" t="s">
        <v>8860</v>
      </c>
      <c r="O2" t="s">
        <v>7768</v>
      </c>
      <c r="P2" t="s">
        <v>7768</v>
      </c>
      <c r="Q2" t="s">
        <v>7768</v>
      </c>
      <c r="R2" t="s">
        <v>7768</v>
      </c>
      <c r="S2" t="s">
        <v>7768</v>
      </c>
      <c r="T2" s="18"/>
      <c r="U2" t="s">
        <v>7768</v>
      </c>
      <c r="V2" s="18">
        <v>33802.083333333336</v>
      </c>
      <c r="W2" s="18"/>
    </row>
    <row r="3" spans="1:23" x14ac:dyDescent="0.25">
      <c r="A3">
        <v>29804</v>
      </c>
      <c r="B3">
        <v>29794</v>
      </c>
      <c r="C3" t="s">
        <v>8348</v>
      </c>
      <c r="D3">
        <v>36275</v>
      </c>
      <c r="E3" t="s">
        <v>1912</v>
      </c>
      <c r="F3" t="s">
        <v>4070</v>
      </c>
      <c r="G3" t="s">
        <v>4070</v>
      </c>
      <c r="H3" t="s">
        <v>4070</v>
      </c>
      <c r="I3" t="s">
        <v>4070</v>
      </c>
      <c r="J3" t="s">
        <v>4070</v>
      </c>
      <c r="K3" t="s">
        <v>8859</v>
      </c>
      <c r="L3" t="s">
        <v>4070</v>
      </c>
      <c r="M3" t="s">
        <v>8858</v>
      </c>
      <c r="N3" t="s">
        <v>8857</v>
      </c>
      <c r="O3" t="s">
        <v>7768</v>
      </c>
      <c r="P3" t="s">
        <v>7768</v>
      </c>
      <c r="Q3" t="s">
        <v>7768</v>
      </c>
      <c r="R3" t="s">
        <v>7768</v>
      </c>
      <c r="S3" t="s">
        <v>7768</v>
      </c>
      <c r="T3" s="18">
        <v>35065.041666666664</v>
      </c>
      <c r="U3" t="s">
        <v>7768</v>
      </c>
      <c r="V3" s="18">
        <v>35136.041666666664</v>
      </c>
      <c r="W3" s="18">
        <v>35065.041666666664</v>
      </c>
    </row>
    <row r="4" spans="1:23" x14ac:dyDescent="0.25">
      <c r="A4">
        <v>29815</v>
      </c>
      <c r="B4">
        <v>29794</v>
      </c>
      <c r="C4" t="s">
        <v>8348</v>
      </c>
      <c r="D4">
        <v>73839</v>
      </c>
      <c r="E4" t="s">
        <v>194</v>
      </c>
      <c r="F4" t="s">
        <v>8856</v>
      </c>
      <c r="G4" t="s">
        <v>8856</v>
      </c>
      <c r="H4" t="s">
        <v>8856</v>
      </c>
      <c r="I4" t="s">
        <v>8856</v>
      </c>
      <c r="J4" t="s">
        <v>8856</v>
      </c>
      <c r="K4" t="s">
        <v>8855</v>
      </c>
      <c r="L4" t="s">
        <v>8856</v>
      </c>
      <c r="M4" t="s">
        <v>8854</v>
      </c>
      <c r="N4" t="s">
        <v>8853</v>
      </c>
      <c r="O4" t="s">
        <v>7768</v>
      </c>
      <c r="P4" t="s">
        <v>7768</v>
      </c>
      <c r="Q4" t="s">
        <v>7768</v>
      </c>
      <c r="R4" t="s">
        <v>7768</v>
      </c>
      <c r="S4" t="s">
        <v>7768</v>
      </c>
      <c r="T4" s="18">
        <v>34700.041666666664</v>
      </c>
      <c r="U4" t="s">
        <v>7768</v>
      </c>
      <c r="V4" s="18"/>
      <c r="W4" s="18">
        <v>35065.041666666664</v>
      </c>
    </row>
    <row r="5" spans="1:23" x14ac:dyDescent="0.25">
      <c r="A5">
        <v>29816</v>
      </c>
      <c r="B5">
        <v>29794</v>
      </c>
      <c r="C5" t="s">
        <v>8348</v>
      </c>
      <c r="E5" t="s">
        <v>7768</v>
      </c>
      <c r="F5" t="s">
        <v>7768</v>
      </c>
      <c r="G5" t="s">
        <v>8852</v>
      </c>
      <c r="H5" t="s">
        <v>7768</v>
      </c>
      <c r="I5" t="s">
        <v>7768</v>
      </c>
      <c r="J5" t="s">
        <v>7768</v>
      </c>
      <c r="K5" t="s">
        <v>7768</v>
      </c>
      <c r="L5" t="s">
        <v>7768</v>
      </c>
      <c r="M5" t="s">
        <v>7768</v>
      </c>
      <c r="N5" t="s">
        <v>7768</v>
      </c>
      <c r="O5" t="s">
        <v>7768</v>
      </c>
      <c r="P5" t="s">
        <v>7768</v>
      </c>
      <c r="Q5" t="s">
        <v>7768</v>
      </c>
      <c r="R5" t="s">
        <v>7768</v>
      </c>
      <c r="S5" t="s">
        <v>7768</v>
      </c>
      <c r="T5" s="18">
        <v>41640.041666666664</v>
      </c>
      <c r="U5" t="s">
        <v>7768</v>
      </c>
      <c r="V5" s="18"/>
      <c r="W5" s="18"/>
    </row>
    <row r="6" spans="1:23" x14ac:dyDescent="0.25">
      <c r="A6">
        <v>29818</v>
      </c>
      <c r="B6">
        <v>29794</v>
      </c>
      <c r="C6" t="s">
        <v>8348</v>
      </c>
      <c r="E6" t="s">
        <v>7768</v>
      </c>
      <c r="F6" t="s">
        <v>8851</v>
      </c>
      <c r="G6" t="s">
        <v>8851</v>
      </c>
      <c r="H6" t="s">
        <v>8851</v>
      </c>
      <c r="I6" t="s">
        <v>8851</v>
      </c>
      <c r="J6" t="s">
        <v>8851</v>
      </c>
      <c r="K6" t="s">
        <v>4685</v>
      </c>
      <c r="L6" t="s">
        <v>8851</v>
      </c>
      <c r="M6" t="s">
        <v>8850</v>
      </c>
      <c r="N6" t="s">
        <v>8849</v>
      </c>
      <c r="O6" t="s">
        <v>7768</v>
      </c>
      <c r="P6" t="s">
        <v>7768</v>
      </c>
      <c r="Q6" t="s">
        <v>7768</v>
      </c>
      <c r="R6" t="s">
        <v>7768</v>
      </c>
      <c r="S6" t="s">
        <v>7768</v>
      </c>
      <c r="T6" s="18">
        <v>34700.041666666664</v>
      </c>
      <c r="U6" t="s">
        <v>7768</v>
      </c>
      <c r="V6" s="18">
        <v>34761.041666666664</v>
      </c>
      <c r="W6" s="18"/>
    </row>
    <row r="7" spans="1:23" x14ac:dyDescent="0.25">
      <c r="A7">
        <v>29819</v>
      </c>
      <c r="B7">
        <v>29794</v>
      </c>
      <c r="C7" t="s">
        <v>8348</v>
      </c>
      <c r="D7">
        <v>76027</v>
      </c>
      <c r="E7" t="s">
        <v>1302</v>
      </c>
      <c r="F7" t="s">
        <v>8848</v>
      </c>
      <c r="G7" t="s">
        <v>8848</v>
      </c>
      <c r="H7" t="s">
        <v>8848</v>
      </c>
      <c r="I7" t="s">
        <v>8848</v>
      </c>
      <c r="J7" t="s">
        <v>8848</v>
      </c>
      <c r="K7" t="s">
        <v>8848</v>
      </c>
      <c r="L7" t="s">
        <v>8848</v>
      </c>
      <c r="M7" t="s">
        <v>8847</v>
      </c>
      <c r="N7" t="s">
        <v>8846</v>
      </c>
      <c r="O7" t="s">
        <v>7768</v>
      </c>
      <c r="P7" t="s">
        <v>7768</v>
      </c>
      <c r="Q7" t="s">
        <v>7768</v>
      </c>
      <c r="R7" t="s">
        <v>7768</v>
      </c>
      <c r="S7" t="s">
        <v>7768</v>
      </c>
      <c r="T7" s="18"/>
      <c r="U7" t="s">
        <v>7768</v>
      </c>
      <c r="V7" s="18"/>
      <c r="W7" s="18">
        <v>35431.041666666664</v>
      </c>
    </row>
    <row r="8" spans="1:23" x14ac:dyDescent="0.25">
      <c r="A8">
        <v>29827</v>
      </c>
      <c r="B8">
        <v>29794</v>
      </c>
      <c r="C8" t="s">
        <v>8348</v>
      </c>
      <c r="D8">
        <v>36275</v>
      </c>
      <c r="E8" t="s">
        <v>1912</v>
      </c>
      <c r="F8" t="s">
        <v>8845</v>
      </c>
      <c r="G8" t="s">
        <v>8845</v>
      </c>
      <c r="H8" t="s">
        <v>8845</v>
      </c>
      <c r="I8" t="s">
        <v>8845</v>
      </c>
      <c r="J8" t="s">
        <v>8845</v>
      </c>
      <c r="K8" t="s">
        <v>6365</v>
      </c>
      <c r="L8" t="s">
        <v>8845</v>
      </c>
      <c r="M8" t="s">
        <v>8844</v>
      </c>
      <c r="N8" t="s">
        <v>8843</v>
      </c>
      <c r="O8" t="s">
        <v>7768</v>
      </c>
      <c r="P8" t="s">
        <v>7768</v>
      </c>
      <c r="Q8" t="s">
        <v>7768</v>
      </c>
      <c r="R8" t="s">
        <v>7768</v>
      </c>
      <c r="S8" t="s">
        <v>7768</v>
      </c>
      <c r="T8" s="18">
        <v>33604.041666666664</v>
      </c>
      <c r="U8" t="s">
        <v>7768</v>
      </c>
      <c r="V8" s="18"/>
      <c r="W8" s="18">
        <v>33604.041666666664</v>
      </c>
    </row>
    <row r="9" spans="1:23" x14ac:dyDescent="0.25">
      <c r="A9">
        <v>29832</v>
      </c>
      <c r="B9">
        <v>29794</v>
      </c>
      <c r="C9" t="s">
        <v>8348</v>
      </c>
      <c r="D9">
        <v>73855</v>
      </c>
      <c r="E9" t="s">
        <v>8481</v>
      </c>
      <c r="F9" t="s">
        <v>8842</v>
      </c>
      <c r="G9" t="s">
        <v>8842</v>
      </c>
      <c r="H9" t="s">
        <v>8842</v>
      </c>
      <c r="I9" t="s">
        <v>8842</v>
      </c>
      <c r="J9" t="s">
        <v>8842</v>
      </c>
      <c r="K9" t="s">
        <v>8842</v>
      </c>
      <c r="L9" t="s">
        <v>8842</v>
      </c>
      <c r="M9" t="s">
        <v>8841</v>
      </c>
      <c r="N9" t="s">
        <v>8840</v>
      </c>
      <c r="O9" t="s">
        <v>7768</v>
      </c>
      <c r="P9" t="s">
        <v>7768</v>
      </c>
      <c r="Q9" t="s">
        <v>7768</v>
      </c>
      <c r="R9" t="s">
        <v>7768</v>
      </c>
      <c r="S9" t="s">
        <v>7768</v>
      </c>
      <c r="T9" s="18">
        <v>35065.041666666664</v>
      </c>
      <c r="U9" t="s">
        <v>7768</v>
      </c>
      <c r="V9" s="18"/>
      <c r="W9" s="18">
        <v>35065.041666666664</v>
      </c>
    </row>
    <row r="10" spans="1:23" x14ac:dyDescent="0.25">
      <c r="A10">
        <v>29835</v>
      </c>
      <c r="B10">
        <v>29794</v>
      </c>
      <c r="C10" t="s">
        <v>8348</v>
      </c>
      <c r="D10">
        <v>73839</v>
      </c>
      <c r="E10" t="s">
        <v>194</v>
      </c>
      <c r="F10" t="s">
        <v>8839</v>
      </c>
      <c r="G10" t="s">
        <v>3435</v>
      </c>
      <c r="H10" t="s">
        <v>7768</v>
      </c>
      <c r="I10" t="s">
        <v>7768</v>
      </c>
      <c r="J10" t="s">
        <v>7768</v>
      </c>
      <c r="K10" t="s">
        <v>8838</v>
      </c>
      <c r="L10" t="s">
        <v>7768</v>
      </c>
      <c r="M10" t="s">
        <v>8837</v>
      </c>
      <c r="N10" t="s">
        <v>8836</v>
      </c>
      <c r="O10" t="s">
        <v>7768</v>
      </c>
      <c r="P10" t="s">
        <v>7768</v>
      </c>
      <c r="Q10" t="s">
        <v>7768</v>
      </c>
      <c r="R10" t="s">
        <v>7768</v>
      </c>
      <c r="S10" t="s">
        <v>7768</v>
      </c>
      <c r="T10" s="18">
        <v>35065.041666666664</v>
      </c>
      <c r="U10" t="s">
        <v>7768</v>
      </c>
      <c r="V10" s="18"/>
      <c r="W10" s="18">
        <v>35065.041666666664</v>
      </c>
    </row>
    <row r="11" spans="1:23" x14ac:dyDescent="0.25">
      <c r="A11">
        <v>29837</v>
      </c>
      <c r="B11">
        <v>29794</v>
      </c>
      <c r="C11" t="s">
        <v>8348</v>
      </c>
      <c r="D11">
        <v>73855</v>
      </c>
      <c r="E11" t="s">
        <v>8481</v>
      </c>
      <c r="F11" t="s">
        <v>5143</v>
      </c>
      <c r="G11" t="s">
        <v>5143</v>
      </c>
      <c r="H11" t="s">
        <v>5143</v>
      </c>
      <c r="I11" t="s">
        <v>5143</v>
      </c>
      <c r="J11" t="s">
        <v>5143</v>
      </c>
      <c r="K11" t="s">
        <v>8835</v>
      </c>
      <c r="L11" t="s">
        <v>5143</v>
      </c>
      <c r="M11" t="s">
        <v>8834</v>
      </c>
      <c r="N11" t="s">
        <v>8833</v>
      </c>
      <c r="O11" t="s">
        <v>7768</v>
      </c>
      <c r="P11" t="s">
        <v>7768</v>
      </c>
      <c r="Q11" t="s">
        <v>7768</v>
      </c>
      <c r="R11" t="s">
        <v>7768</v>
      </c>
      <c r="S11" t="s">
        <v>7768</v>
      </c>
      <c r="T11" s="18"/>
      <c r="U11" t="s">
        <v>7768</v>
      </c>
      <c r="V11" s="18">
        <v>34410.041666666664</v>
      </c>
      <c r="W11" s="18"/>
    </row>
    <row r="12" spans="1:23" x14ac:dyDescent="0.25">
      <c r="A12">
        <v>29841</v>
      </c>
      <c r="B12">
        <v>29794</v>
      </c>
      <c r="C12" t="s">
        <v>8348</v>
      </c>
      <c r="D12">
        <v>77750</v>
      </c>
      <c r="E12" t="s">
        <v>86</v>
      </c>
      <c r="F12" t="s">
        <v>88</v>
      </c>
      <c r="G12" t="s">
        <v>88</v>
      </c>
      <c r="H12" t="s">
        <v>88</v>
      </c>
      <c r="I12" t="s">
        <v>88</v>
      </c>
      <c r="J12" t="s">
        <v>88</v>
      </c>
      <c r="K12" t="s">
        <v>88</v>
      </c>
      <c r="L12" t="s">
        <v>88</v>
      </c>
      <c r="M12" t="s">
        <v>8832</v>
      </c>
      <c r="N12" t="s">
        <v>8831</v>
      </c>
      <c r="O12" t="s">
        <v>7768</v>
      </c>
      <c r="P12" t="s">
        <v>7768</v>
      </c>
      <c r="Q12" t="s">
        <v>7768</v>
      </c>
      <c r="R12" t="s">
        <v>7768</v>
      </c>
      <c r="S12" t="s">
        <v>7768</v>
      </c>
      <c r="T12" s="18"/>
      <c r="U12" t="s">
        <v>7768</v>
      </c>
      <c r="V12" s="18">
        <v>40595.041666666664</v>
      </c>
      <c r="W12" s="18"/>
    </row>
    <row r="13" spans="1:23" x14ac:dyDescent="0.25">
      <c r="A13">
        <v>29885</v>
      </c>
      <c r="B13">
        <v>29794</v>
      </c>
      <c r="C13" t="s">
        <v>8348</v>
      </c>
      <c r="D13">
        <v>36275</v>
      </c>
      <c r="E13" t="s">
        <v>1912</v>
      </c>
      <c r="F13" t="s">
        <v>8830</v>
      </c>
      <c r="G13" t="s">
        <v>9129</v>
      </c>
      <c r="H13" t="s">
        <v>7768</v>
      </c>
      <c r="I13" t="s">
        <v>7768</v>
      </c>
      <c r="J13" t="s">
        <v>7768</v>
      </c>
      <c r="K13" t="s">
        <v>7480</v>
      </c>
      <c r="L13" t="s">
        <v>7768</v>
      </c>
      <c r="M13" t="s">
        <v>8829</v>
      </c>
      <c r="N13" t="s">
        <v>8828</v>
      </c>
      <c r="O13" t="s">
        <v>7768</v>
      </c>
      <c r="P13" t="s">
        <v>7768</v>
      </c>
      <c r="Q13" t="s">
        <v>7768</v>
      </c>
      <c r="R13" t="s">
        <v>7768</v>
      </c>
      <c r="S13" t="s">
        <v>7768</v>
      </c>
      <c r="T13" s="18">
        <v>32874.041666666664</v>
      </c>
      <c r="U13" t="s">
        <v>7768</v>
      </c>
      <c r="V13" s="18">
        <v>33078.083333333336</v>
      </c>
      <c r="W13" s="18">
        <v>32874.041666666664</v>
      </c>
    </row>
    <row r="14" spans="1:23" x14ac:dyDescent="0.25">
      <c r="A14">
        <v>29916</v>
      </c>
      <c r="B14">
        <v>29794</v>
      </c>
      <c r="C14" t="s">
        <v>8348</v>
      </c>
      <c r="D14">
        <v>36275</v>
      </c>
      <c r="E14" t="s">
        <v>1912</v>
      </c>
      <c r="F14" t="s">
        <v>8827</v>
      </c>
      <c r="G14" t="s">
        <v>8827</v>
      </c>
      <c r="H14" t="s">
        <v>7768</v>
      </c>
      <c r="I14" t="s">
        <v>7768</v>
      </c>
      <c r="J14" t="s">
        <v>7768</v>
      </c>
      <c r="K14" t="s">
        <v>2675</v>
      </c>
      <c r="L14" t="s">
        <v>7768</v>
      </c>
      <c r="M14" t="s">
        <v>8826</v>
      </c>
      <c r="N14" t="s">
        <v>8825</v>
      </c>
      <c r="O14" t="s">
        <v>7768</v>
      </c>
      <c r="P14" t="s">
        <v>7768</v>
      </c>
      <c r="Q14" t="s">
        <v>7768</v>
      </c>
      <c r="R14" t="s">
        <v>7768</v>
      </c>
      <c r="S14" t="s">
        <v>7768</v>
      </c>
      <c r="T14" s="18">
        <v>35796.041666666664</v>
      </c>
      <c r="U14" t="s">
        <v>7768</v>
      </c>
      <c r="V14" s="18">
        <v>35999.083333333336</v>
      </c>
      <c r="W14" s="18">
        <v>35796.041666666664</v>
      </c>
    </row>
    <row r="15" spans="1:23" x14ac:dyDescent="0.25">
      <c r="A15">
        <v>29933</v>
      </c>
      <c r="B15">
        <v>29794</v>
      </c>
      <c r="C15" t="s">
        <v>8348</v>
      </c>
      <c r="D15">
        <v>73855</v>
      </c>
      <c r="E15" t="s">
        <v>8481</v>
      </c>
      <c r="F15" t="s">
        <v>5181</v>
      </c>
      <c r="G15" t="s">
        <v>5181</v>
      </c>
      <c r="H15" t="s">
        <v>7768</v>
      </c>
      <c r="I15" t="s">
        <v>7768</v>
      </c>
      <c r="J15" t="s">
        <v>7768</v>
      </c>
      <c r="K15" t="s">
        <v>5172</v>
      </c>
      <c r="L15" t="s">
        <v>7768</v>
      </c>
      <c r="M15" t="s">
        <v>8824</v>
      </c>
      <c r="N15" t="s">
        <v>8823</v>
      </c>
      <c r="O15" t="s">
        <v>7768</v>
      </c>
      <c r="P15" t="s">
        <v>7768</v>
      </c>
      <c r="Q15" t="s">
        <v>7768</v>
      </c>
      <c r="R15" t="s">
        <v>7768</v>
      </c>
      <c r="S15" t="s">
        <v>7768</v>
      </c>
      <c r="T15" s="18">
        <v>34335.041666666664</v>
      </c>
      <c r="U15" t="s">
        <v>7768</v>
      </c>
      <c r="V15" s="18">
        <v>34382.041666666664</v>
      </c>
      <c r="W15" s="18">
        <v>34335.041666666664</v>
      </c>
    </row>
    <row r="16" spans="1:23" x14ac:dyDescent="0.25">
      <c r="A16">
        <v>73881</v>
      </c>
      <c r="B16">
        <v>29794</v>
      </c>
      <c r="C16" t="s">
        <v>8348</v>
      </c>
      <c r="D16">
        <v>36275</v>
      </c>
      <c r="E16" t="s">
        <v>1912</v>
      </c>
      <c r="F16" t="s">
        <v>7937</v>
      </c>
      <c r="G16" t="s">
        <v>7937</v>
      </c>
      <c r="H16" t="s">
        <v>7937</v>
      </c>
      <c r="I16" t="s">
        <v>7937</v>
      </c>
      <c r="J16" t="s">
        <v>7937</v>
      </c>
      <c r="K16" t="s">
        <v>6508</v>
      </c>
      <c r="L16" t="s">
        <v>7937</v>
      </c>
      <c r="M16" t="s">
        <v>8822</v>
      </c>
      <c r="N16" t="s">
        <v>8821</v>
      </c>
      <c r="O16" t="s">
        <v>7768</v>
      </c>
      <c r="P16" t="s">
        <v>7768</v>
      </c>
      <c r="Q16" t="s">
        <v>7768</v>
      </c>
      <c r="R16" t="s">
        <v>7768</v>
      </c>
      <c r="S16" t="s">
        <v>7768</v>
      </c>
      <c r="T16" s="18"/>
      <c r="U16" t="s">
        <v>7768</v>
      </c>
      <c r="V16" s="18">
        <v>33501.083333333336</v>
      </c>
      <c r="W16" s="18"/>
    </row>
    <row r="17" spans="1:23" x14ac:dyDescent="0.25">
      <c r="A17">
        <v>73887</v>
      </c>
      <c r="B17">
        <v>29794</v>
      </c>
      <c r="C17" t="s">
        <v>8348</v>
      </c>
      <c r="D17">
        <v>36275</v>
      </c>
      <c r="E17" t="s">
        <v>1912</v>
      </c>
      <c r="F17" t="s">
        <v>8820</v>
      </c>
      <c r="G17" t="s">
        <v>8820</v>
      </c>
      <c r="H17" t="s">
        <v>8820</v>
      </c>
      <c r="I17" t="s">
        <v>8820</v>
      </c>
      <c r="J17" t="s">
        <v>8820</v>
      </c>
      <c r="K17" t="s">
        <v>6042</v>
      </c>
      <c r="L17" t="s">
        <v>8820</v>
      </c>
      <c r="M17" t="s">
        <v>8819</v>
      </c>
      <c r="N17" t="s">
        <v>8818</v>
      </c>
      <c r="O17" t="s">
        <v>7768</v>
      </c>
      <c r="P17" t="s">
        <v>7768</v>
      </c>
      <c r="Q17" t="s">
        <v>7768</v>
      </c>
      <c r="R17" t="s">
        <v>7768</v>
      </c>
      <c r="S17" t="s">
        <v>7768</v>
      </c>
      <c r="T17" s="18"/>
      <c r="U17" t="s">
        <v>7768</v>
      </c>
      <c r="V17" s="18">
        <v>34053.041666666664</v>
      </c>
      <c r="W17" s="18"/>
    </row>
    <row r="18" spans="1:23" x14ac:dyDescent="0.25">
      <c r="A18">
        <v>74020</v>
      </c>
      <c r="B18">
        <v>29794</v>
      </c>
      <c r="C18" t="s">
        <v>8348</v>
      </c>
      <c r="D18">
        <v>73888</v>
      </c>
      <c r="E18" t="s">
        <v>2929</v>
      </c>
      <c r="F18" t="s">
        <v>4946</v>
      </c>
      <c r="G18" t="s">
        <v>4946</v>
      </c>
      <c r="H18" t="s">
        <v>7768</v>
      </c>
      <c r="I18" t="s">
        <v>7768</v>
      </c>
      <c r="J18" t="s">
        <v>7768</v>
      </c>
      <c r="K18" t="s">
        <v>8817</v>
      </c>
      <c r="L18" t="s">
        <v>7768</v>
      </c>
      <c r="M18" t="s">
        <v>8816</v>
      </c>
      <c r="N18" t="s">
        <v>8815</v>
      </c>
      <c r="O18" t="s">
        <v>7768</v>
      </c>
      <c r="P18" t="s">
        <v>7768</v>
      </c>
      <c r="Q18" t="s">
        <v>7768</v>
      </c>
      <c r="R18" t="s">
        <v>7768</v>
      </c>
      <c r="S18" t="s">
        <v>7768</v>
      </c>
      <c r="T18" s="18">
        <v>34335.041666666664</v>
      </c>
      <c r="U18" t="s">
        <v>7768</v>
      </c>
      <c r="V18" s="18"/>
      <c r="W18" s="18">
        <v>34335.041666666664</v>
      </c>
    </row>
    <row r="19" spans="1:23" x14ac:dyDescent="0.25">
      <c r="A19">
        <v>74021</v>
      </c>
      <c r="B19">
        <v>29794</v>
      </c>
      <c r="C19" t="s">
        <v>8348</v>
      </c>
      <c r="D19">
        <v>73888</v>
      </c>
      <c r="E19" t="s">
        <v>2929</v>
      </c>
      <c r="F19" t="s">
        <v>4014</v>
      </c>
      <c r="G19" t="s">
        <v>4014</v>
      </c>
      <c r="H19" t="s">
        <v>7768</v>
      </c>
      <c r="I19" t="s">
        <v>7768</v>
      </c>
      <c r="J19" t="s">
        <v>7768</v>
      </c>
      <c r="K19" t="s">
        <v>8814</v>
      </c>
      <c r="L19" t="s">
        <v>7768</v>
      </c>
      <c r="M19" t="s">
        <v>8813</v>
      </c>
      <c r="N19" t="s">
        <v>8812</v>
      </c>
      <c r="O19" t="s">
        <v>7768</v>
      </c>
      <c r="P19" t="s">
        <v>7768</v>
      </c>
      <c r="Q19" t="s">
        <v>7768</v>
      </c>
      <c r="R19" t="s">
        <v>7768</v>
      </c>
      <c r="S19" t="s">
        <v>7768</v>
      </c>
      <c r="T19" s="18">
        <v>34700.041666666664</v>
      </c>
      <c r="U19" t="s">
        <v>7768</v>
      </c>
      <c r="V19" s="18"/>
      <c r="W19" s="18">
        <v>34700.041666666664</v>
      </c>
    </row>
    <row r="20" spans="1:23" x14ac:dyDescent="0.25">
      <c r="A20">
        <v>74043</v>
      </c>
      <c r="B20">
        <v>29794</v>
      </c>
      <c r="C20" t="s">
        <v>8348</v>
      </c>
      <c r="D20">
        <v>74042</v>
      </c>
      <c r="E20" t="s">
        <v>3770</v>
      </c>
      <c r="F20" t="s">
        <v>8811</v>
      </c>
      <c r="G20" t="s">
        <v>8811</v>
      </c>
      <c r="H20" t="s">
        <v>7768</v>
      </c>
      <c r="I20" t="s">
        <v>7768</v>
      </c>
      <c r="J20" t="s">
        <v>7768</v>
      </c>
      <c r="K20" t="s">
        <v>8810</v>
      </c>
      <c r="L20" t="s">
        <v>7768</v>
      </c>
      <c r="M20" t="s">
        <v>8809</v>
      </c>
      <c r="N20" t="s">
        <v>8808</v>
      </c>
      <c r="O20" t="s">
        <v>7768</v>
      </c>
      <c r="P20" t="s">
        <v>7768</v>
      </c>
      <c r="Q20" t="s">
        <v>7768</v>
      </c>
      <c r="R20" t="s">
        <v>7768</v>
      </c>
      <c r="S20" t="s">
        <v>7768</v>
      </c>
      <c r="T20" s="18">
        <v>34516.083333333336</v>
      </c>
      <c r="U20" t="s">
        <v>7768</v>
      </c>
      <c r="V20" s="18">
        <v>34516.083333333336</v>
      </c>
      <c r="W20" s="18">
        <v>34516.083333333336</v>
      </c>
    </row>
    <row r="21" spans="1:23" x14ac:dyDescent="0.25">
      <c r="A21">
        <v>74141</v>
      </c>
      <c r="B21">
        <v>29794</v>
      </c>
      <c r="C21" t="s">
        <v>8348</v>
      </c>
      <c r="D21">
        <v>36275</v>
      </c>
      <c r="E21" t="s">
        <v>1912</v>
      </c>
      <c r="F21" t="s">
        <v>7938</v>
      </c>
      <c r="G21" t="s">
        <v>7938</v>
      </c>
      <c r="H21" t="s">
        <v>7938</v>
      </c>
      <c r="I21" t="s">
        <v>7938</v>
      </c>
      <c r="J21" t="s">
        <v>7938</v>
      </c>
      <c r="K21" t="s">
        <v>8807</v>
      </c>
      <c r="L21" t="s">
        <v>7938</v>
      </c>
      <c r="M21" t="s">
        <v>8806</v>
      </c>
      <c r="N21" t="s">
        <v>8805</v>
      </c>
      <c r="O21" t="s">
        <v>7768</v>
      </c>
      <c r="P21" t="s">
        <v>7768</v>
      </c>
      <c r="Q21" t="s">
        <v>7768</v>
      </c>
      <c r="R21" t="s">
        <v>7768</v>
      </c>
      <c r="S21" t="s">
        <v>7768</v>
      </c>
      <c r="T21" s="18"/>
      <c r="U21" t="s">
        <v>7768</v>
      </c>
      <c r="V21" s="18">
        <v>33322.041666666664</v>
      </c>
      <c r="W21" s="18"/>
    </row>
    <row r="22" spans="1:23" x14ac:dyDescent="0.25">
      <c r="A22">
        <v>74315</v>
      </c>
      <c r="B22">
        <v>29794</v>
      </c>
      <c r="C22" t="s">
        <v>8348</v>
      </c>
      <c r="D22">
        <v>36275</v>
      </c>
      <c r="E22" t="s">
        <v>1912</v>
      </c>
      <c r="F22" t="s">
        <v>8804</v>
      </c>
      <c r="G22" t="s">
        <v>8804</v>
      </c>
      <c r="H22" t="s">
        <v>8804</v>
      </c>
      <c r="I22" t="s">
        <v>8804</v>
      </c>
      <c r="J22" t="s">
        <v>8804</v>
      </c>
      <c r="K22" t="s">
        <v>6010</v>
      </c>
      <c r="L22" t="s">
        <v>8804</v>
      </c>
      <c r="M22" t="s">
        <v>8803</v>
      </c>
      <c r="N22" t="s">
        <v>8802</v>
      </c>
      <c r="O22" t="s">
        <v>7768</v>
      </c>
      <c r="P22" t="s">
        <v>7768</v>
      </c>
      <c r="Q22" t="s">
        <v>7768</v>
      </c>
      <c r="R22" t="s">
        <v>7768</v>
      </c>
      <c r="S22" t="s">
        <v>7768</v>
      </c>
      <c r="T22" s="18">
        <v>33604.041666666664</v>
      </c>
      <c r="U22" t="s">
        <v>7768</v>
      </c>
      <c r="V22" s="18">
        <v>33871.083333333336</v>
      </c>
      <c r="W22" s="18">
        <v>33604.041666666664</v>
      </c>
    </row>
    <row r="23" spans="1:23" x14ac:dyDescent="0.25">
      <c r="A23">
        <v>74316</v>
      </c>
      <c r="B23">
        <v>29794</v>
      </c>
      <c r="C23" t="s">
        <v>8348</v>
      </c>
      <c r="D23">
        <v>36275</v>
      </c>
      <c r="E23" t="s">
        <v>1912</v>
      </c>
      <c r="F23" t="s">
        <v>7939</v>
      </c>
      <c r="G23" t="s">
        <v>7939</v>
      </c>
      <c r="H23" t="s">
        <v>7939</v>
      </c>
      <c r="I23" t="s">
        <v>7939</v>
      </c>
      <c r="J23" t="s">
        <v>7939</v>
      </c>
      <c r="K23" t="s">
        <v>8801</v>
      </c>
      <c r="L23" t="s">
        <v>7939</v>
      </c>
      <c r="M23" t="s">
        <v>8800</v>
      </c>
      <c r="N23" t="s">
        <v>8799</v>
      </c>
      <c r="O23" t="s">
        <v>7768</v>
      </c>
      <c r="P23" t="s">
        <v>7768</v>
      </c>
      <c r="Q23" t="s">
        <v>7768</v>
      </c>
      <c r="R23" t="s">
        <v>7768</v>
      </c>
      <c r="S23" t="s">
        <v>7768</v>
      </c>
      <c r="T23" s="18">
        <v>34335.041666666664</v>
      </c>
      <c r="U23" t="s">
        <v>7768</v>
      </c>
      <c r="V23" s="18">
        <v>34368.041666666664</v>
      </c>
      <c r="W23" s="18">
        <v>34335.041666666664</v>
      </c>
    </row>
    <row r="24" spans="1:23" x14ac:dyDescent="0.25">
      <c r="A24">
        <v>74466</v>
      </c>
      <c r="B24">
        <v>29794</v>
      </c>
      <c r="C24" t="s">
        <v>8348</v>
      </c>
      <c r="D24">
        <v>74465</v>
      </c>
      <c r="E24" t="s">
        <v>6341</v>
      </c>
      <c r="F24" t="s">
        <v>8798</v>
      </c>
      <c r="G24" t="s">
        <v>9130</v>
      </c>
      <c r="H24" t="s">
        <v>7768</v>
      </c>
      <c r="I24" t="s">
        <v>7768</v>
      </c>
      <c r="J24" t="s">
        <v>7768</v>
      </c>
      <c r="K24" t="s">
        <v>8797</v>
      </c>
      <c r="L24" t="s">
        <v>7768</v>
      </c>
      <c r="M24" t="s">
        <v>7768</v>
      </c>
      <c r="N24" t="s">
        <v>8796</v>
      </c>
      <c r="O24" t="s">
        <v>7768</v>
      </c>
      <c r="P24" t="s">
        <v>7768</v>
      </c>
      <c r="Q24" t="s">
        <v>7768</v>
      </c>
      <c r="R24" t="s">
        <v>7768</v>
      </c>
      <c r="S24" t="s">
        <v>7768</v>
      </c>
      <c r="T24" s="18"/>
      <c r="U24" t="s">
        <v>7768</v>
      </c>
      <c r="V24" s="18"/>
      <c r="W24" s="18"/>
    </row>
    <row r="25" spans="1:23" x14ac:dyDescent="0.25">
      <c r="A25">
        <v>74495</v>
      </c>
      <c r="B25">
        <v>29794</v>
      </c>
      <c r="C25" t="s">
        <v>8348</v>
      </c>
      <c r="D25">
        <v>74193</v>
      </c>
      <c r="E25" t="s">
        <v>1859</v>
      </c>
      <c r="F25" t="s">
        <v>2425</v>
      </c>
      <c r="G25" t="s">
        <v>2425</v>
      </c>
      <c r="H25" t="s">
        <v>7768</v>
      </c>
      <c r="I25" t="s">
        <v>7768</v>
      </c>
      <c r="J25" t="s">
        <v>7768</v>
      </c>
      <c r="K25" t="s">
        <v>7768</v>
      </c>
      <c r="L25" t="s">
        <v>7768</v>
      </c>
      <c r="M25" t="s">
        <v>7768</v>
      </c>
      <c r="N25" t="s">
        <v>8795</v>
      </c>
      <c r="O25" t="s">
        <v>7768</v>
      </c>
      <c r="P25" t="s">
        <v>7768</v>
      </c>
      <c r="Q25" t="s">
        <v>7768</v>
      </c>
      <c r="R25" t="s">
        <v>7768</v>
      </c>
      <c r="S25" t="s">
        <v>7768</v>
      </c>
      <c r="T25" s="18"/>
      <c r="U25" t="s">
        <v>7768</v>
      </c>
      <c r="V25" s="18">
        <v>40630.083333333336</v>
      </c>
      <c r="W25" s="18"/>
    </row>
    <row r="26" spans="1:23" x14ac:dyDescent="0.25">
      <c r="A26">
        <v>74496</v>
      </c>
      <c r="B26">
        <v>29794</v>
      </c>
      <c r="C26" t="s">
        <v>8348</v>
      </c>
      <c r="D26">
        <v>74193</v>
      </c>
      <c r="E26" t="s">
        <v>1859</v>
      </c>
      <c r="F26" t="s">
        <v>1860</v>
      </c>
      <c r="G26" t="s">
        <v>1860</v>
      </c>
      <c r="H26" t="s">
        <v>7768</v>
      </c>
      <c r="I26" t="s">
        <v>7768</v>
      </c>
      <c r="J26" t="s">
        <v>7768</v>
      </c>
      <c r="K26" t="s">
        <v>1853</v>
      </c>
      <c r="L26" t="s">
        <v>7768</v>
      </c>
      <c r="M26" t="s">
        <v>8794</v>
      </c>
      <c r="N26" t="s">
        <v>8793</v>
      </c>
      <c r="O26" t="s">
        <v>7768</v>
      </c>
      <c r="P26" t="s">
        <v>7768</v>
      </c>
      <c r="Q26" t="s">
        <v>7768</v>
      </c>
      <c r="R26" t="s">
        <v>7768</v>
      </c>
      <c r="S26" t="s">
        <v>7768</v>
      </c>
      <c r="T26" s="18">
        <v>36526.041666666664</v>
      </c>
      <c r="U26" t="s">
        <v>7768</v>
      </c>
      <c r="V26" s="18"/>
      <c r="W26" s="18">
        <v>36526.041666666664</v>
      </c>
    </row>
    <row r="27" spans="1:23" x14ac:dyDescent="0.25">
      <c r="A27">
        <v>74515</v>
      </c>
      <c r="B27">
        <v>29794</v>
      </c>
      <c r="C27" t="s">
        <v>8348</v>
      </c>
      <c r="D27">
        <v>36275</v>
      </c>
      <c r="E27" t="s">
        <v>1912</v>
      </c>
      <c r="F27" t="s">
        <v>6119</v>
      </c>
      <c r="G27" t="s">
        <v>6119</v>
      </c>
      <c r="H27" t="s">
        <v>6119</v>
      </c>
      <c r="I27" t="s">
        <v>6119</v>
      </c>
      <c r="J27" t="s">
        <v>6119</v>
      </c>
      <c r="K27" t="s">
        <v>8792</v>
      </c>
      <c r="L27" t="s">
        <v>6119</v>
      </c>
      <c r="M27" t="s">
        <v>8791</v>
      </c>
      <c r="N27" t="s">
        <v>8790</v>
      </c>
      <c r="O27" t="s">
        <v>7768</v>
      </c>
      <c r="P27" t="s">
        <v>7768</v>
      </c>
      <c r="Q27" t="s">
        <v>7768</v>
      </c>
      <c r="R27" t="s">
        <v>7768</v>
      </c>
      <c r="S27" t="s">
        <v>7768</v>
      </c>
      <c r="T27" s="18">
        <v>33604.041666666664</v>
      </c>
      <c r="U27" t="s">
        <v>7768</v>
      </c>
      <c r="V27" s="18">
        <v>33709.083333333336</v>
      </c>
      <c r="W27" s="18">
        <v>33604.041666666664</v>
      </c>
    </row>
    <row r="28" spans="1:23" x14ac:dyDescent="0.25">
      <c r="A28">
        <v>74516</v>
      </c>
      <c r="B28">
        <v>29794</v>
      </c>
      <c r="C28" t="s">
        <v>8348</v>
      </c>
      <c r="D28">
        <v>36275</v>
      </c>
      <c r="E28" t="s">
        <v>1912</v>
      </c>
      <c r="F28" t="s">
        <v>7941</v>
      </c>
      <c r="G28" t="s">
        <v>7941</v>
      </c>
      <c r="H28" t="s">
        <v>7941</v>
      </c>
      <c r="I28" t="s">
        <v>7941</v>
      </c>
      <c r="J28" t="s">
        <v>7941</v>
      </c>
      <c r="K28" t="s">
        <v>8789</v>
      </c>
      <c r="L28" t="s">
        <v>7941</v>
      </c>
      <c r="M28" t="s">
        <v>8788</v>
      </c>
      <c r="N28" t="s">
        <v>8787</v>
      </c>
      <c r="O28" t="s">
        <v>7768</v>
      </c>
      <c r="P28" t="s">
        <v>7768</v>
      </c>
      <c r="Q28" t="s">
        <v>7768</v>
      </c>
      <c r="R28" t="s">
        <v>7768</v>
      </c>
      <c r="S28" t="s">
        <v>7768</v>
      </c>
      <c r="T28" s="18">
        <v>32874.041666666664</v>
      </c>
      <c r="U28" t="s">
        <v>7768</v>
      </c>
      <c r="V28" s="18"/>
      <c r="W28" s="18">
        <v>32989.083333333336</v>
      </c>
    </row>
    <row r="29" spans="1:23" x14ac:dyDescent="0.25">
      <c r="A29">
        <v>74550</v>
      </c>
      <c r="B29">
        <v>29794</v>
      </c>
      <c r="C29" t="s">
        <v>8348</v>
      </c>
      <c r="D29">
        <v>74193</v>
      </c>
      <c r="E29" t="s">
        <v>1859</v>
      </c>
      <c r="F29" t="s">
        <v>2478</v>
      </c>
      <c r="G29" t="s">
        <v>9131</v>
      </c>
      <c r="H29" t="s">
        <v>2478</v>
      </c>
      <c r="I29" t="s">
        <v>2478</v>
      </c>
      <c r="J29" t="s">
        <v>2478</v>
      </c>
      <c r="K29" t="s">
        <v>2469</v>
      </c>
      <c r="L29" t="s">
        <v>2478</v>
      </c>
      <c r="M29" t="s">
        <v>8786</v>
      </c>
      <c r="N29" t="s">
        <v>8785</v>
      </c>
      <c r="O29" t="s">
        <v>7768</v>
      </c>
      <c r="P29" t="s">
        <v>7768</v>
      </c>
      <c r="Q29" t="s">
        <v>7768</v>
      </c>
      <c r="R29" t="s">
        <v>7768</v>
      </c>
      <c r="S29" t="s">
        <v>7768</v>
      </c>
      <c r="T29" s="18">
        <v>35796.041666666664</v>
      </c>
      <c r="U29" t="s">
        <v>7768</v>
      </c>
      <c r="V29" s="18">
        <v>36137.041666666664</v>
      </c>
      <c r="W29" s="18">
        <v>35796.041666666664</v>
      </c>
    </row>
    <row r="30" spans="1:23" x14ac:dyDescent="0.25">
      <c r="A30">
        <v>74800</v>
      </c>
      <c r="B30">
        <v>29794</v>
      </c>
      <c r="C30" t="s">
        <v>8348</v>
      </c>
      <c r="E30" t="s">
        <v>7768</v>
      </c>
      <c r="F30" t="s">
        <v>2855</v>
      </c>
      <c r="G30" t="s">
        <v>2855</v>
      </c>
      <c r="H30" t="s">
        <v>2855</v>
      </c>
      <c r="I30" t="s">
        <v>2855</v>
      </c>
      <c r="J30" t="s">
        <v>2855</v>
      </c>
      <c r="K30" t="s">
        <v>2845</v>
      </c>
      <c r="L30" t="s">
        <v>2855</v>
      </c>
      <c r="M30" t="s">
        <v>8784</v>
      </c>
      <c r="N30" t="s">
        <v>8783</v>
      </c>
      <c r="O30" t="s">
        <v>7768</v>
      </c>
      <c r="P30" t="s">
        <v>7768</v>
      </c>
      <c r="Q30" t="s">
        <v>7768</v>
      </c>
      <c r="R30" t="s">
        <v>7768</v>
      </c>
      <c r="S30" t="s">
        <v>7768</v>
      </c>
      <c r="T30" s="18"/>
      <c r="U30" t="s">
        <v>7768</v>
      </c>
      <c r="V30" s="18">
        <v>35814.041666666664</v>
      </c>
      <c r="W30" s="18"/>
    </row>
    <row r="31" spans="1:23" x14ac:dyDescent="0.25">
      <c r="A31">
        <v>74841</v>
      </c>
      <c r="B31">
        <v>29794</v>
      </c>
      <c r="C31" t="s">
        <v>8348</v>
      </c>
      <c r="D31">
        <v>74548</v>
      </c>
      <c r="E31" t="s">
        <v>5638</v>
      </c>
      <c r="F31" t="s">
        <v>7940</v>
      </c>
      <c r="G31" t="s">
        <v>7940</v>
      </c>
      <c r="H31" t="s">
        <v>7768</v>
      </c>
      <c r="I31" t="s">
        <v>7768</v>
      </c>
      <c r="J31" t="s">
        <v>7768</v>
      </c>
      <c r="K31" t="s">
        <v>6769</v>
      </c>
      <c r="L31" t="s">
        <v>7768</v>
      </c>
      <c r="M31" t="s">
        <v>8782</v>
      </c>
      <c r="N31" t="s">
        <v>8781</v>
      </c>
      <c r="O31" t="s">
        <v>7768</v>
      </c>
      <c r="P31" t="s">
        <v>7768</v>
      </c>
      <c r="Q31" t="s">
        <v>7768</v>
      </c>
      <c r="R31" t="s">
        <v>7768</v>
      </c>
      <c r="S31" t="s">
        <v>7768</v>
      </c>
      <c r="T31" s="18"/>
      <c r="U31" t="s">
        <v>7768</v>
      </c>
      <c r="V31" s="18">
        <v>33311.041666666664</v>
      </c>
      <c r="W31" s="18"/>
    </row>
    <row r="32" spans="1:23" x14ac:dyDescent="0.25">
      <c r="A32">
        <v>74943</v>
      </c>
      <c r="B32">
        <v>29794</v>
      </c>
      <c r="C32" t="s">
        <v>8348</v>
      </c>
      <c r="D32">
        <v>74193</v>
      </c>
      <c r="E32" t="s">
        <v>1859</v>
      </c>
      <c r="F32" t="s">
        <v>3149</v>
      </c>
      <c r="G32" t="s">
        <v>3149</v>
      </c>
      <c r="H32" t="s">
        <v>7768</v>
      </c>
      <c r="I32" t="s">
        <v>7768</v>
      </c>
      <c r="J32" t="s">
        <v>7768</v>
      </c>
      <c r="K32" t="s">
        <v>3143</v>
      </c>
      <c r="L32" t="s">
        <v>7768</v>
      </c>
      <c r="M32" t="s">
        <v>8780</v>
      </c>
      <c r="N32" t="s">
        <v>8779</v>
      </c>
      <c r="O32" t="s">
        <v>7768</v>
      </c>
      <c r="P32" t="s">
        <v>7768</v>
      </c>
      <c r="Q32" t="s">
        <v>7768</v>
      </c>
      <c r="R32" t="s">
        <v>7768</v>
      </c>
      <c r="S32" t="s">
        <v>7768</v>
      </c>
      <c r="T32" s="18">
        <v>35065.041666666664</v>
      </c>
      <c r="U32" t="s">
        <v>7768</v>
      </c>
      <c r="V32" s="18"/>
      <c r="W32" s="18">
        <v>35065.041666666664</v>
      </c>
    </row>
    <row r="33" spans="1:23" x14ac:dyDescent="0.25">
      <c r="A33">
        <v>74944</v>
      </c>
      <c r="B33">
        <v>29794</v>
      </c>
      <c r="C33" t="s">
        <v>8348</v>
      </c>
      <c r="D33">
        <v>74193</v>
      </c>
      <c r="E33" t="s">
        <v>1859</v>
      </c>
      <c r="F33" t="s">
        <v>2558</v>
      </c>
      <c r="G33" t="s">
        <v>2558</v>
      </c>
      <c r="H33" t="s">
        <v>7768</v>
      </c>
      <c r="I33" t="s">
        <v>7768</v>
      </c>
      <c r="J33" t="s">
        <v>7768</v>
      </c>
      <c r="K33" t="s">
        <v>2552</v>
      </c>
      <c r="L33" t="s">
        <v>7768</v>
      </c>
      <c r="M33" t="s">
        <v>8778</v>
      </c>
      <c r="N33" t="s">
        <v>8777</v>
      </c>
      <c r="O33" t="s">
        <v>7768</v>
      </c>
      <c r="P33" t="s">
        <v>7768</v>
      </c>
      <c r="Q33" t="s">
        <v>7768</v>
      </c>
      <c r="R33" t="s">
        <v>7768</v>
      </c>
      <c r="S33" t="s">
        <v>7768</v>
      </c>
      <c r="T33" s="18">
        <v>35796.041666666664</v>
      </c>
      <c r="U33" t="s">
        <v>7768</v>
      </c>
      <c r="V33" s="18"/>
      <c r="W33" s="18">
        <v>35796.041666666664</v>
      </c>
    </row>
    <row r="34" spans="1:23" x14ac:dyDescent="0.25">
      <c r="A34">
        <v>75011</v>
      </c>
      <c r="B34">
        <v>29794</v>
      </c>
      <c r="C34" t="s">
        <v>8348</v>
      </c>
      <c r="D34">
        <v>36275</v>
      </c>
      <c r="E34" t="s">
        <v>1912</v>
      </c>
      <c r="F34" t="s">
        <v>8776</v>
      </c>
      <c r="G34" t="s">
        <v>8776</v>
      </c>
      <c r="H34" t="s">
        <v>8776</v>
      </c>
      <c r="I34" t="s">
        <v>8776</v>
      </c>
      <c r="J34" t="s">
        <v>8776</v>
      </c>
      <c r="K34" t="s">
        <v>7098</v>
      </c>
      <c r="L34" t="s">
        <v>8776</v>
      </c>
      <c r="M34" t="s">
        <v>8775</v>
      </c>
      <c r="N34" t="s">
        <v>8774</v>
      </c>
      <c r="O34" t="s">
        <v>7768</v>
      </c>
      <c r="P34" t="s">
        <v>7768</v>
      </c>
      <c r="Q34" t="s">
        <v>7768</v>
      </c>
      <c r="R34" t="s">
        <v>7768</v>
      </c>
      <c r="S34" t="s">
        <v>7768</v>
      </c>
      <c r="T34" s="18"/>
      <c r="U34" t="s">
        <v>7768</v>
      </c>
      <c r="V34" s="18">
        <v>33378.083333333336</v>
      </c>
      <c r="W34" s="18"/>
    </row>
    <row r="35" spans="1:23" x14ac:dyDescent="0.25">
      <c r="A35">
        <v>75129</v>
      </c>
      <c r="B35">
        <v>29794</v>
      </c>
      <c r="C35" t="s">
        <v>8348</v>
      </c>
      <c r="D35">
        <v>74193</v>
      </c>
      <c r="E35" t="s">
        <v>1859</v>
      </c>
      <c r="F35" t="s">
        <v>2404</v>
      </c>
      <c r="G35" t="s">
        <v>2404</v>
      </c>
      <c r="H35" t="s">
        <v>2404</v>
      </c>
      <c r="I35" t="s">
        <v>2404</v>
      </c>
      <c r="J35" t="s">
        <v>2404</v>
      </c>
      <c r="K35" t="s">
        <v>2398</v>
      </c>
      <c r="L35" t="s">
        <v>2404</v>
      </c>
      <c r="M35" t="s">
        <v>8773</v>
      </c>
      <c r="N35" t="s">
        <v>8772</v>
      </c>
      <c r="O35" t="s">
        <v>7768</v>
      </c>
      <c r="P35" t="s">
        <v>7768</v>
      </c>
      <c r="Q35" t="s">
        <v>7768</v>
      </c>
      <c r="R35" t="s">
        <v>7768</v>
      </c>
      <c r="S35" t="s">
        <v>7768</v>
      </c>
      <c r="T35" s="18"/>
      <c r="U35" t="s">
        <v>7768</v>
      </c>
      <c r="V35" s="18">
        <v>36307.083333333336</v>
      </c>
      <c r="W35" s="18"/>
    </row>
    <row r="36" spans="1:23" x14ac:dyDescent="0.25">
      <c r="A36">
        <v>75307</v>
      </c>
      <c r="B36">
        <v>29794</v>
      </c>
      <c r="C36" t="s">
        <v>8348</v>
      </c>
      <c r="D36">
        <v>75306</v>
      </c>
      <c r="E36" t="s">
        <v>3882</v>
      </c>
      <c r="F36" t="s">
        <v>8771</v>
      </c>
      <c r="G36" t="s">
        <v>8771</v>
      </c>
      <c r="H36" t="s">
        <v>8771</v>
      </c>
      <c r="I36" t="s">
        <v>8771</v>
      </c>
      <c r="J36" t="s">
        <v>8771</v>
      </c>
      <c r="K36" t="s">
        <v>3873</v>
      </c>
      <c r="L36" t="s">
        <v>8771</v>
      </c>
      <c r="M36" t="s">
        <v>7768</v>
      </c>
      <c r="N36" t="s">
        <v>8770</v>
      </c>
      <c r="O36" t="s">
        <v>7768</v>
      </c>
      <c r="P36" t="s">
        <v>7768</v>
      </c>
      <c r="Q36" t="s">
        <v>7768</v>
      </c>
      <c r="R36" t="s">
        <v>7768</v>
      </c>
      <c r="S36" t="s">
        <v>7768</v>
      </c>
      <c r="T36" s="18"/>
      <c r="U36" t="s">
        <v>7768</v>
      </c>
      <c r="V36" s="18">
        <v>35030.041666666664</v>
      </c>
      <c r="W36" s="18"/>
    </row>
    <row r="37" spans="1:23" x14ac:dyDescent="0.25">
      <c r="A37">
        <v>75570</v>
      </c>
      <c r="B37">
        <v>29794</v>
      </c>
      <c r="C37" t="s">
        <v>8348</v>
      </c>
      <c r="D37">
        <v>74548</v>
      </c>
      <c r="E37" t="s">
        <v>5638</v>
      </c>
      <c r="F37" t="s">
        <v>8769</v>
      </c>
      <c r="G37" t="s">
        <v>8769</v>
      </c>
      <c r="H37" t="s">
        <v>7768</v>
      </c>
      <c r="I37" t="s">
        <v>7768</v>
      </c>
      <c r="J37" t="s">
        <v>7768</v>
      </c>
      <c r="K37" t="s">
        <v>8768</v>
      </c>
      <c r="L37" t="s">
        <v>7768</v>
      </c>
      <c r="M37" t="s">
        <v>8767</v>
      </c>
      <c r="N37" t="s">
        <v>8766</v>
      </c>
      <c r="O37" t="s">
        <v>7768</v>
      </c>
      <c r="P37" t="s">
        <v>7768</v>
      </c>
      <c r="Q37" t="s">
        <v>7768</v>
      </c>
      <c r="R37" t="s">
        <v>7768</v>
      </c>
      <c r="S37" t="s">
        <v>7768</v>
      </c>
      <c r="T37" s="18"/>
      <c r="U37" t="s">
        <v>7768</v>
      </c>
      <c r="V37" s="18">
        <v>33444.083333333336</v>
      </c>
      <c r="W37" s="18"/>
    </row>
    <row r="38" spans="1:23" x14ac:dyDescent="0.25">
      <c r="A38">
        <v>75573</v>
      </c>
      <c r="B38">
        <v>29794</v>
      </c>
      <c r="C38" t="s">
        <v>8348</v>
      </c>
      <c r="D38">
        <v>73839</v>
      </c>
      <c r="E38" t="s">
        <v>194</v>
      </c>
      <c r="F38" t="s">
        <v>8765</v>
      </c>
      <c r="G38" t="s">
        <v>8765</v>
      </c>
      <c r="H38" t="s">
        <v>7768</v>
      </c>
      <c r="I38" t="s">
        <v>7768</v>
      </c>
      <c r="J38" t="s">
        <v>7768</v>
      </c>
      <c r="K38" t="s">
        <v>7768</v>
      </c>
      <c r="L38" t="s">
        <v>7768</v>
      </c>
      <c r="M38" t="s">
        <v>7768</v>
      </c>
      <c r="N38" t="s">
        <v>8764</v>
      </c>
      <c r="O38" t="s">
        <v>7768</v>
      </c>
      <c r="P38" t="s">
        <v>7768</v>
      </c>
      <c r="Q38" t="s">
        <v>7768</v>
      </c>
      <c r="R38" t="s">
        <v>7768</v>
      </c>
      <c r="S38" t="s">
        <v>7768</v>
      </c>
      <c r="T38" s="18"/>
      <c r="U38" t="s">
        <v>7768</v>
      </c>
      <c r="V38" s="18"/>
      <c r="W38" s="18">
        <v>37622.041666666664</v>
      </c>
    </row>
    <row r="39" spans="1:23" x14ac:dyDescent="0.25">
      <c r="A39">
        <v>75574</v>
      </c>
      <c r="B39">
        <v>29794</v>
      </c>
      <c r="C39" t="s">
        <v>8348</v>
      </c>
      <c r="D39">
        <v>73839</v>
      </c>
      <c r="E39" t="s">
        <v>194</v>
      </c>
      <c r="F39" t="s">
        <v>8763</v>
      </c>
      <c r="G39" t="s">
        <v>8763</v>
      </c>
      <c r="H39" t="s">
        <v>7768</v>
      </c>
      <c r="I39" t="s">
        <v>7768</v>
      </c>
      <c r="J39" t="s">
        <v>7768</v>
      </c>
      <c r="K39" t="s">
        <v>7768</v>
      </c>
      <c r="L39" t="s">
        <v>7768</v>
      </c>
      <c r="M39" t="s">
        <v>7768</v>
      </c>
      <c r="N39" t="s">
        <v>7768</v>
      </c>
      <c r="O39" t="s">
        <v>7768</v>
      </c>
      <c r="P39" t="s">
        <v>7768</v>
      </c>
      <c r="Q39" t="s">
        <v>7768</v>
      </c>
      <c r="R39" t="s">
        <v>7768</v>
      </c>
      <c r="S39" t="s">
        <v>7768</v>
      </c>
      <c r="T39" s="18"/>
      <c r="U39" t="s">
        <v>7768</v>
      </c>
      <c r="V39" s="18"/>
      <c r="W39" s="18">
        <v>37622.041666666664</v>
      </c>
    </row>
    <row r="40" spans="1:23" x14ac:dyDescent="0.25">
      <c r="A40">
        <v>75575</v>
      </c>
      <c r="B40">
        <v>29794</v>
      </c>
      <c r="C40" t="s">
        <v>8348</v>
      </c>
      <c r="D40">
        <v>73839</v>
      </c>
      <c r="E40" t="s">
        <v>194</v>
      </c>
      <c r="F40" t="s">
        <v>8762</v>
      </c>
      <c r="G40" t="s">
        <v>8762</v>
      </c>
      <c r="H40" t="s">
        <v>7768</v>
      </c>
      <c r="I40" t="s">
        <v>7768</v>
      </c>
      <c r="J40" t="s">
        <v>7768</v>
      </c>
      <c r="K40" t="s">
        <v>7768</v>
      </c>
      <c r="L40" t="s">
        <v>7768</v>
      </c>
      <c r="M40" t="s">
        <v>7768</v>
      </c>
      <c r="N40" t="s">
        <v>7768</v>
      </c>
      <c r="O40" t="s">
        <v>7768</v>
      </c>
      <c r="P40" t="s">
        <v>7768</v>
      </c>
      <c r="Q40" t="s">
        <v>7768</v>
      </c>
      <c r="R40" t="s">
        <v>7768</v>
      </c>
      <c r="S40" t="s">
        <v>7768</v>
      </c>
      <c r="T40" s="18"/>
      <c r="U40" t="s">
        <v>7768</v>
      </c>
      <c r="V40" s="18"/>
      <c r="W40" s="18">
        <v>37622.041666666664</v>
      </c>
    </row>
    <row r="41" spans="1:23" x14ac:dyDescent="0.25">
      <c r="A41">
        <v>75628</v>
      </c>
      <c r="B41">
        <v>29794</v>
      </c>
      <c r="C41" t="s">
        <v>8348</v>
      </c>
      <c r="D41">
        <v>36275</v>
      </c>
      <c r="E41" t="s">
        <v>1912</v>
      </c>
      <c r="F41" t="s">
        <v>8018</v>
      </c>
      <c r="G41" t="s">
        <v>8018</v>
      </c>
      <c r="H41" t="s">
        <v>8018</v>
      </c>
      <c r="I41" t="s">
        <v>8018</v>
      </c>
      <c r="J41" t="s">
        <v>8018</v>
      </c>
      <c r="K41" t="s">
        <v>7296</v>
      </c>
      <c r="L41" t="s">
        <v>8018</v>
      </c>
      <c r="M41" t="s">
        <v>8761</v>
      </c>
      <c r="N41" t="s">
        <v>8760</v>
      </c>
      <c r="O41" t="s">
        <v>7768</v>
      </c>
      <c r="P41" t="s">
        <v>7768</v>
      </c>
      <c r="Q41" t="s">
        <v>7768</v>
      </c>
      <c r="R41" t="s">
        <v>7768</v>
      </c>
      <c r="S41" t="s">
        <v>7768</v>
      </c>
      <c r="T41" s="18"/>
      <c r="U41" t="s">
        <v>7768</v>
      </c>
      <c r="V41" s="18">
        <v>33184.041666666664</v>
      </c>
      <c r="W41" s="18"/>
    </row>
    <row r="42" spans="1:23" x14ac:dyDescent="0.25">
      <c r="A42">
        <v>75871</v>
      </c>
      <c r="B42">
        <v>29794</v>
      </c>
      <c r="C42" t="s">
        <v>8348</v>
      </c>
      <c r="D42">
        <v>75870</v>
      </c>
      <c r="E42" t="s">
        <v>112</v>
      </c>
      <c r="F42" t="s">
        <v>8759</v>
      </c>
      <c r="G42" t="s">
        <v>8759</v>
      </c>
      <c r="H42" t="s">
        <v>7768</v>
      </c>
      <c r="I42" t="s">
        <v>7768</v>
      </c>
      <c r="J42" t="s">
        <v>7768</v>
      </c>
      <c r="K42" t="s">
        <v>7768</v>
      </c>
      <c r="L42" t="s">
        <v>7768</v>
      </c>
      <c r="M42" t="s">
        <v>7768</v>
      </c>
      <c r="N42" t="s">
        <v>8758</v>
      </c>
      <c r="O42" t="s">
        <v>7768</v>
      </c>
      <c r="P42" t="s">
        <v>7768</v>
      </c>
      <c r="Q42" t="s">
        <v>7768</v>
      </c>
      <c r="R42" t="s">
        <v>7768</v>
      </c>
      <c r="S42" t="s">
        <v>7768</v>
      </c>
      <c r="T42" s="18"/>
      <c r="U42" t="s">
        <v>7768</v>
      </c>
      <c r="V42" s="18"/>
      <c r="W42" s="18">
        <v>36526.041666666664</v>
      </c>
    </row>
    <row r="43" spans="1:23" x14ac:dyDescent="0.25">
      <c r="A43">
        <v>76163</v>
      </c>
      <c r="B43">
        <v>29794</v>
      </c>
      <c r="C43" t="s">
        <v>8348</v>
      </c>
      <c r="D43">
        <v>36275</v>
      </c>
      <c r="E43" t="s">
        <v>1912</v>
      </c>
      <c r="F43" t="s">
        <v>8757</v>
      </c>
      <c r="G43" t="s">
        <v>8757</v>
      </c>
      <c r="H43" t="s">
        <v>8757</v>
      </c>
      <c r="I43" t="s">
        <v>8757</v>
      </c>
      <c r="J43" t="s">
        <v>8757</v>
      </c>
      <c r="K43" t="s">
        <v>8756</v>
      </c>
      <c r="L43" t="s">
        <v>8757</v>
      </c>
      <c r="M43" t="s">
        <v>8755</v>
      </c>
      <c r="N43" t="s">
        <v>8754</v>
      </c>
      <c r="O43" t="s">
        <v>7768</v>
      </c>
      <c r="P43" t="s">
        <v>7768</v>
      </c>
      <c r="Q43" t="s">
        <v>7768</v>
      </c>
      <c r="R43" t="s">
        <v>7768</v>
      </c>
      <c r="S43" t="s">
        <v>7768</v>
      </c>
      <c r="T43" s="18">
        <v>33239.041666666664</v>
      </c>
      <c r="U43" t="s">
        <v>7768</v>
      </c>
      <c r="V43" s="18"/>
      <c r="W43" s="18">
        <v>33239.041666666664</v>
      </c>
    </row>
    <row r="44" spans="1:23" x14ac:dyDescent="0.25">
      <c r="A44">
        <v>76300</v>
      </c>
      <c r="B44">
        <v>29794</v>
      </c>
      <c r="C44" t="s">
        <v>8348</v>
      </c>
      <c r="D44">
        <v>74107</v>
      </c>
      <c r="E44" t="s">
        <v>4214</v>
      </c>
      <c r="F44" t="s">
        <v>4253</v>
      </c>
      <c r="G44" t="s">
        <v>4253</v>
      </c>
      <c r="H44" t="s">
        <v>4253</v>
      </c>
      <c r="I44" t="s">
        <v>4253</v>
      </c>
      <c r="J44" t="s">
        <v>4253</v>
      </c>
      <c r="K44" t="s">
        <v>4247</v>
      </c>
      <c r="L44" t="s">
        <v>4253</v>
      </c>
      <c r="M44" t="s">
        <v>8753</v>
      </c>
      <c r="N44" t="s">
        <v>8752</v>
      </c>
      <c r="O44" t="s">
        <v>7768</v>
      </c>
      <c r="P44" t="s">
        <v>7768</v>
      </c>
      <c r="Q44" t="s">
        <v>7768</v>
      </c>
      <c r="R44" t="s">
        <v>7768</v>
      </c>
      <c r="S44" t="s">
        <v>7768</v>
      </c>
      <c r="T44" s="18"/>
      <c r="U44" t="s">
        <v>7768</v>
      </c>
      <c r="V44" s="18">
        <v>34870.083333333336</v>
      </c>
      <c r="W44" s="18"/>
    </row>
    <row r="45" spans="1:23" x14ac:dyDescent="0.25">
      <c r="A45">
        <v>76316</v>
      </c>
      <c r="B45">
        <v>29794</v>
      </c>
      <c r="C45" t="s">
        <v>8348</v>
      </c>
      <c r="D45">
        <v>36275</v>
      </c>
      <c r="E45" t="s">
        <v>1912</v>
      </c>
      <c r="F45" t="s">
        <v>8751</v>
      </c>
      <c r="G45" t="s">
        <v>8751</v>
      </c>
      <c r="H45" t="s">
        <v>8751</v>
      </c>
      <c r="I45" t="s">
        <v>8751</v>
      </c>
      <c r="J45" t="s">
        <v>8751</v>
      </c>
      <c r="K45" t="s">
        <v>8750</v>
      </c>
      <c r="L45" t="s">
        <v>8751</v>
      </c>
      <c r="M45" t="s">
        <v>8749</v>
      </c>
      <c r="N45" t="s">
        <v>8748</v>
      </c>
      <c r="O45" t="s">
        <v>7768</v>
      </c>
      <c r="P45" t="s">
        <v>7768</v>
      </c>
      <c r="Q45" t="s">
        <v>7768</v>
      </c>
      <c r="R45" t="s">
        <v>7768</v>
      </c>
      <c r="S45" t="s">
        <v>7768</v>
      </c>
      <c r="T45" s="18"/>
      <c r="U45" t="s">
        <v>7768</v>
      </c>
      <c r="V45" s="18">
        <v>33567.041666666664</v>
      </c>
      <c r="W45" s="18"/>
    </row>
    <row r="46" spans="1:23" x14ac:dyDescent="0.25">
      <c r="A46">
        <v>76317</v>
      </c>
      <c r="B46">
        <v>29794</v>
      </c>
      <c r="C46" t="s">
        <v>8348</v>
      </c>
      <c r="D46">
        <v>36275</v>
      </c>
      <c r="E46" t="s">
        <v>1912</v>
      </c>
      <c r="F46" t="s">
        <v>8747</v>
      </c>
      <c r="G46" t="s">
        <v>8747</v>
      </c>
      <c r="H46" t="s">
        <v>8747</v>
      </c>
      <c r="I46" t="s">
        <v>8747</v>
      </c>
      <c r="J46" t="s">
        <v>8747</v>
      </c>
      <c r="K46" t="s">
        <v>8746</v>
      </c>
      <c r="L46" t="s">
        <v>8747</v>
      </c>
      <c r="M46" t="s">
        <v>8745</v>
      </c>
      <c r="N46" t="s">
        <v>8744</v>
      </c>
      <c r="O46" t="s">
        <v>7768</v>
      </c>
      <c r="P46" t="s">
        <v>7768</v>
      </c>
      <c r="Q46" t="s">
        <v>7768</v>
      </c>
      <c r="R46" t="s">
        <v>7768</v>
      </c>
      <c r="S46" t="s">
        <v>7768</v>
      </c>
      <c r="T46" s="18"/>
      <c r="U46" t="s">
        <v>7768</v>
      </c>
      <c r="V46" s="18">
        <v>33948.041666666664</v>
      </c>
      <c r="W46" s="18"/>
    </row>
    <row r="47" spans="1:23" x14ac:dyDescent="0.25">
      <c r="A47">
        <v>76318</v>
      </c>
      <c r="B47">
        <v>29794</v>
      </c>
      <c r="C47" t="s">
        <v>8348</v>
      </c>
      <c r="D47">
        <v>36275</v>
      </c>
      <c r="E47" t="s">
        <v>1912</v>
      </c>
      <c r="F47" t="s">
        <v>8743</v>
      </c>
      <c r="G47" t="s">
        <v>8743</v>
      </c>
      <c r="H47" t="s">
        <v>8743</v>
      </c>
      <c r="I47" t="s">
        <v>8743</v>
      </c>
      <c r="J47" t="s">
        <v>8743</v>
      </c>
      <c r="K47" t="s">
        <v>8742</v>
      </c>
      <c r="L47" t="s">
        <v>8743</v>
      </c>
      <c r="M47" t="s">
        <v>8741</v>
      </c>
      <c r="N47" t="s">
        <v>8740</v>
      </c>
      <c r="O47" t="s">
        <v>7768</v>
      </c>
      <c r="P47" t="s">
        <v>7768</v>
      </c>
      <c r="Q47" t="s">
        <v>7768</v>
      </c>
      <c r="R47" t="s">
        <v>7768</v>
      </c>
      <c r="S47" t="s">
        <v>7768</v>
      </c>
      <c r="T47" s="18"/>
      <c r="U47" t="s">
        <v>7768</v>
      </c>
      <c r="V47" s="18">
        <v>34785.083333333336</v>
      </c>
      <c r="W47" s="18"/>
    </row>
    <row r="48" spans="1:23" x14ac:dyDescent="0.25">
      <c r="A48">
        <v>76319</v>
      </c>
      <c r="B48">
        <v>29794</v>
      </c>
      <c r="C48" t="s">
        <v>8348</v>
      </c>
      <c r="D48">
        <v>36275</v>
      </c>
      <c r="E48" t="s">
        <v>1912</v>
      </c>
      <c r="F48" t="s">
        <v>8739</v>
      </c>
      <c r="G48" t="s">
        <v>8739</v>
      </c>
      <c r="H48" t="s">
        <v>8739</v>
      </c>
      <c r="I48" t="s">
        <v>8739</v>
      </c>
      <c r="J48" t="s">
        <v>8739</v>
      </c>
      <c r="K48" t="s">
        <v>5447</v>
      </c>
      <c r="L48" t="s">
        <v>8739</v>
      </c>
      <c r="M48" t="s">
        <v>8738</v>
      </c>
      <c r="N48" t="s">
        <v>8737</v>
      </c>
      <c r="O48" t="s">
        <v>7768</v>
      </c>
      <c r="P48" t="s">
        <v>7768</v>
      </c>
      <c r="Q48" t="s">
        <v>7768</v>
      </c>
      <c r="R48" t="s">
        <v>7768</v>
      </c>
      <c r="S48" t="s">
        <v>7768</v>
      </c>
      <c r="T48" s="18"/>
      <c r="U48" t="s">
        <v>7768</v>
      </c>
      <c r="V48" s="18">
        <v>34228.083333333336</v>
      </c>
      <c r="W48" s="18"/>
    </row>
    <row r="49" spans="1:23" x14ac:dyDescent="0.25">
      <c r="A49">
        <v>76339</v>
      </c>
      <c r="B49">
        <v>29794</v>
      </c>
      <c r="C49" t="s">
        <v>8348</v>
      </c>
      <c r="D49">
        <v>76338</v>
      </c>
      <c r="E49" t="s">
        <v>5384</v>
      </c>
      <c r="F49" t="s">
        <v>8736</v>
      </c>
      <c r="G49" t="s">
        <v>8736</v>
      </c>
      <c r="H49" t="s">
        <v>8736</v>
      </c>
      <c r="I49" t="s">
        <v>8736</v>
      </c>
      <c r="J49" t="s">
        <v>8736</v>
      </c>
      <c r="K49" t="s">
        <v>5374</v>
      </c>
      <c r="L49" t="s">
        <v>8736</v>
      </c>
      <c r="M49" t="s">
        <v>8735</v>
      </c>
      <c r="N49" t="s">
        <v>8734</v>
      </c>
      <c r="O49" t="s">
        <v>7768</v>
      </c>
      <c r="P49" t="s">
        <v>7768</v>
      </c>
      <c r="Q49" t="s">
        <v>7768</v>
      </c>
      <c r="R49" t="s">
        <v>7768</v>
      </c>
      <c r="S49" t="s">
        <v>7768</v>
      </c>
      <c r="T49" s="18"/>
      <c r="U49" t="s">
        <v>7768</v>
      </c>
      <c r="V49" s="18">
        <v>34513.083333333336</v>
      </c>
      <c r="W49" s="18"/>
    </row>
    <row r="50" spans="1:23" x14ac:dyDescent="0.25">
      <c r="A50">
        <v>76588</v>
      </c>
      <c r="B50">
        <v>29794</v>
      </c>
      <c r="C50" t="s">
        <v>8348</v>
      </c>
      <c r="D50">
        <v>74334</v>
      </c>
      <c r="E50" t="s">
        <v>3242</v>
      </c>
      <c r="F50" t="s">
        <v>4878</v>
      </c>
      <c r="G50" t="s">
        <v>4878</v>
      </c>
      <c r="H50" t="s">
        <v>4878</v>
      </c>
      <c r="I50" t="s">
        <v>4878</v>
      </c>
      <c r="J50" t="s">
        <v>4878</v>
      </c>
      <c r="K50" t="s">
        <v>8733</v>
      </c>
      <c r="L50" t="s">
        <v>4878</v>
      </c>
      <c r="M50" t="s">
        <v>8732</v>
      </c>
      <c r="N50" t="s">
        <v>8731</v>
      </c>
      <c r="O50" t="s">
        <v>7768</v>
      </c>
      <c r="P50" t="s">
        <v>7768</v>
      </c>
      <c r="Q50" t="s">
        <v>7768</v>
      </c>
      <c r="R50" t="s">
        <v>7768</v>
      </c>
      <c r="S50" t="s">
        <v>7768</v>
      </c>
      <c r="T50" s="18"/>
      <c r="U50" t="s">
        <v>7768</v>
      </c>
      <c r="V50" s="18">
        <v>34723.041666666664</v>
      </c>
      <c r="W50" s="18"/>
    </row>
    <row r="51" spans="1:23" x14ac:dyDescent="0.25">
      <c r="A51">
        <v>76681</v>
      </c>
      <c r="B51">
        <v>29794</v>
      </c>
      <c r="C51" t="s">
        <v>8348</v>
      </c>
      <c r="D51">
        <v>74193</v>
      </c>
      <c r="E51" t="s">
        <v>1859</v>
      </c>
      <c r="F51" t="s">
        <v>2200</v>
      </c>
      <c r="G51" t="s">
        <v>2200</v>
      </c>
      <c r="H51" t="s">
        <v>2200</v>
      </c>
      <c r="I51" t="s">
        <v>2200</v>
      </c>
      <c r="J51" t="s">
        <v>2200</v>
      </c>
      <c r="K51" t="s">
        <v>2194</v>
      </c>
      <c r="L51" t="s">
        <v>2200</v>
      </c>
      <c r="M51" t="s">
        <v>8730</v>
      </c>
      <c r="N51" t="s">
        <v>8729</v>
      </c>
      <c r="O51" t="s">
        <v>7768</v>
      </c>
      <c r="P51" t="s">
        <v>7768</v>
      </c>
      <c r="Q51" t="s">
        <v>7768</v>
      </c>
      <c r="R51" t="s">
        <v>7768</v>
      </c>
      <c r="S51" t="s">
        <v>7768</v>
      </c>
      <c r="T51" s="18">
        <v>36161.041666666664</v>
      </c>
      <c r="U51" t="s">
        <v>7768</v>
      </c>
      <c r="V51" s="18"/>
      <c r="W51" s="18">
        <v>36161.041666666664</v>
      </c>
    </row>
    <row r="52" spans="1:23" x14ac:dyDescent="0.25">
      <c r="A52">
        <v>76686</v>
      </c>
      <c r="B52">
        <v>29794</v>
      </c>
      <c r="C52" t="s">
        <v>8348</v>
      </c>
      <c r="D52">
        <v>73839</v>
      </c>
      <c r="E52" t="s">
        <v>194</v>
      </c>
      <c r="F52" t="s">
        <v>8728</v>
      </c>
      <c r="G52" t="s">
        <v>8728</v>
      </c>
      <c r="H52" t="s">
        <v>8728</v>
      </c>
      <c r="I52" t="s">
        <v>8728</v>
      </c>
      <c r="J52" t="s">
        <v>8728</v>
      </c>
      <c r="K52" t="s">
        <v>8727</v>
      </c>
      <c r="L52" t="s">
        <v>8728</v>
      </c>
      <c r="M52" t="s">
        <v>8726</v>
      </c>
      <c r="N52" t="s">
        <v>8725</v>
      </c>
      <c r="O52" t="s">
        <v>7768</v>
      </c>
      <c r="P52" t="s">
        <v>7768</v>
      </c>
      <c r="Q52" t="s">
        <v>7768</v>
      </c>
      <c r="R52" t="s">
        <v>7768</v>
      </c>
      <c r="S52" t="s">
        <v>7768</v>
      </c>
      <c r="T52" s="18"/>
      <c r="U52" t="s">
        <v>7768</v>
      </c>
      <c r="V52" s="18">
        <v>36490.041666666664</v>
      </c>
      <c r="W52" s="18"/>
    </row>
    <row r="53" spans="1:23" x14ac:dyDescent="0.25">
      <c r="A53">
        <v>76728</v>
      </c>
      <c r="B53">
        <v>29794</v>
      </c>
      <c r="C53" t="s">
        <v>8348</v>
      </c>
      <c r="D53">
        <v>36275</v>
      </c>
      <c r="E53" t="s">
        <v>1912</v>
      </c>
      <c r="F53" t="s">
        <v>8724</v>
      </c>
      <c r="G53" t="s">
        <v>8724</v>
      </c>
      <c r="H53" t="s">
        <v>8724</v>
      </c>
      <c r="I53" t="s">
        <v>8724</v>
      </c>
      <c r="J53" t="s">
        <v>8724</v>
      </c>
      <c r="K53" t="s">
        <v>6890</v>
      </c>
      <c r="L53" t="s">
        <v>8724</v>
      </c>
      <c r="M53" t="s">
        <v>8723</v>
      </c>
      <c r="N53" t="s">
        <v>8722</v>
      </c>
      <c r="O53" t="s">
        <v>7768</v>
      </c>
      <c r="P53" t="s">
        <v>7768</v>
      </c>
      <c r="Q53" t="s">
        <v>7768</v>
      </c>
      <c r="R53" t="s">
        <v>7768</v>
      </c>
      <c r="S53" t="s">
        <v>7768</v>
      </c>
      <c r="T53" s="18"/>
      <c r="U53" t="s">
        <v>7768</v>
      </c>
      <c r="V53" s="18">
        <v>33263.041666666664</v>
      </c>
      <c r="W53" s="18"/>
    </row>
    <row r="54" spans="1:23" x14ac:dyDescent="0.25">
      <c r="A54">
        <v>76777</v>
      </c>
      <c r="B54">
        <v>29794</v>
      </c>
      <c r="C54" t="s">
        <v>8348</v>
      </c>
      <c r="D54">
        <v>74193</v>
      </c>
      <c r="E54" t="s">
        <v>1859</v>
      </c>
      <c r="F54" t="s">
        <v>3799</v>
      </c>
      <c r="G54" t="s">
        <v>3799</v>
      </c>
      <c r="H54" t="s">
        <v>3799</v>
      </c>
      <c r="I54" t="s">
        <v>3799</v>
      </c>
      <c r="J54" t="s">
        <v>3799</v>
      </c>
      <c r="K54" t="s">
        <v>3794</v>
      </c>
      <c r="L54" t="s">
        <v>3799</v>
      </c>
      <c r="M54" t="s">
        <v>8721</v>
      </c>
      <c r="N54" t="s">
        <v>8720</v>
      </c>
      <c r="O54" t="s">
        <v>7768</v>
      </c>
      <c r="P54" t="s">
        <v>7768</v>
      </c>
      <c r="Q54" t="s">
        <v>7768</v>
      </c>
      <c r="R54" t="s">
        <v>7768</v>
      </c>
      <c r="S54" t="s">
        <v>7768</v>
      </c>
      <c r="T54" s="18">
        <v>34700.041666666664</v>
      </c>
      <c r="U54" t="s">
        <v>7768</v>
      </c>
      <c r="V54" s="18"/>
      <c r="W54" s="18">
        <v>34700.041666666664</v>
      </c>
    </row>
    <row r="55" spans="1:23" x14ac:dyDescent="0.25">
      <c r="A55">
        <v>77006</v>
      </c>
      <c r="B55">
        <v>29794</v>
      </c>
      <c r="C55" t="s">
        <v>8348</v>
      </c>
      <c r="D55">
        <v>76027</v>
      </c>
      <c r="E55" t="s">
        <v>1302</v>
      </c>
      <c r="F55" t="s">
        <v>5108</v>
      </c>
      <c r="G55" t="s">
        <v>5108</v>
      </c>
      <c r="H55" t="s">
        <v>5108</v>
      </c>
      <c r="I55" t="s">
        <v>5108</v>
      </c>
      <c r="J55" t="s">
        <v>5108</v>
      </c>
      <c r="K55" t="s">
        <v>5099</v>
      </c>
      <c r="L55" t="s">
        <v>5108</v>
      </c>
      <c r="M55" t="s">
        <v>8719</v>
      </c>
      <c r="N55" t="s">
        <v>8718</v>
      </c>
      <c r="O55" t="s">
        <v>7768</v>
      </c>
      <c r="P55" t="s">
        <v>7768</v>
      </c>
      <c r="Q55" t="s">
        <v>7768</v>
      </c>
      <c r="R55" t="s">
        <v>7768</v>
      </c>
      <c r="S55" t="s">
        <v>7768</v>
      </c>
      <c r="T55" s="18">
        <v>34335.041666666664</v>
      </c>
      <c r="U55" t="s">
        <v>7768</v>
      </c>
      <c r="V55" s="18">
        <v>34479.083333333336</v>
      </c>
      <c r="W55" s="18">
        <v>34335.041666666664</v>
      </c>
    </row>
    <row r="56" spans="1:23" x14ac:dyDescent="0.25">
      <c r="A56">
        <v>77259</v>
      </c>
      <c r="B56">
        <v>29794</v>
      </c>
      <c r="C56" t="s">
        <v>8348</v>
      </c>
      <c r="D56">
        <v>73839</v>
      </c>
      <c r="E56" t="s">
        <v>194</v>
      </c>
      <c r="F56" t="s">
        <v>8717</v>
      </c>
      <c r="G56" t="s">
        <v>8717</v>
      </c>
      <c r="H56" t="s">
        <v>7768</v>
      </c>
      <c r="I56" t="s">
        <v>7768</v>
      </c>
      <c r="J56" t="s">
        <v>7768</v>
      </c>
      <c r="K56" t="s">
        <v>8716</v>
      </c>
      <c r="L56" t="s">
        <v>7768</v>
      </c>
      <c r="M56" t="s">
        <v>8715</v>
      </c>
      <c r="N56" t="s">
        <v>7768</v>
      </c>
      <c r="O56" t="s">
        <v>7768</v>
      </c>
      <c r="P56" t="s">
        <v>7768</v>
      </c>
      <c r="Q56" t="s">
        <v>7768</v>
      </c>
      <c r="R56" t="s">
        <v>7768</v>
      </c>
      <c r="S56" t="s">
        <v>7768</v>
      </c>
      <c r="T56" s="18"/>
      <c r="U56" t="s">
        <v>7768</v>
      </c>
      <c r="V56" s="18"/>
      <c r="W56" s="18">
        <v>34700.041666666664</v>
      </c>
    </row>
    <row r="57" spans="1:23" x14ac:dyDescent="0.25">
      <c r="A57">
        <v>77431</v>
      </c>
      <c r="B57">
        <v>29794</v>
      </c>
      <c r="C57" t="s">
        <v>8348</v>
      </c>
      <c r="D57">
        <v>77430</v>
      </c>
      <c r="E57" t="s">
        <v>8714</v>
      </c>
      <c r="F57" t="s">
        <v>8713</v>
      </c>
      <c r="G57" t="s">
        <v>8713</v>
      </c>
      <c r="H57" t="s">
        <v>8713</v>
      </c>
      <c r="I57" t="s">
        <v>8713</v>
      </c>
      <c r="J57" t="s">
        <v>8713</v>
      </c>
      <c r="K57" t="s">
        <v>8713</v>
      </c>
      <c r="L57" t="s">
        <v>8713</v>
      </c>
      <c r="M57" t="s">
        <v>7768</v>
      </c>
      <c r="N57" t="s">
        <v>8712</v>
      </c>
      <c r="O57" t="s">
        <v>7768</v>
      </c>
      <c r="P57" t="s">
        <v>7768</v>
      </c>
      <c r="Q57" t="s">
        <v>7768</v>
      </c>
      <c r="R57" t="s">
        <v>7768</v>
      </c>
      <c r="S57" t="s">
        <v>7768</v>
      </c>
      <c r="T57" s="18">
        <v>36892.041666666664</v>
      </c>
      <c r="U57" t="s">
        <v>7768</v>
      </c>
      <c r="V57" s="18"/>
      <c r="W57" s="18">
        <v>36892.041666666664</v>
      </c>
    </row>
    <row r="58" spans="1:23" x14ac:dyDescent="0.25">
      <c r="A58">
        <v>77514</v>
      </c>
      <c r="B58">
        <v>29794</v>
      </c>
      <c r="C58" t="s">
        <v>8348</v>
      </c>
      <c r="D58">
        <v>77513</v>
      </c>
      <c r="E58" t="s">
        <v>4347</v>
      </c>
      <c r="F58" t="s">
        <v>8711</v>
      </c>
      <c r="G58" t="s">
        <v>8711</v>
      </c>
      <c r="H58" t="s">
        <v>7768</v>
      </c>
      <c r="I58" t="s">
        <v>7768</v>
      </c>
      <c r="J58" t="s">
        <v>7768</v>
      </c>
      <c r="K58" t="s">
        <v>5829</v>
      </c>
      <c r="L58" t="s">
        <v>7768</v>
      </c>
      <c r="M58" t="s">
        <v>7768</v>
      </c>
      <c r="N58" t="s">
        <v>8710</v>
      </c>
      <c r="O58" t="s">
        <v>7768</v>
      </c>
      <c r="P58" t="s">
        <v>7768</v>
      </c>
      <c r="Q58" t="s">
        <v>7768</v>
      </c>
      <c r="R58" t="s">
        <v>7768</v>
      </c>
      <c r="S58" t="s">
        <v>7768</v>
      </c>
      <c r="T58" s="18"/>
      <c r="U58" t="s">
        <v>7768</v>
      </c>
      <c r="V58" s="18">
        <v>34514.083333333336</v>
      </c>
      <c r="W58" s="18"/>
    </row>
    <row r="59" spans="1:23" x14ac:dyDescent="0.25">
      <c r="A59">
        <v>77590</v>
      </c>
      <c r="B59">
        <v>29794</v>
      </c>
      <c r="C59" t="s">
        <v>8348</v>
      </c>
      <c r="D59">
        <v>73839</v>
      </c>
      <c r="E59" t="s">
        <v>194</v>
      </c>
      <c r="F59" t="s">
        <v>8709</v>
      </c>
      <c r="G59" t="s">
        <v>8709</v>
      </c>
      <c r="H59" t="s">
        <v>7768</v>
      </c>
      <c r="I59" t="s">
        <v>7768</v>
      </c>
      <c r="J59" t="s">
        <v>7768</v>
      </c>
      <c r="K59" t="s">
        <v>7768</v>
      </c>
      <c r="L59" t="s">
        <v>7768</v>
      </c>
      <c r="M59" t="s">
        <v>7768</v>
      </c>
      <c r="N59" t="s">
        <v>8708</v>
      </c>
      <c r="O59" t="s">
        <v>7768</v>
      </c>
      <c r="P59" t="s">
        <v>7768</v>
      </c>
      <c r="Q59" t="s">
        <v>7768</v>
      </c>
      <c r="R59" t="s">
        <v>7768</v>
      </c>
      <c r="S59" t="s">
        <v>7768</v>
      </c>
      <c r="T59" s="18"/>
      <c r="U59" t="s">
        <v>7768</v>
      </c>
      <c r="V59" s="18"/>
      <c r="W59" s="18">
        <v>37622.041666666664</v>
      </c>
    </row>
    <row r="60" spans="1:23" x14ac:dyDescent="0.25">
      <c r="A60">
        <v>77591</v>
      </c>
      <c r="B60">
        <v>29794</v>
      </c>
      <c r="C60" t="s">
        <v>8348</v>
      </c>
      <c r="D60">
        <v>36275</v>
      </c>
      <c r="E60" t="s">
        <v>1912</v>
      </c>
      <c r="F60" t="s">
        <v>8707</v>
      </c>
      <c r="G60" t="s">
        <v>8707</v>
      </c>
      <c r="H60" t="s">
        <v>8707</v>
      </c>
      <c r="I60" t="s">
        <v>8707</v>
      </c>
      <c r="J60" t="s">
        <v>8707</v>
      </c>
      <c r="K60" t="s">
        <v>7170</v>
      </c>
      <c r="L60" t="s">
        <v>8707</v>
      </c>
      <c r="M60" t="s">
        <v>8706</v>
      </c>
      <c r="N60" t="s">
        <v>8705</v>
      </c>
      <c r="O60" t="s">
        <v>7768</v>
      </c>
      <c r="P60" t="s">
        <v>7768</v>
      </c>
      <c r="Q60" t="s">
        <v>7768</v>
      </c>
      <c r="R60" t="s">
        <v>7768</v>
      </c>
      <c r="S60" t="s">
        <v>7768</v>
      </c>
      <c r="T60" s="18">
        <v>33239.041666666664</v>
      </c>
      <c r="U60" t="s">
        <v>7768</v>
      </c>
      <c r="V60" s="18">
        <v>33294.041666666664</v>
      </c>
      <c r="W60" s="18"/>
    </row>
    <row r="61" spans="1:23" x14ac:dyDescent="0.25">
      <c r="A61">
        <v>77592</v>
      </c>
      <c r="B61">
        <v>29794</v>
      </c>
      <c r="C61" t="s">
        <v>8348</v>
      </c>
      <c r="D61">
        <v>36275</v>
      </c>
      <c r="E61" t="s">
        <v>1912</v>
      </c>
      <c r="F61" t="s">
        <v>8704</v>
      </c>
      <c r="G61" t="s">
        <v>8704</v>
      </c>
      <c r="H61" t="s">
        <v>8704</v>
      </c>
      <c r="I61" t="s">
        <v>8704</v>
      </c>
      <c r="J61" t="s">
        <v>8704</v>
      </c>
      <c r="K61" t="s">
        <v>8703</v>
      </c>
      <c r="L61" t="s">
        <v>8704</v>
      </c>
      <c r="M61" t="s">
        <v>8702</v>
      </c>
      <c r="N61" t="s">
        <v>8701</v>
      </c>
      <c r="O61" t="s">
        <v>7768</v>
      </c>
      <c r="P61" t="s">
        <v>7768</v>
      </c>
      <c r="Q61" t="s">
        <v>7768</v>
      </c>
      <c r="R61" t="s">
        <v>7768</v>
      </c>
      <c r="S61" t="s">
        <v>7768</v>
      </c>
      <c r="T61" s="18"/>
      <c r="U61" t="s">
        <v>7768</v>
      </c>
      <c r="V61" s="18">
        <v>33749.083333333336</v>
      </c>
      <c r="W61" s="18"/>
    </row>
    <row r="62" spans="1:23" x14ac:dyDescent="0.25">
      <c r="A62">
        <v>77608</v>
      </c>
      <c r="B62">
        <v>29794</v>
      </c>
      <c r="C62" t="s">
        <v>8348</v>
      </c>
      <c r="D62">
        <v>36275</v>
      </c>
      <c r="E62" t="s">
        <v>1912</v>
      </c>
      <c r="F62" t="s">
        <v>3613</v>
      </c>
      <c r="G62" t="s">
        <v>3613</v>
      </c>
      <c r="H62" t="s">
        <v>3613</v>
      </c>
      <c r="I62" t="s">
        <v>3613</v>
      </c>
      <c r="J62" t="s">
        <v>3613</v>
      </c>
      <c r="K62" t="s">
        <v>8700</v>
      </c>
      <c r="L62" t="s">
        <v>3613</v>
      </c>
      <c r="M62" t="s">
        <v>8699</v>
      </c>
      <c r="N62" t="s">
        <v>8698</v>
      </c>
      <c r="O62" t="s">
        <v>7768</v>
      </c>
      <c r="P62" t="s">
        <v>7768</v>
      </c>
      <c r="Q62" t="s">
        <v>7768</v>
      </c>
      <c r="R62" t="s">
        <v>7768</v>
      </c>
      <c r="S62" t="s">
        <v>7768</v>
      </c>
      <c r="T62" s="18"/>
      <c r="U62" t="s">
        <v>7768</v>
      </c>
      <c r="V62" s="18">
        <v>35328.083333333336</v>
      </c>
      <c r="W62" s="18"/>
    </row>
    <row r="63" spans="1:23" x14ac:dyDescent="0.25">
      <c r="A63">
        <v>77609</v>
      </c>
      <c r="B63">
        <v>29794</v>
      </c>
      <c r="C63" t="s">
        <v>8348</v>
      </c>
      <c r="D63">
        <v>36275</v>
      </c>
      <c r="E63" t="s">
        <v>1912</v>
      </c>
      <c r="F63" t="s">
        <v>8697</v>
      </c>
      <c r="G63" t="s">
        <v>8697</v>
      </c>
      <c r="H63" t="s">
        <v>7768</v>
      </c>
      <c r="I63" t="s">
        <v>7768</v>
      </c>
      <c r="J63" t="s">
        <v>7768</v>
      </c>
      <c r="K63" t="s">
        <v>7768</v>
      </c>
      <c r="L63" t="s">
        <v>7768</v>
      </c>
      <c r="M63" t="s">
        <v>7768</v>
      </c>
      <c r="N63" t="s">
        <v>8696</v>
      </c>
      <c r="O63" t="s">
        <v>7768</v>
      </c>
      <c r="P63" t="s">
        <v>7768</v>
      </c>
      <c r="Q63" t="s">
        <v>7768</v>
      </c>
      <c r="R63" t="s">
        <v>7768</v>
      </c>
      <c r="S63" t="s">
        <v>7768</v>
      </c>
      <c r="T63" s="18"/>
      <c r="U63" t="s">
        <v>7768</v>
      </c>
      <c r="V63" s="18">
        <v>35328.083333333336</v>
      </c>
      <c r="W63" s="18"/>
    </row>
    <row r="64" spans="1:23" x14ac:dyDescent="0.25">
      <c r="A64">
        <v>77728</v>
      </c>
      <c r="B64">
        <v>29794</v>
      </c>
      <c r="C64" t="s">
        <v>8348</v>
      </c>
      <c r="D64">
        <v>73839</v>
      </c>
      <c r="E64" t="s">
        <v>194</v>
      </c>
      <c r="F64" t="s">
        <v>8695</v>
      </c>
      <c r="G64" t="s">
        <v>8695</v>
      </c>
      <c r="H64" t="s">
        <v>7768</v>
      </c>
      <c r="I64" t="s">
        <v>7768</v>
      </c>
      <c r="J64" t="s">
        <v>7768</v>
      </c>
      <c r="K64" t="s">
        <v>7768</v>
      </c>
      <c r="L64" t="s">
        <v>7768</v>
      </c>
      <c r="M64" t="s">
        <v>7768</v>
      </c>
      <c r="N64" t="s">
        <v>8694</v>
      </c>
      <c r="O64" t="s">
        <v>7768</v>
      </c>
      <c r="P64" t="s">
        <v>7768</v>
      </c>
      <c r="Q64" t="s">
        <v>7768</v>
      </c>
      <c r="R64" t="s">
        <v>7768</v>
      </c>
      <c r="S64" t="s">
        <v>7768</v>
      </c>
      <c r="T64" s="18"/>
      <c r="U64" t="s">
        <v>7768</v>
      </c>
      <c r="V64" s="18"/>
      <c r="W64" s="18">
        <v>35796.041666666664</v>
      </c>
    </row>
    <row r="65" spans="1:23" x14ac:dyDescent="0.25">
      <c r="A65">
        <v>77753</v>
      </c>
      <c r="B65">
        <v>29794</v>
      </c>
      <c r="C65" t="s">
        <v>8348</v>
      </c>
      <c r="D65">
        <v>36275</v>
      </c>
      <c r="E65" t="s">
        <v>1912</v>
      </c>
      <c r="F65" t="s">
        <v>6703</v>
      </c>
      <c r="G65" t="s">
        <v>6703</v>
      </c>
      <c r="H65" t="s">
        <v>6703</v>
      </c>
      <c r="I65" t="s">
        <v>6703</v>
      </c>
      <c r="J65" t="s">
        <v>6703</v>
      </c>
      <c r="K65" t="s">
        <v>6697</v>
      </c>
      <c r="L65" t="s">
        <v>6703</v>
      </c>
      <c r="M65" t="s">
        <v>8693</v>
      </c>
      <c r="N65" t="s">
        <v>8692</v>
      </c>
      <c r="O65" t="s">
        <v>7768</v>
      </c>
      <c r="P65" t="s">
        <v>7768</v>
      </c>
      <c r="Q65" t="s">
        <v>7768</v>
      </c>
      <c r="R65" t="s">
        <v>7768</v>
      </c>
      <c r="S65" t="s">
        <v>7768</v>
      </c>
      <c r="T65" s="18">
        <v>33604.041666666664</v>
      </c>
      <c r="U65" t="s">
        <v>7768</v>
      </c>
      <c r="V65" s="18">
        <v>33686.041666666664</v>
      </c>
      <c r="W65" s="18">
        <v>33604.041666666664</v>
      </c>
    </row>
    <row r="66" spans="1:23" x14ac:dyDescent="0.25">
      <c r="A66">
        <v>77768</v>
      </c>
      <c r="B66">
        <v>29794</v>
      </c>
      <c r="C66" t="s">
        <v>8348</v>
      </c>
      <c r="D66">
        <v>36275</v>
      </c>
      <c r="E66" t="s">
        <v>1912</v>
      </c>
      <c r="F66" t="s">
        <v>8691</v>
      </c>
      <c r="G66" t="s">
        <v>8691</v>
      </c>
      <c r="H66" t="s">
        <v>8691</v>
      </c>
      <c r="I66" t="s">
        <v>8691</v>
      </c>
      <c r="J66" t="s">
        <v>8691</v>
      </c>
      <c r="K66" t="s">
        <v>6918</v>
      </c>
      <c r="L66" t="s">
        <v>8691</v>
      </c>
      <c r="M66" t="s">
        <v>8690</v>
      </c>
      <c r="N66" t="s">
        <v>8689</v>
      </c>
      <c r="O66" t="s">
        <v>7768</v>
      </c>
      <c r="P66" t="s">
        <v>7768</v>
      </c>
      <c r="Q66" t="s">
        <v>7768</v>
      </c>
      <c r="R66" t="s">
        <v>7768</v>
      </c>
      <c r="S66" t="s">
        <v>7768</v>
      </c>
      <c r="T66" s="18">
        <v>32874.041666666664</v>
      </c>
      <c r="U66" t="s">
        <v>7768</v>
      </c>
      <c r="V66" s="18">
        <v>33217.041666666664</v>
      </c>
      <c r="W66" s="18">
        <v>32874.041666666664</v>
      </c>
    </row>
    <row r="67" spans="1:23" x14ac:dyDescent="0.25">
      <c r="A67">
        <v>77775</v>
      </c>
      <c r="B67">
        <v>29794</v>
      </c>
      <c r="C67" t="s">
        <v>8348</v>
      </c>
      <c r="D67">
        <v>36275</v>
      </c>
      <c r="E67" t="s">
        <v>1912</v>
      </c>
      <c r="F67" t="s">
        <v>6558</v>
      </c>
      <c r="G67" t="s">
        <v>6558</v>
      </c>
      <c r="H67" t="s">
        <v>6558</v>
      </c>
      <c r="I67" t="s">
        <v>6558</v>
      </c>
      <c r="J67" t="s">
        <v>6558</v>
      </c>
      <c r="K67" t="s">
        <v>6548</v>
      </c>
      <c r="L67" t="s">
        <v>6558</v>
      </c>
      <c r="M67" t="s">
        <v>8688</v>
      </c>
      <c r="N67" t="s">
        <v>8687</v>
      </c>
      <c r="O67" t="s">
        <v>7768</v>
      </c>
      <c r="P67" t="s">
        <v>7768</v>
      </c>
      <c r="Q67" t="s">
        <v>7768</v>
      </c>
      <c r="R67" t="s">
        <v>7768</v>
      </c>
      <c r="S67" t="s">
        <v>7768</v>
      </c>
      <c r="T67" s="18">
        <v>33239.041666666664</v>
      </c>
      <c r="U67" t="s">
        <v>7768</v>
      </c>
      <c r="V67" s="18">
        <v>33480.083333333336</v>
      </c>
      <c r="W67" s="18">
        <v>33239.041666666664</v>
      </c>
    </row>
    <row r="68" spans="1:23" x14ac:dyDescent="0.25">
      <c r="A68">
        <v>77972</v>
      </c>
      <c r="B68">
        <v>29794</v>
      </c>
      <c r="C68" t="s">
        <v>8348</v>
      </c>
      <c r="D68">
        <v>73855</v>
      </c>
      <c r="E68" t="s">
        <v>8481</v>
      </c>
      <c r="F68" t="s">
        <v>3412</v>
      </c>
      <c r="G68" t="s">
        <v>9132</v>
      </c>
      <c r="H68" t="s">
        <v>3412</v>
      </c>
      <c r="I68" t="s">
        <v>3412</v>
      </c>
      <c r="J68" t="s">
        <v>3412</v>
      </c>
      <c r="K68" t="s">
        <v>3403</v>
      </c>
      <c r="L68" t="s">
        <v>3412</v>
      </c>
      <c r="M68" t="s">
        <v>8686</v>
      </c>
      <c r="N68" t="s">
        <v>8685</v>
      </c>
      <c r="O68" t="s">
        <v>7768</v>
      </c>
      <c r="P68" t="s">
        <v>7768</v>
      </c>
      <c r="Q68" t="s">
        <v>7768</v>
      </c>
      <c r="R68" t="s">
        <v>7768</v>
      </c>
      <c r="S68" t="s">
        <v>7768</v>
      </c>
      <c r="T68" s="18"/>
      <c r="U68" t="s">
        <v>7768</v>
      </c>
      <c r="V68" s="18">
        <v>35145.041666666664</v>
      </c>
      <c r="W68" s="18"/>
    </row>
    <row r="69" spans="1:23" x14ac:dyDescent="0.25">
      <c r="A69">
        <v>77973</v>
      </c>
      <c r="B69">
        <v>29794</v>
      </c>
      <c r="C69" t="s">
        <v>8348</v>
      </c>
      <c r="D69">
        <v>73855</v>
      </c>
      <c r="E69" t="s">
        <v>8481</v>
      </c>
      <c r="F69" t="s">
        <v>3074</v>
      </c>
      <c r="G69" t="s">
        <v>3074</v>
      </c>
      <c r="H69" t="s">
        <v>7768</v>
      </c>
      <c r="I69" t="s">
        <v>7768</v>
      </c>
      <c r="J69" t="s">
        <v>7768</v>
      </c>
      <c r="K69" t="s">
        <v>8684</v>
      </c>
      <c r="L69" t="s">
        <v>7768</v>
      </c>
      <c r="M69" t="s">
        <v>8683</v>
      </c>
      <c r="N69" t="s">
        <v>8682</v>
      </c>
      <c r="O69" t="s">
        <v>7768</v>
      </c>
      <c r="P69" t="s">
        <v>7768</v>
      </c>
      <c r="Q69" t="s">
        <v>7768</v>
      </c>
      <c r="R69" t="s">
        <v>7768</v>
      </c>
      <c r="S69" t="s">
        <v>7768</v>
      </c>
      <c r="T69" s="18">
        <v>35431.041666666664</v>
      </c>
      <c r="U69" t="s">
        <v>7768</v>
      </c>
      <c r="V69" s="18"/>
      <c r="W69" s="18">
        <v>35431.041666666664</v>
      </c>
    </row>
    <row r="70" spans="1:23" x14ac:dyDescent="0.25">
      <c r="A70">
        <v>77989</v>
      </c>
      <c r="B70">
        <v>29794</v>
      </c>
      <c r="C70" t="s">
        <v>8348</v>
      </c>
      <c r="D70">
        <v>74548</v>
      </c>
      <c r="E70" t="s">
        <v>5638</v>
      </c>
      <c r="F70" t="s">
        <v>8681</v>
      </c>
      <c r="G70" t="s">
        <v>8681</v>
      </c>
      <c r="H70" t="s">
        <v>8681</v>
      </c>
      <c r="I70" t="s">
        <v>8681</v>
      </c>
      <c r="J70" t="s">
        <v>8681</v>
      </c>
      <c r="K70" t="s">
        <v>7528</v>
      </c>
      <c r="L70" t="s">
        <v>8681</v>
      </c>
      <c r="M70" t="s">
        <v>8680</v>
      </c>
      <c r="N70" t="s">
        <v>8679</v>
      </c>
      <c r="O70" t="s">
        <v>7768</v>
      </c>
      <c r="P70" t="s">
        <v>7768</v>
      </c>
      <c r="Q70" t="s">
        <v>7768</v>
      </c>
      <c r="R70" t="s">
        <v>7768</v>
      </c>
      <c r="S70" t="s">
        <v>7768</v>
      </c>
      <c r="T70" s="18">
        <v>32874.041666666664</v>
      </c>
      <c r="U70" t="s">
        <v>7768</v>
      </c>
      <c r="V70" s="18">
        <v>32989.083333333336</v>
      </c>
      <c r="W70" s="18">
        <v>32874.041666666664</v>
      </c>
    </row>
    <row r="71" spans="1:23" x14ac:dyDescent="0.25">
      <c r="A71">
        <v>78089</v>
      </c>
      <c r="B71">
        <v>29794</v>
      </c>
      <c r="C71" t="s">
        <v>8348</v>
      </c>
      <c r="D71">
        <v>36275</v>
      </c>
      <c r="E71" t="s">
        <v>1912</v>
      </c>
      <c r="F71" t="s">
        <v>8678</v>
      </c>
      <c r="G71" t="s">
        <v>9133</v>
      </c>
      <c r="H71" t="s">
        <v>7768</v>
      </c>
      <c r="I71" t="s">
        <v>7768</v>
      </c>
      <c r="J71" t="s">
        <v>7768</v>
      </c>
      <c r="K71" t="s">
        <v>8677</v>
      </c>
      <c r="L71" t="s">
        <v>7768</v>
      </c>
      <c r="M71" t="s">
        <v>7768</v>
      </c>
      <c r="N71" t="s">
        <v>8676</v>
      </c>
      <c r="O71" t="s">
        <v>7768</v>
      </c>
      <c r="P71" t="s">
        <v>7768</v>
      </c>
      <c r="Q71" t="s">
        <v>7768</v>
      </c>
      <c r="R71" t="s">
        <v>7768</v>
      </c>
      <c r="S71" t="s">
        <v>7768</v>
      </c>
      <c r="T71" s="18"/>
      <c r="U71" t="s">
        <v>7768</v>
      </c>
      <c r="V71" s="18">
        <v>32989.083333333336</v>
      </c>
      <c r="W71" s="18"/>
    </row>
    <row r="72" spans="1:23" x14ac:dyDescent="0.25">
      <c r="A72">
        <v>78252</v>
      </c>
      <c r="B72">
        <v>29794</v>
      </c>
      <c r="C72" t="s">
        <v>8348</v>
      </c>
      <c r="D72">
        <v>76567</v>
      </c>
      <c r="E72" t="s">
        <v>8510</v>
      </c>
      <c r="F72" t="s">
        <v>8675</v>
      </c>
      <c r="G72" t="s">
        <v>9134</v>
      </c>
      <c r="H72" t="s">
        <v>9134</v>
      </c>
      <c r="I72" t="s">
        <v>9134</v>
      </c>
      <c r="J72" t="s">
        <v>9134</v>
      </c>
      <c r="K72" t="s">
        <v>8674</v>
      </c>
      <c r="L72" t="s">
        <v>9134</v>
      </c>
      <c r="M72" t="s">
        <v>8673</v>
      </c>
      <c r="N72" t="s">
        <v>8672</v>
      </c>
      <c r="O72" t="s">
        <v>7768</v>
      </c>
      <c r="P72" t="s">
        <v>7768</v>
      </c>
      <c r="Q72" t="s">
        <v>7768</v>
      </c>
      <c r="R72" t="s">
        <v>7768</v>
      </c>
      <c r="S72" t="s">
        <v>7768</v>
      </c>
      <c r="T72" s="18"/>
      <c r="U72" t="s">
        <v>7768</v>
      </c>
      <c r="V72" s="18">
        <v>37700.041666666664</v>
      </c>
      <c r="W72" s="18"/>
    </row>
    <row r="73" spans="1:23" x14ac:dyDescent="0.25">
      <c r="A73">
        <v>78353</v>
      </c>
      <c r="B73">
        <v>29794</v>
      </c>
      <c r="C73" t="s">
        <v>8348</v>
      </c>
      <c r="D73">
        <v>78352</v>
      </c>
      <c r="E73" t="s">
        <v>3949</v>
      </c>
      <c r="F73" t="s">
        <v>3950</v>
      </c>
      <c r="G73" t="s">
        <v>3950</v>
      </c>
      <c r="H73" t="s">
        <v>3950</v>
      </c>
      <c r="I73" t="s">
        <v>3950</v>
      </c>
      <c r="J73" t="s">
        <v>3950</v>
      </c>
      <c r="K73" t="s">
        <v>3950</v>
      </c>
      <c r="L73" t="s">
        <v>3950</v>
      </c>
      <c r="M73" t="s">
        <v>8671</v>
      </c>
      <c r="N73" t="s">
        <v>8670</v>
      </c>
      <c r="O73" t="s">
        <v>7768</v>
      </c>
      <c r="P73" t="s">
        <v>7768</v>
      </c>
      <c r="Q73" t="s">
        <v>7768</v>
      </c>
      <c r="R73" t="s">
        <v>7768</v>
      </c>
      <c r="S73" t="s">
        <v>7768</v>
      </c>
      <c r="T73" s="18"/>
      <c r="U73" t="s">
        <v>7768</v>
      </c>
      <c r="V73" s="18">
        <v>35174.083333333336</v>
      </c>
      <c r="W73" s="18"/>
    </row>
    <row r="74" spans="1:23" x14ac:dyDescent="0.25">
      <c r="A74">
        <v>78354</v>
      </c>
      <c r="B74">
        <v>29794</v>
      </c>
      <c r="C74" t="s">
        <v>8348</v>
      </c>
      <c r="D74">
        <v>36275</v>
      </c>
      <c r="E74" t="s">
        <v>1912</v>
      </c>
      <c r="F74" t="s">
        <v>8669</v>
      </c>
      <c r="G74" t="s">
        <v>8669</v>
      </c>
      <c r="H74" t="s">
        <v>8669</v>
      </c>
      <c r="I74" t="s">
        <v>8669</v>
      </c>
      <c r="J74" t="s">
        <v>8669</v>
      </c>
      <c r="K74" t="s">
        <v>8668</v>
      </c>
      <c r="L74" t="s">
        <v>8669</v>
      </c>
      <c r="M74" t="s">
        <v>8667</v>
      </c>
      <c r="N74" t="s">
        <v>8666</v>
      </c>
      <c r="O74" t="s">
        <v>7768</v>
      </c>
      <c r="P74" t="s">
        <v>7768</v>
      </c>
      <c r="Q74" t="s">
        <v>7768</v>
      </c>
      <c r="R74" t="s">
        <v>7768</v>
      </c>
      <c r="S74" t="s">
        <v>7768</v>
      </c>
      <c r="T74" s="18"/>
      <c r="U74" t="s">
        <v>7768</v>
      </c>
      <c r="V74" s="18">
        <v>35849.041666666664</v>
      </c>
      <c r="W74" s="18"/>
    </row>
    <row r="75" spans="1:23" x14ac:dyDescent="0.25">
      <c r="A75">
        <v>78355</v>
      </c>
      <c r="B75">
        <v>29794</v>
      </c>
      <c r="C75" t="s">
        <v>8348</v>
      </c>
      <c r="D75">
        <v>74967</v>
      </c>
      <c r="E75" t="s">
        <v>8355</v>
      </c>
      <c r="F75" t="s">
        <v>8665</v>
      </c>
      <c r="G75" t="s">
        <v>8665</v>
      </c>
      <c r="H75" t="s">
        <v>7768</v>
      </c>
      <c r="I75" t="s">
        <v>7768</v>
      </c>
      <c r="J75" t="s">
        <v>7768</v>
      </c>
      <c r="K75" t="s">
        <v>7768</v>
      </c>
      <c r="L75" t="s">
        <v>7768</v>
      </c>
      <c r="M75" t="s">
        <v>7768</v>
      </c>
      <c r="N75" t="s">
        <v>7768</v>
      </c>
      <c r="O75" t="s">
        <v>7768</v>
      </c>
      <c r="P75" t="s">
        <v>7768</v>
      </c>
      <c r="Q75" t="s">
        <v>7768</v>
      </c>
      <c r="R75" t="s">
        <v>7768</v>
      </c>
      <c r="S75" t="s">
        <v>7768</v>
      </c>
      <c r="T75" s="18"/>
      <c r="U75" t="s">
        <v>7768</v>
      </c>
      <c r="V75" s="18"/>
      <c r="W75" s="18">
        <v>42005.041666666664</v>
      </c>
    </row>
    <row r="76" spans="1:23" x14ac:dyDescent="0.25">
      <c r="A76">
        <v>78356</v>
      </c>
      <c r="B76">
        <v>29794</v>
      </c>
      <c r="C76" t="s">
        <v>8348</v>
      </c>
      <c r="D76">
        <v>36275</v>
      </c>
      <c r="E76" t="s">
        <v>1912</v>
      </c>
      <c r="F76" t="s">
        <v>8664</v>
      </c>
      <c r="G76" t="s">
        <v>8664</v>
      </c>
      <c r="H76" t="s">
        <v>8664</v>
      </c>
      <c r="I76" t="s">
        <v>8664</v>
      </c>
      <c r="J76" t="s">
        <v>8664</v>
      </c>
      <c r="K76" t="s">
        <v>1927</v>
      </c>
      <c r="L76" t="s">
        <v>8664</v>
      </c>
      <c r="M76" t="s">
        <v>8663</v>
      </c>
      <c r="N76" t="s">
        <v>8662</v>
      </c>
      <c r="O76" t="s">
        <v>7768</v>
      </c>
      <c r="P76" t="s">
        <v>7768</v>
      </c>
      <c r="Q76" t="s">
        <v>7768</v>
      </c>
      <c r="R76" t="s">
        <v>7768</v>
      </c>
      <c r="S76" t="s">
        <v>7768</v>
      </c>
      <c r="T76" s="18"/>
      <c r="U76" t="s">
        <v>7768</v>
      </c>
      <c r="V76" s="18">
        <v>36608.041666666664</v>
      </c>
      <c r="W76" s="18"/>
    </row>
    <row r="77" spans="1:23" x14ac:dyDescent="0.25">
      <c r="A77">
        <v>78358</v>
      </c>
      <c r="B77">
        <v>29794</v>
      </c>
      <c r="C77" t="s">
        <v>8348</v>
      </c>
      <c r="D77">
        <v>78357</v>
      </c>
      <c r="E77" t="s">
        <v>8661</v>
      </c>
      <c r="F77" t="s">
        <v>8660</v>
      </c>
      <c r="G77" t="s">
        <v>8660</v>
      </c>
      <c r="H77" t="s">
        <v>8660</v>
      </c>
      <c r="I77" t="s">
        <v>8660</v>
      </c>
      <c r="J77" t="s">
        <v>8660</v>
      </c>
      <c r="K77" t="s">
        <v>8659</v>
      </c>
      <c r="L77" t="s">
        <v>8660</v>
      </c>
      <c r="M77" t="s">
        <v>8658</v>
      </c>
      <c r="N77" t="s">
        <v>8657</v>
      </c>
      <c r="O77" t="s">
        <v>7768</v>
      </c>
      <c r="P77" t="s">
        <v>7768</v>
      </c>
      <c r="Q77" t="s">
        <v>7768</v>
      </c>
      <c r="R77" t="s">
        <v>7768</v>
      </c>
      <c r="S77" t="s">
        <v>7768</v>
      </c>
      <c r="T77" s="18"/>
      <c r="U77" t="s">
        <v>7768</v>
      </c>
      <c r="V77" s="18">
        <v>37342.041666666664</v>
      </c>
      <c r="W77" s="18"/>
    </row>
    <row r="78" spans="1:23" x14ac:dyDescent="0.25">
      <c r="A78">
        <v>78359</v>
      </c>
      <c r="B78">
        <v>29794</v>
      </c>
      <c r="C78" t="s">
        <v>8348</v>
      </c>
      <c r="D78">
        <v>73839</v>
      </c>
      <c r="E78" t="s">
        <v>194</v>
      </c>
      <c r="F78" t="s">
        <v>8656</v>
      </c>
      <c r="G78" t="s">
        <v>8656</v>
      </c>
      <c r="H78" t="s">
        <v>7768</v>
      </c>
      <c r="I78" t="s">
        <v>7768</v>
      </c>
      <c r="J78" t="s">
        <v>7768</v>
      </c>
      <c r="K78" t="s">
        <v>7768</v>
      </c>
      <c r="L78" t="s">
        <v>7768</v>
      </c>
      <c r="M78" t="s">
        <v>7768</v>
      </c>
      <c r="N78" t="s">
        <v>8655</v>
      </c>
      <c r="O78" t="s">
        <v>7768</v>
      </c>
      <c r="P78" t="s">
        <v>7768</v>
      </c>
      <c r="Q78" t="s">
        <v>7768</v>
      </c>
      <c r="R78" t="s">
        <v>7768</v>
      </c>
      <c r="S78" t="s">
        <v>7768</v>
      </c>
      <c r="T78" s="18"/>
      <c r="U78" t="s">
        <v>7768</v>
      </c>
      <c r="V78" s="18"/>
      <c r="W78" s="18">
        <v>37257.041666666664</v>
      </c>
    </row>
    <row r="79" spans="1:23" x14ac:dyDescent="0.25">
      <c r="A79">
        <v>78361</v>
      </c>
      <c r="B79">
        <v>29794</v>
      </c>
      <c r="C79" t="s">
        <v>8348</v>
      </c>
      <c r="D79">
        <v>78360</v>
      </c>
      <c r="E79" t="s">
        <v>1436</v>
      </c>
      <c r="F79" t="s">
        <v>8654</v>
      </c>
      <c r="G79" t="s">
        <v>8654</v>
      </c>
      <c r="H79" t="s">
        <v>8654</v>
      </c>
      <c r="I79" t="s">
        <v>8654</v>
      </c>
      <c r="J79" t="s">
        <v>8654</v>
      </c>
      <c r="K79" t="s">
        <v>8653</v>
      </c>
      <c r="L79" t="s">
        <v>8654</v>
      </c>
      <c r="M79" t="s">
        <v>8652</v>
      </c>
      <c r="N79" t="s">
        <v>8651</v>
      </c>
      <c r="O79" t="s">
        <v>7768</v>
      </c>
      <c r="P79" t="s">
        <v>7768</v>
      </c>
      <c r="Q79" t="s">
        <v>7768</v>
      </c>
      <c r="R79" t="s">
        <v>7768</v>
      </c>
      <c r="S79" t="s">
        <v>7768</v>
      </c>
      <c r="T79" s="18"/>
      <c r="U79" t="s">
        <v>7768</v>
      </c>
      <c r="V79" s="18">
        <v>37938.041666666664</v>
      </c>
      <c r="W79" s="18"/>
    </row>
    <row r="80" spans="1:23" x14ac:dyDescent="0.25">
      <c r="A80">
        <v>78362</v>
      </c>
      <c r="B80">
        <v>29794</v>
      </c>
      <c r="C80" t="s">
        <v>8348</v>
      </c>
      <c r="D80">
        <v>73839</v>
      </c>
      <c r="E80" t="s">
        <v>194</v>
      </c>
      <c r="F80" t="s">
        <v>8650</v>
      </c>
      <c r="G80" t="s">
        <v>8650</v>
      </c>
      <c r="H80" t="s">
        <v>7768</v>
      </c>
      <c r="I80" t="s">
        <v>7768</v>
      </c>
      <c r="J80" t="s">
        <v>7768</v>
      </c>
      <c r="K80" t="s">
        <v>7768</v>
      </c>
      <c r="L80" t="s">
        <v>7768</v>
      </c>
      <c r="M80" t="s">
        <v>7768</v>
      </c>
      <c r="N80" t="s">
        <v>8649</v>
      </c>
      <c r="O80" t="s">
        <v>7768</v>
      </c>
      <c r="P80" t="s">
        <v>7768</v>
      </c>
      <c r="Q80" t="s">
        <v>7768</v>
      </c>
      <c r="R80" t="s">
        <v>7768</v>
      </c>
      <c r="S80" t="s">
        <v>7768</v>
      </c>
      <c r="T80" s="18"/>
      <c r="U80" t="s">
        <v>7768</v>
      </c>
      <c r="V80" s="18"/>
      <c r="W80" s="18">
        <v>37622.041666666664</v>
      </c>
    </row>
    <row r="81" spans="1:23" x14ac:dyDescent="0.25">
      <c r="A81">
        <v>78363</v>
      </c>
      <c r="B81">
        <v>29794</v>
      </c>
      <c r="C81" t="s">
        <v>8348</v>
      </c>
      <c r="D81">
        <v>73839</v>
      </c>
      <c r="E81" t="s">
        <v>194</v>
      </c>
      <c r="F81" t="s">
        <v>8648</v>
      </c>
      <c r="G81" t="s">
        <v>8648</v>
      </c>
      <c r="H81" t="s">
        <v>7768</v>
      </c>
      <c r="I81" t="s">
        <v>7768</v>
      </c>
      <c r="J81" t="s">
        <v>7768</v>
      </c>
      <c r="K81" t="s">
        <v>7768</v>
      </c>
      <c r="L81" t="s">
        <v>7768</v>
      </c>
      <c r="M81" t="s">
        <v>7768</v>
      </c>
      <c r="N81" t="s">
        <v>8647</v>
      </c>
      <c r="O81" t="s">
        <v>7768</v>
      </c>
      <c r="P81" t="s">
        <v>7768</v>
      </c>
      <c r="Q81" t="s">
        <v>7768</v>
      </c>
      <c r="R81" t="s">
        <v>7768</v>
      </c>
      <c r="S81" t="s">
        <v>7768</v>
      </c>
      <c r="T81" s="18"/>
      <c r="U81" t="s">
        <v>7768</v>
      </c>
      <c r="V81" s="18"/>
      <c r="W81" s="18">
        <v>36526.041666666664</v>
      </c>
    </row>
    <row r="82" spans="1:23" x14ac:dyDescent="0.25">
      <c r="A82">
        <v>78364</v>
      </c>
      <c r="B82">
        <v>29794</v>
      </c>
      <c r="C82" t="s">
        <v>8348</v>
      </c>
      <c r="D82">
        <v>36275</v>
      </c>
      <c r="E82" t="s">
        <v>1912</v>
      </c>
      <c r="F82" t="s">
        <v>8646</v>
      </c>
      <c r="G82" t="s">
        <v>8646</v>
      </c>
      <c r="H82" t="s">
        <v>8646</v>
      </c>
      <c r="I82" t="s">
        <v>8646</v>
      </c>
      <c r="J82" t="s">
        <v>8646</v>
      </c>
      <c r="K82" t="s">
        <v>8645</v>
      </c>
      <c r="L82" t="s">
        <v>8646</v>
      </c>
      <c r="M82" t="s">
        <v>8644</v>
      </c>
      <c r="N82" t="s">
        <v>8643</v>
      </c>
      <c r="O82" t="s">
        <v>7768</v>
      </c>
      <c r="P82" t="s">
        <v>7768</v>
      </c>
      <c r="Q82" t="s">
        <v>7768</v>
      </c>
      <c r="R82" t="s">
        <v>7768</v>
      </c>
      <c r="S82" t="s">
        <v>7768</v>
      </c>
      <c r="T82" s="18"/>
      <c r="U82" t="s">
        <v>7768</v>
      </c>
      <c r="V82" s="18">
        <v>36238.041666666664</v>
      </c>
      <c r="W82" s="18"/>
    </row>
    <row r="83" spans="1:23" x14ac:dyDescent="0.25">
      <c r="A83">
        <v>78406</v>
      </c>
      <c r="B83">
        <v>29794</v>
      </c>
      <c r="C83" t="s">
        <v>8348</v>
      </c>
      <c r="D83">
        <v>74465</v>
      </c>
      <c r="E83" t="s">
        <v>6341</v>
      </c>
      <c r="F83" t="s">
        <v>8642</v>
      </c>
      <c r="G83" t="s">
        <v>8642</v>
      </c>
      <c r="H83" t="s">
        <v>7768</v>
      </c>
      <c r="I83" t="s">
        <v>7768</v>
      </c>
      <c r="J83" t="s">
        <v>7768</v>
      </c>
      <c r="K83" t="s">
        <v>8641</v>
      </c>
      <c r="L83" t="s">
        <v>7768</v>
      </c>
      <c r="M83" t="s">
        <v>7768</v>
      </c>
      <c r="N83" t="s">
        <v>8640</v>
      </c>
      <c r="O83" t="s">
        <v>7768</v>
      </c>
      <c r="P83" t="s">
        <v>7768</v>
      </c>
      <c r="Q83" t="s">
        <v>7768</v>
      </c>
      <c r="R83" t="s">
        <v>7768</v>
      </c>
      <c r="S83" t="s">
        <v>7768</v>
      </c>
      <c r="T83" s="18"/>
      <c r="U83" t="s">
        <v>7768</v>
      </c>
      <c r="V83" s="18">
        <v>33081.083333333336</v>
      </c>
      <c r="W83" s="18"/>
    </row>
    <row r="84" spans="1:23" x14ac:dyDescent="0.25">
      <c r="A84">
        <v>78484</v>
      </c>
      <c r="B84">
        <v>29794</v>
      </c>
      <c r="C84" t="s">
        <v>8348</v>
      </c>
      <c r="D84">
        <v>76027</v>
      </c>
      <c r="E84" t="s">
        <v>1302</v>
      </c>
      <c r="F84" t="s">
        <v>3125</v>
      </c>
      <c r="G84" t="s">
        <v>3125</v>
      </c>
      <c r="H84" t="s">
        <v>3125</v>
      </c>
      <c r="I84" t="s">
        <v>3125</v>
      </c>
      <c r="J84" t="s">
        <v>3125</v>
      </c>
      <c r="K84" t="s">
        <v>3116</v>
      </c>
      <c r="L84" t="s">
        <v>3125</v>
      </c>
      <c r="M84" t="s">
        <v>8639</v>
      </c>
      <c r="N84" t="s">
        <v>8638</v>
      </c>
      <c r="O84" t="s">
        <v>7768</v>
      </c>
      <c r="P84" t="s">
        <v>7768</v>
      </c>
      <c r="Q84" t="s">
        <v>7768</v>
      </c>
      <c r="R84" t="s">
        <v>7768</v>
      </c>
      <c r="S84" t="s">
        <v>7768</v>
      </c>
      <c r="T84" s="18">
        <v>35431.041666666664</v>
      </c>
      <c r="U84" t="s">
        <v>7768</v>
      </c>
      <c r="V84" s="18">
        <v>35447.041666666664</v>
      </c>
      <c r="W84" s="18">
        <v>35431.041666666664</v>
      </c>
    </row>
    <row r="85" spans="1:23" x14ac:dyDescent="0.25">
      <c r="A85">
        <v>78643</v>
      </c>
      <c r="B85">
        <v>29794</v>
      </c>
      <c r="C85" t="s">
        <v>8348</v>
      </c>
      <c r="D85">
        <v>36275</v>
      </c>
      <c r="E85" t="s">
        <v>1912</v>
      </c>
      <c r="F85" t="s">
        <v>8637</v>
      </c>
      <c r="G85" t="s">
        <v>8637</v>
      </c>
      <c r="H85" t="s">
        <v>8637</v>
      </c>
      <c r="I85" t="s">
        <v>8637</v>
      </c>
      <c r="J85" t="s">
        <v>8637</v>
      </c>
      <c r="K85" t="s">
        <v>8636</v>
      </c>
      <c r="L85" t="s">
        <v>8637</v>
      </c>
      <c r="M85" t="s">
        <v>8635</v>
      </c>
      <c r="N85" t="s">
        <v>8634</v>
      </c>
      <c r="O85" t="s">
        <v>7768</v>
      </c>
      <c r="P85" t="s">
        <v>7768</v>
      </c>
      <c r="Q85" t="s">
        <v>7768</v>
      </c>
      <c r="R85" t="s">
        <v>7768</v>
      </c>
      <c r="S85" t="s">
        <v>7768</v>
      </c>
      <c r="T85" s="18"/>
      <c r="U85" t="s">
        <v>7768</v>
      </c>
      <c r="V85" s="18">
        <v>33679.041666666664</v>
      </c>
      <c r="W85" s="18"/>
    </row>
    <row r="86" spans="1:23" x14ac:dyDescent="0.25">
      <c r="A86">
        <v>78662</v>
      </c>
      <c r="B86">
        <v>29794</v>
      </c>
      <c r="C86" t="s">
        <v>8348</v>
      </c>
      <c r="D86">
        <v>36275</v>
      </c>
      <c r="E86" t="s">
        <v>1912</v>
      </c>
      <c r="F86" t="s">
        <v>8019</v>
      </c>
      <c r="G86" t="s">
        <v>8019</v>
      </c>
      <c r="H86" t="s">
        <v>8019</v>
      </c>
      <c r="I86" t="s">
        <v>8019</v>
      </c>
      <c r="J86" t="s">
        <v>8019</v>
      </c>
      <c r="K86" t="s">
        <v>8633</v>
      </c>
      <c r="L86" t="s">
        <v>8019</v>
      </c>
      <c r="M86" t="s">
        <v>8632</v>
      </c>
      <c r="N86" t="s">
        <v>8631</v>
      </c>
      <c r="O86" t="s">
        <v>7768</v>
      </c>
      <c r="P86" t="s">
        <v>7768</v>
      </c>
      <c r="Q86" t="s">
        <v>7768</v>
      </c>
      <c r="R86" t="s">
        <v>7768</v>
      </c>
      <c r="S86" t="s">
        <v>7768</v>
      </c>
      <c r="T86" s="18">
        <v>32874.041666666664</v>
      </c>
      <c r="U86" t="s">
        <v>7768</v>
      </c>
      <c r="V86" s="18">
        <v>32989.083333333336</v>
      </c>
      <c r="W86" s="18">
        <v>32874.041666666664</v>
      </c>
    </row>
    <row r="87" spans="1:23" x14ac:dyDescent="0.25">
      <c r="A87">
        <v>78706</v>
      </c>
      <c r="B87">
        <v>29794</v>
      </c>
      <c r="C87" t="s">
        <v>8348</v>
      </c>
      <c r="D87">
        <v>74107</v>
      </c>
      <c r="E87" t="s">
        <v>4214</v>
      </c>
      <c r="F87" t="s">
        <v>4215</v>
      </c>
      <c r="G87" t="s">
        <v>4215</v>
      </c>
      <c r="H87" t="s">
        <v>4215</v>
      </c>
      <c r="I87" t="s">
        <v>4215</v>
      </c>
      <c r="J87" t="s">
        <v>4215</v>
      </c>
      <c r="K87" t="s">
        <v>4205</v>
      </c>
      <c r="L87" t="s">
        <v>4215</v>
      </c>
      <c r="M87" t="s">
        <v>8630</v>
      </c>
      <c r="N87" t="s">
        <v>8629</v>
      </c>
      <c r="O87" t="s">
        <v>7768</v>
      </c>
      <c r="P87" t="s">
        <v>7768</v>
      </c>
      <c r="Q87" t="s">
        <v>7768</v>
      </c>
      <c r="R87" t="s">
        <v>7768</v>
      </c>
      <c r="S87" t="s">
        <v>7768</v>
      </c>
      <c r="T87" s="18"/>
      <c r="U87" t="s">
        <v>7768</v>
      </c>
      <c r="V87" s="18">
        <v>35551.083333333336</v>
      </c>
      <c r="W87" s="18"/>
    </row>
    <row r="88" spans="1:23" x14ac:dyDescent="0.25">
      <c r="A88">
        <v>78707</v>
      </c>
      <c r="B88">
        <v>29794</v>
      </c>
      <c r="C88" t="s">
        <v>8348</v>
      </c>
      <c r="D88">
        <v>74193</v>
      </c>
      <c r="E88" t="s">
        <v>1859</v>
      </c>
      <c r="F88" t="s">
        <v>3735</v>
      </c>
      <c r="G88" t="s">
        <v>3735</v>
      </c>
      <c r="H88" t="s">
        <v>3735</v>
      </c>
      <c r="I88" t="s">
        <v>3735</v>
      </c>
      <c r="J88" t="s">
        <v>3735</v>
      </c>
      <c r="K88" t="s">
        <v>3729</v>
      </c>
      <c r="L88" t="s">
        <v>3735</v>
      </c>
      <c r="M88" t="s">
        <v>8628</v>
      </c>
      <c r="N88" t="s">
        <v>8627</v>
      </c>
      <c r="O88" t="s">
        <v>7768</v>
      </c>
      <c r="P88" t="s">
        <v>7768</v>
      </c>
      <c r="Q88" t="s">
        <v>7768</v>
      </c>
      <c r="R88" t="s">
        <v>7768</v>
      </c>
      <c r="S88" t="s">
        <v>7768</v>
      </c>
      <c r="T88" s="18"/>
      <c r="U88" t="s">
        <v>7768</v>
      </c>
      <c r="V88" s="18">
        <v>35152.041666666664</v>
      </c>
      <c r="W88" s="18"/>
    </row>
    <row r="89" spans="1:23" x14ac:dyDescent="0.25">
      <c r="A89">
        <v>78708</v>
      </c>
      <c r="B89">
        <v>29794</v>
      </c>
      <c r="C89" t="s">
        <v>8348</v>
      </c>
      <c r="D89">
        <v>74193</v>
      </c>
      <c r="E89" t="s">
        <v>1859</v>
      </c>
      <c r="F89" t="s">
        <v>3850</v>
      </c>
      <c r="G89" t="s">
        <v>3850</v>
      </c>
      <c r="H89" t="s">
        <v>3850</v>
      </c>
      <c r="I89" t="s">
        <v>3850</v>
      </c>
      <c r="J89" t="s">
        <v>3850</v>
      </c>
      <c r="K89" t="s">
        <v>8626</v>
      </c>
      <c r="L89" t="s">
        <v>3850</v>
      </c>
      <c r="M89" t="s">
        <v>8625</v>
      </c>
      <c r="N89" t="s">
        <v>8624</v>
      </c>
      <c r="O89" t="s">
        <v>7768</v>
      </c>
      <c r="P89" t="s">
        <v>7768</v>
      </c>
      <c r="Q89" t="s">
        <v>7768</v>
      </c>
      <c r="R89" t="s">
        <v>7768</v>
      </c>
      <c r="S89" t="s">
        <v>7768</v>
      </c>
      <c r="T89" s="18">
        <v>35065.041666666664</v>
      </c>
      <c r="U89" t="s">
        <v>7768</v>
      </c>
      <c r="V89" s="18"/>
      <c r="W89" s="18">
        <v>35065.041666666664</v>
      </c>
    </row>
    <row r="90" spans="1:23" x14ac:dyDescent="0.25">
      <c r="A90">
        <v>78709</v>
      </c>
      <c r="B90">
        <v>29794</v>
      </c>
      <c r="C90" t="s">
        <v>8348</v>
      </c>
      <c r="D90">
        <v>78352</v>
      </c>
      <c r="E90" t="s">
        <v>3949</v>
      </c>
      <c r="F90" t="s">
        <v>3982</v>
      </c>
      <c r="G90" t="s">
        <v>3982</v>
      </c>
      <c r="H90" t="s">
        <v>3982</v>
      </c>
      <c r="I90" t="s">
        <v>3982</v>
      </c>
      <c r="J90" t="s">
        <v>3982</v>
      </c>
      <c r="K90" t="s">
        <v>8623</v>
      </c>
      <c r="L90" t="s">
        <v>3982</v>
      </c>
      <c r="M90" t="s">
        <v>8622</v>
      </c>
      <c r="N90" t="s">
        <v>8621</v>
      </c>
      <c r="O90" t="s">
        <v>7768</v>
      </c>
      <c r="P90" t="s">
        <v>7768</v>
      </c>
      <c r="Q90" t="s">
        <v>7768</v>
      </c>
      <c r="R90" t="s">
        <v>7768</v>
      </c>
      <c r="S90" t="s">
        <v>7768</v>
      </c>
      <c r="T90" s="18">
        <v>35065.041666666664</v>
      </c>
      <c r="U90" t="s">
        <v>7768</v>
      </c>
      <c r="V90" s="18">
        <v>35093.041666666664</v>
      </c>
      <c r="W90" s="18">
        <v>35065.041666666664</v>
      </c>
    </row>
    <row r="91" spans="1:23" x14ac:dyDescent="0.25">
      <c r="A91">
        <v>78710</v>
      </c>
      <c r="B91">
        <v>29794</v>
      </c>
      <c r="C91" t="s">
        <v>8348</v>
      </c>
      <c r="D91">
        <v>36275</v>
      </c>
      <c r="E91" t="s">
        <v>1912</v>
      </c>
      <c r="F91" t="s">
        <v>2584</v>
      </c>
      <c r="G91" t="s">
        <v>2584</v>
      </c>
      <c r="H91" t="s">
        <v>2584</v>
      </c>
      <c r="I91" t="s">
        <v>2584</v>
      </c>
      <c r="J91" t="s">
        <v>2584</v>
      </c>
      <c r="K91" t="s">
        <v>8620</v>
      </c>
      <c r="L91" t="s">
        <v>2584</v>
      </c>
      <c r="M91" t="s">
        <v>8619</v>
      </c>
      <c r="N91" t="s">
        <v>8618</v>
      </c>
      <c r="O91" t="s">
        <v>7768</v>
      </c>
      <c r="P91" t="s">
        <v>7768</v>
      </c>
      <c r="Q91" t="s">
        <v>7768</v>
      </c>
      <c r="R91" t="s">
        <v>7768</v>
      </c>
      <c r="S91" t="s">
        <v>7768</v>
      </c>
      <c r="T91" s="18"/>
      <c r="U91" t="s">
        <v>7768</v>
      </c>
      <c r="V91" s="18">
        <v>35943.083333333336</v>
      </c>
      <c r="W91" s="18"/>
    </row>
    <row r="92" spans="1:23" x14ac:dyDescent="0.25">
      <c r="A92">
        <v>78780</v>
      </c>
      <c r="B92">
        <v>29794</v>
      </c>
      <c r="C92" t="s">
        <v>8348</v>
      </c>
      <c r="D92">
        <v>73839</v>
      </c>
      <c r="E92" t="s">
        <v>194</v>
      </c>
      <c r="F92" t="s">
        <v>1837</v>
      </c>
      <c r="G92" t="s">
        <v>1837</v>
      </c>
      <c r="H92" t="s">
        <v>1837</v>
      </c>
      <c r="I92" t="s">
        <v>1837</v>
      </c>
      <c r="J92" t="s">
        <v>1837</v>
      </c>
      <c r="K92" t="s">
        <v>1830</v>
      </c>
      <c r="L92" t="s">
        <v>1837</v>
      </c>
      <c r="M92" t="s">
        <v>8617</v>
      </c>
      <c r="N92" t="s">
        <v>8616</v>
      </c>
      <c r="O92" t="s">
        <v>7768</v>
      </c>
      <c r="P92" t="s">
        <v>7768</v>
      </c>
      <c r="Q92" t="s">
        <v>7768</v>
      </c>
      <c r="R92" t="s">
        <v>7768</v>
      </c>
      <c r="S92" t="s">
        <v>7768</v>
      </c>
      <c r="T92" s="18"/>
      <c r="U92" t="s">
        <v>7768</v>
      </c>
      <c r="V92" s="18">
        <v>36552.041666666664</v>
      </c>
      <c r="W92" s="18"/>
    </row>
    <row r="93" spans="1:23" x14ac:dyDescent="0.25">
      <c r="A93">
        <v>78786</v>
      </c>
      <c r="B93">
        <v>29794</v>
      </c>
      <c r="C93" t="s">
        <v>8348</v>
      </c>
      <c r="D93">
        <v>74548</v>
      </c>
      <c r="E93" t="s">
        <v>5638</v>
      </c>
      <c r="F93" t="s">
        <v>8615</v>
      </c>
      <c r="G93" t="s">
        <v>8615</v>
      </c>
      <c r="H93" t="s">
        <v>8615</v>
      </c>
      <c r="I93" t="s">
        <v>8615</v>
      </c>
      <c r="J93" t="s">
        <v>8615</v>
      </c>
      <c r="K93" t="s">
        <v>7340</v>
      </c>
      <c r="L93" t="s">
        <v>8615</v>
      </c>
      <c r="M93" t="s">
        <v>8614</v>
      </c>
      <c r="N93" t="s">
        <v>8608</v>
      </c>
      <c r="O93" t="s">
        <v>7768</v>
      </c>
      <c r="P93" t="s">
        <v>7768</v>
      </c>
      <c r="Q93" t="s">
        <v>7768</v>
      </c>
      <c r="R93" t="s">
        <v>7768</v>
      </c>
      <c r="S93" t="s">
        <v>7768</v>
      </c>
      <c r="T93" s="18"/>
      <c r="U93" t="s">
        <v>7768</v>
      </c>
      <c r="V93" s="18">
        <v>33078.083333333336</v>
      </c>
      <c r="W93" s="18"/>
    </row>
    <row r="94" spans="1:23" x14ac:dyDescent="0.25">
      <c r="A94">
        <v>78787</v>
      </c>
      <c r="B94">
        <v>29794</v>
      </c>
      <c r="C94" t="s">
        <v>8348</v>
      </c>
      <c r="D94">
        <v>74548</v>
      </c>
      <c r="E94" t="s">
        <v>5638</v>
      </c>
      <c r="F94" t="s">
        <v>5789</v>
      </c>
      <c r="G94" t="s">
        <v>5789</v>
      </c>
      <c r="H94" t="s">
        <v>5789</v>
      </c>
      <c r="I94" t="s">
        <v>5789</v>
      </c>
      <c r="J94" t="s">
        <v>5789</v>
      </c>
      <c r="K94" t="s">
        <v>5780</v>
      </c>
      <c r="L94" t="s">
        <v>5789</v>
      </c>
      <c r="M94" t="s">
        <v>8613</v>
      </c>
      <c r="N94" t="s">
        <v>8612</v>
      </c>
      <c r="O94" t="s">
        <v>7768</v>
      </c>
      <c r="P94" t="s">
        <v>7768</v>
      </c>
      <c r="Q94" t="s">
        <v>7768</v>
      </c>
      <c r="R94" t="s">
        <v>7768</v>
      </c>
      <c r="S94" t="s">
        <v>7768</v>
      </c>
      <c r="T94" s="18"/>
      <c r="U94" t="s">
        <v>7768</v>
      </c>
      <c r="V94" s="18"/>
      <c r="W94" s="18">
        <v>33724.083333333336</v>
      </c>
    </row>
    <row r="95" spans="1:23" x14ac:dyDescent="0.25">
      <c r="A95">
        <v>78793</v>
      </c>
      <c r="B95">
        <v>29794</v>
      </c>
      <c r="C95" t="s">
        <v>8348</v>
      </c>
      <c r="D95">
        <v>74042</v>
      </c>
      <c r="E95" t="s">
        <v>3770</v>
      </c>
      <c r="F95" t="s">
        <v>8611</v>
      </c>
      <c r="G95" t="s">
        <v>8611</v>
      </c>
      <c r="H95" t="s">
        <v>8611</v>
      </c>
      <c r="I95" t="s">
        <v>8611</v>
      </c>
      <c r="J95" t="s">
        <v>8611</v>
      </c>
      <c r="K95" t="s">
        <v>8610</v>
      </c>
      <c r="L95" t="s">
        <v>8611</v>
      </c>
      <c r="M95" t="s">
        <v>8609</v>
      </c>
      <c r="N95" t="s">
        <v>8608</v>
      </c>
      <c r="O95" t="s">
        <v>7768</v>
      </c>
      <c r="P95" t="s">
        <v>7768</v>
      </c>
      <c r="Q95" t="s">
        <v>7768</v>
      </c>
      <c r="R95" t="s">
        <v>7768</v>
      </c>
      <c r="S95" t="s">
        <v>7768</v>
      </c>
      <c r="T95" s="18"/>
      <c r="U95" t="s">
        <v>7768</v>
      </c>
      <c r="V95" s="18">
        <v>35212.083333333336</v>
      </c>
      <c r="W95" s="18"/>
    </row>
    <row r="96" spans="1:23" x14ac:dyDescent="0.25">
      <c r="A96">
        <v>78934</v>
      </c>
      <c r="B96">
        <v>29794</v>
      </c>
      <c r="C96" t="s">
        <v>8348</v>
      </c>
      <c r="D96">
        <v>74042</v>
      </c>
      <c r="E96" t="s">
        <v>3770</v>
      </c>
      <c r="F96" t="s">
        <v>3771</v>
      </c>
      <c r="G96" t="s">
        <v>3771</v>
      </c>
      <c r="H96" t="s">
        <v>3771</v>
      </c>
      <c r="I96" t="s">
        <v>3771</v>
      </c>
      <c r="J96" t="s">
        <v>3771</v>
      </c>
      <c r="K96" t="s">
        <v>3764</v>
      </c>
      <c r="L96" t="s">
        <v>3771</v>
      </c>
      <c r="M96" t="s">
        <v>8607</v>
      </c>
      <c r="N96" t="s">
        <v>8606</v>
      </c>
      <c r="O96" t="s">
        <v>7768</v>
      </c>
      <c r="P96" t="s">
        <v>7768</v>
      </c>
      <c r="Q96" t="s">
        <v>7768</v>
      </c>
      <c r="R96" t="s">
        <v>7768</v>
      </c>
      <c r="S96" t="s">
        <v>7768</v>
      </c>
      <c r="T96" s="18"/>
      <c r="U96" t="s">
        <v>7768</v>
      </c>
      <c r="V96" s="18">
        <v>35209.083333333336</v>
      </c>
      <c r="W96" s="18"/>
    </row>
    <row r="97" spans="1:23" x14ac:dyDescent="0.25">
      <c r="A97">
        <v>78978</v>
      </c>
      <c r="B97">
        <v>29794</v>
      </c>
      <c r="C97" t="s">
        <v>8348</v>
      </c>
      <c r="D97">
        <v>36275</v>
      </c>
      <c r="E97" t="s">
        <v>1912</v>
      </c>
      <c r="F97" t="s">
        <v>8605</v>
      </c>
      <c r="G97" t="s">
        <v>8605</v>
      </c>
      <c r="H97" t="s">
        <v>7768</v>
      </c>
      <c r="I97" t="s">
        <v>7768</v>
      </c>
      <c r="J97" t="s">
        <v>7768</v>
      </c>
      <c r="K97" t="s">
        <v>7768</v>
      </c>
      <c r="L97" t="s">
        <v>7768</v>
      </c>
      <c r="M97" t="s">
        <v>7768</v>
      </c>
      <c r="N97" t="s">
        <v>7768</v>
      </c>
      <c r="O97" t="s">
        <v>7768</v>
      </c>
      <c r="P97" t="s">
        <v>7768</v>
      </c>
      <c r="Q97" t="s">
        <v>7768</v>
      </c>
      <c r="R97" t="s">
        <v>7768</v>
      </c>
      <c r="S97" t="s">
        <v>7768</v>
      </c>
      <c r="T97" s="18"/>
      <c r="U97" t="s">
        <v>7768</v>
      </c>
      <c r="V97" s="18"/>
      <c r="W97" s="18">
        <v>35065.041666666664</v>
      </c>
    </row>
    <row r="98" spans="1:23" x14ac:dyDescent="0.25">
      <c r="A98">
        <v>79004</v>
      </c>
      <c r="B98">
        <v>29794</v>
      </c>
      <c r="C98" t="s">
        <v>8348</v>
      </c>
      <c r="D98">
        <v>74533</v>
      </c>
      <c r="E98" t="s">
        <v>8604</v>
      </c>
      <c r="F98" t="s">
        <v>5017</v>
      </c>
      <c r="G98" t="s">
        <v>5017</v>
      </c>
      <c r="H98" t="s">
        <v>7768</v>
      </c>
      <c r="I98" t="s">
        <v>7768</v>
      </c>
      <c r="J98" t="s">
        <v>7768</v>
      </c>
      <c r="K98" t="s">
        <v>8603</v>
      </c>
      <c r="L98" t="s">
        <v>7768</v>
      </c>
      <c r="M98" t="s">
        <v>8602</v>
      </c>
      <c r="N98" t="s">
        <v>8601</v>
      </c>
      <c r="O98" t="s">
        <v>7768</v>
      </c>
      <c r="P98" t="s">
        <v>7768</v>
      </c>
      <c r="Q98" t="s">
        <v>7768</v>
      </c>
      <c r="R98" t="s">
        <v>7768</v>
      </c>
      <c r="S98" t="s">
        <v>7768</v>
      </c>
      <c r="T98" s="18">
        <v>34335.041666666664</v>
      </c>
      <c r="U98" t="s">
        <v>7768</v>
      </c>
      <c r="V98" s="18">
        <v>34690.041666666664</v>
      </c>
      <c r="W98" s="18">
        <v>34335.041666666664</v>
      </c>
    </row>
    <row r="99" spans="1:23" x14ac:dyDescent="0.25">
      <c r="A99">
        <v>79266</v>
      </c>
      <c r="B99">
        <v>29794</v>
      </c>
      <c r="C99" t="s">
        <v>8348</v>
      </c>
      <c r="D99">
        <v>79265</v>
      </c>
      <c r="E99" t="s">
        <v>2520</v>
      </c>
      <c r="F99" t="s">
        <v>8600</v>
      </c>
      <c r="G99" t="s">
        <v>8600</v>
      </c>
      <c r="H99" t="s">
        <v>8600</v>
      </c>
      <c r="I99" t="s">
        <v>8600</v>
      </c>
      <c r="J99" t="s">
        <v>8600</v>
      </c>
      <c r="K99" t="s">
        <v>3466</v>
      </c>
      <c r="L99" t="s">
        <v>8600</v>
      </c>
      <c r="M99" t="s">
        <v>8599</v>
      </c>
      <c r="N99" t="s">
        <v>8598</v>
      </c>
      <c r="O99" t="s">
        <v>7768</v>
      </c>
      <c r="P99" t="s">
        <v>7768</v>
      </c>
      <c r="Q99" t="s">
        <v>7768</v>
      </c>
      <c r="R99" t="s">
        <v>7768</v>
      </c>
      <c r="S99" t="s">
        <v>7768</v>
      </c>
      <c r="T99" s="18"/>
      <c r="U99" t="s">
        <v>7768</v>
      </c>
      <c r="V99" s="18">
        <v>34534.083333333336</v>
      </c>
      <c r="W99" s="18"/>
    </row>
    <row r="100" spans="1:23" x14ac:dyDescent="0.25">
      <c r="A100">
        <v>79275</v>
      </c>
      <c r="B100">
        <v>29794</v>
      </c>
      <c r="C100" t="s">
        <v>8348</v>
      </c>
      <c r="D100">
        <v>79274</v>
      </c>
      <c r="E100" t="s">
        <v>8597</v>
      </c>
      <c r="F100" t="s">
        <v>8596</v>
      </c>
      <c r="G100" t="s">
        <v>9135</v>
      </c>
      <c r="H100" t="s">
        <v>9135</v>
      </c>
      <c r="I100" t="s">
        <v>9135</v>
      </c>
      <c r="J100" t="s">
        <v>9135</v>
      </c>
      <c r="K100" t="s">
        <v>8595</v>
      </c>
      <c r="L100" t="s">
        <v>9135</v>
      </c>
      <c r="M100" t="s">
        <v>7768</v>
      </c>
      <c r="N100" t="s">
        <v>8594</v>
      </c>
      <c r="O100" t="s">
        <v>7768</v>
      </c>
      <c r="P100" t="s">
        <v>7768</v>
      </c>
      <c r="Q100" t="s">
        <v>7768</v>
      </c>
      <c r="R100" t="s">
        <v>7768</v>
      </c>
      <c r="S100" t="s">
        <v>7768</v>
      </c>
      <c r="T100" s="18"/>
      <c r="U100" t="s">
        <v>7768</v>
      </c>
      <c r="V100" s="18">
        <v>37979.041666666664</v>
      </c>
      <c r="W100" s="18"/>
    </row>
    <row r="101" spans="1:23" x14ac:dyDescent="0.25">
      <c r="A101">
        <v>79337</v>
      </c>
      <c r="B101">
        <v>29794</v>
      </c>
      <c r="C101" t="s">
        <v>8348</v>
      </c>
      <c r="D101">
        <v>73888</v>
      </c>
      <c r="E101" t="s">
        <v>2929</v>
      </c>
      <c r="F101" t="s">
        <v>2930</v>
      </c>
      <c r="G101" t="s">
        <v>2930</v>
      </c>
      <c r="H101" t="s">
        <v>7768</v>
      </c>
      <c r="I101" t="s">
        <v>7768</v>
      </c>
      <c r="J101" t="s">
        <v>7768</v>
      </c>
      <c r="K101" t="s">
        <v>2924</v>
      </c>
      <c r="L101" t="s">
        <v>7768</v>
      </c>
      <c r="M101" t="s">
        <v>8593</v>
      </c>
      <c r="N101" t="s">
        <v>8592</v>
      </c>
      <c r="O101" t="s">
        <v>7768</v>
      </c>
      <c r="P101" t="s">
        <v>7768</v>
      </c>
      <c r="Q101" t="s">
        <v>7768</v>
      </c>
      <c r="R101" t="s">
        <v>7768</v>
      </c>
      <c r="S101" t="s">
        <v>7768</v>
      </c>
      <c r="T101" s="18">
        <v>35431.041666666664</v>
      </c>
      <c r="U101" t="s">
        <v>7768</v>
      </c>
      <c r="V101" s="18"/>
      <c r="W101" s="18">
        <v>35431.041666666664</v>
      </c>
    </row>
    <row r="102" spans="1:23" x14ac:dyDescent="0.25">
      <c r="A102">
        <v>79387</v>
      </c>
      <c r="B102">
        <v>29794</v>
      </c>
      <c r="C102" t="s">
        <v>8348</v>
      </c>
      <c r="D102">
        <v>73888</v>
      </c>
      <c r="E102" t="s">
        <v>2929</v>
      </c>
      <c r="F102" t="s">
        <v>8591</v>
      </c>
      <c r="G102" t="s">
        <v>8591</v>
      </c>
      <c r="H102" t="s">
        <v>8591</v>
      </c>
      <c r="I102" t="s">
        <v>8591</v>
      </c>
      <c r="J102" t="s">
        <v>8591</v>
      </c>
      <c r="K102" t="s">
        <v>8590</v>
      </c>
      <c r="L102" t="s">
        <v>8591</v>
      </c>
      <c r="M102" t="s">
        <v>8589</v>
      </c>
      <c r="N102" t="s">
        <v>8588</v>
      </c>
      <c r="O102" t="s">
        <v>7768</v>
      </c>
      <c r="P102" t="s">
        <v>7768</v>
      </c>
      <c r="Q102" t="s">
        <v>7768</v>
      </c>
      <c r="R102" t="s">
        <v>7768</v>
      </c>
      <c r="S102" t="s">
        <v>7768</v>
      </c>
      <c r="T102" s="18"/>
      <c r="U102" t="s">
        <v>7768</v>
      </c>
      <c r="V102" s="18">
        <v>34626.083333333336</v>
      </c>
      <c r="W102" s="18"/>
    </row>
    <row r="103" spans="1:23" x14ac:dyDescent="0.25">
      <c r="A103">
        <v>79396</v>
      </c>
      <c r="B103">
        <v>29794</v>
      </c>
      <c r="C103" t="s">
        <v>8348</v>
      </c>
      <c r="E103" t="s">
        <v>7768</v>
      </c>
      <c r="F103" t="s">
        <v>2002</v>
      </c>
      <c r="G103" t="s">
        <v>2002</v>
      </c>
      <c r="H103" t="s">
        <v>2002</v>
      </c>
      <c r="I103" t="s">
        <v>2002</v>
      </c>
      <c r="J103" t="s">
        <v>2002</v>
      </c>
      <c r="K103" t="s">
        <v>1991</v>
      </c>
      <c r="L103" t="s">
        <v>2002</v>
      </c>
      <c r="M103" t="s">
        <v>8587</v>
      </c>
      <c r="N103" t="s">
        <v>8586</v>
      </c>
      <c r="O103" t="s">
        <v>7768</v>
      </c>
      <c r="P103" t="s">
        <v>7768</v>
      </c>
      <c r="Q103" t="s">
        <v>7768</v>
      </c>
      <c r="R103" t="s">
        <v>7768</v>
      </c>
      <c r="S103" t="s">
        <v>7768</v>
      </c>
      <c r="T103" s="18"/>
      <c r="U103" t="s">
        <v>7768</v>
      </c>
      <c r="V103" s="18">
        <v>36430.083333333336</v>
      </c>
      <c r="W103" s="18"/>
    </row>
    <row r="104" spans="1:23" x14ac:dyDescent="0.25">
      <c r="A104">
        <v>79452</v>
      </c>
      <c r="B104">
        <v>29794</v>
      </c>
      <c r="C104" t="s">
        <v>8348</v>
      </c>
      <c r="D104">
        <v>77513</v>
      </c>
      <c r="E104" t="s">
        <v>4347</v>
      </c>
      <c r="F104" t="s">
        <v>4348</v>
      </c>
      <c r="G104" t="s">
        <v>4348</v>
      </c>
      <c r="H104" t="s">
        <v>4348</v>
      </c>
      <c r="I104" t="s">
        <v>4348</v>
      </c>
      <c r="J104" t="s">
        <v>4348</v>
      </c>
      <c r="K104" t="s">
        <v>4338</v>
      </c>
      <c r="L104" t="s">
        <v>4348</v>
      </c>
      <c r="M104" t="s">
        <v>8585</v>
      </c>
      <c r="N104" t="s">
        <v>8584</v>
      </c>
      <c r="O104" t="s">
        <v>7768</v>
      </c>
      <c r="P104" t="s">
        <v>7768</v>
      </c>
      <c r="Q104" t="s">
        <v>7768</v>
      </c>
      <c r="R104" t="s">
        <v>7768</v>
      </c>
      <c r="S104" t="s">
        <v>7768</v>
      </c>
      <c r="T104" s="18"/>
      <c r="U104" t="s">
        <v>7768</v>
      </c>
      <c r="V104" s="18">
        <v>34939.083333333336</v>
      </c>
      <c r="W104" s="18"/>
    </row>
    <row r="105" spans="1:23" x14ac:dyDescent="0.25">
      <c r="A105">
        <v>79476</v>
      </c>
      <c r="B105">
        <v>29794</v>
      </c>
      <c r="C105" t="s">
        <v>8348</v>
      </c>
      <c r="D105">
        <v>73839</v>
      </c>
      <c r="E105" t="s">
        <v>194</v>
      </c>
      <c r="F105" t="s">
        <v>8583</v>
      </c>
      <c r="G105" t="s">
        <v>8583</v>
      </c>
      <c r="H105" t="s">
        <v>7768</v>
      </c>
      <c r="I105" t="s">
        <v>7768</v>
      </c>
      <c r="J105" t="s">
        <v>7768</v>
      </c>
      <c r="K105" t="s">
        <v>4685</v>
      </c>
      <c r="L105" t="s">
        <v>7768</v>
      </c>
      <c r="M105" t="s">
        <v>8582</v>
      </c>
      <c r="N105" t="s">
        <v>8581</v>
      </c>
      <c r="O105" t="s">
        <v>7768</v>
      </c>
      <c r="P105" t="s">
        <v>7768</v>
      </c>
      <c r="Q105" t="s">
        <v>7768</v>
      </c>
      <c r="R105" t="s">
        <v>7768</v>
      </c>
      <c r="S105" t="s">
        <v>7768</v>
      </c>
      <c r="T105" s="18">
        <v>34335.041666666664</v>
      </c>
      <c r="U105" t="s">
        <v>7768</v>
      </c>
      <c r="V105" s="18"/>
      <c r="W105" s="18">
        <v>34335.041666666664</v>
      </c>
    </row>
    <row r="106" spans="1:23" x14ac:dyDescent="0.25">
      <c r="A106">
        <v>79478</v>
      </c>
      <c r="B106">
        <v>29794</v>
      </c>
      <c r="C106" t="s">
        <v>8348</v>
      </c>
      <c r="E106" t="s">
        <v>7768</v>
      </c>
      <c r="F106" t="s">
        <v>8580</v>
      </c>
      <c r="G106" t="s">
        <v>8580</v>
      </c>
      <c r="H106" t="s">
        <v>7768</v>
      </c>
      <c r="I106" t="s">
        <v>7768</v>
      </c>
      <c r="J106" t="s">
        <v>7768</v>
      </c>
      <c r="K106" t="s">
        <v>2449</v>
      </c>
      <c r="L106" t="s">
        <v>7768</v>
      </c>
      <c r="M106" t="s">
        <v>8579</v>
      </c>
      <c r="N106" t="s">
        <v>8578</v>
      </c>
      <c r="O106" t="s">
        <v>7768</v>
      </c>
      <c r="P106" t="s">
        <v>7768</v>
      </c>
      <c r="Q106" t="s">
        <v>7768</v>
      </c>
      <c r="R106" t="s">
        <v>7768</v>
      </c>
      <c r="S106" t="s">
        <v>7768</v>
      </c>
      <c r="T106" s="18">
        <v>36161.041666666664</v>
      </c>
      <c r="U106" t="s">
        <v>7768</v>
      </c>
      <c r="V106" s="18"/>
      <c r="W106" s="18">
        <v>36161.041666666664</v>
      </c>
    </row>
    <row r="107" spans="1:23" x14ac:dyDescent="0.25">
      <c r="A107">
        <v>79486</v>
      </c>
      <c r="B107">
        <v>29794</v>
      </c>
      <c r="C107" t="s">
        <v>8348</v>
      </c>
      <c r="E107" t="s">
        <v>7768</v>
      </c>
      <c r="F107" t="s">
        <v>3918</v>
      </c>
      <c r="G107" t="s">
        <v>3918</v>
      </c>
      <c r="H107" t="s">
        <v>3918</v>
      </c>
      <c r="I107" t="s">
        <v>3918</v>
      </c>
      <c r="J107" t="s">
        <v>3918</v>
      </c>
      <c r="K107" t="s">
        <v>8577</v>
      </c>
      <c r="L107" t="s">
        <v>3918</v>
      </c>
      <c r="M107" t="s">
        <v>8576</v>
      </c>
      <c r="N107" t="s">
        <v>8575</v>
      </c>
      <c r="O107" t="s">
        <v>7768</v>
      </c>
      <c r="P107" t="s">
        <v>7768</v>
      </c>
      <c r="Q107" t="s">
        <v>7768</v>
      </c>
      <c r="R107" t="s">
        <v>7768</v>
      </c>
      <c r="S107" t="s">
        <v>7768</v>
      </c>
      <c r="T107" s="18"/>
      <c r="U107" t="s">
        <v>7768</v>
      </c>
      <c r="V107" s="18">
        <v>35031.041666666664</v>
      </c>
      <c r="W107" s="18"/>
    </row>
    <row r="108" spans="1:23" x14ac:dyDescent="0.25">
      <c r="A108">
        <v>79487</v>
      </c>
      <c r="B108">
        <v>29794</v>
      </c>
      <c r="C108" t="s">
        <v>8348</v>
      </c>
      <c r="E108" t="s">
        <v>7768</v>
      </c>
      <c r="F108" t="s">
        <v>2981</v>
      </c>
      <c r="G108" t="s">
        <v>2981</v>
      </c>
      <c r="H108" t="s">
        <v>7768</v>
      </c>
      <c r="I108" t="s">
        <v>7768</v>
      </c>
      <c r="J108" t="s">
        <v>7768</v>
      </c>
      <c r="K108" t="s">
        <v>2975</v>
      </c>
      <c r="L108" t="s">
        <v>7768</v>
      </c>
      <c r="M108" t="s">
        <v>8574</v>
      </c>
      <c r="N108" t="s">
        <v>8573</v>
      </c>
      <c r="O108" t="s">
        <v>7768</v>
      </c>
      <c r="P108" t="s">
        <v>7768</v>
      </c>
      <c r="Q108" t="s">
        <v>7768</v>
      </c>
      <c r="R108" t="s">
        <v>7768</v>
      </c>
      <c r="S108" t="s">
        <v>7768</v>
      </c>
      <c r="T108" s="18">
        <v>35431.041666666664</v>
      </c>
      <c r="U108" t="s">
        <v>7768</v>
      </c>
      <c r="V108" s="18"/>
      <c r="W108" s="18">
        <v>35431.041666666664</v>
      </c>
    </row>
    <row r="109" spans="1:23" x14ac:dyDescent="0.25">
      <c r="A109">
        <v>79499</v>
      </c>
      <c r="B109">
        <v>29794</v>
      </c>
      <c r="C109" t="s">
        <v>8348</v>
      </c>
      <c r="D109">
        <v>36275</v>
      </c>
      <c r="E109" t="s">
        <v>1912</v>
      </c>
      <c r="F109" t="s">
        <v>8572</v>
      </c>
      <c r="G109" t="s">
        <v>8572</v>
      </c>
      <c r="H109" t="s">
        <v>7768</v>
      </c>
      <c r="I109" t="s">
        <v>7768</v>
      </c>
      <c r="J109" t="s">
        <v>7768</v>
      </c>
      <c r="K109" t="s">
        <v>6802</v>
      </c>
      <c r="L109" t="s">
        <v>7768</v>
      </c>
      <c r="M109" t="s">
        <v>8571</v>
      </c>
      <c r="N109" t="s">
        <v>8570</v>
      </c>
      <c r="O109" t="s">
        <v>7768</v>
      </c>
      <c r="P109" t="s">
        <v>7768</v>
      </c>
      <c r="Q109" t="s">
        <v>7768</v>
      </c>
      <c r="R109" t="s">
        <v>7768</v>
      </c>
      <c r="S109" t="s">
        <v>7768</v>
      </c>
      <c r="T109" s="18">
        <v>32874.041666666664</v>
      </c>
      <c r="U109" t="s">
        <v>7768</v>
      </c>
      <c r="V109" s="18">
        <v>33197.041666666664</v>
      </c>
      <c r="W109" s="18">
        <v>32874.041666666664</v>
      </c>
    </row>
    <row r="110" spans="1:23" x14ac:dyDescent="0.25">
      <c r="A110">
        <v>79561</v>
      </c>
      <c r="B110">
        <v>29794</v>
      </c>
      <c r="C110" t="s">
        <v>8348</v>
      </c>
      <c r="D110">
        <v>36275</v>
      </c>
      <c r="E110" t="s">
        <v>1912</v>
      </c>
      <c r="F110" t="s">
        <v>8569</v>
      </c>
      <c r="G110" t="s">
        <v>8569</v>
      </c>
      <c r="H110" t="s">
        <v>8569</v>
      </c>
      <c r="I110" t="s">
        <v>8569</v>
      </c>
      <c r="J110" t="s">
        <v>8569</v>
      </c>
      <c r="K110" t="s">
        <v>6739</v>
      </c>
      <c r="L110" t="s">
        <v>8569</v>
      </c>
      <c r="M110" t="s">
        <v>7768</v>
      </c>
      <c r="N110" t="s">
        <v>8568</v>
      </c>
      <c r="O110" t="s">
        <v>7768</v>
      </c>
      <c r="P110" t="s">
        <v>7768</v>
      </c>
      <c r="Q110" t="s">
        <v>7768</v>
      </c>
      <c r="R110" t="s">
        <v>7768</v>
      </c>
      <c r="S110" t="s">
        <v>7768</v>
      </c>
      <c r="T110" s="18"/>
      <c r="U110" t="s">
        <v>7768</v>
      </c>
      <c r="V110" s="18">
        <v>33420.083333333336</v>
      </c>
      <c r="W110" s="18"/>
    </row>
    <row r="111" spans="1:23" x14ac:dyDescent="0.25">
      <c r="A111">
        <v>79576</v>
      </c>
      <c r="B111">
        <v>29794</v>
      </c>
      <c r="C111" t="s">
        <v>8348</v>
      </c>
      <c r="D111">
        <v>79265</v>
      </c>
      <c r="E111" t="s">
        <v>2520</v>
      </c>
      <c r="F111" t="s">
        <v>8567</v>
      </c>
      <c r="G111" t="s">
        <v>8567</v>
      </c>
      <c r="H111" t="s">
        <v>8567</v>
      </c>
      <c r="I111" t="s">
        <v>8567</v>
      </c>
      <c r="J111" t="s">
        <v>8567</v>
      </c>
      <c r="K111" t="s">
        <v>8566</v>
      </c>
      <c r="L111" t="s">
        <v>8567</v>
      </c>
      <c r="M111" t="s">
        <v>7768</v>
      </c>
      <c r="N111" t="s">
        <v>8563</v>
      </c>
      <c r="O111" t="s">
        <v>7768</v>
      </c>
      <c r="P111" t="s">
        <v>7768</v>
      </c>
      <c r="Q111" t="s">
        <v>7768</v>
      </c>
      <c r="R111" t="s">
        <v>7768</v>
      </c>
      <c r="S111" t="s">
        <v>7768</v>
      </c>
      <c r="T111" s="18"/>
      <c r="U111" t="s">
        <v>7768</v>
      </c>
      <c r="V111" s="18"/>
      <c r="W111" s="18">
        <v>34700.041666666664</v>
      </c>
    </row>
    <row r="112" spans="1:23" x14ac:dyDescent="0.25">
      <c r="A112">
        <v>79579</v>
      </c>
      <c r="B112">
        <v>29794</v>
      </c>
      <c r="C112" t="s">
        <v>8348</v>
      </c>
      <c r="D112">
        <v>36275</v>
      </c>
      <c r="E112" t="s">
        <v>1912</v>
      </c>
      <c r="F112" t="s">
        <v>8565</v>
      </c>
      <c r="G112" t="s">
        <v>8565</v>
      </c>
      <c r="H112" t="s">
        <v>8565</v>
      </c>
      <c r="I112" t="s">
        <v>8565</v>
      </c>
      <c r="J112" t="s">
        <v>8565</v>
      </c>
      <c r="K112" t="s">
        <v>8564</v>
      </c>
      <c r="L112" t="s">
        <v>8565</v>
      </c>
      <c r="M112" t="s">
        <v>7768</v>
      </c>
      <c r="N112" t="s">
        <v>8563</v>
      </c>
      <c r="O112" t="s">
        <v>7768</v>
      </c>
      <c r="P112" t="s">
        <v>7768</v>
      </c>
      <c r="Q112" t="s">
        <v>7768</v>
      </c>
      <c r="R112" t="s">
        <v>7768</v>
      </c>
      <c r="S112" t="s">
        <v>7768</v>
      </c>
      <c r="T112" s="18"/>
      <c r="U112" t="s">
        <v>7768</v>
      </c>
      <c r="V112" s="18"/>
      <c r="W112" s="18">
        <v>33604.041666666664</v>
      </c>
    </row>
    <row r="113" spans="1:23" x14ac:dyDescent="0.25">
      <c r="A113">
        <v>79655</v>
      </c>
      <c r="B113">
        <v>29794</v>
      </c>
      <c r="C113" t="s">
        <v>8348</v>
      </c>
      <c r="D113">
        <v>76226</v>
      </c>
      <c r="E113" t="s">
        <v>8562</v>
      </c>
      <c r="F113" t="s">
        <v>8561</v>
      </c>
      <c r="G113" t="s">
        <v>8561</v>
      </c>
      <c r="H113" t="s">
        <v>8561</v>
      </c>
      <c r="I113" t="s">
        <v>8561</v>
      </c>
      <c r="J113" t="s">
        <v>8561</v>
      </c>
      <c r="K113" t="s">
        <v>1689</v>
      </c>
      <c r="L113" t="s">
        <v>8561</v>
      </c>
      <c r="M113" t="s">
        <v>8560</v>
      </c>
      <c r="N113" t="s">
        <v>8559</v>
      </c>
      <c r="O113" t="s">
        <v>7768</v>
      </c>
      <c r="P113" t="s">
        <v>7768</v>
      </c>
      <c r="Q113" t="s">
        <v>7768</v>
      </c>
      <c r="R113" t="s">
        <v>7768</v>
      </c>
      <c r="S113" t="s">
        <v>7768</v>
      </c>
      <c r="T113" s="18"/>
      <c r="U113" t="s">
        <v>7768</v>
      </c>
      <c r="V113" s="18">
        <v>37413.083333333336</v>
      </c>
      <c r="W113" s="18"/>
    </row>
    <row r="114" spans="1:23" x14ac:dyDescent="0.25">
      <c r="A114">
        <v>79656</v>
      </c>
      <c r="B114">
        <v>29794</v>
      </c>
      <c r="C114" t="s">
        <v>8348</v>
      </c>
      <c r="D114">
        <v>79265</v>
      </c>
      <c r="E114" t="s">
        <v>2520</v>
      </c>
      <c r="F114" t="s">
        <v>3515</v>
      </c>
      <c r="G114" t="s">
        <v>3515</v>
      </c>
      <c r="H114" t="s">
        <v>3515</v>
      </c>
      <c r="I114" t="s">
        <v>3515</v>
      </c>
      <c r="J114" t="s">
        <v>3515</v>
      </c>
      <c r="K114" t="s">
        <v>3509</v>
      </c>
      <c r="L114" t="s">
        <v>3515</v>
      </c>
      <c r="M114" t="s">
        <v>8558</v>
      </c>
      <c r="N114" t="s">
        <v>8557</v>
      </c>
      <c r="O114" t="s">
        <v>7768</v>
      </c>
      <c r="P114" t="s">
        <v>7768</v>
      </c>
      <c r="Q114" t="s">
        <v>7768</v>
      </c>
      <c r="R114" t="s">
        <v>7768</v>
      </c>
      <c r="S114" t="s">
        <v>7768</v>
      </c>
      <c r="T114" s="18"/>
      <c r="U114" t="s">
        <v>7768</v>
      </c>
      <c r="V114" s="18">
        <v>35229.083333333336</v>
      </c>
      <c r="W114" s="18"/>
    </row>
    <row r="115" spans="1:23" x14ac:dyDescent="0.25">
      <c r="A115">
        <v>79707</v>
      </c>
      <c r="B115">
        <v>29794</v>
      </c>
      <c r="C115" t="s">
        <v>8348</v>
      </c>
      <c r="D115">
        <v>36275</v>
      </c>
      <c r="E115" t="s">
        <v>1912</v>
      </c>
      <c r="F115" t="s">
        <v>8556</v>
      </c>
      <c r="G115" t="s">
        <v>8556</v>
      </c>
      <c r="H115" t="s">
        <v>7768</v>
      </c>
      <c r="I115" t="s">
        <v>7768</v>
      </c>
      <c r="J115" t="s">
        <v>7768</v>
      </c>
      <c r="K115" t="s">
        <v>8555</v>
      </c>
      <c r="L115" t="s">
        <v>7768</v>
      </c>
      <c r="M115" t="s">
        <v>8554</v>
      </c>
      <c r="N115" t="s">
        <v>8553</v>
      </c>
      <c r="O115" t="s">
        <v>7768</v>
      </c>
      <c r="P115" t="s">
        <v>7768</v>
      </c>
      <c r="Q115" t="s">
        <v>7768</v>
      </c>
      <c r="R115" t="s">
        <v>7768</v>
      </c>
      <c r="S115" t="s">
        <v>7768</v>
      </c>
      <c r="T115" s="18">
        <v>34700.041666666664</v>
      </c>
      <c r="U115" t="s">
        <v>7768</v>
      </c>
      <c r="V115" s="18">
        <v>35054.041666666664</v>
      </c>
      <c r="W115" s="18">
        <v>34700.041666666664</v>
      </c>
    </row>
    <row r="116" spans="1:23" x14ac:dyDescent="0.25">
      <c r="A116">
        <v>79709</v>
      </c>
      <c r="B116">
        <v>29794</v>
      </c>
      <c r="C116" t="s">
        <v>8348</v>
      </c>
      <c r="D116">
        <v>36275</v>
      </c>
      <c r="E116" t="s">
        <v>1912</v>
      </c>
      <c r="F116" t="s">
        <v>8552</v>
      </c>
      <c r="G116" t="s">
        <v>8552</v>
      </c>
      <c r="H116" t="s">
        <v>8552</v>
      </c>
      <c r="I116" t="s">
        <v>8552</v>
      </c>
      <c r="J116" t="s">
        <v>8552</v>
      </c>
      <c r="K116" t="s">
        <v>8551</v>
      </c>
      <c r="L116" t="s">
        <v>8552</v>
      </c>
      <c r="M116" t="s">
        <v>8550</v>
      </c>
      <c r="N116" t="s">
        <v>8549</v>
      </c>
      <c r="O116" t="s">
        <v>7768</v>
      </c>
      <c r="P116" t="s">
        <v>7768</v>
      </c>
      <c r="Q116" t="s">
        <v>7768</v>
      </c>
      <c r="R116" t="s">
        <v>7768</v>
      </c>
      <c r="S116" t="s">
        <v>7768</v>
      </c>
      <c r="T116" s="18"/>
      <c r="U116" t="s">
        <v>7768</v>
      </c>
      <c r="V116" s="18">
        <v>35873.041666666664</v>
      </c>
      <c r="W116" s="18"/>
    </row>
    <row r="117" spans="1:23" x14ac:dyDescent="0.25">
      <c r="A117">
        <v>79710</v>
      </c>
      <c r="B117">
        <v>29794</v>
      </c>
      <c r="C117" t="s">
        <v>8348</v>
      </c>
      <c r="D117">
        <v>36275</v>
      </c>
      <c r="E117" t="s">
        <v>1912</v>
      </c>
      <c r="F117" t="s">
        <v>3332</v>
      </c>
      <c r="G117" t="s">
        <v>3332</v>
      </c>
      <c r="H117" t="s">
        <v>7768</v>
      </c>
      <c r="I117" t="s">
        <v>7768</v>
      </c>
      <c r="J117" t="s">
        <v>7768</v>
      </c>
      <c r="K117" t="s">
        <v>3326</v>
      </c>
      <c r="L117" t="s">
        <v>7768</v>
      </c>
      <c r="M117" t="s">
        <v>8548</v>
      </c>
      <c r="N117" t="s">
        <v>8547</v>
      </c>
      <c r="O117" t="s">
        <v>7768</v>
      </c>
      <c r="P117" t="s">
        <v>7768</v>
      </c>
      <c r="Q117" t="s">
        <v>7768</v>
      </c>
      <c r="R117" t="s">
        <v>7768</v>
      </c>
      <c r="S117" t="s">
        <v>7768</v>
      </c>
      <c r="T117" s="18">
        <v>35065.041666666664</v>
      </c>
      <c r="U117" t="s">
        <v>7768</v>
      </c>
      <c r="V117" s="18">
        <v>35458.041666666664</v>
      </c>
      <c r="W117" s="18">
        <v>35065.041666666664</v>
      </c>
    </row>
    <row r="118" spans="1:23" x14ac:dyDescent="0.25">
      <c r="A118">
        <v>79803</v>
      </c>
      <c r="B118">
        <v>29794</v>
      </c>
      <c r="C118" t="s">
        <v>8348</v>
      </c>
      <c r="D118">
        <v>36275</v>
      </c>
      <c r="E118" t="s">
        <v>1912</v>
      </c>
      <c r="F118" t="s">
        <v>6446</v>
      </c>
      <c r="G118" t="s">
        <v>6446</v>
      </c>
      <c r="H118" t="s">
        <v>7768</v>
      </c>
      <c r="I118" t="s">
        <v>7768</v>
      </c>
      <c r="J118" t="s">
        <v>7768</v>
      </c>
      <c r="K118" t="s">
        <v>6432</v>
      </c>
      <c r="L118" t="s">
        <v>7768</v>
      </c>
      <c r="M118" t="s">
        <v>8546</v>
      </c>
      <c r="N118" t="s">
        <v>8545</v>
      </c>
      <c r="O118" t="s">
        <v>7768</v>
      </c>
      <c r="P118" t="s">
        <v>7768</v>
      </c>
      <c r="Q118" t="s">
        <v>7768</v>
      </c>
      <c r="R118" t="s">
        <v>7768</v>
      </c>
      <c r="S118" t="s">
        <v>7768</v>
      </c>
      <c r="T118" s="18">
        <v>33239.041666666664</v>
      </c>
      <c r="U118" t="s">
        <v>7768</v>
      </c>
      <c r="V118" s="18">
        <v>33592.041666666664</v>
      </c>
      <c r="W118" s="18">
        <v>33239.041666666664</v>
      </c>
    </row>
    <row r="119" spans="1:23" x14ac:dyDescent="0.25">
      <c r="A119">
        <v>79932</v>
      </c>
      <c r="B119">
        <v>29794</v>
      </c>
      <c r="C119" t="s">
        <v>8348</v>
      </c>
      <c r="D119">
        <v>36275</v>
      </c>
      <c r="E119" t="s">
        <v>1912</v>
      </c>
      <c r="F119" t="s">
        <v>8544</v>
      </c>
      <c r="G119" t="s">
        <v>8544</v>
      </c>
      <c r="H119" t="s">
        <v>7768</v>
      </c>
      <c r="I119" t="s">
        <v>7768</v>
      </c>
      <c r="J119" t="s">
        <v>7768</v>
      </c>
      <c r="K119" t="s">
        <v>5965</v>
      </c>
      <c r="L119" t="s">
        <v>7768</v>
      </c>
      <c r="M119" t="s">
        <v>8543</v>
      </c>
      <c r="N119" t="s">
        <v>8542</v>
      </c>
      <c r="O119" t="s">
        <v>7768</v>
      </c>
      <c r="P119" t="s">
        <v>7768</v>
      </c>
      <c r="Q119" t="s">
        <v>7768</v>
      </c>
      <c r="R119" t="s">
        <v>7768</v>
      </c>
      <c r="S119" t="s">
        <v>7768</v>
      </c>
      <c r="T119" s="18">
        <v>33970.041666666664</v>
      </c>
      <c r="U119" t="s">
        <v>7768</v>
      </c>
      <c r="V119" s="18">
        <v>34157.083333333336</v>
      </c>
      <c r="W119" s="18">
        <v>33970.041666666664</v>
      </c>
    </row>
    <row r="120" spans="1:23" x14ac:dyDescent="0.25">
      <c r="A120">
        <v>79934</v>
      </c>
      <c r="B120">
        <v>29794</v>
      </c>
      <c r="C120" t="s">
        <v>8348</v>
      </c>
      <c r="D120">
        <v>36275</v>
      </c>
      <c r="E120" t="s">
        <v>1912</v>
      </c>
      <c r="F120" t="s">
        <v>8541</v>
      </c>
      <c r="G120" t="s">
        <v>8541</v>
      </c>
      <c r="H120" t="s">
        <v>8541</v>
      </c>
      <c r="I120" t="s">
        <v>8541</v>
      </c>
      <c r="J120" t="s">
        <v>8541</v>
      </c>
      <c r="K120" t="s">
        <v>8540</v>
      </c>
      <c r="L120" t="s">
        <v>8541</v>
      </c>
      <c r="M120" t="s">
        <v>8539</v>
      </c>
      <c r="N120" t="s">
        <v>8538</v>
      </c>
      <c r="O120" t="s">
        <v>7768</v>
      </c>
      <c r="P120" t="s">
        <v>7768</v>
      </c>
      <c r="Q120" t="s">
        <v>7768</v>
      </c>
      <c r="R120" t="s">
        <v>7768</v>
      </c>
      <c r="S120" t="s">
        <v>7768</v>
      </c>
      <c r="T120" s="18"/>
      <c r="U120" t="s">
        <v>7768</v>
      </c>
      <c r="V120" s="18">
        <v>34635.083333333336</v>
      </c>
      <c r="W120" s="18"/>
    </row>
    <row r="121" spans="1:23" x14ac:dyDescent="0.25">
      <c r="A121">
        <v>79935</v>
      </c>
      <c r="B121">
        <v>29794</v>
      </c>
      <c r="C121" t="s">
        <v>8348</v>
      </c>
      <c r="D121">
        <v>36275</v>
      </c>
      <c r="E121" t="s">
        <v>1912</v>
      </c>
      <c r="F121" t="s">
        <v>8537</v>
      </c>
      <c r="G121" t="s">
        <v>8537</v>
      </c>
      <c r="H121" t="s">
        <v>8537</v>
      </c>
      <c r="I121" t="s">
        <v>8537</v>
      </c>
      <c r="J121" t="s">
        <v>8537</v>
      </c>
      <c r="K121" t="s">
        <v>8536</v>
      </c>
      <c r="L121" t="s">
        <v>8537</v>
      </c>
      <c r="M121" t="s">
        <v>8535</v>
      </c>
      <c r="N121" t="s">
        <v>8534</v>
      </c>
      <c r="O121" t="s">
        <v>7768</v>
      </c>
      <c r="P121" t="s">
        <v>7768</v>
      </c>
      <c r="Q121" t="s">
        <v>7768</v>
      </c>
      <c r="R121" t="s">
        <v>7768</v>
      </c>
      <c r="S121" t="s">
        <v>7768</v>
      </c>
      <c r="T121" s="18"/>
      <c r="U121" t="s">
        <v>7768</v>
      </c>
      <c r="V121" s="18">
        <v>35018.041666666664</v>
      </c>
      <c r="W121" s="18">
        <v>34700.041666666664</v>
      </c>
    </row>
    <row r="122" spans="1:23" x14ac:dyDescent="0.25">
      <c r="A122">
        <v>79936</v>
      </c>
      <c r="B122">
        <v>29794</v>
      </c>
      <c r="C122" t="s">
        <v>8348</v>
      </c>
      <c r="D122">
        <v>36275</v>
      </c>
      <c r="E122" t="s">
        <v>1912</v>
      </c>
      <c r="F122" t="s">
        <v>8533</v>
      </c>
      <c r="G122" t="s">
        <v>8533</v>
      </c>
      <c r="H122" t="s">
        <v>7768</v>
      </c>
      <c r="I122" t="s">
        <v>7768</v>
      </c>
      <c r="J122" t="s">
        <v>7768</v>
      </c>
      <c r="K122" t="s">
        <v>8532</v>
      </c>
      <c r="L122" t="s">
        <v>7768</v>
      </c>
      <c r="M122" t="s">
        <v>8531</v>
      </c>
      <c r="N122" t="s">
        <v>8530</v>
      </c>
      <c r="O122" t="s">
        <v>7768</v>
      </c>
      <c r="P122" t="s">
        <v>7768</v>
      </c>
      <c r="Q122" t="s">
        <v>7768</v>
      </c>
      <c r="R122" t="s">
        <v>7768</v>
      </c>
      <c r="S122" t="s">
        <v>7768</v>
      </c>
      <c r="T122" s="18">
        <v>35065.041666666664</v>
      </c>
      <c r="U122" t="s">
        <v>7768</v>
      </c>
      <c r="V122" s="18">
        <v>35363.083333333336</v>
      </c>
      <c r="W122" s="18">
        <v>35065.041666666664</v>
      </c>
    </row>
    <row r="123" spans="1:23" x14ac:dyDescent="0.25">
      <c r="A123">
        <v>79937</v>
      </c>
      <c r="B123">
        <v>29794</v>
      </c>
      <c r="C123" t="s">
        <v>8348</v>
      </c>
      <c r="D123">
        <v>73839</v>
      </c>
      <c r="E123" t="s">
        <v>194</v>
      </c>
      <c r="F123" t="s">
        <v>8529</v>
      </c>
      <c r="G123" t="s">
        <v>8529</v>
      </c>
      <c r="H123" t="s">
        <v>7768</v>
      </c>
      <c r="I123" t="s">
        <v>7768</v>
      </c>
      <c r="J123" t="s">
        <v>7768</v>
      </c>
      <c r="K123" t="s">
        <v>8528</v>
      </c>
      <c r="L123" t="s">
        <v>7768</v>
      </c>
      <c r="M123" t="s">
        <v>8527</v>
      </c>
      <c r="N123" t="s">
        <v>8526</v>
      </c>
      <c r="O123" t="s">
        <v>7768</v>
      </c>
      <c r="P123" t="s">
        <v>7768</v>
      </c>
      <c r="Q123" t="s">
        <v>7768</v>
      </c>
      <c r="R123" t="s">
        <v>7768</v>
      </c>
      <c r="S123" t="s">
        <v>7768</v>
      </c>
      <c r="T123" s="18">
        <v>37622.041666666664</v>
      </c>
      <c r="U123" t="s">
        <v>7768</v>
      </c>
      <c r="V123" s="18">
        <v>37940.041666666664</v>
      </c>
      <c r="W123" s="18">
        <v>37622.041666666664</v>
      </c>
    </row>
    <row r="124" spans="1:23" x14ac:dyDescent="0.25">
      <c r="A124">
        <v>79939</v>
      </c>
      <c r="B124">
        <v>29794</v>
      </c>
      <c r="C124" t="s">
        <v>8348</v>
      </c>
      <c r="E124" t="s">
        <v>7768</v>
      </c>
      <c r="F124" t="s">
        <v>8525</v>
      </c>
      <c r="G124" t="s">
        <v>8525</v>
      </c>
      <c r="H124" t="s">
        <v>7768</v>
      </c>
      <c r="I124" t="s">
        <v>7768</v>
      </c>
      <c r="J124" t="s">
        <v>7768</v>
      </c>
      <c r="K124" t="s">
        <v>8524</v>
      </c>
      <c r="L124" t="s">
        <v>7768</v>
      </c>
      <c r="M124" t="s">
        <v>8523</v>
      </c>
      <c r="N124" t="s">
        <v>8522</v>
      </c>
      <c r="O124" t="s">
        <v>7768</v>
      </c>
      <c r="P124" t="s">
        <v>7768</v>
      </c>
      <c r="Q124" t="s">
        <v>7768</v>
      </c>
      <c r="R124" t="s">
        <v>7768</v>
      </c>
      <c r="S124" t="s">
        <v>7768</v>
      </c>
      <c r="T124" s="18">
        <v>37987.041666666664</v>
      </c>
      <c r="U124" t="s">
        <v>7768</v>
      </c>
      <c r="V124" s="18">
        <v>38099.083333333336</v>
      </c>
      <c r="W124" s="18">
        <v>37987.041666666664</v>
      </c>
    </row>
    <row r="125" spans="1:23" x14ac:dyDescent="0.25">
      <c r="A125">
        <v>79963</v>
      </c>
      <c r="B125">
        <v>29794</v>
      </c>
      <c r="C125" t="s">
        <v>8348</v>
      </c>
      <c r="D125">
        <v>36275</v>
      </c>
      <c r="E125" t="s">
        <v>1912</v>
      </c>
      <c r="F125" t="s">
        <v>8521</v>
      </c>
      <c r="G125" t="s">
        <v>8521</v>
      </c>
      <c r="H125" t="s">
        <v>7768</v>
      </c>
      <c r="I125" t="s">
        <v>7768</v>
      </c>
      <c r="J125" t="s">
        <v>7768</v>
      </c>
      <c r="K125" t="s">
        <v>7768</v>
      </c>
      <c r="L125" t="s">
        <v>7768</v>
      </c>
      <c r="M125" t="s">
        <v>7768</v>
      </c>
      <c r="N125" t="s">
        <v>7768</v>
      </c>
      <c r="O125" t="s">
        <v>7768</v>
      </c>
      <c r="P125" t="s">
        <v>7768</v>
      </c>
      <c r="Q125" t="s">
        <v>7768</v>
      </c>
      <c r="R125" t="s">
        <v>7768</v>
      </c>
      <c r="S125" t="s">
        <v>7768</v>
      </c>
      <c r="T125" s="18"/>
      <c r="U125" t="s">
        <v>7768</v>
      </c>
      <c r="V125" s="18"/>
      <c r="W125" s="18">
        <v>34335.041666666664</v>
      </c>
    </row>
    <row r="126" spans="1:23" x14ac:dyDescent="0.25">
      <c r="A126">
        <v>79969</v>
      </c>
      <c r="B126">
        <v>29794</v>
      </c>
      <c r="C126" t="s">
        <v>8348</v>
      </c>
      <c r="D126">
        <v>36275</v>
      </c>
      <c r="E126" t="s">
        <v>1912</v>
      </c>
      <c r="F126" t="s">
        <v>8520</v>
      </c>
      <c r="G126" t="s">
        <v>8520</v>
      </c>
      <c r="H126" t="s">
        <v>7768</v>
      </c>
      <c r="I126" t="s">
        <v>7768</v>
      </c>
      <c r="J126" t="s">
        <v>7768</v>
      </c>
      <c r="K126" t="s">
        <v>8519</v>
      </c>
      <c r="L126" t="s">
        <v>7768</v>
      </c>
      <c r="M126" t="s">
        <v>8518</v>
      </c>
      <c r="N126" t="s">
        <v>8517</v>
      </c>
      <c r="O126" t="s">
        <v>7768</v>
      </c>
      <c r="P126" t="s">
        <v>7768</v>
      </c>
      <c r="Q126" t="s">
        <v>7768</v>
      </c>
      <c r="R126" t="s">
        <v>7768</v>
      </c>
      <c r="S126" t="s">
        <v>7768</v>
      </c>
      <c r="T126" s="18">
        <v>34700.041666666664</v>
      </c>
      <c r="U126" t="s">
        <v>7768</v>
      </c>
      <c r="V126" s="18">
        <v>34814.083333333336</v>
      </c>
      <c r="W126" s="18">
        <v>34700.041666666664</v>
      </c>
    </row>
    <row r="127" spans="1:23" x14ac:dyDescent="0.25">
      <c r="A127">
        <v>80051</v>
      </c>
      <c r="B127">
        <v>29794</v>
      </c>
      <c r="C127" t="s">
        <v>8348</v>
      </c>
      <c r="D127">
        <v>36275</v>
      </c>
      <c r="E127" t="s">
        <v>1912</v>
      </c>
      <c r="F127" t="s">
        <v>8516</v>
      </c>
      <c r="G127" t="s">
        <v>8516</v>
      </c>
      <c r="H127" t="s">
        <v>7768</v>
      </c>
      <c r="I127" t="s">
        <v>7768</v>
      </c>
      <c r="J127" t="s">
        <v>7768</v>
      </c>
      <c r="K127" t="s">
        <v>7139</v>
      </c>
      <c r="L127" t="s">
        <v>7768</v>
      </c>
      <c r="M127" t="s">
        <v>8515</v>
      </c>
      <c r="N127" t="s">
        <v>8514</v>
      </c>
      <c r="O127" t="s">
        <v>7768</v>
      </c>
      <c r="P127" t="s">
        <v>7768</v>
      </c>
      <c r="Q127" t="s">
        <v>7768</v>
      </c>
      <c r="R127" t="s">
        <v>7768</v>
      </c>
      <c r="S127" t="s">
        <v>7768</v>
      </c>
      <c r="T127" s="18">
        <v>33239.041666666664</v>
      </c>
      <c r="U127" t="s">
        <v>7768</v>
      </c>
      <c r="V127" s="18">
        <v>33281.041666666664</v>
      </c>
      <c r="W127" s="18">
        <v>33239.041666666664</v>
      </c>
    </row>
    <row r="128" spans="1:23" x14ac:dyDescent="0.25">
      <c r="A128">
        <v>80052</v>
      </c>
      <c r="B128">
        <v>29794</v>
      </c>
      <c r="C128" t="s">
        <v>8348</v>
      </c>
      <c r="D128">
        <v>36275</v>
      </c>
      <c r="E128" t="s">
        <v>1912</v>
      </c>
      <c r="F128" t="s">
        <v>6151</v>
      </c>
      <c r="G128" t="s">
        <v>6151</v>
      </c>
      <c r="H128" t="s">
        <v>7768</v>
      </c>
      <c r="I128" t="s">
        <v>7768</v>
      </c>
      <c r="J128" t="s">
        <v>7768</v>
      </c>
      <c r="K128" t="s">
        <v>8513</v>
      </c>
      <c r="L128" t="s">
        <v>7768</v>
      </c>
      <c r="M128" t="s">
        <v>8512</v>
      </c>
      <c r="N128" t="s">
        <v>8511</v>
      </c>
      <c r="O128" t="s">
        <v>7768</v>
      </c>
      <c r="P128" t="s">
        <v>7768</v>
      </c>
      <c r="Q128" t="s">
        <v>7768</v>
      </c>
      <c r="R128" t="s">
        <v>7768</v>
      </c>
      <c r="S128" t="s">
        <v>7768</v>
      </c>
      <c r="T128" s="18">
        <v>33970.041666666664</v>
      </c>
      <c r="U128" t="s">
        <v>7768</v>
      </c>
      <c r="V128" s="18">
        <v>34018.041666666664</v>
      </c>
      <c r="W128" s="18">
        <v>33970.041666666664</v>
      </c>
    </row>
    <row r="129" spans="1:23" x14ac:dyDescent="0.25">
      <c r="A129">
        <v>80053</v>
      </c>
      <c r="B129">
        <v>29794</v>
      </c>
      <c r="C129" t="s">
        <v>8348</v>
      </c>
      <c r="D129">
        <v>76567</v>
      </c>
      <c r="E129" t="s">
        <v>8510</v>
      </c>
      <c r="F129" t="s">
        <v>8509</v>
      </c>
      <c r="G129" t="s">
        <v>8509</v>
      </c>
      <c r="H129" t="s">
        <v>7768</v>
      </c>
      <c r="I129" t="s">
        <v>7768</v>
      </c>
      <c r="J129" t="s">
        <v>7768</v>
      </c>
      <c r="K129" t="s">
        <v>8508</v>
      </c>
      <c r="L129" t="s">
        <v>7768</v>
      </c>
      <c r="M129" t="s">
        <v>8507</v>
      </c>
      <c r="N129" t="s">
        <v>8506</v>
      </c>
      <c r="O129" t="s">
        <v>7768</v>
      </c>
      <c r="P129" t="s">
        <v>7768</v>
      </c>
      <c r="Q129" t="s">
        <v>7768</v>
      </c>
      <c r="R129" t="s">
        <v>7768</v>
      </c>
      <c r="S129" t="s">
        <v>7768</v>
      </c>
      <c r="T129" s="18">
        <v>36892.041666666664</v>
      </c>
      <c r="U129" t="s">
        <v>7768</v>
      </c>
      <c r="V129" s="18">
        <v>37090.083333333336</v>
      </c>
      <c r="W129" s="18">
        <v>36892.041666666664</v>
      </c>
    </row>
    <row r="130" spans="1:23" x14ac:dyDescent="0.25">
      <c r="A130">
        <v>80124</v>
      </c>
      <c r="B130">
        <v>29794</v>
      </c>
      <c r="C130" t="s">
        <v>8348</v>
      </c>
      <c r="D130">
        <v>79265</v>
      </c>
      <c r="E130" t="s">
        <v>2520</v>
      </c>
      <c r="F130" t="s">
        <v>8505</v>
      </c>
      <c r="G130" t="s">
        <v>8505</v>
      </c>
      <c r="H130" t="s">
        <v>7768</v>
      </c>
      <c r="I130" t="s">
        <v>7768</v>
      </c>
      <c r="J130" t="s">
        <v>7768</v>
      </c>
      <c r="K130" t="s">
        <v>2893</v>
      </c>
      <c r="L130" t="s">
        <v>7768</v>
      </c>
      <c r="M130" t="s">
        <v>8504</v>
      </c>
      <c r="N130" t="s">
        <v>8503</v>
      </c>
      <c r="O130" t="s">
        <v>7768</v>
      </c>
      <c r="P130" t="s">
        <v>7768</v>
      </c>
      <c r="Q130" t="s">
        <v>7768</v>
      </c>
      <c r="R130" t="s">
        <v>7768</v>
      </c>
      <c r="S130" t="s">
        <v>7768</v>
      </c>
      <c r="T130" s="18">
        <v>35431.041666666664</v>
      </c>
      <c r="U130" t="s">
        <v>7768</v>
      </c>
      <c r="V130" s="18">
        <v>35745.041666666664</v>
      </c>
      <c r="W130" s="18">
        <v>35431.041666666664</v>
      </c>
    </row>
    <row r="131" spans="1:23" x14ac:dyDescent="0.25">
      <c r="A131">
        <v>80125</v>
      </c>
      <c r="B131">
        <v>29794</v>
      </c>
      <c r="C131" t="s">
        <v>8348</v>
      </c>
      <c r="D131">
        <v>79265</v>
      </c>
      <c r="E131" t="s">
        <v>2520</v>
      </c>
      <c r="F131" t="s">
        <v>2521</v>
      </c>
      <c r="G131" t="s">
        <v>2521</v>
      </c>
      <c r="H131" t="s">
        <v>7768</v>
      </c>
      <c r="I131" t="s">
        <v>7768</v>
      </c>
      <c r="J131" t="s">
        <v>7768</v>
      </c>
      <c r="K131" t="s">
        <v>2511</v>
      </c>
      <c r="L131" t="s">
        <v>7768</v>
      </c>
      <c r="M131" t="s">
        <v>8502</v>
      </c>
      <c r="N131" t="s">
        <v>8501</v>
      </c>
      <c r="O131" t="s">
        <v>7768</v>
      </c>
      <c r="P131" t="s">
        <v>7768</v>
      </c>
      <c r="Q131" t="s">
        <v>7768</v>
      </c>
      <c r="R131" t="s">
        <v>7768</v>
      </c>
      <c r="S131" t="s">
        <v>7768</v>
      </c>
      <c r="T131" s="18">
        <v>35796.041666666664</v>
      </c>
      <c r="U131" t="s">
        <v>7768</v>
      </c>
      <c r="V131" s="18">
        <v>36105.041666666664</v>
      </c>
      <c r="W131" s="18">
        <v>35796.041666666664</v>
      </c>
    </row>
    <row r="132" spans="1:23" x14ac:dyDescent="0.25">
      <c r="A132">
        <v>80144</v>
      </c>
      <c r="B132">
        <v>29794</v>
      </c>
      <c r="C132" t="s">
        <v>8348</v>
      </c>
      <c r="D132">
        <v>74042</v>
      </c>
      <c r="E132" t="s">
        <v>3770</v>
      </c>
      <c r="F132" t="s">
        <v>8500</v>
      </c>
      <c r="G132" t="s">
        <v>8500</v>
      </c>
      <c r="H132" t="s">
        <v>7768</v>
      </c>
      <c r="I132" t="s">
        <v>7768</v>
      </c>
      <c r="J132" t="s">
        <v>7768</v>
      </c>
      <c r="K132" t="s">
        <v>3897</v>
      </c>
      <c r="L132" t="s">
        <v>7768</v>
      </c>
      <c r="M132" t="s">
        <v>7768</v>
      </c>
      <c r="N132" t="s">
        <v>7768</v>
      </c>
      <c r="O132" t="s">
        <v>7768</v>
      </c>
      <c r="P132" t="s">
        <v>7768</v>
      </c>
      <c r="Q132" t="s">
        <v>7768</v>
      </c>
      <c r="R132" t="s">
        <v>7768</v>
      </c>
      <c r="S132" t="s">
        <v>7768</v>
      </c>
      <c r="T132" s="18"/>
      <c r="U132" t="s">
        <v>7768</v>
      </c>
      <c r="V132" s="18"/>
      <c r="W132" s="18">
        <v>34700.041666666664</v>
      </c>
    </row>
    <row r="133" spans="1:23" x14ac:dyDescent="0.25">
      <c r="A133">
        <v>80260</v>
      </c>
      <c r="B133">
        <v>29794</v>
      </c>
      <c r="C133" t="s">
        <v>8348</v>
      </c>
      <c r="D133">
        <v>73839</v>
      </c>
      <c r="E133" t="s">
        <v>194</v>
      </c>
      <c r="F133" t="s">
        <v>8499</v>
      </c>
      <c r="G133" t="s">
        <v>8499</v>
      </c>
      <c r="H133" t="s">
        <v>7768</v>
      </c>
      <c r="I133" t="s">
        <v>7768</v>
      </c>
      <c r="J133" t="s">
        <v>7768</v>
      </c>
      <c r="K133" t="s">
        <v>7768</v>
      </c>
      <c r="L133" t="s">
        <v>7768</v>
      </c>
      <c r="M133" t="s">
        <v>8498</v>
      </c>
      <c r="N133" t="s">
        <v>8497</v>
      </c>
      <c r="O133" t="s">
        <v>7768</v>
      </c>
      <c r="P133" t="s">
        <v>7768</v>
      </c>
      <c r="Q133" t="s">
        <v>7768</v>
      </c>
      <c r="R133" t="s">
        <v>7768</v>
      </c>
      <c r="S133" t="s">
        <v>7768</v>
      </c>
      <c r="T133" s="18">
        <v>37622.041666666664</v>
      </c>
      <c r="U133" t="s">
        <v>7768</v>
      </c>
      <c r="V133" s="18">
        <v>37826.083333333336</v>
      </c>
      <c r="W133" s="18">
        <v>37622.041666666664</v>
      </c>
    </row>
    <row r="134" spans="1:23" x14ac:dyDescent="0.25">
      <c r="A134">
        <v>80261</v>
      </c>
      <c r="B134">
        <v>29794</v>
      </c>
      <c r="C134" t="s">
        <v>8348</v>
      </c>
      <c r="D134">
        <v>73839</v>
      </c>
      <c r="E134" t="s">
        <v>194</v>
      </c>
      <c r="F134" t="s">
        <v>8496</v>
      </c>
      <c r="G134" t="s">
        <v>8496</v>
      </c>
      <c r="H134" t="s">
        <v>7768</v>
      </c>
      <c r="I134" t="s">
        <v>7768</v>
      </c>
      <c r="J134" t="s">
        <v>7768</v>
      </c>
      <c r="K134" t="s">
        <v>7768</v>
      </c>
      <c r="L134" t="s">
        <v>7768</v>
      </c>
      <c r="M134" t="s">
        <v>7768</v>
      </c>
      <c r="N134" t="s">
        <v>8495</v>
      </c>
      <c r="O134" t="s">
        <v>7768</v>
      </c>
      <c r="P134" t="s">
        <v>7768</v>
      </c>
      <c r="Q134" t="s">
        <v>7768</v>
      </c>
      <c r="R134" t="s">
        <v>7768</v>
      </c>
      <c r="S134" t="s">
        <v>7768</v>
      </c>
      <c r="T134" s="18"/>
      <c r="U134" t="s">
        <v>7768</v>
      </c>
      <c r="V134" s="18"/>
      <c r="W134" s="18">
        <v>37622.041666666664</v>
      </c>
    </row>
    <row r="135" spans="1:23" x14ac:dyDescent="0.25">
      <c r="A135">
        <v>80262</v>
      </c>
      <c r="B135">
        <v>29794</v>
      </c>
      <c r="C135" t="s">
        <v>8348</v>
      </c>
      <c r="D135">
        <v>73839</v>
      </c>
      <c r="E135" t="s">
        <v>194</v>
      </c>
      <c r="F135" t="s">
        <v>8494</v>
      </c>
      <c r="G135" t="s">
        <v>8494</v>
      </c>
      <c r="H135" t="s">
        <v>7768</v>
      </c>
      <c r="I135" t="s">
        <v>7768</v>
      </c>
      <c r="J135" t="s">
        <v>7768</v>
      </c>
      <c r="K135" t="s">
        <v>7768</v>
      </c>
      <c r="L135" t="s">
        <v>7768</v>
      </c>
      <c r="M135" t="s">
        <v>7768</v>
      </c>
      <c r="N135" t="s">
        <v>8493</v>
      </c>
      <c r="O135" t="s">
        <v>7768</v>
      </c>
      <c r="P135" t="s">
        <v>7768</v>
      </c>
      <c r="Q135" t="s">
        <v>7768</v>
      </c>
      <c r="R135" t="s">
        <v>7768</v>
      </c>
      <c r="S135" t="s">
        <v>7768</v>
      </c>
      <c r="T135" s="18"/>
      <c r="U135" t="s">
        <v>7768</v>
      </c>
      <c r="V135" s="18"/>
      <c r="W135" s="18">
        <v>37622.041666666664</v>
      </c>
    </row>
    <row r="136" spans="1:23" x14ac:dyDescent="0.25">
      <c r="A136">
        <v>80272</v>
      </c>
      <c r="B136">
        <v>29794</v>
      </c>
      <c r="C136" t="s">
        <v>8348</v>
      </c>
      <c r="D136">
        <v>36275</v>
      </c>
      <c r="E136" t="s">
        <v>1912</v>
      </c>
      <c r="F136" t="s">
        <v>8492</v>
      </c>
      <c r="G136" t="s">
        <v>8492</v>
      </c>
      <c r="H136" t="s">
        <v>7768</v>
      </c>
      <c r="I136" t="s">
        <v>7768</v>
      </c>
      <c r="J136" t="s">
        <v>7768</v>
      </c>
      <c r="K136" t="s">
        <v>6469</v>
      </c>
      <c r="L136" t="s">
        <v>7768</v>
      </c>
      <c r="M136" t="s">
        <v>8491</v>
      </c>
      <c r="N136" t="s">
        <v>8490</v>
      </c>
      <c r="O136" t="s">
        <v>7768</v>
      </c>
      <c r="P136" t="s">
        <v>7768</v>
      </c>
      <c r="Q136" t="s">
        <v>7768</v>
      </c>
      <c r="R136" t="s">
        <v>7768</v>
      </c>
      <c r="S136" t="s">
        <v>7768</v>
      </c>
      <c r="T136" s="18">
        <v>33239.041666666664</v>
      </c>
      <c r="U136" t="s">
        <v>7768</v>
      </c>
      <c r="V136" s="18">
        <v>33648.041666666664</v>
      </c>
      <c r="W136" s="18">
        <v>33239.041666666664</v>
      </c>
    </row>
    <row r="137" spans="1:23" x14ac:dyDescent="0.25">
      <c r="A137">
        <v>80457</v>
      </c>
      <c r="B137">
        <v>29794</v>
      </c>
      <c r="C137" t="s">
        <v>8348</v>
      </c>
      <c r="D137">
        <v>73855</v>
      </c>
      <c r="E137" t="s">
        <v>8481</v>
      </c>
      <c r="F137" t="s">
        <v>5316</v>
      </c>
      <c r="G137" t="s">
        <v>5316</v>
      </c>
      <c r="H137" t="s">
        <v>7768</v>
      </c>
      <c r="I137" t="s">
        <v>7768</v>
      </c>
      <c r="J137" t="s">
        <v>7768</v>
      </c>
      <c r="K137" t="s">
        <v>5306</v>
      </c>
      <c r="L137" t="s">
        <v>7768</v>
      </c>
      <c r="M137" t="s">
        <v>8489</v>
      </c>
      <c r="N137" t="s">
        <v>8488</v>
      </c>
      <c r="O137" t="s">
        <v>7768</v>
      </c>
      <c r="P137" t="s">
        <v>7768</v>
      </c>
      <c r="Q137" t="s">
        <v>7768</v>
      </c>
      <c r="R137" t="s">
        <v>7768</v>
      </c>
      <c r="S137" t="s">
        <v>7768</v>
      </c>
      <c r="T137" s="18">
        <v>33970.041666666664</v>
      </c>
      <c r="U137" t="s">
        <v>7768</v>
      </c>
      <c r="V137" s="18">
        <v>34319.041666666664</v>
      </c>
      <c r="W137" s="18">
        <v>33970.041666666664</v>
      </c>
    </row>
    <row r="138" spans="1:23" x14ac:dyDescent="0.25">
      <c r="A138">
        <v>80497</v>
      </c>
      <c r="B138">
        <v>29794</v>
      </c>
      <c r="C138" t="s">
        <v>8348</v>
      </c>
      <c r="D138">
        <v>79265</v>
      </c>
      <c r="E138" t="s">
        <v>2520</v>
      </c>
      <c r="F138" t="s">
        <v>8487</v>
      </c>
      <c r="G138" t="s">
        <v>8487</v>
      </c>
      <c r="H138" t="s">
        <v>7768</v>
      </c>
      <c r="I138" t="s">
        <v>7768</v>
      </c>
      <c r="J138" t="s">
        <v>7768</v>
      </c>
      <c r="K138" t="s">
        <v>4413</v>
      </c>
      <c r="L138" t="s">
        <v>7768</v>
      </c>
      <c r="M138" t="s">
        <v>8486</v>
      </c>
      <c r="N138" t="s">
        <v>8485</v>
      </c>
      <c r="O138" t="s">
        <v>7768</v>
      </c>
      <c r="P138" t="s">
        <v>7768</v>
      </c>
      <c r="Q138" t="s">
        <v>7768</v>
      </c>
      <c r="R138" t="s">
        <v>7768</v>
      </c>
      <c r="S138" t="s">
        <v>7768</v>
      </c>
      <c r="T138" s="18">
        <v>34700.041666666664</v>
      </c>
      <c r="U138" t="s">
        <v>7768</v>
      </c>
      <c r="V138" s="18">
        <v>34969.083333333336</v>
      </c>
      <c r="W138" s="18">
        <v>34700.041666666664</v>
      </c>
    </row>
    <row r="139" spans="1:23" x14ac:dyDescent="0.25">
      <c r="A139">
        <v>80498</v>
      </c>
      <c r="B139">
        <v>29794</v>
      </c>
      <c r="C139" t="s">
        <v>8348</v>
      </c>
      <c r="D139">
        <v>79265</v>
      </c>
      <c r="E139" t="s">
        <v>2520</v>
      </c>
      <c r="F139" t="s">
        <v>3201</v>
      </c>
      <c r="G139" t="s">
        <v>3201</v>
      </c>
      <c r="H139" t="s">
        <v>7768</v>
      </c>
      <c r="I139" t="s">
        <v>7768</v>
      </c>
      <c r="J139" t="s">
        <v>7768</v>
      </c>
      <c r="K139" t="s">
        <v>8484</v>
      </c>
      <c r="L139" t="s">
        <v>7768</v>
      </c>
      <c r="M139" t="s">
        <v>8483</v>
      </c>
      <c r="N139" t="s">
        <v>8482</v>
      </c>
      <c r="O139" t="s">
        <v>7768</v>
      </c>
      <c r="P139" t="s">
        <v>7768</v>
      </c>
      <c r="Q139" t="s">
        <v>7768</v>
      </c>
      <c r="R139" t="s">
        <v>7768</v>
      </c>
      <c r="S139" t="s">
        <v>7768</v>
      </c>
      <c r="T139" s="18">
        <v>35065.041666666664</v>
      </c>
      <c r="U139" t="s">
        <v>7768</v>
      </c>
      <c r="V139" s="18">
        <v>35332.083333333336</v>
      </c>
      <c r="W139" s="18">
        <v>35065.041666666664</v>
      </c>
    </row>
    <row r="140" spans="1:23" x14ac:dyDescent="0.25">
      <c r="A140">
        <v>80603</v>
      </c>
      <c r="B140">
        <v>29794</v>
      </c>
      <c r="C140" t="s">
        <v>8348</v>
      </c>
      <c r="D140">
        <v>73855</v>
      </c>
      <c r="E140" t="s">
        <v>8481</v>
      </c>
      <c r="F140" t="s">
        <v>8480</v>
      </c>
      <c r="G140" t="s">
        <v>8480</v>
      </c>
      <c r="H140" t="s">
        <v>7768</v>
      </c>
      <c r="I140" t="s">
        <v>7768</v>
      </c>
      <c r="J140" t="s">
        <v>7768</v>
      </c>
      <c r="K140" t="s">
        <v>4822</v>
      </c>
      <c r="L140" t="s">
        <v>7768</v>
      </c>
      <c r="M140" t="s">
        <v>8479</v>
      </c>
      <c r="N140" t="s">
        <v>8478</v>
      </c>
      <c r="O140" t="s">
        <v>7768</v>
      </c>
      <c r="P140" t="s">
        <v>7768</v>
      </c>
      <c r="Q140" t="s">
        <v>7768</v>
      </c>
      <c r="R140" t="s">
        <v>7768</v>
      </c>
      <c r="S140" t="s">
        <v>7768</v>
      </c>
      <c r="T140" s="18">
        <v>34335.041666666664</v>
      </c>
      <c r="U140" t="s">
        <v>7768</v>
      </c>
      <c r="V140" s="18">
        <v>34676.041666666664</v>
      </c>
      <c r="W140" s="18">
        <v>34335.041666666664</v>
      </c>
    </row>
    <row r="141" spans="1:23" x14ac:dyDescent="0.25">
      <c r="A141">
        <v>80624</v>
      </c>
      <c r="B141">
        <v>29794</v>
      </c>
      <c r="C141" t="s">
        <v>8348</v>
      </c>
      <c r="D141">
        <v>74557</v>
      </c>
      <c r="E141" t="s">
        <v>2052</v>
      </c>
      <c r="F141" t="s">
        <v>2053</v>
      </c>
      <c r="G141" t="s">
        <v>2053</v>
      </c>
      <c r="H141" t="s">
        <v>7768</v>
      </c>
      <c r="I141" t="s">
        <v>7768</v>
      </c>
      <c r="J141" t="s">
        <v>7768</v>
      </c>
      <c r="K141" t="s">
        <v>8477</v>
      </c>
      <c r="L141" t="s">
        <v>7768</v>
      </c>
      <c r="M141" t="s">
        <v>8476</v>
      </c>
      <c r="N141" t="s">
        <v>8475</v>
      </c>
      <c r="O141" t="s">
        <v>7768</v>
      </c>
      <c r="P141" t="s">
        <v>7768</v>
      </c>
      <c r="Q141" t="s">
        <v>7768</v>
      </c>
      <c r="R141" t="s">
        <v>7768</v>
      </c>
      <c r="S141" t="s">
        <v>7768</v>
      </c>
      <c r="T141" s="18">
        <v>36161.041666666664</v>
      </c>
      <c r="U141" t="s">
        <v>7768</v>
      </c>
      <c r="V141" s="18"/>
      <c r="W141" s="18">
        <v>36518.041666666664</v>
      </c>
    </row>
    <row r="142" spans="1:23" x14ac:dyDescent="0.25">
      <c r="A142">
        <v>80669</v>
      </c>
      <c r="B142">
        <v>29794</v>
      </c>
      <c r="C142" t="s">
        <v>8348</v>
      </c>
      <c r="D142">
        <v>80668</v>
      </c>
      <c r="E142" t="s">
        <v>142</v>
      </c>
      <c r="F142" t="s">
        <v>8474</v>
      </c>
      <c r="G142" t="s">
        <v>8474</v>
      </c>
      <c r="H142" t="s">
        <v>7768</v>
      </c>
      <c r="I142" t="s">
        <v>7768</v>
      </c>
      <c r="J142" t="s">
        <v>7768</v>
      </c>
      <c r="K142" t="s">
        <v>7768</v>
      </c>
      <c r="L142" t="s">
        <v>7768</v>
      </c>
      <c r="M142" t="s">
        <v>7768</v>
      </c>
      <c r="N142" t="s">
        <v>8473</v>
      </c>
      <c r="O142" t="s">
        <v>7768</v>
      </c>
      <c r="P142" t="s">
        <v>7768</v>
      </c>
      <c r="Q142" t="s">
        <v>7768</v>
      </c>
      <c r="R142" t="s">
        <v>7768</v>
      </c>
      <c r="S142" t="s">
        <v>7768</v>
      </c>
      <c r="T142" s="18"/>
      <c r="U142" t="s">
        <v>7768</v>
      </c>
      <c r="V142" s="18"/>
      <c r="W142" s="18">
        <v>37987.041666666664</v>
      </c>
    </row>
    <row r="143" spans="1:23" x14ac:dyDescent="0.25">
      <c r="A143">
        <v>80698</v>
      </c>
      <c r="B143">
        <v>29794</v>
      </c>
      <c r="C143" t="s">
        <v>8348</v>
      </c>
      <c r="D143">
        <v>73996</v>
      </c>
      <c r="E143" t="s">
        <v>3827</v>
      </c>
      <c r="F143" t="s">
        <v>3828</v>
      </c>
      <c r="G143" t="s">
        <v>3828</v>
      </c>
      <c r="H143" t="s">
        <v>7768</v>
      </c>
      <c r="I143" t="s">
        <v>7768</v>
      </c>
      <c r="J143" t="s">
        <v>7768</v>
      </c>
      <c r="K143" t="s">
        <v>3822</v>
      </c>
      <c r="L143" t="s">
        <v>7768</v>
      </c>
      <c r="M143" t="s">
        <v>8472</v>
      </c>
      <c r="N143" t="s">
        <v>8471</v>
      </c>
      <c r="O143" t="s">
        <v>7768</v>
      </c>
      <c r="P143" t="s">
        <v>7768</v>
      </c>
      <c r="Q143" t="s">
        <v>7768</v>
      </c>
      <c r="R143" t="s">
        <v>7768</v>
      </c>
      <c r="S143" t="s">
        <v>7768</v>
      </c>
      <c r="T143" s="18">
        <v>35400.041666666664</v>
      </c>
      <c r="U143" t="s">
        <v>7768</v>
      </c>
      <c r="V143" s="18"/>
      <c r="W143" s="18">
        <v>35400.041666666664</v>
      </c>
    </row>
    <row r="144" spans="1:23" x14ac:dyDescent="0.25">
      <c r="A144">
        <v>80805</v>
      </c>
      <c r="B144">
        <v>29794</v>
      </c>
      <c r="C144" t="s">
        <v>8348</v>
      </c>
      <c r="D144">
        <v>36275</v>
      </c>
      <c r="E144" t="s">
        <v>1912</v>
      </c>
      <c r="F144" t="s">
        <v>5684</v>
      </c>
      <c r="G144" t="s">
        <v>5684</v>
      </c>
      <c r="H144" t="s">
        <v>7768</v>
      </c>
      <c r="I144" t="s">
        <v>7768</v>
      </c>
      <c r="J144" t="s">
        <v>7768</v>
      </c>
      <c r="K144" t="s">
        <v>5674</v>
      </c>
      <c r="L144" t="s">
        <v>7768</v>
      </c>
      <c r="M144" t="s">
        <v>8470</v>
      </c>
      <c r="N144" t="s">
        <v>8469</v>
      </c>
      <c r="O144" t="s">
        <v>7768</v>
      </c>
      <c r="P144" t="s">
        <v>7768</v>
      </c>
      <c r="Q144" t="s">
        <v>7768</v>
      </c>
      <c r="R144" t="s">
        <v>7768</v>
      </c>
      <c r="S144" t="s">
        <v>7768</v>
      </c>
      <c r="T144" s="18">
        <v>33604.041666666664</v>
      </c>
      <c r="U144" t="s">
        <v>7768</v>
      </c>
      <c r="V144" s="18">
        <v>33952.041666666664</v>
      </c>
      <c r="W144" s="18">
        <v>33604.041666666664</v>
      </c>
    </row>
    <row r="145" spans="1:23" x14ac:dyDescent="0.25">
      <c r="A145">
        <v>80806</v>
      </c>
      <c r="B145">
        <v>29794</v>
      </c>
      <c r="C145" t="s">
        <v>8348</v>
      </c>
      <c r="D145">
        <v>36275</v>
      </c>
      <c r="E145" t="s">
        <v>1912</v>
      </c>
      <c r="F145" t="s">
        <v>8468</v>
      </c>
      <c r="G145" t="s">
        <v>8468</v>
      </c>
      <c r="H145" t="s">
        <v>7768</v>
      </c>
      <c r="I145" t="s">
        <v>7768</v>
      </c>
      <c r="J145" t="s">
        <v>7768</v>
      </c>
      <c r="K145" t="s">
        <v>8467</v>
      </c>
      <c r="L145" t="s">
        <v>7768</v>
      </c>
      <c r="M145" t="s">
        <v>8466</v>
      </c>
      <c r="N145" t="s">
        <v>8465</v>
      </c>
      <c r="O145" t="s">
        <v>7768</v>
      </c>
      <c r="P145" t="s">
        <v>7768</v>
      </c>
      <c r="Q145" t="s">
        <v>7768</v>
      </c>
      <c r="R145" t="s">
        <v>7768</v>
      </c>
      <c r="S145" t="s">
        <v>7768</v>
      </c>
      <c r="T145" s="18">
        <v>34335.041666666664</v>
      </c>
      <c r="U145" t="s">
        <v>7768</v>
      </c>
      <c r="V145" s="18">
        <v>34443.083333333336</v>
      </c>
      <c r="W145" s="18">
        <v>34335.041666666664</v>
      </c>
    </row>
    <row r="146" spans="1:23" x14ac:dyDescent="0.25">
      <c r="A146">
        <v>80807</v>
      </c>
      <c r="B146">
        <v>29794</v>
      </c>
      <c r="C146" t="s">
        <v>8348</v>
      </c>
      <c r="D146">
        <v>36275</v>
      </c>
      <c r="E146" t="s">
        <v>1912</v>
      </c>
      <c r="F146" t="s">
        <v>8464</v>
      </c>
      <c r="G146" t="s">
        <v>8464</v>
      </c>
      <c r="H146" t="s">
        <v>7768</v>
      </c>
      <c r="I146" t="s">
        <v>7768</v>
      </c>
      <c r="J146" t="s">
        <v>7768</v>
      </c>
      <c r="K146" t="s">
        <v>8463</v>
      </c>
      <c r="L146" t="s">
        <v>7768</v>
      </c>
      <c r="M146" t="s">
        <v>8462</v>
      </c>
      <c r="N146" t="s">
        <v>8461</v>
      </c>
      <c r="O146" t="s">
        <v>7768</v>
      </c>
      <c r="P146" t="s">
        <v>7768</v>
      </c>
      <c r="Q146" t="s">
        <v>7768</v>
      </c>
      <c r="R146" t="s">
        <v>7768</v>
      </c>
      <c r="S146" t="s">
        <v>7768</v>
      </c>
      <c r="T146" s="18">
        <v>34700.041666666664</v>
      </c>
      <c r="U146" t="s">
        <v>7768</v>
      </c>
      <c r="V146" s="18">
        <v>34764.041666666664</v>
      </c>
      <c r="W146" s="18">
        <v>34700.041666666664</v>
      </c>
    </row>
    <row r="147" spans="1:23" x14ac:dyDescent="0.25">
      <c r="A147">
        <v>80911</v>
      </c>
      <c r="B147">
        <v>29794</v>
      </c>
      <c r="C147" t="s">
        <v>8348</v>
      </c>
      <c r="D147">
        <v>74042</v>
      </c>
      <c r="E147" t="s">
        <v>3770</v>
      </c>
      <c r="F147" t="s">
        <v>8460</v>
      </c>
      <c r="G147" t="s">
        <v>8460</v>
      </c>
      <c r="H147" t="s">
        <v>7768</v>
      </c>
      <c r="I147" t="s">
        <v>7768</v>
      </c>
      <c r="J147" t="s">
        <v>7768</v>
      </c>
      <c r="K147" t="s">
        <v>7768</v>
      </c>
      <c r="L147" t="s">
        <v>7768</v>
      </c>
      <c r="M147" t="s">
        <v>7768</v>
      </c>
      <c r="N147" t="s">
        <v>8459</v>
      </c>
      <c r="O147" t="s">
        <v>7768</v>
      </c>
      <c r="P147" t="s">
        <v>7768</v>
      </c>
      <c r="Q147" t="s">
        <v>7768</v>
      </c>
      <c r="R147" t="s">
        <v>7768</v>
      </c>
      <c r="S147" t="s">
        <v>7768</v>
      </c>
      <c r="T147" s="18"/>
      <c r="U147" t="s">
        <v>7768</v>
      </c>
      <c r="V147" s="18"/>
      <c r="W147" s="18">
        <v>34700.041666666664</v>
      </c>
    </row>
    <row r="148" spans="1:23" x14ac:dyDescent="0.25">
      <c r="A148">
        <v>81007</v>
      </c>
      <c r="B148">
        <v>29794</v>
      </c>
      <c r="C148" t="s">
        <v>8348</v>
      </c>
      <c r="E148" t="s">
        <v>7768</v>
      </c>
      <c r="F148" t="s">
        <v>4546</v>
      </c>
      <c r="G148" t="s">
        <v>4546</v>
      </c>
      <c r="H148" t="s">
        <v>7768</v>
      </c>
      <c r="I148" t="s">
        <v>7768</v>
      </c>
      <c r="J148" t="s">
        <v>7768</v>
      </c>
      <c r="K148" t="s">
        <v>4540</v>
      </c>
      <c r="L148" t="s">
        <v>7768</v>
      </c>
      <c r="M148" t="s">
        <v>8458</v>
      </c>
      <c r="N148" t="s">
        <v>8457</v>
      </c>
      <c r="O148" t="s">
        <v>7768</v>
      </c>
      <c r="P148" t="s">
        <v>7768</v>
      </c>
      <c r="Q148" t="s">
        <v>7768</v>
      </c>
      <c r="R148" t="s">
        <v>7768</v>
      </c>
      <c r="S148" t="s">
        <v>7768</v>
      </c>
      <c r="T148" s="18">
        <v>35065.041666666664</v>
      </c>
      <c r="U148" t="s">
        <v>7768</v>
      </c>
      <c r="V148" s="18">
        <v>35252.083333333336</v>
      </c>
      <c r="W148" s="18">
        <v>35065.041666666664</v>
      </c>
    </row>
    <row r="149" spans="1:23" x14ac:dyDescent="0.25">
      <c r="A149">
        <v>81129</v>
      </c>
      <c r="B149">
        <v>29794</v>
      </c>
      <c r="C149" t="s">
        <v>8348</v>
      </c>
      <c r="D149">
        <v>36275</v>
      </c>
      <c r="E149" t="s">
        <v>1912</v>
      </c>
      <c r="F149" t="s">
        <v>2958</v>
      </c>
      <c r="G149" t="s">
        <v>2958</v>
      </c>
      <c r="H149" t="s">
        <v>7768</v>
      </c>
      <c r="I149" t="s">
        <v>7768</v>
      </c>
      <c r="J149" t="s">
        <v>7768</v>
      </c>
      <c r="K149" t="s">
        <v>2952</v>
      </c>
      <c r="L149" t="s">
        <v>7768</v>
      </c>
      <c r="M149" t="s">
        <v>8456</v>
      </c>
      <c r="N149" t="s">
        <v>8455</v>
      </c>
      <c r="O149" t="s">
        <v>7768</v>
      </c>
      <c r="P149" t="s">
        <v>7768</v>
      </c>
      <c r="Q149" t="s">
        <v>7768</v>
      </c>
      <c r="R149" t="s">
        <v>7768</v>
      </c>
      <c r="S149" t="s">
        <v>7768</v>
      </c>
      <c r="T149" s="18">
        <v>35667.083333333336</v>
      </c>
      <c r="U149" t="s">
        <v>7768</v>
      </c>
      <c r="V149" s="18"/>
      <c r="W149" s="18">
        <v>35431.041666666664</v>
      </c>
    </row>
    <row r="150" spans="1:23" x14ac:dyDescent="0.25">
      <c r="A150">
        <v>81140</v>
      </c>
      <c r="B150">
        <v>29794</v>
      </c>
      <c r="C150" t="s">
        <v>8348</v>
      </c>
      <c r="D150">
        <v>36275</v>
      </c>
      <c r="E150" t="s">
        <v>1912</v>
      </c>
      <c r="F150" t="s">
        <v>8454</v>
      </c>
      <c r="G150" t="s">
        <v>8454</v>
      </c>
      <c r="H150" t="s">
        <v>7768</v>
      </c>
      <c r="I150" t="s">
        <v>7768</v>
      </c>
      <c r="J150" t="s">
        <v>7768</v>
      </c>
      <c r="K150" t="s">
        <v>5598</v>
      </c>
      <c r="L150" t="s">
        <v>7768</v>
      </c>
      <c r="M150" t="s">
        <v>8453</v>
      </c>
      <c r="N150" t="s">
        <v>8452</v>
      </c>
      <c r="O150" t="s">
        <v>7768</v>
      </c>
      <c r="P150" t="s">
        <v>7768</v>
      </c>
      <c r="Q150" t="s">
        <v>7768</v>
      </c>
      <c r="R150" t="s">
        <v>7768</v>
      </c>
      <c r="S150" t="s">
        <v>7768</v>
      </c>
      <c r="T150" s="18">
        <v>34335.041666666664</v>
      </c>
      <c r="U150" t="s">
        <v>7768</v>
      </c>
      <c r="V150" s="18">
        <v>34571.083333333336</v>
      </c>
      <c r="W150" s="18">
        <v>34335.041666666664</v>
      </c>
    </row>
    <row r="151" spans="1:23" x14ac:dyDescent="0.25">
      <c r="A151">
        <v>81141</v>
      </c>
      <c r="B151">
        <v>29794</v>
      </c>
      <c r="C151" t="s">
        <v>8348</v>
      </c>
      <c r="D151">
        <v>36275</v>
      </c>
      <c r="E151" t="s">
        <v>1912</v>
      </c>
      <c r="F151" t="s">
        <v>8451</v>
      </c>
      <c r="G151" t="s">
        <v>8451</v>
      </c>
      <c r="H151" t="s">
        <v>7768</v>
      </c>
      <c r="I151" t="s">
        <v>7768</v>
      </c>
      <c r="J151" t="s">
        <v>7768</v>
      </c>
      <c r="K151" t="s">
        <v>4587</v>
      </c>
      <c r="L151" t="s">
        <v>7768</v>
      </c>
      <c r="M151" t="s">
        <v>8450</v>
      </c>
      <c r="N151" t="s">
        <v>8449</v>
      </c>
      <c r="O151" t="s">
        <v>7768</v>
      </c>
      <c r="P151" t="s">
        <v>7768</v>
      </c>
      <c r="Q151" t="s">
        <v>7768</v>
      </c>
      <c r="R151" t="s">
        <v>7768</v>
      </c>
      <c r="S151" t="s">
        <v>7768</v>
      </c>
      <c r="T151" s="18">
        <v>34700.041666666664</v>
      </c>
      <c r="U151" t="s">
        <v>7768</v>
      </c>
      <c r="V151" s="18">
        <v>34905.083333333336</v>
      </c>
      <c r="W151" s="18">
        <v>34700.041666666664</v>
      </c>
    </row>
    <row r="152" spans="1:23" x14ac:dyDescent="0.25">
      <c r="A152">
        <v>81142</v>
      </c>
      <c r="B152">
        <v>29794</v>
      </c>
      <c r="C152" t="s">
        <v>8348</v>
      </c>
      <c r="D152">
        <v>36275</v>
      </c>
      <c r="E152" t="s">
        <v>1912</v>
      </c>
      <c r="F152" t="s">
        <v>8448</v>
      </c>
      <c r="G152" t="s">
        <v>8448</v>
      </c>
      <c r="H152" t="s">
        <v>7768</v>
      </c>
      <c r="I152" t="s">
        <v>7768</v>
      </c>
      <c r="J152" t="s">
        <v>7768</v>
      </c>
      <c r="K152" t="s">
        <v>3693</v>
      </c>
      <c r="L152" t="s">
        <v>7768</v>
      </c>
      <c r="M152" t="s">
        <v>8447</v>
      </c>
      <c r="N152" t="s">
        <v>8446</v>
      </c>
      <c r="O152" t="s">
        <v>7768</v>
      </c>
      <c r="P152" t="s">
        <v>7768</v>
      </c>
      <c r="Q152" t="s">
        <v>7768</v>
      </c>
      <c r="R152" t="s">
        <v>7768</v>
      </c>
      <c r="S152" t="s">
        <v>7768</v>
      </c>
      <c r="T152" s="18">
        <v>35065.041666666664</v>
      </c>
      <c r="U152" t="s">
        <v>7768</v>
      </c>
      <c r="V152" s="18">
        <v>35276.083333333336</v>
      </c>
      <c r="W152" s="18">
        <v>35065.041666666664</v>
      </c>
    </row>
    <row r="153" spans="1:23" x14ac:dyDescent="0.25">
      <c r="A153">
        <v>81143</v>
      </c>
      <c r="B153">
        <v>29794</v>
      </c>
      <c r="C153" t="s">
        <v>8348</v>
      </c>
      <c r="D153">
        <v>36275</v>
      </c>
      <c r="E153" t="s">
        <v>1912</v>
      </c>
      <c r="F153" t="s">
        <v>8445</v>
      </c>
      <c r="G153" t="s">
        <v>8445</v>
      </c>
      <c r="H153" t="s">
        <v>7768</v>
      </c>
      <c r="I153" t="s">
        <v>7768</v>
      </c>
      <c r="J153" t="s">
        <v>7768</v>
      </c>
      <c r="K153" t="s">
        <v>3087</v>
      </c>
      <c r="L153" t="s">
        <v>7768</v>
      </c>
      <c r="M153" t="s">
        <v>8444</v>
      </c>
      <c r="N153" t="s">
        <v>8443</v>
      </c>
      <c r="O153" t="s">
        <v>7768</v>
      </c>
      <c r="P153" t="s">
        <v>7768</v>
      </c>
      <c r="Q153" t="s">
        <v>7768</v>
      </c>
      <c r="R153" t="s">
        <v>7768</v>
      </c>
      <c r="S153" t="s">
        <v>7768</v>
      </c>
      <c r="T153" s="18">
        <v>35431.041666666664</v>
      </c>
      <c r="U153" t="s">
        <v>7768</v>
      </c>
      <c r="V153" s="18">
        <v>35639.083333333336</v>
      </c>
      <c r="W153" s="18">
        <v>35431.041666666664</v>
      </c>
    </row>
    <row r="154" spans="1:23" x14ac:dyDescent="0.25">
      <c r="A154">
        <v>81144</v>
      </c>
      <c r="B154">
        <v>29794</v>
      </c>
      <c r="C154" t="s">
        <v>8348</v>
      </c>
      <c r="D154">
        <v>73839</v>
      </c>
      <c r="E154" t="s">
        <v>194</v>
      </c>
      <c r="F154" t="s">
        <v>8442</v>
      </c>
      <c r="G154" t="s">
        <v>8442</v>
      </c>
      <c r="H154" t="s">
        <v>7768</v>
      </c>
      <c r="I154" t="s">
        <v>7768</v>
      </c>
      <c r="J154" t="s">
        <v>7768</v>
      </c>
      <c r="K154" t="s">
        <v>7768</v>
      </c>
      <c r="L154" t="s">
        <v>7768</v>
      </c>
      <c r="M154" t="s">
        <v>7768</v>
      </c>
      <c r="N154" t="s">
        <v>8440</v>
      </c>
      <c r="O154" t="s">
        <v>7768</v>
      </c>
      <c r="P154" t="s">
        <v>7768</v>
      </c>
      <c r="Q154" t="s">
        <v>7768</v>
      </c>
      <c r="R154" t="s">
        <v>7768</v>
      </c>
      <c r="S154" t="s">
        <v>7768</v>
      </c>
      <c r="T154" s="18"/>
      <c r="U154" t="s">
        <v>7768</v>
      </c>
      <c r="V154" s="18"/>
      <c r="W154" s="18">
        <v>35431.041666666664</v>
      </c>
    </row>
    <row r="155" spans="1:23" x14ac:dyDescent="0.25">
      <c r="A155">
        <v>81145</v>
      </c>
      <c r="B155">
        <v>29794</v>
      </c>
      <c r="C155" t="s">
        <v>8348</v>
      </c>
      <c r="D155">
        <v>73839</v>
      </c>
      <c r="E155" t="s">
        <v>194</v>
      </c>
      <c r="F155" t="s">
        <v>8441</v>
      </c>
      <c r="G155" t="s">
        <v>8441</v>
      </c>
      <c r="H155" t="s">
        <v>7768</v>
      </c>
      <c r="I155" t="s">
        <v>7768</v>
      </c>
      <c r="J155" t="s">
        <v>7768</v>
      </c>
      <c r="K155" t="s">
        <v>7768</v>
      </c>
      <c r="L155" t="s">
        <v>7768</v>
      </c>
      <c r="M155" t="s">
        <v>7768</v>
      </c>
      <c r="N155" t="s">
        <v>8440</v>
      </c>
      <c r="O155" t="s">
        <v>7768</v>
      </c>
      <c r="P155" t="s">
        <v>7768</v>
      </c>
      <c r="Q155" t="s">
        <v>7768</v>
      </c>
      <c r="R155" t="s">
        <v>7768</v>
      </c>
      <c r="S155" t="s">
        <v>7768</v>
      </c>
      <c r="T155" s="18"/>
      <c r="U155" t="s">
        <v>7768</v>
      </c>
      <c r="V155" s="18"/>
      <c r="W155" s="18">
        <v>35431.041666666664</v>
      </c>
    </row>
    <row r="156" spans="1:23" x14ac:dyDescent="0.25">
      <c r="A156">
        <v>81148</v>
      </c>
      <c r="B156">
        <v>29794</v>
      </c>
      <c r="C156" t="s">
        <v>8348</v>
      </c>
      <c r="D156">
        <v>36275</v>
      </c>
      <c r="E156" t="s">
        <v>1912</v>
      </c>
      <c r="F156" t="s">
        <v>8439</v>
      </c>
      <c r="G156" t="s">
        <v>8439</v>
      </c>
      <c r="H156" t="s">
        <v>7768</v>
      </c>
      <c r="I156" t="s">
        <v>7768</v>
      </c>
      <c r="J156" t="s">
        <v>7768</v>
      </c>
      <c r="K156" t="s">
        <v>2307</v>
      </c>
      <c r="L156" t="s">
        <v>7768</v>
      </c>
      <c r="M156" t="s">
        <v>8438</v>
      </c>
      <c r="N156" t="s">
        <v>8437</v>
      </c>
      <c r="O156" t="s">
        <v>7768</v>
      </c>
      <c r="P156" t="s">
        <v>7768</v>
      </c>
      <c r="Q156" t="s">
        <v>7768</v>
      </c>
      <c r="R156" t="s">
        <v>7768</v>
      </c>
      <c r="S156" t="s">
        <v>7768</v>
      </c>
      <c r="T156" s="18">
        <v>36161.041666666664</v>
      </c>
      <c r="U156" t="s">
        <v>7768</v>
      </c>
      <c r="V156" s="18">
        <v>36335.083333333336</v>
      </c>
      <c r="W156" s="18">
        <v>36161.041666666664</v>
      </c>
    </row>
    <row r="157" spans="1:23" x14ac:dyDescent="0.25">
      <c r="A157">
        <v>81149</v>
      </c>
      <c r="B157">
        <v>29794</v>
      </c>
      <c r="C157" t="s">
        <v>8348</v>
      </c>
      <c r="D157">
        <v>73839</v>
      </c>
      <c r="E157" t="s">
        <v>194</v>
      </c>
      <c r="F157" t="s">
        <v>8436</v>
      </c>
      <c r="G157" t="s">
        <v>8436</v>
      </c>
      <c r="H157" t="s">
        <v>7768</v>
      </c>
      <c r="I157" t="s">
        <v>7768</v>
      </c>
      <c r="J157" t="s">
        <v>7768</v>
      </c>
      <c r="K157" t="s">
        <v>7768</v>
      </c>
      <c r="L157" t="s">
        <v>7768</v>
      </c>
      <c r="M157" t="s">
        <v>7768</v>
      </c>
      <c r="N157" t="s">
        <v>8435</v>
      </c>
      <c r="O157" t="s">
        <v>7768</v>
      </c>
      <c r="P157" t="s">
        <v>7768</v>
      </c>
      <c r="Q157" t="s">
        <v>7768</v>
      </c>
      <c r="R157" t="s">
        <v>7768</v>
      </c>
      <c r="S157" t="s">
        <v>7768</v>
      </c>
      <c r="T157" s="18"/>
      <c r="U157" t="s">
        <v>7768</v>
      </c>
      <c r="V157" s="18"/>
      <c r="W157" s="18">
        <v>37257.041666666664</v>
      </c>
    </row>
    <row r="158" spans="1:23" x14ac:dyDescent="0.25">
      <c r="A158">
        <v>81150</v>
      </c>
      <c r="B158">
        <v>29794</v>
      </c>
      <c r="C158" t="s">
        <v>8348</v>
      </c>
      <c r="D158">
        <v>73839</v>
      </c>
      <c r="E158" t="s">
        <v>194</v>
      </c>
      <c r="F158" t="s">
        <v>8434</v>
      </c>
      <c r="G158" t="s">
        <v>8434</v>
      </c>
      <c r="H158" t="s">
        <v>7768</v>
      </c>
      <c r="I158" t="s">
        <v>7768</v>
      </c>
      <c r="J158" t="s">
        <v>7768</v>
      </c>
      <c r="K158" t="s">
        <v>7768</v>
      </c>
      <c r="L158" t="s">
        <v>7768</v>
      </c>
      <c r="M158" t="s">
        <v>7768</v>
      </c>
      <c r="N158" t="s">
        <v>8433</v>
      </c>
      <c r="O158" t="s">
        <v>7768</v>
      </c>
      <c r="P158" t="s">
        <v>7768</v>
      </c>
      <c r="Q158" t="s">
        <v>7768</v>
      </c>
      <c r="R158" t="s">
        <v>7768</v>
      </c>
      <c r="S158" t="s">
        <v>7768</v>
      </c>
      <c r="T158" s="18"/>
      <c r="U158" t="s">
        <v>7768</v>
      </c>
      <c r="V158" s="18"/>
      <c r="W158" s="18">
        <v>37987.041666666664</v>
      </c>
    </row>
    <row r="159" spans="1:23" x14ac:dyDescent="0.25">
      <c r="A159">
        <v>81151</v>
      </c>
      <c r="B159">
        <v>29794</v>
      </c>
      <c r="C159" t="s">
        <v>8348</v>
      </c>
      <c r="D159">
        <v>73839</v>
      </c>
      <c r="E159" t="s">
        <v>194</v>
      </c>
      <c r="F159" t="s">
        <v>8432</v>
      </c>
      <c r="G159" t="s">
        <v>8432</v>
      </c>
      <c r="H159" t="s">
        <v>7768</v>
      </c>
      <c r="I159" t="s">
        <v>7768</v>
      </c>
      <c r="J159" t="s">
        <v>7768</v>
      </c>
      <c r="K159" t="s">
        <v>7768</v>
      </c>
      <c r="L159" t="s">
        <v>7768</v>
      </c>
      <c r="M159" t="s">
        <v>7768</v>
      </c>
      <c r="N159" t="s">
        <v>8431</v>
      </c>
      <c r="O159" t="s">
        <v>7768</v>
      </c>
      <c r="P159" t="s">
        <v>7768</v>
      </c>
      <c r="Q159" t="s">
        <v>7768</v>
      </c>
      <c r="R159" t="s">
        <v>7768</v>
      </c>
      <c r="S159" t="s">
        <v>7768</v>
      </c>
      <c r="T159" s="18"/>
      <c r="U159" t="s">
        <v>7768</v>
      </c>
      <c r="V159" s="18"/>
      <c r="W159" s="18">
        <v>38353.041666666664</v>
      </c>
    </row>
    <row r="160" spans="1:23" x14ac:dyDescent="0.25">
      <c r="A160">
        <v>81152</v>
      </c>
      <c r="B160">
        <v>29794</v>
      </c>
      <c r="C160" t="s">
        <v>8348</v>
      </c>
      <c r="D160">
        <v>36275</v>
      </c>
      <c r="E160" t="s">
        <v>1912</v>
      </c>
      <c r="F160" t="s">
        <v>8430</v>
      </c>
      <c r="G160" t="s">
        <v>8430</v>
      </c>
      <c r="H160" t="s">
        <v>7768</v>
      </c>
      <c r="I160" t="s">
        <v>7768</v>
      </c>
      <c r="J160" t="s">
        <v>7768</v>
      </c>
      <c r="K160" t="s">
        <v>1901</v>
      </c>
      <c r="L160" t="s">
        <v>7768</v>
      </c>
      <c r="M160" t="s">
        <v>8429</v>
      </c>
      <c r="N160" t="s">
        <v>8428</v>
      </c>
      <c r="O160" t="s">
        <v>7768</v>
      </c>
      <c r="P160" t="s">
        <v>7768</v>
      </c>
      <c r="Q160" t="s">
        <v>7768</v>
      </c>
      <c r="R160" t="s">
        <v>7768</v>
      </c>
      <c r="S160" t="s">
        <v>7768</v>
      </c>
      <c r="T160" s="18">
        <v>36526.041666666664</v>
      </c>
      <c r="U160" t="s">
        <v>7768</v>
      </c>
      <c r="V160" s="18">
        <v>36733.083333333336</v>
      </c>
      <c r="W160" s="18">
        <v>36526.041666666664</v>
      </c>
    </row>
    <row r="161" spans="1:23" x14ac:dyDescent="0.25">
      <c r="A161">
        <v>81153</v>
      </c>
      <c r="B161">
        <v>29794</v>
      </c>
      <c r="C161" t="s">
        <v>8348</v>
      </c>
      <c r="D161">
        <v>74843</v>
      </c>
      <c r="E161" t="s">
        <v>8427</v>
      </c>
      <c r="F161" t="s">
        <v>8426</v>
      </c>
      <c r="G161" t="s">
        <v>8426</v>
      </c>
      <c r="H161" t="s">
        <v>7768</v>
      </c>
      <c r="I161" t="s">
        <v>7768</v>
      </c>
      <c r="J161" t="s">
        <v>7768</v>
      </c>
      <c r="K161" t="s">
        <v>1755</v>
      </c>
      <c r="L161" t="s">
        <v>7768</v>
      </c>
      <c r="M161" t="s">
        <v>8425</v>
      </c>
      <c r="N161" t="s">
        <v>8424</v>
      </c>
      <c r="O161" t="s">
        <v>7768</v>
      </c>
      <c r="P161" t="s">
        <v>7768</v>
      </c>
      <c r="Q161" t="s">
        <v>7768</v>
      </c>
      <c r="R161" t="s">
        <v>7768</v>
      </c>
      <c r="S161" t="s">
        <v>7768</v>
      </c>
      <c r="T161" s="18">
        <v>36892.041666666664</v>
      </c>
      <c r="U161" t="s">
        <v>7768</v>
      </c>
      <c r="V161" s="18">
        <v>37210.041666666664</v>
      </c>
      <c r="W161" s="18">
        <v>36892.041666666664</v>
      </c>
    </row>
    <row r="162" spans="1:23" x14ac:dyDescent="0.25">
      <c r="A162">
        <v>81154</v>
      </c>
      <c r="B162">
        <v>29794</v>
      </c>
      <c r="C162" t="s">
        <v>8348</v>
      </c>
      <c r="D162">
        <v>73839</v>
      </c>
      <c r="E162" t="s">
        <v>194</v>
      </c>
      <c r="F162" t="s">
        <v>8423</v>
      </c>
      <c r="G162" t="s">
        <v>8423</v>
      </c>
      <c r="H162" t="s">
        <v>7768</v>
      </c>
      <c r="I162" t="s">
        <v>7768</v>
      </c>
      <c r="J162" t="s">
        <v>7768</v>
      </c>
      <c r="K162" t="s">
        <v>1650</v>
      </c>
      <c r="L162" t="s">
        <v>7768</v>
      </c>
      <c r="M162" t="s">
        <v>8422</v>
      </c>
      <c r="N162" t="s">
        <v>8421</v>
      </c>
      <c r="O162" t="s">
        <v>7768</v>
      </c>
      <c r="P162" t="s">
        <v>7768</v>
      </c>
      <c r="Q162" t="s">
        <v>7768</v>
      </c>
      <c r="R162" t="s">
        <v>7768</v>
      </c>
      <c r="S162" t="s">
        <v>7768</v>
      </c>
      <c r="T162" s="18">
        <v>37257.041666666664</v>
      </c>
      <c r="U162" t="s">
        <v>7768</v>
      </c>
      <c r="V162" s="18">
        <v>37539.083333333336</v>
      </c>
      <c r="W162" s="18">
        <v>37257.041666666664</v>
      </c>
    </row>
    <row r="163" spans="1:23" x14ac:dyDescent="0.25">
      <c r="A163">
        <v>81155</v>
      </c>
      <c r="B163">
        <v>29794</v>
      </c>
      <c r="C163" t="s">
        <v>8348</v>
      </c>
      <c r="D163">
        <v>73839</v>
      </c>
      <c r="E163" t="s">
        <v>194</v>
      </c>
      <c r="F163" t="s">
        <v>8420</v>
      </c>
      <c r="G163" t="s">
        <v>8420</v>
      </c>
      <c r="H163" t="s">
        <v>7768</v>
      </c>
      <c r="I163" t="s">
        <v>7768</v>
      </c>
      <c r="J163" t="s">
        <v>7768</v>
      </c>
      <c r="K163" t="s">
        <v>7768</v>
      </c>
      <c r="L163" t="s">
        <v>7768</v>
      </c>
      <c r="M163" t="s">
        <v>7768</v>
      </c>
      <c r="N163" t="s">
        <v>8419</v>
      </c>
      <c r="O163" t="s">
        <v>7768</v>
      </c>
      <c r="P163" t="s">
        <v>7768</v>
      </c>
      <c r="Q163" t="s">
        <v>7768</v>
      </c>
      <c r="R163" t="s">
        <v>7768</v>
      </c>
      <c r="S163" t="s">
        <v>7768</v>
      </c>
      <c r="T163" s="18"/>
      <c r="U163" t="s">
        <v>7768</v>
      </c>
      <c r="V163" s="18"/>
      <c r="W163" s="18">
        <v>37257.041666666664</v>
      </c>
    </row>
    <row r="164" spans="1:23" x14ac:dyDescent="0.25">
      <c r="A164">
        <v>81156</v>
      </c>
      <c r="B164">
        <v>29794</v>
      </c>
      <c r="C164" t="s">
        <v>8348</v>
      </c>
      <c r="D164">
        <v>73839</v>
      </c>
      <c r="E164" t="s">
        <v>194</v>
      </c>
      <c r="F164" t="s">
        <v>8418</v>
      </c>
      <c r="G164" t="s">
        <v>8418</v>
      </c>
      <c r="H164" t="s">
        <v>7768</v>
      </c>
      <c r="I164" t="s">
        <v>7768</v>
      </c>
      <c r="J164" t="s">
        <v>7768</v>
      </c>
      <c r="K164" t="s">
        <v>7768</v>
      </c>
      <c r="L164" t="s">
        <v>7768</v>
      </c>
      <c r="M164" t="s">
        <v>7768</v>
      </c>
      <c r="N164" t="s">
        <v>8417</v>
      </c>
      <c r="O164" t="s">
        <v>7768</v>
      </c>
      <c r="P164" t="s">
        <v>7768</v>
      </c>
      <c r="Q164" t="s">
        <v>7768</v>
      </c>
      <c r="R164" t="s">
        <v>7768</v>
      </c>
      <c r="S164" t="s">
        <v>7768</v>
      </c>
      <c r="T164" s="18"/>
      <c r="U164" t="s">
        <v>7768</v>
      </c>
      <c r="V164" s="18"/>
      <c r="W164" s="18">
        <v>37257.041666666664</v>
      </c>
    </row>
    <row r="165" spans="1:23" x14ac:dyDescent="0.25">
      <c r="A165">
        <v>81157</v>
      </c>
      <c r="B165">
        <v>29794</v>
      </c>
      <c r="C165" t="s">
        <v>8348</v>
      </c>
      <c r="D165">
        <v>73839</v>
      </c>
      <c r="E165" t="s">
        <v>194</v>
      </c>
      <c r="F165" t="s">
        <v>8416</v>
      </c>
      <c r="G165" t="s">
        <v>8416</v>
      </c>
      <c r="H165" t="s">
        <v>7768</v>
      </c>
      <c r="I165" t="s">
        <v>7768</v>
      </c>
      <c r="J165" t="s">
        <v>7768</v>
      </c>
      <c r="K165" t="s">
        <v>7768</v>
      </c>
      <c r="L165" t="s">
        <v>7768</v>
      </c>
      <c r="M165" t="s">
        <v>7768</v>
      </c>
      <c r="N165" t="s">
        <v>8415</v>
      </c>
      <c r="O165" t="s">
        <v>7768</v>
      </c>
      <c r="P165" t="s">
        <v>7768</v>
      </c>
      <c r="Q165" t="s">
        <v>7768</v>
      </c>
      <c r="R165" t="s">
        <v>7768</v>
      </c>
      <c r="S165" t="s">
        <v>7768</v>
      </c>
      <c r="T165" s="18"/>
      <c r="U165" t="s">
        <v>7768</v>
      </c>
      <c r="V165" s="18"/>
      <c r="W165" s="18">
        <v>37257.041666666664</v>
      </c>
    </row>
    <row r="166" spans="1:23" x14ac:dyDescent="0.25">
      <c r="A166">
        <v>81158</v>
      </c>
      <c r="B166">
        <v>29794</v>
      </c>
      <c r="C166" t="s">
        <v>8348</v>
      </c>
      <c r="D166">
        <v>73839</v>
      </c>
      <c r="E166" t="s">
        <v>194</v>
      </c>
      <c r="F166" t="s">
        <v>8414</v>
      </c>
      <c r="G166" t="s">
        <v>8414</v>
      </c>
      <c r="H166" t="s">
        <v>7768</v>
      </c>
      <c r="I166" t="s">
        <v>7768</v>
      </c>
      <c r="J166" t="s">
        <v>7768</v>
      </c>
      <c r="K166" t="s">
        <v>1424</v>
      </c>
      <c r="L166" t="s">
        <v>7768</v>
      </c>
      <c r="M166" t="s">
        <v>8413</v>
      </c>
      <c r="N166" t="s">
        <v>8412</v>
      </c>
      <c r="O166" t="s">
        <v>7768</v>
      </c>
      <c r="P166" t="s">
        <v>7768</v>
      </c>
      <c r="Q166" t="s">
        <v>7768</v>
      </c>
      <c r="R166" t="s">
        <v>7768</v>
      </c>
      <c r="S166" t="s">
        <v>7768</v>
      </c>
      <c r="T166" s="18">
        <v>37622.041666666664</v>
      </c>
      <c r="U166" t="s">
        <v>7768</v>
      </c>
      <c r="V166" s="18">
        <v>37967.041666666664</v>
      </c>
      <c r="W166" s="18">
        <v>37622.041666666664</v>
      </c>
    </row>
    <row r="167" spans="1:23" x14ac:dyDescent="0.25">
      <c r="A167">
        <v>81159</v>
      </c>
      <c r="B167">
        <v>29794</v>
      </c>
      <c r="C167" t="s">
        <v>8348</v>
      </c>
      <c r="D167">
        <v>73839</v>
      </c>
      <c r="E167" t="s">
        <v>194</v>
      </c>
      <c r="F167" t="s">
        <v>8411</v>
      </c>
      <c r="G167" t="s">
        <v>8411</v>
      </c>
      <c r="H167" t="s">
        <v>7768</v>
      </c>
      <c r="I167" t="s">
        <v>7768</v>
      </c>
      <c r="J167" t="s">
        <v>7768</v>
      </c>
      <c r="K167" t="s">
        <v>7768</v>
      </c>
      <c r="L167" t="s">
        <v>7768</v>
      </c>
      <c r="M167" t="s">
        <v>7768</v>
      </c>
      <c r="N167" t="s">
        <v>8410</v>
      </c>
      <c r="O167" t="s">
        <v>7768</v>
      </c>
      <c r="P167" t="s">
        <v>7768</v>
      </c>
      <c r="Q167" t="s">
        <v>7768</v>
      </c>
      <c r="R167" t="s">
        <v>7768</v>
      </c>
      <c r="S167" t="s">
        <v>7768</v>
      </c>
      <c r="T167" s="18"/>
      <c r="U167" t="s">
        <v>7768</v>
      </c>
      <c r="V167" s="18"/>
      <c r="W167" s="18">
        <v>37987.041666666664</v>
      </c>
    </row>
    <row r="168" spans="1:23" x14ac:dyDescent="0.25">
      <c r="A168">
        <v>81160</v>
      </c>
      <c r="B168">
        <v>29794</v>
      </c>
      <c r="C168" t="s">
        <v>8348</v>
      </c>
      <c r="D168">
        <v>73839</v>
      </c>
      <c r="E168" t="s">
        <v>194</v>
      </c>
      <c r="F168" t="s">
        <v>8409</v>
      </c>
      <c r="G168" t="s">
        <v>8409</v>
      </c>
      <c r="H168" t="s">
        <v>7768</v>
      </c>
      <c r="I168" t="s">
        <v>7768</v>
      </c>
      <c r="J168" t="s">
        <v>7768</v>
      </c>
      <c r="K168" t="s">
        <v>7768</v>
      </c>
      <c r="L168" t="s">
        <v>7768</v>
      </c>
      <c r="M168" t="s">
        <v>7768</v>
      </c>
      <c r="N168" t="s">
        <v>8408</v>
      </c>
      <c r="O168" t="s">
        <v>7768</v>
      </c>
      <c r="P168" t="s">
        <v>7768</v>
      </c>
      <c r="Q168" t="s">
        <v>7768</v>
      </c>
      <c r="R168" t="s">
        <v>7768</v>
      </c>
      <c r="S168" t="s">
        <v>7768</v>
      </c>
      <c r="T168" s="18"/>
      <c r="U168" t="s">
        <v>7768</v>
      </c>
      <c r="V168" s="18"/>
      <c r="W168" s="18">
        <v>37987.041666666664</v>
      </c>
    </row>
    <row r="169" spans="1:23" x14ac:dyDescent="0.25">
      <c r="A169">
        <v>81162</v>
      </c>
      <c r="B169">
        <v>29794</v>
      </c>
      <c r="C169" t="s">
        <v>8348</v>
      </c>
      <c r="D169">
        <v>73839</v>
      </c>
      <c r="E169" t="s">
        <v>194</v>
      </c>
      <c r="F169" t="s">
        <v>8407</v>
      </c>
      <c r="G169" t="s">
        <v>8407</v>
      </c>
      <c r="H169" t="s">
        <v>8407</v>
      </c>
      <c r="I169" t="s">
        <v>8407</v>
      </c>
      <c r="J169" t="s">
        <v>8407</v>
      </c>
      <c r="K169" t="s">
        <v>8407</v>
      </c>
      <c r="L169" t="s">
        <v>8407</v>
      </c>
      <c r="M169" t="s">
        <v>7768</v>
      </c>
      <c r="N169" t="s">
        <v>8406</v>
      </c>
      <c r="O169" t="s">
        <v>7768</v>
      </c>
      <c r="P169" t="s">
        <v>7768</v>
      </c>
      <c r="Q169" t="s">
        <v>7768</v>
      </c>
      <c r="R169" t="s">
        <v>7768</v>
      </c>
      <c r="S169" t="s">
        <v>7768</v>
      </c>
      <c r="T169" s="18"/>
      <c r="U169" t="s">
        <v>7768</v>
      </c>
      <c r="V169" s="18"/>
      <c r="W169" s="18">
        <v>37987.041666666664</v>
      </c>
    </row>
    <row r="170" spans="1:23" x14ac:dyDescent="0.25">
      <c r="A170">
        <v>81167</v>
      </c>
      <c r="B170">
        <v>29794</v>
      </c>
      <c r="C170" t="s">
        <v>8348</v>
      </c>
      <c r="D170">
        <v>36275</v>
      </c>
      <c r="E170" t="s">
        <v>1912</v>
      </c>
      <c r="F170" t="s">
        <v>8405</v>
      </c>
      <c r="G170" t="s">
        <v>8405</v>
      </c>
      <c r="H170" t="s">
        <v>7768</v>
      </c>
      <c r="I170" t="s">
        <v>7768</v>
      </c>
      <c r="J170" t="s">
        <v>7768</v>
      </c>
      <c r="K170" t="s">
        <v>3028</v>
      </c>
      <c r="L170" t="s">
        <v>7768</v>
      </c>
      <c r="M170" t="s">
        <v>8404</v>
      </c>
      <c r="N170" t="s">
        <v>8403</v>
      </c>
      <c r="O170" t="s">
        <v>7768</v>
      </c>
      <c r="P170" t="s">
        <v>7768</v>
      </c>
      <c r="Q170" t="s">
        <v>7768</v>
      </c>
      <c r="R170" t="s">
        <v>7768</v>
      </c>
      <c r="S170" t="s">
        <v>7768</v>
      </c>
      <c r="T170" s="18">
        <v>35431.041666666664</v>
      </c>
      <c r="U170" t="s">
        <v>7768</v>
      </c>
      <c r="V170" s="18">
        <v>35769.041666666664</v>
      </c>
      <c r="W170" s="18">
        <v>35431.041666666664</v>
      </c>
    </row>
    <row r="171" spans="1:23" x14ac:dyDescent="0.25">
      <c r="A171">
        <v>81168</v>
      </c>
      <c r="B171">
        <v>29794</v>
      </c>
      <c r="C171" t="s">
        <v>8348</v>
      </c>
      <c r="D171">
        <v>36275</v>
      </c>
      <c r="E171" t="s">
        <v>1912</v>
      </c>
      <c r="F171" t="s">
        <v>8402</v>
      </c>
      <c r="G171" t="s">
        <v>8402</v>
      </c>
      <c r="H171" t="s">
        <v>7768</v>
      </c>
      <c r="I171" t="s">
        <v>7768</v>
      </c>
      <c r="J171" t="s">
        <v>7768</v>
      </c>
      <c r="K171" t="s">
        <v>2622</v>
      </c>
      <c r="L171" t="s">
        <v>7768</v>
      </c>
      <c r="M171" t="s">
        <v>8401</v>
      </c>
      <c r="N171" t="s">
        <v>8400</v>
      </c>
      <c r="O171" t="s">
        <v>7768</v>
      </c>
      <c r="P171" t="s">
        <v>7768</v>
      </c>
      <c r="Q171" t="s">
        <v>7768</v>
      </c>
      <c r="R171" t="s">
        <v>7768</v>
      </c>
      <c r="S171" t="s">
        <v>7768</v>
      </c>
      <c r="T171" s="18">
        <v>35796.041666666664</v>
      </c>
      <c r="U171" t="s">
        <v>7768</v>
      </c>
      <c r="V171" s="18">
        <v>36124.041666666664</v>
      </c>
      <c r="W171" s="18">
        <v>35796.041666666664</v>
      </c>
    </row>
    <row r="172" spans="1:23" x14ac:dyDescent="0.25">
      <c r="A172">
        <v>81210</v>
      </c>
      <c r="B172">
        <v>29794</v>
      </c>
      <c r="C172" t="s">
        <v>8348</v>
      </c>
      <c r="D172">
        <v>36275</v>
      </c>
      <c r="E172" t="s">
        <v>1912</v>
      </c>
      <c r="F172" t="s">
        <v>8399</v>
      </c>
      <c r="G172" t="s">
        <v>8399</v>
      </c>
      <c r="H172" t="s">
        <v>7768</v>
      </c>
      <c r="I172" t="s">
        <v>7768</v>
      </c>
      <c r="J172" t="s">
        <v>7768</v>
      </c>
      <c r="K172" t="s">
        <v>7248</v>
      </c>
      <c r="L172" t="s">
        <v>7768</v>
      </c>
      <c r="M172" t="s">
        <v>8398</v>
      </c>
      <c r="N172" t="s">
        <v>8397</v>
      </c>
      <c r="O172" t="s">
        <v>7768</v>
      </c>
      <c r="P172" t="s">
        <v>7768</v>
      </c>
      <c r="Q172" t="s">
        <v>7768</v>
      </c>
      <c r="R172" t="s">
        <v>7768</v>
      </c>
      <c r="S172" t="s">
        <v>7768</v>
      </c>
      <c r="T172" s="18">
        <v>32874.041666666664</v>
      </c>
      <c r="U172" t="s">
        <v>7768</v>
      </c>
      <c r="V172" s="18">
        <v>33154.083333333336</v>
      </c>
      <c r="W172" s="18">
        <v>32874.041666666664</v>
      </c>
    </row>
    <row r="173" spans="1:23" x14ac:dyDescent="0.25">
      <c r="A173">
        <v>81216</v>
      </c>
      <c r="B173">
        <v>29794</v>
      </c>
      <c r="C173" t="s">
        <v>8348</v>
      </c>
      <c r="D173">
        <v>36275</v>
      </c>
      <c r="E173" t="s">
        <v>1912</v>
      </c>
      <c r="F173" t="s">
        <v>3652</v>
      </c>
      <c r="G173" t="s">
        <v>3652</v>
      </c>
      <c r="H173" t="s">
        <v>7768</v>
      </c>
      <c r="I173" t="s">
        <v>7768</v>
      </c>
      <c r="J173" t="s">
        <v>7768</v>
      </c>
      <c r="K173" t="s">
        <v>8396</v>
      </c>
      <c r="L173" t="s">
        <v>7768</v>
      </c>
      <c r="M173" t="s">
        <v>8395</v>
      </c>
      <c r="N173" t="s">
        <v>8394</v>
      </c>
      <c r="O173" t="s">
        <v>7768</v>
      </c>
      <c r="P173" t="s">
        <v>7768</v>
      </c>
      <c r="Q173" t="s">
        <v>7768</v>
      </c>
      <c r="R173" t="s">
        <v>7768</v>
      </c>
      <c r="S173" t="s">
        <v>7768</v>
      </c>
      <c r="T173" s="18">
        <v>35065.041666666664</v>
      </c>
      <c r="U173" t="s">
        <v>7768</v>
      </c>
      <c r="V173" s="18">
        <v>35354.083333333336</v>
      </c>
      <c r="W173" s="18">
        <v>35065.041666666664</v>
      </c>
    </row>
    <row r="174" spans="1:23" x14ac:dyDescent="0.25">
      <c r="A174">
        <v>81222</v>
      </c>
      <c r="B174">
        <v>29794</v>
      </c>
      <c r="C174" t="s">
        <v>8348</v>
      </c>
      <c r="D174">
        <v>74548</v>
      </c>
      <c r="E174" t="s">
        <v>5638</v>
      </c>
      <c r="F174" t="s">
        <v>8393</v>
      </c>
      <c r="G174" t="s">
        <v>8393</v>
      </c>
      <c r="H174" t="s">
        <v>7768</v>
      </c>
      <c r="I174" t="s">
        <v>7768</v>
      </c>
      <c r="J174" t="s">
        <v>7768</v>
      </c>
      <c r="K174" t="s">
        <v>8392</v>
      </c>
      <c r="L174" t="s">
        <v>7768</v>
      </c>
      <c r="M174" t="s">
        <v>8391</v>
      </c>
      <c r="N174" t="s">
        <v>8390</v>
      </c>
      <c r="O174" t="s">
        <v>7768</v>
      </c>
      <c r="P174" t="s">
        <v>7768</v>
      </c>
      <c r="Q174" t="s">
        <v>7768</v>
      </c>
      <c r="R174" t="s">
        <v>7768</v>
      </c>
      <c r="S174" t="s">
        <v>7768</v>
      </c>
      <c r="T174" s="18">
        <v>33239.041666666664</v>
      </c>
      <c r="U174" t="s">
        <v>7768</v>
      </c>
      <c r="V174" s="18">
        <v>33592.041666666664</v>
      </c>
      <c r="W174" s="18">
        <v>33239.041666666664</v>
      </c>
    </row>
    <row r="175" spans="1:23" x14ac:dyDescent="0.25">
      <c r="A175">
        <v>81325</v>
      </c>
      <c r="B175">
        <v>29794</v>
      </c>
      <c r="C175" t="s">
        <v>8348</v>
      </c>
      <c r="D175">
        <v>36275</v>
      </c>
      <c r="E175" t="s">
        <v>1912</v>
      </c>
      <c r="F175" t="s">
        <v>8389</v>
      </c>
      <c r="G175" t="s">
        <v>8389</v>
      </c>
      <c r="H175" t="s">
        <v>8389</v>
      </c>
      <c r="I175" t="s">
        <v>8389</v>
      </c>
      <c r="J175" t="s">
        <v>8389</v>
      </c>
      <c r="K175" t="s">
        <v>5914</v>
      </c>
      <c r="L175" t="s">
        <v>8389</v>
      </c>
      <c r="M175" t="s">
        <v>8388</v>
      </c>
      <c r="N175" t="s">
        <v>8387</v>
      </c>
      <c r="O175" t="s">
        <v>7768</v>
      </c>
      <c r="P175" t="s">
        <v>7768</v>
      </c>
      <c r="Q175" t="s">
        <v>7768</v>
      </c>
      <c r="R175" t="s">
        <v>7768</v>
      </c>
      <c r="S175" t="s">
        <v>7768</v>
      </c>
      <c r="T175" s="18"/>
      <c r="U175" t="s">
        <v>7768</v>
      </c>
      <c r="V175" s="18">
        <v>34509.083333333336</v>
      </c>
      <c r="W175" s="18"/>
    </row>
    <row r="176" spans="1:23" x14ac:dyDescent="0.25">
      <c r="A176">
        <v>81328</v>
      </c>
      <c r="B176">
        <v>29794</v>
      </c>
      <c r="C176" t="s">
        <v>8348</v>
      </c>
      <c r="D176">
        <v>36275</v>
      </c>
      <c r="E176" t="s">
        <v>1912</v>
      </c>
      <c r="F176" t="s">
        <v>8386</v>
      </c>
      <c r="G176" t="s">
        <v>8386</v>
      </c>
      <c r="H176" t="s">
        <v>8386</v>
      </c>
      <c r="I176" t="s">
        <v>8386</v>
      </c>
      <c r="J176" t="s">
        <v>8386</v>
      </c>
      <c r="K176" t="s">
        <v>8385</v>
      </c>
      <c r="L176" t="s">
        <v>8386</v>
      </c>
      <c r="M176" t="s">
        <v>7768</v>
      </c>
      <c r="N176" t="s">
        <v>8384</v>
      </c>
      <c r="O176" t="s">
        <v>7768</v>
      </c>
      <c r="P176" t="s">
        <v>7768</v>
      </c>
      <c r="Q176" t="s">
        <v>7768</v>
      </c>
      <c r="R176" t="s">
        <v>7768</v>
      </c>
      <c r="S176" t="s">
        <v>7768</v>
      </c>
      <c r="T176" s="18"/>
      <c r="U176" t="s">
        <v>7768</v>
      </c>
      <c r="V176" s="18">
        <v>33018.083333333336</v>
      </c>
      <c r="W176" s="18"/>
    </row>
    <row r="177" spans="1:23" x14ac:dyDescent="0.25">
      <c r="A177">
        <v>81518</v>
      </c>
      <c r="B177">
        <v>29794</v>
      </c>
      <c r="C177" t="s">
        <v>8348</v>
      </c>
      <c r="D177">
        <v>74042</v>
      </c>
      <c r="E177" t="s">
        <v>3770</v>
      </c>
      <c r="F177" t="s">
        <v>3276</v>
      </c>
      <c r="G177" t="s">
        <v>3276</v>
      </c>
      <c r="H177" t="s">
        <v>7768</v>
      </c>
      <c r="I177" t="s">
        <v>7768</v>
      </c>
      <c r="J177" t="s">
        <v>7768</v>
      </c>
      <c r="K177" t="s">
        <v>3269</v>
      </c>
      <c r="L177" t="s">
        <v>7768</v>
      </c>
      <c r="M177" t="s">
        <v>8383</v>
      </c>
      <c r="N177" t="s">
        <v>8382</v>
      </c>
      <c r="O177" t="s">
        <v>7768</v>
      </c>
      <c r="P177" t="s">
        <v>7768</v>
      </c>
      <c r="Q177" t="s">
        <v>7768</v>
      </c>
      <c r="R177" t="s">
        <v>7768</v>
      </c>
      <c r="S177" t="s">
        <v>7768</v>
      </c>
      <c r="T177" s="18">
        <v>35065.041666666664</v>
      </c>
      <c r="U177" t="s">
        <v>7768</v>
      </c>
      <c r="V177" s="18">
        <v>35394.041666666664</v>
      </c>
      <c r="W177" s="18">
        <v>35065.041666666664</v>
      </c>
    </row>
    <row r="178" spans="1:23" x14ac:dyDescent="0.25">
      <c r="A178">
        <v>81606</v>
      </c>
      <c r="B178">
        <v>29794</v>
      </c>
      <c r="C178" t="s">
        <v>8348</v>
      </c>
      <c r="D178">
        <v>75285</v>
      </c>
      <c r="E178" t="s">
        <v>8381</v>
      </c>
      <c r="F178" t="s">
        <v>8380</v>
      </c>
      <c r="G178" t="s">
        <v>8380</v>
      </c>
      <c r="H178" t="s">
        <v>8380</v>
      </c>
      <c r="I178" t="s">
        <v>8380</v>
      </c>
      <c r="J178" t="s">
        <v>8380</v>
      </c>
      <c r="K178" t="s">
        <v>8380</v>
      </c>
      <c r="L178" t="s">
        <v>8380</v>
      </c>
      <c r="M178" t="s">
        <v>7768</v>
      </c>
      <c r="N178" t="s">
        <v>8379</v>
      </c>
      <c r="O178" t="s">
        <v>7768</v>
      </c>
      <c r="P178" t="s">
        <v>7768</v>
      </c>
      <c r="Q178" t="s">
        <v>7768</v>
      </c>
      <c r="R178" t="s">
        <v>7768</v>
      </c>
      <c r="S178" t="s">
        <v>7768</v>
      </c>
      <c r="T178" s="18"/>
      <c r="U178" t="s">
        <v>7768</v>
      </c>
      <c r="V178" s="18"/>
      <c r="W178" s="18">
        <v>36892.041666666664</v>
      </c>
    </row>
    <row r="179" spans="1:23" x14ac:dyDescent="0.25">
      <c r="A179">
        <v>81663</v>
      </c>
      <c r="B179">
        <v>29794</v>
      </c>
      <c r="C179" t="s">
        <v>8348</v>
      </c>
      <c r="D179">
        <v>36448</v>
      </c>
      <c r="E179" t="s">
        <v>8378</v>
      </c>
      <c r="F179" t="s">
        <v>5758</v>
      </c>
      <c r="G179" t="s">
        <v>5758</v>
      </c>
      <c r="H179" t="s">
        <v>7768</v>
      </c>
      <c r="I179" t="s">
        <v>7768</v>
      </c>
      <c r="J179" t="s">
        <v>7768</v>
      </c>
      <c r="K179" t="s">
        <v>5735</v>
      </c>
      <c r="L179" t="s">
        <v>7768</v>
      </c>
      <c r="M179" t="s">
        <v>8377</v>
      </c>
      <c r="N179" t="s">
        <v>8376</v>
      </c>
      <c r="O179" t="s">
        <v>7768</v>
      </c>
      <c r="P179" t="s">
        <v>7768</v>
      </c>
      <c r="Q179" t="s">
        <v>7768</v>
      </c>
      <c r="R179" t="s">
        <v>7768</v>
      </c>
      <c r="S179" t="s">
        <v>7768</v>
      </c>
      <c r="T179" s="18">
        <v>33604.041666666664</v>
      </c>
      <c r="U179" t="s">
        <v>7768</v>
      </c>
      <c r="V179" s="18">
        <v>33928.041666666664</v>
      </c>
      <c r="W179" s="18">
        <v>33604.041666666664</v>
      </c>
    </row>
    <row r="180" spans="1:23" x14ac:dyDescent="0.25">
      <c r="A180">
        <v>81723</v>
      </c>
      <c r="B180">
        <v>29794</v>
      </c>
      <c r="C180" t="s">
        <v>8348</v>
      </c>
      <c r="D180">
        <v>73996</v>
      </c>
      <c r="E180" t="s">
        <v>3827</v>
      </c>
      <c r="F180" t="s">
        <v>4182</v>
      </c>
      <c r="G180" t="s">
        <v>4182</v>
      </c>
      <c r="H180" t="s">
        <v>7768</v>
      </c>
      <c r="I180" t="s">
        <v>7768</v>
      </c>
      <c r="J180" t="s">
        <v>7768</v>
      </c>
      <c r="K180" t="s">
        <v>4176</v>
      </c>
      <c r="L180" t="s">
        <v>7768</v>
      </c>
      <c r="M180" t="s">
        <v>8375</v>
      </c>
      <c r="N180" t="s">
        <v>8374</v>
      </c>
      <c r="O180" t="s">
        <v>7768</v>
      </c>
      <c r="P180" t="s">
        <v>7768</v>
      </c>
      <c r="Q180" t="s">
        <v>7768</v>
      </c>
      <c r="R180" t="s">
        <v>7768</v>
      </c>
      <c r="S180" t="s">
        <v>7768</v>
      </c>
      <c r="T180" s="18">
        <v>34700.041666666664</v>
      </c>
      <c r="U180" t="s">
        <v>7768</v>
      </c>
      <c r="V180" s="18">
        <v>34960.083333333336</v>
      </c>
      <c r="W180" s="18">
        <v>34700.041666666664</v>
      </c>
    </row>
    <row r="181" spans="1:23" x14ac:dyDescent="0.25">
      <c r="A181">
        <v>81779</v>
      </c>
      <c r="B181">
        <v>29794</v>
      </c>
      <c r="C181" t="s">
        <v>8348</v>
      </c>
      <c r="D181">
        <v>74334</v>
      </c>
      <c r="E181" t="s">
        <v>3242</v>
      </c>
      <c r="F181" t="s">
        <v>3243</v>
      </c>
      <c r="G181" t="s">
        <v>3243</v>
      </c>
      <c r="H181" t="s">
        <v>7768</v>
      </c>
      <c r="I181" t="s">
        <v>7768</v>
      </c>
      <c r="J181" t="s">
        <v>7768</v>
      </c>
      <c r="K181" t="s">
        <v>3233</v>
      </c>
      <c r="L181" t="s">
        <v>7768</v>
      </c>
      <c r="M181" t="s">
        <v>8373</v>
      </c>
      <c r="N181" t="s">
        <v>8372</v>
      </c>
      <c r="O181" t="s">
        <v>7768</v>
      </c>
      <c r="P181" t="s">
        <v>7768</v>
      </c>
      <c r="Q181" t="s">
        <v>7768</v>
      </c>
      <c r="R181" t="s">
        <v>7768</v>
      </c>
      <c r="S181" t="s">
        <v>7768</v>
      </c>
      <c r="T181" s="18">
        <v>35065.041666666664</v>
      </c>
      <c r="U181" t="s">
        <v>7768</v>
      </c>
      <c r="V181" s="18">
        <v>35395.041666666664</v>
      </c>
      <c r="W181" s="18">
        <v>35065.041666666664</v>
      </c>
    </row>
    <row r="182" spans="1:23" x14ac:dyDescent="0.25">
      <c r="A182">
        <v>81971</v>
      </c>
      <c r="B182">
        <v>29794</v>
      </c>
      <c r="C182" t="s">
        <v>8348</v>
      </c>
      <c r="D182">
        <v>74548</v>
      </c>
      <c r="E182" t="s">
        <v>5638</v>
      </c>
      <c r="F182" t="s">
        <v>8371</v>
      </c>
      <c r="G182" t="s">
        <v>8371</v>
      </c>
      <c r="H182" t="s">
        <v>8371</v>
      </c>
      <c r="I182" t="s">
        <v>8371</v>
      </c>
      <c r="J182" t="s">
        <v>8371</v>
      </c>
      <c r="K182" t="s">
        <v>5642</v>
      </c>
      <c r="L182" t="s">
        <v>8371</v>
      </c>
      <c r="M182" t="s">
        <v>8370</v>
      </c>
      <c r="N182" t="s">
        <v>8369</v>
      </c>
      <c r="O182" t="s">
        <v>7768</v>
      </c>
      <c r="P182" t="s">
        <v>7768</v>
      </c>
      <c r="Q182" t="s">
        <v>7768</v>
      </c>
      <c r="R182" t="s">
        <v>7768</v>
      </c>
      <c r="S182" t="s">
        <v>7768</v>
      </c>
      <c r="T182" s="18"/>
      <c r="U182" t="s">
        <v>7768</v>
      </c>
      <c r="V182" s="18">
        <v>33813.083333333336</v>
      </c>
      <c r="W182" s="18"/>
    </row>
    <row r="183" spans="1:23" x14ac:dyDescent="0.25">
      <c r="A183">
        <v>81972</v>
      </c>
      <c r="B183">
        <v>29794</v>
      </c>
      <c r="C183" t="s">
        <v>8348</v>
      </c>
      <c r="D183">
        <v>74042</v>
      </c>
      <c r="E183" t="s">
        <v>3770</v>
      </c>
      <c r="F183" t="s">
        <v>8368</v>
      </c>
      <c r="G183" t="s">
        <v>8368</v>
      </c>
      <c r="H183" t="s">
        <v>8368</v>
      </c>
      <c r="I183" t="s">
        <v>8368</v>
      </c>
      <c r="J183" t="s">
        <v>8368</v>
      </c>
      <c r="K183" t="s">
        <v>8367</v>
      </c>
      <c r="L183" t="s">
        <v>8368</v>
      </c>
      <c r="M183" t="s">
        <v>8366</v>
      </c>
      <c r="N183" t="s">
        <v>8365</v>
      </c>
      <c r="O183" t="s">
        <v>7768</v>
      </c>
      <c r="P183" t="s">
        <v>7768</v>
      </c>
      <c r="Q183" t="s">
        <v>7768</v>
      </c>
      <c r="R183" t="s">
        <v>7768</v>
      </c>
      <c r="S183" t="s">
        <v>7768</v>
      </c>
      <c r="T183" s="18"/>
      <c r="U183" t="s">
        <v>7768</v>
      </c>
      <c r="V183" s="18">
        <v>34087.083333333336</v>
      </c>
      <c r="W183" s="18"/>
    </row>
    <row r="184" spans="1:23" x14ac:dyDescent="0.25">
      <c r="A184">
        <v>81973</v>
      </c>
      <c r="B184">
        <v>29794</v>
      </c>
      <c r="C184" t="s">
        <v>8348</v>
      </c>
      <c r="D184">
        <v>74042</v>
      </c>
      <c r="E184" t="s">
        <v>3770</v>
      </c>
      <c r="F184" t="s">
        <v>8364</v>
      </c>
      <c r="G184" t="s">
        <v>8364</v>
      </c>
      <c r="H184" t="s">
        <v>7768</v>
      </c>
      <c r="I184" t="s">
        <v>7768</v>
      </c>
      <c r="J184" t="s">
        <v>7768</v>
      </c>
      <c r="K184" t="s">
        <v>8363</v>
      </c>
      <c r="L184" t="s">
        <v>7768</v>
      </c>
      <c r="M184" t="s">
        <v>8362</v>
      </c>
      <c r="N184" t="s">
        <v>8361</v>
      </c>
      <c r="O184" t="s">
        <v>7768</v>
      </c>
      <c r="P184" t="s">
        <v>7768</v>
      </c>
      <c r="Q184" t="s">
        <v>7768</v>
      </c>
      <c r="R184" t="s">
        <v>7768</v>
      </c>
      <c r="S184" t="s">
        <v>7768</v>
      </c>
      <c r="T184" s="18"/>
      <c r="U184" t="s">
        <v>7768</v>
      </c>
      <c r="V184" s="18">
        <v>34450.083333333336</v>
      </c>
      <c r="W184" s="18">
        <v>34335.041666666664</v>
      </c>
    </row>
    <row r="185" spans="1:23" x14ac:dyDescent="0.25">
      <c r="A185">
        <v>81974</v>
      </c>
      <c r="B185">
        <v>29794</v>
      </c>
      <c r="C185" t="s">
        <v>8348</v>
      </c>
      <c r="D185">
        <v>74042</v>
      </c>
      <c r="E185" t="s">
        <v>3770</v>
      </c>
      <c r="F185" t="s">
        <v>4300</v>
      </c>
      <c r="G185" t="s">
        <v>4300</v>
      </c>
      <c r="H185" t="s">
        <v>7768</v>
      </c>
      <c r="I185" t="s">
        <v>7768</v>
      </c>
      <c r="J185" t="s">
        <v>7768</v>
      </c>
      <c r="K185" t="s">
        <v>8360</v>
      </c>
      <c r="L185" t="s">
        <v>7768</v>
      </c>
      <c r="M185" t="s">
        <v>8359</v>
      </c>
      <c r="N185" t="s">
        <v>8358</v>
      </c>
      <c r="O185" t="s">
        <v>7768</v>
      </c>
      <c r="P185" t="s">
        <v>7768</v>
      </c>
      <c r="Q185" t="s">
        <v>7768</v>
      </c>
      <c r="R185" t="s">
        <v>7768</v>
      </c>
      <c r="S185" t="s">
        <v>7768</v>
      </c>
      <c r="T185" s="18">
        <v>34700.041666666664</v>
      </c>
      <c r="U185" t="s">
        <v>7768</v>
      </c>
      <c r="V185" s="18">
        <v>34844.083333333336</v>
      </c>
      <c r="W185" s="18">
        <v>34700.041666666664</v>
      </c>
    </row>
    <row r="186" spans="1:23" x14ac:dyDescent="0.25">
      <c r="A186">
        <v>82067</v>
      </c>
      <c r="B186">
        <v>29794</v>
      </c>
      <c r="C186" t="s">
        <v>8348</v>
      </c>
      <c r="D186">
        <v>74257</v>
      </c>
      <c r="E186" t="s">
        <v>4913</v>
      </c>
      <c r="F186" t="s">
        <v>4914</v>
      </c>
      <c r="G186" t="s">
        <v>4914</v>
      </c>
      <c r="H186" t="s">
        <v>7768</v>
      </c>
      <c r="I186" t="s">
        <v>7768</v>
      </c>
      <c r="J186" t="s">
        <v>7768</v>
      </c>
      <c r="K186" t="s">
        <v>4904</v>
      </c>
      <c r="L186" t="s">
        <v>7768</v>
      </c>
      <c r="M186" t="s">
        <v>8357</v>
      </c>
      <c r="N186" t="s">
        <v>8356</v>
      </c>
      <c r="O186" t="s">
        <v>7768</v>
      </c>
      <c r="P186" t="s">
        <v>7768</v>
      </c>
      <c r="Q186" t="s">
        <v>7768</v>
      </c>
      <c r="R186" t="s">
        <v>7768</v>
      </c>
      <c r="S186" t="s">
        <v>7768</v>
      </c>
      <c r="T186" s="18">
        <v>34335.041666666664</v>
      </c>
      <c r="U186" t="s">
        <v>7768</v>
      </c>
      <c r="V186" s="18">
        <v>34590.083333333336</v>
      </c>
      <c r="W186" s="18">
        <v>34335.041666666664</v>
      </c>
    </row>
    <row r="187" spans="1:23" x14ac:dyDescent="0.25">
      <c r="A187">
        <v>82095</v>
      </c>
      <c r="B187">
        <v>29794</v>
      </c>
      <c r="C187" t="s">
        <v>8348</v>
      </c>
      <c r="D187">
        <v>74967</v>
      </c>
      <c r="E187" t="s">
        <v>8355</v>
      </c>
      <c r="F187" t="s">
        <v>8354</v>
      </c>
      <c r="G187" t="s">
        <v>8354</v>
      </c>
      <c r="H187" t="s">
        <v>8354</v>
      </c>
      <c r="I187" t="s">
        <v>8354</v>
      </c>
      <c r="J187" t="s">
        <v>8354</v>
      </c>
      <c r="K187" t="s">
        <v>8353</v>
      </c>
      <c r="L187" t="s">
        <v>8354</v>
      </c>
      <c r="M187" t="s">
        <v>7768</v>
      </c>
      <c r="N187" t="s">
        <v>8352</v>
      </c>
      <c r="O187" t="s">
        <v>7768</v>
      </c>
      <c r="P187" t="s">
        <v>7768</v>
      </c>
      <c r="Q187" t="s">
        <v>7768</v>
      </c>
      <c r="R187" t="s">
        <v>7768</v>
      </c>
      <c r="S187" t="s">
        <v>7768</v>
      </c>
      <c r="T187" s="18"/>
      <c r="U187" t="s">
        <v>7768</v>
      </c>
      <c r="V187" s="18"/>
      <c r="W187" s="18">
        <v>35065.041666666664</v>
      </c>
    </row>
    <row r="188" spans="1:23" x14ac:dyDescent="0.25">
      <c r="A188">
        <v>82117</v>
      </c>
      <c r="B188">
        <v>29794</v>
      </c>
      <c r="C188" t="s">
        <v>8348</v>
      </c>
      <c r="D188">
        <v>36275</v>
      </c>
      <c r="E188" t="s">
        <v>1912</v>
      </c>
      <c r="F188" t="s">
        <v>5036</v>
      </c>
      <c r="G188" t="s">
        <v>5036</v>
      </c>
      <c r="H188" t="s">
        <v>7768</v>
      </c>
      <c r="I188" t="s">
        <v>7768</v>
      </c>
      <c r="J188" t="s">
        <v>7768</v>
      </c>
      <c r="K188" t="s">
        <v>8351</v>
      </c>
      <c r="L188" t="s">
        <v>7768</v>
      </c>
      <c r="M188" t="s">
        <v>8350</v>
      </c>
      <c r="N188" t="s">
        <v>8349</v>
      </c>
      <c r="O188" t="s">
        <v>7768</v>
      </c>
      <c r="P188" t="s">
        <v>7768</v>
      </c>
      <c r="Q188" t="s">
        <v>7768</v>
      </c>
      <c r="R188" t="s">
        <v>7768</v>
      </c>
      <c r="S188" t="s">
        <v>7768</v>
      </c>
      <c r="T188" s="18">
        <v>36892.041666666664</v>
      </c>
      <c r="U188" t="s">
        <v>7768</v>
      </c>
      <c r="V188" s="18"/>
      <c r="W188" s="18">
        <v>36892.041666666664</v>
      </c>
    </row>
    <row r="189" spans="1:23" x14ac:dyDescent="0.25">
      <c r="A189">
        <v>252658</v>
      </c>
      <c r="B189">
        <v>29794</v>
      </c>
      <c r="C189" t="s">
        <v>8348</v>
      </c>
      <c r="E189" t="s">
        <v>7768</v>
      </c>
      <c r="F189" t="s">
        <v>8347</v>
      </c>
      <c r="G189" t="s">
        <v>9136</v>
      </c>
      <c r="H189" t="s">
        <v>9136</v>
      </c>
      <c r="I189" t="s">
        <v>9136</v>
      </c>
      <c r="J189" t="s">
        <v>9136</v>
      </c>
      <c r="K189" t="s">
        <v>3943</v>
      </c>
      <c r="L189" t="s">
        <v>9136</v>
      </c>
      <c r="M189" t="s">
        <v>8346</v>
      </c>
      <c r="N189" t="s">
        <v>7768</v>
      </c>
      <c r="O189" t="s">
        <v>7768</v>
      </c>
      <c r="P189" t="s">
        <v>7768</v>
      </c>
      <c r="Q189" t="s">
        <v>7768</v>
      </c>
      <c r="R189" t="s">
        <v>7768</v>
      </c>
      <c r="S189" t="s">
        <v>7768</v>
      </c>
      <c r="T189" s="18"/>
      <c r="U189" t="s">
        <v>7768</v>
      </c>
      <c r="V189" s="18"/>
      <c r="W189" s="18"/>
    </row>
  </sheetData>
  <phoneticPr fontId="7"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49F4D-47A1-4178-B91F-175CEB698DFA}">
  <sheetPr codeName="Sheet3"/>
  <dimension ref="A1:F13"/>
  <sheetViews>
    <sheetView workbookViewId="0">
      <selection activeCell="A13" sqref="A13"/>
    </sheetView>
  </sheetViews>
  <sheetFormatPr defaultRowHeight="15" x14ac:dyDescent="0.25"/>
  <cols>
    <col min="1" max="1" width="19.7109375" customWidth="1"/>
    <col min="2" max="2" width="56" bestFit="1" customWidth="1"/>
    <col min="3" max="3" width="10.85546875" customWidth="1"/>
    <col min="4" max="5" width="55.140625" style="19" customWidth="1"/>
    <col min="6" max="6" width="58" bestFit="1" customWidth="1"/>
  </cols>
  <sheetData>
    <row r="1" spans="1:6" x14ac:dyDescent="0.25">
      <c r="A1" t="s">
        <v>10221</v>
      </c>
      <c r="B1" t="s">
        <v>10222</v>
      </c>
      <c r="C1" t="s">
        <v>10223</v>
      </c>
      <c r="D1" s="19" t="s">
        <v>10224</v>
      </c>
      <c r="E1" s="19" t="s">
        <v>10225</v>
      </c>
      <c r="F1" t="s">
        <v>10231</v>
      </c>
    </row>
    <row r="2" spans="1:6" x14ac:dyDescent="0.25">
      <c r="A2" t="s">
        <v>8146</v>
      </c>
      <c r="B2" t="s">
        <v>8145</v>
      </c>
    </row>
    <row r="3" spans="1:6" x14ac:dyDescent="0.25">
      <c r="A3" t="s">
        <v>8148</v>
      </c>
      <c r="B3" t="s">
        <v>8147</v>
      </c>
      <c r="D3" s="19" t="s">
        <v>8149</v>
      </c>
    </row>
    <row r="4" spans="1:6" x14ac:dyDescent="0.25">
      <c r="A4" t="s">
        <v>8151</v>
      </c>
      <c r="B4" t="s">
        <v>8150</v>
      </c>
      <c r="D4" s="19" t="s">
        <v>8152</v>
      </c>
    </row>
    <row r="5" spans="1:6" x14ac:dyDescent="0.25">
      <c r="A5" t="s">
        <v>8153</v>
      </c>
      <c r="B5" s="8" t="s">
        <v>8154</v>
      </c>
    </row>
    <row r="6" spans="1:6" x14ac:dyDescent="0.25">
      <c r="A6" t="s">
        <v>8155</v>
      </c>
      <c r="B6" t="s">
        <v>8156</v>
      </c>
      <c r="D6" s="19" t="s">
        <v>8149</v>
      </c>
    </row>
    <row r="7" spans="1:6" x14ac:dyDescent="0.25">
      <c r="A7" t="s">
        <v>8157</v>
      </c>
    </row>
    <row r="8" spans="1:6" x14ac:dyDescent="0.25">
      <c r="A8" t="s">
        <v>8344</v>
      </c>
      <c r="B8" t="s">
        <v>8343</v>
      </c>
      <c r="D8" s="19" t="s">
        <v>8345</v>
      </c>
    </row>
    <row r="9" spans="1:6" x14ac:dyDescent="0.25">
      <c r="B9" t="s">
        <v>10220</v>
      </c>
    </row>
    <row r="10" spans="1:6" x14ac:dyDescent="0.25">
      <c r="A10" t="s">
        <v>10226</v>
      </c>
      <c r="B10" t="s">
        <v>10227</v>
      </c>
      <c r="C10" t="s">
        <v>9753</v>
      </c>
    </row>
    <row r="11" spans="1:6" x14ac:dyDescent="0.25">
      <c r="B11" t="s">
        <v>9056</v>
      </c>
    </row>
    <row r="12" spans="1:6" x14ac:dyDescent="0.25">
      <c r="A12" t="s">
        <v>10228</v>
      </c>
    </row>
    <row r="13" spans="1:6" x14ac:dyDescent="0.25">
      <c r="A13" t="s">
        <v>10229</v>
      </c>
      <c r="B13" t="s">
        <v>9151</v>
      </c>
      <c r="F13" t="s">
        <v>10230</v>
      </c>
    </row>
  </sheetData>
  <hyperlinks>
    <hyperlink ref="B5" r:id="rId1" location="f4" xr:uid="{FFEF3CAB-28CC-4A73-9E9B-E3E1B4D383A5}"/>
  </hyperlinks>
  <pageMargins left="0.7" right="0.7" top="0.75" bottom="0.75" header="0.3" footer="0.3"/>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4A6A7-420B-4B5B-8239-8DD3133FE27C}">
  <dimension ref="A1:O196"/>
  <sheetViews>
    <sheetView workbookViewId="0">
      <pane ySplit="1" topLeftCell="A2" activePane="bottomLeft" state="frozen"/>
      <selection activeCell="F24" sqref="F24"/>
      <selection pane="bottomLeft"/>
    </sheetView>
  </sheetViews>
  <sheetFormatPr defaultRowHeight="15" x14ac:dyDescent="0.25"/>
  <cols>
    <col min="1" max="1" width="12.7109375" bestFit="1" customWidth="1"/>
    <col min="2" max="2" width="13.28515625" bestFit="1" customWidth="1"/>
    <col min="3" max="3" width="10.5703125" bestFit="1" customWidth="1"/>
    <col min="4" max="4" width="15.7109375" bestFit="1" customWidth="1"/>
    <col min="5" max="5" width="100.42578125" bestFit="1" customWidth="1"/>
    <col min="6" max="6" width="16.42578125" bestFit="1" customWidth="1"/>
    <col min="7" max="7" width="32.42578125" bestFit="1" customWidth="1"/>
    <col min="8" max="8" width="23.85546875" bestFit="1" customWidth="1"/>
    <col min="9" max="9" width="42.42578125" bestFit="1" customWidth="1"/>
    <col min="15" max="15" width="135.85546875" style="30" customWidth="1"/>
  </cols>
  <sheetData>
    <row r="1" spans="1:15" x14ac:dyDescent="0.25">
      <c r="A1" t="s">
        <v>9152</v>
      </c>
      <c r="B1" t="s">
        <v>9153</v>
      </c>
      <c r="C1" t="s">
        <v>9346</v>
      </c>
      <c r="D1" t="s">
        <v>9605</v>
      </c>
      <c r="E1" t="s">
        <v>9347</v>
      </c>
      <c r="F1" t="s">
        <v>9350</v>
      </c>
      <c r="G1" t="s">
        <v>9348</v>
      </c>
      <c r="H1" t="s">
        <v>9002</v>
      </c>
      <c r="I1" t="s">
        <v>9137</v>
      </c>
    </row>
    <row r="2" spans="1:15" x14ac:dyDescent="0.25">
      <c r="A2" t="s">
        <v>9154</v>
      </c>
      <c r="B2" t="s">
        <v>7768</v>
      </c>
      <c r="C2" t="s">
        <v>1239</v>
      </c>
      <c r="E2" t="s">
        <v>8856</v>
      </c>
      <c r="F2" t="s">
        <v>3770</v>
      </c>
      <c r="I2" t="s">
        <v>9602</v>
      </c>
      <c r="O2" s="29" t="s">
        <v>9632</v>
      </c>
    </row>
    <row r="3" spans="1:15" x14ac:dyDescent="0.25">
      <c r="A3" t="s">
        <v>9155</v>
      </c>
      <c r="B3" t="s">
        <v>9156</v>
      </c>
      <c r="C3" t="s">
        <v>1145</v>
      </c>
      <c r="E3" t="s">
        <v>9400</v>
      </c>
      <c r="F3" t="s">
        <v>1912</v>
      </c>
      <c r="I3" t="s">
        <v>9602</v>
      </c>
      <c r="O3" s="29" t="s">
        <v>9633</v>
      </c>
    </row>
    <row r="4" spans="1:15" x14ac:dyDescent="0.25">
      <c r="A4" t="s">
        <v>9157</v>
      </c>
      <c r="B4" t="s">
        <v>9156</v>
      </c>
      <c r="C4" t="s">
        <v>1239</v>
      </c>
      <c r="E4" t="s">
        <v>9401</v>
      </c>
      <c r="F4" t="s">
        <v>3770</v>
      </c>
      <c r="I4" t="s">
        <v>9602</v>
      </c>
      <c r="O4" s="29" t="s">
        <v>9607</v>
      </c>
    </row>
    <row r="5" spans="1:15" x14ac:dyDescent="0.25">
      <c r="A5" t="s">
        <v>9158</v>
      </c>
      <c r="B5" t="s">
        <v>7768</v>
      </c>
      <c r="C5" t="s">
        <v>1239</v>
      </c>
      <c r="E5" t="s">
        <v>9402</v>
      </c>
      <c r="F5" t="s">
        <v>9399</v>
      </c>
      <c r="I5" t="s">
        <v>9602</v>
      </c>
      <c r="O5" s="29" t="s">
        <v>9608</v>
      </c>
    </row>
    <row r="6" spans="1:15" x14ac:dyDescent="0.25">
      <c r="A6" t="s">
        <v>9159</v>
      </c>
      <c r="B6" t="s">
        <v>9156</v>
      </c>
      <c r="C6" t="s">
        <v>1239</v>
      </c>
      <c r="E6" t="s">
        <v>9403</v>
      </c>
      <c r="F6" t="s">
        <v>1912</v>
      </c>
      <c r="I6" t="s">
        <v>9602</v>
      </c>
      <c r="O6" s="29" t="s">
        <v>9609</v>
      </c>
    </row>
    <row r="7" spans="1:15" x14ac:dyDescent="0.25">
      <c r="A7" t="s">
        <v>9160</v>
      </c>
      <c r="B7" t="s">
        <v>7768</v>
      </c>
      <c r="C7" t="s">
        <v>1280</v>
      </c>
      <c r="E7" t="s">
        <v>9404</v>
      </c>
      <c r="F7" t="s">
        <v>3770</v>
      </c>
      <c r="I7" t="s">
        <v>9602</v>
      </c>
      <c r="O7" s="29" t="s">
        <v>9610</v>
      </c>
    </row>
    <row r="8" spans="1:15" x14ac:dyDescent="0.25">
      <c r="A8" t="s">
        <v>9161</v>
      </c>
      <c r="B8" t="s">
        <v>9156</v>
      </c>
      <c r="C8" t="s">
        <v>1280</v>
      </c>
      <c r="E8" t="s">
        <v>9405</v>
      </c>
      <c r="F8" t="s">
        <v>1912</v>
      </c>
      <c r="I8" t="s">
        <v>9602</v>
      </c>
      <c r="O8" s="29" t="s">
        <v>9606</v>
      </c>
    </row>
    <row r="9" spans="1:15" x14ac:dyDescent="0.25">
      <c r="A9" t="s">
        <v>9162</v>
      </c>
      <c r="B9" t="s">
        <v>7768</v>
      </c>
      <c r="E9" t="s">
        <v>8019</v>
      </c>
      <c r="G9" t="s">
        <v>9425</v>
      </c>
      <c r="I9" t="s">
        <v>9603</v>
      </c>
      <c r="O9" s="29" t="s">
        <v>9612</v>
      </c>
    </row>
    <row r="10" spans="1:15" x14ac:dyDescent="0.25">
      <c r="A10" t="s">
        <v>9163</v>
      </c>
      <c r="B10" t="s">
        <v>7768</v>
      </c>
      <c r="E10" t="s">
        <v>9406</v>
      </c>
      <c r="I10" t="s">
        <v>9603</v>
      </c>
      <c r="O10" s="29" t="s">
        <v>9715</v>
      </c>
    </row>
    <row r="11" spans="1:15" x14ac:dyDescent="0.25">
      <c r="A11" t="s">
        <v>9164</v>
      </c>
      <c r="B11" t="s">
        <v>7768</v>
      </c>
      <c r="E11" t="s">
        <v>9407</v>
      </c>
      <c r="I11" t="s">
        <v>9603</v>
      </c>
      <c r="O11" s="29" t="s">
        <v>9720</v>
      </c>
    </row>
    <row r="12" spans="1:15" x14ac:dyDescent="0.25">
      <c r="A12" t="s">
        <v>9165</v>
      </c>
      <c r="B12" t="s">
        <v>7768</v>
      </c>
      <c r="E12" t="s">
        <v>9408</v>
      </c>
      <c r="I12" t="s">
        <v>9603</v>
      </c>
      <c r="O12" s="29" t="s">
        <v>9728</v>
      </c>
    </row>
    <row r="13" spans="1:15" ht="22.5" x14ac:dyDescent="0.25">
      <c r="A13" t="s">
        <v>9166</v>
      </c>
      <c r="B13" t="s">
        <v>7768</v>
      </c>
      <c r="E13" t="s">
        <v>7940</v>
      </c>
      <c r="I13" t="s">
        <v>9603</v>
      </c>
      <c r="O13" s="29" t="s">
        <v>9623</v>
      </c>
    </row>
    <row r="14" spans="1:15" x14ac:dyDescent="0.25">
      <c r="A14" t="s">
        <v>9167</v>
      </c>
      <c r="B14" t="s">
        <v>7768</v>
      </c>
      <c r="E14" t="s">
        <v>9409</v>
      </c>
      <c r="I14" t="s">
        <v>9603</v>
      </c>
      <c r="O14" s="29" t="s">
        <v>9668</v>
      </c>
    </row>
    <row r="15" spans="1:15" ht="22.5" x14ac:dyDescent="0.25">
      <c r="A15" t="s">
        <v>9168</v>
      </c>
      <c r="B15" t="s">
        <v>7768</v>
      </c>
      <c r="E15" t="s">
        <v>9410</v>
      </c>
      <c r="I15" t="s">
        <v>9603</v>
      </c>
      <c r="O15" s="29" t="s">
        <v>9669</v>
      </c>
    </row>
    <row r="16" spans="1:15" ht="22.5" x14ac:dyDescent="0.25">
      <c r="A16" t="s">
        <v>9169</v>
      </c>
      <c r="B16" t="s">
        <v>7768</v>
      </c>
      <c r="E16" t="s">
        <v>9411</v>
      </c>
      <c r="I16" t="s">
        <v>9603</v>
      </c>
      <c r="O16" s="29" t="s">
        <v>9670</v>
      </c>
    </row>
    <row r="17" spans="1:15" ht="22.5" x14ac:dyDescent="0.25">
      <c r="A17" t="s">
        <v>9170</v>
      </c>
      <c r="B17" t="s">
        <v>7768</v>
      </c>
      <c r="E17" t="s">
        <v>8820</v>
      </c>
      <c r="I17" t="s">
        <v>9603</v>
      </c>
      <c r="O17" s="29" t="s">
        <v>9671</v>
      </c>
    </row>
    <row r="18" spans="1:15" x14ac:dyDescent="0.25">
      <c r="A18" t="s">
        <v>9171</v>
      </c>
      <c r="B18" t="s">
        <v>7768</v>
      </c>
      <c r="E18" t="s">
        <v>8544</v>
      </c>
      <c r="I18" t="s">
        <v>9603</v>
      </c>
      <c r="O18" s="29" t="s">
        <v>9673</v>
      </c>
    </row>
    <row r="19" spans="1:15" x14ac:dyDescent="0.25">
      <c r="A19" t="s">
        <v>9172</v>
      </c>
      <c r="B19" t="s">
        <v>7768</v>
      </c>
      <c r="E19" t="s">
        <v>9412</v>
      </c>
      <c r="I19" t="s">
        <v>9603</v>
      </c>
      <c r="O19" s="29" t="s">
        <v>9674</v>
      </c>
    </row>
    <row r="20" spans="1:15" x14ac:dyDescent="0.25">
      <c r="A20" t="s">
        <v>9173</v>
      </c>
      <c r="B20" t="s">
        <v>7768</v>
      </c>
      <c r="E20" t="s">
        <v>9413</v>
      </c>
      <c r="I20" t="s">
        <v>9603</v>
      </c>
      <c r="O20" s="29" t="s">
        <v>9660</v>
      </c>
    </row>
    <row r="21" spans="1:15" x14ac:dyDescent="0.25">
      <c r="A21" t="s">
        <v>9174</v>
      </c>
      <c r="B21" t="s">
        <v>7768</v>
      </c>
      <c r="E21" t="s">
        <v>9414</v>
      </c>
      <c r="I21" t="s">
        <v>9603</v>
      </c>
      <c r="O21" s="29" t="s">
        <v>9695</v>
      </c>
    </row>
    <row r="22" spans="1:15" x14ac:dyDescent="0.25">
      <c r="A22" t="s">
        <v>9175</v>
      </c>
      <c r="B22" t="s">
        <v>7768</v>
      </c>
      <c r="E22" t="s">
        <v>5316</v>
      </c>
      <c r="I22" t="s">
        <v>9603</v>
      </c>
      <c r="O22" s="29" t="s">
        <v>9696</v>
      </c>
    </row>
    <row r="23" spans="1:15" x14ac:dyDescent="0.25">
      <c r="A23" t="s">
        <v>9176</v>
      </c>
      <c r="B23" t="s">
        <v>7768</v>
      </c>
      <c r="E23" t="s">
        <v>9415</v>
      </c>
      <c r="I23" t="s">
        <v>9603</v>
      </c>
      <c r="O23" s="29" t="s">
        <v>9697</v>
      </c>
    </row>
    <row r="24" spans="1:15" x14ac:dyDescent="0.25">
      <c r="A24" t="s">
        <v>9177</v>
      </c>
      <c r="B24" t="s">
        <v>7768</v>
      </c>
      <c r="E24" t="s">
        <v>5181</v>
      </c>
      <c r="I24" t="s">
        <v>9603</v>
      </c>
      <c r="O24" s="29" t="s">
        <v>9657</v>
      </c>
    </row>
    <row r="25" spans="1:15" x14ac:dyDescent="0.25">
      <c r="A25" t="s">
        <v>9178</v>
      </c>
      <c r="B25" t="s">
        <v>7768</v>
      </c>
      <c r="E25" t="s">
        <v>5143</v>
      </c>
      <c r="I25" t="s">
        <v>9603</v>
      </c>
      <c r="O25" s="29" t="s">
        <v>9659</v>
      </c>
    </row>
    <row r="26" spans="1:15" x14ac:dyDescent="0.25">
      <c r="A26" t="s">
        <v>9179</v>
      </c>
      <c r="B26" t="s">
        <v>7768</v>
      </c>
      <c r="E26" t="s">
        <v>9416</v>
      </c>
      <c r="I26" t="s">
        <v>9603</v>
      </c>
      <c r="O26" s="29" t="s">
        <v>9642</v>
      </c>
    </row>
    <row r="27" spans="1:15" x14ac:dyDescent="0.25">
      <c r="A27" t="s">
        <v>9180</v>
      </c>
      <c r="B27" t="s">
        <v>7768</v>
      </c>
      <c r="E27" t="s">
        <v>4914</v>
      </c>
      <c r="I27" t="s">
        <v>9603</v>
      </c>
      <c r="O27" s="29" t="s">
        <v>9654</v>
      </c>
    </row>
    <row r="28" spans="1:15" x14ac:dyDescent="0.25">
      <c r="A28" t="s">
        <v>9181</v>
      </c>
      <c r="B28" t="s">
        <v>7768</v>
      </c>
      <c r="E28" t="s">
        <v>9417</v>
      </c>
      <c r="I28" t="s">
        <v>9603</v>
      </c>
      <c r="O28" s="29" t="s">
        <v>9627</v>
      </c>
    </row>
    <row r="29" spans="1:15" x14ac:dyDescent="0.25">
      <c r="A29" t="s">
        <v>9182</v>
      </c>
      <c r="B29" t="s">
        <v>7768</v>
      </c>
      <c r="E29" t="s">
        <v>9418</v>
      </c>
      <c r="I29" t="s">
        <v>9603</v>
      </c>
      <c r="O29" s="29" t="s">
        <v>9641</v>
      </c>
    </row>
    <row r="30" spans="1:15" x14ac:dyDescent="0.25">
      <c r="A30" t="s">
        <v>9183</v>
      </c>
      <c r="B30" t="s">
        <v>7768</v>
      </c>
      <c r="E30" t="s">
        <v>9419</v>
      </c>
      <c r="I30" t="s">
        <v>9603</v>
      </c>
      <c r="O30" s="29" t="s">
        <v>9683</v>
      </c>
    </row>
    <row r="31" spans="1:15" x14ac:dyDescent="0.25">
      <c r="A31" t="s">
        <v>9184</v>
      </c>
      <c r="B31" t="s">
        <v>7768</v>
      </c>
      <c r="E31" t="s">
        <v>3982</v>
      </c>
      <c r="I31" t="s">
        <v>9603</v>
      </c>
      <c r="O31" s="29" t="s">
        <v>9649</v>
      </c>
    </row>
    <row r="32" spans="1:15" ht="22.5" x14ac:dyDescent="0.25">
      <c r="A32" t="s">
        <v>9185</v>
      </c>
      <c r="B32" t="s">
        <v>7768</v>
      </c>
      <c r="E32" t="s">
        <v>9420</v>
      </c>
      <c r="I32" t="s">
        <v>9603</v>
      </c>
      <c r="O32" s="29" t="s">
        <v>9650</v>
      </c>
    </row>
    <row r="33" spans="1:15" x14ac:dyDescent="0.25">
      <c r="A33" t="s">
        <v>9186</v>
      </c>
      <c r="B33" t="s">
        <v>7768</v>
      </c>
      <c r="E33" t="s">
        <v>9421</v>
      </c>
      <c r="I33" t="s">
        <v>9603</v>
      </c>
      <c r="O33" s="29" t="s">
        <v>9651</v>
      </c>
    </row>
    <row r="34" spans="1:15" x14ac:dyDescent="0.25">
      <c r="A34" t="s">
        <v>9187</v>
      </c>
      <c r="B34" t="s">
        <v>7768</v>
      </c>
      <c r="E34" t="s">
        <v>9422</v>
      </c>
      <c r="I34" t="s">
        <v>9603</v>
      </c>
      <c r="O34" s="29" t="s">
        <v>9652</v>
      </c>
    </row>
    <row r="35" spans="1:15" x14ac:dyDescent="0.25">
      <c r="A35" t="s">
        <v>9188</v>
      </c>
      <c r="B35" t="s">
        <v>7768</v>
      </c>
      <c r="E35" t="s">
        <v>9423</v>
      </c>
      <c r="I35" t="s">
        <v>9603</v>
      </c>
      <c r="O35" s="29" t="s">
        <v>9687</v>
      </c>
    </row>
    <row r="36" spans="1:15" x14ac:dyDescent="0.25">
      <c r="A36" t="s">
        <v>9189</v>
      </c>
      <c r="B36" t="s">
        <v>7768</v>
      </c>
      <c r="E36" t="s">
        <v>9424</v>
      </c>
      <c r="I36" t="s">
        <v>9603</v>
      </c>
      <c r="O36" s="29" t="s">
        <v>9629</v>
      </c>
    </row>
    <row r="37" spans="1:15" x14ac:dyDescent="0.25">
      <c r="A37" t="s">
        <v>9190</v>
      </c>
      <c r="B37" t="s">
        <v>9156</v>
      </c>
      <c r="C37" t="s">
        <v>3906</v>
      </c>
      <c r="E37" t="s">
        <v>9426</v>
      </c>
      <c r="I37" t="s">
        <v>9604</v>
      </c>
      <c r="O37" s="29" t="s">
        <v>9630</v>
      </c>
    </row>
    <row r="38" spans="1:15" x14ac:dyDescent="0.25">
      <c r="A38" t="s">
        <v>9191</v>
      </c>
      <c r="B38" t="s">
        <v>9156</v>
      </c>
      <c r="C38" t="s">
        <v>6279</v>
      </c>
      <c r="E38" t="s">
        <v>9427</v>
      </c>
      <c r="I38" t="s">
        <v>9604</v>
      </c>
      <c r="O38" s="29" t="s">
        <v>9637</v>
      </c>
    </row>
    <row r="39" spans="1:15" x14ac:dyDescent="0.25">
      <c r="A39" t="s">
        <v>9192</v>
      </c>
      <c r="B39" t="s">
        <v>9156</v>
      </c>
      <c r="C39" t="s">
        <v>6279</v>
      </c>
      <c r="E39" t="s">
        <v>9428</v>
      </c>
      <c r="I39" t="s">
        <v>9604</v>
      </c>
      <c r="O39" s="29" t="s">
        <v>9638</v>
      </c>
    </row>
    <row r="40" spans="1:15" x14ac:dyDescent="0.25">
      <c r="A40" t="s">
        <v>9193</v>
      </c>
      <c r="B40" t="s">
        <v>9156</v>
      </c>
      <c r="C40" t="s">
        <v>6279</v>
      </c>
      <c r="E40" t="s">
        <v>9429</v>
      </c>
      <c r="I40" t="s">
        <v>9604</v>
      </c>
      <c r="O40" s="29" t="s">
        <v>9639</v>
      </c>
    </row>
    <row r="41" spans="1:15" x14ac:dyDescent="0.25">
      <c r="A41" t="s">
        <v>9194</v>
      </c>
      <c r="B41" t="s">
        <v>9156</v>
      </c>
      <c r="C41" t="s">
        <v>1239</v>
      </c>
      <c r="E41" t="s">
        <v>9430</v>
      </c>
      <c r="I41" t="s">
        <v>9604</v>
      </c>
      <c r="O41" s="29" t="s">
        <v>9640</v>
      </c>
    </row>
    <row r="42" spans="1:15" x14ac:dyDescent="0.25">
      <c r="A42" t="s">
        <v>9195</v>
      </c>
      <c r="B42" t="s">
        <v>9156</v>
      </c>
      <c r="C42" t="s">
        <v>1239</v>
      </c>
      <c r="E42" t="s">
        <v>9431</v>
      </c>
      <c r="I42" t="s">
        <v>9604</v>
      </c>
      <c r="O42" s="29" t="s">
        <v>9643</v>
      </c>
    </row>
    <row r="43" spans="1:15" x14ac:dyDescent="0.25">
      <c r="A43" t="s">
        <v>9196</v>
      </c>
      <c r="B43" t="s">
        <v>9156</v>
      </c>
      <c r="C43" t="s">
        <v>1145</v>
      </c>
      <c r="E43" t="s">
        <v>9432</v>
      </c>
      <c r="I43" t="s">
        <v>9604</v>
      </c>
      <c r="O43" s="29" t="s">
        <v>9655</v>
      </c>
    </row>
    <row r="44" spans="1:15" x14ac:dyDescent="0.25">
      <c r="A44" t="s">
        <v>9197</v>
      </c>
      <c r="B44" t="s">
        <v>9156</v>
      </c>
      <c r="C44" t="s">
        <v>1239</v>
      </c>
      <c r="E44" t="s">
        <v>9433</v>
      </c>
      <c r="I44" t="s">
        <v>9604</v>
      </c>
      <c r="O44" s="29" t="s">
        <v>9699</v>
      </c>
    </row>
    <row r="45" spans="1:15" x14ac:dyDescent="0.25">
      <c r="A45" t="s">
        <v>9198</v>
      </c>
      <c r="B45" t="s">
        <v>9156</v>
      </c>
      <c r="C45" t="s">
        <v>1280</v>
      </c>
      <c r="E45" t="s">
        <v>9434</v>
      </c>
      <c r="I45" t="s">
        <v>9604</v>
      </c>
      <c r="O45" s="29" t="s">
        <v>9712</v>
      </c>
    </row>
    <row r="46" spans="1:15" x14ac:dyDescent="0.25">
      <c r="A46" t="s">
        <v>9199</v>
      </c>
      <c r="B46" t="s">
        <v>9156</v>
      </c>
      <c r="C46" t="s">
        <v>547</v>
      </c>
      <c r="E46" t="s">
        <v>9435</v>
      </c>
      <c r="I46" t="s">
        <v>9604</v>
      </c>
      <c r="O46" s="29" t="s">
        <v>9723</v>
      </c>
    </row>
    <row r="47" spans="1:15" x14ac:dyDescent="0.25">
      <c r="A47" t="s">
        <v>9200</v>
      </c>
      <c r="B47" t="s">
        <v>9156</v>
      </c>
      <c r="E47" t="s">
        <v>9436</v>
      </c>
      <c r="H47" t="s">
        <v>9600</v>
      </c>
      <c r="I47" t="s">
        <v>9604</v>
      </c>
      <c r="O47" s="29" t="s">
        <v>9724</v>
      </c>
    </row>
    <row r="48" spans="1:15" x14ac:dyDescent="0.25">
      <c r="A48" t="s">
        <v>9201</v>
      </c>
      <c r="B48" t="s">
        <v>9156</v>
      </c>
      <c r="E48" t="s">
        <v>9437</v>
      </c>
      <c r="H48" t="s">
        <v>9600</v>
      </c>
      <c r="I48" t="s">
        <v>9604</v>
      </c>
      <c r="O48" s="29" t="s">
        <v>9611</v>
      </c>
    </row>
    <row r="49" spans="1:15" x14ac:dyDescent="0.25">
      <c r="A49" t="s">
        <v>9202</v>
      </c>
      <c r="B49" t="s">
        <v>9156</v>
      </c>
      <c r="E49" t="s">
        <v>9438</v>
      </c>
      <c r="H49" t="s">
        <v>9600</v>
      </c>
      <c r="I49" t="s">
        <v>9604</v>
      </c>
      <c r="O49" s="29" t="s">
        <v>9615</v>
      </c>
    </row>
    <row r="50" spans="1:15" x14ac:dyDescent="0.25">
      <c r="A50" t="s">
        <v>9203</v>
      </c>
      <c r="B50" t="s">
        <v>9156</v>
      </c>
      <c r="E50" t="s">
        <v>9439</v>
      </c>
      <c r="H50" t="s">
        <v>9600</v>
      </c>
      <c r="I50" t="s">
        <v>9604</v>
      </c>
      <c r="O50" s="29" t="s">
        <v>9672</v>
      </c>
    </row>
    <row r="51" spans="1:15" x14ac:dyDescent="0.25">
      <c r="A51" t="s">
        <v>9204</v>
      </c>
      <c r="B51" t="s">
        <v>9156</v>
      </c>
      <c r="E51" t="s">
        <v>9440</v>
      </c>
      <c r="H51" t="s">
        <v>9600</v>
      </c>
      <c r="I51" t="s">
        <v>9604</v>
      </c>
      <c r="O51" s="29" t="s">
        <v>9675</v>
      </c>
    </row>
    <row r="52" spans="1:15" x14ac:dyDescent="0.25">
      <c r="A52" t="s">
        <v>9205</v>
      </c>
      <c r="B52" t="s">
        <v>9156</v>
      </c>
      <c r="E52" t="s">
        <v>9441</v>
      </c>
      <c r="H52" t="s">
        <v>9600</v>
      </c>
      <c r="I52" t="s">
        <v>9604</v>
      </c>
      <c r="O52" s="29" t="s">
        <v>9613</v>
      </c>
    </row>
    <row r="53" spans="1:15" x14ac:dyDescent="0.25">
      <c r="A53" t="s">
        <v>9206</v>
      </c>
      <c r="B53" t="s">
        <v>9156</v>
      </c>
      <c r="E53" t="s">
        <v>9442</v>
      </c>
      <c r="H53" t="s">
        <v>9600</v>
      </c>
      <c r="I53" t="s">
        <v>9604</v>
      </c>
      <c r="O53" s="29" t="s">
        <v>9691</v>
      </c>
    </row>
    <row r="54" spans="1:15" x14ac:dyDescent="0.25">
      <c r="A54" t="s">
        <v>9207</v>
      </c>
      <c r="B54" t="s">
        <v>9156</v>
      </c>
      <c r="E54" t="s">
        <v>9443</v>
      </c>
      <c r="H54" t="s">
        <v>9600</v>
      </c>
      <c r="I54" t="s">
        <v>9604</v>
      </c>
      <c r="O54" s="29" t="s">
        <v>9692</v>
      </c>
    </row>
    <row r="55" spans="1:15" x14ac:dyDescent="0.25">
      <c r="A55" t="s">
        <v>9208</v>
      </c>
      <c r="B55" t="s">
        <v>9156</v>
      </c>
      <c r="C55" t="s">
        <v>393</v>
      </c>
      <c r="E55" t="s">
        <v>9444</v>
      </c>
      <c r="H55" t="s">
        <v>9600</v>
      </c>
      <c r="I55" t="s">
        <v>9604</v>
      </c>
      <c r="O55" s="29" t="s">
        <v>9714</v>
      </c>
    </row>
    <row r="56" spans="1:15" x14ac:dyDescent="0.25">
      <c r="A56" t="s">
        <v>9209</v>
      </c>
      <c r="B56" t="s">
        <v>9156</v>
      </c>
      <c r="C56" t="s">
        <v>393</v>
      </c>
      <c r="E56" t="s">
        <v>9445</v>
      </c>
      <c r="H56" t="s">
        <v>9600</v>
      </c>
      <c r="I56" t="s">
        <v>9604</v>
      </c>
      <c r="O56" s="29" t="s">
        <v>9616</v>
      </c>
    </row>
    <row r="57" spans="1:15" x14ac:dyDescent="0.25">
      <c r="A57" t="s">
        <v>9210</v>
      </c>
      <c r="B57" t="s">
        <v>9156</v>
      </c>
      <c r="C57" t="s">
        <v>393</v>
      </c>
      <c r="E57" t="s">
        <v>9446</v>
      </c>
      <c r="H57" t="s">
        <v>9600</v>
      </c>
      <c r="I57" t="s">
        <v>9604</v>
      </c>
      <c r="O57" s="29" t="s">
        <v>9658</v>
      </c>
    </row>
    <row r="58" spans="1:15" x14ac:dyDescent="0.25">
      <c r="A58" t="s">
        <v>9211</v>
      </c>
      <c r="B58" t="s">
        <v>9156</v>
      </c>
      <c r="C58" t="s">
        <v>393</v>
      </c>
      <c r="E58" t="s">
        <v>9447</v>
      </c>
      <c r="H58" t="s">
        <v>9600</v>
      </c>
      <c r="I58" t="s">
        <v>9604</v>
      </c>
      <c r="O58" s="29" t="s">
        <v>9677</v>
      </c>
    </row>
    <row r="59" spans="1:15" x14ac:dyDescent="0.25">
      <c r="A59" t="s">
        <v>9212</v>
      </c>
      <c r="B59" t="s">
        <v>7768</v>
      </c>
      <c r="E59" t="s">
        <v>9448</v>
      </c>
      <c r="H59" t="s">
        <v>9600</v>
      </c>
      <c r="I59" t="s">
        <v>9604</v>
      </c>
      <c r="O59" s="29" t="s">
        <v>9684</v>
      </c>
    </row>
    <row r="60" spans="1:15" x14ac:dyDescent="0.25">
      <c r="A60" t="s">
        <v>9213</v>
      </c>
      <c r="B60" t="s">
        <v>9156</v>
      </c>
      <c r="C60" t="s">
        <v>1239</v>
      </c>
      <c r="E60" t="s">
        <v>9449</v>
      </c>
      <c r="H60" t="s">
        <v>9600</v>
      </c>
      <c r="I60" t="s">
        <v>9604</v>
      </c>
      <c r="O60" s="29" t="s">
        <v>9701</v>
      </c>
    </row>
    <row r="61" spans="1:15" x14ac:dyDescent="0.25">
      <c r="A61" t="s">
        <v>9214</v>
      </c>
      <c r="B61" t="s">
        <v>9156</v>
      </c>
      <c r="C61" t="s">
        <v>1239</v>
      </c>
      <c r="E61" t="s">
        <v>9450</v>
      </c>
      <c r="H61" t="s">
        <v>9600</v>
      </c>
      <c r="I61" t="s">
        <v>9604</v>
      </c>
      <c r="O61" s="29" t="s">
        <v>9721</v>
      </c>
    </row>
    <row r="62" spans="1:15" x14ac:dyDescent="0.25">
      <c r="A62" t="s">
        <v>9215</v>
      </c>
      <c r="B62" t="s">
        <v>9156</v>
      </c>
      <c r="C62" t="s">
        <v>1280</v>
      </c>
      <c r="E62" t="s">
        <v>9451</v>
      </c>
      <c r="H62" t="s">
        <v>9600</v>
      </c>
      <c r="I62" t="s">
        <v>9604</v>
      </c>
      <c r="O62" s="29" t="s">
        <v>9722</v>
      </c>
    </row>
    <row r="63" spans="1:15" x14ac:dyDescent="0.25">
      <c r="A63" t="s">
        <v>9216</v>
      </c>
      <c r="B63" t="s">
        <v>9156</v>
      </c>
      <c r="C63" t="s">
        <v>1280</v>
      </c>
      <c r="E63" t="s">
        <v>9452</v>
      </c>
      <c r="H63" t="s">
        <v>9600</v>
      </c>
      <c r="I63" t="s">
        <v>9604</v>
      </c>
      <c r="O63" s="29" t="s">
        <v>9631</v>
      </c>
    </row>
    <row r="64" spans="1:15" x14ac:dyDescent="0.25">
      <c r="A64" t="s">
        <v>9217</v>
      </c>
      <c r="B64" t="s">
        <v>9156</v>
      </c>
      <c r="C64" t="s">
        <v>1280</v>
      </c>
      <c r="E64" t="s">
        <v>9453</v>
      </c>
      <c r="H64" t="s">
        <v>9600</v>
      </c>
      <c r="I64" t="s">
        <v>9604</v>
      </c>
      <c r="O64" s="29" t="s">
        <v>9646</v>
      </c>
    </row>
    <row r="65" spans="1:15" x14ac:dyDescent="0.25">
      <c r="A65" t="s">
        <v>9218</v>
      </c>
      <c r="B65" t="s">
        <v>9156</v>
      </c>
      <c r="C65" t="s">
        <v>1280</v>
      </c>
      <c r="E65" t="s">
        <v>9454</v>
      </c>
      <c r="H65" t="s">
        <v>9600</v>
      </c>
      <c r="I65" t="s">
        <v>9604</v>
      </c>
      <c r="O65" s="29" t="s">
        <v>9664</v>
      </c>
    </row>
    <row r="66" spans="1:15" x14ac:dyDescent="0.25">
      <c r="A66" t="s">
        <v>9219</v>
      </c>
      <c r="B66" t="s">
        <v>9156</v>
      </c>
      <c r="C66" t="s">
        <v>1145</v>
      </c>
      <c r="E66" t="s">
        <v>9455</v>
      </c>
      <c r="H66" t="s">
        <v>9600</v>
      </c>
      <c r="I66" t="s">
        <v>9604</v>
      </c>
      <c r="O66" s="29" t="s">
        <v>9665</v>
      </c>
    </row>
    <row r="67" spans="1:15" x14ac:dyDescent="0.25">
      <c r="A67" t="s">
        <v>9220</v>
      </c>
      <c r="B67" t="s">
        <v>9156</v>
      </c>
      <c r="C67" t="s">
        <v>1145</v>
      </c>
      <c r="E67" t="s">
        <v>9456</v>
      </c>
      <c r="H67" t="s">
        <v>9600</v>
      </c>
      <c r="I67" t="s">
        <v>9604</v>
      </c>
      <c r="O67" s="29" t="s">
        <v>9666</v>
      </c>
    </row>
    <row r="68" spans="1:15" x14ac:dyDescent="0.25">
      <c r="A68" t="s">
        <v>9221</v>
      </c>
      <c r="B68" t="s">
        <v>9156</v>
      </c>
      <c r="C68" t="s">
        <v>113</v>
      </c>
      <c r="E68" t="s">
        <v>9457</v>
      </c>
      <c r="H68" t="s">
        <v>9600</v>
      </c>
      <c r="I68" t="s">
        <v>9604</v>
      </c>
      <c r="O68" s="29" t="s">
        <v>9667</v>
      </c>
    </row>
    <row r="69" spans="1:15" x14ac:dyDescent="0.25">
      <c r="A69" t="s">
        <v>9222</v>
      </c>
      <c r="B69" t="s">
        <v>7768</v>
      </c>
      <c r="C69" t="s">
        <v>959</v>
      </c>
      <c r="D69" t="s">
        <v>9351</v>
      </c>
      <c r="E69" t="s">
        <v>8713</v>
      </c>
      <c r="H69" t="s">
        <v>9600</v>
      </c>
      <c r="I69" t="s">
        <v>9604</v>
      </c>
      <c r="O69" s="29" t="s">
        <v>9676</v>
      </c>
    </row>
    <row r="70" spans="1:15" x14ac:dyDescent="0.25">
      <c r="A70" t="s">
        <v>9223</v>
      </c>
      <c r="B70" t="s">
        <v>7768</v>
      </c>
      <c r="C70" t="s">
        <v>959</v>
      </c>
      <c r="D70" t="s">
        <v>9352</v>
      </c>
      <c r="E70" t="s">
        <v>8380</v>
      </c>
      <c r="H70" t="s">
        <v>9600</v>
      </c>
      <c r="I70" t="s">
        <v>9604</v>
      </c>
      <c r="O70" s="29" t="s">
        <v>9685</v>
      </c>
    </row>
    <row r="71" spans="1:15" x14ac:dyDescent="0.25">
      <c r="A71" t="s">
        <v>9224</v>
      </c>
      <c r="B71" t="s">
        <v>9156</v>
      </c>
      <c r="C71" t="s">
        <v>547</v>
      </c>
      <c r="E71" t="s">
        <v>9458</v>
      </c>
      <c r="H71" t="s">
        <v>9600</v>
      </c>
      <c r="I71" t="s">
        <v>9604</v>
      </c>
      <c r="O71" s="29" t="s">
        <v>9614</v>
      </c>
    </row>
    <row r="72" spans="1:15" x14ac:dyDescent="0.25">
      <c r="A72" t="s">
        <v>9225</v>
      </c>
      <c r="B72" t="s">
        <v>9156</v>
      </c>
      <c r="C72" t="s">
        <v>547</v>
      </c>
      <c r="E72" t="s">
        <v>9459</v>
      </c>
      <c r="H72" t="s">
        <v>9600</v>
      </c>
      <c r="I72" t="s">
        <v>9604</v>
      </c>
      <c r="O72" s="29" t="s">
        <v>9663</v>
      </c>
    </row>
    <row r="73" spans="1:15" ht="22.5" x14ac:dyDescent="0.25">
      <c r="A73" t="s">
        <v>9226</v>
      </c>
      <c r="B73" t="s">
        <v>7768</v>
      </c>
      <c r="E73" t="s">
        <v>9460</v>
      </c>
      <c r="H73" t="s">
        <v>9600</v>
      </c>
      <c r="I73" t="s">
        <v>9604</v>
      </c>
      <c r="O73" s="29" t="s">
        <v>9661</v>
      </c>
    </row>
    <row r="74" spans="1:15" x14ac:dyDescent="0.25">
      <c r="A74" t="s">
        <v>9227</v>
      </c>
      <c r="B74" t="s">
        <v>9156</v>
      </c>
      <c r="C74" t="s">
        <v>113</v>
      </c>
      <c r="E74" t="s">
        <v>9461</v>
      </c>
      <c r="H74" t="s">
        <v>9600</v>
      </c>
      <c r="I74" t="s">
        <v>9604</v>
      </c>
      <c r="O74" s="29" t="s">
        <v>9662</v>
      </c>
    </row>
    <row r="75" spans="1:15" x14ac:dyDescent="0.25">
      <c r="A75" t="s">
        <v>9228</v>
      </c>
      <c r="B75" t="s">
        <v>7768</v>
      </c>
      <c r="C75" t="s">
        <v>143</v>
      </c>
      <c r="D75" t="s">
        <v>9353</v>
      </c>
      <c r="E75" t="s">
        <v>8474</v>
      </c>
      <c r="H75" t="s">
        <v>9600</v>
      </c>
      <c r="I75" t="s">
        <v>9604</v>
      </c>
      <c r="O75" s="29" t="s">
        <v>9693</v>
      </c>
    </row>
    <row r="76" spans="1:15" x14ac:dyDescent="0.25">
      <c r="A76" t="s">
        <v>9229</v>
      </c>
      <c r="B76" t="s">
        <v>9156</v>
      </c>
      <c r="E76" t="s">
        <v>9462</v>
      </c>
      <c r="H76" t="s">
        <v>9600</v>
      </c>
      <c r="I76" t="s">
        <v>9604</v>
      </c>
      <c r="O76" s="29" t="s">
        <v>9694</v>
      </c>
    </row>
    <row r="77" spans="1:15" x14ac:dyDescent="0.25">
      <c r="A77" t="s">
        <v>9230</v>
      </c>
      <c r="B77" t="s">
        <v>9156</v>
      </c>
      <c r="E77" t="s">
        <v>9463</v>
      </c>
      <c r="H77" t="s">
        <v>9600</v>
      </c>
      <c r="I77" t="s">
        <v>9604</v>
      </c>
      <c r="O77" s="29" t="s">
        <v>9713</v>
      </c>
    </row>
    <row r="78" spans="1:15" x14ac:dyDescent="0.25">
      <c r="A78" t="s">
        <v>9231</v>
      </c>
      <c r="B78" t="s">
        <v>9156</v>
      </c>
      <c r="E78" t="s">
        <v>9464</v>
      </c>
      <c r="H78" t="s">
        <v>9600</v>
      </c>
      <c r="I78" t="s">
        <v>9604</v>
      </c>
      <c r="O78" s="29" t="s">
        <v>9725</v>
      </c>
    </row>
    <row r="79" spans="1:15" x14ac:dyDescent="0.25">
      <c r="A79" t="s">
        <v>9232</v>
      </c>
      <c r="B79" t="s">
        <v>7768</v>
      </c>
      <c r="C79" t="s">
        <v>195</v>
      </c>
      <c r="D79" t="s">
        <v>9354</v>
      </c>
      <c r="E79" t="s">
        <v>9465</v>
      </c>
      <c r="H79" t="s">
        <v>9600</v>
      </c>
      <c r="I79" t="s">
        <v>9604</v>
      </c>
      <c r="O79" s="29" t="s">
        <v>9619</v>
      </c>
    </row>
    <row r="80" spans="1:15" x14ac:dyDescent="0.25">
      <c r="A80" t="s">
        <v>9233</v>
      </c>
      <c r="B80" t="s">
        <v>7768</v>
      </c>
      <c r="C80" t="s">
        <v>195</v>
      </c>
      <c r="D80" t="s">
        <v>9355</v>
      </c>
      <c r="E80" t="s">
        <v>9466</v>
      </c>
      <c r="H80" t="s">
        <v>9600</v>
      </c>
      <c r="I80" t="s">
        <v>9604</v>
      </c>
      <c r="O80" s="29" t="s">
        <v>9636</v>
      </c>
    </row>
    <row r="81" spans="1:15" x14ac:dyDescent="0.25">
      <c r="A81" t="s">
        <v>9234</v>
      </c>
      <c r="B81" t="s">
        <v>7768</v>
      </c>
      <c r="C81">
        <v>2004</v>
      </c>
      <c r="E81" t="s">
        <v>9467</v>
      </c>
      <c r="H81" t="s">
        <v>9600</v>
      </c>
      <c r="I81" t="s">
        <v>9604</v>
      </c>
      <c r="O81" s="29" t="s">
        <v>9686</v>
      </c>
    </row>
    <row r="82" spans="1:15" x14ac:dyDescent="0.25">
      <c r="A82" t="s">
        <v>9235</v>
      </c>
      <c r="B82" t="s">
        <v>7768</v>
      </c>
      <c r="C82">
        <v>2004</v>
      </c>
      <c r="D82" s="28" t="s">
        <v>9370</v>
      </c>
      <c r="E82" t="s">
        <v>9468</v>
      </c>
      <c r="H82" t="s">
        <v>9600</v>
      </c>
      <c r="I82" t="s">
        <v>9604</v>
      </c>
      <c r="O82" s="30" t="s">
        <v>9730</v>
      </c>
    </row>
    <row r="83" spans="1:15" x14ac:dyDescent="0.25">
      <c r="A83" t="s">
        <v>9236</v>
      </c>
      <c r="B83" t="s">
        <v>7768</v>
      </c>
      <c r="C83">
        <v>2004</v>
      </c>
      <c r="D83" s="28" t="s">
        <v>9473</v>
      </c>
      <c r="E83" t="s">
        <v>9469</v>
      </c>
      <c r="H83" t="s">
        <v>9600</v>
      </c>
      <c r="I83" t="s">
        <v>9604</v>
      </c>
      <c r="O83" s="29" t="s">
        <v>9620</v>
      </c>
    </row>
    <row r="84" spans="1:15" x14ac:dyDescent="0.25">
      <c r="A84" t="s">
        <v>9237</v>
      </c>
      <c r="B84" t="s">
        <v>7768</v>
      </c>
      <c r="C84">
        <v>2004</v>
      </c>
      <c r="D84" s="28" t="s">
        <v>9370</v>
      </c>
      <c r="E84" t="s">
        <v>9470</v>
      </c>
      <c r="H84" t="s">
        <v>9600</v>
      </c>
      <c r="I84" t="s">
        <v>9604</v>
      </c>
      <c r="O84" s="29" t="s">
        <v>9621</v>
      </c>
    </row>
    <row r="85" spans="1:15" x14ac:dyDescent="0.25">
      <c r="A85" t="s">
        <v>9238</v>
      </c>
      <c r="B85" t="s">
        <v>7768</v>
      </c>
      <c r="C85">
        <v>2008</v>
      </c>
      <c r="D85" s="28" t="s">
        <v>9370</v>
      </c>
      <c r="E85" t="s">
        <v>9471</v>
      </c>
      <c r="H85" t="s">
        <v>9600</v>
      </c>
      <c r="I85" t="s">
        <v>9604</v>
      </c>
      <c r="O85" s="29" t="s">
        <v>9622</v>
      </c>
    </row>
    <row r="86" spans="1:15" x14ac:dyDescent="0.25">
      <c r="A86" t="s">
        <v>9239</v>
      </c>
      <c r="B86" t="s">
        <v>7768</v>
      </c>
      <c r="C86">
        <v>2005</v>
      </c>
      <c r="D86" s="28" t="s">
        <v>9370</v>
      </c>
      <c r="E86" t="s">
        <v>9472</v>
      </c>
      <c r="H86" t="s">
        <v>9600</v>
      </c>
      <c r="I86" t="s">
        <v>9604</v>
      </c>
      <c r="O86" s="29" t="s">
        <v>9628</v>
      </c>
    </row>
    <row r="87" spans="1:15" ht="22.5" x14ac:dyDescent="0.25">
      <c r="A87" t="s">
        <v>9240</v>
      </c>
      <c r="B87" t="s">
        <v>7768</v>
      </c>
      <c r="C87" t="s">
        <v>1053</v>
      </c>
      <c r="D87" t="s">
        <v>9356</v>
      </c>
      <c r="E87" t="s">
        <v>8759</v>
      </c>
      <c r="F87" t="s">
        <v>9560</v>
      </c>
      <c r="H87" t="s">
        <v>9601</v>
      </c>
      <c r="O87" s="29" t="s">
        <v>9634</v>
      </c>
    </row>
    <row r="88" spans="1:15" ht="22.5" x14ac:dyDescent="0.25">
      <c r="A88" t="s">
        <v>9241</v>
      </c>
      <c r="B88" t="s">
        <v>7768</v>
      </c>
      <c r="C88" t="s">
        <v>547</v>
      </c>
      <c r="D88" t="s">
        <v>547</v>
      </c>
      <c r="E88" t="s">
        <v>9474</v>
      </c>
      <c r="F88" t="s">
        <v>9595</v>
      </c>
      <c r="H88" t="s">
        <v>9601</v>
      </c>
      <c r="O88" s="29" t="s">
        <v>9635</v>
      </c>
    </row>
    <row r="89" spans="1:15" x14ac:dyDescent="0.25">
      <c r="A89" t="s">
        <v>9242</v>
      </c>
      <c r="B89" t="s">
        <v>9156</v>
      </c>
      <c r="E89" s="27" t="s">
        <v>9476</v>
      </c>
      <c r="F89" t="s">
        <v>9561</v>
      </c>
      <c r="H89" t="s">
        <v>9601</v>
      </c>
      <c r="O89" s="29" t="s">
        <v>9645</v>
      </c>
    </row>
    <row r="90" spans="1:15" x14ac:dyDescent="0.25">
      <c r="A90" t="s">
        <v>9243</v>
      </c>
      <c r="B90" t="s">
        <v>7768</v>
      </c>
      <c r="C90" t="s">
        <v>195</v>
      </c>
      <c r="D90" t="s">
        <v>195</v>
      </c>
      <c r="E90" t="s">
        <v>9099</v>
      </c>
      <c r="F90" t="s">
        <v>9561</v>
      </c>
      <c r="H90" t="s">
        <v>9601</v>
      </c>
      <c r="O90" s="29" t="s">
        <v>9647</v>
      </c>
    </row>
    <row r="91" spans="1:15" x14ac:dyDescent="0.25">
      <c r="A91" t="s">
        <v>9244</v>
      </c>
      <c r="B91" t="s">
        <v>7768</v>
      </c>
      <c r="C91" t="s">
        <v>143</v>
      </c>
      <c r="D91" t="s">
        <v>113</v>
      </c>
      <c r="E91" t="s">
        <v>8985</v>
      </c>
      <c r="F91" t="s">
        <v>9561</v>
      </c>
      <c r="H91" t="s">
        <v>9601</v>
      </c>
      <c r="O91" s="29" t="s">
        <v>9688</v>
      </c>
    </row>
    <row r="92" spans="1:15" x14ac:dyDescent="0.25">
      <c r="A92" t="s">
        <v>9245</v>
      </c>
      <c r="B92" t="s">
        <v>9156</v>
      </c>
      <c r="C92">
        <v>2005</v>
      </c>
      <c r="E92" t="s">
        <v>9475</v>
      </c>
      <c r="F92" t="s">
        <v>9561</v>
      </c>
      <c r="H92" t="s">
        <v>9601</v>
      </c>
      <c r="O92" s="29" t="s">
        <v>9698</v>
      </c>
    </row>
    <row r="93" spans="1:15" ht="22.5" x14ac:dyDescent="0.25">
      <c r="A93" t="s">
        <v>9246</v>
      </c>
      <c r="B93" t="s">
        <v>7768</v>
      </c>
      <c r="C93" t="s">
        <v>113</v>
      </c>
      <c r="D93" t="s">
        <v>9357</v>
      </c>
      <c r="E93" t="s">
        <v>9477</v>
      </c>
      <c r="F93" t="s">
        <v>9562</v>
      </c>
      <c r="H93" t="s">
        <v>9601</v>
      </c>
      <c r="O93" s="29" t="s">
        <v>9700</v>
      </c>
    </row>
    <row r="94" spans="1:15" x14ac:dyDescent="0.25">
      <c r="A94" t="s">
        <v>9247</v>
      </c>
      <c r="B94" t="s">
        <v>7768</v>
      </c>
      <c r="C94" t="s">
        <v>547</v>
      </c>
      <c r="D94" t="s">
        <v>113</v>
      </c>
      <c r="E94" t="s">
        <v>9138</v>
      </c>
      <c r="F94" t="s">
        <v>9562</v>
      </c>
      <c r="H94" t="s">
        <v>9601</v>
      </c>
      <c r="O94" s="29" t="s">
        <v>9702</v>
      </c>
    </row>
    <row r="95" spans="1:15" x14ac:dyDescent="0.25">
      <c r="A95" t="s">
        <v>9248</v>
      </c>
      <c r="B95" t="s">
        <v>7768</v>
      </c>
      <c r="C95" t="s">
        <v>143</v>
      </c>
      <c r="D95" t="s">
        <v>9358</v>
      </c>
      <c r="E95" t="s">
        <v>9478</v>
      </c>
      <c r="F95" t="s">
        <v>9562</v>
      </c>
      <c r="H95" t="s">
        <v>9601</v>
      </c>
      <c r="O95" s="29" t="s">
        <v>9703</v>
      </c>
    </row>
    <row r="96" spans="1:15" x14ac:dyDescent="0.25">
      <c r="A96" t="s">
        <v>9249</v>
      </c>
      <c r="B96" t="s">
        <v>7768</v>
      </c>
      <c r="C96" t="s">
        <v>87</v>
      </c>
      <c r="D96" t="s">
        <v>9357</v>
      </c>
      <c r="E96" t="s">
        <v>9116</v>
      </c>
      <c r="F96" t="s">
        <v>9562</v>
      </c>
      <c r="H96" t="s">
        <v>9601</v>
      </c>
      <c r="O96" s="29" t="s">
        <v>9704</v>
      </c>
    </row>
    <row r="97" spans="1:15" x14ac:dyDescent="0.25">
      <c r="A97" t="s">
        <v>9250</v>
      </c>
      <c r="B97" t="s">
        <v>7768</v>
      </c>
      <c r="C97" t="s">
        <v>9359</v>
      </c>
      <c r="D97" t="s">
        <v>9357</v>
      </c>
      <c r="E97" t="s">
        <v>9479</v>
      </c>
      <c r="F97" t="s">
        <v>9562</v>
      </c>
      <c r="H97" t="s">
        <v>9601</v>
      </c>
      <c r="O97" s="29" t="s">
        <v>9705</v>
      </c>
    </row>
    <row r="98" spans="1:15" x14ac:dyDescent="0.25">
      <c r="A98" t="s">
        <v>9250</v>
      </c>
      <c r="B98" t="s">
        <v>7768</v>
      </c>
      <c r="C98" t="s">
        <v>9360</v>
      </c>
      <c r="D98" t="s">
        <v>9357</v>
      </c>
      <c r="E98" t="s">
        <v>9480</v>
      </c>
      <c r="F98" t="s">
        <v>9562</v>
      </c>
      <c r="H98" t="s">
        <v>9601</v>
      </c>
      <c r="O98" s="29" t="s">
        <v>9727</v>
      </c>
    </row>
    <row r="99" spans="1:15" x14ac:dyDescent="0.25">
      <c r="A99" t="s">
        <v>9251</v>
      </c>
      <c r="B99" t="s">
        <v>7768</v>
      </c>
      <c r="C99" t="s">
        <v>9359</v>
      </c>
      <c r="D99" t="s">
        <v>9357</v>
      </c>
      <c r="E99" t="s">
        <v>9096</v>
      </c>
      <c r="F99" t="s">
        <v>9562</v>
      </c>
      <c r="H99" t="s">
        <v>9601</v>
      </c>
      <c r="O99" s="29" t="s">
        <v>9626</v>
      </c>
    </row>
    <row r="100" spans="1:15" x14ac:dyDescent="0.25">
      <c r="A100" t="s">
        <v>9252</v>
      </c>
      <c r="B100" t="s">
        <v>7768</v>
      </c>
      <c r="C100" t="s">
        <v>9360</v>
      </c>
      <c r="D100" t="s">
        <v>9361</v>
      </c>
      <c r="E100" t="s">
        <v>9481</v>
      </c>
      <c r="F100" t="s">
        <v>9562</v>
      </c>
      <c r="H100" t="s">
        <v>9601</v>
      </c>
      <c r="O100" s="29" t="s">
        <v>9678</v>
      </c>
    </row>
    <row r="101" spans="1:15" x14ac:dyDescent="0.25">
      <c r="A101" t="s">
        <v>9253</v>
      </c>
      <c r="B101" t="s">
        <v>7768</v>
      </c>
      <c r="C101" t="s">
        <v>959</v>
      </c>
      <c r="D101" t="s">
        <v>9362</v>
      </c>
      <c r="E101" t="s">
        <v>9482</v>
      </c>
      <c r="F101" t="s">
        <v>9563</v>
      </c>
      <c r="H101" t="s">
        <v>9601</v>
      </c>
      <c r="O101" s="29" t="s">
        <v>9706</v>
      </c>
    </row>
    <row r="102" spans="1:15" x14ac:dyDescent="0.25">
      <c r="A102" t="s">
        <v>9254</v>
      </c>
      <c r="B102" t="s">
        <v>7768</v>
      </c>
      <c r="C102" t="s">
        <v>87</v>
      </c>
      <c r="D102" t="s">
        <v>9362</v>
      </c>
      <c r="E102" t="s">
        <v>9483</v>
      </c>
      <c r="F102" t="s">
        <v>9563</v>
      </c>
      <c r="H102" t="s">
        <v>9601</v>
      </c>
      <c r="O102" s="29" t="s">
        <v>9707</v>
      </c>
    </row>
    <row r="103" spans="1:15" x14ac:dyDescent="0.25">
      <c r="A103" t="s">
        <v>9255</v>
      </c>
      <c r="B103" t="s">
        <v>7768</v>
      </c>
      <c r="C103" t="s">
        <v>9359</v>
      </c>
      <c r="D103" t="s">
        <v>9363</v>
      </c>
      <c r="E103" t="s">
        <v>9112</v>
      </c>
      <c r="F103" t="s">
        <v>9563</v>
      </c>
      <c r="H103" t="s">
        <v>9601</v>
      </c>
      <c r="O103" s="29" t="s">
        <v>9708</v>
      </c>
    </row>
    <row r="104" spans="1:15" x14ac:dyDescent="0.25">
      <c r="A104" t="s">
        <v>9256</v>
      </c>
      <c r="B104" t="s">
        <v>7768</v>
      </c>
      <c r="C104" t="s">
        <v>195</v>
      </c>
      <c r="D104" t="s">
        <v>9362</v>
      </c>
      <c r="E104" t="s">
        <v>9596</v>
      </c>
      <c r="F104" t="s">
        <v>9597</v>
      </c>
      <c r="H104" t="s">
        <v>9601</v>
      </c>
      <c r="O104" s="29" t="s">
        <v>9709</v>
      </c>
    </row>
    <row r="105" spans="1:15" x14ac:dyDescent="0.25">
      <c r="A105" t="s">
        <v>9257</v>
      </c>
      <c r="B105" t="s">
        <v>7768</v>
      </c>
      <c r="C105" t="s">
        <v>9364</v>
      </c>
      <c r="D105" t="s">
        <v>9365</v>
      </c>
      <c r="E105" t="s">
        <v>9484</v>
      </c>
      <c r="F105" t="s">
        <v>9564</v>
      </c>
      <c r="H105" t="s">
        <v>9601</v>
      </c>
      <c r="O105" s="29" t="s">
        <v>9710</v>
      </c>
    </row>
    <row r="106" spans="1:15" x14ac:dyDescent="0.25">
      <c r="A106" t="s">
        <v>9258</v>
      </c>
      <c r="B106" t="s">
        <v>7768</v>
      </c>
      <c r="C106" t="s">
        <v>9366</v>
      </c>
      <c r="D106" t="s">
        <v>9367</v>
      </c>
      <c r="E106" t="s">
        <v>9485</v>
      </c>
      <c r="F106" t="s">
        <v>9565</v>
      </c>
      <c r="H106" t="s">
        <v>9601</v>
      </c>
      <c r="O106" s="29" t="s">
        <v>9711</v>
      </c>
    </row>
    <row r="107" spans="1:15" x14ac:dyDescent="0.25">
      <c r="A107" t="s">
        <v>9259</v>
      </c>
      <c r="B107" t="s">
        <v>7768</v>
      </c>
      <c r="C107" t="s">
        <v>9364</v>
      </c>
      <c r="D107" t="s">
        <v>9367</v>
      </c>
      <c r="E107" t="s">
        <v>9042</v>
      </c>
      <c r="F107" t="s">
        <v>9566</v>
      </c>
      <c r="H107" t="s">
        <v>9601</v>
      </c>
      <c r="O107" s="29" t="s">
        <v>9726</v>
      </c>
    </row>
    <row r="108" spans="1:15" x14ac:dyDescent="0.25">
      <c r="A108" t="s">
        <v>9260</v>
      </c>
      <c r="B108" t="s">
        <v>7768</v>
      </c>
      <c r="C108" t="s">
        <v>143</v>
      </c>
      <c r="D108" t="s">
        <v>9367</v>
      </c>
      <c r="E108" t="s">
        <v>9486</v>
      </c>
      <c r="F108" t="s">
        <v>9567</v>
      </c>
      <c r="H108" t="s">
        <v>9601</v>
      </c>
      <c r="O108" s="29" t="s">
        <v>9729</v>
      </c>
    </row>
    <row r="109" spans="1:15" x14ac:dyDescent="0.25">
      <c r="A109" t="s">
        <v>9261</v>
      </c>
      <c r="B109" t="s">
        <v>7768</v>
      </c>
      <c r="C109" t="s">
        <v>9368</v>
      </c>
      <c r="D109" t="s">
        <v>9365</v>
      </c>
      <c r="E109" t="s">
        <v>9487</v>
      </c>
      <c r="F109" t="s">
        <v>9568</v>
      </c>
      <c r="H109" t="s">
        <v>9601</v>
      </c>
      <c r="O109" s="29" t="s">
        <v>9681</v>
      </c>
    </row>
    <row r="110" spans="1:15" x14ac:dyDescent="0.25">
      <c r="A110" t="s">
        <v>9262</v>
      </c>
      <c r="B110" t="s">
        <v>7768</v>
      </c>
      <c r="C110" t="s">
        <v>9368</v>
      </c>
      <c r="D110" t="s">
        <v>9369</v>
      </c>
      <c r="E110" t="s">
        <v>9488</v>
      </c>
      <c r="F110" t="s">
        <v>9569</v>
      </c>
      <c r="H110" t="s">
        <v>9601</v>
      </c>
      <c r="O110" s="29" t="s">
        <v>9648</v>
      </c>
    </row>
    <row r="111" spans="1:15" x14ac:dyDescent="0.25">
      <c r="A111" t="s">
        <v>9262</v>
      </c>
      <c r="B111" t="s">
        <v>7768</v>
      </c>
      <c r="C111" t="s">
        <v>9368</v>
      </c>
      <c r="D111" t="s">
        <v>9370</v>
      </c>
      <c r="E111" t="s">
        <v>9489</v>
      </c>
      <c r="F111" t="s">
        <v>9569</v>
      </c>
      <c r="H111" t="s">
        <v>9601</v>
      </c>
      <c r="O111" s="29" t="s">
        <v>9682</v>
      </c>
    </row>
    <row r="112" spans="1:15" x14ac:dyDescent="0.25">
      <c r="A112" t="s">
        <v>9263</v>
      </c>
      <c r="B112" t="s">
        <v>7768</v>
      </c>
      <c r="C112" t="s">
        <v>9368</v>
      </c>
      <c r="D112" t="s">
        <v>9370</v>
      </c>
      <c r="E112" t="s">
        <v>9490</v>
      </c>
      <c r="F112" t="s">
        <v>9569</v>
      </c>
      <c r="H112" t="s">
        <v>9601</v>
      </c>
      <c r="O112" s="29" t="s">
        <v>9679</v>
      </c>
    </row>
    <row r="113" spans="1:15" x14ac:dyDescent="0.25">
      <c r="A113" t="s">
        <v>9264</v>
      </c>
      <c r="B113" t="s">
        <v>7768</v>
      </c>
      <c r="C113" t="s">
        <v>9371</v>
      </c>
      <c r="D113" t="s">
        <v>9372</v>
      </c>
      <c r="E113" t="s">
        <v>9491</v>
      </c>
      <c r="F113" t="s">
        <v>9570</v>
      </c>
      <c r="H113" t="s">
        <v>9601</v>
      </c>
      <c r="O113" s="29" t="s">
        <v>9680</v>
      </c>
    </row>
    <row r="114" spans="1:15" x14ac:dyDescent="0.25">
      <c r="A114" t="s">
        <v>9265</v>
      </c>
      <c r="B114" t="s">
        <v>7768</v>
      </c>
      <c r="C114" t="s">
        <v>9371</v>
      </c>
      <c r="D114" t="s">
        <v>9372</v>
      </c>
      <c r="E114" t="s">
        <v>9492</v>
      </c>
      <c r="F114" t="s">
        <v>9570</v>
      </c>
      <c r="H114" t="s">
        <v>9601</v>
      </c>
      <c r="O114" s="29" t="s">
        <v>9689</v>
      </c>
    </row>
    <row r="115" spans="1:15" x14ac:dyDescent="0.25">
      <c r="A115" t="s">
        <v>9266</v>
      </c>
      <c r="B115" t="s">
        <v>7768</v>
      </c>
      <c r="C115" t="s">
        <v>9371</v>
      </c>
      <c r="D115" t="s">
        <v>9373</v>
      </c>
      <c r="E115" t="s">
        <v>9493</v>
      </c>
      <c r="F115" t="s">
        <v>9570</v>
      </c>
      <c r="H115" t="s">
        <v>9601</v>
      </c>
      <c r="O115" s="29" t="s">
        <v>9690</v>
      </c>
    </row>
    <row r="116" spans="1:15" x14ac:dyDescent="0.25">
      <c r="A116" t="s">
        <v>9267</v>
      </c>
      <c r="B116" t="s">
        <v>7768</v>
      </c>
      <c r="C116" t="s">
        <v>9371</v>
      </c>
      <c r="D116" t="s">
        <v>9372</v>
      </c>
      <c r="E116" t="s">
        <v>9494</v>
      </c>
      <c r="F116" t="s">
        <v>9570</v>
      </c>
      <c r="H116" t="s">
        <v>9601</v>
      </c>
      <c r="O116" s="29" t="s">
        <v>9717</v>
      </c>
    </row>
    <row r="117" spans="1:15" x14ac:dyDescent="0.25">
      <c r="A117" t="s">
        <v>9268</v>
      </c>
      <c r="B117" t="s">
        <v>7768</v>
      </c>
      <c r="C117" t="s">
        <v>9371</v>
      </c>
      <c r="D117" t="s">
        <v>9373</v>
      </c>
      <c r="E117" t="s">
        <v>9495</v>
      </c>
      <c r="F117" t="s">
        <v>9570</v>
      </c>
      <c r="H117" t="s">
        <v>9601</v>
      </c>
      <c r="O117" s="29" t="s">
        <v>9617</v>
      </c>
    </row>
    <row r="118" spans="1:15" x14ac:dyDescent="0.25">
      <c r="A118" t="s">
        <v>9269</v>
      </c>
      <c r="B118" t="s">
        <v>7768</v>
      </c>
      <c r="C118" t="s">
        <v>9371</v>
      </c>
      <c r="D118" t="s">
        <v>9372</v>
      </c>
      <c r="E118" t="s">
        <v>9496</v>
      </c>
      <c r="F118" t="s">
        <v>9570</v>
      </c>
      <c r="H118" t="s">
        <v>9601</v>
      </c>
      <c r="O118" s="29" t="s">
        <v>9618</v>
      </c>
    </row>
    <row r="119" spans="1:15" x14ac:dyDescent="0.25">
      <c r="A119" t="s">
        <v>9270</v>
      </c>
      <c r="B119" t="s">
        <v>7768</v>
      </c>
      <c r="C119" t="s">
        <v>9371</v>
      </c>
      <c r="D119" t="s">
        <v>9372</v>
      </c>
      <c r="E119" t="s">
        <v>9497</v>
      </c>
      <c r="F119" t="s">
        <v>9570</v>
      </c>
      <c r="H119" t="s">
        <v>9601</v>
      </c>
      <c r="O119" s="29" t="s">
        <v>9624</v>
      </c>
    </row>
    <row r="120" spans="1:15" x14ac:dyDescent="0.25">
      <c r="A120" t="s">
        <v>9271</v>
      </c>
      <c r="B120" t="s">
        <v>7768</v>
      </c>
      <c r="C120" t="s">
        <v>9374</v>
      </c>
      <c r="D120" t="s">
        <v>9375</v>
      </c>
      <c r="E120" t="s">
        <v>9498</v>
      </c>
      <c r="F120" t="s">
        <v>9562</v>
      </c>
      <c r="H120" t="s">
        <v>9601</v>
      </c>
      <c r="O120" s="29" t="s">
        <v>9625</v>
      </c>
    </row>
    <row r="121" spans="1:15" x14ac:dyDescent="0.25">
      <c r="A121" t="s">
        <v>9272</v>
      </c>
      <c r="B121" t="s">
        <v>7768</v>
      </c>
      <c r="C121" t="s">
        <v>9376</v>
      </c>
      <c r="D121" t="s">
        <v>9377</v>
      </c>
      <c r="E121" t="s">
        <v>9040</v>
      </c>
      <c r="F121" t="s">
        <v>9562</v>
      </c>
      <c r="H121" t="s">
        <v>9601</v>
      </c>
      <c r="O121" s="29" t="s">
        <v>9644</v>
      </c>
    </row>
    <row r="122" spans="1:15" x14ac:dyDescent="0.25">
      <c r="A122" t="s">
        <v>9273</v>
      </c>
      <c r="B122" t="s">
        <v>9156</v>
      </c>
      <c r="C122">
        <v>2010</v>
      </c>
      <c r="E122" t="s">
        <v>9499</v>
      </c>
      <c r="F122" t="s">
        <v>9571</v>
      </c>
      <c r="H122" t="s">
        <v>9601</v>
      </c>
      <c r="O122" s="29" t="s">
        <v>9653</v>
      </c>
    </row>
    <row r="123" spans="1:15" x14ac:dyDescent="0.25">
      <c r="A123" t="s">
        <v>9274</v>
      </c>
      <c r="B123" t="s">
        <v>7768</v>
      </c>
      <c r="C123" t="s">
        <v>48</v>
      </c>
      <c r="D123" t="s">
        <v>9367</v>
      </c>
      <c r="E123" t="s">
        <v>9500</v>
      </c>
      <c r="F123" t="s">
        <v>9571</v>
      </c>
      <c r="H123" t="s">
        <v>9601</v>
      </c>
      <c r="O123" s="29" t="s">
        <v>9656</v>
      </c>
    </row>
    <row r="124" spans="1:15" x14ac:dyDescent="0.25">
      <c r="A124" t="s">
        <v>9275</v>
      </c>
      <c r="B124" t="s">
        <v>7768</v>
      </c>
      <c r="C124" t="s">
        <v>48</v>
      </c>
      <c r="D124" t="s">
        <v>9370</v>
      </c>
      <c r="E124" t="s">
        <v>9019</v>
      </c>
      <c r="F124" t="s">
        <v>9571</v>
      </c>
      <c r="H124" t="s">
        <v>9601</v>
      </c>
      <c r="O124" s="29" t="s">
        <v>9718</v>
      </c>
    </row>
    <row r="125" spans="1:15" x14ac:dyDescent="0.25">
      <c r="A125" t="s">
        <v>9276</v>
      </c>
      <c r="B125" t="s">
        <v>7768</v>
      </c>
      <c r="C125" t="s">
        <v>9378</v>
      </c>
      <c r="D125" t="s">
        <v>9379</v>
      </c>
      <c r="E125" t="s">
        <v>9501</v>
      </c>
      <c r="F125" t="s">
        <v>9572</v>
      </c>
      <c r="H125" t="s">
        <v>9601</v>
      </c>
      <c r="O125" s="29" t="s">
        <v>9719</v>
      </c>
    </row>
    <row r="126" spans="1:15" x14ac:dyDescent="0.25">
      <c r="A126" t="s">
        <v>9277</v>
      </c>
      <c r="B126" t="s">
        <v>7768</v>
      </c>
      <c r="C126" t="s">
        <v>9378</v>
      </c>
      <c r="D126" t="s">
        <v>9367</v>
      </c>
      <c r="E126" t="s">
        <v>9502</v>
      </c>
      <c r="F126" t="s">
        <v>9573</v>
      </c>
      <c r="H126" t="s">
        <v>9601</v>
      </c>
      <c r="O126" s="29" t="s">
        <v>9716</v>
      </c>
    </row>
    <row r="127" spans="1:15" x14ac:dyDescent="0.25">
      <c r="A127" t="s">
        <v>9278</v>
      </c>
      <c r="B127" t="s">
        <v>7768</v>
      </c>
      <c r="C127" t="s">
        <v>9378</v>
      </c>
      <c r="D127" t="s">
        <v>9367</v>
      </c>
      <c r="E127" t="s">
        <v>9503</v>
      </c>
      <c r="F127" t="s">
        <v>9573</v>
      </c>
      <c r="H127" t="s">
        <v>9601</v>
      </c>
    </row>
    <row r="128" spans="1:15" x14ac:dyDescent="0.25">
      <c r="A128" t="s">
        <v>9279</v>
      </c>
      <c r="B128" t="s">
        <v>7768</v>
      </c>
      <c r="C128" t="s">
        <v>9378</v>
      </c>
      <c r="D128" t="s">
        <v>9380</v>
      </c>
      <c r="E128" t="s">
        <v>9504</v>
      </c>
      <c r="F128" t="s">
        <v>9573</v>
      </c>
      <c r="H128" t="s">
        <v>9601</v>
      </c>
    </row>
    <row r="129" spans="1:15" x14ac:dyDescent="0.25">
      <c r="A129" t="s">
        <v>9280</v>
      </c>
      <c r="B129" t="s">
        <v>7768</v>
      </c>
      <c r="C129" t="s">
        <v>9381</v>
      </c>
      <c r="D129" t="s">
        <v>9382</v>
      </c>
      <c r="E129" t="s">
        <v>9505</v>
      </c>
      <c r="F129" t="s">
        <v>9573</v>
      </c>
      <c r="H129" t="s">
        <v>9601</v>
      </c>
    </row>
    <row r="130" spans="1:15" x14ac:dyDescent="0.25">
      <c r="A130" t="s">
        <v>9280</v>
      </c>
      <c r="B130" t="s">
        <v>7768</v>
      </c>
      <c r="C130" t="s">
        <v>9381</v>
      </c>
      <c r="D130" t="s">
        <v>9383</v>
      </c>
      <c r="E130" t="s">
        <v>9505</v>
      </c>
      <c r="F130" t="s">
        <v>9573</v>
      </c>
      <c r="H130" t="s">
        <v>9601</v>
      </c>
    </row>
    <row r="131" spans="1:15" x14ac:dyDescent="0.25">
      <c r="A131" t="s">
        <v>9281</v>
      </c>
      <c r="B131" t="s">
        <v>7768</v>
      </c>
      <c r="C131" t="s">
        <v>9368</v>
      </c>
      <c r="D131" t="s">
        <v>9367</v>
      </c>
      <c r="E131" t="s">
        <v>9506</v>
      </c>
      <c r="F131" t="s">
        <v>9574</v>
      </c>
      <c r="H131" t="s">
        <v>9601</v>
      </c>
    </row>
    <row r="132" spans="1:15" x14ac:dyDescent="0.25">
      <c r="A132" t="s">
        <v>9282</v>
      </c>
      <c r="B132" t="s">
        <v>7768</v>
      </c>
      <c r="C132" t="s">
        <v>9360</v>
      </c>
      <c r="D132" t="s">
        <v>9367</v>
      </c>
      <c r="E132" t="s">
        <v>9507</v>
      </c>
      <c r="F132" t="s">
        <v>9575</v>
      </c>
      <c r="H132" t="s">
        <v>9601</v>
      </c>
    </row>
    <row r="133" spans="1:15" x14ac:dyDescent="0.25">
      <c r="A133" t="s">
        <v>9283</v>
      </c>
      <c r="B133" t="s">
        <v>9156</v>
      </c>
      <c r="C133">
        <v>2014</v>
      </c>
      <c r="E133" t="s">
        <v>9508</v>
      </c>
      <c r="F133" t="s">
        <v>9574</v>
      </c>
      <c r="H133" t="s">
        <v>9601</v>
      </c>
    </row>
    <row r="134" spans="1:15" x14ac:dyDescent="0.25">
      <c r="A134" t="s">
        <v>9284</v>
      </c>
      <c r="B134" t="s">
        <v>7768</v>
      </c>
      <c r="C134" t="s">
        <v>9384</v>
      </c>
      <c r="D134" t="s">
        <v>9382</v>
      </c>
      <c r="E134" t="s">
        <v>9509</v>
      </c>
      <c r="F134" t="s">
        <v>9574</v>
      </c>
      <c r="H134" t="s">
        <v>9601</v>
      </c>
    </row>
    <row r="135" spans="1:15" x14ac:dyDescent="0.25">
      <c r="A135" t="s">
        <v>9285</v>
      </c>
      <c r="B135" t="s">
        <v>7768</v>
      </c>
      <c r="C135" t="s">
        <v>9376</v>
      </c>
      <c r="D135" t="s">
        <v>9385</v>
      </c>
      <c r="E135" t="s">
        <v>9043</v>
      </c>
      <c r="F135" t="s">
        <v>9574</v>
      </c>
      <c r="H135" t="s">
        <v>9601</v>
      </c>
    </row>
    <row r="136" spans="1:15" x14ac:dyDescent="0.25">
      <c r="A136" t="s">
        <v>9286</v>
      </c>
      <c r="B136" t="s">
        <v>9156</v>
      </c>
      <c r="C136" t="s">
        <v>9349</v>
      </c>
      <c r="E136" t="s">
        <v>9510</v>
      </c>
      <c r="F136" t="s">
        <v>9598</v>
      </c>
      <c r="H136" t="s">
        <v>9601</v>
      </c>
    </row>
    <row r="137" spans="1:15" x14ac:dyDescent="0.25">
      <c r="A137" t="s">
        <v>9287</v>
      </c>
      <c r="B137" t="s">
        <v>9156</v>
      </c>
      <c r="C137">
        <v>2012</v>
      </c>
      <c r="E137" t="s">
        <v>9511</v>
      </c>
      <c r="F137" t="s">
        <v>9576</v>
      </c>
      <c r="H137" t="s">
        <v>9601</v>
      </c>
      <c r="O137" s="29"/>
    </row>
    <row r="138" spans="1:15" x14ac:dyDescent="0.25">
      <c r="A138" t="s">
        <v>9288</v>
      </c>
      <c r="B138" t="s">
        <v>9156</v>
      </c>
      <c r="C138">
        <v>2000</v>
      </c>
      <c r="E138" t="s">
        <v>9512</v>
      </c>
      <c r="F138" t="s">
        <v>9577</v>
      </c>
      <c r="H138" t="s">
        <v>9601</v>
      </c>
    </row>
    <row r="139" spans="1:15" x14ac:dyDescent="0.25">
      <c r="A139" t="s">
        <v>9289</v>
      </c>
      <c r="B139" t="s">
        <v>9156</v>
      </c>
      <c r="C139">
        <v>2011</v>
      </c>
      <c r="E139" t="s">
        <v>9513</v>
      </c>
      <c r="F139" t="s">
        <v>9564</v>
      </c>
      <c r="H139" t="s">
        <v>9601</v>
      </c>
    </row>
    <row r="140" spans="1:15" x14ac:dyDescent="0.25">
      <c r="A140" t="s">
        <v>9290</v>
      </c>
      <c r="B140" t="s">
        <v>9156</v>
      </c>
      <c r="C140">
        <v>2013</v>
      </c>
      <c r="E140" t="s">
        <v>9514</v>
      </c>
      <c r="F140" t="s">
        <v>9573</v>
      </c>
      <c r="H140" t="s">
        <v>9601</v>
      </c>
    </row>
    <row r="141" spans="1:15" x14ac:dyDescent="0.25">
      <c r="A141" t="s">
        <v>9291</v>
      </c>
      <c r="B141" t="s">
        <v>9156</v>
      </c>
      <c r="C141">
        <v>2004</v>
      </c>
      <c r="E141" t="s">
        <v>9515</v>
      </c>
      <c r="F141" t="s">
        <v>9562</v>
      </c>
      <c r="H141" t="s">
        <v>9601</v>
      </c>
    </row>
    <row r="142" spans="1:15" x14ac:dyDescent="0.25">
      <c r="A142" t="s">
        <v>9292</v>
      </c>
      <c r="B142" t="s">
        <v>9156</v>
      </c>
      <c r="C142">
        <v>2013</v>
      </c>
      <c r="E142" t="s">
        <v>9516</v>
      </c>
      <c r="F142" t="s">
        <v>9578</v>
      </c>
      <c r="H142" t="s">
        <v>9601</v>
      </c>
    </row>
    <row r="143" spans="1:15" x14ac:dyDescent="0.25">
      <c r="A143" t="s">
        <v>9293</v>
      </c>
      <c r="B143" t="s">
        <v>7768</v>
      </c>
      <c r="E143" t="s">
        <v>9517</v>
      </c>
      <c r="F143" t="s">
        <v>9564</v>
      </c>
      <c r="H143" t="s">
        <v>9601</v>
      </c>
    </row>
    <row r="144" spans="1:15" x14ac:dyDescent="0.25">
      <c r="A144" t="s">
        <v>9294</v>
      </c>
      <c r="B144" t="s">
        <v>7768</v>
      </c>
      <c r="E144" t="s">
        <v>9518</v>
      </c>
      <c r="F144" t="s">
        <v>9564</v>
      </c>
      <c r="H144" t="s">
        <v>9601</v>
      </c>
    </row>
    <row r="145" spans="1:8" x14ac:dyDescent="0.25">
      <c r="A145" t="s">
        <v>9295</v>
      </c>
      <c r="B145" t="s">
        <v>9156</v>
      </c>
      <c r="E145" t="s">
        <v>9519</v>
      </c>
      <c r="F145" t="s">
        <v>9564</v>
      </c>
      <c r="H145" t="s">
        <v>9601</v>
      </c>
    </row>
    <row r="146" spans="1:8" x14ac:dyDescent="0.25">
      <c r="A146" t="s">
        <v>9296</v>
      </c>
      <c r="B146" t="s">
        <v>9156</v>
      </c>
      <c r="E146" t="s">
        <v>9520</v>
      </c>
      <c r="F146" t="s">
        <v>9564</v>
      </c>
      <c r="H146" t="s">
        <v>9601</v>
      </c>
    </row>
    <row r="147" spans="1:8" x14ac:dyDescent="0.25">
      <c r="A147" t="s">
        <v>9297</v>
      </c>
      <c r="B147" t="s">
        <v>7768</v>
      </c>
      <c r="C147" t="s">
        <v>9386</v>
      </c>
      <c r="D147" t="s">
        <v>9387</v>
      </c>
      <c r="E147" t="s">
        <v>9521</v>
      </c>
      <c r="F147" t="s">
        <v>9579</v>
      </c>
      <c r="H147" t="s">
        <v>9601</v>
      </c>
    </row>
    <row r="148" spans="1:8" x14ac:dyDescent="0.25">
      <c r="A148" t="s">
        <v>9298</v>
      </c>
      <c r="B148" t="s">
        <v>7768</v>
      </c>
      <c r="C148" t="s">
        <v>9371</v>
      </c>
      <c r="D148" t="s">
        <v>9388</v>
      </c>
      <c r="E148" t="s">
        <v>9522</v>
      </c>
      <c r="F148" t="s">
        <v>9579</v>
      </c>
      <c r="H148" t="s">
        <v>9601</v>
      </c>
    </row>
    <row r="149" spans="1:8" x14ac:dyDescent="0.25">
      <c r="A149" t="s">
        <v>9299</v>
      </c>
      <c r="B149" t="s">
        <v>9156</v>
      </c>
      <c r="E149" t="s">
        <v>9523</v>
      </c>
      <c r="F149" t="s">
        <v>9580</v>
      </c>
      <c r="H149" t="s">
        <v>9601</v>
      </c>
    </row>
    <row r="150" spans="1:8" x14ac:dyDescent="0.25">
      <c r="A150" t="s">
        <v>9300</v>
      </c>
      <c r="B150" t="s">
        <v>9156</v>
      </c>
      <c r="E150" t="s">
        <v>9524</v>
      </c>
      <c r="F150" t="s">
        <v>9580</v>
      </c>
      <c r="H150" t="s">
        <v>9601</v>
      </c>
    </row>
    <row r="151" spans="1:8" x14ac:dyDescent="0.25">
      <c r="A151" t="s">
        <v>9301</v>
      </c>
      <c r="B151" t="s">
        <v>9156</v>
      </c>
      <c r="E151" t="s">
        <v>9525</v>
      </c>
      <c r="F151" t="s">
        <v>9580</v>
      </c>
      <c r="H151" t="s">
        <v>9601</v>
      </c>
    </row>
    <row r="152" spans="1:8" x14ac:dyDescent="0.25">
      <c r="A152" t="s">
        <v>9302</v>
      </c>
      <c r="B152" t="s">
        <v>9156</v>
      </c>
      <c r="E152" t="s">
        <v>9526</v>
      </c>
      <c r="F152" t="s">
        <v>7768</v>
      </c>
      <c r="H152" t="s">
        <v>9601</v>
      </c>
    </row>
    <row r="153" spans="1:8" x14ac:dyDescent="0.25">
      <c r="A153" t="s">
        <v>9303</v>
      </c>
      <c r="B153" t="s">
        <v>7768</v>
      </c>
      <c r="C153" t="s">
        <v>9364</v>
      </c>
      <c r="D153" t="s">
        <v>9365</v>
      </c>
      <c r="E153" t="s">
        <v>9527</v>
      </c>
      <c r="F153" t="s">
        <v>9564</v>
      </c>
      <c r="H153" t="s">
        <v>9601</v>
      </c>
    </row>
    <row r="154" spans="1:8" x14ac:dyDescent="0.25">
      <c r="A154" t="s">
        <v>9304</v>
      </c>
      <c r="B154" t="s">
        <v>9156</v>
      </c>
      <c r="C154" t="s">
        <v>9349</v>
      </c>
      <c r="E154" t="s">
        <v>9528</v>
      </c>
      <c r="F154" t="s">
        <v>9561</v>
      </c>
      <c r="H154" t="s">
        <v>9601</v>
      </c>
    </row>
    <row r="155" spans="1:8" x14ac:dyDescent="0.25">
      <c r="A155" t="s">
        <v>9305</v>
      </c>
      <c r="B155" t="s">
        <v>7768</v>
      </c>
      <c r="C155" t="s">
        <v>547</v>
      </c>
      <c r="D155" t="s">
        <v>9389</v>
      </c>
      <c r="E155" t="s">
        <v>9143</v>
      </c>
      <c r="F155" t="s">
        <v>9581</v>
      </c>
      <c r="H155" t="s">
        <v>9601</v>
      </c>
    </row>
    <row r="156" spans="1:8" x14ac:dyDescent="0.25">
      <c r="A156" t="s">
        <v>9305</v>
      </c>
      <c r="B156" t="s">
        <v>7768</v>
      </c>
      <c r="C156" t="s">
        <v>547</v>
      </c>
      <c r="D156" t="s">
        <v>9362</v>
      </c>
      <c r="E156" t="s">
        <v>9529</v>
      </c>
      <c r="F156" t="s">
        <v>9581</v>
      </c>
      <c r="H156" t="s">
        <v>9601</v>
      </c>
    </row>
    <row r="157" spans="1:8" x14ac:dyDescent="0.25">
      <c r="A157" t="s">
        <v>9306</v>
      </c>
      <c r="B157" t="s">
        <v>7768</v>
      </c>
      <c r="C157" t="s">
        <v>9390</v>
      </c>
      <c r="D157" t="s">
        <v>9391</v>
      </c>
      <c r="E157" t="s">
        <v>9530</v>
      </c>
      <c r="F157" t="s">
        <v>9582</v>
      </c>
      <c r="H157" t="s">
        <v>9601</v>
      </c>
    </row>
    <row r="158" spans="1:8" x14ac:dyDescent="0.25">
      <c r="A158" t="s">
        <v>9307</v>
      </c>
      <c r="B158" t="s">
        <v>9156</v>
      </c>
      <c r="C158" t="s">
        <v>9349</v>
      </c>
      <c r="E158" t="s">
        <v>9531</v>
      </c>
      <c r="F158" t="s">
        <v>9599</v>
      </c>
      <c r="H158" t="s">
        <v>9601</v>
      </c>
    </row>
    <row r="159" spans="1:8" x14ac:dyDescent="0.25">
      <c r="A159" t="s">
        <v>9308</v>
      </c>
      <c r="B159" t="s">
        <v>7768</v>
      </c>
      <c r="C159" t="s">
        <v>9390</v>
      </c>
      <c r="D159" t="s">
        <v>9391</v>
      </c>
      <c r="E159" t="s">
        <v>9532</v>
      </c>
      <c r="F159" t="s">
        <v>9582</v>
      </c>
      <c r="H159" t="s">
        <v>9601</v>
      </c>
    </row>
    <row r="160" spans="1:8" x14ac:dyDescent="0.25">
      <c r="A160" t="s">
        <v>9309</v>
      </c>
      <c r="B160" t="s">
        <v>7768</v>
      </c>
      <c r="C160" t="s">
        <v>9390</v>
      </c>
      <c r="D160" t="s">
        <v>9392</v>
      </c>
      <c r="E160" t="s">
        <v>9533</v>
      </c>
      <c r="F160" t="s">
        <v>9562</v>
      </c>
      <c r="H160" t="s">
        <v>9601</v>
      </c>
    </row>
    <row r="161" spans="1:8" x14ac:dyDescent="0.25">
      <c r="A161" t="s">
        <v>9310</v>
      </c>
      <c r="B161" t="s">
        <v>7768</v>
      </c>
      <c r="C161" t="s">
        <v>9390</v>
      </c>
      <c r="D161" t="s">
        <v>9393</v>
      </c>
      <c r="E161" t="s">
        <v>9534</v>
      </c>
      <c r="F161" t="s">
        <v>9582</v>
      </c>
      <c r="H161" t="s">
        <v>9601</v>
      </c>
    </row>
    <row r="162" spans="1:8" x14ac:dyDescent="0.25">
      <c r="A162" t="s">
        <v>9311</v>
      </c>
      <c r="B162" t="s">
        <v>7768</v>
      </c>
      <c r="C162" t="s">
        <v>9374</v>
      </c>
      <c r="D162" t="s">
        <v>9365</v>
      </c>
      <c r="E162" t="s">
        <v>9535</v>
      </c>
      <c r="F162" t="s">
        <v>9583</v>
      </c>
      <c r="H162" t="s">
        <v>9601</v>
      </c>
    </row>
    <row r="163" spans="1:8" x14ac:dyDescent="0.25">
      <c r="A163" t="s">
        <v>9312</v>
      </c>
      <c r="B163" t="s">
        <v>7768</v>
      </c>
      <c r="C163" t="s">
        <v>9390</v>
      </c>
      <c r="D163" t="s">
        <v>9365</v>
      </c>
      <c r="E163" t="s">
        <v>9536</v>
      </c>
      <c r="F163" t="s">
        <v>9583</v>
      </c>
      <c r="H163" t="s">
        <v>9601</v>
      </c>
    </row>
    <row r="164" spans="1:8" x14ac:dyDescent="0.25">
      <c r="A164" t="s">
        <v>9313</v>
      </c>
      <c r="B164" t="s">
        <v>7768</v>
      </c>
      <c r="C164" t="s">
        <v>9374</v>
      </c>
      <c r="D164" t="s">
        <v>9382</v>
      </c>
      <c r="E164" t="s">
        <v>9537</v>
      </c>
      <c r="F164" t="s">
        <v>9584</v>
      </c>
      <c r="H164" t="s">
        <v>9601</v>
      </c>
    </row>
    <row r="165" spans="1:8" x14ac:dyDescent="0.25">
      <c r="A165" t="s">
        <v>9314</v>
      </c>
      <c r="B165" t="s">
        <v>7768</v>
      </c>
      <c r="C165" t="s">
        <v>9374</v>
      </c>
      <c r="D165" t="s">
        <v>9382</v>
      </c>
      <c r="E165" t="s">
        <v>9538</v>
      </c>
      <c r="F165" t="s">
        <v>9584</v>
      </c>
      <c r="H165" t="s">
        <v>9601</v>
      </c>
    </row>
    <row r="166" spans="1:8" x14ac:dyDescent="0.25">
      <c r="A166" t="s">
        <v>9315</v>
      </c>
      <c r="B166" t="s">
        <v>9156</v>
      </c>
      <c r="C166">
        <v>2016</v>
      </c>
      <c r="E166" t="s">
        <v>9539</v>
      </c>
      <c r="F166" t="s">
        <v>9585</v>
      </c>
      <c r="H166" t="s">
        <v>9601</v>
      </c>
    </row>
    <row r="167" spans="1:8" x14ac:dyDescent="0.25">
      <c r="A167" t="s">
        <v>9316</v>
      </c>
      <c r="B167" t="s">
        <v>7768</v>
      </c>
      <c r="C167" t="s">
        <v>9374</v>
      </c>
      <c r="D167" t="s">
        <v>9382</v>
      </c>
      <c r="E167" t="s">
        <v>9540</v>
      </c>
      <c r="F167" t="s">
        <v>9585</v>
      </c>
      <c r="H167" t="s">
        <v>9601</v>
      </c>
    </row>
    <row r="168" spans="1:8" x14ac:dyDescent="0.25">
      <c r="A168" t="s">
        <v>9317</v>
      </c>
      <c r="B168" t="s">
        <v>7768</v>
      </c>
      <c r="C168">
        <v>2018</v>
      </c>
      <c r="E168" t="s">
        <v>9541</v>
      </c>
      <c r="F168" t="s">
        <v>9586</v>
      </c>
      <c r="H168" t="s">
        <v>9601</v>
      </c>
    </row>
    <row r="169" spans="1:8" x14ac:dyDescent="0.25">
      <c r="A169" t="s">
        <v>9318</v>
      </c>
      <c r="B169" t="s">
        <v>7768</v>
      </c>
      <c r="C169" t="s">
        <v>9360</v>
      </c>
      <c r="D169" t="s">
        <v>9382</v>
      </c>
      <c r="E169" t="s">
        <v>9543</v>
      </c>
      <c r="F169" t="s">
        <v>9586</v>
      </c>
      <c r="H169" t="s">
        <v>9601</v>
      </c>
    </row>
    <row r="170" spans="1:8" x14ac:dyDescent="0.25">
      <c r="A170" t="s">
        <v>9319</v>
      </c>
      <c r="B170" t="s">
        <v>7768</v>
      </c>
      <c r="C170" t="s">
        <v>9360</v>
      </c>
      <c r="D170" t="s">
        <v>9382</v>
      </c>
      <c r="E170" t="s">
        <v>9544</v>
      </c>
      <c r="F170" t="s">
        <v>9586</v>
      </c>
      <c r="H170" t="s">
        <v>9601</v>
      </c>
    </row>
    <row r="171" spans="1:8" x14ac:dyDescent="0.25">
      <c r="A171" t="s">
        <v>9320</v>
      </c>
      <c r="B171" t="s">
        <v>7768</v>
      </c>
      <c r="C171" t="s">
        <v>9360</v>
      </c>
      <c r="D171" t="s">
        <v>9382</v>
      </c>
      <c r="E171" t="s">
        <v>9545</v>
      </c>
      <c r="F171" t="s">
        <v>9586</v>
      </c>
      <c r="H171" t="s">
        <v>9601</v>
      </c>
    </row>
    <row r="172" spans="1:8" x14ac:dyDescent="0.25">
      <c r="A172" t="s">
        <v>9321</v>
      </c>
      <c r="B172" t="s">
        <v>7768</v>
      </c>
      <c r="C172">
        <v>2018</v>
      </c>
      <c r="E172" t="s">
        <v>9542</v>
      </c>
      <c r="F172" t="s">
        <v>9586</v>
      </c>
      <c r="H172" t="s">
        <v>9601</v>
      </c>
    </row>
    <row r="173" spans="1:8" x14ac:dyDescent="0.25">
      <c r="A173" t="s">
        <v>9322</v>
      </c>
      <c r="B173" t="s">
        <v>7768</v>
      </c>
      <c r="C173" t="s">
        <v>9360</v>
      </c>
      <c r="D173" t="s">
        <v>9382</v>
      </c>
      <c r="E173" t="s">
        <v>9547</v>
      </c>
      <c r="F173" t="s">
        <v>9586</v>
      </c>
      <c r="H173" t="s">
        <v>9601</v>
      </c>
    </row>
    <row r="174" spans="1:8" x14ac:dyDescent="0.25">
      <c r="A174" t="s">
        <v>9323</v>
      </c>
      <c r="B174" t="s">
        <v>7768</v>
      </c>
      <c r="C174" t="s">
        <v>9360</v>
      </c>
      <c r="D174" t="s">
        <v>9382</v>
      </c>
      <c r="E174" t="s">
        <v>9548</v>
      </c>
      <c r="F174" t="s">
        <v>9586</v>
      </c>
      <c r="H174" t="s">
        <v>9601</v>
      </c>
    </row>
    <row r="175" spans="1:8" x14ac:dyDescent="0.25">
      <c r="A175" t="s">
        <v>9324</v>
      </c>
      <c r="B175" t="s">
        <v>7768</v>
      </c>
      <c r="C175">
        <v>2019</v>
      </c>
      <c r="E175" t="s">
        <v>9546</v>
      </c>
      <c r="F175" t="s">
        <v>9586</v>
      </c>
      <c r="H175" t="s">
        <v>9601</v>
      </c>
    </row>
    <row r="176" spans="1:8" x14ac:dyDescent="0.25">
      <c r="A176" t="s">
        <v>9325</v>
      </c>
      <c r="B176" t="s">
        <v>9156</v>
      </c>
      <c r="C176" t="s">
        <v>9349</v>
      </c>
      <c r="E176" t="s">
        <v>9549</v>
      </c>
      <c r="F176" t="s">
        <v>9587</v>
      </c>
      <c r="H176" t="s">
        <v>9601</v>
      </c>
    </row>
    <row r="177" spans="1:8" x14ac:dyDescent="0.25">
      <c r="A177" t="s">
        <v>9326</v>
      </c>
      <c r="B177" t="s">
        <v>7768</v>
      </c>
      <c r="C177" t="s">
        <v>9377</v>
      </c>
      <c r="D177" t="s">
        <v>9394</v>
      </c>
      <c r="E177" t="s">
        <v>9014</v>
      </c>
      <c r="F177" t="s">
        <v>9588</v>
      </c>
      <c r="H177" t="s">
        <v>9601</v>
      </c>
    </row>
    <row r="178" spans="1:8" x14ac:dyDescent="0.25">
      <c r="A178" t="s">
        <v>9327</v>
      </c>
      <c r="B178" t="s">
        <v>7768</v>
      </c>
      <c r="C178" t="s">
        <v>9377</v>
      </c>
      <c r="D178" t="s">
        <v>9382</v>
      </c>
      <c r="E178" t="s">
        <v>9550</v>
      </c>
      <c r="F178" t="s">
        <v>9589</v>
      </c>
      <c r="H178" t="s">
        <v>9601</v>
      </c>
    </row>
    <row r="179" spans="1:8" x14ac:dyDescent="0.25">
      <c r="A179" t="s">
        <v>9328</v>
      </c>
      <c r="B179" t="s">
        <v>7768</v>
      </c>
      <c r="C179" t="s">
        <v>9386</v>
      </c>
      <c r="D179" t="s">
        <v>9367</v>
      </c>
      <c r="E179" t="s">
        <v>9551</v>
      </c>
      <c r="F179" t="s">
        <v>9590</v>
      </c>
      <c r="H179" t="s">
        <v>9601</v>
      </c>
    </row>
    <row r="180" spans="1:8" x14ac:dyDescent="0.25">
      <c r="A180" t="s">
        <v>9329</v>
      </c>
      <c r="B180" t="s">
        <v>7768</v>
      </c>
      <c r="C180" t="s">
        <v>9386</v>
      </c>
      <c r="D180" t="s">
        <v>9394</v>
      </c>
      <c r="E180" t="s">
        <v>9552</v>
      </c>
      <c r="F180" t="s">
        <v>9588</v>
      </c>
      <c r="H180" t="s">
        <v>9601</v>
      </c>
    </row>
    <row r="181" spans="1:8" x14ac:dyDescent="0.25">
      <c r="A181" t="s">
        <v>9330</v>
      </c>
      <c r="B181" t="s">
        <v>7768</v>
      </c>
      <c r="C181" t="s">
        <v>9386</v>
      </c>
      <c r="D181" t="s">
        <v>9367</v>
      </c>
      <c r="E181" t="s">
        <v>9553</v>
      </c>
      <c r="F181" t="s">
        <v>9590</v>
      </c>
      <c r="H181" t="s">
        <v>9601</v>
      </c>
    </row>
    <row r="182" spans="1:8" x14ac:dyDescent="0.25">
      <c r="A182" t="s">
        <v>9331</v>
      </c>
      <c r="B182" t="s">
        <v>7768</v>
      </c>
      <c r="C182" t="s">
        <v>9386</v>
      </c>
      <c r="D182" t="s">
        <v>9367</v>
      </c>
      <c r="E182" t="s">
        <v>9554</v>
      </c>
      <c r="F182" t="s">
        <v>9590</v>
      </c>
      <c r="H182" t="s">
        <v>9601</v>
      </c>
    </row>
    <row r="183" spans="1:8" x14ac:dyDescent="0.25">
      <c r="A183" t="s">
        <v>9332</v>
      </c>
      <c r="B183" t="s">
        <v>7768</v>
      </c>
      <c r="C183" t="s">
        <v>9376</v>
      </c>
      <c r="D183" t="s">
        <v>9395</v>
      </c>
      <c r="E183" t="s">
        <v>9555</v>
      </c>
      <c r="F183" t="s">
        <v>9591</v>
      </c>
      <c r="H183" t="s">
        <v>9601</v>
      </c>
    </row>
    <row r="184" spans="1:8" x14ac:dyDescent="0.25">
      <c r="A184" t="s">
        <v>9333</v>
      </c>
      <c r="B184" t="s">
        <v>7768</v>
      </c>
      <c r="C184" t="s">
        <v>9376</v>
      </c>
      <c r="D184" t="s">
        <v>9365</v>
      </c>
      <c r="E184" t="s">
        <v>9028</v>
      </c>
      <c r="F184" t="s">
        <v>9592</v>
      </c>
      <c r="H184" t="s">
        <v>9601</v>
      </c>
    </row>
    <row r="185" spans="1:8" x14ac:dyDescent="0.25">
      <c r="A185" t="s">
        <v>9334</v>
      </c>
      <c r="B185" t="s">
        <v>7768</v>
      </c>
      <c r="C185" t="s">
        <v>9376</v>
      </c>
      <c r="D185" t="s">
        <v>9396</v>
      </c>
      <c r="E185" t="s">
        <v>9556</v>
      </c>
      <c r="F185" t="s">
        <v>9562</v>
      </c>
      <c r="H185" t="s">
        <v>9601</v>
      </c>
    </row>
    <row r="186" spans="1:8" x14ac:dyDescent="0.25">
      <c r="A186" t="s">
        <v>9335</v>
      </c>
      <c r="B186" t="s">
        <v>9156</v>
      </c>
      <c r="C186" t="s">
        <v>9368</v>
      </c>
      <c r="E186" t="s">
        <v>9488</v>
      </c>
      <c r="F186" t="s">
        <v>9569</v>
      </c>
      <c r="H186" t="s">
        <v>9601</v>
      </c>
    </row>
    <row r="187" spans="1:8" x14ac:dyDescent="0.25">
      <c r="A187" t="s">
        <v>9336</v>
      </c>
      <c r="B187" t="s">
        <v>9156</v>
      </c>
      <c r="C187" t="s">
        <v>9378</v>
      </c>
      <c r="E187" t="s">
        <v>8852</v>
      </c>
      <c r="F187" t="s">
        <v>9572</v>
      </c>
      <c r="H187" t="s">
        <v>9601</v>
      </c>
    </row>
    <row r="188" spans="1:8" x14ac:dyDescent="0.25">
      <c r="A188" t="s">
        <v>9337</v>
      </c>
      <c r="B188" t="s">
        <v>7768</v>
      </c>
      <c r="C188" t="s">
        <v>9359</v>
      </c>
      <c r="D188" t="s">
        <v>9397</v>
      </c>
      <c r="E188" t="s">
        <v>9557</v>
      </c>
      <c r="F188" t="s">
        <v>9593</v>
      </c>
      <c r="H188" t="s">
        <v>9601</v>
      </c>
    </row>
    <row r="189" spans="1:8" x14ac:dyDescent="0.25">
      <c r="A189" t="s">
        <v>9338</v>
      </c>
      <c r="B189" t="s">
        <v>9156</v>
      </c>
      <c r="C189" t="s">
        <v>48</v>
      </c>
      <c r="E189" t="s">
        <v>9024</v>
      </c>
      <c r="F189" t="s">
        <v>9593</v>
      </c>
      <c r="H189" t="s">
        <v>9601</v>
      </c>
    </row>
    <row r="190" spans="1:8" x14ac:dyDescent="0.25">
      <c r="A190" t="s">
        <v>9339</v>
      </c>
      <c r="B190" t="s">
        <v>9156</v>
      </c>
      <c r="C190" t="s">
        <v>9364</v>
      </c>
      <c r="E190" t="s">
        <v>9558</v>
      </c>
      <c r="F190" t="s">
        <v>9593</v>
      </c>
      <c r="H190" t="s">
        <v>9601</v>
      </c>
    </row>
    <row r="191" spans="1:8" x14ac:dyDescent="0.25">
      <c r="A191" t="s">
        <v>9340</v>
      </c>
      <c r="B191" t="s">
        <v>9156</v>
      </c>
      <c r="C191" t="s">
        <v>9368</v>
      </c>
      <c r="E191" t="s">
        <v>8291</v>
      </c>
      <c r="F191" t="s">
        <v>9593</v>
      </c>
      <c r="H191" t="s">
        <v>9601</v>
      </c>
    </row>
    <row r="192" spans="1:8" x14ac:dyDescent="0.25">
      <c r="A192" t="s">
        <v>9341</v>
      </c>
      <c r="B192" t="s">
        <v>9156</v>
      </c>
      <c r="C192" t="s">
        <v>9378</v>
      </c>
      <c r="E192" t="s">
        <v>9559</v>
      </c>
      <c r="F192" t="s">
        <v>9593</v>
      </c>
      <c r="H192" t="s">
        <v>9601</v>
      </c>
    </row>
    <row r="193" spans="1:8" x14ac:dyDescent="0.25">
      <c r="A193" t="s">
        <v>9342</v>
      </c>
      <c r="B193" t="s">
        <v>9156</v>
      </c>
      <c r="C193" t="s">
        <v>9378</v>
      </c>
      <c r="E193" t="s">
        <v>8168</v>
      </c>
      <c r="F193" t="s">
        <v>9561</v>
      </c>
      <c r="H193" t="s">
        <v>9601</v>
      </c>
    </row>
    <row r="194" spans="1:8" x14ac:dyDescent="0.25">
      <c r="A194" t="s">
        <v>9343</v>
      </c>
      <c r="B194" t="s">
        <v>9156</v>
      </c>
      <c r="C194" t="s">
        <v>9384</v>
      </c>
      <c r="E194" t="s">
        <v>8163</v>
      </c>
      <c r="F194" t="s">
        <v>9593</v>
      </c>
      <c r="H194" t="s">
        <v>9601</v>
      </c>
    </row>
    <row r="195" spans="1:8" x14ac:dyDescent="0.25">
      <c r="A195" t="s">
        <v>9344</v>
      </c>
      <c r="B195" t="s">
        <v>9156</v>
      </c>
      <c r="C195" t="s">
        <v>9390</v>
      </c>
      <c r="E195" t="s">
        <v>9027</v>
      </c>
      <c r="F195" t="s">
        <v>9593</v>
      </c>
      <c r="H195" t="s">
        <v>9601</v>
      </c>
    </row>
    <row r="196" spans="1:8" x14ac:dyDescent="0.25">
      <c r="A196" t="s">
        <v>9345</v>
      </c>
      <c r="B196" t="s">
        <v>7768</v>
      </c>
      <c r="C196" t="s">
        <v>9377</v>
      </c>
      <c r="D196" t="s">
        <v>9398</v>
      </c>
      <c r="E196" t="s">
        <v>9003</v>
      </c>
      <c r="F196" t="s">
        <v>9594</v>
      </c>
      <c r="H196" t="s">
        <v>9601</v>
      </c>
    </row>
  </sheetData>
  <sortState xmlns:xlrd2="http://schemas.microsoft.com/office/spreadsheetml/2017/richdata2" ref="O1:O251">
    <sortCondition ref="O1:O251"/>
  </sortState>
  <phoneticPr fontId="7" type="noConversion"/>
  <pageMargins left="0.7" right="0.7" top="0.75" bottom="0.75" header="0.3" footer="0.3"/>
  <pageSetup orientation="portrait" horizontalDpi="0" verticalDpi="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9DBE3-9A18-495A-B985-E3E9E9DBBCB1}">
  <sheetPr codeName="Sheet4" filterMode="1"/>
  <dimension ref="A1:M281"/>
  <sheetViews>
    <sheetView topLeftCell="A240" workbookViewId="0">
      <selection activeCell="C19" sqref="C19"/>
    </sheetView>
  </sheetViews>
  <sheetFormatPr defaultRowHeight="15" x14ac:dyDescent="0.25"/>
  <cols>
    <col min="1" max="1" width="16.28515625" bestFit="1" customWidth="1"/>
    <col min="3" max="3" width="91.7109375" bestFit="1" customWidth="1"/>
    <col min="4" max="4" width="6.7109375" bestFit="1" customWidth="1"/>
    <col min="5" max="5" width="27.85546875" bestFit="1" customWidth="1"/>
    <col min="6" max="6" width="47.42578125" bestFit="1" customWidth="1"/>
    <col min="7" max="7" width="28.28515625" bestFit="1" customWidth="1"/>
    <col min="8" max="8" width="88" customWidth="1"/>
    <col min="9" max="9" width="8.85546875" bestFit="1" customWidth="1"/>
    <col min="10" max="10" width="13.85546875" bestFit="1" customWidth="1"/>
    <col min="12" max="12" width="19.85546875" bestFit="1" customWidth="1"/>
    <col min="13" max="13" width="16.85546875" bestFit="1" customWidth="1"/>
  </cols>
  <sheetData>
    <row r="1" spans="1:13" x14ac:dyDescent="0.25">
      <c r="A1" s="4" t="s">
        <v>7772</v>
      </c>
      <c r="B1" s="4" t="s">
        <v>7752</v>
      </c>
      <c r="C1" s="5" t="s">
        <v>7762</v>
      </c>
      <c r="D1" s="5" t="s">
        <v>7761</v>
      </c>
      <c r="E1" s="5" t="s">
        <v>7760</v>
      </c>
      <c r="F1" s="4" t="s">
        <v>1373</v>
      </c>
      <c r="G1" s="4" t="s">
        <v>46</v>
      </c>
      <c r="H1" s="4" t="s">
        <v>1218</v>
      </c>
      <c r="I1" s="4" t="s">
        <v>46</v>
      </c>
      <c r="J1" s="4" t="s">
        <v>36</v>
      </c>
      <c r="K1" s="23" t="s">
        <v>8987</v>
      </c>
      <c r="L1" s="23" t="s">
        <v>10232</v>
      </c>
      <c r="M1" s="23" t="s">
        <v>10233</v>
      </c>
    </row>
    <row r="2" spans="1:13" x14ac:dyDescent="0.25">
      <c r="A2" t="s">
        <v>7774</v>
      </c>
      <c r="B2" t="s">
        <v>6513</v>
      </c>
      <c r="C2" t="s">
        <v>6529</v>
      </c>
      <c r="D2" t="s">
        <v>6279</v>
      </c>
      <c r="E2" t="s">
        <v>6518</v>
      </c>
      <c r="F2" t="s">
        <v>6517</v>
      </c>
      <c r="G2" t="s">
        <v>6512</v>
      </c>
      <c r="H2" t="s">
        <v>6508</v>
      </c>
      <c r="I2" t="s">
        <v>218</v>
      </c>
      <c r="J2" t="s">
        <v>218</v>
      </c>
      <c r="K2" t="str">
        <f>IF(ISERROR(VLOOKUP(A2,GamesTable[game_id],1,0)),"not found","found")</f>
        <v>found</v>
      </c>
      <c r="L2" t="s">
        <v>7768</v>
      </c>
      <c r="M2">
        <f t="shared" ref="M2:M65" si="0">COUNTIF(A:A,A2)</f>
        <v>3</v>
      </c>
    </row>
    <row r="3" spans="1:13" hidden="1" x14ac:dyDescent="0.25">
      <c r="A3" t="s">
        <v>7774</v>
      </c>
      <c r="B3" t="s">
        <v>6525</v>
      </c>
      <c r="C3" t="s">
        <v>6524</v>
      </c>
      <c r="D3" t="s">
        <v>6279</v>
      </c>
      <c r="E3" t="s">
        <v>6518</v>
      </c>
      <c r="F3" t="s">
        <v>6517</v>
      </c>
      <c r="G3" t="s">
        <v>6512</v>
      </c>
      <c r="H3" t="s">
        <v>6508</v>
      </c>
      <c r="I3" t="s">
        <v>218</v>
      </c>
      <c r="J3" t="s">
        <v>218</v>
      </c>
      <c r="K3" t="str">
        <f>IF(ISERROR(VLOOKUP(A3,GamesTable[game_id],1,0)),"not found","found")</f>
        <v>found</v>
      </c>
      <c r="L3" t="s">
        <v>9753</v>
      </c>
      <c r="M3">
        <f t="shared" si="0"/>
        <v>3</v>
      </c>
    </row>
    <row r="4" spans="1:13" hidden="1" x14ac:dyDescent="0.25">
      <c r="A4" t="s">
        <v>7774</v>
      </c>
      <c r="B4" t="s">
        <v>6520</v>
      </c>
      <c r="C4" t="s">
        <v>6519</v>
      </c>
      <c r="D4" t="s">
        <v>6279</v>
      </c>
      <c r="E4" t="s">
        <v>6518</v>
      </c>
      <c r="F4" t="s">
        <v>6517</v>
      </c>
      <c r="G4" t="s">
        <v>6512</v>
      </c>
      <c r="H4" t="s">
        <v>6508</v>
      </c>
      <c r="I4" t="s">
        <v>218</v>
      </c>
      <c r="J4" t="s">
        <v>218</v>
      </c>
      <c r="K4" t="str">
        <f>IF(ISERROR(VLOOKUP(A4,GamesTable[game_id],1,0)),"not found","found")</f>
        <v>found</v>
      </c>
      <c r="L4" t="s">
        <v>9753</v>
      </c>
      <c r="M4">
        <f t="shared" si="0"/>
        <v>3</v>
      </c>
    </row>
    <row r="5" spans="1:13" x14ac:dyDescent="0.25">
      <c r="A5" t="s">
        <v>7775</v>
      </c>
      <c r="B5" t="s">
        <v>6052</v>
      </c>
      <c r="C5" t="s">
        <v>6051</v>
      </c>
      <c r="D5" t="s">
        <v>5315</v>
      </c>
      <c r="E5" t="s">
        <v>1912</v>
      </c>
      <c r="F5" t="s">
        <v>6050</v>
      </c>
      <c r="G5" t="s">
        <v>6046</v>
      </c>
      <c r="H5" t="s">
        <v>6042</v>
      </c>
      <c r="I5" t="s">
        <v>218</v>
      </c>
      <c r="J5" t="s">
        <v>218</v>
      </c>
      <c r="K5" t="str">
        <f>IF(ISERROR(VLOOKUP(A5,GamesTable[game_id],1,0)),"not found","found")</f>
        <v>found</v>
      </c>
      <c r="L5" t="s">
        <v>7768</v>
      </c>
      <c r="M5">
        <f t="shared" si="0"/>
        <v>1</v>
      </c>
    </row>
    <row r="6" spans="1:13" x14ac:dyDescent="0.25">
      <c r="A6" t="s">
        <v>7776</v>
      </c>
      <c r="B6" t="s">
        <v>7403</v>
      </c>
      <c r="C6" t="s">
        <v>7443</v>
      </c>
      <c r="D6" t="s">
        <v>6279</v>
      </c>
      <c r="E6" t="s">
        <v>1912</v>
      </c>
      <c r="F6" t="s">
        <v>7442</v>
      </c>
      <c r="G6" t="s">
        <v>7438</v>
      </c>
      <c r="H6" t="s">
        <v>7434</v>
      </c>
      <c r="I6" t="s">
        <v>218</v>
      </c>
      <c r="J6" t="s">
        <v>218</v>
      </c>
      <c r="K6" t="str">
        <f>IF(ISERROR(VLOOKUP(A6,GamesTable[game_id],1,0)),"not found","found")</f>
        <v>found</v>
      </c>
      <c r="L6" t="s">
        <v>7768</v>
      </c>
      <c r="M6">
        <f t="shared" si="0"/>
        <v>2</v>
      </c>
    </row>
    <row r="7" spans="1:13" hidden="1" x14ac:dyDescent="0.25">
      <c r="A7" t="s">
        <v>7776</v>
      </c>
      <c r="B7" t="s">
        <v>7409</v>
      </c>
      <c r="C7" t="s">
        <v>7408</v>
      </c>
      <c r="D7" t="s">
        <v>6279</v>
      </c>
      <c r="E7" t="s">
        <v>1912</v>
      </c>
      <c r="F7" t="s">
        <v>7768</v>
      </c>
      <c r="G7" t="s">
        <v>7768</v>
      </c>
      <c r="H7" t="s">
        <v>7407</v>
      </c>
      <c r="I7" t="s">
        <v>35</v>
      </c>
      <c r="J7" t="s">
        <v>218</v>
      </c>
      <c r="K7" t="str">
        <f>IF(ISERROR(VLOOKUP(A7,GamesTable[game_id],1,0)),"not found","found")</f>
        <v>found</v>
      </c>
      <c r="L7" t="s">
        <v>9753</v>
      </c>
      <c r="M7">
        <f t="shared" si="0"/>
        <v>2</v>
      </c>
    </row>
    <row r="8" spans="1:13" x14ac:dyDescent="0.25">
      <c r="A8" t="s">
        <v>7777</v>
      </c>
      <c r="B8" t="s">
        <v>5816</v>
      </c>
      <c r="C8" t="s">
        <v>5815</v>
      </c>
      <c r="D8" t="s">
        <v>5639</v>
      </c>
      <c r="E8" t="s">
        <v>1912</v>
      </c>
      <c r="F8" t="s">
        <v>5814</v>
      </c>
      <c r="G8" t="s">
        <v>5810</v>
      </c>
      <c r="H8" t="s">
        <v>5806</v>
      </c>
      <c r="I8" t="s">
        <v>218</v>
      </c>
      <c r="J8" t="s">
        <v>218</v>
      </c>
      <c r="K8" t="str">
        <f>IF(ISERROR(VLOOKUP(A8,GamesTable[game_id],1,0)),"not found","found")</f>
        <v>found</v>
      </c>
      <c r="L8" t="s">
        <v>7768</v>
      </c>
      <c r="M8">
        <f t="shared" si="0"/>
        <v>1</v>
      </c>
    </row>
    <row r="9" spans="1:13" x14ac:dyDescent="0.25">
      <c r="A9" t="s">
        <v>7778</v>
      </c>
      <c r="B9" t="s">
        <v>4991</v>
      </c>
      <c r="C9" t="s">
        <v>4990</v>
      </c>
      <c r="D9" t="s">
        <v>393</v>
      </c>
      <c r="E9" t="s">
        <v>3275</v>
      </c>
      <c r="F9" t="s">
        <v>4989</v>
      </c>
      <c r="G9" t="s">
        <v>4985</v>
      </c>
      <c r="H9" t="s">
        <v>4984</v>
      </c>
      <c r="I9" t="s">
        <v>218</v>
      </c>
      <c r="J9" t="s">
        <v>218</v>
      </c>
      <c r="K9" t="str">
        <f>IF(ISERROR(VLOOKUP(A9,GamesTable[game_id],1,0)),"not found","found")</f>
        <v>found</v>
      </c>
      <c r="L9" t="s">
        <v>7768</v>
      </c>
      <c r="M9">
        <f t="shared" si="0"/>
        <v>1</v>
      </c>
    </row>
    <row r="10" spans="1:13" x14ac:dyDescent="0.25">
      <c r="A10" t="s">
        <v>7779</v>
      </c>
      <c r="B10" t="s">
        <v>6020</v>
      </c>
      <c r="C10" t="s">
        <v>6019</v>
      </c>
      <c r="D10" t="s">
        <v>5639</v>
      </c>
      <c r="E10" t="s">
        <v>1912</v>
      </c>
      <c r="F10" t="s">
        <v>6018</v>
      </c>
      <c r="G10" t="s">
        <v>6014</v>
      </c>
      <c r="H10" t="s">
        <v>6010</v>
      </c>
      <c r="I10" t="s">
        <v>218</v>
      </c>
      <c r="J10" t="s">
        <v>218</v>
      </c>
      <c r="K10" t="str">
        <f>IF(ISERROR(VLOOKUP(A10,GamesTable[game_id],1,0)),"not found","found")</f>
        <v>found</v>
      </c>
      <c r="L10" t="s">
        <v>7768</v>
      </c>
      <c r="M10">
        <f t="shared" si="0"/>
        <v>1</v>
      </c>
    </row>
    <row r="11" spans="1:13" x14ac:dyDescent="0.25">
      <c r="A11" t="s">
        <v>7913</v>
      </c>
      <c r="B11" t="s">
        <v>5549</v>
      </c>
      <c r="C11" t="s">
        <v>5558</v>
      </c>
      <c r="D11" t="s">
        <v>393</v>
      </c>
      <c r="E11" t="s">
        <v>1912</v>
      </c>
      <c r="F11" t="s">
        <v>5557</v>
      </c>
      <c r="G11" t="s">
        <v>5556</v>
      </c>
      <c r="H11" t="s">
        <v>5544</v>
      </c>
      <c r="I11" t="s">
        <v>106</v>
      </c>
      <c r="J11" t="s">
        <v>218</v>
      </c>
      <c r="K11" t="str">
        <f>IF(ISERROR(VLOOKUP(A11,GamesTable[game_id],1,0)),"not found","found")</f>
        <v>found</v>
      </c>
      <c r="L11" t="s">
        <v>7768</v>
      </c>
      <c r="M11">
        <f t="shared" si="0"/>
        <v>2</v>
      </c>
    </row>
    <row r="12" spans="1:13" hidden="1" x14ac:dyDescent="0.25">
      <c r="A12" t="s">
        <v>7913</v>
      </c>
      <c r="B12" t="s">
        <v>5555</v>
      </c>
      <c r="C12" t="s">
        <v>5554</v>
      </c>
      <c r="D12" t="s">
        <v>393</v>
      </c>
      <c r="E12" t="s">
        <v>1912</v>
      </c>
      <c r="F12" t="s">
        <v>5553</v>
      </c>
      <c r="G12" t="s">
        <v>5548</v>
      </c>
      <c r="H12" t="s">
        <v>5544</v>
      </c>
      <c r="I12" t="s">
        <v>35</v>
      </c>
      <c r="J12" t="s">
        <v>218</v>
      </c>
      <c r="K12" t="str">
        <f>IF(ISERROR(VLOOKUP(A12,GamesTable[game_id],1,0)),"not found","found")</f>
        <v>found</v>
      </c>
      <c r="L12" t="s">
        <v>9753</v>
      </c>
      <c r="M12">
        <f t="shared" si="0"/>
        <v>2</v>
      </c>
    </row>
    <row r="13" spans="1:13" x14ac:dyDescent="0.25">
      <c r="A13" t="s">
        <v>7914</v>
      </c>
      <c r="B13" t="s">
        <v>4058</v>
      </c>
      <c r="C13" t="s">
        <v>4070</v>
      </c>
      <c r="D13" t="s">
        <v>1280</v>
      </c>
      <c r="E13" t="s">
        <v>1912</v>
      </c>
      <c r="F13" t="s">
        <v>4069</v>
      </c>
      <c r="G13" t="s">
        <v>4065</v>
      </c>
      <c r="H13" t="s">
        <v>4064</v>
      </c>
      <c r="I13" t="s">
        <v>218</v>
      </c>
      <c r="J13" t="s">
        <v>218</v>
      </c>
      <c r="K13" t="str">
        <f>IF(ISERROR(VLOOKUP(A13,GamesTable[game_id],1,0)),"not found","found")</f>
        <v>found</v>
      </c>
      <c r="L13" t="s">
        <v>7768</v>
      </c>
      <c r="M13">
        <f t="shared" si="0"/>
        <v>2</v>
      </c>
    </row>
    <row r="14" spans="1:13" hidden="1" x14ac:dyDescent="0.25">
      <c r="A14" t="s">
        <v>7914</v>
      </c>
      <c r="B14" t="s">
        <v>4063</v>
      </c>
      <c r="C14" t="s">
        <v>4062</v>
      </c>
      <c r="D14" t="s">
        <v>1280</v>
      </c>
      <c r="E14" t="s">
        <v>1912</v>
      </c>
      <c r="F14" t="s">
        <v>7768</v>
      </c>
      <c r="G14" t="s">
        <v>7768</v>
      </c>
      <c r="H14" t="s">
        <v>7768</v>
      </c>
      <c r="I14" t="s">
        <v>106</v>
      </c>
      <c r="J14" t="s">
        <v>218</v>
      </c>
      <c r="K14" t="str">
        <f>IF(ISERROR(VLOOKUP(A14,GamesTable[game_id],1,0)),"not found","found")</f>
        <v>found</v>
      </c>
      <c r="L14" t="s">
        <v>9753</v>
      </c>
      <c r="M14">
        <f t="shared" si="0"/>
        <v>2</v>
      </c>
    </row>
    <row r="15" spans="1:13" x14ac:dyDescent="0.25">
      <c r="A15" t="s">
        <v>7780</v>
      </c>
      <c r="B15" t="s">
        <v>2426</v>
      </c>
      <c r="C15" t="s">
        <v>2425</v>
      </c>
      <c r="D15" t="s">
        <v>959</v>
      </c>
      <c r="E15" t="s">
        <v>1859</v>
      </c>
      <c r="F15" t="s">
        <v>7768</v>
      </c>
      <c r="G15" t="s">
        <v>7768</v>
      </c>
      <c r="H15" t="s">
        <v>2424</v>
      </c>
      <c r="I15" t="s">
        <v>218</v>
      </c>
      <c r="J15" t="s">
        <v>218</v>
      </c>
      <c r="K15" t="str">
        <f>IF(ISERROR(VLOOKUP(A15,GamesTable[game_id],1,0)),"not found","found")</f>
        <v>found</v>
      </c>
      <c r="L15" t="s">
        <v>7768</v>
      </c>
      <c r="M15">
        <f t="shared" si="0"/>
        <v>1</v>
      </c>
    </row>
    <row r="16" spans="1:13" x14ac:dyDescent="0.25">
      <c r="A16" t="s">
        <v>7781</v>
      </c>
      <c r="B16" t="s">
        <v>6343</v>
      </c>
      <c r="C16" t="s">
        <v>6342</v>
      </c>
      <c r="D16" t="s">
        <v>6279</v>
      </c>
      <c r="E16" t="s">
        <v>6341</v>
      </c>
      <c r="F16" t="s">
        <v>6340</v>
      </c>
      <c r="G16" t="s">
        <v>6336</v>
      </c>
      <c r="H16" t="s">
        <v>6332</v>
      </c>
      <c r="I16" t="s">
        <v>218</v>
      </c>
      <c r="J16" t="s">
        <v>218</v>
      </c>
      <c r="K16" t="str">
        <f>IF(ISERROR(VLOOKUP(A16,GamesTable[game_id],1,0)),"not found","found")</f>
        <v>found</v>
      </c>
      <c r="L16" t="s">
        <v>7768</v>
      </c>
      <c r="M16">
        <f t="shared" si="0"/>
        <v>1</v>
      </c>
    </row>
    <row r="17" spans="1:13" x14ac:dyDescent="0.25">
      <c r="A17" t="s">
        <v>7782</v>
      </c>
      <c r="B17" t="s">
        <v>1861</v>
      </c>
      <c r="C17" t="s">
        <v>1860</v>
      </c>
      <c r="D17" t="s">
        <v>113</v>
      </c>
      <c r="E17" t="s">
        <v>1859</v>
      </c>
      <c r="F17" t="s">
        <v>1858</v>
      </c>
      <c r="G17" t="s">
        <v>7768</v>
      </c>
      <c r="H17" t="s">
        <v>1853</v>
      </c>
      <c r="I17" t="s">
        <v>106</v>
      </c>
      <c r="J17" t="s">
        <v>218</v>
      </c>
      <c r="K17" t="str">
        <f>IF(ISERROR(VLOOKUP(A17,GamesTable[game_id],1,0)),"not found","found")</f>
        <v>found</v>
      </c>
      <c r="L17" t="s">
        <v>7768</v>
      </c>
      <c r="M17">
        <f t="shared" si="0"/>
        <v>1</v>
      </c>
    </row>
    <row r="18" spans="1:13" x14ac:dyDescent="0.25">
      <c r="A18" t="s">
        <v>7783</v>
      </c>
      <c r="B18" t="s">
        <v>6774</v>
      </c>
      <c r="C18" t="s">
        <v>6786</v>
      </c>
      <c r="D18" t="s">
        <v>3906</v>
      </c>
      <c r="E18" t="s">
        <v>5638</v>
      </c>
      <c r="F18" t="s">
        <v>6785</v>
      </c>
      <c r="G18" t="s">
        <v>6781</v>
      </c>
      <c r="H18" t="s">
        <v>6769</v>
      </c>
      <c r="I18" t="s">
        <v>218</v>
      </c>
      <c r="J18" t="s">
        <v>218</v>
      </c>
      <c r="K18" t="str">
        <f>IF(ISERROR(VLOOKUP(A18,GamesTable[game_id],1,0)),"not found","found")</f>
        <v>found</v>
      </c>
      <c r="L18" t="s">
        <v>7768</v>
      </c>
      <c r="M18">
        <f t="shared" si="0"/>
        <v>2</v>
      </c>
    </row>
    <row r="19" spans="1:13" hidden="1" x14ac:dyDescent="0.25">
      <c r="A19" t="s">
        <v>7783</v>
      </c>
      <c r="B19" t="s">
        <v>6780</v>
      </c>
      <c r="C19" t="s">
        <v>6779</v>
      </c>
      <c r="D19" t="s">
        <v>3906</v>
      </c>
      <c r="E19" t="s">
        <v>5638</v>
      </c>
      <c r="F19" t="s">
        <v>6778</v>
      </c>
      <c r="G19" t="s">
        <v>6773</v>
      </c>
      <c r="H19" t="s">
        <v>6769</v>
      </c>
      <c r="I19" t="s">
        <v>35</v>
      </c>
      <c r="J19" t="s">
        <v>218</v>
      </c>
      <c r="K19" t="str">
        <f>IF(ISERROR(VLOOKUP(A19,GamesTable[game_id],1,0)),"not found","found")</f>
        <v>found</v>
      </c>
      <c r="L19" t="s">
        <v>9753</v>
      </c>
      <c r="M19">
        <f t="shared" si="0"/>
        <v>2</v>
      </c>
    </row>
    <row r="20" spans="1:13" x14ac:dyDescent="0.25">
      <c r="A20" t="s">
        <v>7784</v>
      </c>
      <c r="B20" t="s">
        <v>2856</v>
      </c>
      <c r="C20" t="s">
        <v>2855</v>
      </c>
      <c r="D20" t="s">
        <v>1101</v>
      </c>
      <c r="E20" t="s">
        <v>2854</v>
      </c>
      <c r="F20" t="s">
        <v>2853</v>
      </c>
      <c r="G20" t="s">
        <v>2849</v>
      </c>
      <c r="H20" t="s">
        <v>2845</v>
      </c>
      <c r="I20" t="s">
        <v>218</v>
      </c>
      <c r="J20" t="s">
        <v>218</v>
      </c>
      <c r="K20" t="str">
        <f>IF(ISERROR(VLOOKUP(A20,GamesTable[game_id],1,0)),"not found","found")</f>
        <v>found</v>
      </c>
      <c r="L20" t="s">
        <v>7768</v>
      </c>
      <c r="M20">
        <f t="shared" si="0"/>
        <v>1</v>
      </c>
    </row>
    <row r="21" spans="1:13" x14ac:dyDescent="0.25">
      <c r="A21" t="s">
        <v>7785</v>
      </c>
      <c r="B21" t="s">
        <v>3150</v>
      </c>
      <c r="C21" t="s">
        <v>3149</v>
      </c>
      <c r="D21" t="s">
        <v>1280</v>
      </c>
      <c r="E21" t="s">
        <v>1859</v>
      </c>
      <c r="F21" t="s">
        <v>3148</v>
      </c>
      <c r="G21" t="s">
        <v>3144</v>
      </c>
      <c r="H21" t="s">
        <v>3143</v>
      </c>
      <c r="I21" t="s">
        <v>218</v>
      </c>
      <c r="J21" t="s">
        <v>218</v>
      </c>
      <c r="K21" t="str">
        <f>IF(ISERROR(VLOOKUP(A21,GamesTable[game_id],1,0)),"not found","found")</f>
        <v>found</v>
      </c>
      <c r="L21" t="s">
        <v>7768</v>
      </c>
      <c r="M21">
        <f t="shared" si="0"/>
        <v>1</v>
      </c>
    </row>
    <row r="22" spans="1:13" x14ac:dyDescent="0.25">
      <c r="A22" t="s">
        <v>7786</v>
      </c>
      <c r="B22" t="s">
        <v>2559</v>
      </c>
      <c r="C22" t="s">
        <v>2558</v>
      </c>
      <c r="D22" t="s">
        <v>1101</v>
      </c>
      <c r="E22" t="s">
        <v>1859</v>
      </c>
      <c r="F22" t="s">
        <v>2557</v>
      </c>
      <c r="G22" t="s">
        <v>2553</v>
      </c>
      <c r="H22" t="s">
        <v>2552</v>
      </c>
      <c r="I22" t="s">
        <v>106</v>
      </c>
      <c r="J22" t="s">
        <v>218</v>
      </c>
      <c r="K22" t="str">
        <f>IF(ISERROR(VLOOKUP(A22,GamesTable[game_id],1,0)),"not found","found")</f>
        <v>found</v>
      </c>
      <c r="L22" t="s">
        <v>7768</v>
      </c>
      <c r="M22">
        <f t="shared" si="0"/>
        <v>1</v>
      </c>
    </row>
    <row r="23" spans="1:13" x14ac:dyDescent="0.25">
      <c r="A23" t="s">
        <v>7787</v>
      </c>
      <c r="B23" t="s">
        <v>7683</v>
      </c>
      <c r="C23" t="s">
        <v>7695</v>
      </c>
      <c r="D23" t="s">
        <v>3906</v>
      </c>
      <c r="E23" t="s">
        <v>1912</v>
      </c>
      <c r="F23" t="s">
        <v>7694</v>
      </c>
      <c r="G23" t="s">
        <v>7539</v>
      </c>
      <c r="H23" t="s">
        <v>7690</v>
      </c>
      <c r="I23" t="s">
        <v>106</v>
      </c>
      <c r="J23" t="s">
        <v>218</v>
      </c>
      <c r="K23" t="str">
        <f>IF(ISERROR(VLOOKUP(A23,GamesTable[game_id],1,0)),"not found","found")</f>
        <v>found</v>
      </c>
      <c r="L23" t="s">
        <v>7768</v>
      </c>
      <c r="M23">
        <f t="shared" si="0"/>
        <v>2</v>
      </c>
    </row>
    <row r="24" spans="1:13" x14ac:dyDescent="0.25">
      <c r="A24" t="s">
        <v>7915</v>
      </c>
      <c r="B24" t="s">
        <v>6120</v>
      </c>
      <c r="C24" t="s">
        <v>6119</v>
      </c>
      <c r="D24" t="s">
        <v>5639</v>
      </c>
      <c r="E24" t="s">
        <v>1912</v>
      </c>
      <c r="F24" t="s">
        <v>6118</v>
      </c>
      <c r="G24" t="s">
        <v>6114</v>
      </c>
      <c r="H24" t="s">
        <v>6110</v>
      </c>
      <c r="I24" t="s">
        <v>218</v>
      </c>
      <c r="J24" t="s">
        <v>218</v>
      </c>
      <c r="K24" t="str">
        <f>IF(ISERROR(VLOOKUP(A24,GamesTable[game_id],1,0)),"not found","found")</f>
        <v>found</v>
      </c>
      <c r="L24" t="s">
        <v>7768</v>
      </c>
      <c r="M24">
        <f t="shared" si="0"/>
        <v>1</v>
      </c>
    </row>
    <row r="25" spans="1:13" hidden="1" x14ac:dyDescent="0.25">
      <c r="A25" t="s">
        <v>7787</v>
      </c>
      <c r="B25" t="s">
        <v>7689</v>
      </c>
      <c r="C25" t="s">
        <v>7688</v>
      </c>
      <c r="D25" t="s">
        <v>3906</v>
      </c>
      <c r="E25" t="s">
        <v>1912</v>
      </c>
      <c r="F25" t="s">
        <v>7687</v>
      </c>
      <c r="G25" t="s">
        <v>7344</v>
      </c>
      <c r="H25" t="s">
        <v>7679</v>
      </c>
      <c r="I25" t="s">
        <v>35</v>
      </c>
      <c r="J25" t="s">
        <v>218</v>
      </c>
      <c r="K25" t="str">
        <f>IF(ISERROR(VLOOKUP(A25,GamesTable[game_id],1,0)),"not found","found")</f>
        <v>found</v>
      </c>
      <c r="L25" t="s">
        <v>9753</v>
      </c>
      <c r="M25">
        <f t="shared" si="0"/>
        <v>2</v>
      </c>
    </row>
    <row r="26" spans="1:13" x14ac:dyDescent="0.25">
      <c r="A26" t="s">
        <v>7788</v>
      </c>
      <c r="B26" t="s">
        <v>6968</v>
      </c>
      <c r="C26" t="s">
        <v>7104</v>
      </c>
      <c r="D26" t="s">
        <v>6279</v>
      </c>
      <c r="E26" t="s">
        <v>1912</v>
      </c>
      <c r="F26" t="s">
        <v>7103</v>
      </c>
      <c r="G26" t="s">
        <v>7099</v>
      </c>
      <c r="H26" t="s">
        <v>7098</v>
      </c>
      <c r="I26" t="s">
        <v>218</v>
      </c>
      <c r="J26" t="s">
        <v>218</v>
      </c>
      <c r="K26" t="str">
        <f>IF(ISERROR(VLOOKUP(A26,GamesTable[game_id],1,0)),"not found","found")</f>
        <v>found</v>
      </c>
      <c r="L26" t="s">
        <v>7768</v>
      </c>
      <c r="M26">
        <f t="shared" si="0"/>
        <v>5</v>
      </c>
    </row>
    <row r="27" spans="1:13" hidden="1" x14ac:dyDescent="0.25">
      <c r="A27" t="s">
        <v>7788</v>
      </c>
      <c r="B27" t="s">
        <v>7097</v>
      </c>
      <c r="C27" t="s">
        <v>7096</v>
      </c>
      <c r="D27" t="s">
        <v>6279</v>
      </c>
      <c r="E27" t="s">
        <v>1912</v>
      </c>
      <c r="F27" t="s">
        <v>7095</v>
      </c>
      <c r="G27" t="s">
        <v>7768</v>
      </c>
      <c r="H27" t="s">
        <v>7768</v>
      </c>
      <c r="I27" t="s">
        <v>35</v>
      </c>
      <c r="J27" t="s">
        <v>218</v>
      </c>
      <c r="K27" t="str">
        <f>IF(ISERROR(VLOOKUP(A27,GamesTable[game_id],1,0)),"not found","found")</f>
        <v>found</v>
      </c>
      <c r="L27" t="s">
        <v>9753</v>
      </c>
      <c r="M27">
        <f t="shared" si="0"/>
        <v>5</v>
      </c>
    </row>
    <row r="28" spans="1:13" hidden="1" x14ac:dyDescent="0.25">
      <c r="A28" t="s">
        <v>7788</v>
      </c>
      <c r="B28" t="s">
        <v>6973</v>
      </c>
      <c r="C28" t="s">
        <v>6972</v>
      </c>
      <c r="D28" t="s">
        <v>6279</v>
      </c>
      <c r="E28" t="s">
        <v>1912</v>
      </c>
      <c r="F28" t="s">
        <v>7768</v>
      </c>
      <c r="G28" t="s">
        <v>7768</v>
      </c>
      <c r="H28" t="s">
        <v>7768</v>
      </c>
      <c r="I28" t="s">
        <v>35</v>
      </c>
      <c r="J28" t="s">
        <v>218</v>
      </c>
      <c r="K28" t="str">
        <f>IF(ISERROR(VLOOKUP(A28,GamesTable[game_id],1,0)),"not found","found")</f>
        <v>found</v>
      </c>
      <c r="L28" t="s">
        <v>9753</v>
      </c>
      <c r="M28">
        <f t="shared" si="0"/>
        <v>5</v>
      </c>
    </row>
    <row r="29" spans="1:13" hidden="1" x14ac:dyDescent="0.25">
      <c r="A29" t="s">
        <v>7788</v>
      </c>
      <c r="B29" t="s">
        <v>7069</v>
      </c>
      <c r="C29" t="s">
        <v>7068</v>
      </c>
      <c r="D29" t="s">
        <v>6279</v>
      </c>
      <c r="E29" t="s">
        <v>1912</v>
      </c>
      <c r="F29" t="s">
        <v>7768</v>
      </c>
      <c r="G29" t="s">
        <v>7768</v>
      </c>
      <c r="H29" t="s">
        <v>7768</v>
      </c>
      <c r="I29" t="s">
        <v>35</v>
      </c>
      <c r="J29" t="s">
        <v>218</v>
      </c>
      <c r="K29" t="str">
        <f>IF(ISERROR(VLOOKUP(A29,GamesTable[game_id],1,0)),"not found","found")</f>
        <v>found</v>
      </c>
      <c r="L29" t="s">
        <v>9753</v>
      </c>
      <c r="M29">
        <f t="shared" si="0"/>
        <v>5</v>
      </c>
    </row>
    <row r="30" spans="1:13" hidden="1" x14ac:dyDescent="0.25">
      <c r="A30" t="s">
        <v>7788</v>
      </c>
      <c r="B30" t="s">
        <v>7024</v>
      </c>
      <c r="C30" t="s">
        <v>7023</v>
      </c>
      <c r="D30" t="s">
        <v>6279</v>
      </c>
      <c r="E30" t="s">
        <v>1912</v>
      </c>
      <c r="F30" t="s">
        <v>7768</v>
      </c>
      <c r="G30" t="s">
        <v>7768</v>
      </c>
      <c r="H30" t="s">
        <v>7768</v>
      </c>
      <c r="I30" t="s">
        <v>35</v>
      </c>
      <c r="J30" t="s">
        <v>218</v>
      </c>
      <c r="K30" t="str">
        <f>IF(ISERROR(VLOOKUP(A30,GamesTable[game_id],1,0)),"not found","found")</f>
        <v>found</v>
      </c>
      <c r="L30" t="s">
        <v>9753</v>
      </c>
      <c r="M30">
        <f t="shared" si="0"/>
        <v>5</v>
      </c>
    </row>
    <row r="31" spans="1:13" x14ac:dyDescent="0.25">
      <c r="A31" t="s">
        <v>7789</v>
      </c>
      <c r="B31" t="s">
        <v>1241</v>
      </c>
      <c r="C31" t="s">
        <v>1240</v>
      </c>
      <c r="D31" t="s">
        <v>1239</v>
      </c>
      <c r="E31" t="s">
        <v>194</v>
      </c>
      <c r="F31" t="s">
        <v>7768</v>
      </c>
      <c r="G31" t="s">
        <v>7768</v>
      </c>
      <c r="H31" t="s">
        <v>7768</v>
      </c>
      <c r="I31" t="s">
        <v>106</v>
      </c>
      <c r="J31" t="s">
        <v>218</v>
      </c>
      <c r="K31" t="str">
        <f>IF(ISERROR(VLOOKUP(A31,GamesTable[game_id],1,0)),"not found","found")</f>
        <v>found</v>
      </c>
      <c r="L31" t="s">
        <v>7768</v>
      </c>
      <c r="M31">
        <f t="shared" si="0"/>
        <v>1</v>
      </c>
    </row>
    <row r="32" spans="1:13" x14ac:dyDescent="0.25">
      <c r="A32" t="s">
        <v>7790</v>
      </c>
      <c r="B32" t="s">
        <v>6310</v>
      </c>
      <c r="C32" t="s">
        <v>6309</v>
      </c>
      <c r="D32" t="s">
        <v>6279</v>
      </c>
      <c r="E32" t="s">
        <v>5638</v>
      </c>
      <c r="F32" t="s">
        <v>6308</v>
      </c>
      <c r="G32" t="s">
        <v>6304</v>
      </c>
      <c r="H32" t="s">
        <v>6300</v>
      </c>
      <c r="I32" t="s">
        <v>218</v>
      </c>
      <c r="J32" t="s">
        <v>218</v>
      </c>
      <c r="K32" t="str">
        <f>IF(ISERROR(VLOOKUP(A32,GamesTable[game_id],1,0)),"not found","found")</f>
        <v>found</v>
      </c>
      <c r="L32" t="s">
        <v>7768</v>
      </c>
      <c r="M32">
        <f t="shared" si="0"/>
        <v>1</v>
      </c>
    </row>
    <row r="33" spans="1:13" x14ac:dyDescent="0.25">
      <c r="A33" t="s">
        <v>7822</v>
      </c>
      <c r="B33" t="s">
        <v>911</v>
      </c>
      <c r="C33" t="s">
        <v>910</v>
      </c>
      <c r="D33" t="s">
        <v>195</v>
      </c>
      <c r="E33" t="s">
        <v>194</v>
      </c>
      <c r="F33" t="s">
        <v>7768</v>
      </c>
      <c r="G33" t="s">
        <v>7768</v>
      </c>
      <c r="H33" t="s">
        <v>7768</v>
      </c>
      <c r="I33" t="s">
        <v>106</v>
      </c>
      <c r="J33" t="s">
        <v>106</v>
      </c>
      <c r="K33" t="str">
        <f>IF(ISERROR(VLOOKUP(A33,GamesTable[game_id],1,0)),"not found","found")</f>
        <v>found</v>
      </c>
      <c r="L33" t="s">
        <v>7768</v>
      </c>
      <c r="M33">
        <f t="shared" si="0"/>
        <v>5</v>
      </c>
    </row>
    <row r="34" spans="1:13" hidden="1" x14ac:dyDescent="0.25">
      <c r="A34" t="s">
        <v>7822</v>
      </c>
      <c r="B34" t="s">
        <v>920</v>
      </c>
      <c r="C34" t="s">
        <v>919</v>
      </c>
      <c r="D34" t="s">
        <v>195</v>
      </c>
      <c r="E34" t="s">
        <v>194</v>
      </c>
      <c r="F34" t="s">
        <v>7768</v>
      </c>
      <c r="G34" t="s">
        <v>7768</v>
      </c>
      <c r="H34" t="s">
        <v>7768</v>
      </c>
      <c r="I34" t="s">
        <v>106</v>
      </c>
      <c r="J34" t="s">
        <v>106</v>
      </c>
      <c r="K34" t="str">
        <f>IF(ISERROR(VLOOKUP(A34,GamesTable[game_id],1,0)),"not found","found")</f>
        <v>found</v>
      </c>
      <c r="L34" t="s">
        <v>9753</v>
      </c>
      <c r="M34">
        <f t="shared" si="0"/>
        <v>5</v>
      </c>
    </row>
    <row r="35" spans="1:13" hidden="1" x14ac:dyDescent="0.25">
      <c r="A35" t="s">
        <v>7822</v>
      </c>
      <c r="B35" t="s">
        <v>929</v>
      </c>
      <c r="C35" t="s">
        <v>928</v>
      </c>
      <c r="D35" t="s">
        <v>195</v>
      </c>
      <c r="E35" t="s">
        <v>194</v>
      </c>
      <c r="F35" t="s">
        <v>7768</v>
      </c>
      <c r="G35" t="s">
        <v>7768</v>
      </c>
      <c r="H35" t="s">
        <v>7768</v>
      </c>
      <c r="I35" t="s">
        <v>106</v>
      </c>
      <c r="J35" t="s">
        <v>218</v>
      </c>
      <c r="K35" t="str">
        <f>IF(ISERROR(VLOOKUP(A35,GamesTable[game_id],1,0)),"not found","found")</f>
        <v>found</v>
      </c>
      <c r="L35" t="s">
        <v>9753</v>
      </c>
      <c r="M35">
        <f t="shared" si="0"/>
        <v>5</v>
      </c>
    </row>
    <row r="36" spans="1:13" x14ac:dyDescent="0.25">
      <c r="A36" t="s">
        <v>7791</v>
      </c>
      <c r="B36" t="s">
        <v>2405</v>
      </c>
      <c r="C36" t="s">
        <v>2404</v>
      </c>
      <c r="D36" t="s">
        <v>1053</v>
      </c>
      <c r="E36" t="s">
        <v>1859</v>
      </c>
      <c r="F36" t="s">
        <v>2403</v>
      </c>
      <c r="G36" t="s">
        <v>2399</v>
      </c>
      <c r="H36" t="s">
        <v>2398</v>
      </c>
      <c r="I36" t="s">
        <v>106</v>
      </c>
      <c r="J36" t="s">
        <v>218</v>
      </c>
      <c r="K36" t="str">
        <f>IF(ISERROR(VLOOKUP(A36,GamesTable[game_id],1,0)),"not found","found")</f>
        <v>found</v>
      </c>
      <c r="L36" t="s">
        <v>7768</v>
      </c>
      <c r="M36">
        <f t="shared" si="0"/>
        <v>1</v>
      </c>
    </row>
    <row r="37" spans="1:13" x14ac:dyDescent="0.25">
      <c r="A37" t="s">
        <v>7792</v>
      </c>
      <c r="B37" t="s">
        <v>7306</v>
      </c>
      <c r="C37" t="s">
        <v>7305</v>
      </c>
      <c r="D37" t="s">
        <v>3906</v>
      </c>
      <c r="E37" t="s">
        <v>1912</v>
      </c>
      <c r="F37" t="s">
        <v>7304</v>
      </c>
      <c r="G37" t="s">
        <v>7300</v>
      </c>
      <c r="H37" t="s">
        <v>7296</v>
      </c>
      <c r="I37" t="s">
        <v>106</v>
      </c>
      <c r="J37" t="s">
        <v>218</v>
      </c>
      <c r="K37" t="str">
        <f>IF(ISERROR(VLOOKUP(A37,GamesTable[game_id],1,0)),"not found","found")</f>
        <v>found</v>
      </c>
      <c r="L37" t="s">
        <v>7768</v>
      </c>
      <c r="M37">
        <f t="shared" si="0"/>
        <v>1</v>
      </c>
    </row>
    <row r="38" spans="1:13" x14ac:dyDescent="0.25">
      <c r="A38" t="s">
        <v>7793</v>
      </c>
      <c r="B38" t="s">
        <v>115</v>
      </c>
      <c r="C38" t="s">
        <v>114</v>
      </c>
      <c r="D38" t="s">
        <v>113</v>
      </c>
      <c r="E38" t="s">
        <v>112</v>
      </c>
      <c r="F38" t="s">
        <v>7768</v>
      </c>
      <c r="G38" t="s">
        <v>7768</v>
      </c>
      <c r="H38" t="s">
        <v>7768</v>
      </c>
      <c r="I38" t="s">
        <v>106</v>
      </c>
      <c r="J38" t="s">
        <v>106</v>
      </c>
      <c r="K38" t="str">
        <f>IF(ISERROR(VLOOKUP(A38,GamesTable[game_id],1,0)),"not found","found")</f>
        <v>found</v>
      </c>
      <c r="L38" t="s">
        <v>7768</v>
      </c>
      <c r="M38">
        <f t="shared" si="0"/>
        <v>1</v>
      </c>
    </row>
    <row r="39" spans="1:13" x14ac:dyDescent="0.25">
      <c r="A39" t="s">
        <v>7794</v>
      </c>
      <c r="B39" t="s">
        <v>4692</v>
      </c>
      <c r="C39" t="s">
        <v>4691</v>
      </c>
      <c r="D39" t="s">
        <v>1239</v>
      </c>
      <c r="E39" t="s">
        <v>3827</v>
      </c>
      <c r="F39" t="s">
        <v>4690</v>
      </c>
      <c r="G39" t="s">
        <v>4686</v>
      </c>
      <c r="H39" t="s">
        <v>4685</v>
      </c>
      <c r="I39" t="s">
        <v>218</v>
      </c>
      <c r="J39" t="s">
        <v>218</v>
      </c>
      <c r="K39" t="str">
        <f>IF(ISERROR(VLOOKUP(A39,GamesTable[game_id],1,0)),"not found","found")</f>
        <v>found</v>
      </c>
      <c r="L39" t="s">
        <v>7768</v>
      </c>
      <c r="M39">
        <f t="shared" si="0"/>
        <v>1</v>
      </c>
    </row>
    <row r="40" spans="1:13" x14ac:dyDescent="0.25">
      <c r="A40" t="s">
        <v>7795</v>
      </c>
      <c r="B40" t="s">
        <v>1304</v>
      </c>
      <c r="C40" t="s">
        <v>1303</v>
      </c>
      <c r="D40" t="s">
        <v>1145</v>
      </c>
      <c r="E40" t="s">
        <v>1302</v>
      </c>
      <c r="F40" t="s">
        <v>7768</v>
      </c>
      <c r="G40" t="s">
        <v>7768</v>
      </c>
      <c r="H40" t="s">
        <v>7768</v>
      </c>
      <c r="I40" t="s">
        <v>106</v>
      </c>
      <c r="J40" t="s">
        <v>218</v>
      </c>
      <c r="K40" t="str">
        <f>IF(ISERROR(VLOOKUP(A40,GamesTable[game_id],1,0)),"not found","found")</f>
        <v>found</v>
      </c>
      <c r="L40" t="s">
        <v>7768</v>
      </c>
      <c r="M40">
        <f t="shared" si="0"/>
        <v>1</v>
      </c>
    </row>
    <row r="41" spans="1:13" x14ac:dyDescent="0.25">
      <c r="A41" t="s">
        <v>7796</v>
      </c>
      <c r="B41" t="s">
        <v>6624</v>
      </c>
      <c r="C41" t="s">
        <v>6623</v>
      </c>
      <c r="D41" t="s">
        <v>6279</v>
      </c>
      <c r="E41" t="s">
        <v>6518</v>
      </c>
      <c r="F41" t="s">
        <v>6622</v>
      </c>
      <c r="G41" t="s">
        <v>6618</v>
      </c>
      <c r="H41" t="s">
        <v>6614</v>
      </c>
      <c r="I41" t="s">
        <v>218</v>
      </c>
      <c r="J41" t="s">
        <v>218</v>
      </c>
      <c r="K41" t="str">
        <f>IF(ISERROR(VLOOKUP(A41,GamesTable[game_id],1,0)),"not found","found")</f>
        <v>found</v>
      </c>
      <c r="L41" t="s">
        <v>7768</v>
      </c>
      <c r="M41">
        <f t="shared" si="0"/>
        <v>1</v>
      </c>
    </row>
    <row r="42" spans="1:13" x14ac:dyDescent="0.25">
      <c r="A42" t="s">
        <v>7797</v>
      </c>
      <c r="B42" t="s">
        <v>5452</v>
      </c>
      <c r="C42" t="s">
        <v>5459</v>
      </c>
      <c r="D42" t="s">
        <v>5315</v>
      </c>
      <c r="E42" t="s">
        <v>1912</v>
      </c>
      <c r="F42" t="s">
        <v>5456</v>
      </c>
      <c r="G42" t="s">
        <v>5451</v>
      </c>
      <c r="H42" t="s">
        <v>5447</v>
      </c>
      <c r="I42" t="s">
        <v>218</v>
      </c>
      <c r="J42" t="s">
        <v>218</v>
      </c>
      <c r="K42" t="str">
        <f>IF(ISERROR(VLOOKUP(A42,GamesTable[game_id],1,0)),"not found","found")</f>
        <v>found</v>
      </c>
      <c r="L42" t="s">
        <v>7768</v>
      </c>
      <c r="M42">
        <f t="shared" si="0"/>
        <v>2</v>
      </c>
    </row>
    <row r="43" spans="1:13" hidden="1" x14ac:dyDescent="0.25">
      <c r="A43" t="s">
        <v>7797</v>
      </c>
      <c r="B43" t="s">
        <v>5458</v>
      </c>
      <c r="C43" t="s">
        <v>5457</v>
      </c>
      <c r="D43" t="s">
        <v>5315</v>
      </c>
      <c r="E43" t="s">
        <v>1912</v>
      </c>
      <c r="F43" t="s">
        <v>5456</v>
      </c>
      <c r="G43" t="s">
        <v>5451</v>
      </c>
      <c r="H43" t="s">
        <v>5447</v>
      </c>
      <c r="I43" t="s">
        <v>218</v>
      </c>
      <c r="J43" t="s">
        <v>218</v>
      </c>
      <c r="K43" t="str">
        <f>IF(ISERROR(VLOOKUP(A43,GamesTable[game_id],1,0)),"not found","found")</f>
        <v>found</v>
      </c>
      <c r="L43" t="s">
        <v>9753</v>
      </c>
      <c r="M43">
        <f t="shared" si="0"/>
        <v>2</v>
      </c>
    </row>
    <row r="44" spans="1:13" x14ac:dyDescent="0.25">
      <c r="A44" t="s">
        <v>7798</v>
      </c>
      <c r="B44" t="s">
        <v>6410</v>
      </c>
      <c r="C44" t="s">
        <v>6409</v>
      </c>
      <c r="D44" t="s">
        <v>6279</v>
      </c>
      <c r="E44" t="s">
        <v>1912</v>
      </c>
      <c r="F44" t="s">
        <v>6408</v>
      </c>
      <c r="G44" t="s">
        <v>6404</v>
      </c>
      <c r="H44" t="s">
        <v>6400</v>
      </c>
      <c r="I44" t="s">
        <v>218</v>
      </c>
      <c r="J44" t="s">
        <v>218</v>
      </c>
      <c r="K44" t="str">
        <f>IF(ISERROR(VLOOKUP(A44,GamesTable[game_id],1,0)),"not found","found")</f>
        <v>found</v>
      </c>
      <c r="L44" t="s">
        <v>7768</v>
      </c>
      <c r="M44">
        <f t="shared" si="0"/>
        <v>1</v>
      </c>
    </row>
    <row r="45" spans="1:13" x14ac:dyDescent="0.25">
      <c r="A45" t="s">
        <v>7799</v>
      </c>
      <c r="B45" t="s">
        <v>5871</v>
      </c>
      <c r="C45" t="s">
        <v>5870</v>
      </c>
      <c r="D45" t="s">
        <v>5639</v>
      </c>
      <c r="E45" t="s">
        <v>1912</v>
      </c>
      <c r="F45" t="s">
        <v>5869</v>
      </c>
      <c r="G45" t="s">
        <v>5865</v>
      </c>
      <c r="H45" t="s">
        <v>5861</v>
      </c>
      <c r="I45" t="s">
        <v>218</v>
      </c>
      <c r="J45" t="s">
        <v>218</v>
      </c>
      <c r="K45" t="str">
        <f>IF(ISERROR(VLOOKUP(A45,GamesTable[game_id],1,0)),"not found","found")</f>
        <v>found</v>
      </c>
      <c r="L45" t="s">
        <v>7768</v>
      </c>
      <c r="M45">
        <f t="shared" si="0"/>
        <v>1</v>
      </c>
    </row>
    <row r="46" spans="1:13" x14ac:dyDescent="0.25">
      <c r="A46" t="s">
        <v>7800</v>
      </c>
      <c r="B46" t="s">
        <v>5063</v>
      </c>
      <c r="C46" t="s">
        <v>5062</v>
      </c>
      <c r="D46" t="s">
        <v>1239</v>
      </c>
      <c r="E46" t="s">
        <v>1912</v>
      </c>
      <c r="F46" t="s">
        <v>5061</v>
      </c>
      <c r="G46" t="s">
        <v>5057</v>
      </c>
      <c r="H46" t="s">
        <v>5053</v>
      </c>
      <c r="I46" t="s">
        <v>218</v>
      </c>
      <c r="J46" t="s">
        <v>218</v>
      </c>
      <c r="K46" t="str">
        <f>IF(ISERROR(VLOOKUP(A46,GamesTable[game_id],1,0)),"not found","found")</f>
        <v>found</v>
      </c>
      <c r="L46" t="s">
        <v>7768</v>
      </c>
      <c r="M46">
        <f t="shared" si="0"/>
        <v>1</v>
      </c>
    </row>
    <row r="47" spans="1:13" x14ac:dyDescent="0.25">
      <c r="A47" t="s">
        <v>7801</v>
      </c>
      <c r="B47" t="s">
        <v>6375</v>
      </c>
      <c r="C47" t="s">
        <v>6374</v>
      </c>
      <c r="D47" t="s">
        <v>5639</v>
      </c>
      <c r="E47" t="s">
        <v>1912</v>
      </c>
      <c r="F47" t="s">
        <v>6373</v>
      </c>
      <c r="G47" t="s">
        <v>6369</v>
      </c>
      <c r="H47" t="s">
        <v>6365</v>
      </c>
      <c r="I47" t="s">
        <v>218</v>
      </c>
      <c r="J47" t="s">
        <v>218</v>
      </c>
      <c r="K47" t="str">
        <f>IF(ISERROR(VLOOKUP(A47,GamesTable[game_id],1,0)),"not found","found")</f>
        <v>found</v>
      </c>
      <c r="L47" t="s">
        <v>7768</v>
      </c>
      <c r="M47">
        <f t="shared" si="0"/>
        <v>1</v>
      </c>
    </row>
    <row r="48" spans="1:13" x14ac:dyDescent="0.25">
      <c r="A48" t="s">
        <v>7802</v>
      </c>
      <c r="B48" t="s">
        <v>5379</v>
      </c>
      <c r="C48" t="s">
        <v>5387</v>
      </c>
      <c r="D48" t="s">
        <v>393</v>
      </c>
      <c r="E48" t="s">
        <v>5384</v>
      </c>
      <c r="F48" t="s">
        <v>5383</v>
      </c>
      <c r="G48" t="s">
        <v>5378</v>
      </c>
      <c r="H48" t="s">
        <v>5374</v>
      </c>
      <c r="I48" t="s">
        <v>106</v>
      </c>
      <c r="J48" t="s">
        <v>218</v>
      </c>
      <c r="K48" t="str">
        <f>IF(ISERROR(VLOOKUP(A48,GamesTable[game_id],1,0)),"not found","found")</f>
        <v>found</v>
      </c>
      <c r="L48" t="s">
        <v>7768</v>
      </c>
      <c r="M48">
        <f t="shared" si="0"/>
        <v>2</v>
      </c>
    </row>
    <row r="49" spans="1:13" hidden="1" x14ac:dyDescent="0.25">
      <c r="A49" t="s">
        <v>7802</v>
      </c>
      <c r="B49" t="s">
        <v>5386</v>
      </c>
      <c r="C49" t="s">
        <v>5385</v>
      </c>
      <c r="D49" t="s">
        <v>393</v>
      </c>
      <c r="E49" t="s">
        <v>5384</v>
      </c>
      <c r="F49" t="s">
        <v>5383</v>
      </c>
      <c r="G49" t="s">
        <v>5378</v>
      </c>
      <c r="H49" t="s">
        <v>5374</v>
      </c>
      <c r="I49" t="s">
        <v>106</v>
      </c>
      <c r="J49" t="s">
        <v>218</v>
      </c>
      <c r="K49" t="str">
        <f>IF(ISERROR(VLOOKUP(A49,GamesTable[game_id],1,0)),"not found","found")</f>
        <v>found</v>
      </c>
      <c r="L49" t="s">
        <v>9753</v>
      </c>
      <c r="M49">
        <f t="shared" si="0"/>
        <v>2</v>
      </c>
    </row>
    <row r="50" spans="1:13" x14ac:dyDescent="0.25">
      <c r="A50" t="s">
        <v>7803</v>
      </c>
      <c r="B50" t="s">
        <v>2479</v>
      </c>
      <c r="C50" t="s">
        <v>2478</v>
      </c>
      <c r="D50" t="s">
        <v>1053</v>
      </c>
      <c r="E50" t="s">
        <v>1859</v>
      </c>
      <c r="F50" t="s">
        <v>2477</v>
      </c>
      <c r="G50" t="s">
        <v>2473</v>
      </c>
      <c r="H50" t="s">
        <v>2469</v>
      </c>
      <c r="I50" t="s">
        <v>106</v>
      </c>
      <c r="J50" t="s">
        <v>218</v>
      </c>
      <c r="K50" t="str">
        <f>IF(ISERROR(VLOOKUP(A50,GamesTable[game_id],1,0)),"not found","found")</f>
        <v>found</v>
      </c>
      <c r="L50" t="s">
        <v>7768</v>
      </c>
      <c r="M50">
        <f t="shared" si="0"/>
        <v>1</v>
      </c>
    </row>
    <row r="51" spans="1:13" x14ac:dyDescent="0.25">
      <c r="A51" t="s">
        <v>7804</v>
      </c>
      <c r="B51" t="s">
        <v>1261</v>
      </c>
      <c r="C51" t="s">
        <v>1260</v>
      </c>
      <c r="D51" t="s">
        <v>1239</v>
      </c>
      <c r="E51" t="s">
        <v>194</v>
      </c>
      <c r="F51" t="s">
        <v>7768</v>
      </c>
      <c r="G51" t="s">
        <v>7768</v>
      </c>
      <c r="H51" t="s">
        <v>7768</v>
      </c>
      <c r="I51" t="s">
        <v>106</v>
      </c>
      <c r="J51" t="s">
        <v>218</v>
      </c>
      <c r="K51" t="str">
        <f>IF(ISERROR(VLOOKUP(A51,GamesTable[game_id],1,0)),"not found","found")</f>
        <v>found</v>
      </c>
      <c r="L51" t="s">
        <v>7768</v>
      </c>
      <c r="M51">
        <f t="shared" si="0"/>
        <v>1</v>
      </c>
    </row>
    <row r="52" spans="1:13" x14ac:dyDescent="0.25">
      <c r="A52" t="s">
        <v>7923</v>
      </c>
      <c r="B52" t="s">
        <v>4488</v>
      </c>
      <c r="C52" t="s">
        <v>4487</v>
      </c>
      <c r="D52" t="s">
        <v>1239</v>
      </c>
      <c r="E52" t="s">
        <v>1912</v>
      </c>
      <c r="F52" t="s">
        <v>7768</v>
      </c>
      <c r="G52" t="s">
        <v>7768</v>
      </c>
      <c r="H52" t="s">
        <v>7768</v>
      </c>
      <c r="I52" t="s">
        <v>106</v>
      </c>
      <c r="J52" t="s">
        <v>218</v>
      </c>
      <c r="K52" t="str">
        <f>IF(ISERROR(VLOOKUP(A52,GamesTable[game_id],1,0)),"not found","found")</f>
        <v>found</v>
      </c>
      <c r="L52" t="s">
        <v>7768</v>
      </c>
      <c r="M52">
        <f t="shared" si="0"/>
        <v>3</v>
      </c>
    </row>
    <row r="53" spans="1:13" x14ac:dyDescent="0.25">
      <c r="A53" t="s">
        <v>7805</v>
      </c>
      <c r="B53" t="s">
        <v>4879</v>
      </c>
      <c r="C53" t="s">
        <v>4878</v>
      </c>
      <c r="D53" t="s">
        <v>1239</v>
      </c>
      <c r="E53" t="s">
        <v>3242</v>
      </c>
      <c r="F53" t="s">
        <v>4877</v>
      </c>
      <c r="G53" t="s">
        <v>4873</v>
      </c>
      <c r="H53" t="s">
        <v>4872</v>
      </c>
      <c r="I53" t="s">
        <v>218</v>
      </c>
      <c r="J53" t="s">
        <v>218</v>
      </c>
      <c r="K53" t="str">
        <f>IF(ISERROR(VLOOKUP(A53,GamesTable[game_id],1,0)),"not found","found")</f>
        <v>found</v>
      </c>
      <c r="L53" t="s">
        <v>7768</v>
      </c>
      <c r="M53">
        <f t="shared" si="0"/>
        <v>1</v>
      </c>
    </row>
    <row r="54" spans="1:13" x14ac:dyDescent="0.25">
      <c r="A54" t="s">
        <v>7806</v>
      </c>
      <c r="B54" t="s">
        <v>2201</v>
      </c>
      <c r="C54" t="s">
        <v>2200</v>
      </c>
      <c r="D54" t="s">
        <v>1053</v>
      </c>
      <c r="E54" t="s">
        <v>1859</v>
      </c>
      <c r="F54" t="s">
        <v>2199</v>
      </c>
      <c r="G54" t="s">
        <v>7768</v>
      </c>
      <c r="H54" t="s">
        <v>2194</v>
      </c>
      <c r="I54" t="s">
        <v>106</v>
      </c>
      <c r="J54" t="s">
        <v>218</v>
      </c>
      <c r="K54" t="str">
        <f>IF(ISERROR(VLOOKUP(A54,GamesTable[game_id],1,0)),"not found","found")</f>
        <v>found</v>
      </c>
      <c r="L54" t="s">
        <v>7768</v>
      </c>
      <c r="M54">
        <f t="shared" si="0"/>
        <v>1</v>
      </c>
    </row>
    <row r="55" spans="1:13" x14ac:dyDescent="0.25">
      <c r="A55" t="s">
        <v>7807</v>
      </c>
      <c r="B55" t="s">
        <v>1048</v>
      </c>
      <c r="C55" t="s">
        <v>2181</v>
      </c>
      <c r="D55" t="s">
        <v>1053</v>
      </c>
      <c r="E55" t="s">
        <v>1912</v>
      </c>
      <c r="F55" t="s">
        <v>2161</v>
      </c>
      <c r="G55" t="s">
        <v>2157</v>
      </c>
      <c r="H55" t="s">
        <v>2153</v>
      </c>
      <c r="I55" t="s">
        <v>218</v>
      </c>
      <c r="J55" t="s">
        <v>218</v>
      </c>
      <c r="K55" t="str">
        <f>IF(ISERROR(VLOOKUP(A55,GamesTable[game_id],1,0)),"not found","found")</f>
        <v>found</v>
      </c>
      <c r="L55" t="s">
        <v>7768</v>
      </c>
      <c r="M55">
        <f t="shared" si="0"/>
        <v>5</v>
      </c>
    </row>
    <row r="56" spans="1:13" hidden="1" x14ac:dyDescent="0.25">
      <c r="A56" t="s">
        <v>7807</v>
      </c>
      <c r="B56" t="s">
        <v>1055</v>
      </c>
      <c r="C56" t="s">
        <v>1054</v>
      </c>
      <c r="D56" t="s">
        <v>1053</v>
      </c>
      <c r="E56" t="s">
        <v>194</v>
      </c>
      <c r="F56" t="s">
        <v>7768</v>
      </c>
      <c r="G56" t="s">
        <v>7768</v>
      </c>
      <c r="H56" t="s">
        <v>7768</v>
      </c>
      <c r="I56" t="s">
        <v>106</v>
      </c>
      <c r="J56" t="s">
        <v>218</v>
      </c>
      <c r="K56" t="str">
        <f>IF(ISERROR(VLOOKUP(A56,GamesTable[game_id],1,0)),"not found","found")</f>
        <v>found</v>
      </c>
      <c r="L56" t="s">
        <v>9753</v>
      </c>
      <c r="M56">
        <f t="shared" si="0"/>
        <v>5</v>
      </c>
    </row>
    <row r="57" spans="1:13" hidden="1" x14ac:dyDescent="0.25">
      <c r="A57" t="s">
        <v>7807</v>
      </c>
      <c r="B57" t="s">
        <v>2177</v>
      </c>
      <c r="C57" t="s">
        <v>2176</v>
      </c>
      <c r="D57" t="s">
        <v>1053</v>
      </c>
      <c r="E57" t="s">
        <v>1912</v>
      </c>
      <c r="F57" t="s">
        <v>2175</v>
      </c>
      <c r="G57" t="s">
        <v>2170</v>
      </c>
      <c r="H57" t="s">
        <v>2153</v>
      </c>
      <c r="I57" t="s">
        <v>218</v>
      </c>
      <c r="J57" t="s">
        <v>218</v>
      </c>
      <c r="K57" t="str">
        <f>IF(ISERROR(VLOOKUP(A57,GamesTable[game_id],1,0)),"not found","found")</f>
        <v>found</v>
      </c>
      <c r="L57" t="s">
        <v>9753</v>
      </c>
      <c r="M57">
        <f t="shared" si="0"/>
        <v>5</v>
      </c>
    </row>
    <row r="58" spans="1:13" hidden="1" x14ac:dyDescent="0.25">
      <c r="A58" t="s">
        <v>7807</v>
      </c>
      <c r="B58" t="s">
        <v>2163</v>
      </c>
      <c r="C58" t="s">
        <v>2162</v>
      </c>
      <c r="D58" t="s">
        <v>1053</v>
      </c>
      <c r="E58" t="s">
        <v>1912</v>
      </c>
      <c r="F58" t="s">
        <v>2161</v>
      </c>
      <c r="G58" t="s">
        <v>2157</v>
      </c>
      <c r="H58" t="s">
        <v>2153</v>
      </c>
      <c r="I58" t="s">
        <v>35</v>
      </c>
      <c r="J58" t="s">
        <v>218</v>
      </c>
      <c r="K58" t="str">
        <f>IF(ISERROR(VLOOKUP(A58,GamesTable[game_id],1,0)),"not found","found")</f>
        <v>found</v>
      </c>
      <c r="L58" t="s">
        <v>9753</v>
      </c>
      <c r="M58">
        <f t="shared" si="0"/>
        <v>5</v>
      </c>
    </row>
    <row r="59" spans="1:13" hidden="1" x14ac:dyDescent="0.25">
      <c r="A59" t="s">
        <v>7807</v>
      </c>
      <c r="B59" t="s">
        <v>2104</v>
      </c>
      <c r="C59" t="s">
        <v>2103</v>
      </c>
      <c r="D59" t="s">
        <v>1053</v>
      </c>
      <c r="E59" t="s">
        <v>1912</v>
      </c>
      <c r="F59" t="s">
        <v>7768</v>
      </c>
      <c r="G59" t="s">
        <v>7768</v>
      </c>
      <c r="H59" t="s">
        <v>7768</v>
      </c>
      <c r="I59" t="s">
        <v>106</v>
      </c>
      <c r="J59" t="s">
        <v>218</v>
      </c>
      <c r="K59" t="str">
        <f>IF(ISERROR(VLOOKUP(A59,GamesTable[game_id],1,0)),"not found","found")</f>
        <v>found</v>
      </c>
      <c r="L59" t="s">
        <v>9753</v>
      </c>
      <c r="M59">
        <f t="shared" si="0"/>
        <v>5</v>
      </c>
    </row>
    <row r="60" spans="1:13" x14ac:dyDescent="0.25">
      <c r="A60" t="s">
        <v>7808</v>
      </c>
      <c r="B60" t="s">
        <v>3170</v>
      </c>
      <c r="C60" t="s">
        <v>3169</v>
      </c>
      <c r="D60" t="s">
        <v>1280</v>
      </c>
      <c r="E60" t="s">
        <v>3073</v>
      </c>
      <c r="F60" t="s">
        <v>7768</v>
      </c>
      <c r="G60" t="s">
        <v>7768</v>
      </c>
      <c r="H60" t="s">
        <v>7768</v>
      </c>
      <c r="I60" t="s">
        <v>106</v>
      </c>
      <c r="J60" t="s">
        <v>218</v>
      </c>
      <c r="K60" t="str">
        <f>IF(ISERROR(VLOOKUP(A60,GamesTable[game_id],1,0)),"not found","found")</f>
        <v>found</v>
      </c>
      <c r="L60" t="s">
        <v>7768</v>
      </c>
      <c r="M60">
        <f t="shared" si="0"/>
        <v>1</v>
      </c>
    </row>
    <row r="61" spans="1:13" x14ac:dyDescent="0.25">
      <c r="A61" t="s">
        <v>7809</v>
      </c>
      <c r="B61" t="s">
        <v>3800</v>
      </c>
      <c r="C61" t="s">
        <v>3799</v>
      </c>
      <c r="D61" t="s">
        <v>1239</v>
      </c>
      <c r="E61" t="s">
        <v>1859</v>
      </c>
      <c r="F61" t="s">
        <v>3798</v>
      </c>
      <c r="G61" t="s">
        <v>7768</v>
      </c>
      <c r="H61" t="s">
        <v>3794</v>
      </c>
      <c r="I61" t="s">
        <v>106</v>
      </c>
      <c r="J61" t="s">
        <v>218</v>
      </c>
      <c r="K61" t="str">
        <f>IF(ISERROR(VLOOKUP(A61,GamesTable[game_id],1,0)),"not found","found")</f>
        <v>found</v>
      </c>
      <c r="L61" t="s">
        <v>7768</v>
      </c>
      <c r="M61">
        <f t="shared" si="0"/>
        <v>1</v>
      </c>
    </row>
    <row r="62" spans="1:13" x14ac:dyDescent="0.25">
      <c r="A62" t="s">
        <v>7810</v>
      </c>
      <c r="B62" t="s">
        <v>4183</v>
      </c>
      <c r="C62" t="s">
        <v>4182</v>
      </c>
      <c r="D62" t="s">
        <v>1239</v>
      </c>
      <c r="E62" t="s">
        <v>3827</v>
      </c>
      <c r="F62" t="s">
        <v>4181</v>
      </c>
      <c r="G62" t="s">
        <v>4177</v>
      </c>
      <c r="H62" t="s">
        <v>4176</v>
      </c>
      <c r="I62" t="s">
        <v>218</v>
      </c>
      <c r="J62" t="s">
        <v>218</v>
      </c>
      <c r="K62" t="str">
        <f>IF(ISERROR(VLOOKUP(A62,GamesTable[game_id],1,0)),"not found","found")</f>
        <v>found</v>
      </c>
      <c r="L62" t="s">
        <v>7768</v>
      </c>
      <c r="M62">
        <f t="shared" si="0"/>
        <v>1</v>
      </c>
    </row>
    <row r="63" spans="1:13" x14ac:dyDescent="0.25">
      <c r="A63" t="s">
        <v>7811</v>
      </c>
      <c r="B63" t="s">
        <v>6855</v>
      </c>
      <c r="C63" t="s">
        <v>6896</v>
      </c>
      <c r="D63" t="s">
        <v>6279</v>
      </c>
      <c r="E63" t="s">
        <v>1912</v>
      </c>
      <c r="F63" t="s">
        <v>6895</v>
      </c>
      <c r="G63" t="s">
        <v>6891</v>
      </c>
      <c r="H63" t="s">
        <v>6890</v>
      </c>
      <c r="I63" t="s">
        <v>218</v>
      </c>
      <c r="J63" t="s">
        <v>218</v>
      </c>
      <c r="K63" t="str">
        <f>IF(ISERROR(VLOOKUP(A63,GamesTable[game_id],1,0)),"not found","found")</f>
        <v>found</v>
      </c>
      <c r="L63" t="s">
        <v>7768</v>
      </c>
      <c r="M63">
        <f t="shared" si="0"/>
        <v>3</v>
      </c>
    </row>
    <row r="64" spans="1:13" hidden="1" x14ac:dyDescent="0.25">
      <c r="A64" t="s">
        <v>7811</v>
      </c>
      <c r="B64" t="s">
        <v>6889</v>
      </c>
      <c r="C64" t="s">
        <v>6888</v>
      </c>
      <c r="D64" t="s">
        <v>6279</v>
      </c>
      <c r="E64" t="s">
        <v>1912</v>
      </c>
      <c r="F64" t="s">
        <v>6887</v>
      </c>
      <c r="G64" t="s">
        <v>7768</v>
      </c>
      <c r="H64" t="s">
        <v>7768</v>
      </c>
      <c r="I64" t="s">
        <v>35</v>
      </c>
      <c r="J64" t="s">
        <v>218</v>
      </c>
      <c r="K64" t="str">
        <f>IF(ISERROR(VLOOKUP(A64,GamesTable[game_id],1,0)),"not found","found")</f>
        <v>found</v>
      </c>
      <c r="L64" t="s">
        <v>9753</v>
      </c>
      <c r="M64">
        <f t="shared" si="0"/>
        <v>3</v>
      </c>
    </row>
    <row r="65" spans="1:13" hidden="1" x14ac:dyDescent="0.25">
      <c r="A65" t="s">
        <v>7811</v>
      </c>
      <c r="B65" t="s">
        <v>6859</v>
      </c>
      <c r="C65" t="s">
        <v>6858</v>
      </c>
      <c r="D65" t="s">
        <v>6279</v>
      </c>
      <c r="E65" t="s">
        <v>1912</v>
      </c>
      <c r="F65" t="s">
        <v>7768</v>
      </c>
      <c r="G65" t="s">
        <v>7768</v>
      </c>
      <c r="H65" t="s">
        <v>7768</v>
      </c>
      <c r="I65" t="s">
        <v>35</v>
      </c>
      <c r="J65" t="s">
        <v>218</v>
      </c>
      <c r="K65" t="str">
        <f>IF(ISERROR(VLOOKUP(A65,GamesTable[game_id],1,0)),"not found","found")</f>
        <v>found</v>
      </c>
      <c r="L65" t="s">
        <v>9753</v>
      </c>
      <c r="M65">
        <f t="shared" si="0"/>
        <v>3</v>
      </c>
    </row>
    <row r="66" spans="1:13" x14ac:dyDescent="0.25">
      <c r="A66" t="s">
        <v>7812</v>
      </c>
      <c r="B66" t="s">
        <v>5109</v>
      </c>
      <c r="C66" t="s">
        <v>5108</v>
      </c>
      <c r="D66" t="s">
        <v>393</v>
      </c>
      <c r="E66" t="s">
        <v>1302</v>
      </c>
      <c r="F66" t="s">
        <v>5107</v>
      </c>
      <c r="G66" t="s">
        <v>5103</v>
      </c>
      <c r="H66" t="s">
        <v>5099</v>
      </c>
      <c r="I66" t="s">
        <v>106</v>
      </c>
      <c r="J66" t="s">
        <v>218</v>
      </c>
      <c r="K66" t="str">
        <f>IF(ISERROR(VLOOKUP(A66,GamesTable[game_id],1,0)),"not found","found")</f>
        <v>found</v>
      </c>
      <c r="L66" t="s">
        <v>7768</v>
      </c>
      <c r="M66">
        <f t="shared" ref="M66:M129" si="1">COUNTIF(A:A,A66)</f>
        <v>1</v>
      </c>
    </row>
    <row r="67" spans="1:13" x14ac:dyDescent="0.25">
      <c r="A67" t="s">
        <v>7813</v>
      </c>
      <c r="B67" t="s">
        <v>3435</v>
      </c>
      <c r="C67" t="s">
        <v>3444</v>
      </c>
      <c r="D67" t="s">
        <v>1280</v>
      </c>
      <c r="E67" t="s">
        <v>2520</v>
      </c>
      <c r="F67" t="s">
        <v>7768</v>
      </c>
      <c r="G67" t="s">
        <v>7768</v>
      </c>
      <c r="H67" t="s">
        <v>7768</v>
      </c>
      <c r="I67" t="s">
        <v>218</v>
      </c>
      <c r="J67" t="s">
        <v>218</v>
      </c>
      <c r="K67" t="str">
        <f>IF(ISERROR(VLOOKUP(A67,GamesTable[game_id],1,0)),"not found","found")</f>
        <v>found</v>
      </c>
      <c r="L67" t="s">
        <v>7768</v>
      </c>
      <c r="M67">
        <f t="shared" si="1"/>
        <v>2</v>
      </c>
    </row>
    <row r="68" spans="1:13" hidden="1" x14ac:dyDescent="0.25">
      <c r="A68" t="s">
        <v>7813</v>
      </c>
      <c r="B68" t="s">
        <v>3440</v>
      </c>
      <c r="C68" t="s">
        <v>3439</v>
      </c>
      <c r="D68" t="s">
        <v>1280</v>
      </c>
      <c r="E68" t="s">
        <v>194</v>
      </c>
      <c r="F68" t="s">
        <v>7768</v>
      </c>
      <c r="G68" t="s">
        <v>7768</v>
      </c>
      <c r="H68" t="s">
        <v>7768</v>
      </c>
      <c r="I68" t="s">
        <v>218</v>
      </c>
      <c r="J68" t="s">
        <v>218</v>
      </c>
      <c r="K68" t="str">
        <f>IF(ISERROR(VLOOKUP(A68,GamesTable[game_id],1,0)),"not found","found")</f>
        <v>found</v>
      </c>
      <c r="L68" t="s">
        <v>9753</v>
      </c>
      <c r="M68">
        <f t="shared" si="1"/>
        <v>2</v>
      </c>
    </row>
    <row r="69" spans="1:13" x14ac:dyDescent="0.25">
      <c r="A69" t="s">
        <v>7814</v>
      </c>
      <c r="B69" t="s">
        <v>2959</v>
      </c>
      <c r="C69" t="s">
        <v>2958</v>
      </c>
      <c r="D69" t="s">
        <v>1145</v>
      </c>
      <c r="E69" t="s">
        <v>2957</v>
      </c>
      <c r="F69" t="s">
        <v>2956</v>
      </c>
      <c r="G69" t="s">
        <v>7768</v>
      </c>
      <c r="H69" t="s">
        <v>2952</v>
      </c>
      <c r="I69" t="s">
        <v>106</v>
      </c>
      <c r="J69" t="s">
        <v>106</v>
      </c>
      <c r="K69" t="str">
        <f>IF(ISERROR(VLOOKUP(A69,GamesTable[game_id],1,0)),"not found","found")</f>
        <v>found</v>
      </c>
      <c r="L69" t="s">
        <v>7768</v>
      </c>
      <c r="M69">
        <f t="shared" si="1"/>
        <v>1</v>
      </c>
    </row>
    <row r="70" spans="1:13" x14ac:dyDescent="0.25">
      <c r="A70" t="s">
        <v>7815</v>
      </c>
      <c r="B70" t="s">
        <v>5839</v>
      </c>
      <c r="C70" t="s">
        <v>5838</v>
      </c>
      <c r="D70" t="s">
        <v>393</v>
      </c>
      <c r="E70" t="s">
        <v>4347</v>
      </c>
      <c r="F70" t="s">
        <v>5837</v>
      </c>
      <c r="G70" t="s">
        <v>5833</v>
      </c>
      <c r="H70" t="s">
        <v>5829</v>
      </c>
      <c r="I70" t="s">
        <v>106</v>
      </c>
      <c r="J70" t="s">
        <v>218</v>
      </c>
      <c r="K70" t="str">
        <f>IF(ISERROR(VLOOKUP(A70,GamesTable[game_id],1,0)),"not found","found")</f>
        <v>found</v>
      </c>
      <c r="L70" t="s">
        <v>7768</v>
      </c>
      <c r="M70">
        <f t="shared" si="1"/>
        <v>1</v>
      </c>
    </row>
    <row r="71" spans="1:13" x14ac:dyDescent="0.25">
      <c r="A71" t="s">
        <v>7816</v>
      </c>
      <c r="B71" t="s">
        <v>1317</v>
      </c>
      <c r="C71" t="s">
        <v>1328</v>
      </c>
      <c r="D71" t="s">
        <v>959</v>
      </c>
      <c r="E71" t="s">
        <v>1322</v>
      </c>
      <c r="F71" t="s">
        <v>7768</v>
      </c>
      <c r="G71" t="s">
        <v>7768</v>
      </c>
      <c r="H71" t="s">
        <v>7768</v>
      </c>
      <c r="I71" t="s">
        <v>106</v>
      </c>
      <c r="J71" t="s">
        <v>106</v>
      </c>
      <c r="K71" t="str">
        <f>IF(ISERROR(VLOOKUP(A71,GamesTable[game_id],1,0)),"not found","found")</f>
        <v>found</v>
      </c>
      <c r="L71" t="s">
        <v>7768</v>
      </c>
      <c r="M71">
        <f t="shared" si="1"/>
        <v>2</v>
      </c>
    </row>
    <row r="72" spans="1:13" hidden="1" x14ac:dyDescent="0.25">
      <c r="A72" t="s">
        <v>7816</v>
      </c>
      <c r="B72" t="s">
        <v>1324</v>
      </c>
      <c r="C72" t="s">
        <v>1323</v>
      </c>
      <c r="D72" t="s">
        <v>959</v>
      </c>
      <c r="E72" t="s">
        <v>1322</v>
      </c>
      <c r="F72" t="s">
        <v>7768</v>
      </c>
      <c r="G72" t="s">
        <v>7768</v>
      </c>
      <c r="H72" t="s">
        <v>7768</v>
      </c>
      <c r="I72" t="s">
        <v>106</v>
      </c>
      <c r="J72" t="s">
        <v>106</v>
      </c>
      <c r="K72" t="str">
        <f>IF(ISERROR(VLOOKUP(A72,GamesTable[game_id],1,0)),"not found","found")</f>
        <v>found</v>
      </c>
      <c r="L72" t="s">
        <v>9753</v>
      </c>
      <c r="M72">
        <f t="shared" si="1"/>
        <v>2</v>
      </c>
    </row>
    <row r="73" spans="1:13" x14ac:dyDescent="0.25">
      <c r="A73" t="s">
        <v>7817</v>
      </c>
      <c r="B73" t="s">
        <v>6812</v>
      </c>
      <c r="C73" t="s">
        <v>6811</v>
      </c>
      <c r="D73" t="s">
        <v>3906</v>
      </c>
      <c r="E73" t="s">
        <v>1912</v>
      </c>
      <c r="F73" t="s">
        <v>6810</v>
      </c>
      <c r="G73" t="s">
        <v>6806</v>
      </c>
      <c r="H73" t="s">
        <v>6802</v>
      </c>
      <c r="I73" t="s">
        <v>218</v>
      </c>
      <c r="J73" t="s">
        <v>218</v>
      </c>
      <c r="K73" t="str">
        <f>IF(ISERROR(VLOOKUP(A73,GamesTable[game_id],1,0)),"not found","found")</f>
        <v>found</v>
      </c>
      <c r="L73" t="s">
        <v>7768</v>
      </c>
      <c r="M73">
        <f t="shared" si="1"/>
        <v>1</v>
      </c>
    </row>
    <row r="74" spans="1:13" x14ac:dyDescent="0.25">
      <c r="A74" t="s">
        <v>7818</v>
      </c>
      <c r="B74" t="s">
        <v>4254</v>
      </c>
      <c r="C74" t="s">
        <v>4253</v>
      </c>
      <c r="D74" t="s">
        <v>1239</v>
      </c>
      <c r="E74" t="s">
        <v>4214</v>
      </c>
      <c r="F74" t="s">
        <v>4252</v>
      </c>
      <c r="G74" t="s">
        <v>4248</v>
      </c>
      <c r="H74" t="s">
        <v>4247</v>
      </c>
      <c r="I74" t="s">
        <v>218</v>
      </c>
      <c r="J74" t="s">
        <v>218</v>
      </c>
      <c r="K74" t="str">
        <f>IF(ISERROR(VLOOKUP(A74,GamesTable[game_id],1,0)),"not found","found")</f>
        <v>found</v>
      </c>
      <c r="L74" t="s">
        <v>7768</v>
      </c>
      <c r="M74">
        <f t="shared" si="1"/>
        <v>1</v>
      </c>
    </row>
    <row r="75" spans="1:13" x14ac:dyDescent="0.25">
      <c r="A75" t="s">
        <v>7819</v>
      </c>
      <c r="B75" t="s">
        <v>5144</v>
      </c>
      <c r="C75" t="s">
        <v>5143</v>
      </c>
      <c r="D75" t="s">
        <v>393</v>
      </c>
      <c r="E75" t="s">
        <v>3073</v>
      </c>
      <c r="F75" t="s">
        <v>5142</v>
      </c>
      <c r="G75" t="s">
        <v>5138</v>
      </c>
      <c r="H75" t="s">
        <v>5134</v>
      </c>
      <c r="I75" t="s">
        <v>218</v>
      </c>
      <c r="J75" t="s">
        <v>218</v>
      </c>
      <c r="K75" t="str">
        <f>IF(ISERROR(VLOOKUP(A75,GamesTable[game_id],1,0)),"not found","found")</f>
        <v>found</v>
      </c>
      <c r="L75" t="s">
        <v>7768</v>
      </c>
      <c r="M75">
        <f t="shared" si="1"/>
        <v>1</v>
      </c>
    </row>
    <row r="76" spans="1:13" x14ac:dyDescent="0.25">
      <c r="A76" t="s">
        <v>7823</v>
      </c>
      <c r="B76" t="s">
        <v>696</v>
      </c>
      <c r="C76" t="s">
        <v>695</v>
      </c>
      <c r="D76" t="s">
        <v>87</v>
      </c>
      <c r="E76" t="s">
        <v>194</v>
      </c>
      <c r="F76" t="s">
        <v>7768</v>
      </c>
      <c r="G76" t="s">
        <v>7768</v>
      </c>
      <c r="H76" t="s">
        <v>7768</v>
      </c>
      <c r="I76" t="s">
        <v>106</v>
      </c>
      <c r="J76" t="s">
        <v>218</v>
      </c>
      <c r="K76" t="str">
        <f>IF(ISERROR(VLOOKUP(A76,GamesTable[game_id],1,0)),"not found","found")</f>
        <v>found</v>
      </c>
      <c r="L76" t="s">
        <v>7768</v>
      </c>
      <c r="M76">
        <f t="shared" si="1"/>
        <v>9</v>
      </c>
    </row>
    <row r="77" spans="1:13" hidden="1" x14ac:dyDescent="0.25">
      <c r="A77" t="s">
        <v>7823</v>
      </c>
      <c r="B77" t="s">
        <v>763</v>
      </c>
      <c r="C77" t="s">
        <v>762</v>
      </c>
      <c r="D77" t="s">
        <v>547</v>
      </c>
      <c r="E77" t="s">
        <v>194</v>
      </c>
      <c r="F77" t="s">
        <v>7768</v>
      </c>
      <c r="G77" t="s">
        <v>7768</v>
      </c>
      <c r="H77" t="s">
        <v>7768</v>
      </c>
      <c r="I77" t="s">
        <v>106</v>
      </c>
      <c r="J77" t="s">
        <v>218</v>
      </c>
      <c r="K77" t="str">
        <f>IF(ISERROR(VLOOKUP(A77,GamesTable[game_id],1,0)),"not found","found")</f>
        <v>found</v>
      </c>
      <c r="L77" t="s">
        <v>9753</v>
      </c>
      <c r="M77">
        <f t="shared" si="1"/>
        <v>9</v>
      </c>
    </row>
    <row r="78" spans="1:13" hidden="1" x14ac:dyDescent="0.25">
      <c r="A78" t="s">
        <v>7823</v>
      </c>
      <c r="B78" t="s">
        <v>751</v>
      </c>
      <c r="C78" t="s">
        <v>750</v>
      </c>
      <c r="D78" t="s">
        <v>547</v>
      </c>
      <c r="E78" t="s">
        <v>194</v>
      </c>
      <c r="F78" t="s">
        <v>7768</v>
      </c>
      <c r="G78" t="s">
        <v>7768</v>
      </c>
      <c r="H78" t="s">
        <v>7768</v>
      </c>
      <c r="I78" t="s">
        <v>106</v>
      </c>
      <c r="J78" t="s">
        <v>218</v>
      </c>
      <c r="K78" t="str">
        <f>IF(ISERROR(VLOOKUP(A78,GamesTable[game_id],1,0)),"not found","found")</f>
        <v>found</v>
      </c>
      <c r="L78" t="s">
        <v>9753</v>
      </c>
      <c r="M78">
        <f t="shared" si="1"/>
        <v>9</v>
      </c>
    </row>
    <row r="79" spans="1:13" hidden="1" x14ac:dyDescent="0.25">
      <c r="A79" t="s">
        <v>7823</v>
      </c>
      <c r="B79" t="s">
        <v>775</v>
      </c>
      <c r="C79" t="s">
        <v>774</v>
      </c>
      <c r="D79" t="s">
        <v>547</v>
      </c>
      <c r="E79" t="s">
        <v>194</v>
      </c>
      <c r="F79" t="s">
        <v>7768</v>
      </c>
      <c r="G79" t="s">
        <v>7768</v>
      </c>
      <c r="H79" t="s">
        <v>7768</v>
      </c>
      <c r="I79" t="s">
        <v>106</v>
      </c>
      <c r="J79" t="s">
        <v>218</v>
      </c>
      <c r="K79" t="str">
        <f>IF(ISERROR(VLOOKUP(A79,GamesTable[game_id],1,0)),"not found","found")</f>
        <v>found</v>
      </c>
      <c r="L79" t="s">
        <v>9753</v>
      </c>
      <c r="M79">
        <f t="shared" si="1"/>
        <v>9</v>
      </c>
    </row>
    <row r="80" spans="1:13" hidden="1" x14ac:dyDescent="0.25">
      <c r="A80" t="s">
        <v>7823</v>
      </c>
      <c r="B80" t="s">
        <v>783</v>
      </c>
      <c r="C80" t="s">
        <v>782</v>
      </c>
      <c r="D80" t="s">
        <v>547</v>
      </c>
      <c r="E80" t="s">
        <v>194</v>
      </c>
      <c r="F80" t="s">
        <v>7768</v>
      </c>
      <c r="G80" t="s">
        <v>7768</v>
      </c>
      <c r="H80" t="s">
        <v>7768</v>
      </c>
      <c r="I80" t="s">
        <v>106</v>
      </c>
      <c r="J80" t="s">
        <v>218</v>
      </c>
      <c r="K80" t="str">
        <f>IF(ISERROR(VLOOKUP(A80,GamesTable[game_id],1,0)),"not found","found")</f>
        <v>found</v>
      </c>
      <c r="L80" t="s">
        <v>9753</v>
      </c>
      <c r="M80">
        <f t="shared" si="1"/>
        <v>9</v>
      </c>
    </row>
    <row r="81" spans="1:13" x14ac:dyDescent="0.25">
      <c r="A81" t="s">
        <v>7824</v>
      </c>
      <c r="B81" t="s">
        <v>233</v>
      </c>
      <c r="C81" t="s">
        <v>232</v>
      </c>
      <c r="D81" t="s">
        <v>195</v>
      </c>
      <c r="E81" t="s">
        <v>194</v>
      </c>
      <c r="F81" t="s">
        <v>7768</v>
      </c>
      <c r="G81" t="s">
        <v>7768</v>
      </c>
      <c r="H81" t="s">
        <v>7768</v>
      </c>
      <c r="I81" t="s">
        <v>106</v>
      </c>
      <c r="J81" t="s">
        <v>218</v>
      </c>
      <c r="K81" t="str">
        <f>IF(ISERROR(VLOOKUP(A81,GamesTable[game_id],1,0)),"not found","found")</f>
        <v>found</v>
      </c>
      <c r="L81" t="s">
        <v>7768</v>
      </c>
      <c r="M81">
        <f t="shared" si="1"/>
        <v>6</v>
      </c>
    </row>
    <row r="82" spans="1:13" hidden="1" x14ac:dyDescent="0.25">
      <c r="A82" t="s">
        <v>7824</v>
      </c>
      <c r="B82" t="s">
        <v>223</v>
      </c>
      <c r="C82" t="s">
        <v>222</v>
      </c>
      <c r="D82" t="s">
        <v>195</v>
      </c>
      <c r="E82" t="s">
        <v>194</v>
      </c>
      <c r="F82" t="s">
        <v>7768</v>
      </c>
      <c r="G82" t="s">
        <v>7768</v>
      </c>
      <c r="H82" t="s">
        <v>7768</v>
      </c>
      <c r="I82" t="s">
        <v>106</v>
      </c>
      <c r="J82" t="s">
        <v>218</v>
      </c>
      <c r="K82" t="str">
        <f>IF(ISERROR(VLOOKUP(A82,GamesTable[game_id],1,0)),"not found","found")</f>
        <v>found</v>
      </c>
      <c r="L82" t="s">
        <v>9753</v>
      </c>
      <c r="M82">
        <f t="shared" si="1"/>
        <v>6</v>
      </c>
    </row>
    <row r="83" spans="1:13" hidden="1" x14ac:dyDescent="0.25">
      <c r="A83" t="s">
        <v>7824</v>
      </c>
      <c r="B83" t="s">
        <v>214</v>
      </c>
      <c r="C83" t="s">
        <v>213</v>
      </c>
      <c r="D83" t="s">
        <v>195</v>
      </c>
      <c r="E83" t="s">
        <v>194</v>
      </c>
      <c r="F83" t="s">
        <v>7768</v>
      </c>
      <c r="G83" t="s">
        <v>7768</v>
      </c>
      <c r="H83" t="s">
        <v>7768</v>
      </c>
      <c r="I83" t="s">
        <v>106</v>
      </c>
      <c r="J83" t="s">
        <v>106</v>
      </c>
      <c r="K83" t="str">
        <f>IF(ISERROR(VLOOKUP(A83,GamesTable[game_id],1,0)),"not found","found")</f>
        <v>found</v>
      </c>
      <c r="L83" t="s">
        <v>9753</v>
      </c>
      <c r="M83">
        <f t="shared" si="1"/>
        <v>6</v>
      </c>
    </row>
    <row r="84" spans="1:13" hidden="1" x14ac:dyDescent="0.25">
      <c r="A84" t="s">
        <v>7824</v>
      </c>
      <c r="B84" t="s">
        <v>197</v>
      </c>
      <c r="C84" t="s">
        <v>196</v>
      </c>
      <c r="D84" t="s">
        <v>195</v>
      </c>
      <c r="E84" t="s">
        <v>194</v>
      </c>
      <c r="F84" t="s">
        <v>7768</v>
      </c>
      <c r="G84" t="s">
        <v>7768</v>
      </c>
      <c r="H84" t="s">
        <v>7768</v>
      </c>
      <c r="I84" t="s">
        <v>106</v>
      </c>
      <c r="J84" t="s">
        <v>106</v>
      </c>
      <c r="K84" t="str">
        <f>IF(ISERROR(VLOOKUP(A84,GamesTable[game_id],1,0)),"not found","found")</f>
        <v>found</v>
      </c>
      <c r="L84" t="s">
        <v>9753</v>
      </c>
      <c r="M84">
        <f t="shared" si="1"/>
        <v>6</v>
      </c>
    </row>
    <row r="85" spans="1:13" x14ac:dyDescent="0.25">
      <c r="A85" t="s">
        <v>7823</v>
      </c>
      <c r="B85" t="s">
        <v>674</v>
      </c>
      <c r="C85" t="s">
        <v>673</v>
      </c>
      <c r="D85" t="s">
        <v>143</v>
      </c>
      <c r="E85" t="s">
        <v>194</v>
      </c>
      <c r="F85" t="s">
        <v>7768</v>
      </c>
      <c r="G85" t="s">
        <v>7768</v>
      </c>
      <c r="H85" t="s">
        <v>7768</v>
      </c>
      <c r="I85" t="s">
        <v>106</v>
      </c>
      <c r="J85" t="s">
        <v>218</v>
      </c>
      <c r="K85" t="str">
        <f>IF(ISERROR(VLOOKUP(A85,GamesTable[game_id],1,0)),"not found","found")</f>
        <v>found</v>
      </c>
      <c r="L85" t="s">
        <v>7768</v>
      </c>
      <c r="M85">
        <f t="shared" si="1"/>
        <v>9</v>
      </c>
    </row>
    <row r="86" spans="1:13" x14ac:dyDescent="0.25">
      <c r="A86" t="s">
        <v>7820</v>
      </c>
      <c r="B86" t="s">
        <v>3614</v>
      </c>
      <c r="C86" t="s">
        <v>3613</v>
      </c>
      <c r="D86" t="s">
        <v>1280</v>
      </c>
      <c r="E86" t="s">
        <v>1912</v>
      </c>
      <c r="F86" t="s">
        <v>3612</v>
      </c>
      <c r="G86" t="s">
        <v>3608</v>
      </c>
      <c r="H86" t="s">
        <v>3607</v>
      </c>
      <c r="I86" t="s">
        <v>218</v>
      </c>
      <c r="J86" t="s">
        <v>218</v>
      </c>
      <c r="K86" t="str">
        <f>IF(ISERROR(VLOOKUP(A86,GamesTable[game_id],1,0)),"not found","found")</f>
        <v>found</v>
      </c>
      <c r="L86" t="s">
        <v>7768</v>
      </c>
      <c r="M86">
        <f t="shared" si="1"/>
        <v>1</v>
      </c>
    </row>
    <row r="87" spans="1:13" x14ac:dyDescent="0.25">
      <c r="A87" t="s">
        <v>7823</v>
      </c>
      <c r="B87" t="s">
        <v>706</v>
      </c>
      <c r="C87" t="s">
        <v>705</v>
      </c>
      <c r="D87" t="s">
        <v>547</v>
      </c>
      <c r="E87" t="s">
        <v>194</v>
      </c>
      <c r="F87" t="s">
        <v>7768</v>
      </c>
      <c r="G87" t="s">
        <v>7768</v>
      </c>
      <c r="H87" t="s">
        <v>7768</v>
      </c>
      <c r="I87" t="s">
        <v>106</v>
      </c>
      <c r="J87" t="s">
        <v>218</v>
      </c>
      <c r="K87" t="str">
        <f>IF(ISERROR(VLOOKUP(A87,GamesTable[game_id],1,0)),"not found","found")</f>
        <v>found</v>
      </c>
      <c r="L87" t="s">
        <v>7768</v>
      </c>
      <c r="M87">
        <f t="shared" si="1"/>
        <v>9</v>
      </c>
    </row>
    <row r="88" spans="1:13" x14ac:dyDescent="0.25">
      <c r="A88" t="s">
        <v>7821</v>
      </c>
      <c r="B88" t="s">
        <v>1906</v>
      </c>
      <c r="C88" t="s">
        <v>1926</v>
      </c>
      <c r="D88" t="s">
        <v>113</v>
      </c>
      <c r="E88" t="s">
        <v>1912</v>
      </c>
      <c r="F88" t="s">
        <v>1911</v>
      </c>
      <c r="G88" t="s">
        <v>1905</v>
      </c>
      <c r="H88" t="s">
        <v>1901</v>
      </c>
      <c r="I88" t="s">
        <v>218</v>
      </c>
      <c r="J88" t="s">
        <v>218</v>
      </c>
      <c r="K88" t="str">
        <f>IF(ISERROR(VLOOKUP(A88,GamesTable[game_id],1,0)),"not found","found")</f>
        <v>found</v>
      </c>
      <c r="L88" t="s">
        <v>7768</v>
      </c>
      <c r="M88">
        <f t="shared" si="1"/>
        <v>2</v>
      </c>
    </row>
    <row r="89" spans="1:13" hidden="1" x14ac:dyDescent="0.25">
      <c r="A89" t="s">
        <v>7821</v>
      </c>
      <c r="B89" t="s">
        <v>1914</v>
      </c>
      <c r="C89" t="s">
        <v>1913</v>
      </c>
      <c r="D89" t="s">
        <v>113</v>
      </c>
      <c r="E89" t="s">
        <v>1912</v>
      </c>
      <c r="F89" t="s">
        <v>1911</v>
      </c>
      <c r="G89" t="s">
        <v>1905</v>
      </c>
      <c r="H89" t="s">
        <v>1901</v>
      </c>
      <c r="I89" t="s">
        <v>218</v>
      </c>
      <c r="J89" t="s">
        <v>218</v>
      </c>
      <c r="K89" t="str">
        <f>IF(ISERROR(VLOOKUP(A89,GamesTable[game_id],1,0)),"not found","found")</f>
        <v>found</v>
      </c>
      <c r="L89" t="s">
        <v>9753</v>
      </c>
      <c r="M89">
        <f t="shared" si="1"/>
        <v>2</v>
      </c>
    </row>
    <row r="90" spans="1:13" x14ac:dyDescent="0.25">
      <c r="A90" t="s">
        <v>7822</v>
      </c>
      <c r="B90" t="s">
        <v>905</v>
      </c>
      <c r="C90" t="s">
        <v>1777</v>
      </c>
      <c r="D90" t="s">
        <v>959</v>
      </c>
      <c r="E90" t="s">
        <v>1765</v>
      </c>
      <c r="F90" t="s">
        <v>1776</v>
      </c>
      <c r="G90" t="s">
        <v>1772</v>
      </c>
      <c r="H90" t="s">
        <v>1755</v>
      </c>
      <c r="I90" t="s">
        <v>106</v>
      </c>
      <c r="J90" t="s">
        <v>106</v>
      </c>
      <c r="K90" t="str">
        <f>IF(ISERROR(VLOOKUP(A90,GamesTable[game_id],1,0)),"not found","found")</f>
        <v>found</v>
      </c>
      <c r="L90" t="s">
        <v>7768</v>
      </c>
      <c r="M90">
        <f t="shared" si="1"/>
        <v>5</v>
      </c>
    </row>
    <row r="91" spans="1:13" hidden="1" x14ac:dyDescent="0.25">
      <c r="A91" t="s">
        <v>7822</v>
      </c>
      <c r="B91" t="s">
        <v>1767</v>
      </c>
      <c r="C91" t="s">
        <v>1766</v>
      </c>
      <c r="D91" t="s">
        <v>959</v>
      </c>
      <c r="E91" t="s">
        <v>1765</v>
      </c>
      <c r="F91" t="s">
        <v>1764</v>
      </c>
      <c r="G91" t="s">
        <v>1759</v>
      </c>
      <c r="H91" t="s">
        <v>1755</v>
      </c>
      <c r="I91" t="s">
        <v>35</v>
      </c>
      <c r="J91" t="s">
        <v>218</v>
      </c>
      <c r="K91" t="str">
        <f>IF(ISERROR(VLOOKUP(A91,GamesTable[game_id],1,0)),"not found","found")</f>
        <v>found</v>
      </c>
      <c r="L91" t="s">
        <v>9753</v>
      </c>
      <c r="M91">
        <f t="shared" si="1"/>
        <v>5</v>
      </c>
    </row>
    <row r="92" spans="1:13" x14ac:dyDescent="0.25">
      <c r="A92" t="s">
        <v>7823</v>
      </c>
      <c r="B92" t="s">
        <v>592</v>
      </c>
      <c r="C92" t="s">
        <v>1655</v>
      </c>
      <c r="D92" t="s">
        <v>547</v>
      </c>
      <c r="E92" t="s">
        <v>1654</v>
      </c>
      <c r="F92" t="s">
        <v>1653</v>
      </c>
      <c r="G92" t="s">
        <v>1651</v>
      </c>
      <c r="H92" t="s">
        <v>1650</v>
      </c>
      <c r="I92" t="s">
        <v>218</v>
      </c>
      <c r="J92" t="s">
        <v>218</v>
      </c>
      <c r="K92" t="str">
        <f>IF(ISERROR(VLOOKUP(A92,GamesTable[game_id],1,0)),"not found","found")</f>
        <v>found</v>
      </c>
      <c r="L92" t="s">
        <v>7768</v>
      </c>
      <c r="M92">
        <f t="shared" si="1"/>
        <v>9</v>
      </c>
    </row>
    <row r="93" spans="1:13" hidden="1" x14ac:dyDescent="0.25">
      <c r="A93" t="s">
        <v>7823</v>
      </c>
      <c r="B93" t="s">
        <v>819</v>
      </c>
      <c r="C93" t="s">
        <v>818</v>
      </c>
      <c r="D93" t="s">
        <v>547</v>
      </c>
      <c r="E93" t="s">
        <v>194</v>
      </c>
      <c r="F93" t="s">
        <v>7768</v>
      </c>
      <c r="G93" t="s">
        <v>7768</v>
      </c>
      <c r="H93" t="s">
        <v>7768</v>
      </c>
      <c r="I93" t="s">
        <v>106</v>
      </c>
      <c r="J93" t="s">
        <v>218</v>
      </c>
      <c r="K93" t="str">
        <f>IF(ISERROR(VLOOKUP(A93,GamesTable[game_id],1,0)),"not found","found")</f>
        <v>found</v>
      </c>
      <c r="L93" t="s">
        <v>9753</v>
      </c>
      <c r="M93">
        <f t="shared" si="1"/>
        <v>9</v>
      </c>
    </row>
    <row r="94" spans="1:13" x14ac:dyDescent="0.25">
      <c r="A94" t="s">
        <v>7824</v>
      </c>
      <c r="B94" t="s">
        <v>188</v>
      </c>
      <c r="C94" t="s">
        <v>1454</v>
      </c>
      <c r="D94" t="s">
        <v>195</v>
      </c>
      <c r="E94" t="s">
        <v>1436</v>
      </c>
      <c r="F94" t="s">
        <v>1453</v>
      </c>
      <c r="G94" t="s">
        <v>1448</v>
      </c>
      <c r="H94" t="s">
        <v>1424</v>
      </c>
      <c r="I94" t="s">
        <v>106</v>
      </c>
      <c r="J94" t="s">
        <v>218</v>
      </c>
      <c r="K94" t="str">
        <f>IF(ISERROR(VLOOKUP(A94,GamesTable[game_id],1,0)),"not found","found")</f>
        <v>found</v>
      </c>
      <c r="L94" t="s">
        <v>7768</v>
      </c>
      <c r="M94">
        <f t="shared" si="1"/>
        <v>6</v>
      </c>
    </row>
    <row r="95" spans="1:13" hidden="1" x14ac:dyDescent="0.25">
      <c r="A95" t="s">
        <v>7824</v>
      </c>
      <c r="B95" t="s">
        <v>1438</v>
      </c>
      <c r="C95" t="s">
        <v>1437</v>
      </c>
      <c r="D95" t="s">
        <v>195</v>
      </c>
      <c r="E95" t="s">
        <v>1436</v>
      </c>
      <c r="F95" t="s">
        <v>1435</v>
      </c>
      <c r="G95" t="s">
        <v>1430</v>
      </c>
      <c r="H95" t="s">
        <v>1424</v>
      </c>
      <c r="I95" t="s">
        <v>35</v>
      </c>
      <c r="J95" t="s">
        <v>218</v>
      </c>
      <c r="K95" t="str">
        <f>IF(ISERROR(VLOOKUP(A95,GamesTable[game_id],1,0)),"not found","found")</f>
        <v>found</v>
      </c>
      <c r="L95" t="s">
        <v>9753</v>
      </c>
      <c r="M95">
        <f t="shared" si="1"/>
        <v>6</v>
      </c>
    </row>
    <row r="96" spans="1:13" x14ac:dyDescent="0.25">
      <c r="A96" t="s">
        <v>8993</v>
      </c>
      <c r="B96" t="s">
        <v>599</v>
      </c>
      <c r="C96" t="s">
        <v>598</v>
      </c>
      <c r="D96" t="s">
        <v>143</v>
      </c>
      <c r="E96" t="s">
        <v>194</v>
      </c>
      <c r="F96" t="s">
        <v>7768</v>
      </c>
      <c r="G96" t="s">
        <v>7768</v>
      </c>
      <c r="H96" t="s">
        <v>7768</v>
      </c>
      <c r="I96" t="s">
        <v>106</v>
      </c>
      <c r="J96" t="s">
        <v>106</v>
      </c>
      <c r="K96" t="str">
        <f>IF(ISERROR(VLOOKUP(A96,GamesTable[game_id],1,0)),"not found","found")</f>
        <v>found</v>
      </c>
      <c r="L96" t="s">
        <v>7768</v>
      </c>
      <c r="M96">
        <f t="shared" si="1"/>
        <v>1</v>
      </c>
    </row>
    <row r="97" spans="1:13" x14ac:dyDescent="0.25">
      <c r="A97" t="s">
        <v>7825</v>
      </c>
      <c r="B97" t="s">
        <v>5605</v>
      </c>
      <c r="C97" t="s">
        <v>5604</v>
      </c>
      <c r="D97" t="s">
        <v>393</v>
      </c>
      <c r="E97" t="s">
        <v>1912</v>
      </c>
      <c r="F97" t="s">
        <v>5603</v>
      </c>
      <c r="G97" t="s">
        <v>5599</v>
      </c>
      <c r="H97" t="s">
        <v>5598</v>
      </c>
      <c r="I97" t="s">
        <v>218</v>
      </c>
      <c r="J97" t="s">
        <v>218</v>
      </c>
      <c r="K97" t="str">
        <f>IF(ISERROR(VLOOKUP(A97,GamesTable[game_id],1,0)),"not found","found")</f>
        <v>found</v>
      </c>
      <c r="L97" t="s">
        <v>7768</v>
      </c>
      <c r="M97">
        <f t="shared" si="1"/>
        <v>1</v>
      </c>
    </row>
    <row r="98" spans="1:13" x14ac:dyDescent="0.25">
      <c r="A98" t="s">
        <v>7826</v>
      </c>
      <c r="B98" t="s">
        <v>4589</v>
      </c>
      <c r="C98" t="s">
        <v>4615</v>
      </c>
      <c r="D98" t="s">
        <v>1239</v>
      </c>
      <c r="E98" t="s">
        <v>1912</v>
      </c>
      <c r="F98" t="s">
        <v>4609</v>
      </c>
      <c r="G98" t="s">
        <v>4605</v>
      </c>
      <c r="H98" t="s">
        <v>4587</v>
      </c>
      <c r="I98" t="s">
        <v>106</v>
      </c>
      <c r="J98" t="s">
        <v>218</v>
      </c>
      <c r="K98" t="str">
        <f>IF(ISERROR(VLOOKUP(A98,GamesTable[game_id],1,0)),"not found","found")</f>
        <v>found</v>
      </c>
      <c r="L98" t="s">
        <v>7768</v>
      </c>
      <c r="M98">
        <f t="shared" si="1"/>
        <v>3</v>
      </c>
    </row>
    <row r="99" spans="1:13" hidden="1" x14ac:dyDescent="0.25">
      <c r="A99" t="s">
        <v>7826</v>
      </c>
      <c r="B99" t="s">
        <v>4611</v>
      </c>
      <c r="C99" t="s">
        <v>4610</v>
      </c>
      <c r="D99" t="s">
        <v>1239</v>
      </c>
      <c r="E99" t="s">
        <v>1912</v>
      </c>
      <c r="F99" t="s">
        <v>4609</v>
      </c>
      <c r="G99" t="s">
        <v>4605</v>
      </c>
      <c r="H99" t="s">
        <v>4587</v>
      </c>
      <c r="I99" t="s">
        <v>106</v>
      </c>
      <c r="J99" t="s">
        <v>218</v>
      </c>
      <c r="K99" t="str">
        <f>IF(ISERROR(VLOOKUP(A99,GamesTable[game_id],1,0)),"not found","found")</f>
        <v>found</v>
      </c>
      <c r="L99" t="s">
        <v>9753</v>
      </c>
      <c r="M99">
        <f t="shared" si="1"/>
        <v>3</v>
      </c>
    </row>
    <row r="100" spans="1:13" hidden="1" x14ac:dyDescent="0.25">
      <c r="A100" t="s">
        <v>7826</v>
      </c>
      <c r="B100" t="s">
        <v>4595</v>
      </c>
      <c r="C100" t="s">
        <v>4594</v>
      </c>
      <c r="D100" t="s">
        <v>1239</v>
      </c>
      <c r="E100" t="s">
        <v>1912</v>
      </c>
      <c r="F100" t="s">
        <v>4593</v>
      </c>
      <c r="G100" t="s">
        <v>4588</v>
      </c>
      <c r="H100" t="s">
        <v>4587</v>
      </c>
      <c r="I100" t="s">
        <v>218</v>
      </c>
      <c r="J100" t="s">
        <v>218</v>
      </c>
      <c r="K100" t="str">
        <f>IF(ISERROR(VLOOKUP(A100,GamesTable[game_id],1,0)),"not found","found")</f>
        <v>found</v>
      </c>
      <c r="L100" t="s">
        <v>9753</v>
      </c>
      <c r="M100">
        <f t="shared" si="1"/>
        <v>3</v>
      </c>
    </row>
    <row r="101" spans="1:13" x14ac:dyDescent="0.25">
      <c r="A101" t="s">
        <v>7827</v>
      </c>
      <c r="B101" t="s">
        <v>3698</v>
      </c>
      <c r="C101" t="s">
        <v>3710</v>
      </c>
      <c r="D101" t="s">
        <v>1280</v>
      </c>
      <c r="E101" t="s">
        <v>1912</v>
      </c>
      <c r="F101" t="s">
        <v>3709</v>
      </c>
      <c r="G101" t="s">
        <v>3705</v>
      </c>
      <c r="H101" t="s">
        <v>3693</v>
      </c>
      <c r="I101" t="s">
        <v>106</v>
      </c>
      <c r="J101" t="s">
        <v>218</v>
      </c>
      <c r="K101" t="str">
        <f>IF(ISERROR(VLOOKUP(A101,GamesTable[game_id],1,0)),"not found","found")</f>
        <v>found</v>
      </c>
      <c r="L101" t="s">
        <v>7768</v>
      </c>
      <c r="M101">
        <f t="shared" si="1"/>
        <v>2</v>
      </c>
    </row>
    <row r="102" spans="1:13" hidden="1" x14ac:dyDescent="0.25">
      <c r="A102" t="s">
        <v>7827</v>
      </c>
      <c r="B102" t="s">
        <v>3704</v>
      </c>
      <c r="C102" t="s">
        <v>3703</v>
      </c>
      <c r="D102" t="s">
        <v>1280</v>
      </c>
      <c r="E102" t="s">
        <v>1912</v>
      </c>
      <c r="F102" t="s">
        <v>3702</v>
      </c>
      <c r="G102" t="s">
        <v>3697</v>
      </c>
      <c r="H102" t="s">
        <v>3693</v>
      </c>
      <c r="I102" t="s">
        <v>35</v>
      </c>
      <c r="J102" t="s">
        <v>218</v>
      </c>
      <c r="K102" t="str">
        <f>IF(ISERROR(VLOOKUP(A102,GamesTable[game_id],1,0)),"not found","found")</f>
        <v>found</v>
      </c>
      <c r="L102" t="s">
        <v>9753</v>
      </c>
      <c r="M102">
        <f t="shared" si="1"/>
        <v>2</v>
      </c>
    </row>
    <row r="103" spans="1:13" x14ac:dyDescent="0.25">
      <c r="A103" t="s">
        <v>7828</v>
      </c>
      <c r="B103" t="s">
        <v>1140</v>
      </c>
      <c r="C103" t="s">
        <v>3097</v>
      </c>
      <c r="D103" t="s">
        <v>1145</v>
      </c>
      <c r="E103" t="s">
        <v>1912</v>
      </c>
      <c r="F103" t="s">
        <v>3096</v>
      </c>
      <c r="G103" t="s">
        <v>3095</v>
      </c>
      <c r="H103" t="s">
        <v>3087</v>
      </c>
      <c r="I103" t="s">
        <v>106</v>
      </c>
      <c r="J103" t="s">
        <v>218</v>
      </c>
      <c r="K103" t="str">
        <f>IF(ISERROR(VLOOKUP(A103,GamesTable[game_id],1,0)),"not found","found")</f>
        <v>found</v>
      </c>
      <c r="L103" t="s">
        <v>7768</v>
      </c>
      <c r="M103">
        <f t="shared" si="1"/>
        <v>5</v>
      </c>
    </row>
    <row r="104" spans="1:13" hidden="1" x14ac:dyDescent="0.25">
      <c r="A104" t="s">
        <v>7828</v>
      </c>
      <c r="B104" t="s">
        <v>3094</v>
      </c>
      <c r="C104" t="s">
        <v>3093</v>
      </c>
      <c r="D104" t="s">
        <v>1145</v>
      </c>
      <c r="E104" t="s">
        <v>1912</v>
      </c>
      <c r="F104" t="s">
        <v>3092</v>
      </c>
      <c r="G104" t="s">
        <v>3088</v>
      </c>
      <c r="H104" t="s">
        <v>3087</v>
      </c>
      <c r="I104" t="s">
        <v>35</v>
      </c>
      <c r="J104" t="s">
        <v>218</v>
      </c>
      <c r="K104" t="str">
        <f>IF(ISERROR(VLOOKUP(A104,GamesTable[game_id],1,0)),"not found","found")</f>
        <v>found</v>
      </c>
      <c r="L104" t="s">
        <v>9753</v>
      </c>
      <c r="M104">
        <f t="shared" si="1"/>
        <v>5</v>
      </c>
    </row>
    <row r="105" spans="1:13" hidden="1" x14ac:dyDescent="0.25">
      <c r="A105" t="s">
        <v>7828</v>
      </c>
      <c r="B105" t="s">
        <v>3086</v>
      </c>
      <c r="C105" t="s">
        <v>3085</v>
      </c>
      <c r="D105" t="s">
        <v>1145</v>
      </c>
      <c r="E105" t="s">
        <v>1912</v>
      </c>
      <c r="F105" t="s">
        <v>7768</v>
      </c>
      <c r="G105" t="s">
        <v>7768</v>
      </c>
      <c r="H105" t="s">
        <v>7768</v>
      </c>
      <c r="I105" t="s">
        <v>106</v>
      </c>
      <c r="J105" t="s">
        <v>218</v>
      </c>
      <c r="K105" t="str">
        <f>IF(ISERROR(VLOOKUP(A105,GamesTable[game_id],1,0)),"not found","found")</f>
        <v>found</v>
      </c>
      <c r="L105" t="s">
        <v>9753</v>
      </c>
      <c r="M105">
        <f t="shared" si="1"/>
        <v>5</v>
      </c>
    </row>
    <row r="106" spans="1:13" hidden="1" x14ac:dyDescent="0.25">
      <c r="A106" t="s">
        <v>7828</v>
      </c>
      <c r="B106" t="s">
        <v>1220</v>
      </c>
      <c r="C106" t="s">
        <v>1219</v>
      </c>
      <c r="D106" t="s">
        <v>1145</v>
      </c>
      <c r="E106" t="s">
        <v>194</v>
      </c>
      <c r="F106" t="s">
        <v>7768</v>
      </c>
      <c r="G106" t="s">
        <v>7768</v>
      </c>
      <c r="H106" t="s">
        <v>1217</v>
      </c>
      <c r="I106" t="s">
        <v>106</v>
      </c>
      <c r="J106" t="s">
        <v>218</v>
      </c>
      <c r="K106" t="str">
        <f>IF(ISERROR(VLOOKUP(A106,GamesTable[game_id],1,0)),"not found","found")</f>
        <v>found</v>
      </c>
      <c r="L106" t="s">
        <v>9753</v>
      </c>
      <c r="M106">
        <f t="shared" si="1"/>
        <v>5</v>
      </c>
    </row>
    <row r="107" spans="1:13" hidden="1" x14ac:dyDescent="0.25">
      <c r="A107" t="s">
        <v>7828</v>
      </c>
      <c r="B107" t="s">
        <v>1176</v>
      </c>
      <c r="C107" t="s">
        <v>1175</v>
      </c>
      <c r="D107" t="s">
        <v>1145</v>
      </c>
      <c r="E107" t="s">
        <v>194</v>
      </c>
      <c r="F107" t="s">
        <v>7768</v>
      </c>
      <c r="G107" t="s">
        <v>7768</v>
      </c>
      <c r="H107" t="s">
        <v>7768</v>
      </c>
      <c r="I107" t="s">
        <v>106</v>
      </c>
      <c r="J107" t="s">
        <v>218</v>
      </c>
      <c r="K107" t="str">
        <f>IF(ISERROR(VLOOKUP(A107,GamesTable[game_id],1,0)),"not found","found")</f>
        <v>found</v>
      </c>
      <c r="L107" t="s">
        <v>9753</v>
      </c>
      <c r="M107">
        <f t="shared" si="1"/>
        <v>5</v>
      </c>
    </row>
    <row r="108" spans="1:13" x14ac:dyDescent="0.25">
      <c r="A108" t="s">
        <v>7773</v>
      </c>
      <c r="B108" t="s">
        <v>2680</v>
      </c>
      <c r="C108" t="s">
        <v>2714</v>
      </c>
      <c r="D108" t="s">
        <v>1101</v>
      </c>
      <c r="E108" t="s">
        <v>1912</v>
      </c>
      <c r="F108" t="s">
        <v>2711</v>
      </c>
      <c r="G108" t="s">
        <v>2710</v>
      </c>
      <c r="H108" t="s">
        <v>2675</v>
      </c>
      <c r="I108" t="s">
        <v>106</v>
      </c>
      <c r="J108" t="s">
        <v>218</v>
      </c>
      <c r="K108" t="str">
        <f>IF(ISERROR(VLOOKUP(A108,GamesTable[game_id],1,0)),"not found","found")</f>
        <v>found</v>
      </c>
      <c r="L108" t="s">
        <v>7768</v>
      </c>
      <c r="M108">
        <f t="shared" si="1"/>
        <v>5</v>
      </c>
    </row>
    <row r="109" spans="1:13" hidden="1" x14ac:dyDescent="0.25">
      <c r="A109" t="s">
        <v>7773</v>
      </c>
      <c r="B109" t="s">
        <v>2713</v>
      </c>
      <c r="C109" t="s">
        <v>2712</v>
      </c>
      <c r="D109" t="s">
        <v>1101</v>
      </c>
      <c r="E109" t="s">
        <v>1912</v>
      </c>
      <c r="F109" t="s">
        <v>2711</v>
      </c>
      <c r="G109" t="s">
        <v>2710</v>
      </c>
      <c r="H109" t="s">
        <v>2675</v>
      </c>
      <c r="I109" t="s">
        <v>106</v>
      </c>
      <c r="J109" t="s">
        <v>218</v>
      </c>
      <c r="K109" t="str">
        <f>IF(ISERROR(VLOOKUP(A109,GamesTable[game_id],1,0)),"not found","found")</f>
        <v>found</v>
      </c>
      <c r="L109" t="s">
        <v>9753</v>
      </c>
      <c r="M109">
        <f t="shared" si="1"/>
        <v>5</v>
      </c>
    </row>
    <row r="110" spans="1:13" hidden="1" x14ac:dyDescent="0.25">
      <c r="A110" t="s">
        <v>7773</v>
      </c>
      <c r="B110" t="s">
        <v>2686</v>
      </c>
      <c r="C110" t="s">
        <v>2685</v>
      </c>
      <c r="D110" t="s">
        <v>1101</v>
      </c>
      <c r="E110" t="s">
        <v>1912</v>
      </c>
      <c r="F110" t="s">
        <v>2684</v>
      </c>
      <c r="G110" t="s">
        <v>2679</v>
      </c>
      <c r="H110" t="s">
        <v>2675</v>
      </c>
      <c r="I110" t="s">
        <v>35</v>
      </c>
      <c r="J110" t="s">
        <v>218</v>
      </c>
      <c r="K110" t="str">
        <f>IF(ISERROR(VLOOKUP(A110,GamesTable[game_id],1,0)),"not found","found")</f>
        <v>found</v>
      </c>
      <c r="L110" t="s">
        <v>9753</v>
      </c>
      <c r="M110">
        <f t="shared" si="1"/>
        <v>5</v>
      </c>
    </row>
    <row r="111" spans="1:13" hidden="1" x14ac:dyDescent="0.25">
      <c r="A111" t="s">
        <v>7773</v>
      </c>
      <c r="B111" t="s">
        <v>2700</v>
      </c>
      <c r="C111" t="s">
        <v>2699</v>
      </c>
      <c r="D111" t="s">
        <v>1101</v>
      </c>
      <c r="E111" t="s">
        <v>1912</v>
      </c>
      <c r="F111" t="s">
        <v>7768</v>
      </c>
      <c r="G111" t="s">
        <v>7768</v>
      </c>
      <c r="H111" t="s">
        <v>7768</v>
      </c>
      <c r="I111" t="s">
        <v>106</v>
      </c>
      <c r="J111" t="s">
        <v>218</v>
      </c>
      <c r="K111" t="str">
        <f>IF(ISERROR(VLOOKUP(A111,GamesTable[game_id],1,0)),"not found","found")</f>
        <v>found</v>
      </c>
      <c r="L111" t="s">
        <v>9753</v>
      </c>
      <c r="M111">
        <f t="shared" si="1"/>
        <v>5</v>
      </c>
    </row>
    <row r="112" spans="1:13" hidden="1" x14ac:dyDescent="0.25">
      <c r="A112" t="s">
        <v>7773</v>
      </c>
      <c r="B112" t="s">
        <v>2695</v>
      </c>
      <c r="C112" t="s">
        <v>2694</v>
      </c>
      <c r="D112" t="s">
        <v>1101</v>
      </c>
      <c r="E112" t="s">
        <v>1912</v>
      </c>
      <c r="F112" t="s">
        <v>7768</v>
      </c>
      <c r="G112" t="s">
        <v>7768</v>
      </c>
      <c r="H112" t="s">
        <v>7768</v>
      </c>
      <c r="I112" t="s">
        <v>106</v>
      </c>
      <c r="J112" t="s">
        <v>218</v>
      </c>
      <c r="K112" t="str">
        <f>IF(ISERROR(VLOOKUP(A112,GamesTable[game_id],1,0)),"not found","found")</f>
        <v>found</v>
      </c>
      <c r="L112" t="s">
        <v>9753</v>
      </c>
      <c r="M112">
        <f t="shared" si="1"/>
        <v>5</v>
      </c>
    </row>
    <row r="113" spans="1:13" x14ac:dyDescent="0.25">
      <c r="A113" t="s">
        <v>7829</v>
      </c>
      <c r="B113" t="s">
        <v>2247</v>
      </c>
      <c r="C113" t="s">
        <v>2334</v>
      </c>
      <c r="D113" t="s">
        <v>1053</v>
      </c>
      <c r="E113" t="s">
        <v>1912</v>
      </c>
      <c r="F113" t="s">
        <v>2315</v>
      </c>
      <c r="G113" t="s">
        <v>2311</v>
      </c>
      <c r="H113" t="s">
        <v>2307</v>
      </c>
      <c r="I113" t="s">
        <v>106</v>
      </c>
      <c r="J113" t="s">
        <v>218</v>
      </c>
      <c r="K113" t="str">
        <f>IF(ISERROR(VLOOKUP(A113,GamesTable[game_id],1,0)),"not found","found")</f>
        <v>found</v>
      </c>
      <c r="L113" t="s">
        <v>7768</v>
      </c>
      <c r="M113">
        <f t="shared" si="1"/>
        <v>6</v>
      </c>
    </row>
    <row r="114" spans="1:13" hidden="1" x14ac:dyDescent="0.25">
      <c r="A114" t="s">
        <v>7829</v>
      </c>
      <c r="B114" t="s">
        <v>2317</v>
      </c>
      <c r="C114" t="s">
        <v>2316</v>
      </c>
      <c r="D114" t="s">
        <v>1053</v>
      </c>
      <c r="E114" t="s">
        <v>1912</v>
      </c>
      <c r="F114" t="s">
        <v>2315</v>
      </c>
      <c r="G114" t="s">
        <v>2311</v>
      </c>
      <c r="H114" t="s">
        <v>2307</v>
      </c>
      <c r="I114" t="s">
        <v>106</v>
      </c>
      <c r="J114" t="s">
        <v>218</v>
      </c>
      <c r="K114" t="str">
        <f>IF(ISERROR(VLOOKUP(A114,GamesTable[game_id],1,0)),"not found","found")</f>
        <v>found</v>
      </c>
      <c r="L114" t="s">
        <v>9753</v>
      </c>
      <c r="M114">
        <f t="shared" si="1"/>
        <v>6</v>
      </c>
    </row>
    <row r="115" spans="1:13" hidden="1" x14ac:dyDescent="0.25">
      <c r="A115" t="s">
        <v>7829</v>
      </c>
      <c r="B115" t="s">
        <v>2330</v>
      </c>
      <c r="C115" t="s">
        <v>2329</v>
      </c>
      <c r="D115" t="s">
        <v>1053</v>
      </c>
      <c r="E115" t="s">
        <v>1912</v>
      </c>
      <c r="F115" t="s">
        <v>2328</v>
      </c>
      <c r="G115" t="s">
        <v>2324</v>
      </c>
      <c r="H115" t="s">
        <v>2307</v>
      </c>
      <c r="I115" t="s">
        <v>35</v>
      </c>
      <c r="J115" t="s">
        <v>218</v>
      </c>
      <c r="K115" t="str">
        <f>IF(ISERROR(VLOOKUP(A115,GamesTable[game_id],1,0)),"not found","found")</f>
        <v>found</v>
      </c>
      <c r="L115" t="s">
        <v>9753</v>
      </c>
      <c r="M115">
        <f t="shared" si="1"/>
        <v>6</v>
      </c>
    </row>
    <row r="116" spans="1:13" hidden="1" x14ac:dyDescent="0.25">
      <c r="A116" t="s">
        <v>7829</v>
      </c>
      <c r="B116" t="s">
        <v>2297</v>
      </c>
      <c r="C116" t="s">
        <v>2296</v>
      </c>
      <c r="D116" t="s">
        <v>1053</v>
      </c>
      <c r="E116" t="s">
        <v>1912</v>
      </c>
      <c r="F116" t="s">
        <v>7768</v>
      </c>
      <c r="G116" t="s">
        <v>7768</v>
      </c>
      <c r="H116" t="s">
        <v>7768</v>
      </c>
      <c r="I116" t="s">
        <v>106</v>
      </c>
      <c r="J116" t="s">
        <v>218</v>
      </c>
      <c r="K116" t="str">
        <f>IF(ISERROR(VLOOKUP(A116,GamesTable[game_id],1,0)),"not found","found")</f>
        <v>found</v>
      </c>
      <c r="L116" t="s">
        <v>9753</v>
      </c>
      <c r="M116">
        <f t="shared" si="1"/>
        <v>6</v>
      </c>
    </row>
    <row r="117" spans="1:13" hidden="1" x14ac:dyDescent="0.25">
      <c r="A117" t="s">
        <v>7829</v>
      </c>
      <c r="B117" t="s">
        <v>2285</v>
      </c>
      <c r="C117" t="s">
        <v>2284</v>
      </c>
      <c r="D117" t="s">
        <v>1053</v>
      </c>
      <c r="E117" t="s">
        <v>1912</v>
      </c>
      <c r="F117" t="s">
        <v>7768</v>
      </c>
      <c r="G117" t="s">
        <v>7768</v>
      </c>
      <c r="H117" t="s">
        <v>7768</v>
      </c>
      <c r="I117" t="s">
        <v>106</v>
      </c>
      <c r="J117" t="s">
        <v>218</v>
      </c>
      <c r="K117" t="str">
        <f>IF(ISERROR(VLOOKUP(A117,GamesTable[game_id],1,0)),"not found","found")</f>
        <v>found</v>
      </c>
      <c r="L117" t="s">
        <v>9753</v>
      </c>
      <c r="M117">
        <f t="shared" si="1"/>
        <v>6</v>
      </c>
    </row>
    <row r="118" spans="1:13" hidden="1" x14ac:dyDescent="0.25">
      <c r="A118" t="s">
        <v>7829</v>
      </c>
      <c r="B118" t="s">
        <v>2252</v>
      </c>
      <c r="C118" t="s">
        <v>2251</v>
      </c>
      <c r="D118" t="s">
        <v>1053</v>
      </c>
      <c r="E118" t="s">
        <v>1912</v>
      </c>
      <c r="F118" t="s">
        <v>7768</v>
      </c>
      <c r="G118" t="s">
        <v>7768</v>
      </c>
      <c r="H118" t="s">
        <v>7768</v>
      </c>
      <c r="I118" t="s">
        <v>106</v>
      </c>
      <c r="J118" t="s">
        <v>218</v>
      </c>
      <c r="K118" t="str">
        <f>IF(ISERROR(VLOOKUP(A118,GamesTable[game_id],1,0)),"not found","found")</f>
        <v>found</v>
      </c>
      <c r="L118" t="s">
        <v>9753</v>
      </c>
      <c r="M118">
        <f t="shared" si="1"/>
        <v>6</v>
      </c>
    </row>
    <row r="119" spans="1:13" x14ac:dyDescent="0.25">
      <c r="A119" t="s">
        <v>9744</v>
      </c>
      <c r="B119" t="s">
        <v>1147</v>
      </c>
      <c r="C119" t="s">
        <v>1146</v>
      </c>
      <c r="D119" t="s">
        <v>1145</v>
      </c>
      <c r="E119" t="s">
        <v>194</v>
      </c>
      <c r="F119" t="s">
        <v>7768</v>
      </c>
      <c r="G119" t="s">
        <v>7768</v>
      </c>
      <c r="H119" t="s">
        <v>7768</v>
      </c>
      <c r="I119" t="s">
        <v>106</v>
      </c>
      <c r="J119" t="s">
        <v>218</v>
      </c>
      <c r="K119" t="str">
        <f>IF(ISERROR(VLOOKUP(A119,GamesTable[game_id],1,0)),"not found","found")</f>
        <v>found</v>
      </c>
      <c r="L119" t="s">
        <v>7768</v>
      </c>
      <c r="M119">
        <f t="shared" si="1"/>
        <v>1</v>
      </c>
    </row>
    <row r="120" spans="1:13" x14ac:dyDescent="0.25">
      <c r="A120" t="s">
        <v>7830</v>
      </c>
      <c r="B120" t="s">
        <v>7175</v>
      </c>
      <c r="C120" t="s">
        <v>7188</v>
      </c>
      <c r="D120" t="s">
        <v>6279</v>
      </c>
      <c r="E120" t="s">
        <v>1912</v>
      </c>
      <c r="F120" t="s">
        <v>7187</v>
      </c>
      <c r="G120" t="s">
        <v>7174</v>
      </c>
      <c r="H120" t="s">
        <v>7170</v>
      </c>
      <c r="I120" t="s">
        <v>7186</v>
      </c>
      <c r="J120" t="s">
        <v>218</v>
      </c>
      <c r="K120" t="str">
        <f>IF(ISERROR(VLOOKUP(A120,GamesTable[game_id],1,0)),"not found","found")</f>
        <v>found</v>
      </c>
      <c r="L120" t="s">
        <v>7768</v>
      </c>
      <c r="M120">
        <f t="shared" si="1"/>
        <v>2</v>
      </c>
    </row>
    <row r="121" spans="1:13" x14ac:dyDescent="0.25">
      <c r="A121" t="s">
        <v>7916</v>
      </c>
      <c r="B121" t="s">
        <v>6204</v>
      </c>
      <c r="C121" t="s">
        <v>6242</v>
      </c>
      <c r="D121" t="s">
        <v>5639</v>
      </c>
      <c r="E121" t="s">
        <v>1912</v>
      </c>
      <c r="F121" t="s">
        <v>6241</v>
      </c>
      <c r="G121" t="s">
        <v>6237</v>
      </c>
      <c r="H121" t="s">
        <v>6234</v>
      </c>
      <c r="I121" t="s">
        <v>218</v>
      </c>
      <c r="J121" t="s">
        <v>218</v>
      </c>
      <c r="K121" t="str">
        <f>IF(ISERROR(VLOOKUP(A121,GamesTable[game_id],1,0)),"not found","found")</f>
        <v>found</v>
      </c>
      <c r="L121" t="s">
        <v>7768</v>
      </c>
      <c r="M121">
        <f t="shared" si="1"/>
        <v>3</v>
      </c>
    </row>
    <row r="122" spans="1:13" hidden="1" x14ac:dyDescent="0.25">
      <c r="A122" t="s">
        <v>7916</v>
      </c>
      <c r="B122" t="s">
        <v>6236</v>
      </c>
      <c r="C122" t="s">
        <v>6235</v>
      </c>
      <c r="D122" t="s">
        <v>5639</v>
      </c>
      <c r="E122" t="s">
        <v>1912</v>
      </c>
      <c r="F122" t="s">
        <v>7768</v>
      </c>
      <c r="G122" t="s">
        <v>7768</v>
      </c>
      <c r="H122" t="s">
        <v>6234</v>
      </c>
      <c r="I122" t="s">
        <v>106</v>
      </c>
      <c r="J122" t="s">
        <v>218</v>
      </c>
      <c r="K122" t="str">
        <f>IF(ISERROR(VLOOKUP(A122,GamesTable[game_id],1,0)),"not found","found")</f>
        <v>found</v>
      </c>
      <c r="L122" t="s">
        <v>9753</v>
      </c>
      <c r="M122">
        <f t="shared" si="1"/>
        <v>3</v>
      </c>
    </row>
    <row r="123" spans="1:13" hidden="1" x14ac:dyDescent="0.25">
      <c r="A123" t="s">
        <v>7916</v>
      </c>
      <c r="B123" t="s">
        <v>6209</v>
      </c>
      <c r="C123" t="s">
        <v>6208</v>
      </c>
      <c r="D123" t="s">
        <v>5639</v>
      </c>
      <c r="E123" t="s">
        <v>1912</v>
      </c>
      <c r="F123" t="s">
        <v>7768</v>
      </c>
      <c r="G123" t="s">
        <v>7768</v>
      </c>
      <c r="H123" t="s">
        <v>7768</v>
      </c>
      <c r="I123" t="s">
        <v>106</v>
      </c>
      <c r="J123" t="s">
        <v>218</v>
      </c>
      <c r="K123" t="str">
        <f>IF(ISERROR(VLOOKUP(A123,GamesTable[game_id],1,0)),"not found","found")</f>
        <v>found</v>
      </c>
      <c r="L123" t="s">
        <v>9753</v>
      </c>
      <c r="M123">
        <f t="shared" si="1"/>
        <v>3</v>
      </c>
    </row>
    <row r="124" spans="1:13" x14ac:dyDescent="0.25">
      <c r="A124" t="s">
        <v>7830</v>
      </c>
      <c r="B124" t="s">
        <v>7182</v>
      </c>
      <c r="C124" t="s">
        <v>7181</v>
      </c>
      <c r="D124" t="s">
        <v>6279</v>
      </c>
      <c r="E124" t="s">
        <v>1912</v>
      </c>
      <c r="F124" t="s">
        <v>7180</v>
      </c>
      <c r="G124" t="s">
        <v>7174</v>
      </c>
      <c r="H124" t="s">
        <v>7170</v>
      </c>
      <c r="I124" t="s">
        <v>7179</v>
      </c>
      <c r="J124" t="s">
        <v>218</v>
      </c>
      <c r="K124" t="str">
        <f>IF(ISERROR(VLOOKUP(A124,GamesTable[game_id],1,0)),"not found","found")</f>
        <v>found</v>
      </c>
      <c r="L124" t="s">
        <v>7768</v>
      </c>
      <c r="M124">
        <f t="shared" si="1"/>
        <v>2</v>
      </c>
    </row>
    <row r="125" spans="1:13" x14ac:dyDescent="0.25">
      <c r="A125" t="s">
        <v>8992</v>
      </c>
      <c r="B125" t="s">
        <v>1103</v>
      </c>
      <c r="C125" t="s">
        <v>1102</v>
      </c>
      <c r="D125" t="s">
        <v>1101</v>
      </c>
      <c r="E125" t="s">
        <v>194</v>
      </c>
      <c r="F125" t="s">
        <v>7768</v>
      </c>
      <c r="G125" t="s">
        <v>7768</v>
      </c>
      <c r="H125" t="s">
        <v>7768</v>
      </c>
      <c r="I125" t="s">
        <v>106</v>
      </c>
      <c r="J125" t="s">
        <v>218</v>
      </c>
      <c r="K125" t="str">
        <f>IF(ISERROR(VLOOKUP(A125,GamesTable[game_id],1,0)),"not found","found")</f>
        <v>found</v>
      </c>
      <c r="L125" t="s">
        <v>7768</v>
      </c>
      <c r="M125">
        <f t="shared" si="1"/>
        <v>1</v>
      </c>
    </row>
    <row r="126" spans="1:13" x14ac:dyDescent="0.25">
      <c r="A126" t="s">
        <v>7831</v>
      </c>
      <c r="B126" t="s">
        <v>3022</v>
      </c>
      <c r="C126" t="s">
        <v>3041</v>
      </c>
      <c r="D126" t="s">
        <v>1145</v>
      </c>
      <c r="E126" t="s">
        <v>1912</v>
      </c>
      <c r="F126" t="s">
        <v>3040</v>
      </c>
      <c r="G126" t="s">
        <v>3036</v>
      </c>
      <c r="H126">
        <v>0</v>
      </c>
      <c r="I126" t="s">
        <v>106</v>
      </c>
      <c r="J126" t="s">
        <v>218</v>
      </c>
      <c r="K126" t="str">
        <f>IF(ISERROR(VLOOKUP(A126,GamesTable[game_id],1,0)),"not found","found")</f>
        <v>found</v>
      </c>
      <c r="L126" t="s">
        <v>7768</v>
      </c>
      <c r="M126">
        <f t="shared" si="1"/>
        <v>3</v>
      </c>
    </row>
    <row r="127" spans="1:13" hidden="1" x14ac:dyDescent="0.25">
      <c r="A127" t="s">
        <v>7831</v>
      </c>
      <c r="B127" t="s">
        <v>3035</v>
      </c>
      <c r="C127" t="s">
        <v>3034</v>
      </c>
      <c r="D127" t="s">
        <v>1145</v>
      </c>
      <c r="E127" t="s">
        <v>1912</v>
      </c>
      <c r="F127" t="s">
        <v>3033</v>
      </c>
      <c r="G127" t="s">
        <v>3029</v>
      </c>
      <c r="H127" t="s">
        <v>3028</v>
      </c>
      <c r="I127" t="s">
        <v>35</v>
      </c>
      <c r="J127" t="s">
        <v>218</v>
      </c>
      <c r="K127" t="str">
        <f>IF(ISERROR(VLOOKUP(A127,GamesTable[game_id],1,0)),"not found","found")</f>
        <v>found</v>
      </c>
      <c r="L127" t="s">
        <v>9753</v>
      </c>
      <c r="M127">
        <f t="shared" si="1"/>
        <v>3</v>
      </c>
    </row>
    <row r="128" spans="1:13" x14ac:dyDescent="0.25">
      <c r="A128" t="s">
        <v>7832</v>
      </c>
      <c r="B128" t="s">
        <v>2632</v>
      </c>
      <c r="C128" t="s">
        <v>2631</v>
      </c>
      <c r="D128" t="s">
        <v>1101</v>
      </c>
      <c r="E128" t="s">
        <v>1912</v>
      </c>
      <c r="F128" t="s">
        <v>2630</v>
      </c>
      <c r="G128" t="s">
        <v>2626</v>
      </c>
      <c r="H128" t="s">
        <v>2622</v>
      </c>
      <c r="I128" t="s">
        <v>218</v>
      </c>
      <c r="J128" t="s">
        <v>218</v>
      </c>
      <c r="K128" t="str">
        <f>IF(ISERROR(VLOOKUP(A128,GamesTable[game_id],1,0)),"not found","found")</f>
        <v>found</v>
      </c>
      <c r="L128" t="s">
        <v>7768</v>
      </c>
      <c r="M128">
        <f t="shared" si="1"/>
        <v>1</v>
      </c>
    </row>
    <row r="129" spans="1:13" x14ac:dyDescent="0.25">
      <c r="A129" t="s">
        <v>7833</v>
      </c>
      <c r="B129" t="s">
        <v>89</v>
      </c>
      <c r="C129" t="s">
        <v>88</v>
      </c>
      <c r="D129" t="s">
        <v>87</v>
      </c>
      <c r="E129" t="s">
        <v>86</v>
      </c>
      <c r="F129" t="s">
        <v>7768</v>
      </c>
      <c r="G129" t="s">
        <v>7768</v>
      </c>
      <c r="H129" t="s">
        <v>7768</v>
      </c>
      <c r="I129" t="s">
        <v>35</v>
      </c>
      <c r="J129" t="s">
        <v>35</v>
      </c>
      <c r="K129" t="str">
        <f>IF(ISERROR(VLOOKUP(A129,GamesTable[game_id],1,0)),"not found","found")</f>
        <v>found</v>
      </c>
      <c r="L129" t="s">
        <v>7768</v>
      </c>
      <c r="M129">
        <f t="shared" si="1"/>
        <v>1</v>
      </c>
    </row>
    <row r="130" spans="1:13" x14ac:dyDescent="0.25">
      <c r="A130" t="s">
        <v>7831</v>
      </c>
      <c r="B130" t="s">
        <v>3027</v>
      </c>
      <c r="C130" t="s">
        <v>3026</v>
      </c>
      <c r="D130" t="s">
        <v>1145</v>
      </c>
      <c r="E130" t="s">
        <v>1912</v>
      </c>
      <c r="F130" t="s">
        <v>7768</v>
      </c>
      <c r="G130" t="s">
        <v>7768</v>
      </c>
      <c r="H130" t="s">
        <v>7768</v>
      </c>
      <c r="I130" t="s">
        <v>106</v>
      </c>
      <c r="J130" t="s">
        <v>218</v>
      </c>
      <c r="K130" t="str">
        <f>IF(ISERROR(VLOOKUP(A130,GamesTable[game_id],1,0)),"not found","found")</f>
        <v>found</v>
      </c>
      <c r="L130" t="s">
        <v>7768</v>
      </c>
      <c r="M130">
        <f t="shared" ref="M130:M193" si="2">COUNTIF(A:A,A130)</f>
        <v>3</v>
      </c>
    </row>
    <row r="131" spans="1:13" x14ac:dyDescent="0.25">
      <c r="A131" t="s">
        <v>7834</v>
      </c>
      <c r="B131" t="s">
        <v>6925</v>
      </c>
      <c r="C131" t="s">
        <v>6924</v>
      </c>
      <c r="D131" t="s">
        <v>3906</v>
      </c>
      <c r="E131" t="s">
        <v>1912</v>
      </c>
      <c r="F131" t="s">
        <v>6923</v>
      </c>
      <c r="G131" t="s">
        <v>6919</v>
      </c>
      <c r="H131" t="s">
        <v>6918</v>
      </c>
      <c r="I131" t="s">
        <v>218</v>
      </c>
      <c r="J131" t="s">
        <v>218</v>
      </c>
      <c r="K131" t="str">
        <f>IF(ISERROR(VLOOKUP(A131,GamesTable[game_id],1,0)),"not found","found")</f>
        <v>found</v>
      </c>
      <c r="L131" t="s">
        <v>7768</v>
      </c>
      <c r="M131">
        <f t="shared" si="2"/>
        <v>1</v>
      </c>
    </row>
    <row r="132" spans="1:13" x14ac:dyDescent="0.25">
      <c r="A132" t="s">
        <v>7835</v>
      </c>
      <c r="B132" t="s">
        <v>6559</v>
      </c>
      <c r="C132" t="s">
        <v>6558</v>
      </c>
      <c r="D132" t="s">
        <v>6279</v>
      </c>
      <c r="E132" t="s">
        <v>6557</v>
      </c>
      <c r="F132" t="s">
        <v>6556</v>
      </c>
      <c r="G132" t="s">
        <v>6552</v>
      </c>
      <c r="H132" t="s">
        <v>6548</v>
      </c>
      <c r="I132" t="s">
        <v>218</v>
      </c>
      <c r="J132" t="s">
        <v>218</v>
      </c>
      <c r="K132" t="str">
        <f>IF(ISERROR(VLOOKUP(A132,GamesTable[game_id],1,0)),"not found","found")</f>
        <v>found</v>
      </c>
      <c r="L132" t="s">
        <v>7768</v>
      </c>
      <c r="M132">
        <f t="shared" si="2"/>
        <v>1</v>
      </c>
    </row>
    <row r="133" spans="1:13" x14ac:dyDescent="0.25">
      <c r="A133" t="s">
        <v>9038</v>
      </c>
      <c r="B133" t="s">
        <v>10205</v>
      </c>
      <c r="C133" t="s">
        <v>9040</v>
      </c>
      <c r="D133">
        <v>2022</v>
      </c>
      <c r="E133" t="s">
        <v>9039</v>
      </c>
      <c r="K133" t="str">
        <f>IF(ISERROR(VLOOKUP(A133,GamesTable[game_id],1,0)),"not found","found")</f>
        <v>found</v>
      </c>
      <c r="L133" t="s">
        <v>7768</v>
      </c>
      <c r="M133">
        <f t="shared" si="2"/>
        <v>2</v>
      </c>
    </row>
    <row r="134" spans="1:13" hidden="1" x14ac:dyDescent="0.25">
      <c r="A134" t="s">
        <v>9038</v>
      </c>
      <c r="B134" t="s">
        <v>10203</v>
      </c>
      <c r="C134" t="s">
        <v>10204</v>
      </c>
      <c r="D134">
        <v>2022</v>
      </c>
      <c r="E134" t="s">
        <v>9039</v>
      </c>
      <c r="K134" t="str">
        <f>IF(ISERROR(VLOOKUP(A134,GamesTable[game_id],1,0)),"not found","found")</f>
        <v>found</v>
      </c>
      <c r="L134" t="s">
        <v>9753</v>
      </c>
      <c r="M134">
        <f t="shared" si="2"/>
        <v>2</v>
      </c>
    </row>
    <row r="135" spans="1:13" x14ac:dyDescent="0.25">
      <c r="A135" t="s">
        <v>7837</v>
      </c>
      <c r="B135" t="s">
        <v>3413</v>
      </c>
      <c r="C135" t="s">
        <v>3412</v>
      </c>
      <c r="D135" t="s">
        <v>1280</v>
      </c>
      <c r="E135" t="s">
        <v>3073</v>
      </c>
      <c r="F135" t="s">
        <v>3411</v>
      </c>
      <c r="G135" t="s">
        <v>3407</v>
      </c>
      <c r="H135" t="s">
        <v>3403</v>
      </c>
      <c r="I135" t="s">
        <v>218</v>
      </c>
      <c r="J135" t="s">
        <v>218</v>
      </c>
      <c r="K135" t="str">
        <f>IF(ISERROR(VLOOKUP(A135,GamesTable[game_id],1,0)),"not found","found")</f>
        <v>found</v>
      </c>
      <c r="L135" t="s">
        <v>7768</v>
      </c>
      <c r="M135">
        <f t="shared" si="2"/>
        <v>1</v>
      </c>
    </row>
    <row r="136" spans="1:13" x14ac:dyDescent="0.25">
      <c r="A136" t="s">
        <v>7838</v>
      </c>
      <c r="B136" t="s">
        <v>3075</v>
      </c>
      <c r="C136" t="s">
        <v>3074</v>
      </c>
      <c r="D136" t="s">
        <v>1145</v>
      </c>
      <c r="E136" t="s">
        <v>3073</v>
      </c>
      <c r="F136" t="s">
        <v>3072</v>
      </c>
      <c r="G136" t="s">
        <v>3068</v>
      </c>
      <c r="H136" t="s">
        <v>3064</v>
      </c>
      <c r="I136" t="s">
        <v>218</v>
      </c>
      <c r="J136" t="s">
        <v>218</v>
      </c>
      <c r="K136" t="str">
        <f>IF(ISERROR(VLOOKUP(A136,GamesTable[game_id],1,0)),"not found","found")</f>
        <v>found</v>
      </c>
      <c r="L136" t="s">
        <v>7768</v>
      </c>
      <c r="M136">
        <f t="shared" si="2"/>
        <v>1</v>
      </c>
    </row>
    <row r="137" spans="1:13" x14ac:dyDescent="0.25">
      <c r="A137" t="s">
        <v>7836</v>
      </c>
      <c r="B137" t="s">
        <v>6670</v>
      </c>
      <c r="C137" t="s">
        <v>6703</v>
      </c>
      <c r="D137" t="s">
        <v>5639</v>
      </c>
      <c r="E137" t="s">
        <v>1912</v>
      </c>
      <c r="F137" t="s">
        <v>6622</v>
      </c>
      <c r="G137" t="s">
        <v>6699</v>
      </c>
      <c r="H137" t="s">
        <v>6697</v>
      </c>
      <c r="I137" t="s">
        <v>218</v>
      </c>
      <c r="J137" t="s">
        <v>218</v>
      </c>
      <c r="K137" t="str">
        <f>IF(ISERROR(VLOOKUP(A137,GamesTable[game_id],1,0)),"not found","found")</f>
        <v>found</v>
      </c>
      <c r="L137" t="s">
        <v>7768</v>
      </c>
      <c r="M137">
        <f t="shared" si="2"/>
        <v>2</v>
      </c>
    </row>
    <row r="138" spans="1:13" hidden="1" x14ac:dyDescent="0.25">
      <c r="A138" t="s">
        <v>7836</v>
      </c>
      <c r="B138" t="s">
        <v>6675</v>
      </c>
      <c r="C138" t="s">
        <v>6674</v>
      </c>
      <c r="D138" t="s">
        <v>5639</v>
      </c>
      <c r="E138" t="s">
        <v>1912</v>
      </c>
      <c r="F138" t="s">
        <v>7768</v>
      </c>
      <c r="G138" t="s">
        <v>7768</v>
      </c>
      <c r="H138" t="s">
        <v>7768</v>
      </c>
      <c r="I138" t="s">
        <v>106</v>
      </c>
      <c r="J138" t="s">
        <v>218</v>
      </c>
      <c r="K138" t="str">
        <f>IF(ISERROR(VLOOKUP(A138,GamesTable[game_id],1,0)),"not found","found")</f>
        <v>found</v>
      </c>
      <c r="L138" t="s">
        <v>9753</v>
      </c>
      <c r="M138">
        <f t="shared" si="2"/>
        <v>2</v>
      </c>
    </row>
    <row r="139" spans="1:13" x14ac:dyDescent="0.25">
      <c r="A139" t="s">
        <v>7840</v>
      </c>
      <c r="B139" t="s">
        <v>7585</v>
      </c>
      <c r="C139" t="s">
        <v>7584</v>
      </c>
      <c r="D139" t="s">
        <v>3906</v>
      </c>
      <c r="E139" t="s">
        <v>1912</v>
      </c>
      <c r="F139" t="s">
        <v>7583</v>
      </c>
      <c r="G139" t="s">
        <v>7579</v>
      </c>
      <c r="H139" t="s">
        <v>7575</v>
      </c>
      <c r="I139" t="s">
        <v>218</v>
      </c>
      <c r="J139" t="s">
        <v>218</v>
      </c>
      <c r="K139" t="str">
        <f>IF(ISERROR(VLOOKUP(A139,GamesTable[game_id],1,0)),"not found","found")</f>
        <v>found</v>
      </c>
      <c r="L139" t="s">
        <v>7768</v>
      </c>
      <c r="M139">
        <f t="shared" si="2"/>
        <v>1</v>
      </c>
    </row>
    <row r="140" spans="1:13" x14ac:dyDescent="0.25">
      <c r="A140" t="s">
        <v>7841</v>
      </c>
      <c r="B140" t="s">
        <v>3884</v>
      </c>
      <c r="C140" t="s">
        <v>3883</v>
      </c>
      <c r="D140" t="s">
        <v>1239</v>
      </c>
      <c r="E140" t="s">
        <v>3882</v>
      </c>
      <c r="F140" t="s">
        <v>3881</v>
      </c>
      <c r="G140" t="s">
        <v>3877</v>
      </c>
      <c r="H140" t="s">
        <v>3873</v>
      </c>
      <c r="I140" t="s">
        <v>218</v>
      </c>
      <c r="J140" t="s">
        <v>218</v>
      </c>
      <c r="K140" t="str">
        <f>IF(ISERROR(VLOOKUP(A140,GamesTable[game_id],1,0)),"not found","found")</f>
        <v>found</v>
      </c>
      <c r="L140" t="s">
        <v>7768</v>
      </c>
      <c r="M140">
        <f t="shared" si="2"/>
        <v>1</v>
      </c>
    </row>
    <row r="141" spans="1:13" x14ac:dyDescent="0.25">
      <c r="A141" t="s">
        <v>7839</v>
      </c>
      <c r="B141" t="s">
        <v>7532</v>
      </c>
      <c r="C141" t="s">
        <v>7544</v>
      </c>
      <c r="D141" t="s">
        <v>3906</v>
      </c>
      <c r="E141" t="s">
        <v>5638</v>
      </c>
      <c r="F141" t="s">
        <v>7543</v>
      </c>
      <c r="G141" t="s">
        <v>7539</v>
      </c>
      <c r="H141" t="s">
        <v>7528</v>
      </c>
      <c r="I141" t="s">
        <v>106</v>
      </c>
      <c r="J141" t="s">
        <v>218</v>
      </c>
      <c r="K141" t="str">
        <f>IF(ISERROR(VLOOKUP(A141,GamesTable[game_id],1,0)),"not found","found")</f>
        <v>found</v>
      </c>
      <c r="L141" t="s">
        <v>7768</v>
      </c>
      <c r="M141">
        <f t="shared" si="2"/>
        <v>2</v>
      </c>
    </row>
    <row r="142" spans="1:13" hidden="1" x14ac:dyDescent="0.25">
      <c r="A142" t="s">
        <v>7839</v>
      </c>
      <c r="B142" t="s">
        <v>7538</v>
      </c>
      <c r="C142" t="s">
        <v>7537</v>
      </c>
      <c r="D142" t="s">
        <v>3906</v>
      </c>
      <c r="E142" t="s">
        <v>5638</v>
      </c>
      <c r="F142" t="s">
        <v>7536</v>
      </c>
      <c r="G142" t="s">
        <v>7344</v>
      </c>
      <c r="H142" t="s">
        <v>7528</v>
      </c>
      <c r="I142" t="s">
        <v>35</v>
      </c>
      <c r="J142" t="s">
        <v>218</v>
      </c>
      <c r="K142" t="str">
        <f>IF(ISERROR(VLOOKUP(A142,GamesTable[game_id],1,0)),"not found","found")</f>
        <v>found</v>
      </c>
      <c r="L142" t="s">
        <v>9753</v>
      </c>
      <c r="M142">
        <f t="shared" si="2"/>
        <v>2</v>
      </c>
    </row>
    <row r="143" spans="1:13" x14ac:dyDescent="0.25">
      <c r="A143" t="s">
        <v>7843</v>
      </c>
      <c r="B143" t="s">
        <v>3126</v>
      </c>
      <c r="C143" t="s">
        <v>3125</v>
      </c>
      <c r="D143" t="s">
        <v>1145</v>
      </c>
      <c r="E143" t="s">
        <v>1302</v>
      </c>
      <c r="F143" t="s">
        <v>3124</v>
      </c>
      <c r="G143" t="s">
        <v>3120</v>
      </c>
      <c r="H143" t="s">
        <v>3116</v>
      </c>
      <c r="I143" t="s">
        <v>106</v>
      </c>
      <c r="J143" t="s">
        <v>218</v>
      </c>
      <c r="K143" t="str">
        <f>IF(ISERROR(VLOOKUP(A143,GamesTable[game_id],1,0)),"not found","found")</f>
        <v>found</v>
      </c>
      <c r="L143" t="s">
        <v>7768</v>
      </c>
      <c r="M143">
        <f t="shared" si="2"/>
        <v>1</v>
      </c>
    </row>
    <row r="144" spans="1:13" x14ac:dyDescent="0.25">
      <c r="A144" t="s">
        <v>7844</v>
      </c>
      <c r="B144" t="s">
        <v>6592</v>
      </c>
      <c r="C144" t="s">
        <v>6591</v>
      </c>
      <c r="D144" t="s">
        <v>3906</v>
      </c>
      <c r="E144" t="s">
        <v>6341</v>
      </c>
      <c r="F144" t="s">
        <v>6590</v>
      </c>
      <c r="G144" t="s">
        <v>6586</v>
      </c>
      <c r="H144" t="s">
        <v>6582</v>
      </c>
      <c r="I144" t="s">
        <v>218</v>
      </c>
      <c r="J144" t="s">
        <v>218</v>
      </c>
      <c r="K144" t="str">
        <f>IF(ISERROR(VLOOKUP(A144,GamesTable[game_id],1,0)),"not found","found")</f>
        <v>found</v>
      </c>
      <c r="L144" t="s">
        <v>7768</v>
      </c>
      <c r="M144">
        <f t="shared" si="2"/>
        <v>1</v>
      </c>
    </row>
    <row r="145" spans="1:13" x14ac:dyDescent="0.25">
      <c r="A145" t="s">
        <v>7845</v>
      </c>
      <c r="B145" t="s">
        <v>3908</v>
      </c>
      <c r="C145" t="s">
        <v>3907</v>
      </c>
      <c r="D145" t="s">
        <v>3906</v>
      </c>
      <c r="E145" t="s">
        <v>3275</v>
      </c>
      <c r="F145" t="s">
        <v>3905</v>
      </c>
      <c r="G145" t="s">
        <v>3901</v>
      </c>
      <c r="H145" t="s">
        <v>3897</v>
      </c>
      <c r="I145" t="s">
        <v>218</v>
      </c>
      <c r="J145" t="s">
        <v>218</v>
      </c>
      <c r="K145" t="str">
        <f>IF(ISERROR(VLOOKUP(A145,GamesTable[game_id],1,0)),"not found","found")</f>
        <v>found</v>
      </c>
      <c r="L145" t="s">
        <v>7768</v>
      </c>
      <c r="M145">
        <f t="shared" si="2"/>
        <v>1</v>
      </c>
    </row>
    <row r="146" spans="1:13" x14ac:dyDescent="0.25">
      <c r="A146" t="s">
        <v>7842</v>
      </c>
      <c r="B146" t="s">
        <v>542</v>
      </c>
      <c r="C146" t="s">
        <v>1649</v>
      </c>
      <c r="D146" t="s">
        <v>547</v>
      </c>
      <c r="E146" t="s">
        <v>1648</v>
      </c>
      <c r="F146" t="s">
        <v>1647</v>
      </c>
      <c r="G146" t="s">
        <v>1645</v>
      </c>
      <c r="H146" t="s">
        <v>1644</v>
      </c>
      <c r="I146" t="s">
        <v>218</v>
      </c>
      <c r="J146" t="s">
        <v>218</v>
      </c>
      <c r="K146" t="str">
        <f>IF(ISERROR(VLOOKUP(A146,GamesTable[game_id],1,0)),"not found","found")</f>
        <v>found</v>
      </c>
      <c r="L146" t="s">
        <v>7768</v>
      </c>
      <c r="M146">
        <f t="shared" si="2"/>
        <v>2</v>
      </c>
    </row>
    <row r="147" spans="1:13" hidden="1" x14ac:dyDescent="0.25">
      <c r="A147" t="s">
        <v>7842</v>
      </c>
      <c r="B147" t="s">
        <v>549</v>
      </c>
      <c r="C147" t="s">
        <v>548</v>
      </c>
      <c r="D147" t="s">
        <v>547</v>
      </c>
      <c r="E147" t="s">
        <v>194</v>
      </c>
      <c r="F147" t="s">
        <v>7768</v>
      </c>
      <c r="G147" t="s">
        <v>7768</v>
      </c>
      <c r="H147" t="s">
        <v>7768</v>
      </c>
      <c r="I147" t="s">
        <v>106</v>
      </c>
      <c r="J147" t="s">
        <v>218</v>
      </c>
      <c r="K147" t="str">
        <f>IF(ISERROR(VLOOKUP(A147,GamesTable[game_id],1,0)),"not found","found")</f>
        <v>found</v>
      </c>
      <c r="L147" t="s">
        <v>9753</v>
      </c>
      <c r="M147">
        <f t="shared" si="2"/>
        <v>2</v>
      </c>
    </row>
    <row r="148" spans="1:13" x14ac:dyDescent="0.25">
      <c r="A148" t="s">
        <v>7919</v>
      </c>
      <c r="B148" t="s">
        <v>859</v>
      </c>
      <c r="C148" t="s">
        <v>10177</v>
      </c>
      <c r="D148" t="s">
        <v>547</v>
      </c>
      <c r="E148" t="s">
        <v>194</v>
      </c>
      <c r="F148" t="s">
        <v>7768</v>
      </c>
      <c r="G148" t="s">
        <v>7768</v>
      </c>
      <c r="H148" t="s">
        <v>7768</v>
      </c>
      <c r="I148" t="s">
        <v>106</v>
      </c>
      <c r="J148" t="s">
        <v>106</v>
      </c>
      <c r="K148" t="str">
        <f>IF(ISERROR(VLOOKUP(A148,GamesTable[game_id],1,0)),"not found","found")</f>
        <v>found</v>
      </c>
      <c r="L148" t="s">
        <v>7768</v>
      </c>
      <c r="M148">
        <f t="shared" si="2"/>
        <v>3</v>
      </c>
    </row>
    <row r="149" spans="1:13" x14ac:dyDescent="0.25">
      <c r="A149" t="s">
        <v>7846</v>
      </c>
      <c r="B149" t="s">
        <v>3951</v>
      </c>
      <c r="C149" t="s">
        <v>3950</v>
      </c>
      <c r="D149" t="s">
        <v>1280</v>
      </c>
      <c r="E149" t="s">
        <v>3949</v>
      </c>
      <c r="F149" t="s">
        <v>3948</v>
      </c>
      <c r="G149" t="s">
        <v>3944</v>
      </c>
      <c r="H149" t="s">
        <v>3943</v>
      </c>
      <c r="I149" t="s">
        <v>218</v>
      </c>
      <c r="J149" t="s">
        <v>218</v>
      </c>
      <c r="K149" t="str">
        <f>IF(ISERROR(VLOOKUP(A149,GamesTable[game_id],1,0)),"not found","found")</f>
        <v>found</v>
      </c>
      <c r="L149" t="s">
        <v>7768</v>
      </c>
      <c r="M149">
        <f t="shared" si="2"/>
        <v>1</v>
      </c>
    </row>
    <row r="150" spans="1:13" x14ac:dyDescent="0.25">
      <c r="A150" t="s">
        <v>7917</v>
      </c>
      <c r="B150" t="s">
        <v>2749</v>
      </c>
      <c r="C150" t="s">
        <v>2748</v>
      </c>
      <c r="D150" t="s">
        <v>1101</v>
      </c>
      <c r="E150" t="s">
        <v>1912</v>
      </c>
      <c r="F150" t="s">
        <v>2747</v>
      </c>
      <c r="G150" t="s">
        <v>2743</v>
      </c>
      <c r="H150" t="s">
        <v>2739</v>
      </c>
      <c r="I150" t="s">
        <v>218</v>
      </c>
      <c r="J150" t="s">
        <v>218</v>
      </c>
      <c r="K150" t="str">
        <f>IF(ISERROR(VLOOKUP(A150,GamesTable[game_id],1,0)),"not found","found")</f>
        <v>found</v>
      </c>
      <c r="L150" t="s">
        <v>7768</v>
      </c>
      <c r="M150">
        <f t="shared" si="2"/>
        <v>1</v>
      </c>
    </row>
    <row r="151" spans="1:13" x14ac:dyDescent="0.25">
      <c r="A151" t="s">
        <v>7920</v>
      </c>
      <c r="B151" t="s">
        <v>9745</v>
      </c>
      <c r="C151" t="s">
        <v>9746</v>
      </c>
      <c r="D151" t="s">
        <v>195</v>
      </c>
      <c r="E151" t="s">
        <v>1436</v>
      </c>
      <c r="I151" t="s">
        <v>9747</v>
      </c>
      <c r="J151" t="s">
        <v>9747</v>
      </c>
      <c r="K151" t="str">
        <f>IF(ISERROR(VLOOKUP(A151,GamesTable[game_id],1,0)),"not found","found")</f>
        <v>found</v>
      </c>
      <c r="L151" t="s">
        <v>7768</v>
      </c>
      <c r="M151">
        <f t="shared" si="2"/>
        <v>5</v>
      </c>
    </row>
    <row r="152" spans="1:13" hidden="1" x14ac:dyDescent="0.25">
      <c r="A152" t="s">
        <v>7920</v>
      </c>
      <c r="B152" t="s">
        <v>497</v>
      </c>
      <c r="C152" t="s">
        <v>496</v>
      </c>
      <c r="D152" t="s">
        <v>195</v>
      </c>
      <c r="E152" t="s">
        <v>194</v>
      </c>
      <c r="F152" t="s">
        <v>7768</v>
      </c>
      <c r="G152" t="s">
        <v>7768</v>
      </c>
      <c r="H152" t="s">
        <v>7768</v>
      </c>
      <c r="I152" t="s">
        <v>106</v>
      </c>
      <c r="J152" t="s">
        <v>106</v>
      </c>
      <c r="K152" t="str">
        <f>IF(ISERROR(VLOOKUP(A152,GamesTable[game_id],1,0)),"not found","found")</f>
        <v>found</v>
      </c>
      <c r="L152" t="s">
        <v>9753</v>
      </c>
      <c r="M152">
        <f t="shared" si="2"/>
        <v>5</v>
      </c>
    </row>
    <row r="153" spans="1:13" x14ac:dyDescent="0.25">
      <c r="A153" t="s">
        <v>7918</v>
      </c>
      <c r="B153" t="s">
        <v>1007</v>
      </c>
      <c r="C153" t="s">
        <v>1963</v>
      </c>
      <c r="D153" t="s">
        <v>113</v>
      </c>
      <c r="E153" t="s">
        <v>1912</v>
      </c>
      <c r="F153" t="s">
        <v>1950</v>
      </c>
      <c r="G153" t="s">
        <v>1945</v>
      </c>
      <c r="H153" t="s">
        <v>1927</v>
      </c>
      <c r="I153" t="s">
        <v>106</v>
      </c>
      <c r="J153" t="s">
        <v>218</v>
      </c>
      <c r="K153" t="str">
        <f>IF(ISERROR(VLOOKUP(A153,GamesTable[game_id],1,0)),"not found","found")</f>
        <v>found</v>
      </c>
      <c r="L153" t="s">
        <v>7768</v>
      </c>
      <c r="M153">
        <f t="shared" si="2"/>
        <v>4</v>
      </c>
    </row>
    <row r="154" spans="1:13" hidden="1" x14ac:dyDescent="0.25">
      <c r="A154" t="s">
        <v>7918</v>
      </c>
      <c r="B154" t="s">
        <v>1952</v>
      </c>
      <c r="C154" t="s">
        <v>1951</v>
      </c>
      <c r="D154" t="s">
        <v>113</v>
      </c>
      <c r="E154" t="s">
        <v>1912</v>
      </c>
      <c r="F154" t="s">
        <v>1950</v>
      </c>
      <c r="G154" t="s">
        <v>1945</v>
      </c>
      <c r="H154" t="s">
        <v>1927</v>
      </c>
      <c r="I154" t="s">
        <v>106</v>
      </c>
      <c r="J154" t="s">
        <v>218</v>
      </c>
      <c r="K154" t="str">
        <f>IF(ISERROR(VLOOKUP(A154,GamesTable[game_id],1,0)),"not found","found")</f>
        <v>found</v>
      </c>
      <c r="L154" t="s">
        <v>9753</v>
      </c>
      <c r="M154">
        <f t="shared" si="2"/>
        <v>4</v>
      </c>
    </row>
    <row r="155" spans="1:13" hidden="1" x14ac:dyDescent="0.25">
      <c r="A155" t="s">
        <v>7918</v>
      </c>
      <c r="B155" t="s">
        <v>1014</v>
      </c>
      <c r="C155" t="s">
        <v>1013</v>
      </c>
      <c r="D155" t="s">
        <v>113</v>
      </c>
      <c r="E155" t="s">
        <v>194</v>
      </c>
      <c r="F155" t="s">
        <v>7768</v>
      </c>
      <c r="G155" t="s">
        <v>7768</v>
      </c>
      <c r="H155" t="s">
        <v>7768</v>
      </c>
      <c r="I155" t="s">
        <v>106</v>
      </c>
      <c r="J155" t="s">
        <v>106</v>
      </c>
      <c r="K155" t="str">
        <f>IF(ISERROR(VLOOKUP(A155,GamesTable[game_id],1,0)),"not found","found")</f>
        <v>found</v>
      </c>
      <c r="L155" t="s">
        <v>9753</v>
      </c>
      <c r="M155">
        <f t="shared" si="2"/>
        <v>4</v>
      </c>
    </row>
    <row r="156" spans="1:13" hidden="1" x14ac:dyDescent="0.25">
      <c r="A156" t="s">
        <v>7918</v>
      </c>
      <c r="B156" t="s">
        <v>1938</v>
      </c>
      <c r="C156" t="s">
        <v>1937</v>
      </c>
      <c r="D156" t="s">
        <v>113</v>
      </c>
      <c r="E156" t="s">
        <v>1912</v>
      </c>
      <c r="F156" t="s">
        <v>1936</v>
      </c>
      <c r="G156" t="s">
        <v>1931</v>
      </c>
      <c r="H156" t="s">
        <v>1927</v>
      </c>
      <c r="I156" t="s">
        <v>35</v>
      </c>
      <c r="J156" t="s">
        <v>218</v>
      </c>
      <c r="K156" t="str">
        <f>IF(ISERROR(VLOOKUP(A156,GamesTable[game_id],1,0)),"not found","found")</f>
        <v>found</v>
      </c>
      <c r="L156" t="s">
        <v>9753</v>
      </c>
      <c r="M156">
        <f t="shared" si="2"/>
        <v>4</v>
      </c>
    </row>
    <row r="157" spans="1:13" x14ac:dyDescent="0.25">
      <c r="A157" t="s">
        <v>7919</v>
      </c>
      <c r="B157" t="s">
        <v>853</v>
      </c>
      <c r="C157" t="s">
        <v>1727</v>
      </c>
      <c r="D157" t="s">
        <v>547</v>
      </c>
      <c r="E157" t="s">
        <v>1719</v>
      </c>
      <c r="F157" t="s">
        <v>1726</v>
      </c>
      <c r="G157" t="s">
        <v>1722</v>
      </c>
      <c r="H157" t="s">
        <v>1709</v>
      </c>
      <c r="I157" t="s">
        <v>106</v>
      </c>
      <c r="J157" t="s">
        <v>218</v>
      </c>
      <c r="K157" t="str">
        <f>IF(ISERROR(VLOOKUP(A157,GamesTable[game_id],1,0)),"not found","found")</f>
        <v>found</v>
      </c>
      <c r="L157" t="s">
        <v>7768</v>
      </c>
      <c r="M157">
        <f t="shared" si="2"/>
        <v>3</v>
      </c>
    </row>
    <row r="158" spans="1:13" hidden="1" x14ac:dyDescent="0.25">
      <c r="A158" t="s">
        <v>7919</v>
      </c>
      <c r="B158" t="s">
        <v>1721</v>
      </c>
      <c r="C158" t="s">
        <v>1720</v>
      </c>
      <c r="D158" t="s">
        <v>547</v>
      </c>
      <c r="E158" t="s">
        <v>1719</v>
      </c>
      <c r="F158" t="s">
        <v>1718</v>
      </c>
      <c r="G158" t="s">
        <v>1713</v>
      </c>
      <c r="H158" t="s">
        <v>1709</v>
      </c>
      <c r="I158" t="s">
        <v>35</v>
      </c>
      <c r="J158" t="s">
        <v>218</v>
      </c>
      <c r="K158" t="str">
        <f>IF(ISERROR(VLOOKUP(A158,GamesTable[game_id],1,0)),"not found","found")</f>
        <v>found</v>
      </c>
      <c r="L158" t="s">
        <v>9753</v>
      </c>
      <c r="M158">
        <f t="shared" si="2"/>
        <v>3</v>
      </c>
    </row>
    <row r="159" spans="1:13" x14ac:dyDescent="0.25">
      <c r="A159" t="s">
        <v>7920</v>
      </c>
      <c r="B159" t="s">
        <v>441</v>
      </c>
      <c r="C159" t="s">
        <v>1582</v>
      </c>
      <c r="D159" t="s">
        <v>195</v>
      </c>
      <c r="E159" t="s">
        <v>1436</v>
      </c>
      <c r="F159" t="s">
        <v>1581</v>
      </c>
      <c r="G159" t="s">
        <v>1577</v>
      </c>
      <c r="H159" t="s">
        <v>1562</v>
      </c>
      <c r="I159" t="s">
        <v>106</v>
      </c>
      <c r="J159" t="s">
        <v>218</v>
      </c>
      <c r="K159" t="str">
        <f>IF(ISERROR(VLOOKUP(A159,GamesTable[game_id],1,0)),"not found","found")</f>
        <v>found</v>
      </c>
      <c r="L159" t="s">
        <v>7768</v>
      </c>
      <c r="M159">
        <f t="shared" si="2"/>
        <v>5</v>
      </c>
    </row>
    <row r="160" spans="1:13" x14ac:dyDescent="0.25">
      <c r="A160" t="s">
        <v>7921</v>
      </c>
      <c r="B160" t="s">
        <v>2379</v>
      </c>
      <c r="C160" t="s">
        <v>2378</v>
      </c>
      <c r="D160" t="s">
        <v>1053</v>
      </c>
      <c r="E160" t="s">
        <v>1912</v>
      </c>
      <c r="F160" t="s">
        <v>2377</v>
      </c>
      <c r="G160" t="s">
        <v>2372</v>
      </c>
      <c r="H160" t="s">
        <v>2368</v>
      </c>
      <c r="I160" t="s">
        <v>218</v>
      </c>
      <c r="J160" t="s">
        <v>218</v>
      </c>
      <c r="K160" t="str">
        <f>IF(ISERROR(VLOOKUP(A160,GamesTable[game_id],1,0)),"not found","found")</f>
        <v>found</v>
      </c>
      <c r="L160" t="s">
        <v>7768</v>
      </c>
      <c r="M160">
        <f t="shared" si="2"/>
        <v>1</v>
      </c>
    </row>
    <row r="161" spans="1:13" x14ac:dyDescent="0.25">
      <c r="A161" t="s">
        <v>7847</v>
      </c>
      <c r="B161" t="s">
        <v>7220</v>
      </c>
      <c r="C161" t="s">
        <v>7219</v>
      </c>
      <c r="D161" t="s">
        <v>5639</v>
      </c>
      <c r="E161" t="s">
        <v>1912</v>
      </c>
      <c r="F161" t="s">
        <v>7218</v>
      </c>
      <c r="G161" t="s">
        <v>7214</v>
      </c>
      <c r="H161" t="s">
        <v>7210</v>
      </c>
      <c r="I161" t="s">
        <v>218</v>
      </c>
      <c r="J161" t="s">
        <v>218</v>
      </c>
      <c r="K161" t="str">
        <f>IF(ISERROR(VLOOKUP(A161,GamesTable[game_id],1,0)),"not found","found")</f>
        <v>found</v>
      </c>
      <c r="L161" t="s">
        <v>7768</v>
      </c>
      <c r="M161">
        <f t="shared" si="2"/>
        <v>1</v>
      </c>
    </row>
    <row r="162" spans="1:13" x14ac:dyDescent="0.25">
      <c r="A162" t="s">
        <v>7848</v>
      </c>
      <c r="B162" t="s">
        <v>7738</v>
      </c>
      <c r="C162" t="s">
        <v>7737</v>
      </c>
      <c r="D162" t="s">
        <v>3906</v>
      </c>
      <c r="E162" t="s">
        <v>1912</v>
      </c>
      <c r="F162" t="s">
        <v>7736</v>
      </c>
      <c r="G162" t="s">
        <v>7579</v>
      </c>
      <c r="H162" t="s">
        <v>7729</v>
      </c>
      <c r="I162" t="s">
        <v>218</v>
      </c>
      <c r="J162" t="s">
        <v>218</v>
      </c>
      <c r="K162" t="str">
        <f>IF(ISERROR(VLOOKUP(A162,GamesTable[game_id],1,0)),"not found","found")</f>
        <v>found</v>
      </c>
      <c r="L162" t="s">
        <v>7768</v>
      </c>
      <c r="M162">
        <f t="shared" si="2"/>
        <v>1</v>
      </c>
    </row>
    <row r="163" spans="1:13" x14ac:dyDescent="0.25">
      <c r="A163" t="s">
        <v>7920</v>
      </c>
      <c r="B163" t="s">
        <v>447</v>
      </c>
      <c r="C163" t="s">
        <v>446</v>
      </c>
      <c r="D163" t="s">
        <v>195</v>
      </c>
      <c r="E163" t="s">
        <v>194</v>
      </c>
      <c r="F163" t="s">
        <v>7768</v>
      </c>
      <c r="G163" t="s">
        <v>7768</v>
      </c>
      <c r="H163" t="s">
        <v>7768</v>
      </c>
      <c r="I163" t="s">
        <v>106</v>
      </c>
      <c r="J163" t="s">
        <v>106</v>
      </c>
      <c r="K163" t="str">
        <f>IF(ISERROR(VLOOKUP(A163,GamesTable[game_id],1,0)),"not found","found")</f>
        <v>found</v>
      </c>
      <c r="L163" t="s">
        <v>7768</v>
      </c>
      <c r="M163">
        <f t="shared" si="2"/>
        <v>5</v>
      </c>
    </row>
    <row r="164" spans="1:13" hidden="1" x14ac:dyDescent="0.25">
      <c r="A164" t="s">
        <v>7920</v>
      </c>
      <c r="B164" t="s">
        <v>1573</v>
      </c>
      <c r="C164" t="s">
        <v>1572</v>
      </c>
      <c r="D164" t="s">
        <v>195</v>
      </c>
      <c r="E164" t="s">
        <v>1436</v>
      </c>
      <c r="F164" t="s">
        <v>1571</v>
      </c>
      <c r="G164" t="s">
        <v>1566</v>
      </c>
      <c r="H164" t="s">
        <v>1562</v>
      </c>
      <c r="I164" t="s">
        <v>218</v>
      </c>
      <c r="J164" t="s">
        <v>218</v>
      </c>
      <c r="K164" t="str">
        <f>IF(ISERROR(VLOOKUP(A164,GamesTable[game_id],1,0)),"not found","found")</f>
        <v>found</v>
      </c>
      <c r="L164" t="s">
        <v>9753</v>
      </c>
      <c r="M164">
        <f t="shared" si="2"/>
        <v>5</v>
      </c>
    </row>
    <row r="165" spans="1:13" x14ac:dyDescent="0.25">
      <c r="A165" t="s">
        <v>7850</v>
      </c>
      <c r="B165" t="s">
        <v>5790</v>
      </c>
      <c r="C165" t="s">
        <v>5789</v>
      </c>
      <c r="D165" t="s">
        <v>5639</v>
      </c>
      <c r="E165" t="s">
        <v>5638</v>
      </c>
      <c r="F165" t="s">
        <v>5788</v>
      </c>
      <c r="G165" t="s">
        <v>5784</v>
      </c>
      <c r="H165" t="s">
        <v>5780</v>
      </c>
      <c r="I165" t="s">
        <v>218</v>
      </c>
      <c r="J165" t="s">
        <v>218</v>
      </c>
      <c r="K165" t="str">
        <f>IF(ISERROR(VLOOKUP(A165,GamesTable[game_id],1,0)),"not found","found")</f>
        <v>found</v>
      </c>
      <c r="L165" t="s">
        <v>7768</v>
      </c>
      <c r="M165">
        <f t="shared" si="2"/>
        <v>1</v>
      </c>
    </row>
    <row r="166" spans="1:13" x14ac:dyDescent="0.25">
      <c r="A166" t="s">
        <v>7851</v>
      </c>
      <c r="B166" t="s">
        <v>4216</v>
      </c>
      <c r="C166" t="s">
        <v>4215</v>
      </c>
      <c r="D166" t="s">
        <v>1145</v>
      </c>
      <c r="E166" t="s">
        <v>4214</v>
      </c>
      <c r="F166" t="s">
        <v>4213</v>
      </c>
      <c r="G166" t="s">
        <v>4209</v>
      </c>
      <c r="H166" t="s">
        <v>4205</v>
      </c>
      <c r="I166" t="s">
        <v>106</v>
      </c>
      <c r="J166" t="s">
        <v>218</v>
      </c>
      <c r="K166" t="str">
        <f>IF(ISERROR(VLOOKUP(A166,GamesTable[game_id],1,0)),"not found","found")</f>
        <v>found</v>
      </c>
      <c r="L166" t="s">
        <v>7768</v>
      </c>
      <c r="M166">
        <f t="shared" si="2"/>
        <v>1</v>
      </c>
    </row>
    <row r="167" spans="1:13" x14ac:dyDescent="0.25">
      <c r="A167" t="s">
        <v>7852</v>
      </c>
      <c r="B167" t="s">
        <v>2585</v>
      </c>
      <c r="C167" t="s">
        <v>2584</v>
      </c>
      <c r="D167" t="s">
        <v>1101</v>
      </c>
      <c r="E167" t="s">
        <v>1912</v>
      </c>
      <c r="F167" t="s">
        <v>2583</v>
      </c>
      <c r="G167" t="s">
        <v>2579</v>
      </c>
      <c r="H167" t="s">
        <v>2578</v>
      </c>
      <c r="I167" t="s">
        <v>218</v>
      </c>
      <c r="J167" t="s">
        <v>218</v>
      </c>
      <c r="K167" t="str">
        <f>IF(ISERROR(VLOOKUP(A167,GamesTable[game_id],1,0)),"not found","found")</f>
        <v>found</v>
      </c>
      <c r="L167" t="s">
        <v>7768</v>
      </c>
      <c r="M167">
        <f t="shared" si="2"/>
        <v>1</v>
      </c>
    </row>
    <row r="168" spans="1:13" x14ac:dyDescent="0.25">
      <c r="A168" t="s">
        <v>7853</v>
      </c>
      <c r="B168" t="s">
        <v>3736</v>
      </c>
      <c r="C168" t="s">
        <v>3735</v>
      </c>
      <c r="D168" t="s">
        <v>1280</v>
      </c>
      <c r="E168" t="s">
        <v>1859</v>
      </c>
      <c r="F168" t="s">
        <v>3734</v>
      </c>
      <c r="G168" t="s">
        <v>3730</v>
      </c>
      <c r="H168" t="s">
        <v>3729</v>
      </c>
      <c r="I168" t="s">
        <v>106</v>
      </c>
      <c r="J168" t="s">
        <v>218</v>
      </c>
      <c r="K168" t="str">
        <f>IF(ISERROR(VLOOKUP(A168,GamesTable[game_id],1,0)),"not found","found")</f>
        <v>found</v>
      </c>
      <c r="L168" t="s">
        <v>7768</v>
      </c>
      <c r="M168">
        <f t="shared" si="2"/>
        <v>1</v>
      </c>
    </row>
    <row r="169" spans="1:13" x14ac:dyDescent="0.25">
      <c r="A169" t="s">
        <v>7854</v>
      </c>
      <c r="B169" t="s">
        <v>3851</v>
      </c>
      <c r="C169" t="s">
        <v>3850</v>
      </c>
      <c r="D169" t="s">
        <v>1280</v>
      </c>
      <c r="E169" t="s">
        <v>1859</v>
      </c>
      <c r="F169" t="s">
        <v>3849</v>
      </c>
      <c r="G169" t="s">
        <v>3845</v>
      </c>
      <c r="H169" t="s">
        <v>7768</v>
      </c>
      <c r="I169" t="s">
        <v>106</v>
      </c>
      <c r="J169" t="s">
        <v>218</v>
      </c>
      <c r="K169" t="str">
        <f>IF(ISERROR(VLOOKUP(A169,GamesTable[game_id],1,0)),"not found","found")</f>
        <v>found</v>
      </c>
      <c r="L169" t="s">
        <v>7768</v>
      </c>
      <c r="M169">
        <f t="shared" si="2"/>
        <v>1</v>
      </c>
    </row>
    <row r="170" spans="1:13" x14ac:dyDescent="0.25">
      <c r="A170" t="s">
        <v>7855</v>
      </c>
      <c r="B170" t="s">
        <v>3563</v>
      </c>
      <c r="C170" t="s">
        <v>3562</v>
      </c>
      <c r="D170" t="s">
        <v>1280</v>
      </c>
      <c r="E170" t="s">
        <v>3275</v>
      </c>
      <c r="F170" t="s">
        <v>3561</v>
      </c>
      <c r="G170" t="s">
        <v>3557</v>
      </c>
      <c r="H170" t="s">
        <v>3553</v>
      </c>
      <c r="I170" t="s">
        <v>218</v>
      </c>
      <c r="J170" t="s">
        <v>218</v>
      </c>
      <c r="K170" t="str">
        <f>IF(ISERROR(VLOOKUP(A170,GamesTable[game_id],1,0)),"not found","found")</f>
        <v>found</v>
      </c>
      <c r="L170" t="s">
        <v>7768</v>
      </c>
      <c r="M170">
        <f t="shared" si="2"/>
        <v>1</v>
      </c>
    </row>
    <row r="171" spans="1:13" x14ac:dyDescent="0.25">
      <c r="A171" t="s">
        <v>7849</v>
      </c>
      <c r="B171" t="s">
        <v>7345</v>
      </c>
      <c r="C171" t="s">
        <v>7357</v>
      </c>
      <c r="D171" t="s">
        <v>3906</v>
      </c>
      <c r="E171" t="s">
        <v>5638</v>
      </c>
      <c r="F171" t="s">
        <v>7356</v>
      </c>
      <c r="G171" t="s">
        <v>7352</v>
      </c>
      <c r="H171" t="s">
        <v>7340</v>
      </c>
      <c r="I171" t="s">
        <v>106</v>
      </c>
      <c r="J171" t="s">
        <v>218</v>
      </c>
      <c r="K171" t="str">
        <f>IF(ISERROR(VLOOKUP(A171,GamesTable[game_id],1,0)),"not found","found")</f>
        <v>found</v>
      </c>
      <c r="L171" t="s">
        <v>7768</v>
      </c>
      <c r="M171">
        <f t="shared" si="2"/>
        <v>2</v>
      </c>
    </row>
    <row r="172" spans="1:13" hidden="1" x14ac:dyDescent="0.25">
      <c r="A172" t="s">
        <v>7849</v>
      </c>
      <c r="B172" t="s">
        <v>7351</v>
      </c>
      <c r="C172" t="s">
        <v>7350</v>
      </c>
      <c r="D172" t="s">
        <v>3906</v>
      </c>
      <c r="E172" t="s">
        <v>5638</v>
      </c>
      <c r="F172" t="s">
        <v>7349</v>
      </c>
      <c r="G172" t="s">
        <v>7344</v>
      </c>
      <c r="H172" t="s">
        <v>7340</v>
      </c>
      <c r="I172" t="s">
        <v>35</v>
      </c>
      <c r="J172" t="s">
        <v>218</v>
      </c>
      <c r="K172" t="str">
        <f>IF(ISERROR(VLOOKUP(A172,GamesTable[game_id],1,0)),"not found","found")</f>
        <v>found</v>
      </c>
      <c r="L172" t="s">
        <v>9753</v>
      </c>
      <c r="M172">
        <f t="shared" si="2"/>
        <v>2</v>
      </c>
    </row>
    <row r="173" spans="1:13" x14ac:dyDescent="0.25">
      <c r="A173" t="s">
        <v>7857</v>
      </c>
      <c r="B173" t="s">
        <v>3772</v>
      </c>
      <c r="C173" t="s">
        <v>3771</v>
      </c>
      <c r="D173" t="s">
        <v>1280</v>
      </c>
      <c r="E173" t="s">
        <v>3770</v>
      </c>
      <c r="F173" t="s">
        <v>3769</v>
      </c>
      <c r="G173" t="s">
        <v>3765</v>
      </c>
      <c r="H173" t="s">
        <v>3764</v>
      </c>
      <c r="I173" t="s">
        <v>218</v>
      </c>
      <c r="J173" t="s">
        <v>218</v>
      </c>
      <c r="K173" t="str">
        <f>IF(ISERROR(VLOOKUP(A173,GamesTable[game_id],1,0)),"not found","found")</f>
        <v>found</v>
      </c>
      <c r="L173" t="s">
        <v>7768</v>
      </c>
      <c r="M173">
        <f t="shared" si="2"/>
        <v>1</v>
      </c>
    </row>
    <row r="174" spans="1:13" x14ac:dyDescent="0.25">
      <c r="A174" t="s">
        <v>7858</v>
      </c>
      <c r="B174" t="s">
        <v>5018</v>
      </c>
      <c r="C174" t="s">
        <v>5017</v>
      </c>
      <c r="D174" t="s">
        <v>393</v>
      </c>
      <c r="E174" t="s">
        <v>5016</v>
      </c>
      <c r="F174" t="s">
        <v>5015</v>
      </c>
      <c r="G174" t="s">
        <v>5011</v>
      </c>
      <c r="H174" t="s">
        <v>5007</v>
      </c>
      <c r="I174" t="s">
        <v>106</v>
      </c>
      <c r="J174" t="s">
        <v>218</v>
      </c>
      <c r="K174" t="str">
        <f>IF(ISERROR(VLOOKUP(A174,GamesTable[game_id],1,0)),"not found","found")</f>
        <v>found</v>
      </c>
      <c r="L174" t="s">
        <v>7768</v>
      </c>
      <c r="M174">
        <f t="shared" si="2"/>
        <v>1</v>
      </c>
    </row>
    <row r="175" spans="1:13" x14ac:dyDescent="0.25">
      <c r="A175" t="s">
        <v>7859</v>
      </c>
      <c r="B175" t="s">
        <v>2456</v>
      </c>
      <c r="C175" t="s">
        <v>2455</v>
      </c>
      <c r="D175" t="s">
        <v>1053</v>
      </c>
      <c r="E175" t="s">
        <v>2454</v>
      </c>
      <c r="F175" t="s">
        <v>2453</v>
      </c>
      <c r="G175" t="s">
        <v>7768</v>
      </c>
      <c r="H175" t="s">
        <v>2449</v>
      </c>
      <c r="I175" t="s">
        <v>106</v>
      </c>
      <c r="J175" t="s">
        <v>218</v>
      </c>
      <c r="K175" t="str">
        <f>IF(ISERROR(VLOOKUP(A175,GamesTable[game_id],1,0)),"not found","found")</f>
        <v>found</v>
      </c>
      <c r="L175" t="s">
        <v>7768</v>
      </c>
      <c r="M175">
        <f t="shared" si="2"/>
        <v>1</v>
      </c>
    </row>
    <row r="176" spans="1:13" x14ac:dyDescent="0.25">
      <c r="A176" t="s">
        <v>7856</v>
      </c>
      <c r="B176" t="s">
        <v>955</v>
      </c>
      <c r="C176" t="s">
        <v>1837</v>
      </c>
      <c r="D176" t="s">
        <v>113</v>
      </c>
      <c r="E176" t="s">
        <v>1836</v>
      </c>
      <c r="F176" t="s">
        <v>1835</v>
      </c>
      <c r="G176" t="s">
        <v>7768</v>
      </c>
      <c r="H176" t="s">
        <v>1830</v>
      </c>
      <c r="I176" t="s">
        <v>106</v>
      </c>
      <c r="J176" t="s">
        <v>218</v>
      </c>
      <c r="K176" t="str">
        <f>IF(ISERROR(VLOOKUP(A176,GamesTable[game_id],1,0)),"not found","found")</f>
        <v>found</v>
      </c>
      <c r="L176" t="s">
        <v>7768</v>
      </c>
      <c r="M176">
        <f t="shared" si="2"/>
        <v>2</v>
      </c>
    </row>
    <row r="177" spans="1:13" hidden="1" x14ac:dyDescent="0.25">
      <c r="A177" t="s">
        <v>7856</v>
      </c>
      <c r="B177" t="s">
        <v>961</v>
      </c>
      <c r="C177" t="s">
        <v>960</v>
      </c>
      <c r="D177" t="s">
        <v>959</v>
      </c>
      <c r="E177" t="s">
        <v>194</v>
      </c>
      <c r="F177" t="s">
        <v>7768</v>
      </c>
      <c r="G177" t="s">
        <v>7768</v>
      </c>
      <c r="H177" t="s">
        <v>7768</v>
      </c>
      <c r="I177" t="s">
        <v>106</v>
      </c>
      <c r="J177" t="s">
        <v>218</v>
      </c>
      <c r="K177" t="str">
        <f>IF(ISERROR(VLOOKUP(A177,GamesTable[game_id],1,0)),"not found","found")</f>
        <v>found</v>
      </c>
      <c r="L177" t="s">
        <v>9753</v>
      </c>
      <c r="M177">
        <f t="shared" si="2"/>
        <v>2</v>
      </c>
    </row>
    <row r="178" spans="1:13" x14ac:dyDescent="0.25">
      <c r="A178" t="s">
        <v>7861</v>
      </c>
      <c r="B178" t="s">
        <v>3472</v>
      </c>
      <c r="C178" t="s">
        <v>3471</v>
      </c>
      <c r="D178" t="s">
        <v>1280</v>
      </c>
      <c r="E178" t="s">
        <v>2520</v>
      </c>
      <c r="F178" t="s">
        <v>3470</v>
      </c>
      <c r="G178" t="s">
        <v>7768</v>
      </c>
      <c r="H178" t="s">
        <v>3466</v>
      </c>
      <c r="I178" t="s">
        <v>106</v>
      </c>
      <c r="J178" t="s">
        <v>218</v>
      </c>
      <c r="K178" t="str">
        <f>IF(ISERROR(VLOOKUP(A178,GamesTable[game_id],1,0)),"not found","found")</f>
        <v>found</v>
      </c>
      <c r="L178" t="s">
        <v>7768</v>
      </c>
      <c r="M178">
        <f t="shared" si="2"/>
        <v>1</v>
      </c>
    </row>
    <row r="179" spans="1:13" x14ac:dyDescent="0.25">
      <c r="A179" t="s">
        <v>7860</v>
      </c>
      <c r="B179" t="s">
        <v>389</v>
      </c>
      <c r="C179" t="s">
        <v>4647</v>
      </c>
      <c r="D179" t="s">
        <v>393</v>
      </c>
      <c r="E179" t="s">
        <v>4646</v>
      </c>
      <c r="F179" t="s">
        <v>4645</v>
      </c>
      <c r="G179" t="s">
        <v>4641</v>
      </c>
      <c r="H179" t="s">
        <v>4639</v>
      </c>
      <c r="I179" t="s">
        <v>106</v>
      </c>
      <c r="J179" t="s">
        <v>218</v>
      </c>
      <c r="K179" t="str">
        <f>IF(ISERROR(VLOOKUP(A179,GamesTable[game_id],1,0)),"not found","found")</f>
        <v>found</v>
      </c>
      <c r="L179" t="s">
        <v>7768</v>
      </c>
      <c r="M179">
        <f t="shared" si="2"/>
        <v>2</v>
      </c>
    </row>
    <row r="180" spans="1:13" hidden="1" x14ac:dyDescent="0.25">
      <c r="A180" t="s">
        <v>7860</v>
      </c>
      <c r="B180" t="s">
        <v>395</v>
      </c>
      <c r="C180" t="s">
        <v>394</v>
      </c>
      <c r="D180" t="s">
        <v>393</v>
      </c>
      <c r="E180" t="s">
        <v>194</v>
      </c>
      <c r="F180" t="s">
        <v>7768</v>
      </c>
      <c r="G180" t="s">
        <v>7768</v>
      </c>
      <c r="H180" t="s">
        <v>7768</v>
      </c>
      <c r="I180" t="s">
        <v>106</v>
      </c>
      <c r="J180" t="s">
        <v>218</v>
      </c>
      <c r="K180" t="str">
        <f>IF(ISERROR(VLOOKUP(A180,GamesTable[game_id],1,0)),"not found","found")</f>
        <v>found</v>
      </c>
      <c r="L180" t="s">
        <v>9753</v>
      </c>
      <c r="M180">
        <f t="shared" si="2"/>
        <v>2</v>
      </c>
    </row>
    <row r="181" spans="1:13" x14ac:dyDescent="0.25">
      <c r="A181" t="s">
        <v>7863</v>
      </c>
      <c r="B181" t="s">
        <v>2931</v>
      </c>
      <c r="C181" t="s">
        <v>2930</v>
      </c>
      <c r="D181" t="s">
        <v>1145</v>
      </c>
      <c r="E181" t="s">
        <v>2929</v>
      </c>
      <c r="F181" t="s">
        <v>2928</v>
      </c>
      <c r="G181" t="s">
        <v>7768</v>
      </c>
      <c r="H181" t="s">
        <v>2924</v>
      </c>
      <c r="I181" t="s">
        <v>106</v>
      </c>
      <c r="J181" t="s">
        <v>218</v>
      </c>
      <c r="K181" t="str">
        <f>IF(ISERROR(VLOOKUP(A181,GamesTable[game_id],1,0)),"not found","found")</f>
        <v>found</v>
      </c>
      <c r="L181" t="s">
        <v>7768</v>
      </c>
      <c r="M181">
        <f t="shared" si="2"/>
        <v>1</v>
      </c>
    </row>
    <row r="182" spans="1:13" x14ac:dyDescent="0.25">
      <c r="A182" t="s">
        <v>7864</v>
      </c>
      <c r="B182" t="s">
        <v>2003</v>
      </c>
      <c r="C182" t="s">
        <v>2002</v>
      </c>
      <c r="D182" t="s">
        <v>1053</v>
      </c>
      <c r="E182" t="s">
        <v>2001</v>
      </c>
      <c r="F182" t="s">
        <v>2000</v>
      </c>
      <c r="G182" t="s">
        <v>1995</v>
      </c>
      <c r="H182" t="s">
        <v>1991</v>
      </c>
      <c r="I182" t="s">
        <v>106</v>
      </c>
      <c r="J182" t="s">
        <v>218</v>
      </c>
      <c r="K182" t="str">
        <f>IF(ISERROR(VLOOKUP(A182,GamesTable[game_id],1,0)),"not found","found")</f>
        <v>found</v>
      </c>
      <c r="L182" t="s">
        <v>7768</v>
      </c>
      <c r="M182">
        <f t="shared" si="2"/>
        <v>1</v>
      </c>
    </row>
    <row r="183" spans="1:13" x14ac:dyDescent="0.25">
      <c r="A183" t="s">
        <v>7865</v>
      </c>
      <c r="B183" t="s">
        <v>5086</v>
      </c>
      <c r="C183" t="s">
        <v>5085</v>
      </c>
      <c r="D183" t="s">
        <v>393</v>
      </c>
      <c r="E183" t="s">
        <v>2929</v>
      </c>
      <c r="F183" t="s">
        <v>5084</v>
      </c>
      <c r="G183" t="s">
        <v>5080</v>
      </c>
      <c r="H183" t="s">
        <v>5076</v>
      </c>
      <c r="I183" t="s">
        <v>106</v>
      </c>
      <c r="J183" t="s">
        <v>218</v>
      </c>
      <c r="K183" t="str">
        <f>IF(ISERROR(VLOOKUP(A183,GamesTable[game_id],1,0)),"not found","found")</f>
        <v>found</v>
      </c>
      <c r="L183" t="s">
        <v>7768</v>
      </c>
      <c r="M183">
        <f t="shared" si="2"/>
        <v>1</v>
      </c>
    </row>
    <row r="184" spans="1:13" x14ac:dyDescent="0.25">
      <c r="A184" t="s">
        <v>7866</v>
      </c>
      <c r="B184" t="s">
        <v>4349</v>
      </c>
      <c r="C184" t="s">
        <v>4348</v>
      </c>
      <c r="D184" t="s">
        <v>1239</v>
      </c>
      <c r="E184" t="s">
        <v>4347</v>
      </c>
      <c r="F184" t="s">
        <v>4346</v>
      </c>
      <c r="G184" t="s">
        <v>4342</v>
      </c>
      <c r="H184" t="s">
        <v>4338</v>
      </c>
      <c r="I184" t="s">
        <v>218</v>
      </c>
      <c r="J184" t="s">
        <v>218</v>
      </c>
      <c r="K184" t="str">
        <f>IF(ISERROR(VLOOKUP(A184,GamesTable[game_id],1,0)),"not found","found")</f>
        <v>found</v>
      </c>
      <c r="L184" t="s">
        <v>7768</v>
      </c>
      <c r="M184">
        <f t="shared" si="2"/>
        <v>1</v>
      </c>
    </row>
    <row r="185" spans="1:13" x14ac:dyDescent="0.25">
      <c r="A185" t="s">
        <v>7867</v>
      </c>
      <c r="B185" t="s">
        <v>2982</v>
      </c>
      <c r="C185" t="s">
        <v>2981</v>
      </c>
      <c r="D185" t="s">
        <v>1145</v>
      </c>
      <c r="E185" t="s">
        <v>1859</v>
      </c>
      <c r="F185" t="s">
        <v>2980</v>
      </c>
      <c r="G185" t="s">
        <v>7768</v>
      </c>
      <c r="H185" t="s">
        <v>2975</v>
      </c>
      <c r="I185" t="s">
        <v>106</v>
      </c>
      <c r="J185" t="s">
        <v>218</v>
      </c>
      <c r="K185" t="str">
        <f>IF(ISERROR(VLOOKUP(A185,GamesTable[game_id],1,0)),"not found","found")</f>
        <v>found</v>
      </c>
      <c r="L185" t="s">
        <v>7768</v>
      </c>
      <c r="M185">
        <f t="shared" si="2"/>
        <v>1</v>
      </c>
    </row>
    <row r="186" spans="1:13" x14ac:dyDescent="0.25">
      <c r="A186" t="s">
        <v>7868</v>
      </c>
      <c r="B186" t="s">
        <v>2976</v>
      </c>
      <c r="C186" t="s">
        <v>3918</v>
      </c>
      <c r="D186" t="s">
        <v>1239</v>
      </c>
      <c r="E186" t="s">
        <v>1859</v>
      </c>
      <c r="F186" t="s">
        <v>3917</v>
      </c>
      <c r="G186" t="s">
        <v>3913</v>
      </c>
      <c r="H186" t="s">
        <v>3909</v>
      </c>
      <c r="I186" t="s">
        <v>106</v>
      </c>
      <c r="J186" t="s">
        <v>218</v>
      </c>
      <c r="K186" t="str">
        <f>IF(ISERROR(VLOOKUP(A186,GamesTable[game_id],1,0)),"not found","found")</f>
        <v>found</v>
      </c>
      <c r="L186" t="s">
        <v>7768</v>
      </c>
      <c r="M186">
        <f t="shared" si="2"/>
        <v>1</v>
      </c>
    </row>
    <row r="187" spans="1:13" x14ac:dyDescent="0.25">
      <c r="A187" t="s">
        <v>7869</v>
      </c>
      <c r="B187" t="s">
        <v>6084</v>
      </c>
      <c r="C187" t="s">
        <v>6083</v>
      </c>
      <c r="D187" t="s">
        <v>5639</v>
      </c>
      <c r="E187" t="s">
        <v>1912</v>
      </c>
      <c r="F187" t="s">
        <v>6082</v>
      </c>
      <c r="G187" t="s">
        <v>6078</v>
      </c>
      <c r="H187" t="s">
        <v>6074</v>
      </c>
      <c r="I187" t="s">
        <v>218</v>
      </c>
      <c r="J187" t="s">
        <v>218</v>
      </c>
      <c r="K187" t="str">
        <f>IF(ISERROR(VLOOKUP(A187,GamesTable[game_id],1,0)),"not found","found")</f>
        <v>found</v>
      </c>
      <c r="L187" t="s">
        <v>7768</v>
      </c>
      <c r="M187">
        <f t="shared" si="2"/>
        <v>1</v>
      </c>
    </row>
    <row r="188" spans="1:13" x14ac:dyDescent="0.25">
      <c r="A188" t="s">
        <v>7862</v>
      </c>
      <c r="B188" t="s">
        <v>1597</v>
      </c>
      <c r="C188" t="s">
        <v>1610</v>
      </c>
      <c r="D188" t="s">
        <v>195</v>
      </c>
      <c r="E188" t="s">
        <v>1603</v>
      </c>
      <c r="F188" t="s">
        <v>1602</v>
      </c>
      <c r="G188" t="s">
        <v>1596</v>
      </c>
      <c r="H188" t="s">
        <v>1595</v>
      </c>
      <c r="I188" t="s">
        <v>106</v>
      </c>
      <c r="J188" t="s">
        <v>218</v>
      </c>
      <c r="K188" t="str">
        <f>IF(ISERROR(VLOOKUP(A188,GamesTable[game_id],1,0)),"not found","found")</f>
        <v>found</v>
      </c>
      <c r="L188" t="s">
        <v>7768</v>
      </c>
      <c r="M188">
        <f t="shared" si="2"/>
        <v>2</v>
      </c>
    </row>
    <row r="189" spans="1:13" hidden="1" x14ac:dyDescent="0.25">
      <c r="A189" t="s">
        <v>7862</v>
      </c>
      <c r="B189" t="s">
        <v>1605</v>
      </c>
      <c r="C189" t="s">
        <v>1604</v>
      </c>
      <c r="D189" t="s">
        <v>195</v>
      </c>
      <c r="E189" t="s">
        <v>1603</v>
      </c>
      <c r="F189" t="s">
        <v>1602</v>
      </c>
      <c r="G189" t="s">
        <v>1596</v>
      </c>
      <c r="H189" t="s">
        <v>1595</v>
      </c>
      <c r="I189" t="s">
        <v>106</v>
      </c>
      <c r="J189" t="s">
        <v>218</v>
      </c>
      <c r="K189" t="str">
        <f>IF(ISERROR(VLOOKUP(A189,GamesTable[game_id],1,0)),"not found","found")</f>
        <v>found</v>
      </c>
      <c r="L189" t="s">
        <v>9753</v>
      </c>
      <c r="M189">
        <f t="shared" si="2"/>
        <v>2</v>
      </c>
    </row>
    <row r="190" spans="1:13" x14ac:dyDescent="0.25">
      <c r="A190" t="s">
        <v>7870</v>
      </c>
      <c r="B190" t="s">
        <v>6719</v>
      </c>
      <c r="C190" t="s">
        <v>6747</v>
      </c>
      <c r="D190" t="s">
        <v>6279</v>
      </c>
      <c r="E190" t="s">
        <v>1912</v>
      </c>
      <c r="F190" t="s">
        <v>6746</v>
      </c>
      <c r="G190" t="s">
        <v>6552</v>
      </c>
      <c r="H190" t="s">
        <v>6739</v>
      </c>
      <c r="I190" t="s">
        <v>218</v>
      </c>
      <c r="J190" t="s">
        <v>218</v>
      </c>
      <c r="K190" t="str">
        <f>IF(ISERROR(VLOOKUP(A190,GamesTable[game_id],1,0)),"not found","found")</f>
        <v>found</v>
      </c>
      <c r="L190" t="s">
        <v>7768</v>
      </c>
      <c r="M190">
        <f t="shared" si="2"/>
        <v>2</v>
      </c>
    </row>
    <row r="191" spans="1:13" hidden="1" x14ac:dyDescent="0.25">
      <c r="A191" t="s">
        <v>7870</v>
      </c>
      <c r="B191" t="s">
        <v>6726</v>
      </c>
      <c r="C191" t="s">
        <v>6725</v>
      </c>
      <c r="D191" t="s">
        <v>1239</v>
      </c>
      <c r="E191" t="s">
        <v>6724</v>
      </c>
      <c r="F191" t="s">
        <v>7768</v>
      </c>
      <c r="G191" t="s">
        <v>7768</v>
      </c>
      <c r="H191" t="s">
        <v>6723</v>
      </c>
      <c r="I191" t="s">
        <v>106</v>
      </c>
      <c r="J191" t="s">
        <v>218</v>
      </c>
      <c r="K191" t="str">
        <f>IF(ISERROR(VLOOKUP(A191,GamesTable[game_id],1,0)),"not found","found")</f>
        <v>found</v>
      </c>
      <c r="L191" t="s">
        <v>9753</v>
      </c>
      <c r="M191">
        <f t="shared" si="2"/>
        <v>2</v>
      </c>
    </row>
    <row r="192" spans="1:13" x14ac:dyDescent="0.25">
      <c r="A192" t="s">
        <v>7872</v>
      </c>
      <c r="B192" t="s">
        <v>3516</v>
      </c>
      <c r="C192" t="s">
        <v>3515</v>
      </c>
      <c r="D192" t="s">
        <v>1280</v>
      </c>
      <c r="E192" t="s">
        <v>2520</v>
      </c>
      <c r="F192" t="s">
        <v>3514</v>
      </c>
      <c r="G192" t="s">
        <v>3510</v>
      </c>
      <c r="H192" t="s">
        <v>3509</v>
      </c>
      <c r="I192" t="s">
        <v>218</v>
      </c>
      <c r="J192" t="s">
        <v>218</v>
      </c>
      <c r="K192" t="str">
        <f>IF(ISERROR(VLOOKUP(A192,GamesTable[game_id],1,0)),"not found","found")</f>
        <v>found</v>
      </c>
      <c r="L192" t="s">
        <v>7768</v>
      </c>
      <c r="M192">
        <f t="shared" si="2"/>
        <v>1</v>
      </c>
    </row>
    <row r="193" spans="1:13" x14ac:dyDescent="0.25">
      <c r="A193" t="s">
        <v>7871</v>
      </c>
      <c r="B193" t="s">
        <v>4761</v>
      </c>
      <c r="C193" t="s">
        <v>4800</v>
      </c>
      <c r="D193" t="s">
        <v>1239</v>
      </c>
      <c r="E193" t="s">
        <v>4799</v>
      </c>
      <c r="F193" t="s">
        <v>4798</v>
      </c>
      <c r="G193" t="s">
        <v>4794</v>
      </c>
      <c r="H193" t="s">
        <v>4790</v>
      </c>
      <c r="I193" t="s">
        <v>218</v>
      </c>
      <c r="J193" t="s">
        <v>218</v>
      </c>
      <c r="K193" t="str">
        <f>IF(ISERROR(VLOOKUP(A193,GamesTable[game_id],1,0)),"not found","found")</f>
        <v>found</v>
      </c>
      <c r="L193" t="s">
        <v>7768</v>
      </c>
      <c r="M193">
        <f t="shared" si="2"/>
        <v>2</v>
      </c>
    </row>
    <row r="194" spans="1:13" hidden="1" x14ac:dyDescent="0.25">
      <c r="A194" t="s">
        <v>7871</v>
      </c>
      <c r="B194" t="s">
        <v>4768</v>
      </c>
      <c r="C194" t="s">
        <v>4767</v>
      </c>
      <c r="D194" t="s">
        <v>1280</v>
      </c>
      <c r="E194" t="s">
        <v>4766</v>
      </c>
      <c r="F194" t="s">
        <v>7768</v>
      </c>
      <c r="G194" t="s">
        <v>7768</v>
      </c>
      <c r="H194" t="s">
        <v>4765</v>
      </c>
      <c r="I194" t="s">
        <v>106</v>
      </c>
      <c r="J194" t="s">
        <v>218</v>
      </c>
      <c r="K194" t="str">
        <f>IF(ISERROR(VLOOKUP(A194,GamesTable[game_id],1,0)),"not found","found")</f>
        <v>found</v>
      </c>
      <c r="L194" t="s">
        <v>9753</v>
      </c>
      <c r="M194">
        <f t="shared" ref="M194:M257" si="3">COUNTIF(A:A,A194)</f>
        <v>2</v>
      </c>
    </row>
    <row r="195" spans="1:13" x14ac:dyDescent="0.25">
      <c r="A195" t="s">
        <v>7873</v>
      </c>
      <c r="B195" t="s">
        <v>4115</v>
      </c>
      <c r="C195" t="s">
        <v>4135</v>
      </c>
      <c r="D195" t="s">
        <v>1239</v>
      </c>
      <c r="E195" t="s">
        <v>1912</v>
      </c>
      <c r="F195" t="s">
        <v>4119</v>
      </c>
      <c r="G195" t="s">
        <v>4114</v>
      </c>
      <c r="H195" t="s">
        <v>4110</v>
      </c>
      <c r="I195" t="s">
        <v>218</v>
      </c>
      <c r="J195" t="s">
        <v>218</v>
      </c>
      <c r="K195" t="str">
        <f>IF(ISERROR(VLOOKUP(A195,GamesTable[game_id],1,0)),"not found","found")</f>
        <v>found</v>
      </c>
      <c r="L195" t="s">
        <v>7768</v>
      </c>
      <c r="M195">
        <f t="shared" si="3"/>
        <v>4</v>
      </c>
    </row>
    <row r="196" spans="1:13" hidden="1" x14ac:dyDescent="0.25">
      <c r="A196" t="s">
        <v>7873</v>
      </c>
      <c r="B196" t="s">
        <v>4134</v>
      </c>
      <c r="C196" t="s">
        <v>4133</v>
      </c>
      <c r="D196" t="s">
        <v>1239</v>
      </c>
      <c r="E196" t="s">
        <v>1912</v>
      </c>
      <c r="F196" t="s">
        <v>4119</v>
      </c>
      <c r="G196" t="s">
        <v>4114</v>
      </c>
      <c r="H196" t="s">
        <v>4110</v>
      </c>
      <c r="I196" t="s">
        <v>106</v>
      </c>
      <c r="J196" t="s">
        <v>218</v>
      </c>
      <c r="K196" t="str">
        <f>IF(ISERROR(VLOOKUP(A196,GamesTable[game_id],1,0)),"not found","found")</f>
        <v>found</v>
      </c>
      <c r="L196" t="s">
        <v>9753</v>
      </c>
      <c r="M196">
        <f t="shared" si="3"/>
        <v>4</v>
      </c>
    </row>
    <row r="197" spans="1:13" hidden="1" x14ac:dyDescent="0.25">
      <c r="A197" t="s">
        <v>7873</v>
      </c>
      <c r="B197" t="s">
        <v>4121</v>
      </c>
      <c r="C197" t="s">
        <v>4120</v>
      </c>
      <c r="D197" t="s">
        <v>1239</v>
      </c>
      <c r="E197" t="s">
        <v>1912</v>
      </c>
      <c r="F197" t="s">
        <v>4119</v>
      </c>
      <c r="G197" t="s">
        <v>4114</v>
      </c>
      <c r="H197" t="s">
        <v>4110</v>
      </c>
      <c r="I197" t="s">
        <v>218</v>
      </c>
      <c r="J197" t="s">
        <v>218</v>
      </c>
      <c r="K197" t="str">
        <f>IF(ISERROR(VLOOKUP(A197,GamesTable[game_id],1,0)),"not found","found")</f>
        <v>found</v>
      </c>
      <c r="L197" t="s">
        <v>9753</v>
      </c>
      <c r="M197">
        <f t="shared" si="3"/>
        <v>4</v>
      </c>
    </row>
    <row r="198" spans="1:13" hidden="1" x14ac:dyDescent="0.25">
      <c r="A198" t="s">
        <v>7873</v>
      </c>
      <c r="B198" t="s">
        <v>4126</v>
      </c>
      <c r="C198" t="s">
        <v>4125</v>
      </c>
      <c r="D198" t="s">
        <v>1239</v>
      </c>
      <c r="E198" t="s">
        <v>1912</v>
      </c>
      <c r="F198" t="s">
        <v>4119</v>
      </c>
      <c r="G198" t="s">
        <v>4114</v>
      </c>
      <c r="H198" t="s">
        <v>4110</v>
      </c>
      <c r="I198" t="s">
        <v>218</v>
      </c>
      <c r="J198" t="s">
        <v>218</v>
      </c>
      <c r="K198" t="str">
        <f>IF(ISERROR(VLOOKUP(A198,GamesTable[game_id],1,0)),"not found","found")</f>
        <v>found</v>
      </c>
      <c r="L198" t="s">
        <v>9753</v>
      </c>
      <c r="M198">
        <f t="shared" si="3"/>
        <v>4</v>
      </c>
    </row>
    <row r="199" spans="1:13" x14ac:dyDescent="0.25">
      <c r="A199" t="s">
        <v>7874</v>
      </c>
      <c r="B199" t="s">
        <v>2789</v>
      </c>
      <c r="C199" t="s">
        <v>2808</v>
      </c>
      <c r="D199" t="s">
        <v>1101</v>
      </c>
      <c r="E199" t="s">
        <v>1912</v>
      </c>
      <c r="F199" t="s">
        <v>2807</v>
      </c>
      <c r="G199" t="s">
        <v>2803</v>
      </c>
      <c r="H199" t="s">
        <v>2795</v>
      </c>
      <c r="I199" t="s">
        <v>106</v>
      </c>
      <c r="J199" t="s">
        <v>218</v>
      </c>
      <c r="K199" t="str">
        <f>IF(ISERROR(VLOOKUP(A199,GamesTable[game_id],1,0)),"not found","found")</f>
        <v>found</v>
      </c>
      <c r="L199" t="s">
        <v>7768</v>
      </c>
      <c r="M199">
        <f t="shared" si="3"/>
        <v>3</v>
      </c>
    </row>
    <row r="200" spans="1:13" hidden="1" x14ac:dyDescent="0.25">
      <c r="A200" t="s">
        <v>7874</v>
      </c>
      <c r="B200" t="s">
        <v>2802</v>
      </c>
      <c r="C200" t="s">
        <v>2801</v>
      </c>
      <c r="D200" t="s">
        <v>1101</v>
      </c>
      <c r="E200" t="s">
        <v>1912</v>
      </c>
      <c r="F200" t="s">
        <v>2800</v>
      </c>
      <c r="G200" t="s">
        <v>2796</v>
      </c>
      <c r="H200" t="s">
        <v>2795</v>
      </c>
      <c r="I200" t="s">
        <v>35</v>
      </c>
      <c r="J200" t="s">
        <v>218</v>
      </c>
      <c r="K200" t="str">
        <f>IF(ISERROR(VLOOKUP(A200,GamesTable[game_id],1,0)),"not found","found")</f>
        <v>found</v>
      </c>
      <c r="L200" t="s">
        <v>9753</v>
      </c>
      <c r="M200">
        <f t="shared" si="3"/>
        <v>3</v>
      </c>
    </row>
    <row r="201" spans="1:13" hidden="1" x14ac:dyDescent="0.25">
      <c r="A201" t="s">
        <v>7874</v>
      </c>
      <c r="B201" t="s">
        <v>2794</v>
      </c>
      <c r="C201" t="s">
        <v>2793</v>
      </c>
      <c r="D201" t="s">
        <v>1101</v>
      </c>
      <c r="E201" t="s">
        <v>1912</v>
      </c>
      <c r="F201" t="s">
        <v>7768</v>
      </c>
      <c r="G201" t="s">
        <v>7768</v>
      </c>
      <c r="H201" t="s">
        <v>7768</v>
      </c>
      <c r="I201" t="s">
        <v>106</v>
      </c>
      <c r="J201" t="s">
        <v>218</v>
      </c>
      <c r="K201" t="str">
        <f>IF(ISERROR(VLOOKUP(A201,GamesTable[game_id],1,0)),"not found","found")</f>
        <v>found</v>
      </c>
      <c r="L201" t="s">
        <v>9753</v>
      </c>
      <c r="M201">
        <f t="shared" si="3"/>
        <v>3</v>
      </c>
    </row>
    <row r="202" spans="1:13" x14ac:dyDescent="0.25">
      <c r="A202" t="s">
        <v>7875</v>
      </c>
      <c r="B202" t="s">
        <v>3320</v>
      </c>
      <c r="C202" t="s">
        <v>3332</v>
      </c>
      <c r="D202" t="s">
        <v>1280</v>
      </c>
      <c r="E202" t="s">
        <v>1912</v>
      </c>
      <c r="F202" t="s">
        <v>3331</v>
      </c>
      <c r="G202" t="s">
        <v>3327</v>
      </c>
      <c r="H202" t="s">
        <v>3326</v>
      </c>
      <c r="I202" t="s">
        <v>218</v>
      </c>
      <c r="J202" t="s">
        <v>218</v>
      </c>
      <c r="K202" t="str">
        <f>IF(ISERROR(VLOOKUP(A202,GamesTable[game_id],1,0)),"not found","found")</f>
        <v>found</v>
      </c>
      <c r="L202" t="s">
        <v>7768</v>
      </c>
      <c r="M202">
        <f t="shared" si="3"/>
        <v>2</v>
      </c>
    </row>
    <row r="203" spans="1:13" hidden="1" x14ac:dyDescent="0.25">
      <c r="A203" t="s">
        <v>7875</v>
      </c>
      <c r="B203" t="s">
        <v>3325</v>
      </c>
      <c r="C203" t="s">
        <v>3324</v>
      </c>
      <c r="D203" t="s">
        <v>1280</v>
      </c>
      <c r="E203" t="s">
        <v>1912</v>
      </c>
      <c r="F203" t="s">
        <v>7768</v>
      </c>
      <c r="G203" t="s">
        <v>7768</v>
      </c>
      <c r="H203" t="s">
        <v>7768</v>
      </c>
      <c r="I203" t="s">
        <v>106</v>
      </c>
      <c r="J203" t="s">
        <v>218</v>
      </c>
      <c r="K203" t="str">
        <f>IF(ISERROR(VLOOKUP(A203,GamesTable[game_id],1,0)),"not found","found")</f>
        <v>found</v>
      </c>
      <c r="L203" t="s">
        <v>9753</v>
      </c>
      <c r="M203">
        <f t="shared" si="3"/>
        <v>2</v>
      </c>
    </row>
    <row r="204" spans="1:13" x14ac:dyDescent="0.25">
      <c r="A204" t="s">
        <v>7876</v>
      </c>
      <c r="B204" t="s">
        <v>7487</v>
      </c>
      <c r="C204" t="s">
        <v>7497</v>
      </c>
      <c r="D204" t="s">
        <v>3906</v>
      </c>
      <c r="E204" t="s">
        <v>1912</v>
      </c>
      <c r="F204" t="s">
        <v>7491</v>
      </c>
      <c r="G204" t="s">
        <v>7486</v>
      </c>
      <c r="H204" t="s">
        <v>7480</v>
      </c>
      <c r="I204" t="s">
        <v>218</v>
      </c>
      <c r="J204" t="s">
        <v>218</v>
      </c>
      <c r="K204" t="str">
        <f>IF(ISERROR(VLOOKUP(A204,GamesTable[game_id],1,0)),"not found","found")</f>
        <v>found</v>
      </c>
      <c r="L204" t="s">
        <v>7768</v>
      </c>
      <c r="M204">
        <f t="shared" si="3"/>
        <v>2</v>
      </c>
    </row>
    <row r="205" spans="1:13" hidden="1" x14ac:dyDescent="0.25">
      <c r="A205" t="s">
        <v>7876</v>
      </c>
      <c r="B205" t="s">
        <v>7493</v>
      </c>
      <c r="C205" t="s">
        <v>7492</v>
      </c>
      <c r="D205" t="s">
        <v>3906</v>
      </c>
      <c r="E205" t="s">
        <v>1912</v>
      </c>
      <c r="F205" t="s">
        <v>7491</v>
      </c>
      <c r="G205" t="s">
        <v>7486</v>
      </c>
      <c r="H205" t="s">
        <v>7480</v>
      </c>
      <c r="I205" t="s">
        <v>5637</v>
      </c>
      <c r="J205" t="s">
        <v>218</v>
      </c>
      <c r="K205" t="str">
        <f>IF(ISERROR(VLOOKUP(A205,GamesTable[game_id],1,0)),"not found","found")</f>
        <v>found</v>
      </c>
      <c r="L205" t="s">
        <v>9753</v>
      </c>
      <c r="M205">
        <f t="shared" si="3"/>
        <v>2</v>
      </c>
    </row>
    <row r="206" spans="1:13" x14ac:dyDescent="0.25">
      <c r="A206" t="s">
        <v>7877</v>
      </c>
      <c r="B206" t="s">
        <v>6447</v>
      </c>
      <c r="C206" t="s">
        <v>6446</v>
      </c>
      <c r="D206" t="s">
        <v>6279</v>
      </c>
      <c r="E206" t="s">
        <v>1912</v>
      </c>
      <c r="F206" t="s">
        <v>6440</v>
      </c>
      <c r="G206" t="s">
        <v>6436</v>
      </c>
      <c r="H206" t="s">
        <v>6432</v>
      </c>
      <c r="I206" t="s">
        <v>218</v>
      </c>
      <c r="J206" t="s">
        <v>218</v>
      </c>
      <c r="K206" t="str">
        <f>IF(ISERROR(VLOOKUP(A206,GamesTable[game_id],1,0)),"not found","found")</f>
        <v>found</v>
      </c>
      <c r="L206" t="s">
        <v>7768</v>
      </c>
      <c r="M206">
        <f t="shared" si="3"/>
        <v>2</v>
      </c>
    </row>
    <row r="207" spans="1:13" hidden="1" x14ac:dyDescent="0.25">
      <c r="A207" t="s">
        <v>7877</v>
      </c>
      <c r="B207" t="s">
        <v>6442</v>
      </c>
      <c r="C207" t="s">
        <v>6441</v>
      </c>
      <c r="D207" t="s">
        <v>6279</v>
      </c>
      <c r="E207" t="s">
        <v>1912</v>
      </c>
      <c r="F207" t="s">
        <v>6440</v>
      </c>
      <c r="G207" t="s">
        <v>6436</v>
      </c>
      <c r="H207" t="s">
        <v>6432</v>
      </c>
      <c r="I207" t="s">
        <v>218</v>
      </c>
      <c r="J207" t="s">
        <v>218</v>
      </c>
      <c r="K207" t="str">
        <f>IF(ISERROR(VLOOKUP(A207,GamesTable[game_id],1,0)),"not found","found")</f>
        <v>found</v>
      </c>
      <c r="L207" t="s">
        <v>9753</v>
      </c>
      <c r="M207">
        <f t="shared" si="3"/>
        <v>2</v>
      </c>
    </row>
    <row r="208" spans="1:13" x14ac:dyDescent="0.25">
      <c r="A208" t="s">
        <v>7879</v>
      </c>
      <c r="B208" t="s">
        <v>2054</v>
      </c>
      <c r="C208" t="s">
        <v>2053</v>
      </c>
      <c r="D208" t="s">
        <v>1053</v>
      </c>
      <c r="E208" t="s">
        <v>2052</v>
      </c>
      <c r="F208" t="s">
        <v>2051</v>
      </c>
      <c r="G208" t="s">
        <v>2046</v>
      </c>
      <c r="H208" t="s">
        <v>7768</v>
      </c>
      <c r="I208" t="s">
        <v>106</v>
      </c>
      <c r="J208" t="s">
        <v>218</v>
      </c>
      <c r="K208" t="str">
        <f>IF(ISERROR(VLOOKUP(A208,GamesTable[game_id],1,0)),"not found","found")</f>
        <v>found</v>
      </c>
      <c r="L208" t="s">
        <v>7768</v>
      </c>
      <c r="M208">
        <f t="shared" si="3"/>
        <v>1</v>
      </c>
    </row>
    <row r="209" spans="1:13" x14ac:dyDescent="0.25">
      <c r="A209" t="s">
        <v>7878</v>
      </c>
      <c r="B209" t="s">
        <v>1694</v>
      </c>
      <c r="C209" t="s">
        <v>1708</v>
      </c>
      <c r="D209" t="s">
        <v>547</v>
      </c>
      <c r="E209" t="s">
        <v>1700</v>
      </c>
      <c r="F209" t="s">
        <v>1707</v>
      </c>
      <c r="G209" t="s">
        <v>1703</v>
      </c>
      <c r="H209" t="s">
        <v>1689</v>
      </c>
      <c r="I209" t="s">
        <v>106</v>
      </c>
      <c r="J209" t="s">
        <v>218</v>
      </c>
      <c r="K209" t="str">
        <f>IF(ISERROR(VLOOKUP(A209,GamesTable[game_id],1,0)),"not found","found")</f>
        <v>found</v>
      </c>
      <c r="L209" t="s">
        <v>7768</v>
      </c>
      <c r="M209">
        <f t="shared" si="3"/>
        <v>2</v>
      </c>
    </row>
    <row r="210" spans="1:13" hidden="1" x14ac:dyDescent="0.25">
      <c r="A210" t="s">
        <v>7878</v>
      </c>
      <c r="B210" t="s">
        <v>1702</v>
      </c>
      <c r="C210" t="s">
        <v>1701</v>
      </c>
      <c r="D210" t="s">
        <v>547</v>
      </c>
      <c r="E210" t="s">
        <v>1700</v>
      </c>
      <c r="F210" t="s">
        <v>1699</v>
      </c>
      <c r="G210" t="s">
        <v>1693</v>
      </c>
      <c r="H210" t="s">
        <v>1689</v>
      </c>
      <c r="I210" t="s">
        <v>35</v>
      </c>
      <c r="J210" t="s">
        <v>218</v>
      </c>
      <c r="K210" t="str">
        <f>IF(ISERROR(VLOOKUP(A210,GamesTable[game_id],1,0)),"not found","found")</f>
        <v>found</v>
      </c>
      <c r="L210" t="s">
        <v>9753</v>
      </c>
      <c r="M210">
        <f t="shared" si="3"/>
        <v>2</v>
      </c>
    </row>
    <row r="211" spans="1:13" x14ac:dyDescent="0.25">
      <c r="A211" t="s">
        <v>7880</v>
      </c>
      <c r="B211" t="s">
        <v>1367</v>
      </c>
      <c r="C211" t="s">
        <v>1393</v>
      </c>
      <c r="D211" t="s">
        <v>143</v>
      </c>
      <c r="E211" t="s">
        <v>1374</v>
      </c>
      <c r="F211" t="s">
        <v>1392</v>
      </c>
      <c r="G211" t="s">
        <v>1388</v>
      </c>
      <c r="H211" t="s">
        <v>1362</v>
      </c>
      <c r="I211" t="s">
        <v>106</v>
      </c>
      <c r="J211" t="s">
        <v>218</v>
      </c>
      <c r="K211" t="str">
        <f>IF(ISERROR(VLOOKUP(A211,GamesTable[game_id],1,0)),"not found","found")</f>
        <v>found</v>
      </c>
      <c r="L211" t="s">
        <v>7768</v>
      </c>
      <c r="M211">
        <f t="shared" si="3"/>
        <v>3</v>
      </c>
    </row>
    <row r="212" spans="1:13" hidden="1" x14ac:dyDescent="0.25">
      <c r="A212" t="s">
        <v>7880</v>
      </c>
      <c r="B212" t="s">
        <v>1384</v>
      </c>
      <c r="C212" t="s">
        <v>1383</v>
      </c>
      <c r="D212" t="s">
        <v>143</v>
      </c>
      <c r="E212" t="s">
        <v>1374</v>
      </c>
      <c r="F212" t="s">
        <v>1372</v>
      </c>
      <c r="G212" t="s">
        <v>1366</v>
      </c>
      <c r="H212" t="s">
        <v>1362</v>
      </c>
      <c r="I212" t="s">
        <v>35</v>
      </c>
      <c r="J212" t="s">
        <v>218</v>
      </c>
      <c r="K212" t="str">
        <f>IF(ISERROR(VLOOKUP(A212,GamesTable[game_id],1,0)),"not found","found")</f>
        <v>found</v>
      </c>
      <c r="L212" t="s">
        <v>9753</v>
      </c>
      <c r="M212">
        <f t="shared" si="3"/>
        <v>3</v>
      </c>
    </row>
    <row r="213" spans="1:13" hidden="1" x14ac:dyDescent="0.25">
      <c r="A213" t="s">
        <v>7880</v>
      </c>
      <c r="B213" t="s">
        <v>1376</v>
      </c>
      <c r="C213" t="s">
        <v>1375</v>
      </c>
      <c r="D213" t="s">
        <v>143</v>
      </c>
      <c r="E213" t="s">
        <v>1374</v>
      </c>
      <c r="F213" t="s">
        <v>1372</v>
      </c>
      <c r="G213" t="s">
        <v>1366</v>
      </c>
      <c r="H213" t="s">
        <v>1362</v>
      </c>
      <c r="I213" t="s">
        <v>35</v>
      </c>
      <c r="J213" t="s">
        <v>218</v>
      </c>
      <c r="K213" t="str">
        <f>IF(ISERROR(VLOOKUP(A213,GamesTable[game_id],1,0)),"not found","found")</f>
        <v>found</v>
      </c>
      <c r="L213" t="s">
        <v>9753</v>
      </c>
      <c r="M213">
        <f t="shared" si="3"/>
        <v>3</v>
      </c>
    </row>
    <row r="214" spans="1:13" x14ac:dyDescent="0.25">
      <c r="A214" t="s">
        <v>7881</v>
      </c>
      <c r="B214" t="s">
        <v>5970</v>
      </c>
      <c r="C214" t="s">
        <v>5988</v>
      </c>
      <c r="D214" t="s">
        <v>5315</v>
      </c>
      <c r="E214" t="s">
        <v>1912</v>
      </c>
      <c r="F214" t="s">
        <v>5987</v>
      </c>
      <c r="G214" t="s">
        <v>5986</v>
      </c>
      <c r="H214" t="s">
        <v>5965</v>
      </c>
      <c r="I214" t="s">
        <v>106</v>
      </c>
      <c r="J214" t="s">
        <v>218</v>
      </c>
      <c r="K214" t="str">
        <f>IF(ISERROR(VLOOKUP(A214,GamesTable[game_id],1,0)),"not found","found")</f>
        <v>found</v>
      </c>
      <c r="L214" t="s">
        <v>7768</v>
      </c>
      <c r="M214">
        <f t="shared" si="3"/>
        <v>2</v>
      </c>
    </row>
    <row r="215" spans="1:13" x14ac:dyDescent="0.25">
      <c r="A215" t="s">
        <v>7922</v>
      </c>
      <c r="B215" t="s">
        <v>5248</v>
      </c>
      <c r="C215" t="s">
        <v>5271</v>
      </c>
      <c r="D215" t="s">
        <v>393</v>
      </c>
      <c r="E215" t="s">
        <v>1912</v>
      </c>
      <c r="F215" t="s">
        <v>5270</v>
      </c>
      <c r="G215" t="s">
        <v>5266</v>
      </c>
      <c r="H215" t="s">
        <v>5265</v>
      </c>
      <c r="I215" t="s">
        <v>218</v>
      </c>
      <c r="J215" t="s">
        <v>218</v>
      </c>
      <c r="K215" t="str">
        <f>IF(ISERROR(VLOOKUP(A215,GamesTable[game_id],1,0)),"not found","found")</f>
        <v>found</v>
      </c>
      <c r="L215" t="s">
        <v>7768</v>
      </c>
      <c r="M215">
        <f t="shared" si="3"/>
        <v>3</v>
      </c>
    </row>
    <row r="216" spans="1:13" hidden="1" x14ac:dyDescent="0.25">
      <c r="A216" t="s">
        <v>7922</v>
      </c>
      <c r="B216" t="s">
        <v>5261</v>
      </c>
      <c r="C216" t="s">
        <v>5260</v>
      </c>
      <c r="D216" t="s">
        <v>393</v>
      </c>
      <c r="E216" t="s">
        <v>1912</v>
      </c>
      <c r="F216" t="s">
        <v>7768</v>
      </c>
      <c r="G216" t="s">
        <v>7768</v>
      </c>
      <c r="H216" t="s">
        <v>7768</v>
      </c>
      <c r="I216" t="s">
        <v>106</v>
      </c>
      <c r="J216" t="s">
        <v>218</v>
      </c>
      <c r="K216" t="str">
        <f>IF(ISERROR(VLOOKUP(A216,GamesTable[game_id],1,0)),"not found","found")</f>
        <v>found</v>
      </c>
      <c r="L216" t="s">
        <v>9753</v>
      </c>
      <c r="M216">
        <f t="shared" si="3"/>
        <v>3</v>
      </c>
    </row>
    <row r="217" spans="1:13" hidden="1" x14ac:dyDescent="0.25">
      <c r="A217" t="s">
        <v>7922</v>
      </c>
      <c r="B217" t="s">
        <v>5253</v>
      </c>
      <c r="C217" t="s">
        <v>5252</v>
      </c>
      <c r="D217" t="s">
        <v>393</v>
      </c>
      <c r="E217" t="s">
        <v>1912</v>
      </c>
      <c r="F217" t="s">
        <v>7768</v>
      </c>
      <c r="G217" t="s">
        <v>7768</v>
      </c>
      <c r="H217" t="s">
        <v>7768</v>
      </c>
      <c r="I217" t="s">
        <v>106</v>
      </c>
      <c r="J217" t="s">
        <v>218</v>
      </c>
      <c r="K217" t="str">
        <f>IF(ISERROR(VLOOKUP(A217,GamesTable[game_id],1,0)),"not found","found")</f>
        <v>found</v>
      </c>
      <c r="L217" t="s">
        <v>9753</v>
      </c>
      <c r="M217">
        <f t="shared" si="3"/>
        <v>3</v>
      </c>
    </row>
    <row r="218" spans="1:13" x14ac:dyDescent="0.25">
      <c r="A218" t="s">
        <v>7923</v>
      </c>
      <c r="B218" t="s">
        <v>4483</v>
      </c>
      <c r="C218" t="s">
        <v>4515</v>
      </c>
      <c r="D218" t="s">
        <v>1239</v>
      </c>
      <c r="E218" t="s">
        <v>1912</v>
      </c>
      <c r="F218" t="s">
        <v>4514</v>
      </c>
      <c r="G218" t="s">
        <v>4510</v>
      </c>
      <c r="H218" t="s">
        <v>4489</v>
      </c>
      <c r="I218" t="s">
        <v>106</v>
      </c>
      <c r="J218" t="s">
        <v>218</v>
      </c>
      <c r="K218" t="str">
        <f>IF(ISERROR(VLOOKUP(A218,GamesTable[game_id],1,0)),"not found","found")</f>
        <v>found</v>
      </c>
      <c r="L218" t="s">
        <v>7768</v>
      </c>
      <c r="M218">
        <f t="shared" si="3"/>
        <v>3</v>
      </c>
    </row>
    <row r="219" spans="1:13" hidden="1" x14ac:dyDescent="0.25">
      <c r="A219" t="s">
        <v>7923</v>
      </c>
      <c r="B219" t="s">
        <v>4496</v>
      </c>
      <c r="C219" t="s">
        <v>4495</v>
      </c>
      <c r="D219" t="s">
        <v>1239</v>
      </c>
      <c r="E219" t="s">
        <v>1912</v>
      </c>
      <c r="F219" t="s">
        <v>4494</v>
      </c>
      <c r="G219" t="s">
        <v>4490</v>
      </c>
      <c r="H219" t="s">
        <v>4489</v>
      </c>
      <c r="I219" t="s">
        <v>35</v>
      </c>
      <c r="J219" t="s">
        <v>218</v>
      </c>
      <c r="K219" t="str">
        <f>IF(ISERROR(VLOOKUP(A219,GamesTable[game_id],1,0)),"not found","found")</f>
        <v>found</v>
      </c>
      <c r="L219" t="s">
        <v>9753</v>
      </c>
      <c r="M219">
        <f t="shared" si="3"/>
        <v>3</v>
      </c>
    </row>
    <row r="220" spans="1:13" x14ac:dyDescent="0.25">
      <c r="A220" t="s">
        <v>7924</v>
      </c>
      <c r="B220" t="s">
        <v>3375</v>
      </c>
      <c r="C220" t="s">
        <v>3390</v>
      </c>
      <c r="D220" t="s">
        <v>1280</v>
      </c>
      <c r="E220" t="s">
        <v>1912</v>
      </c>
      <c r="F220" t="s">
        <v>3389</v>
      </c>
      <c r="G220" t="s">
        <v>3385</v>
      </c>
      <c r="H220" t="s">
        <v>3384</v>
      </c>
      <c r="I220" t="s">
        <v>218</v>
      </c>
      <c r="J220" t="s">
        <v>218</v>
      </c>
      <c r="K220" t="str">
        <f>IF(ISERROR(VLOOKUP(A220,GamesTable[game_id],1,0)),"not found","found")</f>
        <v>found</v>
      </c>
      <c r="L220" t="s">
        <v>7768</v>
      </c>
      <c r="M220">
        <f t="shared" si="3"/>
        <v>2</v>
      </c>
    </row>
    <row r="221" spans="1:13" hidden="1" x14ac:dyDescent="0.25">
      <c r="A221" t="s">
        <v>7924</v>
      </c>
      <c r="B221" t="s">
        <v>3380</v>
      </c>
      <c r="C221" t="s">
        <v>3379</v>
      </c>
      <c r="D221" t="s">
        <v>1280</v>
      </c>
      <c r="E221" t="s">
        <v>1912</v>
      </c>
      <c r="F221" t="s">
        <v>7768</v>
      </c>
      <c r="G221" t="s">
        <v>7768</v>
      </c>
      <c r="H221" t="s">
        <v>7768</v>
      </c>
      <c r="I221" t="s">
        <v>106</v>
      </c>
      <c r="J221" t="s">
        <v>218</v>
      </c>
      <c r="K221" t="str">
        <f>IF(ISERROR(VLOOKUP(A221,GamesTable[game_id],1,0)),"not found","found")</f>
        <v>found</v>
      </c>
      <c r="L221" t="s">
        <v>9753</v>
      </c>
      <c r="M221">
        <f t="shared" si="3"/>
        <v>2</v>
      </c>
    </row>
    <row r="222" spans="1:13" x14ac:dyDescent="0.25">
      <c r="A222" t="s">
        <v>7925</v>
      </c>
      <c r="B222" t="s">
        <v>270</v>
      </c>
      <c r="C222" t="s">
        <v>1516</v>
      </c>
      <c r="D222" t="s">
        <v>195</v>
      </c>
      <c r="E222" t="s">
        <v>1374</v>
      </c>
      <c r="F222" t="s">
        <v>1507</v>
      </c>
      <c r="G222" t="s">
        <v>1503</v>
      </c>
      <c r="H222" t="s">
        <v>1488</v>
      </c>
      <c r="I222" t="s">
        <v>106</v>
      </c>
      <c r="J222" t="s">
        <v>106</v>
      </c>
      <c r="K222" t="str">
        <f>IF(ISERROR(VLOOKUP(A222,GamesTable[game_id],1,0)),"not found","found")</f>
        <v>found</v>
      </c>
      <c r="L222" t="s">
        <v>7768</v>
      </c>
      <c r="M222">
        <f t="shared" si="3"/>
        <v>4</v>
      </c>
    </row>
    <row r="223" spans="1:13" hidden="1" x14ac:dyDescent="0.25">
      <c r="A223" t="s">
        <v>7925</v>
      </c>
      <c r="B223" t="s">
        <v>1509</v>
      </c>
      <c r="C223" t="s">
        <v>1508</v>
      </c>
      <c r="D223" t="s">
        <v>195</v>
      </c>
      <c r="E223" t="s">
        <v>1374</v>
      </c>
      <c r="F223" t="s">
        <v>1507</v>
      </c>
      <c r="G223" t="s">
        <v>1503</v>
      </c>
      <c r="H223" t="s">
        <v>1488</v>
      </c>
      <c r="I223" t="s">
        <v>106</v>
      </c>
      <c r="J223" t="s">
        <v>106</v>
      </c>
      <c r="K223" t="str">
        <f>IF(ISERROR(VLOOKUP(A223,GamesTable[game_id],1,0)),"not found","found")</f>
        <v>found</v>
      </c>
      <c r="L223" t="s">
        <v>9753</v>
      </c>
      <c r="M223">
        <f t="shared" si="3"/>
        <v>4</v>
      </c>
    </row>
    <row r="224" spans="1:13" hidden="1" x14ac:dyDescent="0.25">
      <c r="A224" t="s">
        <v>7925</v>
      </c>
      <c r="B224" t="s">
        <v>276</v>
      </c>
      <c r="C224" t="s">
        <v>275</v>
      </c>
      <c r="D224" t="s">
        <v>195</v>
      </c>
      <c r="E224" t="s">
        <v>194</v>
      </c>
      <c r="F224" t="s">
        <v>7768</v>
      </c>
      <c r="G224" t="s">
        <v>7768</v>
      </c>
      <c r="H224" t="s">
        <v>7768</v>
      </c>
      <c r="I224" t="s">
        <v>106</v>
      </c>
      <c r="J224" t="s">
        <v>218</v>
      </c>
      <c r="K224" t="str">
        <f>IF(ISERROR(VLOOKUP(A224,GamesTable[game_id],1,0)),"not found","found")</f>
        <v>found</v>
      </c>
      <c r="L224" t="s">
        <v>9753</v>
      </c>
      <c r="M224">
        <f t="shared" si="3"/>
        <v>4</v>
      </c>
    </row>
    <row r="225" spans="1:13" x14ac:dyDescent="0.25">
      <c r="A225" t="s">
        <v>7882</v>
      </c>
      <c r="B225" t="s">
        <v>5410</v>
      </c>
      <c r="C225" t="s">
        <v>5409</v>
      </c>
      <c r="D225" t="s">
        <v>1239</v>
      </c>
      <c r="E225" t="s">
        <v>1912</v>
      </c>
      <c r="F225" t="s">
        <v>5408</v>
      </c>
      <c r="G225" t="s">
        <v>5404</v>
      </c>
      <c r="H225" t="s">
        <v>5403</v>
      </c>
      <c r="I225" t="s">
        <v>218</v>
      </c>
      <c r="J225" t="s">
        <v>218</v>
      </c>
      <c r="K225" t="str">
        <f>IF(ISERROR(VLOOKUP(A225,GamesTable[game_id],1,0)),"not found","found")</f>
        <v>found</v>
      </c>
      <c r="L225" t="s">
        <v>7768</v>
      </c>
      <c r="M225">
        <f t="shared" si="3"/>
        <v>1</v>
      </c>
    </row>
    <row r="226" spans="1:13" x14ac:dyDescent="0.25">
      <c r="A226" t="s">
        <v>7883</v>
      </c>
      <c r="B226" t="s">
        <v>145</v>
      </c>
      <c r="C226" t="s">
        <v>144</v>
      </c>
      <c r="D226" t="s">
        <v>143</v>
      </c>
      <c r="E226" t="s">
        <v>142</v>
      </c>
      <c r="F226" t="s">
        <v>7768</v>
      </c>
      <c r="G226" t="s">
        <v>7768</v>
      </c>
      <c r="H226" t="s">
        <v>7768</v>
      </c>
      <c r="I226" t="s">
        <v>106</v>
      </c>
      <c r="J226" t="s">
        <v>106</v>
      </c>
      <c r="K226" t="str">
        <f>IF(ISERROR(VLOOKUP(A226,GamesTable[game_id],1,0)),"not found","found")</f>
        <v>found</v>
      </c>
      <c r="L226" t="s">
        <v>7768</v>
      </c>
      <c r="M226">
        <f t="shared" si="3"/>
        <v>1</v>
      </c>
    </row>
    <row r="227" spans="1:13" x14ac:dyDescent="0.25">
      <c r="A227" t="s">
        <v>7884</v>
      </c>
      <c r="B227" t="s">
        <v>3829</v>
      </c>
      <c r="C227" t="s">
        <v>3828</v>
      </c>
      <c r="D227" t="s">
        <v>1280</v>
      </c>
      <c r="E227" t="s">
        <v>3827</v>
      </c>
      <c r="F227" t="s">
        <v>3826</v>
      </c>
      <c r="G227" t="s">
        <v>7768</v>
      </c>
      <c r="H227" t="s">
        <v>3822</v>
      </c>
      <c r="I227" t="s">
        <v>106</v>
      </c>
      <c r="J227" t="s">
        <v>218</v>
      </c>
      <c r="K227" t="str">
        <f>IF(ISERROR(VLOOKUP(A227,GamesTable[game_id],1,0)),"not found","found")</f>
        <v>found</v>
      </c>
      <c r="L227" t="s">
        <v>7768</v>
      </c>
      <c r="M227">
        <f t="shared" si="3"/>
        <v>1</v>
      </c>
    </row>
    <row r="228" spans="1:13" x14ac:dyDescent="0.25">
      <c r="A228" t="s">
        <v>7925</v>
      </c>
      <c r="B228" t="s">
        <v>1499</v>
      </c>
      <c r="C228" t="s">
        <v>1498</v>
      </c>
      <c r="D228" t="s">
        <v>195</v>
      </c>
      <c r="E228" t="s">
        <v>1374</v>
      </c>
      <c r="F228" t="s">
        <v>1497</v>
      </c>
      <c r="G228" t="s">
        <v>1492</v>
      </c>
      <c r="H228" t="s">
        <v>1488</v>
      </c>
      <c r="I228" t="s">
        <v>35</v>
      </c>
      <c r="J228" t="s">
        <v>218</v>
      </c>
      <c r="K228" t="str">
        <f>IF(ISERROR(VLOOKUP(A228,GamesTable[game_id],1,0)),"not found","found")</f>
        <v>found</v>
      </c>
      <c r="L228" t="s">
        <v>7768</v>
      </c>
      <c r="M228">
        <f t="shared" si="3"/>
        <v>4</v>
      </c>
    </row>
    <row r="229" spans="1:13" x14ac:dyDescent="0.25">
      <c r="A229" t="s">
        <v>7926</v>
      </c>
      <c r="B229" t="s">
        <v>6152</v>
      </c>
      <c r="C229" t="s">
        <v>6151</v>
      </c>
      <c r="D229" t="s">
        <v>5315</v>
      </c>
      <c r="E229" t="s">
        <v>1912</v>
      </c>
      <c r="F229" t="s">
        <v>6150</v>
      </c>
      <c r="G229" t="s">
        <v>6146</v>
      </c>
      <c r="H229" t="s">
        <v>6142</v>
      </c>
      <c r="I229" t="s">
        <v>218</v>
      </c>
      <c r="J229" t="s">
        <v>218</v>
      </c>
      <c r="K229" t="str">
        <f>IF(ISERROR(VLOOKUP(A229,GamesTable[game_id],1,0)),"not found","found")</f>
        <v>found</v>
      </c>
      <c r="L229" t="s">
        <v>7768</v>
      </c>
      <c r="M229">
        <f t="shared" si="3"/>
        <v>1</v>
      </c>
    </row>
    <row r="230" spans="1:13" x14ac:dyDescent="0.25">
      <c r="A230" t="s">
        <v>7881</v>
      </c>
      <c r="B230" t="s">
        <v>5976</v>
      </c>
      <c r="C230" t="s">
        <v>5975</v>
      </c>
      <c r="D230" t="s">
        <v>5315</v>
      </c>
      <c r="E230" t="s">
        <v>1912</v>
      </c>
      <c r="F230" t="s">
        <v>5974</v>
      </c>
      <c r="G230" t="s">
        <v>5969</v>
      </c>
      <c r="H230" t="s">
        <v>5965</v>
      </c>
      <c r="I230" t="s">
        <v>35</v>
      </c>
      <c r="J230" t="s">
        <v>218</v>
      </c>
      <c r="K230" t="str">
        <f>IF(ISERROR(VLOOKUP(A230,GamesTable[game_id],1,0)),"not found","found")</f>
        <v>found</v>
      </c>
      <c r="L230" t="s">
        <v>7768</v>
      </c>
      <c r="M230">
        <f t="shared" si="3"/>
        <v>2</v>
      </c>
    </row>
    <row r="231" spans="1:13" x14ac:dyDescent="0.25">
      <c r="A231" t="s">
        <v>7885</v>
      </c>
      <c r="B231" t="s">
        <v>7132</v>
      </c>
      <c r="C231" t="s">
        <v>7145</v>
      </c>
      <c r="D231" t="s">
        <v>6279</v>
      </c>
      <c r="E231" t="s">
        <v>1912</v>
      </c>
      <c r="F231" t="s">
        <v>7144</v>
      </c>
      <c r="G231" t="s">
        <v>7140</v>
      </c>
      <c r="H231" t="s">
        <v>7139</v>
      </c>
      <c r="I231" t="s">
        <v>218</v>
      </c>
      <c r="J231" t="s">
        <v>218</v>
      </c>
      <c r="K231" t="str">
        <f>IF(ISERROR(VLOOKUP(A231,GamesTable[game_id],1,0)),"not found","found")</f>
        <v>found</v>
      </c>
      <c r="L231" t="s">
        <v>7768</v>
      </c>
      <c r="M231">
        <f t="shared" si="3"/>
        <v>2</v>
      </c>
    </row>
    <row r="232" spans="1:13" x14ac:dyDescent="0.25">
      <c r="A232" t="s">
        <v>7927</v>
      </c>
      <c r="B232" t="s">
        <v>1808</v>
      </c>
      <c r="C232" t="s">
        <v>1820</v>
      </c>
      <c r="D232" t="s">
        <v>959</v>
      </c>
      <c r="E232" t="s">
        <v>1814</v>
      </c>
      <c r="F232" t="s">
        <v>1813</v>
      </c>
      <c r="G232" t="s">
        <v>1807</v>
      </c>
      <c r="H232" t="s">
        <v>1806</v>
      </c>
      <c r="I232" t="s">
        <v>106</v>
      </c>
      <c r="J232" t="s">
        <v>218</v>
      </c>
      <c r="K232" t="str">
        <f>IF(ISERROR(VLOOKUP(A232,GamesTable[game_id],1,0)),"not found","found")</f>
        <v>found</v>
      </c>
      <c r="L232" t="s">
        <v>7768</v>
      </c>
      <c r="M232">
        <f t="shared" si="3"/>
        <v>2</v>
      </c>
    </row>
    <row r="233" spans="1:13" x14ac:dyDescent="0.25">
      <c r="A233" t="s">
        <v>7886</v>
      </c>
      <c r="B233" t="s">
        <v>1096</v>
      </c>
      <c r="C233" t="s">
        <v>2521</v>
      </c>
      <c r="D233" t="s">
        <v>1101</v>
      </c>
      <c r="E233" t="s">
        <v>2520</v>
      </c>
      <c r="F233" t="s">
        <v>2519</v>
      </c>
      <c r="G233" t="s">
        <v>2515</v>
      </c>
      <c r="H233" t="s">
        <v>2511</v>
      </c>
      <c r="I233" t="s">
        <v>218</v>
      </c>
      <c r="J233" t="s">
        <v>218</v>
      </c>
      <c r="K233" t="str">
        <f>IF(ISERROR(VLOOKUP(A233,GamesTable[game_id],1,0)),"not found","found")</f>
        <v>found</v>
      </c>
      <c r="L233" t="s">
        <v>7768</v>
      </c>
      <c r="M233">
        <f t="shared" si="3"/>
        <v>1</v>
      </c>
    </row>
    <row r="234" spans="1:13" x14ac:dyDescent="0.25">
      <c r="A234" t="s">
        <v>7927</v>
      </c>
      <c r="B234" t="s">
        <v>1816</v>
      </c>
      <c r="C234" t="s">
        <v>1815</v>
      </c>
      <c r="D234" t="s">
        <v>959</v>
      </c>
      <c r="E234" t="s">
        <v>1814</v>
      </c>
      <c r="F234" t="s">
        <v>1813</v>
      </c>
      <c r="G234" t="s">
        <v>1807</v>
      </c>
      <c r="H234" t="s">
        <v>1806</v>
      </c>
      <c r="I234" t="s">
        <v>106</v>
      </c>
      <c r="J234" t="s">
        <v>218</v>
      </c>
      <c r="K234" t="str">
        <f>IF(ISERROR(VLOOKUP(A234,GamesTable[game_id],1,0)),"not found","found")</f>
        <v>found</v>
      </c>
      <c r="L234" t="s">
        <v>7768</v>
      </c>
      <c r="M234">
        <f t="shared" si="3"/>
        <v>2</v>
      </c>
    </row>
    <row r="235" spans="1:13" x14ac:dyDescent="0.25">
      <c r="A235" t="s">
        <v>7885</v>
      </c>
      <c r="B235" t="s">
        <v>7138</v>
      </c>
      <c r="C235" t="s">
        <v>7137</v>
      </c>
      <c r="D235" t="s">
        <v>6279</v>
      </c>
      <c r="E235" t="s">
        <v>1912</v>
      </c>
      <c r="F235" t="s">
        <v>7136</v>
      </c>
      <c r="G235" t="s">
        <v>7768</v>
      </c>
      <c r="H235" t="s">
        <v>7768</v>
      </c>
      <c r="I235" t="s">
        <v>35</v>
      </c>
      <c r="J235" t="s">
        <v>218</v>
      </c>
      <c r="K235" t="str">
        <f>IF(ISERROR(VLOOKUP(A235,GamesTable[game_id],1,0)),"not found","found")</f>
        <v>found</v>
      </c>
      <c r="L235" t="s">
        <v>7768</v>
      </c>
      <c r="M235">
        <f t="shared" si="3"/>
        <v>2</v>
      </c>
    </row>
    <row r="236" spans="1:13" x14ac:dyDescent="0.25">
      <c r="A236" t="s">
        <v>7887</v>
      </c>
      <c r="B236" t="s">
        <v>2898</v>
      </c>
      <c r="C236" t="s">
        <v>2908</v>
      </c>
      <c r="D236" t="s">
        <v>1145</v>
      </c>
      <c r="E236" t="s">
        <v>2520</v>
      </c>
      <c r="F236" t="s">
        <v>2902</v>
      </c>
      <c r="G236" t="s">
        <v>2897</v>
      </c>
      <c r="H236" t="s">
        <v>2893</v>
      </c>
      <c r="I236" t="s">
        <v>106</v>
      </c>
      <c r="J236" t="s">
        <v>218</v>
      </c>
      <c r="K236" t="str">
        <f>IF(ISERROR(VLOOKUP(A236,GamesTable[game_id],1,0)),"not found","found")</f>
        <v>found</v>
      </c>
      <c r="L236" t="s">
        <v>7768</v>
      </c>
      <c r="M236">
        <f t="shared" si="3"/>
        <v>2</v>
      </c>
    </row>
    <row r="237" spans="1:13" hidden="1" x14ac:dyDescent="0.25">
      <c r="A237" t="s">
        <v>7887</v>
      </c>
      <c r="B237" t="s">
        <v>2904</v>
      </c>
      <c r="C237" t="s">
        <v>2903</v>
      </c>
      <c r="D237" t="s">
        <v>1145</v>
      </c>
      <c r="E237" t="s">
        <v>2520</v>
      </c>
      <c r="F237" t="s">
        <v>2902</v>
      </c>
      <c r="G237" t="s">
        <v>2897</v>
      </c>
      <c r="H237" t="s">
        <v>2893</v>
      </c>
      <c r="I237" t="s">
        <v>106</v>
      </c>
      <c r="J237" t="s">
        <v>218</v>
      </c>
      <c r="K237" t="str">
        <f>IF(ISERROR(VLOOKUP(A237,GamesTable[game_id],1,0)),"not found","found")</f>
        <v>found</v>
      </c>
      <c r="L237" t="s">
        <v>9753</v>
      </c>
      <c r="M237">
        <f t="shared" si="3"/>
        <v>2</v>
      </c>
    </row>
    <row r="238" spans="1:13" x14ac:dyDescent="0.25">
      <c r="A238" t="s">
        <v>7889</v>
      </c>
      <c r="B238" t="s">
        <v>4947</v>
      </c>
      <c r="C238" t="s">
        <v>4946</v>
      </c>
      <c r="D238" t="s">
        <v>393</v>
      </c>
      <c r="E238" t="s">
        <v>2929</v>
      </c>
      <c r="F238" t="s">
        <v>4945</v>
      </c>
      <c r="G238" t="s">
        <v>4941</v>
      </c>
      <c r="H238" t="s">
        <v>4940</v>
      </c>
      <c r="I238" t="s">
        <v>218</v>
      </c>
      <c r="J238" t="s">
        <v>218</v>
      </c>
      <c r="K238" t="str">
        <f>IF(ISERROR(VLOOKUP(A238,GamesTable[game_id],1,0)),"not found","found")</f>
        <v>found</v>
      </c>
      <c r="L238" t="s">
        <v>7768</v>
      </c>
      <c r="M238">
        <f t="shared" si="3"/>
        <v>1</v>
      </c>
    </row>
    <row r="239" spans="1:13" x14ac:dyDescent="0.25">
      <c r="A239" t="s">
        <v>7890</v>
      </c>
      <c r="B239" t="s">
        <v>4015</v>
      </c>
      <c r="C239" t="s">
        <v>4014</v>
      </c>
      <c r="D239" t="s">
        <v>1239</v>
      </c>
      <c r="E239" t="s">
        <v>2929</v>
      </c>
      <c r="F239" t="s">
        <v>4013</v>
      </c>
      <c r="G239" t="s">
        <v>4009</v>
      </c>
      <c r="H239" t="s">
        <v>4008</v>
      </c>
      <c r="I239" t="s">
        <v>218</v>
      </c>
      <c r="J239" t="s">
        <v>218</v>
      </c>
      <c r="K239" t="str">
        <f>IF(ISERROR(VLOOKUP(A239,GamesTable[game_id],1,0)),"not found","found")</f>
        <v>found</v>
      </c>
      <c r="L239" t="s">
        <v>7768</v>
      </c>
      <c r="M239">
        <f t="shared" si="3"/>
        <v>1</v>
      </c>
    </row>
    <row r="240" spans="1:13" x14ac:dyDescent="0.25">
      <c r="A240" t="s">
        <v>7891</v>
      </c>
      <c r="B240" t="s">
        <v>5317</v>
      </c>
      <c r="C240" t="s">
        <v>5316</v>
      </c>
      <c r="D240" t="s">
        <v>5315</v>
      </c>
      <c r="E240" t="s">
        <v>3073</v>
      </c>
      <c r="F240" t="s">
        <v>5314</v>
      </c>
      <c r="G240" t="s">
        <v>5310</v>
      </c>
      <c r="H240" t="s">
        <v>5306</v>
      </c>
      <c r="I240" t="s">
        <v>218</v>
      </c>
      <c r="J240" t="s">
        <v>218</v>
      </c>
      <c r="K240" t="str">
        <f>IF(ISERROR(VLOOKUP(A240,GamesTable[game_id],1,0)),"not found","found")</f>
        <v>found</v>
      </c>
      <c r="L240" t="s">
        <v>7768</v>
      </c>
      <c r="M240">
        <f t="shared" si="3"/>
        <v>1</v>
      </c>
    </row>
    <row r="241" spans="1:13" x14ac:dyDescent="0.25">
      <c r="A241" t="s">
        <v>7892</v>
      </c>
      <c r="B241" t="s">
        <v>5685</v>
      </c>
      <c r="C241" t="s">
        <v>5684</v>
      </c>
      <c r="D241" t="s">
        <v>5639</v>
      </c>
      <c r="E241" t="s">
        <v>1912</v>
      </c>
      <c r="F241" t="s">
        <v>5683</v>
      </c>
      <c r="G241" t="s">
        <v>5678</v>
      </c>
      <c r="H241" t="s">
        <v>5674</v>
      </c>
      <c r="I241" t="s">
        <v>218</v>
      </c>
      <c r="J241" t="s">
        <v>218</v>
      </c>
      <c r="K241" t="str">
        <f>IF(ISERROR(VLOOKUP(A241,GamesTable[game_id],1,0)),"not found","found")</f>
        <v>found</v>
      </c>
      <c r="L241" t="s">
        <v>7768</v>
      </c>
      <c r="M241">
        <f t="shared" si="3"/>
        <v>1</v>
      </c>
    </row>
    <row r="242" spans="1:13" x14ac:dyDescent="0.25">
      <c r="A242" t="s">
        <v>7928</v>
      </c>
      <c r="B242" t="s">
        <v>5349</v>
      </c>
      <c r="C242" t="s">
        <v>5348</v>
      </c>
      <c r="D242" t="s">
        <v>393</v>
      </c>
      <c r="E242" t="s">
        <v>1912</v>
      </c>
      <c r="F242" t="s">
        <v>5347</v>
      </c>
      <c r="G242" t="s">
        <v>5343</v>
      </c>
      <c r="H242" t="s">
        <v>5339</v>
      </c>
      <c r="I242" t="s">
        <v>218</v>
      </c>
      <c r="J242" t="s">
        <v>218</v>
      </c>
      <c r="K242" t="str">
        <f>IF(ISERROR(VLOOKUP(A242,GamesTable[game_id],1,0)),"not found","found")</f>
        <v>found</v>
      </c>
      <c r="L242" t="s">
        <v>7768</v>
      </c>
      <c r="M242">
        <f t="shared" si="3"/>
        <v>1</v>
      </c>
    </row>
    <row r="243" spans="1:13" x14ac:dyDescent="0.25">
      <c r="A243" t="s">
        <v>7929</v>
      </c>
      <c r="B243" t="s">
        <v>4733</v>
      </c>
      <c r="C243" t="s">
        <v>4732</v>
      </c>
      <c r="D243" t="s">
        <v>1239</v>
      </c>
      <c r="E243" t="s">
        <v>1912</v>
      </c>
      <c r="F243" t="s">
        <v>4731</v>
      </c>
      <c r="G243" t="s">
        <v>4727</v>
      </c>
      <c r="H243" t="s">
        <v>4726</v>
      </c>
      <c r="I243" t="s">
        <v>218</v>
      </c>
      <c r="J243" t="s">
        <v>218</v>
      </c>
      <c r="K243" t="str">
        <f>IF(ISERROR(VLOOKUP(A243,GamesTable[game_id],1,0)),"not found","found")</f>
        <v>found</v>
      </c>
      <c r="L243" t="s">
        <v>7768</v>
      </c>
      <c r="M243">
        <f t="shared" si="3"/>
        <v>1</v>
      </c>
    </row>
    <row r="244" spans="1:13" x14ac:dyDescent="0.25">
      <c r="A244" t="s">
        <v>7930</v>
      </c>
      <c r="B244" t="s">
        <v>3653</v>
      </c>
      <c r="C244" t="s">
        <v>3652</v>
      </c>
      <c r="D244" t="s">
        <v>1280</v>
      </c>
      <c r="E244" t="s">
        <v>1912</v>
      </c>
      <c r="F244" t="s">
        <v>3651</v>
      </c>
      <c r="G244" t="s">
        <v>3647</v>
      </c>
      <c r="H244" t="s">
        <v>3646</v>
      </c>
      <c r="I244" t="s">
        <v>218</v>
      </c>
      <c r="J244" t="s">
        <v>218</v>
      </c>
      <c r="K244" t="str">
        <f>IF(ISERROR(VLOOKUP(A244,GamesTable[game_id],1,0)),"not found","found")</f>
        <v>found</v>
      </c>
      <c r="L244" t="s">
        <v>7768</v>
      </c>
      <c r="M244">
        <f t="shared" si="3"/>
        <v>1</v>
      </c>
    </row>
    <row r="245" spans="1:13" x14ac:dyDescent="0.25">
      <c r="A245" t="s">
        <v>7888</v>
      </c>
      <c r="B245" t="s">
        <v>6474</v>
      </c>
      <c r="C245" t="s">
        <v>6486</v>
      </c>
      <c r="D245" t="s">
        <v>6279</v>
      </c>
      <c r="E245" t="s">
        <v>1912</v>
      </c>
      <c r="F245" t="s">
        <v>6485</v>
      </c>
      <c r="G245" t="s">
        <v>6481</v>
      </c>
      <c r="H245" t="s">
        <v>6469</v>
      </c>
      <c r="I245" t="s">
        <v>106</v>
      </c>
      <c r="J245" t="s">
        <v>218</v>
      </c>
      <c r="K245" t="str">
        <f>IF(ISERROR(VLOOKUP(A245,GamesTable[game_id],1,0)),"not found","found")</f>
        <v>found</v>
      </c>
      <c r="L245" t="s">
        <v>7768</v>
      </c>
      <c r="M245">
        <f t="shared" si="3"/>
        <v>2</v>
      </c>
    </row>
    <row r="246" spans="1:13" x14ac:dyDescent="0.25">
      <c r="A246" t="s">
        <v>7931</v>
      </c>
      <c r="B246" t="s">
        <v>3202</v>
      </c>
      <c r="C246" t="s">
        <v>3201</v>
      </c>
      <c r="D246" t="s">
        <v>1280</v>
      </c>
      <c r="E246" t="s">
        <v>2520</v>
      </c>
      <c r="F246" t="s">
        <v>3200</v>
      </c>
      <c r="G246" t="s">
        <v>3196</v>
      </c>
      <c r="H246" t="s">
        <v>3195</v>
      </c>
      <c r="I246" t="s">
        <v>218</v>
      </c>
      <c r="J246" t="s">
        <v>218</v>
      </c>
      <c r="K246" t="str">
        <f>IF(ISERROR(VLOOKUP(A246,GamesTable[game_id],1,0)),"not found","found")</f>
        <v>found</v>
      </c>
      <c r="L246" t="s">
        <v>7768</v>
      </c>
      <c r="M246">
        <f t="shared" si="3"/>
        <v>1</v>
      </c>
    </row>
    <row r="247" spans="1:13" x14ac:dyDescent="0.25">
      <c r="A247" t="s">
        <v>7888</v>
      </c>
      <c r="B247" t="s">
        <v>6480</v>
      </c>
      <c r="C247" t="s">
        <v>6479</v>
      </c>
      <c r="D247" t="s">
        <v>6279</v>
      </c>
      <c r="E247" t="s">
        <v>1912</v>
      </c>
      <c r="F247" t="s">
        <v>6478</v>
      </c>
      <c r="G247" t="s">
        <v>6473</v>
      </c>
      <c r="H247" t="s">
        <v>6469</v>
      </c>
      <c r="I247" t="s">
        <v>35</v>
      </c>
      <c r="J247" t="s">
        <v>218</v>
      </c>
      <c r="K247" t="str">
        <f>IF(ISERROR(VLOOKUP(A247,GamesTable[game_id],1,0)),"not found","found")</f>
        <v>found</v>
      </c>
      <c r="L247" t="s">
        <v>7768</v>
      </c>
      <c r="M247">
        <f t="shared" si="3"/>
        <v>2</v>
      </c>
    </row>
    <row r="248" spans="1:13" x14ac:dyDescent="0.25">
      <c r="A248" t="s">
        <v>7894</v>
      </c>
      <c r="B248" t="s">
        <v>4832</v>
      </c>
      <c r="C248" t="s">
        <v>4831</v>
      </c>
      <c r="D248" t="s">
        <v>393</v>
      </c>
      <c r="E248" t="s">
        <v>3073</v>
      </c>
      <c r="F248" t="s">
        <v>4830</v>
      </c>
      <c r="G248" t="s">
        <v>4826</v>
      </c>
      <c r="H248" t="s">
        <v>4822</v>
      </c>
      <c r="I248" t="s">
        <v>218</v>
      </c>
      <c r="J248" t="s">
        <v>218</v>
      </c>
      <c r="K248" t="str">
        <f>IF(ISERROR(VLOOKUP(A248,GamesTable[game_id],1,0)),"not found","found")</f>
        <v>found</v>
      </c>
      <c r="L248" t="s">
        <v>7768</v>
      </c>
      <c r="M248">
        <f t="shared" si="3"/>
        <v>1</v>
      </c>
    </row>
    <row r="249" spans="1:13" x14ac:dyDescent="0.25">
      <c r="A249" t="s">
        <v>7895</v>
      </c>
      <c r="B249" t="s">
        <v>7258</v>
      </c>
      <c r="C249" t="s">
        <v>7257</v>
      </c>
      <c r="D249" t="s">
        <v>3906</v>
      </c>
      <c r="E249" t="s">
        <v>1912</v>
      </c>
      <c r="F249" t="s">
        <v>7256</v>
      </c>
      <c r="G249" t="s">
        <v>7252</v>
      </c>
      <c r="H249" t="s">
        <v>7248</v>
      </c>
      <c r="I249" t="s">
        <v>218</v>
      </c>
      <c r="J249" t="s">
        <v>218</v>
      </c>
      <c r="K249" t="str">
        <f>IF(ISERROR(VLOOKUP(A249,GamesTable[game_id],1,0)),"not found","found")</f>
        <v>found</v>
      </c>
      <c r="L249" t="s">
        <v>7768</v>
      </c>
      <c r="M249">
        <f t="shared" si="3"/>
        <v>1</v>
      </c>
    </row>
    <row r="250" spans="1:13" x14ac:dyDescent="0.25">
      <c r="A250" t="s">
        <v>7893</v>
      </c>
      <c r="B250" t="s">
        <v>4409</v>
      </c>
      <c r="C250" t="s">
        <v>4442</v>
      </c>
      <c r="D250" t="s">
        <v>1239</v>
      </c>
      <c r="E250" t="s">
        <v>2520</v>
      </c>
      <c r="F250" t="s">
        <v>4441</v>
      </c>
      <c r="G250" t="s">
        <v>4437</v>
      </c>
      <c r="H250" t="s">
        <v>4413</v>
      </c>
      <c r="I250" t="s">
        <v>218</v>
      </c>
      <c r="J250" t="s">
        <v>218</v>
      </c>
      <c r="K250" t="str">
        <f>IF(ISERROR(VLOOKUP(A250,GamesTable[game_id],1,0)),"not found","found")</f>
        <v>found</v>
      </c>
      <c r="L250" t="s">
        <v>7768</v>
      </c>
      <c r="M250">
        <f t="shared" si="3"/>
        <v>2</v>
      </c>
    </row>
    <row r="251" spans="1:13" hidden="1" x14ac:dyDescent="0.25">
      <c r="A251" t="s">
        <v>7893</v>
      </c>
      <c r="B251" t="s">
        <v>4415</v>
      </c>
      <c r="C251" t="s">
        <v>4414</v>
      </c>
      <c r="D251" t="s">
        <v>1239</v>
      </c>
      <c r="E251" t="s">
        <v>2520</v>
      </c>
      <c r="F251" t="s">
        <v>7768</v>
      </c>
      <c r="G251" t="s">
        <v>7768</v>
      </c>
      <c r="H251" t="s">
        <v>4413</v>
      </c>
      <c r="I251" t="s">
        <v>218</v>
      </c>
      <c r="J251" t="s">
        <v>218</v>
      </c>
      <c r="K251" t="str">
        <f>IF(ISERROR(VLOOKUP(A251,GamesTable[game_id],1,0)),"not found","found")</f>
        <v>found</v>
      </c>
      <c r="L251" t="s">
        <v>9753</v>
      </c>
      <c r="M251">
        <f t="shared" si="3"/>
        <v>2</v>
      </c>
    </row>
    <row r="252" spans="1:13" x14ac:dyDescent="0.25">
      <c r="A252" t="s">
        <v>7896</v>
      </c>
      <c r="B252" t="s">
        <v>325</v>
      </c>
      <c r="C252" t="s">
        <v>1561</v>
      </c>
      <c r="D252" t="s">
        <v>195</v>
      </c>
      <c r="E252" t="s">
        <v>1560</v>
      </c>
      <c r="F252" t="s">
        <v>1559</v>
      </c>
      <c r="G252" t="s">
        <v>1554</v>
      </c>
      <c r="H252" t="s">
        <v>1550</v>
      </c>
      <c r="I252" t="s">
        <v>218</v>
      </c>
      <c r="J252" t="s">
        <v>218</v>
      </c>
      <c r="K252" t="str">
        <f>IF(ISERROR(VLOOKUP(A252,GamesTable[game_id],1,0)),"not found","found")</f>
        <v>found</v>
      </c>
      <c r="L252" t="s">
        <v>7768</v>
      </c>
      <c r="M252">
        <f t="shared" si="3"/>
        <v>5</v>
      </c>
    </row>
    <row r="253" spans="1:13" hidden="1" x14ac:dyDescent="0.25">
      <c r="A253" t="s">
        <v>7896</v>
      </c>
      <c r="B253" t="s">
        <v>368</v>
      </c>
      <c r="C253" t="s">
        <v>367</v>
      </c>
      <c r="D253" t="s">
        <v>195</v>
      </c>
      <c r="E253" t="s">
        <v>194</v>
      </c>
      <c r="F253" t="s">
        <v>7768</v>
      </c>
      <c r="G253" t="s">
        <v>7768</v>
      </c>
      <c r="H253" t="s">
        <v>7768</v>
      </c>
      <c r="I253" t="s">
        <v>106</v>
      </c>
      <c r="J253" t="s">
        <v>218</v>
      </c>
      <c r="K253" t="str">
        <f>IF(ISERROR(VLOOKUP(A253,GamesTable[game_id],1,0)),"not found","found")</f>
        <v>found</v>
      </c>
      <c r="L253" t="s">
        <v>9753</v>
      </c>
      <c r="M253">
        <f t="shared" si="3"/>
        <v>5</v>
      </c>
    </row>
    <row r="254" spans="1:13" hidden="1" x14ac:dyDescent="0.25">
      <c r="A254" t="s">
        <v>7896</v>
      </c>
      <c r="B254" t="s">
        <v>359</v>
      </c>
      <c r="C254" t="s">
        <v>358</v>
      </c>
      <c r="D254" t="s">
        <v>195</v>
      </c>
      <c r="E254" t="s">
        <v>194</v>
      </c>
      <c r="F254" t="s">
        <v>7768</v>
      </c>
      <c r="G254" t="s">
        <v>7768</v>
      </c>
      <c r="H254" t="s">
        <v>7768</v>
      </c>
      <c r="I254" t="s">
        <v>106</v>
      </c>
      <c r="J254" t="s">
        <v>106</v>
      </c>
      <c r="K254" t="str">
        <f>IF(ISERROR(VLOOKUP(A254,GamesTable[game_id],1,0)),"not found","found")</f>
        <v>found</v>
      </c>
      <c r="L254" t="s">
        <v>9753</v>
      </c>
      <c r="M254">
        <f t="shared" si="3"/>
        <v>5</v>
      </c>
    </row>
    <row r="255" spans="1:13" hidden="1" x14ac:dyDescent="0.25">
      <c r="A255" t="s">
        <v>7896</v>
      </c>
      <c r="B255" t="s">
        <v>344</v>
      </c>
      <c r="C255" t="s">
        <v>343</v>
      </c>
      <c r="D255" t="s">
        <v>195</v>
      </c>
      <c r="E255" t="s">
        <v>194</v>
      </c>
      <c r="F255" t="s">
        <v>7768</v>
      </c>
      <c r="G255" t="s">
        <v>7768</v>
      </c>
      <c r="H255" t="s">
        <v>7768</v>
      </c>
      <c r="I255" t="s">
        <v>106</v>
      </c>
      <c r="J255" t="s">
        <v>106</v>
      </c>
      <c r="K255" t="str">
        <f>IF(ISERROR(VLOOKUP(A255,GamesTable[game_id],1,0)),"not found","found")</f>
        <v>found</v>
      </c>
      <c r="L255" t="s">
        <v>9753</v>
      </c>
      <c r="M255">
        <f t="shared" si="3"/>
        <v>5</v>
      </c>
    </row>
    <row r="256" spans="1:13" hidden="1" x14ac:dyDescent="0.25">
      <c r="A256" t="s">
        <v>7896</v>
      </c>
      <c r="B256" t="s">
        <v>332</v>
      </c>
      <c r="C256" t="s">
        <v>331</v>
      </c>
      <c r="D256" t="s">
        <v>195</v>
      </c>
      <c r="E256" t="s">
        <v>194</v>
      </c>
      <c r="F256" t="s">
        <v>7768</v>
      </c>
      <c r="G256" t="s">
        <v>7768</v>
      </c>
      <c r="H256" t="s">
        <v>7768</v>
      </c>
      <c r="I256" t="s">
        <v>106</v>
      </c>
      <c r="J256" t="s">
        <v>106</v>
      </c>
      <c r="K256" t="str">
        <f>IF(ISERROR(VLOOKUP(A256,GamesTable[game_id],1,0)),"not found","found")</f>
        <v>found</v>
      </c>
      <c r="L256" t="s">
        <v>9753</v>
      </c>
      <c r="M256">
        <f t="shared" si="3"/>
        <v>5</v>
      </c>
    </row>
    <row r="257" spans="1:13" x14ac:dyDescent="0.25">
      <c r="A257" t="s">
        <v>7898</v>
      </c>
      <c r="B257" t="s">
        <v>50</v>
      </c>
      <c r="C257" t="s">
        <v>49</v>
      </c>
      <c r="D257" t="s">
        <v>48</v>
      </c>
      <c r="E257" t="s">
        <v>47</v>
      </c>
      <c r="F257" t="s">
        <v>7768</v>
      </c>
      <c r="G257" t="s">
        <v>7768</v>
      </c>
      <c r="H257" t="s">
        <v>7768</v>
      </c>
      <c r="I257" t="s">
        <v>35</v>
      </c>
      <c r="J257" t="s">
        <v>35</v>
      </c>
      <c r="K257" t="str">
        <f>IF(ISERROR(VLOOKUP(A257,GamesTable[game_id],1,0)),"not found","found")</f>
        <v>found</v>
      </c>
      <c r="L257" t="s">
        <v>7768</v>
      </c>
      <c r="M257">
        <f t="shared" si="3"/>
        <v>1</v>
      </c>
    </row>
    <row r="258" spans="1:13" x14ac:dyDescent="0.25">
      <c r="A258" t="s">
        <v>7899</v>
      </c>
      <c r="B258" t="s">
        <v>7642</v>
      </c>
      <c r="C258" t="s">
        <v>7641</v>
      </c>
      <c r="D258" t="s">
        <v>3906</v>
      </c>
      <c r="E258" t="s">
        <v>1912</v>
      </c>
      <c r="F258" t="s">
        <v>7640</v>
      </c>
      <c r="G258" t="s">
        <v>7636</v>
      </c>
      <c r="H258" t="s">
        <v>7632</v>
      </c>
      <c r="I258" t="s">
        <v>218</v>
      </c>
      <c r="J258" t="s">
        <v>218</v>
      </c>
      <c r="K258" t="str">
        <f>IF(ISERROR(VLOOKUP(A258,GamesTable[game_id],1,0)),"not found","found")</f>
        <v>found</v>
      </c>
      <c r="L258" t="s">
        <v>7768</v>
      </c>
      <c r="M258">
        <f t="shared" ref="M258:M280" si="4">COUNTIF(A:A,A258)</f>
        <v>1</v>
      </c>
    </row>
    <row r="259" spans="1:13" x14ac:dyDescent="0.25">
      <c r="A259" t="s">
        <v>7900</v>
      </c>
      <c r="B259" t="s">
        <v>6281</v>
      </c>
      <c r="C259" t="s">
        <v>6280</v>
      </c>
      <c r="D259" t="s">
        <v>6279</v>
      </c>
      <c r="E259" t="s">
        <v>5638</v>
      </c>
      <c r="F259" t="s">
        <v>6278</v>
      </c>
      <c r="G259" t="s">
        <v>6274</v>
      </c>
      <c r="H259" t="s">
        <v>6270</v>
      </c>
      <c r="I259" t="s">
        <v>218</v>
      </c>
      <c r="J259" t="s">
        <v>218</v>
      </c>
      <c r="K259" t="str">
        <f>IF(ISERROR(VLOOKUP(A259,GamesTable[game_id],1,0)),"not found","found")</f>
        <v>found</v>
      </c>
      <c r="L259" t="s">
        <v>7768</v>
      </c>
      <c r="M259">
        <f t="shared" si="4"/>
        <v>1</v>
      </c>
    </row>
    <row r="260" spans="1:13" x14ac:dyDescent="0.25">
      <c r="A260" t="s">
        <v>7901</v>
      </c>
      <c r="B260" t="s">
        <v>3983</v>
      </c>
      <c r="C260" t="s">
        <v>3982</v>
      </c>
      <c r="D260" t="s">
        <v>1280</v>
      </c>
      <c r="E260" t="s">
        <v>3949</v>
      </c>
      <c r="F260" t="s">
        <v>3981</v>
      </c>
      <c r="G260" t="s">
        <v>3977</v>
      </c>
      <c r="H260" t="s">
        <v>3976</v>
      </c>
      <c r="I260" t="s">
        <v>218</v>
      </c>
      <c r="J260" t="s">
        <v>218</v>
      </c>
      <c r="K260" t="str">
        <f>IF(ISERROR(VLOOKUP(A260,GamesTable[game_id],1,0)),"not found","found")</f>
        <v>found</v>
      </c>
      <c r="L260" t="s">
        <v>7768</v>
      </c>
      <c r="M260">
        <f t="shared" si="4"/>
        <v>1</v>
      </c>
    </row>
    <row r="261" spans="1:13" x14ac:dyDescent="0.25">
      <c r="A261" t="s">
        <v>7902</v>
      </c>
      <c r="B261" t="s">
        <v>3277</v>
      </c>
      <c r="C261" t="s">
        <v>3276</v>
      </c>
      <c r="D261" t="s">
        <v>1280</v>
      </c>
      <c r="E261" t="s">
        <v>3275</v>
      </c>
      <c r="F261" t="s">
        <v>3274</v>
      </c>
      <c r="G261" t="s">
        <v>3270</v>
      </c>
      <c r="H261" t="s">
        <v>3269</v>
      </c>
      <c r="I261" t="s">
        <v>218</v>
      </c>
      <c r="J261" t="s">
        <v>218</v>
      </c>
      <c r="K261" t="str">
        <f>IF(ISERROR(VLOOKUP(A261,GamesTable[game_id],1,0)),"not found","found")</f>
        <v>found</v>
      </c>
      <c r="L261" t="s">
        <v>7768</v>
      </c>
      <c r="M261">
        <f t="shared" si="4"/>
        <v>1</v>
      </c>
    </row>
    <row r="262" spans="1:13" x14ac:dyDescent="0.25">
      <c r="A262" t="s">
        <v>7903</v>
      </c>
      <c r="B262" t="s">
        <v>4547</v>
      </c>
      <c r="C262" t="s">
        <v>4546</v>
      </c>
      <c r="D262" t="s">
        <v>1280</v>
      </c>
      <c r="E262" t="s">
        <v>4545</v>
      </c>
      <c r="F262" t="s">
        <v>4544</v>
      </c>
      <c r="G262" t="s">
        <v>7768</v>
      </c>
      <c r="H262" t="s">
        <v>4540</v>
      </c>
      <c r="I262" t="s">
        <v>106</v>
      </c>
      <c r="J262" t="s">
        <v>218</v>
      </c>
      <c r="K262" t="str">
        <f>IF(ISERROR(VLOOKUP(A262,GamesTable[game_id],1,0)),"not found","found")</f>
        <v>found</v>
      </c>
      <c r="L262" t="s">
        <v>7768</v>
      </c>
      <c r="M262">
        <f t="shared" si="4"/>
        <v>1</v>
      </c>
    </row>
    <row r="263" spans="1:13" x14ac:dyDescent="0.25">
      <c r="A263" t="s">
        <v>7897</v>
      </c>
      <c r="B263" t="s">
        <v>5919</v>
      </c>
      <c r="C263" t="s">
        <v>5934</v>
      </c>
      <c r="D263" t="s">
        <v>393</v>
      </c>
      <c r="E263" t="s">
        <v>1912</v>
      </c>
      <c r="F263" t="s">
        <v>5933</v>
      </c>
      <c r="G263" t="s">
        <v>5929</v>
      </c>
      <c r="H263" t="s">
        <v>5914</v>
      </c>
      <c r="I263" t="s">
        <v>106</v>
      </c>
      <c r="J263" t="s">
        <v>218</v>
      </c>
      <c r="K263" t="str">
        <f>IF(ISERROR(VLOOKUP(A263,GamesTable[game_id],1,0)),"not found","found")</f>
        <v>found</v>
      </c>
      <c r="L263" t="s">
        <v>7768</v>
      </c>
      <c r="M263">
        <f t="shared" si="4"/>
        <v>2</v>
      </c>
    </row>
    <row r="264" spans="1:13" hidden="1" x14ac:dyDescent="0.25">
      <c r="A264" t="s">
        <v>7897</v>
      </c>
      <c r="B264" t="s">
        <v>5925</v>
      </c>
      <c r="C264" t="s">
        <v>5924</v>
      </c>
      <c r="D264" t="s">
        <v>393</v>
      </c>
      <c r="E264" t="s">
        <v>1912</v>
      </c>
      <c r="F264" t="s">
        <v>5923</v>
      </c>
      <c r="G264" t="s">
        <v>5918</v>
      </c>
      <c r="H264" t="s">
        <v>5914</v>
      </c>
      <c r="I264" t="s">
        <v>35</v>
      </c>
      <c r="J264" t="s">
        <v>218</v>
      </c>
      <c r="K264" t="str">
        <f>IF(ISERROR(VLOOKUP(A264,GamesTable[game_id],1,0)),"not found","found")</f>
        <v>found</v>
      </c>
      <c r="L264" t="s">
        <v>9753</v>
      </c>
      <c r="M264">
        <f t="shared" si="4"/>
        <v>2</v>
      </c>
    </row>
    <row r="265" spans="1:13" x14ac:dyDescent="0.25">
      <c r="A265" t="s">
        <v>7905</v>
      </c>
      <c r="B265" t="s">
        <v>3244</v>
      </c>
      <c r="C265" t="s">
        <v>3243</v>
      </c>
      <c r="D265" t="s">
        <v>1280</v>
      </c>
      <c r="E265" t="s">
        <v>3242</v>
      </c>
      <c r="F265" t="s">
        <v>3241</v>
      </c>
      <c r="G265" t="s">
        <v>3237</v>
      </c>
      <c r="H265" t="s">
        <v>3233</v>
      </c>
      <c r="I265" t="s">
        <v>218</v>
      </c>
      <c r="J265" t="s">
        <v>218</v>
      </c>
      <c r="K265" t="str">
        <f>IF(ISERROR(VLOOKUP(A265,GamesTable[game_id],1,0)),"not found","found")</f>
        <v>found</v>
      </c>
      <c r="L265" t="s">
        <v>7768</v>
      </c>
      <c r="M265">
        <f t="shared" si="4"/>
        <v>1</v>
      </c>
    </row>
    <row r="266" spans="1:13" x14ac:dyDescent="0.25">
      <c r="A266" t="s">
        <v>7904</v>
      </c>
      <c r="B266" t="s">
        <v>5731</v>
      </c>
      <c r="C266" t="s">
        <v>5758</v>
      </c>
      <c r="D266" t="s">
        <v>5639</v>
      </c>
      <c r="E266" t="s">
        <v>5736</v>
      </c>
      <c r="F266" t="s">
        <v>5757</v>
      </c>
      <c r="G266" t="s">
        <v>5753</v>
      </c>
      <c r="H266" t="s">
        <v>5735</v>
      </c>
      <c r="I266" t="s">
        <v>218</v>
      </c>
      <c r="J266" t="s">
        <v>218</v>
      </c>
      <c r="K266" t="str">
        <f>IF(ISERROR(VLOOKUP(A266,GamesTable[game_id],1,0)),"not found","found")</f>
        <v>found</v>
      </c>
      <c r="L266" t="s">
        <v>7768</v>
      </c>
      <c r="M266">
        <f t="shared" si="4"/>
        <v>2</v>
      </c>
    </row>
    <row r="267" spans="1:13" hidden="1" x14ac:dyDescent="0.25">
      <c r="A267" t="s">
        <v>7904</v>
      </c>
      <c r="B267" t="s">
        <v>5738</v>
      </c>
      <c r="C267" t="s">
        <v>5737</v>
      </c>
      <c r="D267" t="s">
        <v>5639</v>
      </c>
      <c r="E267" t="s">
        <v>5736</v>
      </c>
      <c r="F267" t="s">
        <v>7768</v>
      </c>
      <c r="G267" t="s">
        <v>7768</v>
      </c>
      <c r="H267" t="s">
        <v>5735</v>
      </c>
      <c r="I267" t="s">
        <v>218</v>
      </c>
      <c r="J267" t="s">
        <v>218</v>
      </c>
      <c r="K267" t="str">
        <f>IF(ISERROR(VLOOKUP(A267,GamesTable[game_id],1,0)),"not found","found")</f>
        <v>found</v>
      </c>
      <c r="L267" t="s">
        <v>9753</v>
      </c>
      <c r="M267">
        <f t="shared" si="4"/>
        <v>2</v>
      </c>
    </row>
    <row r="268" spans="1:13" x14ac:dyDescent="0.25">
      <c r="A268" t="s">
        <v>7906</v>
      </c>
      <c r="B268" t="s">
        <v>5633</v>
      </c>
      <c r="C268" t="s">
        <v>5661</v>
      </c>
      <c r="D268" t="s">
        <v>5639</v>
      </c>
      <c r="E268" t="s">
        <v>5638</v>
      </c>
      <c r="F268" t="s">
        <v>5660</v>
      </c>
      <c r="G268" t="s">
        <v>5656</v>
      </c>
      <c r="H268" t="s">
        <v>5642</v>
      </c>
      <c r="I268" t="s">
        <v>106</v>
      </c>
      <c r="J268" t="s">
        <v>218</v>
      </c>
      <c r="K268" t="str">
        <f>IF(ISERROR(VLOOKUP(A268,GamesTable[game_id],1,0)),"not found","found")</f>
        <v>found</v>
      </c>
      <c r="L268" t="s">
        <v>7768</v>
      </c>
      <c r="M268">
        <f t="shared" si="4"/>
        <v>3</v>
      </c>
    </row>
    <row r="269" spans="1:13" hidden="1" x14ac:dyDescent="0.25">
      <c r="A269" t="s">
        <v>7906</v>
      </c>
      <c r="B269" t="s">
        <v>5652</v>
      </c>
      <c r="C269" t="s">
        <v>5651</v>
      </c>
      <c r="D269" t="s">
        <v>5639</v>
      </c>
      <c r="E269" t="s">
        <v>5638</v>
      </c>
      <c r="F269" t="s">
        <v>5650</v>
      </c>
      <c r="G269" t="s">
        <v>5646</v>
      </c>
      <c r="H269" t="s">
        <v>5642</v>
      </c>
      <c r="I269" t="s">
        <v>35</v>
      </c>
      <c r="J269" t="s">
        <v>218</v>
      </c>
      <c r="K269" t="str">
        <f>IF(ISERROR(VLOOKUP(A269,GamesTable[game_id],1,0)),"not found","found")</f>
        <v>found</v>
      </c>
      <c r="L269" t="s">
        <v>9753</v>
      </c>
      <c r="M269">
        <f t="shared" si="4"/>
        <v>3</v>
      </c>
    </row>
    <row r="270" spans="1:13" hidden="1" x14ac:dyDescent="0.25">
      <c r="A270" t="s">
        <v>7906</v>
      </c>
      <c r="B270" t="s">
        <v>5641</v>
      </c>
      <c r="C270" t="s">
        <v>5640</v>
      </c>
      <c r="D270" t="s">
        <v>5639</v>
      </c>
      <c r="E270" t="s">
        <v>5638</v>
      </c>
      <c r="F270" t="s">
        <v>7768</v>
      </c>
      <c r="G270" t="s">
        <v>7768</v>
      </c>
      <c r="H270" t="s">
        <v>7768</v>
      </c>
      <c r="I270" t="s">
        <v>5637</v>
      </c>
      <c r="J270" t="s">
        <v>218</v>
      </c>
      <c r="K270" t="str">
        <f>IF(ISERROR(VLOOKUP(A270,GamesTable[game_id],1,0)),"not found","found")</f>
        <v>found</v>
      </c>
      <c r="L270" t="s">
        <v>9753</v>
      </c>
      <c r="M270">
        <f t="shared" si="4"/>
        <v>3</v>
      </c>
    </row>
    <row r="271" spans="1:13" x14ac:dyDescent="0.25">
      <c r="A271" t="s">
        <v>9733</v>
      </c>
      <c r="B271" t="s">
        <v>5205</v>
      </c>
      <c r="C271" t="s">
        <v>5204</v>
      </c>
      <c r="D271" t="s">
        <v>393</v>
      </c>
      <c r="E271" t="s">
        <v>3275</v>
      </c>
      <c r="F271" t="s">
        <v>5203</v>
      </c>
      <c r="G271" t="s">
        <v>5199</v>
      </c>
      <c r="H271" t="s">
        <v>5198</v>
      </c>
      <c r="I271" t="s">
        <v>218</v>
      </c>
      <c r="J271" t="s">
        <v>218</v>
      </c>
      <c r="K271" t="str">
        <f>IF(ISERROR(VLOOKUP(A271,GamesTable[game_id],1,0)),"not found","found")</f>
        <v>found</v>
      </c>
      <c r="L271" t="s">
        <v>7768</v>
      </c>
      <c r="M271">
        <f t="shared" si="4"/>
        <v>1</v>
      </c>
    </row>
    <row r="272" spans="1:13" x14ac:dyDescent="0.25">
      <c r="A272" t="s">
        <v>7908</v>
      </c>
      <c r="B272" t="s">
        <v>4301</v>
      </c>
      <c r="C272" t="s">
        <v>4300</v>
      </c>
      <c r="D272" t="s">
        <v>1239</v>
      </c>
      <c r="E272" t="s">
        <v>3275</v>
      </c>
      <c r="F272" t="s">
        <v>4299</v>
      </c>
      <c r="G272" t="s">
        <v>4295</v>
      </c>
      <c r="H272" t="s">
        <v>4294</v>
      </c>
      <c r="I272" t="s">
        <v>218</v>
      </c>
      <c r="J272" t="s">
        <v>218</v>
      </c>
      <c r="K272" t="str">
        <f>IF(ISERROR(VLOOKUP(A272,GamesTable[game_id],1,0)),"not found","found")</f>
        <v>found</v>
      </c>
      <c r="L272" t="s">
        <v>7768</v>
      </c>
      <c r="M272">
        <f t="shared" si="4"/>
        <v>1</v>
      </c>
    </row>
    <row r="273" spans="1:13" x14ac:dyDescent="0.25">
      <c r="A273" t="s">
        <v>7909</v>
      </c>
      <c r="B273" t="s">
        <v>5182</v>
      </c>
      <c r="C273" t="s">
        <v>5181</v>
      </c>
      <c r="D273" t="s">
        <v>393</v>
      </c>
      <c r="E273" t="s">
        <v>3073</v>
      </c>
      <c r="F273" t="s">
        <v>5180</v>
      </c>
      <c r="G273" t="s">
        <v>5176</v>
      </c>
      <c r="H273" t="s">
        <v>5172</v>
      </c>
      <c r="I273" t="s">
        <v>218</v>
      </c>
      <c r="J273" t="s">
        <v>218</v>
      </c>
      <c r="K273" t="str">
        <f>IF(ISERROR(VLOOKUP(A273,GamesTable[game_id],1,0)),"not found","found")</f>
        <v>found</v>
      </c>
      <c r="L273" t="s">
        <v>7768</v>
      </c>
      <c r="M273">
        <f t="shared" si="4"/>
        <v>1</v>
      </c>
    </row>
    <row r="274" spans="1:13" x14ac:dyDescent="0.25">
      <c r="A274" t="s">
        <v>7910</v>
      </c>
      <c r="B274" t="s">
        <v>4915</v>
      </c>
      <c r="C274" t="s">
        <v>4914</v>
      </c>
      <c r="D274" t="s">
        <v>393</v>
      </c>
      <c r="E274" t="s">
        <v>4913</v>
      </c>
      <c r="F274" t="s">
        <v>4912</v>
      </c>
      <c r="G274" t="s">
        <v>4908</v>
      </c>
      <c r="H274" t="s">
        <v>4904</v>
      </c>
      <c r="I274" t="s">
        <v>106</v>
      </c>
      <c r="J274" t="s">
        <v>218</v>
      </c>
      <c r="K274" t="str">
        <f>IF(ISERROR(VLOOKUP(A274,GamesTable[game_id],1,0)),"not found","found")</f>
        <v>found</v>
      </c>
      <c r="L274" t="s">
        <v>7768</v>
      </c>
      <c r="M274">
        <f t="shared" si="4"/>
        <v>1</v>
      </c>
    </row>
    <row r="275" spans="1:13" x14ac:dyDescent="0.25">
      <c r="A275" t="s">
        <v>7911</v>
      </c>
      <c r="B275" t="s">
        <v>1282</v>
      </c>
      <c r="C275" t="s">
        <v>1281</v>
      </c>
      <c r="D275" t="s">
        <v>1280</v>
      </c>
      <c r="E275" t="s">
        <v>194</v>
      </c>
      <c r="F275" t="s">
        <v>7768</v>
      </c>
      <c r="G275" t="s">
        <v>7768</v>
      </c>
      <c r="H275" t="s">
        <v>7768</v>
      </c>
      <c r="I275" t="s">
        <v>106</v>
      </c>
      <c r="J275" t="s">
        <v>218</v>
      </c>
      <c r="K275" t="str">
        <f>IF(ISERROR(VLOOKUP(A275,GamesTable[game_id],1,0)),"not found","found")</f>
        <v>found</v>
      </c>
      <c r="L275" t="s">
        <v>7768</v>
      </c>
      <c r="M275">
        <f t="shared" si="4"/>
        <v>1</v>
      </c>
    </row>
    <row r="276" spans="1:13" x14ac:dyDescent="0.25">
      <c r="A276" t="s">
        <v>7912</v>
      </c>
      <c r="B276" t="s">
        <v>5037</v>
      </c>
      <c r="C276" t="s">
        <v>5036</v>
      </c>
      <c r="D276" t="s">
        <v>959</v>
      </c>
      <c r="E276" t="s">
        <v>1912</v>
      </c>
      <c r="F276" t="s">
        <v>7768</v>
      </c>
      <c r="G276" t="s">
        <v>7768</v>
      </c>
      <c r="H276" t="s">
        <v>5035</v>
      </c>
      <c r="I276" t="s">
        <v>106</v>
      </c>
      <c r="J276" t="s">
        <v>218</v>
      </c>
      <c r="K276" t="str">
        <f>IF(ISERROR(VLOOKUP(A276,GamesTable[game_id],1,0)),"not found","found")</f>
        <v>found</v>
      </c>
      <c r="L276" t="s">
        <v>7768</v>
      </c>
      <c r="M276">
        <f t="shared" si="4"/>
        <v>1</v>
      </c>
    </row>
    <row r="277" spans="1:13" x14ac:dyDescent="0.25">
      <c r="A277" s="20" t="s">
        <v>8980</v>
      </c>
      <c r="B277" t="s">
        <v>8979</v>
      </c>
      <c r="C277" t="s">
        <v>8983</v>
      </c>
      <c r="D277">
        <v>2013</v>
      </c>
      <c r="E277" t="s">
        <v>8981</v>
      </c>
      <c r="F277" t="s">
        <v>8982</v>
      </c>
      <c r="I277" t="s">
        <v>218</v>
      </c>
      <c r="J277" t="s">
        <v>218</v>
      </c>
      <c r="K277" t="str">
        <f>IF(ISERROR(VLOOKUP(A277,GamesTable[game_id],1,0)),"not found","found")</f>
        <v>found</v>
      </c>
      <c r="L277" t="s">
        <v>7768</v>
      </c>
      <c r="M277">
        <f t="shared" si="4"/>
        <v>1</v>
      </c>
    </row>
    <row r="278" spans="1:13" x14ac:dyDescent="0.25">
      <c r="A278" s="18" t="s">
        <v>8988</v>
      </c>
      <c r="B278" t="s">
        <v>8990</v>
      </c>
      <c r="C278" t="s">
        <v>8380</v>
      </c>
      <c r="D278">
        <v>2001</v>
      </c>
      <c r="E278" t="s">
        <v>8991</v>
      </c>
      <c r="I278" t="s">
        <v>8995</v>
      </c>
      <c r="J278" t="s">
        <v>8995</v>
      </c>
      <c r="K278" t="str">
        <f>IF(ISERROR(VLOOKUP(A278,GamesTable[game_id],1,0)),"not found","found")</f>
        <v>found</v>
      </c>
      <c r="L278" t="s">
        <v>7768</v>
      </c>
      <c r="M278">
        <f t="shared" si="4"/>
        <v>1</v>
      </c>
    </row>
    <row r="279" spans="1:13" x14ac:dyDescent="0.25">
      <c r="A279" s="11" t="s">
        <v>7907</v>
      </c>
      <c r="B279" t="s">
        <v>5492</v>
      </c>
      <c r="C279" t="s">
        <v>5504</v>
      </c>
      <c r="D279" t="s">
        <v>5315</v>
      </c>
      <c r="E279" t="s">
        <v>3770</v>
      </c>
      <c r="F279" t="s">
        <v>5503</v>
      </c>
      <c r="G279" t="s">
        <v>5499</v>
      </c>
      <c r="H279" t="s">
        <v>5490</v>
      </c>
      <c r="I279" t="s">
        <v>218</v>
      </c>
      <c r="J279" t="s">
        <v>218</v>
      </c>
      <c r="K279" t="str">
        <f>IF(ISERROR(VLOOKUP(A279,GamesTable[game_id],1,0)),"not found","found")</f>
        <v>found</v>
      </c>
      <c r="L279" t="s">
        <v>7768</v>
      </c>
      <c r="M279">
        <f t="shared" si="4"/>
        <v>2</v>
      </c>
    </row>
    <row r="280" spans="1:13" hidden="1" x14ac:dyDescent="0.25">
      <c r="A280" s="11" t="s">
        <v>7907</v>
      </c>
      <c r="B280" t="s">
        <v>5498</v>
      </c>
      <c r="C280" t="s">
        <v>5497</v>
      </c>
      <c r="D280" t="s">
        <v>5315</v>
      </c>
      <c r="E280" t="s">
        <v>3770</v>
      </c>
      <c r="F280" t="s">
        <v>5496</v>
      </c>
      <c r="G280" t="s">
        <v>5491</v>
      </c>
      <c r="H280" t="s">
        <v>5490</v>
      </c>
      <c r="I280" t="s">
        <v>35</v>
      </c>
      <c r="J280" t="s">
        <v>218</v>
      </c>
      <c r="K280" t="str">
        <f>IF(ISERROR(VLOOKUP(A280,GamesTable[game_id],1,0)),"not found","found")</f>
        <v>found</v>
      </c>
      <c r="L280" t="s">
        <v>9753</v>
      </c>
      <c r="M280">
        <f t="shared" si="4"/>
        <v>2</v>
      </c>
    </row>
    <row r="281" spans="1:13" x14ac:dyDescent="0.25">
      <c r="A281" s="11" t="s">
        <v>9029</v>
      </c>
      <c r="B281" t="s">
        <v>10238</v>
      </c>
      <c r="K281" t="str">
        <f>IF(ISERROR(VLOOKUP(A281,GamesTable[game_id],1,0)),"not found","found")</f>
        <v>found</v>
      </c>
    </row>
  </sheetData>
  <autoFilter ref="A1:M281" xr:uid="{F419DBE3-9A18-495A-B985-E3E9E9DBBCB1}">
    <filterColumn colId="11">
      <filters blank="1"/>
    </filterColumn>
  </autoFilter>
  <pageMargins left="0.7" right="0.7" top="0.75" bottom="0.75" header="0.3" footer="0.3"/>
  <pageSetup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4AD6A-10DB-44C2-A6C7-3AD0F7FA2C1C}">
  <sheetPr codeName="Sheet6"/>
  <dimension ref="A1:AS3386"/>
  <sheetViews>
    <sheetView workbookViewId="0">
      <selection activeCell="F24" sqref="F24"/>
    </sheetView>
  </sheetViews>
  <sheetFormatPr defaultRowHeight="15" x14ac:dyDescent="0.25"/>
  <cols>
    <col min="6" max="6" width="91.7109375" bestFit="1" customWidth="1"/>
    <col min="8" max="8" width="27.85546875" bestFit="1" customWidth="1"/>
    <col min="10" max="10" width="20" bestFit="1" customWidth="1"/>
    <col min="14" max="14" width="88" customWidth="1"/>
    <col min="18" max="18" width="12" bestFit="1" customWidth="1"/>
    <col min="20" max="20" width="15.85546875" bestFit="1" customWidth="1"/>
    <col min="33" max="33" width="17.140625" bestFit="1" customWidth="1"/>
    <col min="34" max="34" width="17.7109375" bestFit="1" customWidth="1"/>
  </cols>
  <sheetData>
    <row r="1" spans="1:45" x14ac:dyDescent="0.25">
      <c r="A1" s="1" t="s">
        <v>7764</v>
      </c>
      <c r="B1" s="1" t="s">
        <v>7744</v>
      </c>
      <c r="C1" s="1" t="s">
        <v>7762</v>
      </c>
      <c r="D1" s="1" t="s">
        <v>7763</v>
      </c>
      <c r="E1" s="4" t="s">
        <v>7744</v>
      </c>
      <c r="F1" s="5" t="s">
        <v>7762</v>
      </c>
      <c r="G1" s="5" t="s">
        <v>7761</v>
      </c>
      <c r="H1" s="5" t="s">
        <v>7760</v>
      </c>
      <c r="I1" s="1" t="s">
        <v>7766</v>
      </c>
      <c r="J1" s="2" t="s">
        <v>7759</v>
      </c>
      <c r="K1" s="2" t="s">
        <v>7765</v>
      </c>
      <c r="L1" s="4" t="s">
        <v>1373</v>
      </c>
      <c r="M1" s="4" t="s">
        <v>46</v>
      </c>
      <c r="N1" s="4" t="s">
        <v>1218</v>
      </c>
      <c r="O1" s="2" t="s">
        <v>111</v>
      </c>
      <c r="P1" s="2" t="s">
        <v>2951</v>
      </c>
      <c r="Q1" s="2" t="s">
        <v>7743</v>
      </c>
      <c r="R1" s="3" t="s">
        <v>7758</v>
      </c>
      <c r="S1" s="2" t="s">
        <v>7744</v>
      </c>
      <c r="T1" s="2" t="s">
        <v>7767</v>
      </c>
      <c r="U1" s="2" t="s">
        <v>7743</v>
      </c>
      <c r="V1" s="4" t="s">
        <v>46</v>
      </c>
      <c r="W1" s="4" t="s">
        <v>36</v>
      </c>
      <c r="X1" s="3" t="s">
        <v>7757</v>
      </c>
      <c r="Y1" s="1" t="s">
        <v>7744</v>
      </c>
      <c r="Z1" s="1" t="s">
        <v>7756</v>
      </c>
      <c r="AA1" s="1" t="s">
        <v>7755</v>
      </c>
      <c r="AB1" s="1" t="s">
        <v>7744</v>
      </c>
      <c r="AC1" s="1" t="s">
        <v>7754</v>
      </c>
      <c r="AD1" s="1" t="s">
        <v>7753</v>
      </c>
      <c r="AE1" s="1" t="s">
        <v>7749</v>
      </c>
      <c r="AF1" s="1" t="s">
        <v>7752</v>
      </c>
      <c r="AG1" s="1" t="s">
        <v>7751</v>
      </c>
      <c r="AH1" s="1" t="s">
        <v>7744</v>
      </c>
      <c r="AI1" s="1" t="s">
        <v>7750</v>
      </c>
      <c r="AJ1" s="1" t="s">
        <v>7749</v>
      </c>
      <c r="AK1" s="1" t="s">
        <v>7748</v>
      </c>
      <c r="AL1" s="1" t="s">
        <v>7747</v>
      </c>
      <c r="AM1" s="1" t="s">
        <v>7746</v>
      </c>
      <c r="AN1" s="1" t="s">
        <v>7743</v>
      </c>
      <c r="AO1" s="1" t="s">
        <v>7745</v>
      </c>
      <c r="AP1" s="1" t="s">
        <v>7744</v>
      </c>
      <c r="AQ1" s="1" t="s">
        <v>7743</v>
      </c>
      <c r="AR1" s="1" t="s">
        <v>7742</v>
      </c>
      <c r="AS1" s="1" t="s">
        <v>7741</v>
      </c>
    </row>
    <row r="2" spans="1:45" x14ac:dyDescent="0.25">
      <c r="B2" t="s">
        <v>7740</v>
      </c>
      <c r="C2" t="s">
        <v>7739</v>
      </c>
      <c r="E2" t="s">
        <v>7738</v>
      </c>
      <c r="F2" t="s">
        <v>7737</v>
      </c>
      <c r="G2" t="s">
        <v>3906</v>
      </c>
      <c r="H2" t="s">
        <v>1912</v>
      </c>
      <c r="I2" t="str">
        <f>IF(E2="",I1,E2)</f>
        <v>nam1975</v>
      </c>
      <c r="J2" t="str">
        <f>IF(K2="","",I2&amp;K2)</f>
        <v>nam1975serial</v>
      </c>
      <c r="K2" t="s">
        <v>1373</v>
      </c>
      <c r="L2" t="str">
        <f>IFERROR(VLOOKUP($I2&amp;L$1,$J:$Q,8,0),"")</f>
        <v>NGM-001 (MVS), NGH-001 (AES)</v>
      </c>
      <c r="M2" t="str">
        <f t="shared" ref="M2:P17" si="0">IFERROR(VLOOKUP($I2&amp;M$1,$J:$Q,8,0),"")</f>
        <v>19900426 (MVS), 19910701 (AES)</v>
      </c>
      <c r="N2" t="str">
        <f t="shared" si="0"/>
        <v>ナム1975</v>
      </c>
      <c r="O2" t="str">
        <f t="shared" si="0"/>
        <v/>
      </c>
      <c r="P2" t="str">
        <f t="shared" si="0"/>
        <v/>
      </c>
      <c r="Q2" t="s">
        <v>7736</v>
      </c>
      <c r="S2" t="s">
        <v>46</v>
      </c>
      <c r="T2" t="str">
        <f>IF(S2="","",I2&amp;S2)</f>
        <v>nam1975release</v>
      </c>
      <c r="U2" t="s">
        <v>218</v>
      </c>
      <c r="V2" t="str">
        <f>IFERROR(VLOOKUP($I2&amp;V$1,$T:$AA,2,0),"")</f>
        <v>MVS,AES</v>
      </c>
      <c r="W2" t="str">
        <f>IFERROR(VLOOKUP($I2&amp;W$1,$T:$AA,2,0),"")</f>
        <v>MVS,AES</v>
      </c>
      <c r="Y2" t="s">
        <v>45</v>
      </c>
      <c r="Z2" t="s">
        <v>44</v>
      </c>
      <c r="AB2" t="s">
        <v>43</v>
      </c>
      <c r="AC2" t="s">
        <v>42</v>
      </c>
      <c r="AD2" t="s">
        <v>41</v>
      </c>
      <c r="AE2" t="s">
        <v>15</v>
      </c>
      <c r="AG2" t="s">
        <v>40</v>
      </c>
      <c r="AH2" t="s">
        <v>7735</v>
      </c>
      <c r="AI2" t="s">
        <v>9</v>
      </c>
      <c r="AJ2" t="s">
        <v>92</v>
      </c>
      <c r="AK2" t="s">
        <v>7734</v>
      </c>
      <c r="AL2" t="s">
        <v>7733</v>
      </c>
    </row>
    <row r="3" spans="1:45" x14ac:dyDescent="0.25">
      <c r="I3" t="str">
        <f t="shared" ref="I3:I66" si="1">IF(E3="",I2,E3)</f>
        <v>nam1975</v>
      </c>
      <c r="J3" t="str">
        <f t="shared" ref="J3:J66" si="2">IF(K3="","",I3&amp;K3)</f>
        <v>nam1975release</v>
      </c>
      <c r="K3" t="s">
        <v>46</v>
      </c>
      <c r="L3" t="str">
        <f t="shared" ref="L3:P65" si="3">IFERROR(VLOOKUP($I3&amp;L$1,$J:$Q,8,0),"")</f>
        <v>NGM-001 (MVS), NGH-001 (AES)</v>
      </c>
      <c r="M3" t="str">
        <f t="shared" si="0"/>
        <v>19900426 (MVS), 19910701 (AES)</v>
      </c>
      <c r="N3" t="str">
        <f t="shared" si="0"/>
        <v>ナム1975</v>
      </c>
      <c r="O3" t="str">
        <f t="shared" si="0"/>
        <v/>
      </c>
      <c r="P3" t="str">
        <f t="shared" si="0"/>
        <v/>
      </c>
      <c r="Q3" t="s">
        <v>7579</v>
      </c>
      <c r="T3" t="str">
        <f t="shared" ref="T3:T66" si="4">IF(S3="","",I3&amp;S3)</f>
        <v/>
      </c>
      <c r="V3" t="str">
        <f t="shared" ref="V3:W22" si="5">IFERROR(VLOOKUP($I3&amp;V$1,$T:$AA,2,0),"")</f>
        <v>MVS,AES</v>
      </c>
      <c r="W3" t="str">
        <f t="shared" si="5"/>
        <v>MVS,AES</v>
      </c>
      <c r="AB3" t="s">
        <v>34</v>
      </c>
      <c r="AE3" t="s">
        <v>33</v>
      </c>
      <c r="AH3" t="s">
        <v>7732</v>
      </c>
      <c r="AI3" t="s">
        <v>9</v>
      </c>
      <c r="AJ3" t="s">
        <v>27</v>
      </c>
      <c r="AK3" t="s">
        <v>7731</v>
      </c>
      <c r="AL3" t="s">
        <v>7730</v>
      </c>
    </row>
    <row r="4" spans="1:45" x14ac:dyDescent="0.25">
      <c r="I4" t="str">
        <f t="shared" si="1"/>
        <v>nam1975</v>
      </c>
      <c r="J4" t="str">
        <f t="shared" si="2"/>
        <v>nam1975alt_title</v>
      </c>
      <c r="K4" t="s">
        <v>1218</v>
      </c>
      <c r="L4" t="str">
        <f t="shared" si="3"/>
        <v>NGM-001 (MVS), NGH-001 (AES)</v>
      </c>
      <c r="M4" t="str">
        <f t="shared" si="0"/>
        <v>19900426 (MVS), 19910701 (AES)</v>
      </c>
      <c r="N4" t="str">
        <f t="shared" si="0"/>
        <v>ナム1975</v>
      </c>
      <c r="O4" t="str">
        <f t="shared" si="0"/>
        <v/>
      </c>
      <c r="P4" t="str">
        <f t="shared" si="0"/>
        <v/>
      </c>
      <c r="Q4" t="s">
        <v>7729</v>
      </c>
      <c r="T4" t="str">
        <f t="shared" si="4"/>
        <v/>
      </c>
      <c r="V4" t="str">
        <f t="shared" si="5"/>
        <v>MVS,AES</v>
      </c>
      <c r="W4" t="str">
        <f t="shared" si="5"/>
        <v>MVS,AES</v>
      </c>
      <c r="AB4" t="s">
        <v>29</v>
      </c>
      <c r="AE4" t="s">
        <v>33</v>
      </c>
      <c r="AH4" t="s">
        <v>7728</v>
      </c>
      <c r="AI4" t="s">
        <v>9</v>
      </c>
      <c r="AJ4" t="s">
        <v>33</v>
      </c>
      <c r="AK4" t="s">
        <v>7727</v>
      </c>
      <c r="AL4" t="s">
        <v>7726</v>
      </c>
    </row>
    <row r="5" spans="1:45" x14ac:dyDescent="0.25">
      <c r="I5" t="str">
        <f t="shared" si="1"/>
        <v>nam1975</v>
      </c>
      <c r="J5" t="str">
        <f t="shared" si="2"/>
        <v/>
      </c>
      <c r="L5" t="str">
        <f t="shared" si="3"/>
        <v>NGM-001 (MVS), NGH-001 (AES)</v>
      </c>
      <c r="M5" t="str">
        <f t="shared" si="0"/>
        <v>19900426 (MVS), 19910701 (AES)</v>
      </c>
      <c r="N5" t="str">
        <f t="shared" si="0"/>
        <v>ナム1975</v>
      </c>
      <c r="O5" t="str">
        <f t="shared" si="0"/>
        <v/>
      </c>
      <c r="P5" t="str">
        <f t="shared" si="0"/>
        <v/>
      </c>
      <c r="S5" t="s">
        <v>36</v>
      </c>
      <c r="T5" t="str">
        <f t="shared" si="4"/>
        <v>nam1975compatibility</v>
      </c>
      <c r="U5" t="s">
        <v>218</v>
      </c>
      <c r="V5" t="str">
        <f t="shared" si="5"/>
        <v>MVS,AES</v>
      </c>
      <c r="W5" t="str">
        <f t="shared" si="5"/>
        <v>MVS,AES</v>
      </c>
      <c r="AB5" t="s">
        <v>24</v>
      </c>
      <c r="AE5" t="s">
        <v>480</v>
      </c>
      <c r="AH5" t="s">
        <v>7725</v>
      </c>
      <c r="AI5" t="s">
        <v>9</v>
      </c>
      <c r="AJ5" t="s">
        <v>92</v>
      </c>
      <c r="AK5" t="s">
        <v>7724</v>
      </c>
      <c r="AL5" t="s">
        <v>7723</v>
      </c>
    </row>
    <row r="6" spans="1:45" x14ac:dyDescent="0.25">
      <c r="I6" t="str">
        <f t="shared" si="1"/>
        <v>nam1975</v>
      </c>
      <c r="J6" t="str">
        <f t="shared" si="2"/>
        <v/>
      </c>
      <c r="L6" t="str">
        <f t="shared" si="3"/>
        <v>NGM-001 (MVS), NGH-001 (AES)</v>
      </c>
      <c r="M6" t="str">
        <f t="shared" si="0"/>
        <v>19900426 (MVS), 19910701 (AES)</v>
      </c>
      <c r="N6" t="str">
        <f t="shared" si="0"/>
        <v>ナム1975</v>
      </c>
      <c r="O6" t="str">
        <f t="shared" si="0"/>
        <v/>
      </c>
      <c r="P6" t="str">
        <f t="shared" si="0"/>
        <v/>
      </c>
      <c r="T6" t="str">
        <f t="shared" si="4"/>
        <v/>
      </c>
      <c r="V6" t="str">
        <f t="shared" si="5"/>
        <v>MVS,AES</v>
      </c>
      <c r="W6" t="str">
        <f t="shared" si="5"/>
        <v>MVS,AES</v>
      </c>
      <c r="AB6" t="s">
        <v>6575</v>
      </c>
      <c r="AE6" t="s">
        <v>4502</v>
      </c>
      <c r="AH6" t="s">
        <v>7722</v>
      </c>
      <c r="AI6" t="s">
        <v>9</v>
      </c>
      <c r="AJ6" t="s">
        <v>92</v>
      </c>
      <c r="AK6" t="s">
        <v>7721</v>
      </c>
      <c r="AL6" t="s">
        <v>7720</v>
      </c>
    </row>
    <row r="7" spans="1:45" x14ac:dyDescent="0.25">
      <c r="I7" t="str">
        <f t="shared" si="1"/>
        <v>nam1975</v>
      </c>
      <c r="J7" t="str">
        <f t="shared" si="2"/>
        <v/>
      </c>
      <c r="L7" t="str">
        <f t="shared" si="3"/>
        <v>NGM-001 (MVS), NGH-001 (AES)</v>
      </c>
      <c r="M7" t="str">
        <f t="shared" si="0"/>
        <v>19900426 (MVS), 19910701 (AES)</v>
      </c>
      <c r="N7" t="str">
        <f t="shared" si="0"/>
        <v>ナム1975</v>
      </c>
      <c r="O7" t="str">
        <f t="shared" si="0"/>
        <v/>
      </c>
      <c r="P7" t="str">
        <f t="shared" si="0"/>
        <v/>
      </c>
      <c r="T7" t="str">
        <f t="shared" si="4"/>
        <v/>
      </c>
      <c r="V7" t="str">
        <f t="shared" si="5"/>
        <v>MVS,AES</v>
      </c>
      <c r="W7" t="str">
        <f t="shared" si="5"/>
        <v>MVS,AES</v>
      </c>
      <c r="AH7" t="s">
        <v>7719</v>
      </c>
      <c r="AI7" t="s">
        <v>92</v>
      </c>
      <c r="AJ7" t="s">
        <v>92</v>
      </c>
      <c r="AK7" t="s">
        <v>7718</v>
      </c>
      <c r="AL7" t="s">
        <v>7717</v>
      </c>
    </row>
    <row r="8" spans="1:45" x14ac:dyDescent="0.25">
      <c r="I8" t="str">
        <f t="shared" si="1"/>
        <v>nam1975</v>
      </c>
      <c r="J8" t="str">
        <f t="shared" si="2"/>
        <v/>
      </c>
      <c r="L8" t="str">
        <f t="shared" si="3"/>
        <v>NGM-001 (MVS), NGH-001 (AES)</v>
      </c>
      <c r="M8" t="str">
        <f t="shared" si="0"/>
        <v>19900426 (MVS), 19910701 (AES)</v>
      </c>
      <c r="N8" t="str">
        <f t="shared" si="0"/>
        <v>ナム1975</v>
      </c>
      <c r="O8" t="str">
        <f t="shared" si="0"/>
        <v/>
      </c>
      <c r="P8" t="str">
        <f t="shared" si="0"/>
        <v/>
      </c>
      <c r="T8" t="str">
        <f t="shared" si="4"/>
        <v/>
      </c>
      <c r="V8" t="str">
        <f t="shared" si="5"/>
        <v>MVS,AES</v>
      </c>
      <c r="W8" t="str">
        <f t="shared" si="5"/>
        <v>MVS,AES</v>
      </c>
      <c r="AH8" t="s">
        <v>7716</v>
      </c>
      <c r="AI8" t="s">
        <v>15</v>
      </c>
      <c r="AJ8" t="s">
        <v>92</v>
      </c>
      <c r="AK8" t="s">
        <v>7715</v>
      </c>
      <c r="AL8" t="s">
        <v>7714</v>
      </c>
    </row>
    <row r="9" spans="1:45" x14ac:dyDescent="0.25">
      <c r="I9" t="str">
        <f t="shared" si="1"/>
        <v>nam1975</v>
      </c>
      <c r="J9" t="str">
        <f t="shared" si="2"/>
        <v/>
      </c>
      <c r="L9" t="str">
        <f t="shared" si="3"/>
        <v>NGM-001 (MVS), NGH-001 (AES)</v>
      </c>
      <c r="M9" t="str">
        <f t="shared" si="0"/>
        <v>19900426 (MVS), 19910701 (AES)</v>
      </c>
      <c r="N9" t="str">
        <f t="shared" si="0"/>
        <v>ナム1975</v>
      </c>
      <c r="O9" t="str">
        <f t="shared" si="0"/>
        <v/>
      </c>
      <c r="P9" t="str">
        <f t="shared" si="0"/>
        <v/>
      </c>
      <c r="T9" t="str">
        <f t="shared" si="4"/>
        <v/>
      </c>
      <c r="V9" t="str">
        <f t="shared" si="5"/>
        <v>MVS,AES</v>
      </c>
      <c r="W9" t="str">
        <f t="shared" si="5"/>
        <v>MVS,AES</v>
      </c>
      <c r="AB9" t="s">
        <v>12</v>
      </c>
      <c r="AE9" t="s">
        <v>377</v>
      </c>
      <c r="AG9" t="s">
        <v>6</v>
      </c>
      <c r="AH9" t="s">
        <v>7713</v>
      </c>
      <c r="AI9" t="s">
        <v>9</v>
      </c>
      <c r="AJ9" t="s">
        <v>92</v>
      </c>
      <c r="AK9" t="s">
        <v>7712</v>
      </c>
      <c r="AL9" t="s">
        <v>7711</v>
      </c>
    </row>
    <row r="10" spans="1:45" x14ac:dyDescent="0.25">
      <c r="I10" t="str">
        <f t="shared" si="1"/>
        <v>nam1975</v>
      </c>
      <c r="J10" t="str">
        <f t="shared" si="2"/>
        <v/>
      </c>
      <c r="L10" t="str">
        <f t="shared" si="3"/>
        <v>NGM-001 (MVS), NGH-001 (AES)</v>
      </c>
      <c r="M10" t="str">
        <f t="shared" si="0"/>
        <v>19900426 (MVS), 19910701 (AES)</v>
      </c>
      <c r="N10" t="str">
        <f t="shared" si="0"/>
        <v>ナム1975</v>
      </c>
      <c r="O10" t="str">
        <f t="shared" si="0"/>
        <v/>
      </c>
      <c r="P10" t="str">
        <f t="shared" si="0"/>
        <v/>
      </c>
      <c r="T10" t="str">
        <f t="shared" si="4"/>
        <v/>
      </c>
      <c r="V10" t="str">
        <f t="shared" si="5"/>
        <v>MVS,AES</v>
      </c>
      <c r="W10" t="str">
        <f t="shared" si="5"/>
        <v>MVS,AES</v>
      </c>
      <c r="AG10" t="s">
        <v>6</v>
      </c>
      <c r="AH10" t="s">
        <v>7710</v>
      </c>
      <c r="AI10" t="s">
        <v>4</v>
      </c>
      <c r="AJ10" t="s">
        <v>92</v>
      </c>
      <c r="AK10" t="s">
        <v>7709</v>
      </c>
      <c r="AL10" t="s">
        <v>7708</v>
      </c>
    </row>
    <row r="11" spans="1:45" x14ac:dyDescent="0.25">
      <c r="I11" t="str">
        <f t="shared" si="1"/>
        <v>nam1975</v>
      </c>
      <c r="J11" t="str">
        <f t="shared" si="2"/>
        <v/>
      </c>
      <c r="L11" t="str">
        <f t="shared" si="3"/>
        <v>NGM-001 (MVS), NGH-001 (AES)</v>
      </c>
      <c r="M11" t="str">
        <f t="shared" si="0"/>
        <v>19900426 (MVS), 19910701 (AES)</v>
      </c>
      <c r="N11" t="str">
        <f t="shared" si="0"/>
        <v>ナム1975</v>
      </c>
      <c r="O11" t="str">
        <f t="shared" si="0"/>
        <v/>
      </c>
      <c r="P11" t="str">
        <f t="shared" si="0"/>
        <v/>
      </c>
      <c r="T11" t="str">
        <f t="shared" si="4"/>
        <v/>
      </c>
      <c r="V11" t="str">
        <f t="shared" si="5"/>
        <v>MVS,AES</v>
      </c>
      <c r="W11" t="str">
        <f t="shared" si="5"/>
        <v>MVS,AES</v>
      </c>
      <c r="AG11" t="s">
        <v>6</v>
      </c>
      <c r="AH11" t="s">
        <v>7707</v>
      </c>
      <c r="AI11" t="s">
        <v>15</v>
      </c>
      <c r="AJ11" t="s">
        <v>92</v>
      </c>
      <c r="AK11" t="s">
        <v>7706</v>
      </c>
      <c r="AL11" t="s">
        <v>7705</v>
      </c>
    </row>
    <row r="12" spans="1:45" x14ac:dyDescent="0.25">
      <c r="I12" t="str">
        <f t="shared" si="1"/>
        <v>nam1975</v>
      </c>
      <c r="J12" t="str">
        <f t="shared" si="2"/>
        <v/>
      </c>
      <c r="L12" t="str">
        <f t="shared" si="3"/>
        <v>NGM-001 (MVS), NGH-001 (AES)</v>
      </c>
      <c r="M12" t="str">
        <f t="shared" si="0"/>
        <v>19900426 (MVS), 19910701 (AES)</v>
      </c>
      <c r="N12" t="str">
        <f t="shared" si="0"/>
        <v>ナム1975</v>
      </c>
      <c r="O12" t="str">
        <f t="shared" si="0"/>
        <v/>
      </c>
      <c r="P12" t="str">
        <f t="shared" si="0"/>
        <v/>
      </c>
      <c r="T12" t="str">
        <f t="shared" si="4"/>
        <v/>
      </c>
      <c r="V12" t="str">
        <f t="shared" si="5"/>
        <v>MVS,AES</v>
      </c>
      <c r="W12" t="str">
        <f t="shared" si="5"/>
        <v>MVS,AES</v>
      </c>
      <c r="AG12" t="s">
        <v>6</v>
      </c>
      <c r="AH12" t="s">
        <v>7704</v>
      </c>
      <c r="AI12" t="s">
        <v>7267</v>
      </c>
      <c r="AJ12" t="s">
        <v>92</v>
      </c>
      <c r="AK12" t="s">
        <v>7703</v>
      </c>
      <c r="AL12" t="s">
        <v>7702</v>
      </c>
    </row>
    <row r="13" spans="1:45" x14ac:dyDescent="0.25">
      <c r="I13" t="str">
        <f t="shared" si="1"/>
        <v>nam1975</v>
      </c>
      <c r="J13" t="str">
        <f t="shared" si="2"/>
        <v/>
      </c>
      <c r="L13" t="str">
        <f t="shared" si="3"/>
        <v>NGM-001 (MVS), NGH-001 (AES)</v>
      </c>
      <c r="M13" t="str">
        <f t="shared" si="0"/>
        <v>19900426 (MVS), 19910701 (AES)</v>
      </c>
      <c r="N13" t="str">
        <f t="shared" si="0"/>
        <v>ナム1975</v>
      </c>
      <c r="O13" t="str">
        <f t="shared" si="0"/>
        <v/>
      </c>
      <c r="P13" t="str">
        <f t="shared" si="0"/>
        <v/>
      </c>
      <c r="T13" t="str">
        <f t="shared" si="4"/>
        <v/>
      </c>
      <c r="V13" t="str">
        <f t="shared" si="5"/>
        <v>MVS,AES</v>
      </c>
      <c r="W13" t="str">
        <f t="shared" si="5"/>
        <v>MVS,AES</v>
      </c>
      <c r="AG13" t="s">
        <v>6</v>
      </c>
      <c r="AH13" t="s">
        <v>7701</v>
      </c>
      <c r="AI13" t="s">
        <v>3</v>
      </c>
      <c r="AJ13" t="s">
        <v>92</v>
      </c>
      <c r="AK13" t="s">
        <v>7700</v>
      </c>
      <c r="AL13" t="s">
        <v>7699</v>
      </c>
    </row>
    <row r="14" spans="1:45" x14ac:dyDescent="0.25">
      <c r="I14" t="str">
        <f t="shared" si="1"/>
        <v>nam1975</v>
      </c>
      <c r="J14" t="str">
        <f t="shared" si="2"/>
        <v/>
      </c>
      <c r="L14" t="str">
        <f t="shared" si="3"/>
        <v>NGM-001 (MVS), NGH-001 (AES)</v>
      </c>
      <c r="M14" t="str">
        <f t="shared" si="0"/>
        <v>19900426 (MVS), 19910701 (AES)</v>
      </c>
      <c r="N14" t="str">
        <f t="shared" si="0"/>
        <v>ナム1975</v>
      </c>
      <c r="O14" t="str">
        <f t="shared" si="0"/>
        <v/>
      </c>
      <c r="P14" t="str">
        <f t="shared" si="0"/>
        <v/>
      </c>
      <c r="T14" t="str">
        <f t="shared" si="4"/>
        <v/>
      </c>
      <c r="V14" t="str">
        <f t="shared" si="5"/>
        <v>MVS,AES</v>
      </c>
      <c r="W14" t="str">
        <f t="shared" si="5"/>
        <v>MVS,AES</v>
      </c>
      <c r="AG14" t="s">
        <v>6</v>
      </c>
      <c r="AH14" t="s">
        <v>7698</v>
      </c>
      <c r="AI14" t="s">
        <v>4371</v>
      </c>
      <c r="AJ14" t="s">
        <v>92</v>
      </c>
      <c r="AK14" t="s">
        <v>7697</v>
      </c>
      <c r="AL14" t="s">
        <v>7696</v>
      </c>
    </row>
    <row r="15" spans="1:45" x14ac:dyDescent="0.25">
      <c r="E15" t="s">
        <v>7683</v>
      </c>
      <c r="F15" t="s">
        <v>7695</v>
      </c>
      <c r="G15" t="s">
        <v>3906</v>
      </c>
      <c r="H15" t="s">
        <v>1912</v>
      </c>
      <c r="I15" t="str">
        <f t="shared" si="1"/>
        <v>bstars</v>
      </c>
      <c r="J15" t="str">
        <f t="shared" si="2"/>
        <v>bstarsserial</v>
      </c>
      <c r="K15" t="s">
        <v>1373</v>
      </c>
      <c r="L15" t="str">
        <f t="shared" si="3"/>
        <v>NGM-002</v>
      </c>
      <c r="M15" t="str">
        <f t="shared" si="0"/>
        <v>19900426</v>
      </c>
      <c r="N15" t="str">
        <f t="shared" si="0"/>
        <v>ベースボールスターズ プロフェッショナル（ベースタ・プロ）</v>
      </c>
      <c r="O15" t="str">
        <f t="shared" si="0"/>
        <v/>
      </c>
      <c r="P15" t="str">
        <f t="shared" si="0"/>
        <v/>
      </c>
      <c r="Q15" t="s">
        <v>7694</v>
      </c>
      <c r="S15" t="s">
        <v>46</v>
      </c>
      <c r="T15" t="str">
        <f t="shared" si="4"/>
        <v>bstarsrelease</v>
      </c>
      <c r="U15" t="s">
        <v>106</v>
      </c>
      <c r="V15" t="str">
        <f t="shared" si="5"/>
        <v>MVS</v>
      </c>
      <c r="W15" t="str">
        <f t="shared" si="5"/>
        <v>MVS,AES</v>
      </c>
      <c r="Y15" t="s">
        <v>45</v>
      </c>
      <c r="Z15" t="s">
        <v>44</v>
      </c>
      <c r="AB15" t="s">
        <v>43</v>
      </c>
      <c r="AC15" t="s">
        <v>42</v>
      </c>
      <c r="AD15" t="s">
        <v>41</v>
      </c>
      <c r="AE15" t="s">
        <v>15</v>
      </c>
      <c r="AG15" t="s">
        <v>40</v>
      </c>
      <c r="AH15" t="s">
        <v>7693</v>
      </c>
      <c r="AI15" t="s">
        <v>9</v>
      </c>
      <c r="AJ15" t="s">
        <v>92</v>
      </c>
      <c r="AK15" t="s">
        <v>7692</v>
      </c>
      <c r="AL15" t="s">
        <v>7691</v>
      </c>
    </row>
    <row r="16" spans="1:45" x14ac:dyDescent="0.25">
      <c r="I16" t="str">
        <f t="shared" si="1"/>
        <v>bstars</v>
      </c>
      <c r="J16" t="str">
        <f t="shared" si="2"/>
        <v>bstarsrelease</v>
      </c>
      <c r="K16" t="s">
        <v>46</v>
      </c>
      <c r="L16" t="str">
        <f t="shared" si="3"/>
        <v>NGM-002</v>
      </c>
      <c r="M16" t="str">
        <f t="shared" si="0"/>
        <v>19900426</v>
      </c>
      <c r="N16" t="str">
        <f t="shared" si="0"/>
        <v>ベースボールスターズ プロフェッショナル（ベースタ・プロ）</v>
      </c>
      <c r="O16" t="str">
        <f t="shared" si="0"/>
        <v/>
      </c>
      <c r="P16" t="str">
        <f t="shared" si="0"/>
        <v/>
      </c>
      <c r="Q16" t="s">
        <v>7539</v>
      </c>
      <c r="T16" t="str">
        <f t="shared" si="4"/>
        <v/>
      </c>
      <c r="V16" t="str">
        <f t="shared" si="5"/>
        <v>MVS</v>
      </c>
      <c r="W16" t="str">
        <f t="shared" si="5"/>
        <v>MVS,AES</v>
      </c>
      <c r="AB16" t="s">
        <v>34</v>
      </c>
      <c r="AE16" t="s">
        <v>33</v>
      </c>
      <c r="AH16" t="s">
        <v>7682</v>
      </c>
      <c r="AI16" t="s">
        <v>9</v>
      </c>
      <c r="AJ16" t="s">
        <v>27</v>
      </c>
      <c r="AK16" t="s">
        <v>7681</v>
      </c>
      <c r="AL16" t="s">
        <v>7680</v>
      </c>
    </row>
    <row r="17" spans="5:44" x14ac:dyDescent="0.25">
      <c r="I17" t="str">
        <f t="shared" si="1"/>
        <v>bstars</v>
      </c>
      <c r="J17" t="str">
        <f t="shared" si="2"/>
        <v>bstarsalt_title</v>
      </c>
      <c r="K17" t="s">
        <v>1218</v>
      </c>
      <c r="L17" t="str">
        <f t="shared" si="3"/>
        <v>NGM-002</v>
      </c>
      <c r="M17" t="str">
        <f t="shared" si="0"/>
        <v>19900426</v>
      </c>
      <c r="N17" t="str">
        <f t="shared" si="0"/>
        <v>ベースボールスターズ プロフェッショナル（ベースタ・プロ）</v>
      </c>
      <c r="O17" t="str">
        <f t="shared" si="0"/>
        <v/>
      </c>
      <c r="P17" t="str">
        <f t="shared" si="0"/>
        <v/>
      </c>
      <c r="Q17" t="s">
        <v>7690</v>
      </c>
      <c r="T17" t="str">
        <f t="shared" si="4"/>
        <v/>
      </c>
      <c r="V17" t="str">
        <f t="shared" si="5"/>
        <v>MVS</v>
      </c>
      <c r="W17" t="str">
        <f t="shared" si="5"/>
        <v>MVS,AES</v>
      </c>
      <c r="AB17" t="s">
        <v>29</v>
      </c>
      <c r="AE17" t="s">
        <v>33</v>
      </c>
      <c r="AH17" t="s">
        <v>7678</v>
      </c>
      <c r="AI17" t="s">
        <v>9</v>
      </c>
      <c r="AJ17" t="s">
        <v>33</v>
      </c>
      <c r="AK17" t="s">
        <v>7677</v>
      </c>
      <c r="AL17" t="s">
        <v>7676</v>
      </c>
    </row>
    <row r="18" spans="5:44" x14ac:dyDescent="0.25">
      <c r="I18" t="str">
        <f t="shared" si="1"/>
        <v>bstars</v>
      </c>
      <c r="J18" t="str">
        <f t="shared" si="2"/>
        <v/>
      </c>
      <c r="L18" t="str">
        <f t="shared" si="3"/>
        <v>NGM-002</v>
      </c>
      <c r="M18" t="str">
        <f t="shared" si="3"/>
        <v>19900426</v>
      </c>
      <c r="N18" t="str">
        <f t="shared" si="3"/>
        <v>ベースボールスターズ プロフェッショナル（ベースタ・プロ）</v>
      </c>
      <c r="O18" t="str">
        <f t="shared" si="3"/>
        <v/>
      </c>
      <c r="P18" t="str">
        <f t="shared" si="3"/>
        <v/>
      </c>
      <c r="S18" t="s">
        <v>36</v>
      </c>
      <c r="T18" t="str">
        <f t="shared" si="4"/>
        <v>bstarscompatibility</v>
      </c>
      <c r="U18" t="s">
        <v>218</v>
      </c>
      <c r="V18" t="str">
        <f t="shared" si="5"/>
        <v>MVS</v>
      </c>
      <c r="W18" t="str">
        <f t="shared" si="5"/>
        <v>MVS,AES</v>
      </c>
      <c r="AB18" t="s">
        <v>24</v>
      </c>
      <c r="AE18" t="s">
        <v>3</v>
      </c>
      <c r="AH18" t="s">
        <v>7675</v>
      </c>
      <c r="AI18" t="s">
        <v>9</v>
      </c>
      <c r="AJ18" t="s">
        <v>92</v>
      </c>
      <c r="AK18" t="s">
        <v>7674</v>
      </c>
      <c r="AL18" t="s">
        <v>7673</v>
      </c>
    </row>
    <row r="19" spans="5:44" x14ac:dyDescent="0.25">
      <c r="I19" t="str">
        <f t="shared" si="1"/>
        <v>bstars</v>
      </c>
      <c r="J19" t="str">
        <f t="shared" si="2"/>
        <v/>
      </c>
      <c r="L19" t="str">
        <f t="shared" si="3"/>
        <v>NGM-002</v>
      </c>
      <c r="M19" t="str">
        <f t="shared" si="3"/>
        <v>19900426</v>
      </c>
      <c r="N19" t="str">
        <f t="shared" si="3"/>
        <v>ベースボールスターズ プロフェッショナル（ベースタ・プロ）</v>
      </c>
      <c r="O19" t="str">
        <f t="shared" si="3"/>
        <v/>
      </c>
      <c r="P19" t="str">
        <f t="shared" si="3"/>
        <v/>
      </c>
      <c r="T19" t="str">
        <f t="shared" si="4"/>
        <v/>
      </c>
      <c r="V19" t="str">
        <f t="shared" si="5"/>
        <v>MVS</v>
      </c>
      <c r="W19" t="str">
        <f t="shared" si="5"/>
        <v>MVS,AES</v>
      </c>
      <c r="AH19" t="s">
        <v>7672</v>
      </c>
      <c r="AI19" t="s">
        <v>92</v>
      </c>
      <c r="AJ19" t="s">
        <v>92</v>
      </c>
      <c r="AK19" t="s">
        <v>7671</v>
      </c>
      <c r="AL19" t="s">
        <v>7670</v>
      </c>
    </row>
    <row r="20" spans="5:44" x14ac:dyDescent="0.25">
      <c r="I20" t="str">
        <f t="shared" si="1"/>
        <v>bstars</v>
      </c>
      <c r="J20" t="str">
        <f t="shared" si="2"/>
        <v/>
      </c>
      <c r="L20" t="str">
        <f t="shared" si="3"/>
        <v>NGM-002</v>
      </c>
      <c r="M20" t="str">
        <f t="shared" si="3"/>
        <v>19900426</v>
      </c>
      <c r="N20" t="str">
        <f t="shared" si="3"/>
        <v>ベースボールスターズ プロフェッショナル（ベースタ・プロ）</v>
      </c>
      <c r="O20" t="str">
        <f t="shared" si="3"/>
        <v/>
      </c>
      <c r="P20" t="str">
        <f t="shared" si="3"/>
        <v/>
      </c>
      <c r="T20" t="str">
        <f t="shared" si="4"/>
        <v/>
      </c>
      <c r="V20" t="str">
        <f t="shared" si="5"/>
        <v>MVS</v>
      </c>
      <c r="W20" t="str">
        <f t="shared" si="5"/>
        <v>MVS,AES</v>
      </c>
      <c r="AH20" t="s">
        <v>7669</v>
      </c>
      <c r="AI20" t="s">
        <v>15</v>
      </c>
      <c r="AJ20" t="s">
        <v>92</v>
      </c>
      <c r="AK20" t="s">
        <v>7668</v>
      </c>
      <c r="AL20" t="s">
        <v>7667</v>
      </c>
    </row>
    <row r="21" spans="5:44" x14ac:dyDescent="0.25">
      <c r="I21" t="str">
        <f t="shared" si="1"/>
        <v>bstars</v>
      </c>
      <c r="J21" t="str">
        <f t="shared" si="2"/>
        <v/>
      </c>
      <c r="L21" t="str">
        <f t="shared" si="3"/>
        <v>NGM-002</v>
      </c>
      <c r="M21" t="str">
        <f t="shared" si="3"/>
        <v>19900426</v>
      </c>
      <c r="N21" t="str">
        <f t="shared" si="3"/>
        <v>ベースボールスターズ プロフェッショナル（ベースタ・プロ）</v>
      </c>
      <c r="O21" t="str">
        <f t="shared" si="3"/>
        <v/>
      </c>
      <c r="P21" t="str">
        <f t="shared" si="3"/>
        <v/>
      </c>
      <c r="T21" t="str">
        <f t="shared" si="4"/>
        <v/>
      </c>
      <c r="V21" t="str">
        <f>IFERROR(VLOOKUP($I21&amp;V$1,$T:$AA,2,0),"")</f>
        <v>MVS</v>
      </c>
      <c r="W21" t="str">
        <f>IFERROR(VLOOKUP($I21&amp;W$1,$T:$AA,2,0),"")</f>
        <v>MVS,AES</v>
      </c>
      <c r="AH21" t="s">
        <v>7666</v>
      </c>
      <c r="AI21" t="s">
        <v>4502</v>
      </c>
      <c r="AJ21" t="s">
        <v>92</v>
      </c>
      <c r="AK21" t="s">
        <v>7665</v>
      </c>
      <c r="AL21" t="s">
        <v>7664</v>
      </c>
    </row>
    <row r="22" spans="5:44" x14ac:dyDescent="0.25">
      <c r="I22" t="str">
        <f t="shared" si="1"/>
        <v>bstars</v>
      </c>
      <c r="J22" t="str">
        <f t="shared" si="2"/>
        <v/>
      </c>
      <c r="L22" t="str">
        <f t="shared" si="3"/>
        <v>NGM-002</v>
      </c>
      <c r="M22" t="str">
        <f t="shared" si="3"/>
        <v>19900426</v>
      </c>
      <c r="N22" t="str">
        <f t="shared" si="3"/>
        <v>ベースボールスターズ プロフェッショナル（ベースタ・プロ）</v>
      </c>
      <c r="O22" t="str">
        <f t="shared" si="3"/>
        <v/>
      </c>
      <c r="P22" t="str">
        <f t="shared" si="3"/>
        <v/>
      </c>
      <c r="T22" t="str">
        <f t="shared" si="4"/>
        <v/>
      </c>
      <c r="V22" t="str">
        <f t="shared" si="5"/>
        <v>MVS</v>
      </c>
      <c r="W22" t="str">
        <f t="shared" si="5"/>
        <v>MVS,AES</v>
      </c>
      <c r="AB22" t="s">
        <v>6575</v>
      </c>
      <c r="AE22" t="s">
        <v>480</v>
      </c>
      <c r="AH22" t="s">
        <v>7663</v>
      </c>
      <c r="AI22" t="s">
        <v>9</v>
      </c>
      <c r="AJ22" t="s">
        <v>92</v>
      </c>
      <c r="AK22" t="s">
        <v>7662</v>
      </c>
      <c r="AL22" t="s">
        <v>7661</v>
      </c>
    </row>
    <row r="23" spans="5:44" x14ac:dyDescent="0.25">
      <c r="I23" t="str">
        <f t="shared" si="1"/>
        <v>bstars</v>
      </c>
      <c r="J23" t="str">
        <f t="shared" si="2"/>
        <v/>
      </c>
      <c r="L23" t="str">
        <f t="shared" si="3"/>
        <v>NGM-002</v>
      </c>
      <c r="M23" t="str">
        <f t="shared" si="3"/>
        <v>19900426</v>
      </c>
      <c r="N23" t="str">
        <f t="shared" si="3"/>
        <v>ベースボールスターズ プロフェッショナル（ベースタ・プロ）</v>
      </c>
      <c r="O23" t="str">
        <f t="shared" si="3"/>
        <v/>
      </c>
      <c r="P23" t="str">
        <f t="shared" si="3"/>
        <v/>
      </c>
      <c r="T23" t="str">
        <f t="shared" si="4"/>
        <v/>
      </c>
      <c r="V23" t="str">
        <f t="shared" ref="V23:W86" si="6">IFERROR(VLOOKUP($I23&amp;V$1,$T:$AA,2,0),"")</f>
        <v>MVS</v>
      </c>
      <c r="W23" t="str">
        <f t="shared" si="6"/>
        <v>MVS,AES</v>
      </c>
      <c r="AB23" t="s">
        <v>12</v>
      </c>
      <c r="AE23" t="s">
        <v>377</v>
      </c>
      <c r="AG23" t="s">
        <v>6</v>
      </c>
      <c r="AH23" t="s">
        <v>7660</v>
      </c>
      <c r="AI23" t="s">
        <v>9</v>
      </c>
      <c r="AJ23" t="s">
        <v>92</v>
      </c>
      <c r="AK23" t="s">
        <v>7659</v>
      </c>
      <c r="AL23" t="s">
        <v>7658</v>
      </c>
    </row>
    <row r="24" spans="5:44" x14ac:dyDescent="0.25">
      <c r="I24" t="str">
        <f t="shared" si="1"/>
        <v>bstars</v>
      </c>
      <c r="J24" t="str">
        <f t="shared" si="2"/>
        <v/>
      </c>
      <c r="L24" t="str">
        <f t="shared" si="3"/>
        <v>NGM-002</v>
      </c>
      <c r="M24" t="str">
        <f t="shared" si="3"/>
        <v>19900426</v>
      </c>
      <c r="N24" t="str">
        <f t="shared" si="3"/>
        <v>ベースボールスターズ プロフェッショナル（ベースタ・プロ）</v>
      </c>
      <c r="O24" t="str">
        <f t="shared" si="3"/>
        <v/>
      </c>
      <c r="P24" t="str">
        <f t="shared" si="3"/>
        <v/>
      </c>
      <c r="T24" t="str">
        <f t="shared" si="4"/>
        <v/>
      </c>
      <c r="V24" t="str">
        <f t="shared" si="6"/>
        <v>MVS</v>
      </c>
      <c r="W24" t="str">
        <f t="shared" si="6"/>
        <v>MVS,AES</v>
      </c>
      <c r="AG24" t="s">
        <v>6</v>
      </c>
      <c r="AH24" t="s">
        <v>7657</v>
      </c>
      <c r="AI24" t="s">
        <v>4</v>
      </c>
      <c r="AJ24" t="s">
        <v>92</v>
      </c>
      <c r="AK24" t="s">
        <v>7656</v>
      </c>
      <c r="AL24" t="s">
        <v>7655</v>
      </c>
    </row>
    <row r="25" spans="5:44" x14ac:dyDescent="0.25">
      <c r="I25" t="str">
        <f t="shared" si="1"/>
        <v>bstars</v>
      </c>
      <c r="J25" t="str">
        <f t="shared" si="2"/>
        <v/>
      </c>
      <c r="L25" t="str">
        <f t="shared" si="3"/>
        <v>NGM-002</v>
      </c>
      <c r="M25" t="str">
        <f t="shared" si="3"/>
        <v>19900426</v>
      </c>
      <c r="N25" t="str">
        <f t="shared" si="3"/>
        <v>ベースボールスターズ プロフェッショナル（ベースタ・プロ）</v>
      </c>
      <c r="O25" t="str">
        <f t="shared" si="3"/>
        <v/>
      </c>
      <c r="P25" t="str">
        <f t="shared" si="3"/>
        <v/>
      </c>
      <c r="T25" t="str">
        <f t="shared" si="4"/>
        <v/>
      </c>
      <c r="V25" t="str">
        <f t="shared" si="6"/>
        <v>MVS</v>
      </c>
      <c r="W25" t="str">
        <f t="shared" si="6"/>
        <v>MVS,AES</v>
      </c>
      <c r="AG25" t="s">
        <v>6</v>
      </c>
      <c r="AH25" t="s">
        <v>7654</v>
      </c>
      <c r="AI25" t="s">
        <v>15</v>
      </c>
      <c r="AJ25" t="s">
        <v>92</v>
      </c>
      <c r="AK25" t="s">
        <v>7653</v>
      </c>
      <c r="AL25" t="s">
        <v>7652</v>
      </c>
    </row>
    <row r="26" spans="5:44" x14ac:dyDescent="0.25">
      <c r="I26" t="str">
        <f t="shared" si="1"/>
        <v>bstars</v>
      </c>
      <c r="J26" t="str">
        <f t="shared" si="2"/>
        <v/>
      </c>
      <c r="L26" t="str">
        <f t="shared" si="3"/>
        <v>NGM-002</v>
      </c>
      <c r="M26" t="str">
        <f t="shared" si="3"/>
        <v>19900426</v>
      </c>
      <c r="N26" t="str">
        <f t="shared" si="3"/>
        <v>ベースボールスターズ プロフェッショナル（ベースタ・プロ）</v>
      </c>
      <c r="O26" t="str">
        <f t="shared" si="3"/>
        <v/>
      </c>
      <c r="P26" t="str">
        <f t="shared" si="3"/>
        <v/>
      </c>
      <c r="T26" t="str">
        <f t="shared" si="4"/>
        <v/>
      </c>
      <c r="V26" t="str">
        <f t="shared" si="6"/>
        <v>MVS</v>
      </c>
      <c r="W26" t="str">
        <f t="shared" si="6"/>
        <v>MVS,AES</v>
      </c>
      <c r="AG26" t="s">
        <v>6</v>
      </c>
      <c r="AH26" t="s">
        <v>7651</v>
      </c>
      <c r="AI26" t="s">
        <v>7267</v>
      </c>
      <c r="AJ26" t="s">
        <v>92</v>
      </c>
      <c r="AK26" t="s">
        <v>7650</v>
      </c>
      <c r="AL26" t="s">
        <v>7649</v>
      </c>
    </row>
    <row r="27" spans="5:44" x14ac:dyDescent="0.25">
      <c r="I27" t="str">
        <f t="shared" si="1"/>
        <v>bstars</v>
      </c>
      <c r="J27" t="str">
        <f t="shared" si="2"/>
        <v/>
      </c>
      <c r="L27" t="str">
        <f t="shared" si="3"/>
        <v>NGM-002</v>
      </c>
      <c r="M27" t="str">
        <f t="shared" si="3"/>
        <v>19900426</v>
      </c>
      <c r="N27" t="str">
        <f t="shared" si="3"/>
        <v>ベースボールスターズ プロフェッショナル（ベースタ・プロ）</v>
      </c>
      <c r="O27" t="str">
        <f t="shared" si="3"/>
        <v/>
      </c>
      <c r="P27" t="str">
        <f t="shared" si="3"/>
        <v/>
      </c>
      <c r="T27" t="str">
        <f t="shared" si="4"/>
        <v/>
      </c>
      <c r="V27" t="str">
        <f t="shared" si="6"/>
        <v>MVS</v>
      </c>
      <c r="W27" t="str">
        <f t="shared" si="6"/>
        <v>MVS,AES</v>
      </c>
      <c r="AG27" t="s">
        <v>6</v>
      </c>
      <c r="AH27" t="s">
        <v>7648</v>
      </c>
      <c r="AI27" t="s">
        <v>3</v>
      </c>
      <c r="AJ27" t="s">
        <v>92</v>
      </c>
      <c r="AK27" t="s">
        <v>7647</v>
      </c>
      <c r="AL27" t="s">
        <v>7646</v>
      </c>
    </row>
    <row r="28" spans="5:44" x14ac:dyDescent="0.25">
      <c r="I28" t="str">
        <f t="shared" si="1"/>
        <v>bstars</v>
      </c>
      <c r="J28" t="str">
        <f t="shared" si="2"/>
        <v/>
      </c>
      <c r="L28" t="str">
        <f t="shared" si="3"/>
        <v>NGM-002</v>
      </c>
      <c r="M28" t="str">
        <f t="shared" si="3"/>
        <v>19900426</v>
      </c>
      <c r="N28" t="str">
        <f t="shared" si="3"/>
        <v>ベースボールスターズ プロフェッショナル（ベースタ・プロ）</v>
      </c>
      <c r="O28" t="str">
        <f t="shared" si="3"/>
        <v/>
      </c>
      <c r="P28" t="str">
        <f t="shared" si="3"/>
        <v/>
      </c>
      <c r="T28" t="str">
        <f t="shared" si="4"/>
        <v/>
      </c>
      <c r="V28" t="str">
        <f t="shared" si="6"/>
        <v>MVS</v>
      </c>
      <c r="W28" t="str">
        <f t="shared" si="6"/>
        <v>MVS,AES</v>
      </c>
      <c r="AG28" t="s">
        <v>6</v>
      </c>
      <c r="AH28" t="s">
        <v>7645</v>
      </c>
      <c r="AI28" t="s">
        <v>4371</v>
      </c>
      <c r="AJ28" t="s">
        <v>92</v>
      </c>
      <c r="AK28" t="s">
        <v>7644</v>
      </c>
      <c r="AL28" t="s">
        <v>7643</v>
      </c>
    </row>
    <row r="29" spans="5:44" x14ac:dyDescent="0.25">
      <c r="E29" t="s">
        <v>7689</v>
      </c>
      <c r="F29" t="s">
        <v>7688</v>
      </c>
      <c r="G29" t="s">
        <v>3906</v>
      </c>
      <c r="H29" t="s">
        <v>1912</v>
      </c>
      <c r="I29" t="str">
        <f t="shared" si="1"/>
        <v>bstarsh</v>
      </c>
      <c r="J29" t="str">
        <f t="shared" si="2"/>
        <v>bstarshserial</v>
      </c>
      <c r="K29" t="s">
        <v>1373</v>
      </c>
      <c r="L29" t="str">
        <f t="shared" si="3"/>
        <v>NGH-002</v>
      </c>
      <c r="M29" t="str">
        <f t="shared" si="3"/>
        <v>19910701</v>
      </c>
      <c r="N29" t="str">
        <f t="shared" si="3"/>
        <v>ベースボールスターズ プロフェッショナル</v>
      </c>
      <c r="O29" t="str">
        <f t="shared" si="3"/>
        <v/>
      </c>
      <c r="P29" t="str">
        <f t="shared" si="3"/>
        <v/>
      </c>
      <c r="Q29" t="s">
        <v>7687</v>
      </c>
      <c r="S29" t="s">
        <v>46</v>
      </c>
      <c r="T29" t="str">
        <f t="shared" si="4"/>
        <v>bstarshrelease</v>
      </c>
      <c r="U29" t="s">
        <v>35</v>
      </c>
      <c r="V29" t="str">
        <f t="shared" si="6"/>
        <v>AES</v>
      </c>
      <c r="W29" t="str">
        <f t="shared" si="6"/>
        <v>MVS,AES</v>
      </c>
      <c r="Y29" t="s">
        <v>45</v>
      </c>
      <c r="Z29" t="s">
        <v>44</v>
      </c>
      <c r="AB29" t="s">
        <v>43</v>
      </c>
      <c r="AC29" t="s">
        <v>42</v>
      </c>
      <c r="AD29" t="s">
        <v>41</v>
      </c>
      <c r="AE29" t="s">
        <v>15</v>
      </c>
      <c r="AG29" t="s">
        <v>40</v>
      </c>
      <c r="AH29" t="s">
        <v>7686</v>
      </c>
      <c r="AI29" t="s">
        <v>9</v>
      </c>
      <c r="AJ29" t="s">
        <v>92</v>
      </c>
      <c r="AK29" t="s">
        <v>7685</v>
      </c>
      <c r="AL29" t="s">
        <v>7684</v>
      </c>
      <c r="AR29" t="s">
        <v>7683</v>
      </c>
    </row>
    <row r="30" spans="5:44" x14ac:dyDescent="0.25">
      <c r="I30" t="str">
        <f t="shared" si="1"/>
        <v>bstarsh</v>
      </c>
      <c r="J30" t="str">
        <f t="shared" si="2"/>
        <v>bstarshrelease</v>
      </c>
      <c r="K30" t="s">
        <v>46</v>
      </c>
      <c r="L30" t="str">
        <f t="shared" si="3"/>
        <v>NGH-002</v>
      </c>
      <c r="M30" t="str">
        <f t="shared" si="3"/>
        <v>19910701</v>
      </c>
      <c r="N30" t="str">
        <f t="shared" si="3"/>
        <v>ベースボールスターズ プロフェッショナル</v>
      </c>
      <c r="O30" t="str">
        <f t="shared" si="3"/>
        <v/>
      </c>
      <c r="P30" t="str">
        <f t="shared" si="3"/>
        <v/>
      </c>
      <c r="Q30" t="s">
        <v>7344</v>
      </c>
      <c r="T30" t="str">
        <f t="shared" si="4"/>
        <v/>
      </c>
      <c r="V30" t="str">
        <f t="shared" si="6"/>
        <v>AES</v>
      </c>
      <c r="W30" t="str">
        <f t="shared" si="6"/>
        <v>MVS,AES</v>
      </c>
      <c r="AB30" t="s">
        <v>34</v>
      </c>
      <c r="AE30" t="s">
        <v>33</v>
      </c>
      <c r="AH30" t="s">
        <v>7682</v>
      </c>
      <c r="AI30" t="s">
        <v>9</v>
      </c>
      <c r="AJ30" t="s">
        <v>27</v>
      </c>
      <c r="AK30" t="s">
        <v>7681</v>
      </c>
      <c r="AL30" t="s">
        <v>7680</v>
      </c>
    </row>
    <row r="31" spans="5:44" x14ac:dyDescent="0.25">
      <c r="I31" t="str">
        <f t="shared" si="1"/>
        <v>bstarsh</v>
      </c>
      <c r="J31" t="str">
        <f t="shared" si="2"/>
        <v>bstarshalt_title</v>
      </c>
      <c r="K31" t="s">
        <v>1218</v>
      </c>
      <c r="L31" t="str">
        <f t="shared" si="3"/>
        <v>NGH-002</v>
      </c>
      <c r="M31" t="str">
        <f t="shared" si="3"/>
        <v>19910701</v>
      </c>
      <c r="N31" t="str">
        <f t="shared" si="3"/>
        <v>ベースボールスターズ プロフェッショナル</v>
      </c>
      <c r="O31" t="str">
        <f t="shared" si="3"/>
        <v/>
      </c>
      <c r="P31" t="str">
        <f t="shared" si="3"/>
        <v/>
      </c>
      <c r="Q31" t="s">
        <v>7679</v>
      </c>
      <c r="T31" t="str">
        <f t="shared" si="4"/>
        <v/>
      </c>
      <c r="V31" t="str">
        <f t="shared" si="6"/>
        <v>AES</v>
      </c>
      <c r="W31" t="str">
        <f t="shared" si="6"/>
        <v>MVS,AES</v>
      </c>
      <c r="AB31" t="s">
        <v>29</v>
      </c>
      <c r="AE31" t="s">
        <v>33</v>
      </c>
      <c r="AH31" t="s">
        <v>7678</v>
      </c>
      <c r="AI31" t="s">
        <v>9</v>
      </c>
      <c r="AJ31" t="s">
        <v>33</v>
      </c>
      <c r="AK31" t="s">
        <v>7677</v>
      </c>
      <c r="AL31" t="s">
        <v>7676</v>
      </c>
    </row>
    <row r="32" spans="5:44" x14ac:dyDescent="0.25">
      <c r="I32" t="str">
        <f t="shared" si="1"/>
        <v>bstarsh</v>
      </c>
      <c r="J32" t="str">
        <f t="shared" si="2"/>
        <v/>
      </c>
      <c r="L32" t="str">
        <f t="shared" si="3"/>
        <v>NGH-002</v>
      </c>
      <c r="M32" t="str">
        <f t="shared" si="3"/>
        <v>19910701</v>
      </c>
      <c r="N32" t="str">
        <f t="shared" si="3"/>
        <v>ベースボールスターズ プロフェッショナル</v>
      </c>
      <c r="O32" t="str">
        <f t="shared" si="3"/>
        <v/>
      </c>
      <c r="P32" t="str">
        <f t="shared" si="3"/>
        <v/>
      </c>
      <c r="S32" t="s">
        <v>36</v>
      </c>
      <c r="T32" t="str">
        <f t="shared" si="4"/>
        <v>bstarshcompatibility</v>
      </c>
      <c r="U32" t="s">
        <v>218</v>
      </c>
      <c r="V32" t="str">
        <f t="shared" si="6"/>
        <v>AES</v>
      </c>
      <c r="W32" t="str">
        <f t="shared" si="6"/>
        <v>MVS,AES</v>
      </c>
      <c r="AB32" t="s">
        <v>24</v>
      </c>
      <c r="AE32" t="s">
        <v>3</v>
      </c>
      <c r="AH32" t="s">
        <v>7675</v>
      </c>
      <c r="AI32" t="s">
        <v>9</v>
      </c>
      <c r="AJ32" t="s">
        <v>92</v>
      </c>
      <c r="AK32" t="s">
        <v>7674</v>
      </c>
      <c r="AL32" t="s">
        <v>7673</v>
      </c>
    </row>
    <row r="33" spans="5:38" x14ac:dyDescent="0.25">
      <c r="I33" t="str">
        <f t="shared" si="1"/>
        <v>bstarsh</v>
      </c>
      <c r="J33" t="str">
        <f t="shared" si="2"/>
        <v/>
      </c>
      <c r="L33" t="str">
        <f t="shared" si="3"/>
        <v>NGH-002</v>
      </c>
      <c r="M33" t="str">
        <f t="shared" si="3"/>
        <v>19910701</v>
      </c>
      <c r="N33" t="str">
        <f t="shared" si="3"/>
        <v>ベースボールスターズ プロフェッショナル</v>
      </c>
      <c r="O33" t="str">
        <f t="shared" si="3"/>
        <v/>
      </c>
      <c r="P33" t="str">
        <f t="shared" si="3"/>
        <v/>
      </c>
      <c r="T33" t="str">
        <f t="shared" si="4"/>
        <v/>
      </c>
      <c r="V33" t="str">
        <f t="shared" si="6"/>
        <v>AES</v>
      </c>
      <c r="W33" t="str">
        <f t="shared" si="6"/>
        <v>MVS,AES</v>
      </c>
      <c r="AH33" t="s">
        <v>7672</v>
      </c>
      <c r="AI33" t="s">
        <v>92</v>
      </c>
      <c r="AJ33" t="s">
        <v>92</v>
      </c>
      <c r="AK33" t="s">
        <v>7671</v>
      </c>
      <c r="AL33" t="s">
        <v>7670</v>
      </c>
    </row>
    <row r="34" spans="5:38" x14ac:dyDescent="0.25">
      <c r="I34" t="str">
        <f t="shared" si="1"/>
        <v>bstarsh</v>
      </c>
      <c r="J34" t="str">
        <f t="shared" si="2"/>
        <v/>
      </c>
      <c r="L34" t="str">
        <f t="shared" si="3"/>
        <v>NGH-002</v>
      </c>
      <c r="M34" t="str">
        <f t="shared" si="3"/>
        <v>19910701</v>
      </c>
      <c r="N34" t="str">
        <f t="shared" si="3"/>
        <v>ベースボールスターズ プロフェッショナル</v>
      </c>
      <c r="O34" t="str">
        <f t="shared" si="3"/>
        <v/>
      </c>
      <c r="P34" t="str">
        <f t="shared" si="3"/>
        <v/>
      </c>
      <c r="T34" t="str">
        <f t="shared" si="4"/>
        <v/>
      </c>
      <c r="V34" t="str">
        <f t="shared" si="6"/>
        <v>AES</v>
      </c>
      <c r="W34" t="str">
        <f t="shared" si="6"/>
        <v>MVS,AES</v>
      </c>
      <c r="AH34" t="s">
        <v>7669</v>
      </c>
      <c r="AI34" t="s">
        <v>15</v>
      </c>
      <c r="AJ34" t="s">
        <v>92</v>
      </c>
      <c r="AK34" t="s">
        <v>7668</v>
      </c>
      <c r="AL34" t="s">
        <v>7667</v>
      </c>
    </row>
    <row r="35" spans="5:38" x14ac:dyDescent="0.25">
      <c r="I35" t="str">
        <f t="shared" si="1"/>
        <v>bstarsh</v>
      </c>
      <c r="J35" t="str">
        <f t="shared" si="2"/>
        <v/>
      </c>
      <c r="L35" t="str">
        <f t="shared" si="3"/>
        <v>NGH-002</v>
      </c>
      <c r="M35" t="str">
        <f t="shared" si="3"/>
        <v>19910701</v>
      </c>
      <c r="N35" t="str">
        <f t="shared" si="3"/>
        <v>ベースボールスターズ プロフェッショナル</v>
      </c>
      <c r="O35" t="str">
        <f t="shared" si="3"/>
        <v/>
      </c>
      <c r="P35" t="str">
        <f t="shared" si="3"/>
        <v/>
      </c>
      <c r="T35" t="str">
        <f t="shared" si="4"/>
        <v/>
      </c>
      <c r="V35" t="str">
        <f t="shared" si="6"/>
        <v>AES</v>
      </c>
      <c r="W35" t="str">
        <f t="shared" si="6"/>
        <v>MVS,AES</v>
      </c>
      <c r="AH35" t="s">
        <v>7666</v>
      </c>
      <c r="AI35" t="s">
        <v>4502</v>
      </c>
      <c r="AJ35" t="s">
        <v>92</v>
      </c>
      <c r="AK35" t="s">
        <v>7665</v>
      </c>
      <c r="AL35" t="s">
        <v>7664</v>
      </c>
    </row>
    <row r="36" spans="5:38" x14ac:dyDescent="0.25">
      <c r="I36" t="str">
        <f t="shared" si="1"/>
        <v>bstarsh</v>
      </c>
      <c r="J36" t="str">
        <f t="shared" si="2"/>
        <v/>
      </c>
      <c r="L36" t="str">
        <f t="shared" si="3"/>
        <v>NGH-002</v>
      </c>
      <c r="M36" t="str">
        <f t="shared" si="3"/>
        <v>19910701</v>
      </c>
      <c r="N36" t="str">
        <f t="shared" si="3"/>
        <v>ベースボールスターズ プロフェッショナル</v>
      </c>
      <c r="O36" t="str">
        <f t="shared" si="3"/>
        <v/>
      </c>
      <c r="P36" t="str">
        <f t="shared" si="3"/>
        <v/>
      </c>
      <c r="T36" t="str">
        <f t="shared" si="4"/>
        <v/>
      </c>
      <c r="V36" t="str">
        <f t="shared" si="6"/>
        <v>AES</v>
      </c>
      <c r="W36" t="str">
        <f t="shared" si="6"/>
        <v>MVS,AES</v>
      </c>
      <c r="AB36" t="s">
        <v>6575</v>
      </c>
      <c r="AE36" t="s">
        <v>480</v>
      </c>
      <c r="AH36" t="s">
        <v>7663</v>
      </c>
      <c r="AI36" t="s">
        <v>9</v>
      </c>
      <c r="AJ36" t="s">
        <v>92</v>
      </c>
      <c r="AK36" t="s">
        <v>7662</v>
      </c>
      <c r="AL36" t="s">
        <v>7661</v>
      </c>
    </row>
    <row r="37" spans="5:38" x14ac:dyDescent="0.25">
      <c r="I37" t="str">
        <f t="shared" si="1"/>
        <v>bstarsh</v>
      </c>
      <c r="J37" t="str">
        <f t="shared" si="2"/>
        <v/>
      </c>
      <c r="L37" t="str">
        <f t="shared" si="3"/>
        <v>NGH-002</v>
      </c>
      <c r="M37" t="str">
        <f t="shared" si="3"/>
        <v>19910701</v>
      </c>
      <c r="N37" t="str">
        <f t="shared" si="3"/>
        <v>ベースボールスターズ プロフェッショナル</v>
      </c>
      <c r="O37" t="str">
        <f t="shared" si="3"/>
        <v/>
      </c>
      <c r="P37" t="str">
        <f t="shared" si="3"/>
        <v/>
      </c>
      <c r="T37" t="str">
        <f t="shared" si="4"/>
        <v/>
      </c>
      <c r="V37" t="str">
        <f t="shared" si="6"/>
        <v>AES</v>
      </c>
      <c r="W37" t="str">
        <f t="shared" si="6"/>
        <v>MVS,AES</v>
      </c>
      <c r="AB37" t="s">
        <v>12</v>
      </c>
      <c r="AE37" t="s">
        <v>377</v>
      </c>
      <c r="AG37" t="s">
        <v>6</v>
      </c>
      <c r="AH37" t="s">
        <v>7660</v>
      </c>
      <c r="AI37" t="s">
        <v>9</v>
      </c>
      <c r="AJ37" t="s">
        <v>92</v>
      </c>
      <c r="AK37" t="s">
        <v>7659</v>
      </c>
      <c r="AL37" t="s">
        <v>7658</v>
      </c>
    </row>
    <row r="38" spans="5:38" x14ac:dyDescent="0.25">
      <c r="I38" t="str">
        <f t="shared" si="1"/>
        <v>bstarsh</v>
      </c>
      <c r="J38" t="str">
        <f t="shared" si="2"/>
        <v/>
      </c>
      <c r="L38" t="str">
        <f t="shared" si="3"/>
        <v>NGH-002</v>
      </c>
      <c r="M38" t="str">
        <f t="shared" si="3"/>
        <v>19910701</v>
      </c>
      <c r="N38" t="str">
        <f t="shared" si="3"/>
        <v>ベースボールスターズ プロフェッショナル</v>
      </c>
      <c r="O38" t="str">
        <f t="shared" si="3"/>
        <v/>
      </c>
      <c r="P38" t="str">
        <f t="shared" si="3"/>
        <v/>
      </c>
      <c r="T38" t="str">
        <f t="shared" si="4"/>
        <v/>
      </c>
      <c r="V38" t="str">
        <f t="shared" si="6"/>
        <v>AES</v>
      </c>
      <c r="W38" t="str">
        <f t="shared" si="6"/>
        <v>MVS,AES</v>
      </c>
      <c r="AG38" t="s">
        <v>6</v>
      </c>
      <c r="AH38" t="s">
        <v>7657</v>
      </c>
      <c r="AI38" t="s">
        <v>4</v>
      </c>
      <c r="AJ38" t="s">
        <v>92</v>
      </c>
      <c r="AK38" t="s">
        <v>7656</v>
      </c>
      <c r="AL38" t="s">
        <v>7655</v>
      </c>
    </row>
    <row r="39" spans="5:38" x14ac:dyDescent="0.25">
      <c r="I39" t="str">
        <f t="shared" si="1"/>
        <v>bstarsh</v>
      </c>
      <c r="J39" t="str">
        <f t="shared" si="2"/>
        <v/>
      </c>
      <c r="L39" t="str">
        <f t="shared" si="3"/>
        <v>NGH-002</v>
      </c>
      <c r="M39" t="str">
        <f t="shared" si="3"/>
        <v>19910701</v>
      </c>
      <c r="N39" t="str">
        <f t="shared" si="3"/>
        <v>ベースボールスターズ プロフェッショナル</v>
      </c>
      <c r="O39" t="str">
        <f t="shared" si="3"/>
        <v/>
      </c>
      <c r="P39" t="str">
        <f t="shared" si="3"/>
        <v/>
      </c>
      <c r="T39" t="str">
        <f t="shared" si="4"/>
        <v/>
      </c>
      <c r="V39" t="str">
        <f t="shared" si="6"/>
        <v>AES</v>
      </c>
      <c r="W39" t="str">
        <f t="shared" si="6"/>
        <v>MVS,AES</v>
      </c>
      <c r="AG39" t="s">
        <v>6</v>
      </c>
      <c r="AH39" t="s">
        <v>7654</v>
      </c>
      <c r="AI39" t="s">
        <v>15</v>
      </c>
      <c r="AJ39" t="s">
        <v>92</v>
      </c>
      <c r="AK39" t="s">
        <v>7653</v>
      </c>
      <c r="AL39" t="s">
        <v>7652</v>
      </c>
    </row>
    <row r="40" spans="5:38" x14ac:dyDescent="0.25">
      <c r="I40" t="str">
        <f t="shared" si="1"/>
        <v>bstarsh</v>
      </c>
      <c r="J40" t="str">
        <f t="shared" si="2"/>
        <v/>
      </c>
      <c r="L40" t="str">
        <f t="shared" si="3"/>
        <v>NGH-002</v>
      </c>
      <c r="M40" t="str">
        <f t="shared" si="3"/>
        <v>19910701</v>
      </c>
      <c r="N40" t="str">
        <f t="shared" si="3"/>
        <v>ベースボールスターズ プロフェッショナル</v>
      </c>
      <c r="O40" t="str">
        <f t="shared" si="3"/>
        <v/>
      </c>
      <c r="P40" t="str">
        <f t="shared" si="3"/>
        <v/>
      </c>
      <c r="T40" t="str">
        <f t="shared" si="4"/>
        <v/>
      </c>
      <c r="V40" t="str">
        <f t="shared" si="6"/>
        <v>AES</v>
      </c>
      <c r="W40" t="str">
        <f t="shared" si="6"/>
        <v>MVS,AES</v>
      </c>
      <c r="AG40" t="s">
        <v>6</v>
      </c>
      <c r="AH40" t="s">
        <v>7651</v>
      </c>
      <c r="AI40" t="s">
        <v>7267</v>
      </c>
      <c r="AJ40" t="s">
        <v>92</v>
      </c>
      <c r="AK40" t="s">
        <v>7650</v>
      </c>
      <c r="AL40" t="s">
        <v>7649</v>
      </c>
    </row>
    <row r="41" spans="5:38" x14ac:dyDescent="0.25">
      <c r="I41" t="str">
        <f t="shared" si="1"/>
        <v>bstarsh</v>
      </c>
      <c r="J41" t="str">
        <f t="shared" si="2"/>
        <v/>
      </c>
      <c r="L41" t="str">
        <f t="shared" si="3"/>
        <v>NGH-002</v>
      </c>
      <c r="M41" t="str">
        <f t="shared" si="3"/>
        <v>19910701</v>
      </c>
      <c r="N41" t="str">
        <f t="shared" si="3"/>
        <v>ベースボールスターズ プロフェッショナル</v>
      </c>
      <c r="O41" t="str">
        <f t="shared" si="3"/>
        <v/>
      </c>
      <c r="P41" t="str">
        <f t="shared" si="3"/>
        <v/>
      </c>
      <c r="T41" t="str">
        <f t="shared" si="4"/>
        <v/>
      </c>
      <c r="V41" t="str">
        <f t="shared" si="6"/>
        <v>AES</v>
      </c>
      <c r="W41" t="str">
        <f t="shared" si="6"/>
        <v>MVS,AES</v>
      </c>
      <c r="AG41" t="s">
        <v>6</v>
      </c>
      <c r="AH41" t="s">
        <v>7648</v>
      </c>
      <c r="AI41" t="s">
        <v>3</v>
      </c>
      <c r="AJ41" t="s">
        <v>92</v>
      </c>
      <c r="AK41" t="s">
        <v>7647</v>
      </c>
      <c r="AL41" t="s">
        <v>7646</v>
      </c>
    </row>
    <row r="42" spans="5:38" x14ac:dyDescent="0.25">
      <c r="I42" t="str">
        <f t="shared" si="1"/>
        <v>bstarsh</v>
      </c>
      <c r="J42" t="str">
        <f t="shared" si="2"/>
        <v/>
      </c>
      <c r="L42" t="str">
        <f t="shared" si="3"/>
        <v>NGH-002</v>
      </c>
      <c r="M42" t="str">
        <f t="shared" si="3"/>
        <v>19910701</v>
      </c>
      <c r="N42" t="str">
        <f t="shared" si="3"/>
        <v>ベースボールスターズ プロフェッショナル</v>
      </c>
      <c r="O42" t="str">
        <f t="shared" si="3"/>
        <v/>
      </c>
      <c r="P42" t="str">
        <f t="shared" si="3"/>
        <v/>
      </c>
      <c r="T42" t="str">
        <f t="shared" si="4"/>
        <v/>
      </c>
      <c r="V42" t="str">
        <f t="shared" si="6"/>
        <v>AES</v>
      </c>
      <c r="W42" t="str">
        <f t="shared" si="6"/>
        <v>MVS,AES</v>
      </c>
      <c r="AG42" t="s">
        <v>6</v>
      </c>
      <c r="AH42" t="s">
        <v>7645</v>
      </c>
      <c r="AI42" t="s">
        <v>4371</v>
      </c>
      <c r="AJ42" t="s">
        <v>92</v>
      </c>
      <c r="AK42" t="s">
        <v>7644</v>
      </c>
      <c r="AL42" t="s">
        <v>7643</v>
      </c>
    </row>
    <row r="43" spans="5:38" x14ac:dyDescent="0.25">
      <c r="E43" t="s">
        <v>7642</v>
      </c>
      <c r="F43" t="s">
        <v>7641</v>
      </c>
      <c r="G43" t="s">
        <v>3906</v>
      </c>
      <c r="H43" t="s">
        <v>1912</v>
      </c>
      <c r="I43" t="str">
        <f t="shared" si="1"/>
        <v>tpgolf</v>
      </c>
      <c r="J43" t="str">
        <f t="shared" si="2"/>
        <v>tpgolfserial</v>
      </c>
      <c r="K43" t="s">
        <v>1373</v>
      </c>
      <c r="L43" t="str">
        <f t="shared" si="3"/>
        <v>NGM-003 (MVS), NGH-003 (AES)</v>
      </c>
      <c r="M43" t="str">
        <f t="shared" si="3"/>
        <v>19900523 (MVS), 19910701 (AES)</v>
      </c>
      <c r="N43" t="str">
        <f t="shared" si="3"/>
        <v>トッププレイヤーズ・ゴルフ</v>
      </c>
      <c r="O43" t="str">
        <f t="shared" si="3"/>
        <v/>
      </c>
      <c r="P43" t="str">
        <f t="shared" si="3"/>
        <v/>
      </c>
      <c r="Q43" t="s">
        <v>7640</v>
      </c>
      <c r="S43" t="s">
        <v>46</v>
      </c>
      <c r="T43" t="str">
        <f t="shared" si="4"/>
        <v>tpgolfrelease</v>
      </c>
      <c r="U43" t="s">
        <v>218</v>
      </c>
      <c r="V43" t="str">
        <f t="shared" si="6"/>
        <v>MVS,AES</v>
      </c>
      <c r="W43" t="str">
        <f t="shared" si="6"/>
        <v>MVS,AES</v>
      </c>
      <c r="Y43" t="s">
        <v>45</v>
      </c>
      <c r="Z43" t="s">
        <v>44</v>
      </c>
      <c r="AB43" t="s">
        <v>43</v>
      </c>
      <c r="AC43" t="s">
        <v>42</v>
      </c>
      <c r="AD43" t="s">
        <v>41</v>
      </c>
      <c r="AE43" t="s">
        <v>15</v>
      </c>
      <c r="AG43" t="s">
        <v>40</v>
      </c>
      <c r="AH43" t="s">
        <v>7639</v>
      </c>
      <c r="AI43" t="s">
        <v>9</v>
      </c>
      <c r="AJ43" t="s">
        <v>92</v>
      </c>
      <c r="AK43" t="s">
        <v>7638</v>
      </c>
      <c r="AL43" t="s">
        <v>7637</v>
      </c>
    </row>
    <row r="44" spans="5:38" x14ac:dyDescent="0.25">
      <c r="I44" t="str">
        <f t="shared" si="1"/>
        <v>tpgolf</v>
      </c>
      <c r="J44" t="str">
        <f t="shared" si="2"/>
        <v>tpgolfrelease</v>
      </c>
      <c r="K44" t="s">
        <v>46</v>
      </c>
      <c r="L44" t="str">
        <f t="shared" si="3"/>
        <v>NGM-003 (MVS), NGH-003 (AES)</v>
      </c>
      <c r="M44" t="str">
        <f t="shared" si="3"/>
        <v>19900523 (MVS), 19910701 (AES)</v>
      </c>
      <c r="N44" t="str">
        <f t="shared" si="3"/>
        <v>トッププレイヤーズ・ゴルフ</v>
      </c>
      <c r="O44" t="str">
        <f t="shared" si="3"/>
        <v/>
      </c>
      <c r="P44" t="str">
        <f t="shared" si="3"/>
        <v/>
      </c>
      <c r="Q44" t="s">
        <v>7636</v>
      </c>
      <c r="T44" t="str">
        <f t="shared" si="4"/>
        <v/>
      </c>
      <c r="V44" t="str">
        <f t="shared" si="6"/>
        <v>MVS,AES</v>
      </c>
      <c r="W44" t="str">
        <f t="shared" si="6"/>
        <v>MVS,AES</v>
      </c>
      <c r="AG44" t="s">
        <v>40</v>
      </c>
      <c r="AH44" t="s">
        <v>7635</v>
      </c>
      <c r="AI44" t="s">
        <v>92</v>
      </c>
      <c r="AJ44" t="s">
        <v>92</v>
      </c>
      <c r="AK44" t="s">
        <v>7634</v>
      </c>
      <c r="AL44" t="s">
        <v>7633</v>
      </c>
    </row>
    <row r="45" spans="5:38" x14ac:dyDescent="0.25">
      <c r="I45" t="str">
        <f t="shared" si="1"/>
        <v>tpgolf</v>
      </c>
      <c r="J45" t="str">
        <f t="shared" si="2"/>
        <v>tpgolfalt_title</v>
      </c>
      <c r="K45" t="s">
        <v>1218</v>
      </c>
      <c r="L45" t="str">
        <f t="shared" si="3"/>
        <v>NGM-003 (MVS), NGH-003 (AES)</v>
      </c>
      <c r="M45" t="str">
        <f t="shared" si="3"/>
        <v>19900523 (MVS), 19910701 (AES)</v>
      </c>
      <c r="N45" t="str">
        <f t="shared" si="3"/>
        <v>トッププレイヤーズ・ゴルフ</v>
      </c>
      <c r="O45" t="str">
        <f t="shared" si="3"/>
        <v/>
      </c>
      <c r="P45" t="str">
        <f t="shared" si="3"/>
        <v/>
      </c>
      <c r="Q45" t="s">
        <v>7632</v>
      </c>
      <c r="T45" t="str">
        <f t="shared" si="4"/>
        <v/>
      </c>
      <c r="V45" t="str">
        <f t="shared" si="6"/>
        <v>MVS,AES</v>
      </c>
      <c r="W45" t="str">
        <f t="shared" si="6"/>
        <v>MVS,AES</v>
      </c>
      <c r="AB45" t="s">
        <v>34</v>
      </c>
      <c r="AE45" t="s">
        <v>33</v>
      </c>
      <c r="AH45" t="s">
        <v>7631</v>
      </c>
      <c r="AI45" t="s">
        <v>9</v>
      </c>
      <c r="AJ45" t="s">
        <v>27</v>
      </c>
      <c r="AK45" t="s">
        <v>7630</v>
      </c>
      <c r="AL45" t="s">
        <v>7629</v>
      </c>
    </row>
    <row r="46" spans="5:38" x14ac:dyDescent="0.25">
      <c r="I46" t="str">
        <f t="shared" si="1"/>
        <v>tpgolf</v>
      </c>
      <c r="J46" t="str">
        <f t="shared" si="2"/>
        <v/>
      </c>
      <c r="L46" t="str">
        <f t="shared" si="3"/>
        <v>NGM-003 (MVS), NGH-003 (AES)</v>
      </c>
      <c r="M46" t="str">
        <f t="shared" si="3"/>
        <v>19900523 (MVS), 19910701 (AES)</v>
      </c>
      <c r="N46" t="str">
        <f t="shared" si="3"/>
        <v>トッププレイヤーズ・ゴルフ</v>
      </c>
      <c r="O46" t="str">
        <f t="shared" si="3"/>
        <v/>
      </c>
      <c r="P46" t="str">
        <f t="shared" si="3"/>
        <v/>
      </c>
      <c r="S46" t="s">
        <v>36</v>
      </c>
      <c r="T46" t="str">
        <f t="shared" si="4"/>
        <v>tpgolfcompatibility</v>
      </c>
      <c r="U46" t="s">
        <v>218</v>
      </c>
      <c r="V46" t="str">
        <f t="shared" si="6"/>
        <v>MVS,AES</v>
      </c>
      <c r="W46" t="str">
        <f t="shared" si="6"/>
        <v>MVS,AES</v>
      </c>
      <c r="AB46" t="s">
        <v>29</v>
      </c>
      <c r="AE46" t="s">
        <v>27</v>
      </c>
      <c r="AH46" t="s">
        <v>7628</v>
      </c>
      <c r="AI46" t="s">
        <v>9</v>
      </c>
      <c r="AJ46" t="s">
        <v>27</v>
      </c>
      <c r="AK46" t="s">
        <v>7627</v>
      </c>
      <c r="AL46" t="s">
        <v>7626</v>
      </c>
    </row>
    <row r="47" spans="5:38" x14ac:dyDescent="0.25">
      <c r="I47" t="str">
        <f t="shared" si="1"/>
        <v>tpgolf</v>
      </c>
      <c r="J47" t="str">
        <f t="shared" si="2"/>
        <v/>
      </c>
      <c r="L47" t="str">
        <f t="shared" si="3"/>
        <v>NGM-003 (MVS), NGH-003 (AES)</v>
      </c>
      <c r="M47" t="str">
        <f t="shared" si="3"/>
        <v>19900523 (MVS), 19910701 (AES)</v>
      </c>
      <c r="N47" t="str">
        <f t="shared" si="3"/>
        <v>トッププレイヤーズ・ゴルフ</v>
      </c>
      <c r="O47" t="str">
        <f t="shared" si="3"/>
        <v/>
      </c>
      <c r="P47" t="str">
        <f t="shared" si="3"/>
        <v/>
      </c>
      <c r="T47" t="str">
        <f t="shared" si="4"/>
        <v/>
      </c>
      <c r="V47" t="str">
        <f t="shared" si="6"/>
        <v>MVS,AES</v>
      </c>
      <c r="W47" t="str">
        <f t="shared" si="6"/>
        <v>MVS,AES</v>
      </c>
      <c r="AB47" t="s">
        <v>24</v>
      </c>
      <c r="AE47" t="s">
        <v>480</v>
      </c>
      <c r="AH47" t="s">
        <v>7625</v>
      </c>
      <c r="AI47" t="s">
        <v>9</v>
      </c>
      <c r="AJ47" t="s">
        <v>92</v>
      </c>
      <c r="AK47" t="s">
        <v>7624</v>
      </c>
      <c r="AL47" t="s">
        <v>7623</v>
      </c>
    </row>
    <row r="48" spans="5:38" x14ac:dyDescent="0.25">
      <c r="I48" t="str">
        <f t="shared" si="1"/>
        <v>tpgolf</v>
      </c>
      <c r="J48" t="str">
        <f t="shared" si="2"/>
        <v/>
      </c>
      <c r="L48" t="str">
        <f t="shared" si="3"/>
        <v>NGM-003 (MVS), NGH-003 (AES)</v>
      </c>
      <c r="M48" t="str">
        <f t="shared" si="3"/>
        <v>19900523 (MVS), 19910701 (AES)</v>
      </c>
      <c r="N48" t="str">
        <f t="shared" si="3"/>
        <v>トッププレイヤーズ・ゴルフ</v>
      </c>
      <c r="O48" t="str">
        <f t="shared" si="3"/>
        <v/>
      </c>
      <c r="P48" t="str">
        <f t="shared" si="3"/>
        <v/>
      </c>
      <c r="T48" t="str">
        <f t="shared" si="4"/>
        <v/>
      </c>
      <c r="V48" t="str">
        <f t="shared" si="6"/>
        <v>MVS,AES</v>
      </c>
      <c r="W48" t="str">
        <f t="shared" si="6"/>
        <v>MVS,AES</v>
      </c>
      <c r="AB48" t="s">
        <v>6575</v>
      </c>
      <c r="AE48" t="s">
        <v>3</v>
      </c>
      <c r="AH48" t="s">
        <v>7622</v>
      </c>
      <c r="AI48" t="s">
        <v>9</v>
      </c>
      <c r="AJ48" t="s">
        <v>92</v>
      </c>
      <c r="AK48" t="s">
        <v>7621</v>
      </c>
      <c r="AL48" t="s">
        <v>7620</v>
      </c>
    </row>
    <row r="49" spans="5:38" x14ac:dyDescent="0.25">
      <c r="I49" t="str">
        <f t="shared" si="1"/>
        <v>tpgolf</v>
      </c>
      <c r="J49" t="str">
        <f t="shared" si="2"/>
        <v/>
      </c>
      <c r="L49" t="str">
        <f t="shared" si="3"/>
        <v>NGM-003 (MVS), NGH-003 (AES)</v>
      </c>
      <c r="M49" t="str">
        <f t="shared" si="3"/>
        <v>19900523 (MVS), 19910701 (AES)</v>
      </c>
      <c r="N49" t="str">
        <f t="shared" si="3"/>
        <v>トッププレイヤーズ・ゴルフ</v>
      </c>
      <c r="O49" t="str">
        <f t="shared" si="3"/>
        <v/>
      </c>
      <c r="P49" t="str">
        <f t="shared" si="3"/>
        <v/>
      </c>
      <c r="T49" t="str">
        <f t="shared" si="4"/>
        <v/>
      </c>
      <c r="V49" t="str">
        <f t="shared" si="6"/>
        <v>MVS,AES</v>
      </c>
      <c r="W49" t="str">
        <f t="shared" si="6"/>
        <v>MVS,AES</v>
      </c>
      <c r="AH49" t="s">
        <v>7619</v>
      </c>
      <c r="AI49" t="s">
        <v>92</v>
      </c>
      <c r="AJ49" t="s">
        <v>92</v>
      </c>
      <c r="AK49" t="s">
        <v>7618</v>
      </c>
      <c r="AL49" t="s">
        <v>7617</v>
      </c>
    </row>
    <row r="50" spans="5:38" x14ac:dyDescent="0.25">
      <c r="I50" t="str">
        <f t="shared" si="1"/>
        <v>tpgolf</v>
      </c>
      <c r="J50" t="str">
        <f t="shared" si="2"/>
        <v/>
      </c>
      <c r="L50" t="str">
        <f t="shared" si="3"/>
        <v>NGM-003 (MVS), NGH-003 (AES)</v>
      </c>
      <c r="M50" t="str">
        <f t="shared" si="3"/>
        <v>19900523 (MVS), 19910701 (AES)</v>
      </c>
      <c r="N50" t="str">
        <f t="shared" si="3"/>
        <v>トッププレイヤーズ・ゴルフ</v>
      </c>
      <c r="O50" t="str">
        <f t="shared" si="3"/>
        <v/>
      </c>
      <c r="P50" t="str">
        <f t="shared" si="3"/>
        <v/>
      </c>
      <c r="T50" t="str">
        <f t="shared" si="4"/>
        <v/>
      </c>
      <c r="V50" t="str">
        <f t="shared" si="6"/>
        <v>MVS,AES</v>
      </c>
      <c r="W50" t="str">
        <f t="shared" si="6"/>
        <v>MVS,AES</v>
      </c>
      <c r="AH50" t="s">
        <v>7616</v>
      </c>
      <c r="AI50" t="s">
        <v>15</v>
      </c>
      <c r="AJ50" t="s">
        <v>92</v>
      </c>
      <c r="AK50" t="s">
        <v>7615</v>
      </c>
      <c r="AL50" t="s">
        <v>7614</v>
      </c>
    </row>
    <row r="51" spans="5:38" x14ac:dyDescent="0.25">
      <c r="I51" t="str">
        <f t="shared" si="1"/>
        <v>tpgolf</v>
      </c>
      <c r="J51" t="str">
        <f t="shared" si="2"/>
        <v/>
      </c>
      <c r="L51" t="str">
        <f t="shared" si="3"/>
        <v>NGM-003 (MVS), NGH-003 (AES)</v>
      </c>
      <c r="M51" t="str">
        <f t="shared" si="3"/>
        <v>19900523 (MVS), 19910701 (AES)</v>
      </c>
      <c r="N51" t="str">
        <f t="shared" si="3"/>
        <v>トッププレイヤーズ・ゴルフ</v>
      </c>
      <c r="O51" t="str">
        <f t="shared" si="3"/>
        <v/>
      </c>
      <c r="P51" t="str">
        <f t="shared" si="3"/>
        <v/>
      </c>
      <c r="T51" t="str">
        <f t="shared" si="4"/>
        <v/>
      </c>
      <c r="V51" t="str">
        <f t="shared" si="6"/>
        <v>MVS,AES</v>
      </c>
      <c r="W51" t="str">
        <f t="shared" si="6"/>
        <v>MVS,AES</v>
      </c>
      <c r="AH51" t="s">
        <v>7613</v>
      </c>
      <c r="AI51" t="s">
        <v>4502</v>
      </c>
      <c r="AJ51" t="s">
        <v>92</v>
      </c>
      <c r="AK51" t="s">
        <v>7612</v>
      </c>
      <c r="AL51" t="s">
        <v>7611</v>
      </c>
    </row>
    <row r="52" spans="5:38" x14ac:dyDescent="0.25">
      <c r="I52" t="str">
        <f t="shared" si="1"/>
        <v>tpgolf</v>
      </c>
      <c r="J52" t="str">
        <f t="shared" si="2"/>
        <v/>
      </c>
      <c r="L52" t="str">
        <f t="shared" si="3"/>
        <v>NGM-003 (MVS), NGH-003 (AES)</v>
      </c>
      <c r="M52" t="str">
        <f t="shared" si="3"/>
        <v>19900523 (MVS), 19910701 (AES)</v>
      </c>
      <c r="N52" t="str">
        <f t="shared" si="3"/>
        <v>トッププレイヤーズ・ゴルフ</v>
      </c>
      <c r="O52" t="str">
        <f t="shared" si="3"/>
        <v/>
      </c>
      <c r="P52" t="str">
        <f t="shared" si="3"/>
        <v/>
      </c>
      <c r="T52" t="str">
        <f t="shared" si="4"/>
        <v/>
      </c>
      <c r="V52" t="str">
        <f t="shared" si="6"/>
        <v>MVS,AES</v>
      </c>
      <c r="W52" t="str">
        <f t="shared" si="6"/>
        <v>MVS,AES</v>
      </c>
      <c r="AB52" t="s">
        <v>12</v>
      </c>
      <c r="AE52" t="s">
        <v>11</v>
      </c>
      <c r="AG52" t="s">
        <v>6</v>
      </c>
      <c r="AH52" t="s">
        <v>7610</v>
      </c>
      <c r="AI52" t="s">
        <v>9</v>
      </c>
      <c r="AJ52" t="s">
        <v>92</v>
      </c>
      <c r="AK52" t="s">
        <v>7609</v>
      </c>
      <c r="AL52" t="s">
        <v>7608</v>
      </c>
    </row>
    <row r="53" spans="5:38" x14ac:dyDescent="0.25">
      <c r="I53" t="str">
        <f t="shared" si="1"/>
        <v>tpgolf</v>
      </c>
      <c r="J53" t="str">
        <f t="shared" si="2"/>
        <v/>
      </c>
      <c r="L53" t="str">
        <f t="shared" si="3"/>
        <v>NGM-003 (MVS), NGH-003 (AES)</v>
      </c>
      <c r="M53" t="str">
        <f t="shared" si="3"/>
        <v>19900523 (MVS), 19910701 (AES)</v>
      </c>
      <c r="N53" t="str">
        <f t="shared" si="3"/>
        <v>トッププレイヤーズ・ゴルフ</v>
      </c>
      <c r="O53" t="str">
        <f t="shared" si="3"/>
        <v/>
      </c>
      <c r="P53" t="str">
        <f t="shared" si="3"/>
        <v/>
      </c>
      <c r="T53" t="str">
        <f t="shared" si="4"/>
        <v/>
      </c>
      <c r="V53" t="str">
        <f t="shared" si="6"/>
        <v>MVS,AES</v>
      </c>
      <c r="W53" t="str">
        <f t="shared" si="6"/>
        <v>MVS,AES</v>
      </c>
      <c r="AG53" t="s">
        <v>6</v>
      </c>
      <c r="AH53" t="s">
        <v>7607</v>
      </c>
      <c r="AI53" t="s">
        <v>4</v>
      </c>
      <c r="AJ53" t="s">
        <v>92</v>
      </c>
      <c r="AK53" t="s">
        <v>7606</v>
      </c>
      <c r="AL53" t="s">
        <v>7605</v>
      </c>
    </row>
    <row r="54" spans="5:38" x14ac:dyDescent="0.25">
      <c r="I54" t="str">
        <f t="shared" si="1"/>
        <v>tpgolf</v>
      </c>
      <c r="J54" t="str">
        <f t="shared" si="2"/>
        <v/>
      </c>
      <c r="L54" t="str">
        <f t="shared" si="3"/>
        <v>NGM-003 (MVS), NGH-003 (AES)</v>
      </c>
      <c r="M54" t="str">
        <f t="shared" si="3"/>
        <v>19900523 (MVS), 19910701 (AES)</v>
      </c>
      <c r="N54" t="str">
        <f t="shared" si="3"/>
        <v>トッププレイヤーズ・ゴルフ</v>
      </c>
      <c r="O54" t="str">
        <f t="shared" si="3"/>
        <v/>
      </c>
      <c r="P54" t="str">
        <f t="shared" si="3"/>
        <v/>
      </c>
      <c r="T54" t="str">
        <f t="shared" si="4"/>
        <v/>
      </c>
      <c r="V54" t="str">
        <f t="shared" si="6"/>
        <v>MVS,AES</v>
      </c>
      <c r="W54" t="str">
        <f t="shared" si="6"/>
        <v>MVS,AES</v>
      </c>
      <c r="AG54" t="s">
        <v>6</v>
      </c>
      <c r="AH54" t="s">
        <v>7604</v>
      </c>
      <c r="AI54" t="s">
        <v>15</v>
      </c>
      <c r="AJ54" t="s">
        <v>92</v>
      </c>
      <c r="AK54" t="s">
        <v>7603</v>
      </c>
      <c r="AL54" t="s">
        <v>7602</v>
      </c>
    </row>
    <row r="55" spans="5:38" x14ac:dyDescent="0.25">
      <c r="I55" t="str">
        <f t="shared" si="1"/>
        <v>tpgolf</v>
      </c>
      <c r="J55" t="str">
        <f t="shared" si="2"/>
        <v/>
      </c>
      <c r="L55" t="str">
        <f t="shared" si="3"/>
        <v>NGM-003 (MVS), NGH-003 (AES)</v>
      </c>
      <c r="M55" t="str">
        <f t="shared" si="3"/>
        <v>19900523 (MVS), 19910701 (AES)</v>
      </c>
      <c r="N55" t="str">
        <f t="shared" si="3"/>
        <v>トッププレイヤーズ・ゴルフ</v>
      </c>
      <c r="O55" t="str">
        <f t="shared" si="3"/>
        <v/>
      </c>
      <c r="P55" t="str">
        <f t="shared" si="3"/>
        <v/>
      </c>
      <c r="T55" t="str">
        <f t="shared" si="4"/>
        <v/>
      </c>
      <c r="V55" t="str">
        <f t="shared" si="6"/>
        <v>MVS,AES</v>
      </c>
      <c r="W55" t="str">
        <f t="shared" si="6"/>
        <v>MVS,AES</v>
      </c>
      <c r="AG55" t="s">
        <v>6</v>
      </c>
      <c r="AH55" t="s">
        <v>7601</v>
      </c>
      <c r="AI55" t="s">
        <v>7267</v>
      </c>
      <c r="AJ55" t="s">
        <v>92</v>
      </c>
      <c r="AK55" t="s">
        <v>7600</v>
      </c>
      <c r="AL55" t="s">
        <v>7599</v>
      </c>
    </row>
    <row r="56" spans="5:38" x14ac:dyDescent="0.25">
      <c r="I56" t="str">
        <f t="shared" si="1"/>
        <v>tpgolf</v>
      </c>
      <c r="J56" t="str">
        <f t="shared" si="2"/>
        <v/>
      </c>
      <c r="L56" t="str">
        <f t="shared" si="3"/>
        <v>NGM-003 (MVS), NGH-003 (AES)</v>
      </c>
      <c r="M56" t="str">
        <f t="shared" si="3"/>
        <v>19900523 (MVS), 19910701 (AES)</v>
      </c>
      <c r="N56" t="str">
        <f t="shared" si="3"/>
        <v>トッププレイヤーズ・ゴルフ</v>
      </c>
      <c r="O56" t="str">
        <f t="shared" si="3"/>
        <v/>
      </c>
      <c r="P56" t="str">
        <f t="shared" si="3"/>
        <v/>
      </c>
      <c r="T56" t="str">
        <f t="shared" si="4"/>
        <v/>
      </c>
      <c r="V56" t="str">
        <f t="shared" si="6"/>
        <v>MVS,AES</v>
      </c>
      <c r="W56" t="str">
        <f t="shared" si="6"/>
        <v>MVS,AES</v>
      </c>
      <c r="AG56" t="s">
        <v>6</v>
      </c>
      <c r="AH56" t="s">
        <v>7598</v>
      </c>
      <c r="AI56" t="s">
        <v>3</v>
      </c>
      <c r="AJ56" t="s">
        <v>92</v>
      </c>
      <c r="AK56" t="s">
        <v>7597</v>
      </c>
      <c r="AL56" t="s">
        <v>7596</v>
      </c>
    </row>
    <row r="57" spans="5:38" x14ac:dyDescent="0.25">
      <c r="I57" t="str">
        <f t="shared" si="1"/>
        <v>tpgolf</v>
      </c>
      <c r="J57" t="str">
        <f t="shared" si="2"/>
        <v/>
      </c>
      <c r="L57" t="str">
        <f t="shared" si="3"/>
        <v>NGM-003 (MVS), NGH-003 (AES)</v>
      </c>
      <c r="M57" t="str">
        <f t="shared" si="3"/>
        <v>19900523 (MVS), 19910701 (AES)</v>
      </c>
      <c r="N57" t="str">
        <f t="shared" si="3"/>
        <v>トッププレイヤーズ・ゴルフ</v>
      </c>
      <c r="O57" t="str">
        <f t="shared" si="3"/>
        <v/>
      </c>
      <c r="P57" t="str">
        <f t="shared" si="3"/>
        <v/>
      </c>
      <c r="T57" t="str">
        <f t="shared" si="4"/>
        <v/>
      </c>
      <c r="V57" t="str">
        <f t="shared" si="6"/>
        <v>MVS,AES</v>
      </c>
      <c r="W57" t="str">
        <f t="shared" si="6"/>
        <v>MVS,AES</v>
      </c>
      <c r="AG57" t="s">
        <v>6</v>
      </c>
      <c r="AH57" t="s">
        <v>7595</v>
      </c>
      <c r="AI57" t="s">
        <v>4371</v>
      </c>
      <c r="AJ57" t="s">
        <v>92</v>
      </c>
      <c r="AK57" t="s">
        <v>7594</v>
      </c>
      <c r="AL57" t="s">
        <v>7593</v>
      </c>
    </row>
    <row r="58" spans="5:38" x14ac:dyDescent="0.25">
      <c r="I58" t="str">
        <f t="shared" si="1"/>
        <v>tpgolf</v>
      </c>
      <c r="J58" t="str">
        <f t="shared" si="2"/>
        <v/>
      </c>
      <c r="L58" t="str">
        <f t="shared" si="3"/>
        <v>NGM-003 (MVS), NGH-003 (AES)</v>
      </c>
      <c r="M58" t="str">
        <f t="shared" si="3"/>
        <v>19900523 (MVS), 19910701 (AES)</v>
      </c>
      <c r="N58" t="str">
        <f t="shared" si="3"/>
        <v>トッププレイヤーズ・ゴルフ</v>
      </c>
      <c r="O58" t="str">
        <f t="shared" si="3"/>
        <v/>
      </c>
      <c r="P58" t="str">
        <f t="shared" si="3"/>
        <v/>
      </c>
      <c r="T58" t="str">
        <f t="shared" si="4"/>
        <v/>
      </c>
      <c r="V58" t="str">
        <f t="shared" si="6"/>
        <v>MVS,AES</v>
      </c>
      <c r="W58" t="str">
        <f t="shared" si="6"/>
        <v>MVS,AES</v>
      </c>
      <c r="AG58" t="s">
        <v>6</v>
      </c>
      <c r="AH58" t="s">
        <v>7592</v>
      </c>
      <c r="AI58" t="s">
        <v>377</v>
      </c>
      <c r="AJ58" t="s">
        <v>92</v>
      </c>
      <c r="AK58" t="s">
        <v>7591</v>
      </c>
      <c r="AL58" t="s">
        <v>7590</v>
      </c>
    </row>
    <row r="59" spans="5:38" x14ac:dyDescent="0.25">
      <c r="I59" t="str">
        <f t="shared" si="1"/>
        <v>tpgolf</v>
      </c>
      <c r="J59" t="str">
        <f t="shared" si="2"/>
        <v/>
      </c>
      <c r="L59" t="str">
        <f t="shared" si="3"/>
        <v>NGM-003 (MVS), NGH-003 (AES)</v>
      </c>
      <c r="M59" t="str">
        <f t="shared" si="3"/>
        <v>19900523 (MVS), 19910701 (AES)</v>
      </c>
      <c r="N59" t="str">
        <f t="shared" si="3"/>
        <v>トッププレイヤーズ・ゴルフ</v>
      </c>
      <c r="O59" t="str">
        <f t="shared" si="3"/>
        <v/>
      </c>
      <c r="P59" t="str">
        <f t="shared" si="3"/>
        <v/>
      </c>
      <c r="T59" t="str">
        <f t="shared" si="4"/>
        <v/>
      </c>
      <c r="V59" t="str">
        <f t="shared" si="6"/>
        <v>MVS,AES</v>
      </c>
      <c r="W59" t="str">
        <f t="shared" si="6"/>
        <v>MVS,AES</v>
      </c>
      <c r="AG59" t="s">
        <v>6</v>
      </c>
      <c r="AH59" t="s">
        <v>7589</v>
      </c>
      <c r="AI59" t="s">
        <v>7588</v>
      </c>
      <c r="AJ59" t="s">
        <v>92</v>
      </c>
      <c r="AK59" t="s">
        <v>7587</v>
      </c>
      <c r="AL59" t="s">
        <v>7586</v>
      </c>
    </row>
    <row r="60" spans="5:38" x14ac:dyDescent="0.25">
      <c r="E60" t="s">
        <v>7585</v>
      </c>
      <c r="F60" t="s">
        <v>7584</v>
      </c>
      <c r="G60" t="s">
        <v>3906</v>
      </c>
      <c r="H60" t="s">
        <v>1912</v>
      </c>
      <c r="I60" t="str">
        <f t="shared" si="1"/>
        <v>mahretsu</v>
      </c>
      <c r="J60" t="str">
        <f t="shared" si="2"/>
        <v>mahretsuserial</v>
      </c>
      <c r="K60" t="s">
        <v>1373</v>
      </c>
      <c r="L60" t="str">
        <f t="shared" si="3"/>
        <v>NGM-004 (MVS), NGH-004 (AES)</v>
      </c>
      <c r="M60" t="str">
        <f t="shared" si="3"/>
        <v>19900426 (MVS), 19910701 (AES)</v>
      </c>
      <c r="N60" t="str">
        <f t="shared" si="3"/>
        <v>麻雀狂列伝</v>
      </c>
      <c r="O60" t="str">
        <f t="shared" si="3"/>
        <v/>
      </c>
      <c r="P60" t="str">
        <f t="shared" si="3"/>
        <v/>
      </c>
      <c r="Q60" t="s">
        <v>7583</v>
      </c>
      <c r="S60" t="s">
        <v>46</v>
      </c>
      <c r="T60" t="str">
        <f t="shared" si="4"/>
        <v>mahretsurelease</v>
      </c>
      <c r="U60" t="s">
        <v>218</v>
      </c>
      <c r="V60" t="str">
        <f t="shared" si="6"/>
        <v>MVS,AES</v>
      </c>
      <c r="W60" t="str">
        <f t="shared" si="6"/>
        <v>MVS,AES</v>
      </c>
      <c r="Y60" t="s">
        <v>45</v>
      </c>
      <c r="Z60" t="s">
        <v>44</v>
      </c>
      <c r="AB60" t="s">
        <v>43</v>
      </c>
      <c r="AC60" t="s">
        <v>42</v>
      </c>
      <c r="AD60" t="s">
        <v>41</v>
      </c>
      <c r="AE60" t="s">
        <v>15</v>
      </c>
      <c r="AG60" t="s">
        <v>40</v>
      </c>
      <c r="AH60" t="s">
        <v>7582</v>
      </c>
      <c r="AI60" t="s">
        <v>9</v>
      </c>
      <c r="AJ60" t="s">
        <v>92</v>
      </c>
      <c r="AK60" t="s">
        <v>7581</v>
      </c>
      <c r="AL60" t="s">
        <v>7580</v>
      </c>
    </row>
    <row r="61" spans="5:38" x14ac:dyDescent="0.25">
      <c r="I61" t="str">
        <f t="shared" si="1"/>
        <v>mahretsu</v>
      </c>
      <c r="J61" t="str">
        <f t="shared" si="2"/>
        <v>mahretsurelease</v>
      </c>
      <c r="K61" t="s">
        <v>46</v>
      </c>
      <c r="L61" t="str">
        <f t="shared" si="3"/>
        <v>NGM-004 (MVS), NGH-004 (AES)</v>
      </c>
      <c r="M61" t="str">
        <f t="shared" si="3"/>
        <v>19900426 (MVS), 19910701 (AES)</v>
      </c>
      <c r="N61" t="str">
        <f t="shared" si="3"/>
        <v>麻雀狂列伝</v>
      </c>
      <c r="O61" t="str">
        <f t="shared" si="3"/>
        <v/>
      </c>
      <c r="P61" t="str">
        <f t="shared" si="3"/>
        <v/>
      </c>
      <c r="Q61" t="s">
        <v>7579</v>
      </c>
      <c r="T61" t="str">
        <f t="shared" si="4"/>
        <v/>
      </c>
      <c r="V61" t="str">
        <f t="shared" si="6"/>
        <v>MVS,AES</v>
      </c>
      <c r="W61" t="str">
        <f t="shared" si="6"/>
        <v>MVS,AES</v>
      </c>
      <c r="AB61" t="s">
        <v>34</v>
      </c>
      <c r="AE61" t="s">
        <v>33</v>
      </c>
      <c r="AH61" t="s">
        <v>7578</v>
      </c>
      <c r="AI61" t="s">
        <v>9</v>
      </c>
      <c r="AJ61" t="s">
        <v>27</v>
      </c>
      <c r="AK61" t="s">
        <v>7577</v>
      </c>
      <c r="AL61" t="s">
        <v>7576</v>
      </c>
    </row>
    <row r="62" spans="5:38" x14ac:dyDescent="0.25">
      <c r="I62" t="str">
        <f t="shared" si="1"/>
        <v>mahretsu</v>
      </c>
      <c r="J62" t="str">
        <f t="shared" si="2"/>
        <v>mahretsualt_title</v>
      </c>
      <c r="K62" t="s">
        <v>1218</v>
      </c>
      <c r="L62" t="str">
        <f t="shared" si="3"/>
        <v>NGM-004 (MVS), NGH-004 (AES)</v>
      </c>
      <c r="M62" t="str">
        <f t="shared" si="3"/>
        <v>19900426 (MVS), 19910701 (AES)</v>
      </c>
      <c r="N62" t="str">
        <f t="shared" si="3"/>
        <v>麻雀狂列伝</v>
      </c>
      <c r="O62" t="str">
        <f t="shared" si="3"/>
        <v/>
      </c>
      <c r="P62" t="str">
        <f t="shared" si="3"/>
        <v/>
      </c>
      <c r="Q62" t="s">
        <v>7575</v>
      </c>
      <c r="T62" t="str">
        <f t="shared" si="4"/>
        <v/>
      </c>
      <c r="V62" t="str">
        <f t="shared" si="6"/>
        <v>MVS,AES</v>
      </c>
      <c r="W62" t="str">
        <f t="shared" si="6"/>
        <v>MVS,AES</v>
      </c>
      <c r="AB62" t="s">
        <v>29</v>
      </c>
      <c r="AE62" t="s">
        <v>27</v>
      </c>
      <c r="AH62" t="s">
        <v>7574</v>
      </c>
      <c r="AI62" t="s">
        <v>9</v>
      </c>
      <c r="AJ62" t="s">
        <v>27</v>
      </c>
      <c r="AK62" t="s">
        <v>7573</v>
      </c>
      <c r="AL62" t="s">
        <v>7572</v>
      </c>
    </row>
    <row r="63" spans="5:38" x14ac:dyDescent="0.25">
      <c r="I63" t="str">
        <f t="shared" si="1"/>
        <v>mahretsu</v>
      </c>
      <c r="J63" t="str">
        <f t="shared" si="2"/>
        <v/>
      </c>
      <c r="L63" t="str">
        <f t="shared" si="3"/>
        <v>NGM-004 (MVS), NGH-004 (AES)</v>
      </c>
      <c r="M63" t="str">
        <f t="shared" si="3"/>
        <v>19900426 (MVS), 19910701 (AES)</v>
      </c>
      <c r="N63" t="str">
        <f t="shared" si="3"/>
        <v>麻雀狂列伝</v>
      </c>
      <c r="O63" t="str">
        <f t="shared" si="3"/>
        <v/>
      </c>
      <c r="P63" t="str">
        <f t="shared" si="3"/>
        <v/>
      </c>
      <c r="S63" t="s">
        <v>36</v>
      </c>
      <c r="T63" t="str">
        <f t="shared" si="4"/>
        <v>mahretsucompatibility</v>
      </c>
      <c r="U63" t="s">
        <v>218</v>
      </c>
      <c r="V63" t="str">
        <f t="shared" si="6"/>
        <v>MVS,AES</v>
      </c>
      <c r="W63" t="str">
        <f t="shared" si="6"/>
        <v>MVS,AES</v>
      </c>
      <c r="AB63" t="s">
        <v>24</v>
      </c>
      <c r="AE63" t="s">
        <v>15</v>
      </c>
      <c r="AH63" t="s">
        <v>7571</v>
      </c>
      <c r="AI63" t="s">
        <v>9</v>
      </c>
      <c r="AJ63" t="s">
        <v>92</v>
      </c>
      <c r="AK63" t="s">
        <v>7570</v>
      </c>
      <c r="AL63" t="s">
        <v>7569</v>
      </c>
    </row>
    <row r="64" spans="5:38" x14ac:dyDescent="0.25">
      <c r="I64" t="str">
        <f t="shared" si="1"/>
        <v>mahretsu</v>
      </c>
      <c r="J64" t="str">
        <f t="shared" si="2"/>
        <v/>
      </c>
      <c r="L64" t="str">
        <f t="shared" si="3"/>
        <v>NGM-004 (MVS), NGH-004 (AES)</v>
      </c>
      <c r="M64" t="str">
        <f t="shared" si="3"/>
        <v>19900426 (MVS), 19910701 (AES)</v>
      </c>
      <c r="N64" t="str">
        <f t="shared" si="3"/>
        <v>麻雀狂列伝</v>
      </c>
      <c r="O64" t="str">
        <f t="shared" si="3"/>
        <v/>
      </c>
      <c r="P64" t="str">
        <f t="shared" si="3"/>
        <v/>
      </c>
      <c r="T64" t="str">
        <f t="shared" si="4"/>
        <v/>
      </c>
      <c r="V64" t="str">
        <f t="shared" si="6"/>
        <v>MVS,AES</v>
      </c>
      <c r="W64" t="str">
        <f t="shared" si="6"/>
        <v>MVS,AES</v>
      </c>
      <c r="AH64" t="s">
        <v>7568</v>
      </c>
      <c r="AI64" t="s">
        <v>92</v>
      </c>
      <c r="AJ64" t="s">
        <v>92</v>
      </c>
      <c r="AK64" t="s">
        <v>7567</v>
      </c>
      <c r="AL64" t="s">
        <v>7566</v>
      </c>
    </row>
    <row r="65" spans="5:38" x14ac:dyDescent="0.25">
      <c r="I65" t="str">
        <f t="shared" si="1"/>
        <v>mahretsu</v>
      </c>
      <c r="J65" t="str">
        <f t="shared" si="2"/>
        <v/>
      </c>
      <c r="L65" t="str">
        <f t="shared" si="3"/>
        <v>NGM-004 (MVS), NGH-004 (AES)</v>
      </c>
      <c r="M65" t="str">
        <f t="shared" si="3"/>
        <v>19900426 (MVS), 19910701 (AES)</v>
      </c>
      <c r="N65" t="str">
        <f t="shared" si="3"/>
        <v>麻雀狂列伝</v>
      </c>
      <c r="O65" t="str">
        <f t="shared" si="3"/>
        <v/>
      </c>
      <c r="P65" t="str">
        <f t="shared" si="3"/>
        <v/>
      </c>
      <c r="T65" t="str">
        <f t="shared" si="4"/>
        <v/>
      </c>
      <c r="V65" t="str">
        <f t="shared" si="6"/>
        <v>MVS,AES</v>
      </c>
      <c r="W65" t="str">
        <f t="shared" si="6"/>
        <v>MVS,AES</v>
      </c>
      <c r="AB65" t="s">
        <v>6575</v>
      </c>
      <c r="AE65" t="s">
        <v>4502</v>
      </c>
      <c r="AH65" t="s">
        <v>7565</v>
      </c>
      <c r="AI65" t="s">
        <v>9</v>
      </c>
      <c r="AJ65" t="s">
        <v>92</v>
      </c>
      <c r="AK65" t="s">
        <v>7564</v>
      </c>
      <c r="AL65" t="s">
        <v>7563</v>
      </c>
    </row>
    <row r="66" spans="5:38" x14ac:dyDescent="0.25">
      <c r="I66" t="str">
        <f t="shared" si="1"/>
        <v>mahretsu</v>
      </c>
      <c r="J66" t="str">
        <f t="shared" si="2"/>
        <v/>
      </c>
      <c r="L66" t="str">
        <f t="shared" ref="L66:P116" si="7">IFERROR(VLOOKUP($I66&amp;L$1,$J:$Q,8,0),"")</f>
        <v>NGM-004 (MVS), NGH-004 (AES)</v>
      </c>
      <c r="M66" t="str">
        <f t="shared" si="7"/>
        <v>19900426 (MVS), 19910701 (AES)</v>
      </c>
      <c r="N66" t="str">
        <f t="shared" si="7"/>
        <v>麻雀狂列伝</v>
      </c>
      <c r="O66" t="str">
        <f t="shared" si="7"/>
        <v/>
      </c>
      <c r="P66" t="str">
        <f t="shared" si="7"/>
        <v/>
      </c>
      <c r="T66" t="str">
        <f t="shared" si="4"/>
        <v/>
      </c>
      <c r="V66" t="str">
        <f t="shared" si="6"/>
        <v>MVS,AES</v>
      </c>
      <c r="W66" t="str">
        <f t="shared" si="6"/>
        <v>MVS,AES</v>
      </c>
      <c r="AH66" t="s">
        <v>7562</v>
      </c>
      <c r="AI66" t="s">
        <v>92</v>
      </c>
      <c r="AJ66" t="s">
        <v>92</v>
      </c>
      <c r="AK66" t="s">
        <v>7561</v>
      </c>
      <c r="AL66" t="s">
        <v>7560</v>
      </c>
    </row>
    <row r="67" spans="5:38" x14ac:dyDescent="0.25">
      <c r="I67" t="str">
        <f t="shared" ref="I67:I130" si="8">IF(E67="",I66,E67)</f>
        <v>mahretsu</v>
      </c>
      <c r="J67" t="str">
        <f t="shared" ref="J67:J130" si="9">IF(K67="","",I67&amp;K67)</f>
        <v/>
      </c>
      <c r="L67" t="str">
        <f t="shared" si="7"/>
        <v>NGM-004 (MVS), NGH-004 (AES)</v>
      </c>
      <c r="M67" t="str">
        <f t="shared" si="7"/>
        <v>19900426 (MVS), 19910701 (AES)</v>
      </c>
      <c r="N67" t="str">
        <f t="shared" si="7"/>
        <v>麻雀狂列伝</v>
      </c>
      <c r="O67" t="str">
        <f t="shared" si="7"/>
        <v/>
      </c>
      <c r="P67" t="str">
        <f t="shared" si="7"/>
        <v/>
      </c>
      <c r="T67" t="str">
        <f t="shared" ref="T67:T130" si="10">IF(S67="","",I67&amp;S67)</f>
        <v/>
      </c>
      <c r="V67" t="str">
        <f t="shared" si="6"/>
        <v>MVS,AES</v>
      </c>
      <c r="W67" t="str">
        <f t="shared" si="6"/>
        <v>MVS,AES</v>
      </c>
      <c r="AH67" t="s">
        <v>7559</v>
      </c>
      <c r="AI67" t="s">
        <v>15</v>
      </c>
      <c r="AJ67" t="s">
        <v>92</v>
      </c>
      <c r="AK67" t="s">
        <v>7558</v>
      </c>
      <c r="AL67" t="s">
        <v>7557</v>
      </c>
    </row>
    <row r="68" spans="5:38" x14ac:dyDescent="0.25">
      <c r="I68" t="str">
        <f t="shared" si="8"/>
        <v>mahretsu</v>
      </c>
      <c r="J68" t="str">
        <f t="shared" si="9"/>
        <v/>
      </c>
      <c r="L68" t="str">
        <f t="shared" si="7"/>
        <v>NGM-004 (MVS), NGH-004 (AES)</v>
      </c>
      <c r="M68" t="str">
        <f t="shared" si="7"/>
        <v>19900426 (MVS), 19910701 (AES)</v>
      </c>
      <c r="N68" t="str">
        <f t="shared" si="7"/>
        <v>麻雀狂列伝</v>
      </c>
      <c r="O68" t="str">
        <f t="shared" si="7"/>
        <v/>
      </c>
      <c r="P68" t="str">
        <f t="shared" si="7"/>
        <v/>
      </c>
      <c r="T68" t="str">
        <f t="shared" si="10"/>
        <v/>
      </c>
      <c r="V68" t="str">
        <f t="shared" si="6"/>
        <v>MVS,AES</v>
      </c>
      <c r="W68" t="str">
        <f t="shared" si="6"/>
        <v>MVS,AES</v>
      </c>
      <c r="AB68" t="s">
        <v>12</v>
      </c>
      <c r="AE68" t="s">
        <v>3</v>
      </c>
      <c r="AG68" t="s">
        <v>6</v>
      </c>
      <c r="AH68" t="s">
        <v>7556</v>
      </c>
      <c r="AI68" t="s">
        <v>9</v>
      </c>
      <c r="AJ68" t="s">
        <v>92</v>
      </c>
      <c r="AK68" t="s">
        <v>7555</v>
      </c>
      <c r="AL68" t="s">
        <v>7554</v>
      </c>
    </row>
    <row r="69" spans="5:38" x14ac:dyDescent="0.25">
      <c r="I69" t="str">
        <f t="shared" si="8"/>
        <v>mahretsu</v>
      </c>
      <c r="J69" t="str">
        <f t="shared" si="9"/>
        <v/>
      </c>
      <c r="L69" t="str">
        <f t="shared" si="7"/>
        <v>NGM-004 (MVS), NGH-004 (AES)</v>
      </c>
      <c r="M69" t="str">
        <f t="shared" si="7"/>
        <v>19900426 (MVS), 19910701 (AES)</v>
      </c>
      <c r="N69" t="str">
        <f t="shared" si="7"/>
        <v>麻雀狂列伝</v>
      </c>
      <c r="O69" t="str">
        <f t="shared" si="7"/>
        <v/>
      </c>
      <c r="P69" t="str">
        <f t="shared" si="7"/>
        <v/>
      </c>
      <c r="T69" t="str">
        <f t="shared" si="10"/>
        <v/>
      </c>
      <c r="V69" t="str">
        <f t="shared" si="6"/>
        <v>MVS,AES</v>
      </c>
      <c r="W69" t="str">
        <f t="shared" si="6"/>
        <v>MVS,AES</v>
      </c>
      <c r="AG69" t="s">
        <v>6</v>
      </c>
      <c r="AH69" t="s">
        <v>7553</v>
      </c>
      <c r="AI69" t="s">
        <v>4</v>
      </c>
      <c r="AJ69" t="s">
        <v>92</v>
      </c>
      <c r="AK69" t="s">
        <v>7552</v>
      </c>
      <c r="AL69" t="s">
        <v>7551</v>
      </c>
    </row>
    <row r="70" spans="5:38" x14ac:dyDescent="0.25">
      <c r="I70" t="str">
        <f t="shared" si="8"/>
        <v>mahretsu</v>
      </c>
      <c r="J70" t="str">
        <f t="shared" si="9"/>
        <v/>
      </c>
      <c r="L70" t="str">
        <f t="shared" si="7"/>
        <v>NGM-004 (MVS), NGH-004 (AES)</v>
      </c>
      <c r="M70" t="str">
        <f t="shared" si="7"/>
        <v>19900426 (MVS), 19910701 (AES)</v>
      </c>
      <c r="N70" t="str">
        <f t="shared" si="7"/>
        <v>麻雀狂列伝</v>
      </c>
      <c r="O70" t="str">
        <f t="shared" si="7"/>
        <v/>
      </c>
      <c r="P70" t="str">
        <f t="shared" si="7"/>
        <v/>
      </c>
      <c r="T70" t="str">
        <f t="shared" si="10"/>
        <v/>
      </c>
      <c r="V70" t="str">
        <f t="shared" si="6"/>
        <v>MVS,AES</v>
      </c>
      <c r="W70" t="str">
        <f t="shared" si="6"/>
        <v>MVS,AES</v>
      </c>
      <c r="AG70" t="s">
        <v>6</v>
      </c>
      <c r="AH70" t="s">
        <v>7550</v>
      </c>
      <c r="AI70" t="s">
        <v>15</v>
      </c>
      <c r="AJ70" t="s">
        <v>92</v>
      </c>
      <c r="AK70" t="s">
        <v>7549</v>
      </c>
      <c r="AL70" t="s">
        <v>7548</v>
      </c>
    </row>
    <row r="71" spans="5:38" x14ac:dyDescent="0.25">
      <c r="I71" t="str">
        <f t="shared" si="8"/>
        <v>mahretsu</v>
      </c>
      <c r="J71" t="str">
        <f t="shared" si="9"/>
        <v/>
      </c>
      <c r="L71" t="str">
        <f t="shared" si="7"/>
        <v>NGM-004 (MVS), NGH-004 (AES)</v>
      </c>
      <c r="M71" t="str">
        <f t="shared" si="7"/>
        <v>19900426 (MVS), 19910701 (AES)</v>
      </c>
      <c r="N71" t="str">
        <f t="shared" si="7"/>
        <v>麻雀狂列伝</v>
      </c>
      <c r="O71" t="str">
        <f t="shared" si="7"/>
        <v/>
      </c>
      <c r="P71" t="str">
        <f t="shared" si="7"/>
        <v/>
      </c>
      <c r="T71" t="str">
        <f t="shared" si="10"/>
        <v/>
      </c>
      <c r="V71" t="str">
        <f t="shared" si="6"/>
        <v>MVS,AES</v>
      </c>
      <c r="W71" t="str">
        <f t="shared" si="6"/>
        <v>MVS,AES</v>
      </c>
      <c r="AG71" t="s">
        <v>6</v>
      </c>
      <c r="AH71" t="s">
        <v>7547</v>
      </c>
      <c r="AI71" t="s">
        <v>7267</v>
      </c>
      <c r="AJ71" t="s">
        <v>92</v>
      </c>
      <c r="AK71" t="s">
        <v>7546</v>
      </c>
      <c r="AL71" t="s">
        <v>7545</v>
      </c>
    </row>
    <row r="72" spans="5:38" x14ac:dyDescent="0.25">
      <c r="E72" t="s">
        <v>7532</v>
      </c>
      <c r="F72" t="s">
        <v>7544</v>
      </c>
      <c r="G72" t="s">
        <v>3906</v>
      </c>
      <c r="H72" t="s">
        <v>5638</v>
      </c>
      <c r="I72" t="str">
        <f t="shared" si="8"/>
        <v>maglord</v>
      </c>
      <c r="J72" t="str">
        <f t="shared" si="9"/>
        <v>maglordserial</v>
      </c>
      <c r="K72" t="s">
        <v>1373</v>
      </c>
      <c r="L72" t="str">
        <f t="shared" si="7"/>
        <v>NGM-005</v>
      </c>
      <c r="M72" t="str">
        <f t="shared" si="7"/>
        <v>19900426</v>
      </c>
      <c r="N72" t="str">
        <f t="shared" si="7"/>
        <v>マジシャンロード</v>
      </c>
      <c r="O72" t="str">
        <f t="shared" si="7"/>
        <v/>
      </c>
      <c r="P72" t="str">
        <f t="shared" si="7"/>
        <v/>
      </c>
      <c r="Q72" t="s">
        <v>7543</v>
      </c>
      <c r="S72" t="s">
        <v>46</v>
      </c>
      <c r="T72" t="str">
        <f t="shared" si="10"/>
        <v>maglordrelease</v>
      </c>
      <c r="U72" t="s">
        <v>106</v>
      </c>
      <c r="V72" t="str">
        <f t="shared" si="6"/>
        <v>MVS</v>
      </c>
      <c r="W72" t="str">
        <f t="shared" si="6"/>
        <v>MVS,AES</v>
      </c>
      <c r="Y72" t="s">
        <v>45</v>
      </c>
      <c r="Z72" t="s">
        <v>44</v>
      </c>
      <c r="AB72" t="s">
        <v>43</v>
      </c>
      <c r="AC72" t="s">
        <v>42</v>
      </c>
      <c r="AD72" t="s">
        <v>41</v>
      </c>
      <c r="AE72" t="s">
        <v>15</v>
      </c>
      <c r="AG72" t="s">
        <v>40</v>
      </c>
      <c r="AH72" t="s">
        <v>7542</v>
      </c>
      <c r="AI72" t="s">
        <v>9</v>
      </c>
      <c r="AJ72" t="s">
        <v>92</v>
      </c>
      <c r="AK72" t="s">
        <v>7541</v>
      </c>
      <c r="AL72" t="s">
        <v>7540</v>
      </c>
    </row>
    <row r="73" spans="5:38" x14ac:dyDescent="0.25">
      <c r="I73" t="str">
        <f t="shared" si="8"/>
        <v>maglord</v>
      </c>
      <c r="J73" t="str">
        <f t="shared" si="9"/>
        <v>maglordrelease</v>
      </c>
      <c r="K73" t="s">
        <v>46</v>
      </c>
      <c r="L73" t="str">
        <f t="shared" si="7"/>
        <v>NGM-005</v>
      </c>
      <c r="M73" t="str">
        <f t="shared" si="7"/>
        <v>19900426</v>
      </c>
      <c r="N73" t="str">
        <f t="shared" si="7"/>
        <v>マジシャンロード</v>
      </c>
      <c r="O73" t="str">
        <f t="shared" si="7"/>
        <v/>
      </c>
      <c r="P73" t="str">
        <f t="shared" si="7"/>
        <v/>
      </c>
      <c r="Q73" t="s">
        <v>7539</v>
      </c>
      <c r="T73" t="str">
        <f t="shared" si="10"/>
        <v/>
      </c>
      <c r="V73" t="str">
        <f t="shared" si="6"/>
        <v>MVS</v>
      </c>
      <c r="W73" t="str">
        <f t="shared" si="6"/>
        <v>MVS,AES</v>
      </c>
      <c r="AB73" t="s">
        <v>34</v>
      </c>
      <c r="AE73" t="s">
        <v>33</v>
      </c>
      <c r="AH73" t="s">
        <v>7531</v>
      </c>
      <c r="AI73" t="s">
        <v>9</v>
      </c>
      <c r="AJ73" t="s">
        <v>27</v>
      </c>
      <c r="AK73" t="s">
        <v>7530</v>
      </c>
      <c r="AL73" t="s">
        <v>7529</v>
      </c>
    </row>
    <row r="74" spans="5:38" x14ac:dyDescent="0.25">
      <c r="I74" t="str">
        <f t="shared" si="8"/>
        <v>maglord</v>
      </c>
      <c r="J74" t="str">
        <f t="shared" si="9"/>
        <v>maglordalt_title</v>
      </c>
      <c r="K74" t="s">
        <v>1218</v>
      </c>
      <c r="L74" t="str">
        <f t="shared" si="7"/>
        <v>NGM-005</v>
      </c>
      <c r="M74" t="str">
        <f t="shared" si="7"/>
        <v>19900426</v>
      </c>
      <c r="N74" t="str">
        <f t="shared" si="7"/>
        <v>マジシャンロード</v>
      </c>
      <c r="O74" t="str">
        <f t="shared" si="7"/>
        <v/>
      </c>
      <c r="P74" t="str">
        <f t="shared" si="7"/>
        <v/>
      </c>
      <c r="Q74" t="s">
        <v>7528</v>
      </c>
      <c r="T74" t="str">
        <f t="shared" si="10"/>
        <v/>
      </c>
      <c r="V74" t="str">
        <f t="shared" si="6"/>
        <v>MVS</v>
      </c>
      <c r="W74" t="str">
        <f t="shared" si="6"/>
        <v>MVS,AES</v>
      </c>
      <c r="AB74" t="s">
        <v>29</v>
      </c>
      <c r="AE74" t="s">
        <v>33</v>
      </c>
      <c r="AH74" t="s">
        <v>7527</v>
      </c>
      <c r="AI74" t="s">
        <v>9</v>
      </c>
      <c r="AJ74" t="s">
        <v>33</v>
      </c>
      <c r="AK74" t="s">
        <v>7526</v>
      </c>
      <c r="AL74" t="s">
        <v>7525</v>
      </c>
    </row>
    <row r="75" spans="5:38" x14ac:dyDescent="0.25">
      <c r="I75" t="str">
        <f t="shared" si="8"/>
        <v>maglord</v>
      </c>
      <c r="J75" t="str">
        <f t="shared" si="9"/>
        <v/>
      </c>
      <c r="L75" t="str">
        <f t="shared" si="7"/>
        <v>NGM-005</v>
      </c>
      <c r="M75" t="str">
        <f t="shared" si="7"/>
        <v>19900426</v>
      </c>
      <c r="N75" t="str">
        <f t="shared" si="7"/>
        <v>マジシャンロード</v>
      </c>
      <c r="O75" t="str">
        <f t="shared" si="7"/>
        <v/>
      </c>
      <c r="P75" t="str">
        <f t="shared" si="7"/>
        <v/>
      </c>
      <c r="S75" t="s">
        <v>36</v>
      </c>
      <c r="T75" t="str">
        <f t="shared" si="10"/>
        <v>maglordcompatibility</v>
      </c>
      <c r="U75" t="s">
        <v>218</v>
      </c>
      <c r="V75" t="str">
        <f t="shared" si="6"/>
        <v>MVS</v>
      </c>
      <c r="W75" t="str">
        <f t="shared" si="6"/>
        <v>MVS,AES</v>
      </c>
      <c r="AB75" t="s">
        <v>24</v>
      </c>
      <c r="AE75" t="s">
        <v>480</v>
      </c>
      <c r="AH75" t="s">
        <v>7524</v>
      </c>
      <c r="AI75" t="s">
        <v>9</v>
      </c>
      <c r="AJ75" t="s">
        <v>92</v>
      </c>
      <c r="AK75" t="s">
        <v>7523</v>
      </c>
      <c r="AL75" t="s">
        <v>7522</v>
      </c>
    </row>
    <row r="76" spans="5:38" x14ac:dyDescent="0.25">
      <c r="I76" t="str">
        <f t="shared" si="8"/>
        <v>maglord</v>
      </c>
      <c r="J76" t="str">
        <f t="shared" si="9"/>
        <v/>
      </c>
      <c r="L76" t="str">
        <f t="shared" si="7"/>
        <v>NGM-005</v>
      </c>
      <c r="M76" t="str">
        <f t="shared" si="7"/>
        <v>19900426</v>
      </c>
      <c r="N76" t="str">
        <f t="shared" si="7"/>
        <v>マジシャンロード</v>
      </c>
      <c r="O76" t="str">
        <f t="shared" si="7"/>
        <v/>
      </c>
      <c r="P76" t="str">
        <f t="shared" si="7"/>
        <v/>
      </c>
      <c r="T76" t="str">
        <f t="shared" si="10"/>
        <v/>
      </c>
      <c r="V76" t="str">
        <f t="shared" si="6"/>
        <v>MVS</v>
      </c>
      <c r="W76" t="str">
        <f t="shared" si="6"/>
        <v>MVS,AES</v>
      </c>
      <c r="AB76" t="s">
        <v>6575</v>
      </c>
      <c r="AE76" t="s">
        <v>15</v>
      </c>
      <c r="AH76" t="s">
        <v>7521</v>
      </c>
      <c r="AI76" t="s">
        <v>9</v>
      </c>
      <c r="AJ76" t="s">
        <v>92</v>
      </c>
      <c r="AK76" t="s">
        <v>7520</v>
      </c>
      <c r="AL76" t="s">
        <v>7519</v>
      </c>
    </row>
    <row r="77" spans="5:38" x14ac:dyDescent="0.25">
      <c r="I77" t="str">
        <f t="shared" si="8"/>
        <v>maglord</v>
      </c>
      <c r="J77" t="str">
        <f t="shared" si="9"/>
        <v/>
      </c>
      <c r="L77" t="str">
        <f t="shared" si="7"/>
        <v>NGM-005</v>
      </c>
      <c r="M77" t="str">
        <f t="shared" si="7"/>
        <v>19900426</v>
      </c>
      <c r="N77" t="str">
        <f t="shared" si="7"/>
        <v>マジシャンロード</v>
      </c>
      <c r="O77" t="str">
        <f t="shared" si="7"/>
        <v/>
      </c>
      <c r="P77" t="str">
        <f t="shared" si="7"/>
        <v/>
      </c>
      <c r="T77" t="str">
        <f t="shared" si="10"/>
        <v/>
      </c>
      <c r="V77" t="str">
        <f t="shared" si="6"/>
        <v>MVS</v>
      </c>
      <c r="W77" t="str">
        <f t="shared" si="6"/>
        <v>MVS,AES</v>
      </c>
      <c r="AH77" t="s">
        <v>7518</v>
      </c>
      <c r="AI77" t="s">
        <v>92</v>
      </c>
      <c r="AJ77" t="s">
        <v>92</v>
      </c>
      <c r="AK77" t="s">
        <v>7517</v>
      </c>
      <c r="AL77" t="s">
        <v>7516</v>
      </c>
    </row>
    <row r="78" spans="5:38" x14ac:dyDescent="0.25">
      <c r="I78" t="str">
        <f t="shared" si="8"/>
        <v>maglord</v>
      </c>
      <c r="J78" t="str">
        <f t="shared" si="9"/>
        <v/>
      </c>
      <c r="L78" t="str">
        <f t="shared" si="7"/>
        <v>NGM-005</v>
      </c>
      <c r="M78" t="str">
        <f t="shared" si="7"/>
        <v>19900426</v>
      </c>
      <c r="N78" t="str">
        <f t="shared" si="7"/>
        <v>マジシャンロード</v>
      </c>
      <c r="O78" t="str">
        <f t="shared" si="7"/>
        <v/>
      </c>
      <c r="P78" t="str">
        <f t="shared" si="7"/>
        <v/>
      </c>
      <c r="T78" t="str">
        <f t="shared" si="10"/>
        <v/>
      </c>
      <c r="V78" t="str">
        <f t="shared" si="6"/>
        <v>MVS</v>
      </c>
      <c r="W78" t="str">
        <f t="shared" si="6"/>
        <v>MVS,AES</v>
      </c>
      <c r="AB78" t="s">
        <v>12</v>
      </c>
      <c r="AE78" t="s">
        <v>377</v>
      </c>
      <c r="AG78" t="s">
        <v>6</v>
      </c>
      <c r="AH78" t="s">
        <v>7515</v>
      </c>
      <c r="AI78" t="s">
        <v>9</v>
      </c>
      <c r="AJ78" t="s">
        <v>92</v>
      </c>
      <c r="AK78" t="s">
        <v>7514</v>
      </c>
      <c r="AL78" t="s">
        <v>7513</v>
      </c>
    </row>
    <row r="79" spans="5:38" x14ac:dyDescent="0.25">
      <c r="I79" t="str">
        <f t="shared" si="8"/>
        <v>maglord</v>
      </c>
      <c r="J79" t="str">
        <f t="shared" si="9"/>
        <v/>
      </c>
      <c r="L79" t="str">
        <f t="shared" si="7"/>
        <v>NGM-005</v>
      </c>
      <c r="M79" t="str">
        <f t="shared" si="7"/>
        <v>19900426</v>
      </c>
      <c r="N79" t="str">
        <f t="shared" si="7"/>
        <v>マジシャンロード</v>
      </c>
      <c r="O79" t="str">
        <f t="shared" si="7"/>
        <v/>
      </c>
      <c r="P79" t="str">
        <f t="shared" si="7"/>
        <v/>
      </c>
      <c r="T79" t="str">
        <f t="shared" si="10"/>
        <v/>
      </c>
      <c r="V79" t="str">
        <f t="shared" si="6"/>
        <v>MVS</v>
      </c>
      <c r="W79" t="str">
        <f t="shared" si="6"/>
        <v>MVS,AES</v>
      </c>
      <c r="AG79" t="s">
        <v>6</v>
      </c>
      <c r="AH79" t="s">
        <v>7512</v>
      </c>
      <c r="AI79" t="s">
        <v>4</v>
      </c>
      <c r="AJ79" t="s">
        <v>92</v>
      </c>
      <c r="AK79" t="s">
        <v>7511</v>
      </c>
      <c r="AL79" t="s">
        <v>7510</v>
      </c>
    </row>
    <row r="80" spans="5:38" x14ac:dyDescent="0.25">
      <c r="I80" t="str">
        <f t="shared" si="8"/>
        <v>maglord</v>
      </c>
      <c r="J80" t="str">
        <f t="shared" si="9"/>
        <v/>
      </c>
      <c r="L80" t="str">
        <f t="shared" si="7"/>
        <v>NGM-005</v>
      </c>
      <c r="M80" t="str">
        <f t="shared" si="7"/>
        <v>19900426</v>
      </c>
      <c r="N80" t="str">
        <f t="shared" si="7"/>
        <v>マジシャンロード</v>
      </c>
      <c r="O80" t="str">
        <f t="shared" si="7"/>
        <v/>
      </c>
      <c r="P80" t="str">
        <f t="shared" si="7"/>
        <v/>
      </c>
      <c r="T80" t="str">
        <f t="shared" si="10"/>
        <v/>
      </c>
      <c r="V80" t="str">
        <f t="shared" si="6"/>
        <v>MVS</v>
      </c>
      <c r="W80" t="str">
        <f t="shared" si="6"/>
        <v>MVS,AES</v>
      </c>
      <c r="AG80" t="s">
        <v>6</v>
      </c>
      <c r="AH80" t="s">
        <v>7509</v>
      </c>
      <c r="AI80" t="s">
        <v>15</v>
      </c>
      <c r="AJ80" t="s">
        <v>92</v>
      </c>
      <c r="AK80" t="s">
        <v>7508</v>
      </c>
      <c r="AL80" t="s">
        <v>7507</v>
      </c>
    </row>
    <row r="81" spans="5:44" x14ac:dyDescent="0.25">
      <c r="I81" t="str">
        <f t="shared" si="8"/>
        <v>maglord</v>
      </c>
      <c r="J81" t="str">
        <f t="shared" si="9"/>
        <v/>
      </c>
      <c r="L81" t="str">
        <f t="shared" si="7"/>
        <v>NGM-005</v>
      </c>
      <c r="M81" t="str">
        <f t="shared" si="7"/>
        <v>19900426</v>
      </c>
      <c r="N81" t="str">
        <f t="shared" si="7"/>
        <v>マジシャンロード</v>
      </c>
      <c r="O81" t="str">
        <f t="shared" si="7"/>
        <v/>
      </c>
      <c r="P81" t="str">
        <f t="shared" si="7"/>
        <v/>
      </c>
      <c r="T81" t="str">
        <f t="shared" si="10"/>
        <v/>
      </c>
      <c r="V81" t="str">
        <f t="shared" si="6"/>
        <v>MVS</v>
      </c>
      <c r="W81" t="str">
        <f t="shared" si="6"/>
        <v>MVS,AES</v>
      </c>
      <c r="AG81" t="s">
        <v>6</v>
      </c>
      <c r="AH81" t="s">
        <v>7506</v>
      </c>
      <c r="AI81" t="s">
        <v>7267</v>
      </c>
      <c r="AJ81" t="s">
        <v>92</v>
      </c>
      <c r="AK81" t="s">
        <v>7505</v>
      </c>
      <c r="AL81" t="s">
        <v>7504</v>
      </c>
    </row>
    <row r="82" spans="5:44" x14ac:dyDescent="0.25">
      <c r="I82" t="str">
        <f t="shared" si="8"/>
        <v>maglord</v>
      </c>
      <c r="J82" t="str">
        <f t="shared" si="9"/>
        <v/>
      </c>
      <c r="L82" t="str">
        <f t="shared" si="7"/>
        <v>NGM-005</v>
      </c>
      <c r="M82" t="str">
        <f t="shared" si="7"/>
        <v>19900426</v>
      </c>
      <c r="N82" t="str">
        <f t="shared" si="7"/>
        <v>マジシャンロード</v>
      </c>
      <c r="O82" t="str">
        <f t="shared" si="7"/>
        <v/>
      </c>
      <c r="P82" t="str">
        <f t="shared" si="7"/>
        <v/>
      </c>
      <c r="T82" t="str">
        <f t="shared" si="10"/>
        <v/>
      </c>
      <c r="V82" t="str">
        <f t="shared" si="6"/>
        <v>MVS</v>
      </c>
      <c r="W82" t="str">
        <f t="shared" si="6"/>
        <v>MVS,AES</v>
      </c>
      <c r="AG82" t="s">
        <v>6</v>
      </c>
      <c r="AH82" t="s">
        <v>7503</v>
      </c>
      <c r="AI82" t="s">
        <v>3</v>
      </c>
      <c r="AJ82" t="s">
        <v>92</v>
      </c>
      <c r="AK82" t="s">
        <v>7502</v>
      </c>
      <c r="AL82" t="s">
        <v>7501</v>
      </c>
    </row>
    <row r="83" spans="5:44" x14ac:dyDescent="0.25">
      <c r="I83" t="str">
        <f t="shared" si="8"/>
        <v>maglord</v>
      </c>
      <c r="J83" t="str">
        <f t="shared" si="9"/>
        <v/>
      </c>
      <c r="L83" t="str">
        <f t="shared" si="7"/>
        <v>NGM-005</v>
      </c>
      <c r="M83" t="str">
        <f t="shared" si="7"/>
        <v>19900426</v>
      </c>
      <c r="N83" t="str">
        <f t="shared" si="7"/>
        <v>マジシャンロード</v>
      </c>
      <c r="O83" t="str">
        <f t="shared" si="7"/>
        <v/>
      </c>
      <c r="P83" t="str">
        <f t="shared" si="7"/>
        <v/>
      </c>
      <c r="T83" t="str">
        <f t="shared" si="10"/>
        <v/>
      </c>
      <c r="V83" t="str">
        <f t="shared" si="6"/>
        <v>MVS</v>
      </c>
      <c r="W83" t="str">
        <f t="shared" si="6"/>
        <v>MVS,AES</v>
      </c>
      <c r="AG83" t="s">
        <v>6</v>
      </c>
      <c r="AH83" t="s">
        <v>7500</v>
      </c>
      <c r="AI83" t="s">
        <v>4371</v>
      </c>
      <c r="AJ83" t="s">
        <v>92</v>
      </c>
      <c r="AK83" t="s">
        <v>7499</v>
      </c>
      <c r="AL83" t="s">
        <v>7498</v>
      </c>
    </row>
    <row r="84" spans="5:44" x14ac:dyDescent="0.25">
      <c r="E84" t="s">
        <v>7538</v>
      </c>
      <c r="F84" t="s">
        <v>7537</v>
      </c>
      <c r="G84" t="s">
        <v>3906</v>
      </c>
      <c r="H84" t="s">
        <v>5638</v>
      </c>
      <c r="I84" t="str">
        <f t="shared" si="8"/>
        <v>maglordh</v>
      </c>
      <c r="J84" t="str">
        <f t="shared" si="9"/>
        <v>maglordhserial</v>
      </c>
      <c r="K84" t="s">
        <v>1373</v>
      </c>
      <c r="L84" t="str">
        <f t="shared" si="7"/>
        <v>NGH-005</v>
      </c>
      <c r="M84" t="str">
        <f t="shared" si="7"/>
        <v>19910701</v>
      </c>
      <c r="N84" t="str">
        <f t="shared" si="7"/>
        <v>マジシャンロード</v>
      </c>
      <c r="O84" t="str">
        <f t="shared" si="7"/>
        <v/>
      </c>
      <c r="P84" t="str">
        <f t="shared" si="7"/>
        <v/>
      </c>
      <c r="Q84" t="s">
        <v>7536</v>
      </c>
      <c r="S84" t="s">
        <v>46</v>
      </c>
      <c r="T84" t="str">
        <f t="shared" si="10"/>
        <v>maglordhrelease</v>
      </c>
      <c r="U84" t="s">
        <v>35</v>
      </c>
      <c r="V84" t="str">
        <f t="shared" si="6"/>
        <v>AES</v>
      </c>
      <c r="W84" t="str">
        <f t="shared" si="6"/>
        <v>MVS,AES</v>
      </c>
      <c r="Y84" t="s">
        <v>45</v>
      </c>
      <c r="Z84" t="s">
        <v>44</v>
      </c>
      <c r="AB84" t="s">
        <v>43</v>
      </c>
      <c r="AC84" t="s">
        <v>42</v>
      </c>
      <c r="AD84" t="s">
        <v>41</v>
      </c>
      <c r="AE84" t="s">
        <v>15</v>
      </c>
      <c r="AG84" t="s">
        <v>40</v>
      </c>
      <c r="AH84" t="s">
        <v>7535</v>
      </c>
      <c r="AI84" t="s">
        <v>9</v>
      </c>
      <c r="AJ84" t="s">
        <v>92</v>
      </c>
      <c r="AK84" t="s">
        <v>7534</v>
      </c>
      <c r="AL84" t="s">
        <v>7533</v>
      </c>
      <c r="AR84" t="s">
        <v>7532</v>
      </c>
    </row>
    <row r="85" spans="5:44" x14ac:dyDescent="0.25">
      <c r="I85" t="str">
        <f t="shared" si="8"/>
        <v>maglordh</v>
      </c>
      <c r="J85" t="str">
        <f t="shared" si="9"/>
        <v>maglordhrelease</v>
      </c>
      <c r="K85" t="s">
        <v>46</v>
      </c>
      <c r="L85" t="str">
        <f t="shared" si="7"/>
        <v>NGH-005</v>
      </c>
      <c r="M85" t="str">
        <f t="shared" si="7"/>
        <v>19910701</v>
      </c>
      <c r="N85" t="str">
        <f t="shared" si="7"/>
        <v>マジシャンロード</v>
      </c>
      <c r="O85" t="str">
        <f t="shared" si="7"/>
        <v/>
      </c>
      <c r="P85" t="str">
        <f t="shared" si="7"/>
        <v/>
      </c>
      <c r="Q85" t="s">
        <v>7344</v>
      </c>
      <c r="T85" t="str">
        <f t="shared" si="10"/>
        <v/>
      </c>
      <c r="V85" t="str">
        <f t="shared" si="6"/>
        <v>AES</v>
      </c>
      <c r="W85" t="str">
        <f t="shared" si="6"/>
        <v>MVS,AES</v>
      </c>
      <c r="AB85" t="s">
        <v>34</v>
      </c>
      <c r="AE85" t="s">
        <v>33</v>
      </c>
      <c r="AH85" t="s">
        <v>7531</v>
      </c>
      <c r="AI85" t="s">
        <v>9</v>
      </c>
      <c r="AJ85" t="s">
        <v>27</v>
      </c>
      <c r="AK85" t="s">
        <v>7530</v>
      </c>
      <c r="AL85" t="s">
        <v>7529</v>
      </c>
    </row>
    <row r="86" spans="5:44" x14ac:dyDescent="0.25">
      <c r="I86" t="str">
        <f t="shared" si="8"/>
        <v>maglordh</v>
      </c>
      <c r="J86" t="str">
        <f t="shared" si="9"/>
        <v>maglordhalt_title</v>
      </c>
      <c r="K86" t="s">
        <v>1218</v>
      </c>
      <c r="L86" t="str">
        <f t="shared" si="7"/>
        <v>NGH-005</v>
      </c>
      <c r="M86" t="str">
        <f t="shared" si="7"/>
        <v>19910701</v>
      </c>
      <c r="N86" t="str">
        <f t="shared" si="7"/>
        <v>マジシャンロード</v>
      </c>
      <c r="O86" t="str">
        <f t="shared" si="7"/>
        <v/>
      </c>
      <c r="P86" t="str">
        <f t="shared" si="7"/>
        <v/>
      </c>
      <c r="Q86" t="s">
        <v>7528</v>
      </c>
      <c r="T86" t="str">
        <f t="shared" si="10"/>
        <v/>
      </c>
      <c r="V86" t="str">
        <f t="shared" si="6"/>
        <v>AES</v>
      </c>
      <c r="W86" t="str">
        <f t="shared" si="6"/>
        <v>MVS,AES</v>
      </c>
      <c r="AB86" t="s">
        <v>29</v>
      </c>
      <c r="AE86" t="s">
        <v>33</v>
      </c>
      <c r="AH86" t="s">
        <v>7527</v>
      </c>
      <c r="AI86" t="s">
        <v>9</v>
      </c>
      <c r="AJ86" t="s">
        <v>33</v>
      </c>
      <c r="AK86" t="s">
        <v>7526</v>
      </c>
      <c r="AL86" t="s">
        <v>7525</v>
      </c>
    </row>
    <row r="87" spans="5:44" x14ac:dyDescent="0.25">
      <c r="I87" t="str">
        <f t="shared" si="8"/>
        <v>maglordh</v>
      </c>
      <c r="J87" t="str">
        <f t="shared" si="9"/>
        <v/>
      </c>
      <c r="L87" t="str">
        <f t="shared" si="7"/>
        <v>NGH-005</v>
      </c>
      <c r="M87" t="str">
        <f t="shared" si="7"/>
        <v>19910701</v>
      </c>
      <c r="N87" t="str">
        <f t="shared" si="7"/>
        <v>マジシャンロード</v>
      </c>
      <c r="O87" t="str">
        <f t="shared" si="7"/>
        <v/>
      </c>
      <c r="P87" t="str">
        <f t="shared" si="7"/>
        <v/>
      </c>
      <c r="S87" t="s">
        <v>36</v>
      </c>
      <c r="T87" t="str">
        <f t="shared" si="10"/>
        <v>maglordhcompatibility</v>
      </c>
      <c r="U87" t="s">
        <v>218</v>
      </c>
      <c r="V87" t="str">
        <f t="shared" ref="V87:W150" si="11">IFERROR(VLOOKUP($I87&amp;V$1,$T:$AA,2,0),"")</f>
        <v>AES</v>
      </c>
      <c r="W87" t="str">
        <f t="shared" si="11"/>
        <v>MVS,AES</v>
      </c>
      <c r="AB87" t="s">
        <v>24</v>
      </c>
      <c r="AE87" t="s">
        <v>480</v>
      </c>
      <c r="AH87" t="s">
        <v>7524</v>
      </c>
      <c r="AI87" t="s">
        <v>9</v>
      </c>
      <c r="AJ87" t="s">
        <v>92</v>
      </c>
      <c r="AK87" t="s">
        <v>7523</v>
      </c>
      <c r="AL87" t="s">
        <v>7522</v>
      </c>
    </row>
    <row r="88" spans="5:44" x14ac:dyDescent="0.25">
      <c r="I88" t="str">
        <f t="shared" si="8"/>
        <v>maglordh</v>
      </c>
      <c r="J88" t="str">
        <f t="shared" si="9"/>
        <v/>
      </c>
      <c r="L88" t="str">
        <f t="shared" si="7"/>
        <v>NGH-005</v>
      </c>
      <c r="M88" t="str">
        <f t="shared" si="7"/>
        <v>19910701</v>
      </c>
      <c r="N88" t="str">
        <f t="shared" si="7"/>
        <v>マジシャンロード</v>
      </c>
      <c r="O88" t="str">
        <f t="shared" si="7"/>
        <v/>
      </c>
      <c r="P88" t="str">
        <f t="shared" si="7"/>
        <v/>
      </c>
      <c r="T88" t="str">
        <f t="shared" si="10"/>
        <v/>
      </c>
      <c r="V88" t="str">
        <f t="shared" si="11"/>
        <v>AES</v>
      </c>
      <c r="W88" t="str">
        <f t="shared" si="11"/>
        <v>MVS,AES</v>
      </c>
      <c r="AB88" t="s">
        <v>6575</v>
      </c>
      <c r="AE88" t="s">
        <v>15</v>
      </c>
      <c r="AH88" t="s">
        <v>7521</v>
      </c>
      <c r="AI88" t="s">
        <v>9</v>
      </c>
      <c r="AJ88" t="s">
        <v>92</v>
      </c>
      <c r="AK88" t="s">
        <v>7520</v>
      </c>
      <c r="AL88" t="s">
        <v>7519</v>
      </c>
    </row>
    <row r="89" spans="5:44" x14ac:dyDescent="0.25">
      <c r="I89" t="str">
        <f t="shared" si="8"/>
        <v>maglordh</v>
      </c>
      <c r="J89" t="str">
        <f t="shared" si="9"/>
        <v/>
      </c>
      <c r="L89" t="str">
        <f t="shared" si="7"/>
        <v>NGH-005</v>
      </c>
      <c r="M89" t="str">
        <f t="shared" si="7"/>
        <v>19910701</v>
      </c>
      <c r="N89" t="str">
        <f t="shared" si="7"/>
        <v>マジシャンロード</v>
      </c>
      <c r="O89" t="str">
        <f t="shared" si="7"/>
        <v/>
      </c>
      <c r="P89" t="str">
        <f t="shared" si="7"/>
        <v/>
      </c>
      <c r="T89" t="str">
        <f t="shared" si="10"/>
        <v/>
      </c>
      <c r="V89" t="str">
        <f t="shared" si="11"/>
        <v>AES</v>
      </c>
      <c r="W89" t="str">
        <f t="shared" si="11"/>
        <v>MVS,AES</v>
      </c>
      <c r="AH89" t="s">
        <v>7518</v>
      </c>
      <c r="AI89" t="s">
        <v>92</v>
      </c>
      <c r="AJ89" t="s">
        <v>92</v>
      </c>
      <c r="AK89" t="s">
        <v>7517</v>
      </c>
      <c r="AL89" t="s">
        <v>7516</v>
      </c>
    </row>
    <row r="90" spans="5:44" x14ac:dyDescent="0.25">
      <c r="I90" t="str">
        <f t="shared" si="8"/>
        <v>maglordh</v>
      </c>
      <c r="J90" t="str">
        <f t="shared" si="9"/>
        <v/>
      </c>
      <c r="L90" t="str">
        <f t="shared" si="7"/>
        <v>NGH-005</v>
      </c>
      <c r="M90" t="str">
        <f t="shared" si="7"/>
        <v>19910701</v>
      </c>
      <c r="N90" t="str">
        <f t="shared" si="7"/>
        <v>マジシャンロード</v>
      </c>
      <c r="O90" t="str">
        <f t="shared" si="7"/>
        <v/>
      </c>
      <c r="P90" t="str">
        <f t="shared" si="7"/>
        <v/>
      </c>
      <c r="T90" t="str">
        <f t="shared" si="10"/>
        <v/>
      </c>
      <c r="V90" t="str">
        <f t="shared" si="11"/>
        <v>AES</v>
      </c>
      <c r="W90" t="str">
        <f t="shared" si="11"/>
        <v>MVS,AES</v>
      </c>
      <c r="AB90" t="s">
        <v>12</v>
      </c>
      <c r="AE90" t="s">
        <v>377</v>
      </c>
      <c r="AG90" t="s">
        <v>6</v>
      </c>
      <c r="AH90" t="s">
        <v>7515</v>
      </c>
      <c r="AI90" t="s">
        <v>9</v>
      </c>
      <c r="AJ90" t="s">
        <v>92</v>
      </c>
      <c r="AK90" t="s">
        <v>7514</v>
      </c>
      <c r="AL90" t="s">
        <v>7513</v>
      </c>
    </row>
    <row r="91" spans="5:44" x14ac:dyDescent="0.25">
      <c r="I91" t="str">
        <f t="shared" si="8"/>
        <v>maglordh</v>
      </c>
      <c r="J91" t="str">
        <f t="shared" si="9"/>
        <v/>
      </c>
      <c r="L91" t="str">
        <f t="shared" si="7"/>
        <v>NGH-005</v>
      </c>
      <c r="M91" t="str">
        <f t="shared" si="7"/>
        <v>19910701</v>
      </c>
      <c r="N91" t="str">
        <f t="shared" si="7"/>
        <v>マジシャンロード</v>
      </c>
      <c r="O91" t="str">
        <f t="shared" si="7"/>
        <v/>
      </c>
      <c r="P91" t="str">
        <f t="shared" si="7"/>
        <v/>
      </c>
      <c r="T91" t="str">
        <f t="shared" si="10"/>
        <v/>
      </c>
      <c r="V91" t="str">
        <f t="shared" si="11"/>
        <v>AES</v>
      </c>
      <c r="W91" t="str">
        <f t="shared" si="11"/>
        <v>MVS,AES</v>
      </c>
      <c r="AG91" t="s">
        <v>6</v>
      </c>
      <c r="AH91" t="s">
        <v>7512</v>
      </c>
      <c r="AI91" t="s">
        <v>4</v>
      </c>
      <c r="AJ91" t="s">
        <v>92</v>
      </c>
      <c r="AK91" t="s">
        <v>7511</v>
      </c>
      <c r="AL91" t="s">
        <v>7510</v>
      </c>
    </row>
    <row r="92" spans="5:44" x14ac:dyDescent="0.25">
      <c r="I92" t="str">
        <f t="shared" si="8"/>
        <v>maglordh</v>
      </c>
      <c r="J92" t="str">
        <f t="shared" si="9"/>
        <v/>
      </c>
      <c r="L92" t="str">
        <f t="shared" si="7"/>
        <v>NGH-005</v>
      </c>
      <c r="M92" t="str">
        <f t="shared" si="7"/>
        <v>19910701</v>
      </c>
      <c r="N92" t="str">
        <f t="shared" si="7"/>
        <v>マジシャンロード</v>
      </c>
      <c r="O92" t="str">
        <f t="shared" si="7"/>
        <v/>
      </c>
      <c r="P92" t="str">
        <f t="shared" si="7"/>
        <v/>
      </c>
      <c r="T92" t="str">
        <f t="shared" si="10"/>
        <v/>
      </c>
      <c r="V92" t="str">
        <f t="shared" si="11"/>
        <v>AES</v>
      </c>
      <c r="W92" t="str">
        <f t="shared" si="11"/>
        <v>MVS,AES</v>
      </c>
      <c r="AG92" t="s">
        <v>6</v>
      </c>
      <c r="AH92" t="s">
        <v>7509</v>
      </c>
      <c r="AI92" t="s">
        <v>15</v>
      </c>
      <c r="AJ92" t="s">
        <v>92</v>
      </c>
      <c r="AK92" t="s">
        <v>7508</v>
      </c>
      <c r="AL92" t="s">
        <v>7507</v>
      </c>
    </row>
    <row r="93" spans="5:44" x14ac:dyDescent="0.25">
      <c r="I93" t="str">
        <f t="shared" si="8"/>
        <v>maglordh</v>
      </c>
      <c r="J93" t="str">
        <f t="shared" si="9"/>
        <v/>
      </c>
      <c r="L93" t="str">
        <f t="shared" si="7"/>
        <v>NGH-005</v>
      </c>
      <c r="M93" t="str">
        <f t="shared" si="7"/>
        <v>19910701</v>
      </c>
      <c r="N93" t="str">
        <f t="shared" si="7"/>
        <v>マジシャンロード</v>
      </c>
      <c r="O93" t="str">
        <f t="shared" si="7"/>
        <v/>
      </c>
      <c r="P93" t="str">
        <f t="shared" si="7"/>
        <v/>
      </c>
      <c r="T93" t="str">
        <f t="shared" si="10"/>
        <v/>
      </c>
      <c r="V93" t="str">
        <f t="shared" si="11"/>
        <v>AES</v>
      </c>
      <c r="W93" t="str">
        <f t="shared" si="11"/>
        <v>MVS,AES</v>
      </c>
      <c r="AG93" t="s">
        <v>6</v>
      </c>
      <c r="AH93" t="s">
        <v>7506</v>
      </c>
      <c r="AI93" t="s">
        <v>7267</v>
      </c>
      <c r="AJ93" t="s">
        <v>92</v>
      </c>
      <c r="AK93" t="s">
        <v>7505</v>
      </c>
      <c r="AL93" t="s">
        <v>7504</v>
      </c>
    </row>
    <row r="94" spans="5:44" x14ac:dyDescent="0.25">
      <c r="I94" t="str">
        <f t="shared" si="8"/>
        <v>maglordh</v>
      </c>
      <c r="J94" t="str">
        <f t="shared" si="9"/>
        <v/>
      </c>
      <c r="L94" t="str">
        <f t="shared" si="7"/>
        <v>NGH-005</v>
      </c>
      <c r="M94" t="str">
        <f t="shared" si="7"/>
        <v>19910701</v>
      </c>
      <c r="N94" t="str">
        <f t="shared" si="7"/>
        <v>マジシャンロード</v>
      </c>
      <c r="O94" t="str">
        <f t="shared" si="7"/>
        <v/>
      </c>
      <c r="P94" t="str">
        <f t="shared" si="7"/>
        <v/>
      </c>
      <c r="T94" t="str">
        <f t="shared" si="10"/>
        <v/>
      </c>
      <c r="V94" t="str">
        <f t="shared" si="11"/>
        <v>AES</v>
      </c>
      <c r="W94" t="str">
        <f t="shared" si="11"/>
        <v>MVS,AES</v>
      </c>
      <c r="AG94" t="s">
        <v>6</v>
      </c>
      <c r="AH94" t="s">
        <v>7503</v>
      </c>
      <c r="AI94" t="s">
        <v>3</v>
      </c>
      <c r="AJ94" t="s">
        <v>92</v>
      </c>
      <c r="AK94" t="s">
        <v>7502</v>
      </c>
      <c r="AL94" t="s">
        <v>7501</v>
      </c>
    </row>
    <row r="95" spans="5:44" x14ac:dyDescent="0.25">
      <c r="I95" t="str">
        <f t="shared" si="8"/>
        <v>maglordh</v>
      </c>
      <c r="J95" t="str">
        <f t="shared" si="9"/>
        <v/>
      </c>
      <c r="L95" t="str">
        <f t="shared" si="7"/>
        <v>NGH-005</v>
      </c>
      <c r="M95" t="str">
        <f t="shared" si="7"/>
        <v>19910701</v>
      </c>
      <c r="N95" t="str">
        <f t="shared" si="7"/>
        <v>マジシャンロード</v>
      </c>
      <c r="O95" t="str">
        <f t="shared" si="7"/>
        <v/>
      </c>
      <c r="P95" t="str">
        <f t="shared" si="7"/>
        <v/>
      </c>
      <c r="T95" t="str">
        <f t="shared" si="10"/>
        <v/>
      </c>
      <c r="V95" t="str">
        <f t="shared" si="11"/>
        <v>AES</v>
      </c>
      <c r="W95" t="str">
        <f t="shared" si="11"/>
        <v>MVS,AES</v>
      </c>
      <c r="AG95" t="s">
        <v>6</v>
      </c>
      <c r="AH95" t="s">
        <v>7500</v>
      </c>
      <c r="AI95" t="s">
        <v>4371</v>
      </c>
      <c r="AJ95" t="s">
        <v>92</v>
      </c>
      <c r="AK95" t="s">
        <v>7499</v>
      </c>
      <c r="AL95" t="s">
        <v>7498</v>
      </c>
    </row>
    <row r="96" spans="5:44" x14ac:dyDescent="0.25">
      <c r="E96" t="s">
        <v>7487</v>
      </c>
      <c r="F96" t="s">
        <v>7497</v>
      </c>
      <c r="G96" t="s">
        <v>3906</v>
      </c>
      <c r="H96" t="s">
        <v>1912</v>
      </c>
      <c r="I96" t="str">
        <f t="shared" si="8"/>
        <v>ridhero</v>
      </c>
      <c r="J96" t="str">
        <f t="shared" si="9"/>
        <v>ridheroserial</v>
      </c>
      <c r="K96" t="s">
        <v>1373</v>
      </c>
      <c r="L96" t="str">
        <f t="shared" si="7"/>
        <v>NGM-006 (MVS), NGH-006 (AES)</v>
      </c>
      <c r="M96" t="str">
        <f t="shared" si="7"/>
        <v>19900724 (MVS), 19910701 (AES)</v>
      </c>
      <c r="N96" t="str">
        <f t="shared" si="7"/>
        <v>ライディングヒーロー</v>
      </c>
      <c r="O96" t="str">
        <f t="shared" si="7"/>
        <v/>
      </c>
      <c r="P96" t="str">
        <f t="shared" si="7"/>
        <v/>
      </c>
      <c r="Q96" t="s">
        <v>7491</v>
      </c>
      <c r="S96" t="s">
        <v>46</v>
      </c>
      <c r="T96" t="str">
        <f t="shared" si="10"/>
        <v>ridherorelease</v>
      </c>
      <c r="U96" t="s">
        <v>218</v>
      </c>
      <c r="V96" t="str">
        <f t="shared" si="11"/>
        <v>MVS,AES</v>
      </c>
      <c r="W96" t="str">
        <f t="shared" si="11"/>
        <v>MVS,AES</v>
      </c>
      <c r="Y96" t="s">
        <v>45</v>
      </c>
      <c r="Z96" t="s">
        <v>44</v>
      </c>
      <c r="AB96" t="s">
        <v>43</v>
      </c>
      <c r="AC96" t="s">
        <v>42</v>
      </c>
      <c r="AD96" t="s">
        <v>41</v>
      </c>
      <c r="AE96" t="s">
        <v>15</v>
      </c>
      <c r="AG96" t="s">
        <v>40</v>
      </c>
      <c r="AH96" t="s">
        <v>7496</v>
      </c>
      <c r="AI96" t="s">
        <v>9</v>
      </c>
      <c r="AJ96" t="s">
        <v>92</v>
      </c>
      <c r="AK96" t="s">
        <v>7495</v>
      </c>
      <c r="AL96" t="s">
        <v>7494</v>
      </c>
    </row>
    <row r="97" spans="5:44" x14ac:dyDescent="0.25">
      <c r="I97" t="str">
        <f t="shared" si="8"/>
        <v>ridhero</v>
      </c>
      <c r="J97" t="str">
        <f t="shared" si="9"/>
        <v>ridherorelease</v>
      </c>
      <c r="K97" t="s">
        <v>46</v>
      </c>
      <c r="L97" t="str">
        <f t="shared" si="7"/>
        <v>NGM-006 (MVS), NGH-006 (AES)</v>
      </c>
      <c r="M97" t="str">
        <f t="shared" si="7"/>
        <v>19900724 (MVS), 19910701 (AES)</v>
      </c>
      <c r="N97" t="str">
        <f t="shared" si="7"/>
        <v>ライディングヒーロー</v>
      </c>
      <c r="O97" t="str">
        <f t="shared" si="7"/>
        <v/>
      </c>
      <c r="P97" t="str">
        <f t="shared" si="7"/>
        <v/>
      </c>
      <c r="Q97" t="s">
        <v>7486</v>
      </c>
      <c r="T97" t="str">
        <f t="shared" si="10"/>
        <v/>
      </c>
      <c r="V97" t="str">
        <f t="shared" si="11"/>
        <v>MVS,AES</v>
      </c>
      <c r="W97" t="str">
        <f t="shared" si="11"/>
        <v>MVS,AES</v>
      </c>
      <c r="AB97" t="s">
        <v>6268</v>
      </c>
      <c r="AE97" t="s">
        <v>7485</v>
      </c>
      <c r="AH97" t="s">
        <v>7484</v>
      </c>
      <c r="AI97" t="s">
        <v>9</v>
      </c>
      <c r="AJ97" t="s">
        <v>7483</v>
      </c>
      <c r="AK97" t="s">
        <v>7482</v>
      </c>
      <c r="AL97" t="s">
        <v>7481</v>
      </c>
    </row>
    <row r="98" spans="5:44" x14ac:dyDescent="0.25">
      <c r="I98" t="str">
        <f t="shared" si="8"/>
        <v>ridhero</v>
      </c>
      <c r="J98" t="str">
        <f t="shared" si="9"/>
        <v>ridheroalt_title</v>
      </c>
      <c r="K98" t="s">
        <v>1218</v>
      </c>
      <c r="L98" t="str">
        <f t="shared" si="7"/>
        <v>NGM-006 (MVS), NGH-006 (AES)</v>
      </c>
      <c r="M98" t="str">
        <f t="shared" si="7"/>
        <v>19900724 (MVS), 19910701 (AES)</v>
      </c>
      <c r="N98" t="str">
        <f t="shared" si="7"/>
        <v>ライディングヒーロー</v>
      </c>
      <c r="O98" t="str">
        <f t="shared" si="7"/>
        <v/>
      </c>
      <c r="P98" t="str">
        <f t="shared" si="7"/>
        <v/>
      </c>
      <c r="Q98" t="s">
        <v>7480</v>
      </c>
      <c r="T98" t="str">
        <f t="shared" si="10"/>
        <v/>
      </c>
      <c r="V98" t="str">
        <f t="shared" si="11"/>
        <v>MVS,AES</v>
      </c>
      <c r="W98" t="str">
        <f t="shared" si="11"/>
        <v>MVS,AES</v>
      </c>
      <c r="AB98" t="s">
        <v>34</v>
      </c>
      <c r="AE98" t="s">
        <v>33</v>
      </c>
      <c r="AH98" t="s">
        <v>7479</v>
      </c>
      <c r="AI98" t="s">
        <v>9</v>
      </c>
      <c r="AJ98" t="s">
        <v>27</v>
      </c>
      <c r="AK98" t="s">
        <v>7478</v>
      </c>
      <c r="AL98" t="s">
        <v>7477</v>
      </c>
    </row>
    <row r="99" spans="5:44" x14ac:dyDescent="0.25">
      <c r="I99" t="str">
        <f t="shared" si="8"/>
        <v>ridhero</v>
      </c>
      <c r="J99" t="str">
        <f t="shared" si="9"/>
        <v/>
      </c>
      <c r="L99" t="str">
        <f t="shared" si="7"/>
        <v>NGM-006 (MVS), NGH-006 (AES)</v>
      </c>
      <c r="M99" t="str">
        <f t="shared" si="7"/>
        <v>19900724 (MVS), 19910701 (AES)</v>
      </c>
      <c r="N99" t="str">
        <f t="shared" si="7"/>
        <v>ライディングヒーロー</v>
      </c>
      <c r="O99" t="str">
        <f t="shared" si="7"/>
        <v/>
      </c>
      <c r="P99" t="str">
        <f t="shared" si="7"/>
        <v/>
      </c>
      <c r="S99" t="s">
        <v>36</v>
      </c>
      <c r="T99" t="str">
        <f t="shared" si="10"/>
        <v>ridherocompatibility</v>
      </c>
      <c r="U99" t="s">
        <v>218</v>
      </c>
      <c r="V99" t="str">
        <f t="shared" si="11"/>
        <v>MVS,AES</v>
      </c>
      <c r="W99" t="str">
        <f t="shared" si="11"/>
        <v>MVS,AES</v>
      </c>
      <c r="AB99" t="s">
        <v>29</v>
      </c>
      <c r="AE99" t="s">
        <v>33</v>
      </c>
      <c r="AH99" t="s">
        <v>7476</v>
      </c>
      <c r="AI99" t="s">
        <v>9</v>
      </c>
      <c r="AJ99" t="s">
        <v>33</v>
      </c>
      <c r="AK99" t="s">
        <v>7475</v>
      </c>
      <c r="AL99" t="s">
        <v>7474</v>
      </c>
    </row>
    <row r="100" spans="5:44" x14ac:dyDescent="0.25">
      <c r="I100" t="str">
        <f t="shared" si="8"/>
        <v>ridhero</v>
      </c>
      <c r="J100" t="str">
        <f t="shared" si="9"/>
        <v/>
      </c>
      <c r="L100" t="str">
        <f t="shared" si="7"/>
        <v>NGM-006 (MVS), NGH-006 (AES)</v>
      </c>
      <c r="M100" t="str">
        <f t="shared" si="7"/>
        <v>19900724 (MVS), 19910701 (AES)</v>
      </c>
      <c r="N100" t="str">
        <f t="shared" si="7"/>
        <v>ライディングヒーロー</v>
      </c>
      <c r="O100" t="str">
        <f t="shared" si="7"/>
        <v/>
      </c>
      <c r="P100" t="str">
        <f t="shared" si="7"/>
        <v/>
      </c>
      <c r="T100" t="str">
        <f t="shared" si="10"/>
        <v/>
      </c>
      <c r="V100" t="str">
        <f t="shared" si="11"/>
        <v>MVS,AES</v>
      </c>
      <c r="W100" t="str">
        <f t="shared" si="11"/>
        <v>MVS,AES</v>
      </c>
      <c r="AB100" t="s">
        <v>24</v>
      </c>
      <c r="AE100" t="s">
        <v>15</v>
      </c>
      <c r="AH100" t="s">
        <v>7473</v>
      </c>
      <c r="AI100" t="s">
        <v>9</v>
      </c>
      <c r="AJ100" t="s">
        <v>92</v>
      </c>
      <c r="AK100" t="s">
        <v>7472</v>
      </c>
      <c r="AL100" t="s">
        <v>7471</v>
      </c>
    </row>
    <row r="101" spans="5:44" x14ac:dyDescent="0.25">
      <c r="I101" t="str">
        <f t="shared" si="8"/>
        <v>ridhero</v>
      </c>
      <c r="J101" t="str">
        <f t="shared" si="9"/>
        <v/>
      </c>
      <c r="L101" t="str">
        <f t="shared" si="7"/>
        <v>NGM-006 (MVS), NGH-006 (AES)</v>
      </c>
      <c r="M101" t="str">
        <f t="shared" si="7"/>
        <v>19900724 (MVS), 19910701 (AES)</v>
      </c>
      <c r="N101" t="str">
        <f t="shared" si="7"/>
        <v>ライディングヒーロー</v>
      </c>
      <c r="O101" t="str">
        <f t="shared" si="7"/>
        <v/>
      </c>
      <c r="P101" t="str">
        <f t="shared" si="7"/>
        <v/>
      </c>
      <c r="T101" t="str">
        <f t="shared" si="10"/>
        <v/>
      </c>
      <c r="V101" t="str">
        <f t="shared" si="11"/>
        <v>MVS,AES</v>
      </c>
      <c r="W101" t="str">
        <f t="shared" si="11"/>
        <v>MVS,AES</v>
      </c>
      <c r="AH101" t="s">
        <v>7470</v>
      </c>
      <c r="AI101" t="s">
        <v>92</v>
      </c>
      <c r="AJ101" t="s">
        <v>92</v>
      </c>
      <c r="AK101" t="s">
        <v>7469</v>
      </c>
      <c r="AL101" t="s">
        <v>7468</v>
      </c>
    </row>
    <row r="102" spans="5:44" x14ac:dyDescent="0.25">
      <c r="I102" t="str">
        <f t="shared" si="8"/>
        <v>ridhero</v>
      </c>
      <c r="J102" t="str">
        <f t="shared" si="9"/>
        <v/>
      </c>
      <c r="L102" t="str">
        <f t="shared" si="7"/>
        <v>NGM-006 (MVS), NGH-006 (AES)</v>
      </c>
      <c r="M102" t="str">
        <f t="shared" si="7"/>
        <v>19900724 (MVS), 19910701 (AES)</v>
      </c>
      <c r="N102" t="str">
        <f t="shared" si="7"/>
        <v>ライディングヒーロー</v>
      </c>
      <c r="O102" t="str">
        <f t="shared" si="7"/>
        <v/>
      </c>
      <c r="P102" t="str">
        <f t="shared" si="7"/>
        <v/>
      </c>
      <c r="T102" t="str">
        <f t="shared" si="10"/>
        <v/>
      </c>
      <c r="V102" t="str">
        <f t="shared" si="11"/>
        <v>MVS,AES</v>
      </c>
      <c r="W102" t="str">
        <f t="shared" si="11"/>
        <v>MVS,AES</v>
      </c>
      <c r="AB102" t="s">
        <v>6575</v>
      </c>
      <c r="AE102" t="s">
        <v>3</v>
      </c>
      <c r="AH102" t="s">
        <v>7467</v>
      </c>
      <c r="AI102" t="s">
        <v>9</v>
      </c>
      <c r="AJ102" t="s">
        <v>92</v>
      </c>
      <c r="AK102" t="s">
        <v>7466</v>
      </c>
      <c r="AL102" t="s">
        <v>7465</v>
      </c>
    </row>
    <row r="103" spans="5:44" x14ac:dyDescent="0.25">
      <c r="I103" t="str">
        <f t="shared" si="8"/>
        <v>ridhero</v>
      </c>
      <c r="J103" t="str">
        <f t="shared" si="9"/>
        <v/>
      </c>
      <c r="L103" t="str">
        <f t="shared" si="7"/>
        <v>NGM-006 (MVS), NGH-006 (AES)</v>
      </c>
      <c r="M103" t="str">
        <f t="shared" si="7"/>
        <v>19900724 (MVS), 19910701 (AES)</v>
      </c>
      <c r="N103" t="str">
        <f t="shared" si="7"/>
        <v>ライディングヒーロー</v>
      </c>
      <c r="O103" t="str">
        <f t="shared" si="7"/>
        <v/>
      </c>
      <c r="P103" t="str">
        <f t="shared" si="7"/>
        <v/>
      </c>
      <c r="T103" t="str">
        <f t="shared" si="10"/>
        <v/>
      </c>
      <c r="V103" t="str">
        <f t="shared" si="11"/>
        <v>MVS,AES</v>
      </c>
      <c r="W103" t="str">
        <f t="shared" si="11"/>
        <v>MVS,AES</v>
      </c>
      <c r="AH103" t="s">
        <v>7464</v>
      </c>
      <c r="AI103" t="s">
        <v>92</v>
      </c>
      <c r="AJ103" t="s">
        <v>92</v>
      </c>
      <c r="AK103" t="s">
        <v>7463</v>
      </c>
      <c r="AL103" t="s">
        <v>7462</v>
      </c>
    </row>
    <row r="104" spans="5:44" x14ac:dyDescent="0.25">
      <c r="I104" t="str">
        <f t="shared" si="8"/>
        <v>ridhero</v>
      </c>
      <c r="J104" t="str">
        <f t="shared" si="9"/>
        <v/>
      </c>
      <c r="L104" t="str">
        <f t="shared" si="7"/>
        <v>NGM-006 (MVS), NGH-006 (AES)</v>
      </c>
      <c r="M104" t="str">
        <f t="shared" si="7"/>
        <v>19900724 (MVS), 19910701 (AES)</v>
      </c>
      <c r="N104" t="str">
        <f t="shared" si="7"/>
        <v>ライディングヒーロー</v>
      </c>
      <c r="O104" t="str">
        <f t="shared" si="7"/>
        <v/>
      </c>
      <c r="P104" t="str">
        <f t="shared" si="7"/>
        <v/>
      </c>
      <c r="T104" t="str">
        <f t="shared" si="10"/>
        <v/>
      </c>
      <c r="V104" t="str">
        <f t="shared" si="11"/>
        <v>MVS,AES</v>
      </c>
      <c r="W104" t="str">
        <f t="shared" si="11"/>
        <v>MVS,AES</v>
      </c>
      <c r="AH104" t="s">
        <v>7461</v>
      </c>
      <c r="AI104" t="s">
        <v>15</v>
      </c>
      <c r="AJ104" t="s">
        <v>92</v>
      </c>
      <c r="AK104" t="s">
        <v>7460</v>
      </c>
      <c r="AL104" t="s">
        <v>7459</v>
      </c>
    </row>
    <row r="105" spans="5:44" x14ac:dyDescent="0.25">
      <c r="I105" t="str">
        <f t="shared" si="8"/>
        <v>ridhero</v>
      </c>
      <c r="J105" t="str">
        <f t="shared" si="9"/>
        <v/>
      </c>
      <c r="L105" t="str">
        <f t="shared" si="7"/>
        <v>NGM-006 (MVS), NGH-006 (AES)</v>
      </c>
      <c r="M105" t="str">
        <f t="shared" si="7"/>
        <v>19900724 (MVS), 19910701 (AES)</v>
      </c>
      <c r="N105" t="str">
        <f t="shared" si="7"/>
        <v>ライディングヒーロー</v>
      </c>
      <c r="O105" t="str">
        <f t="shared" si="7"/>
        <v/>
      </c>
      <c r="P105" t="str">
        <f t="shared" si="7"/>
        <v/>
      </c>
      <c r="T105" t="str">
        <f t="shared" si="10"/>
        <v/>
      </c>
      <c r="V105" t="str">
        <f t="shared" si="11"/>
        <v>MVS,AES</v>
      </c>
      <c r="W105" t="str">
        <f t="shared" si="11"/>
        <v>MVS,AES</v>
      </c>
      <c r="AH105" t="s">
        <v>7458</v>
      </c>
      <c r="AI105" t="s">
        <v>4502</v>
      </c>
      <c r="AJ105" t="s">
        <v>92</v>
      </c>
      <c r="AK105" t="s">
        <v>7457</v>
      </c>
      <c r="AL105" t="s">
        <v>7456</v>
      </c>
    </row>
    <row r="106" spans="5:44" x14ac:dyDescent="0.25">
      <c r="I106" t="str">
        <f t="shared" si="8"/>
        <v>ridhero</v>
      </c>
      <c r="J106" t="str">
        <f t="shared" si="9"/>
        <v/>
      </c>
      <c r="L106" t="str">
        <f t="shared" si="7"/>
        <v>NGM-006 (MVS), NGH-006 (AES)</v>
      </c>
      <c r="M106" t="str">
        <f t="shared" si="7"/>
        <v>19900724 (MVS), 19910701 (AES)</v>
      </c>
      <c r="N106" t="str">
        <f t="shared" si="7"/>
        <v>ライディングヒーロー</v>
      </c>
      <c r="O106" t="str">
        <f t="shared" si="7"/>
        <v/>
      </c>
      <c r="P106" t="str">
        <f t="shared" si="7"/>
        <v/>
      </c>
      <c r="T106" t="str">
        <f t="shared" si="10"/>
        <v/>
      </c>
      <c r="V106" t="str">
        <f t="shared" si="11"/>
        <v>MVS,AES</v>
      </c>
      <c r="W106" t="str">
        <f t="shared" si="11"/>
        <v>MVS,AES</v>
      </c>
      <c r="AB106" t="s">
        <v>12</v>
      </c>
      <c r="AE106" t="s">
        <v>3</v>
      </c>
      <c r="AG106" t="s">
        <v>6</v>
      </c>
      <c r="AH106" t="s">
        <v>7455</v>
      </c>
      <c r="AI106" t="s">
        <v>9</v>
      </c>
      <c r="AJ106" t="s">
        <v>92</v>
      </c>
      <c r="AK106" t="s">
        <v>7454</v>
      </c>
      <c r="AL106" t="s">
        <v>7453</v>
      </c>
    </row>
    <row r="107" spans="5:44" x14ac:dyDescent="0.25">
      <c r="I107" t="str">
        <f t="shared" si="8"/>
        <v>ridhero</v>
      </c>
      <c r="J107" t="str">
        <f t="shared" si="9"/>
        <v/>
      </c>
      <c r="L107" t="str">
        <f t="shared" si="7"/>
        <v>NGM-006 (MVS), NGH-006 (AES)</v>
      </c>
      <c r="M107" t="str">
        <f t="shared" si="7"/>
        <v>19900724 (MVS), 19910701 (AES)</v>
      </c>
      <c r="N107" t="str">
        <f t="shared" si="7"/>
        <v>ライディングヒーロー</v>
      </c>
      <c r="O107" t="str">
        <f t="shared" si="7"/>
        <v/>
      </c>
      <c r="P107" t="str">
        <f t="shared" si="7"/>
        <v/>
      </c>
      <c r="T107" t="str">
        <f t="shared" si="10"/>
        <v/>
      </c>
      <c r="V107" t="str">
        <f t="shared" si="11"/>
        <v>MVS,AES</v>
      </c>
      <c r="W107" t="str">
        <f t="shared" si="11"/>
        <v>MVS,AES</v>
      </c>
      <c r="AG107" t="s">
        <v>6</v>
      </c>
      <c r="AH107" t="s">
        <v>7452</v>
      </c>
      <c r="AI107" t="s">
        <v>4</v>
      </c>
      <c r="AJ107" t="s">
        <v>92</v>
      </c>
      <c r="AK107" t="s">
        <v>7451</v>
      </c>
      <c r="AL107" t="s">
        <v>7450</v>
      </c>
    </row>
    <row r="108" spans="5:44" x14ac:dyDescent="0.25">
      <c r="I108" t="str">
        <f t="shared" si="8"/>
        <v>ridhero</v>
      </c>
      <c r="J108" t="str">
        <f t="shared" si="9"/>
        <v/>
      </c>
      <c r="L108" t="str">
        <f t="shared" si="7"/>
        <v>NGM-006 (MVS), NGH-006 (AES)</v>
      </c>
      <c r="M108" t="str">
        <f t="shared" si="7"/>
        <v>19900724 (MVS), 19910701 (AES)</v>
      </c>
      <c r="N108" t="str">
        <f t="shared" si="7"/>
        <v>ライディングヒーロー</v>
      </c>
      <c r="O108" t="str">
        <f t="shared" si="7"/>
        <v/>
      </c>
      <c r="P108" t="str">
        <f t="shared" si="7"/>
        <v/>
      </c>
      <c r="T108" t="str">
        <f t="shared" si="10"/>
        <v/>
      </c>
      <c r="V108" t="str">
        <f t="shared" si="11"/>
        <v>MVS,AES</v>
      </c>
      <c r="W108" t="str">
        <f t="shared" si="11"/>
        <v>MVS,AES</v>
      </c>
      <c r="AG108" t="s">
        <v>6</v>
      </c>
      <c r="AH108" t="s">
        <v>7449</v>
      </c>
      <c r="AI108" t="s">
        <v>15</v>
      </c>
      <c r="AJ108" t="s">
        <v>92</v>
      </c>
      <c r="AK108" t="s">
        <v>7448</v>
      </c>
      <c r="AL108" t="s">
        <v>7447</v>
      </c>
    </row>
    <row r="109" spans="5:44" x14ac:dyDescent="0.25">
      <c r="I109" t="str">
        <f t="shared" si="8"/>
        <v>ridhero</v>
      </c>
      <c r="J109" t="str">
        <f t="shared" si="9"/>
        <v/>
      </c>
      <c r="L109" t="str">
        <f t="shared" si="7"/>
        <v>NGM-006 (MVS), NGH-006 (AES)</v>
      </c>
      <c r="M109" t="str">
        <f t="shared" si="7"/>
        <v>19900724 (MVS), 19910701 (AES)</v>
      </c>
      <c r="N109" t="str">
        <f t="shared" si="7"/>
        <v>ライディングヒーロー</v>
      </c>
      <c r="O109" t="str">
        <f t="shared" si="7"/>
        <v/>
      </c>
      <c r="P109" t="str">
        <f t="shared" si="7"/>
        <v/>
      </c>
      <c r="T109" t="str">
        <f t="shared" si="10"/>
        <v/>
      </c>
      <c r="V109" t="str">
        <f t="shared" si="11"/>
        <v>MVS,AES</v>
      </c>
      <c r="W109" t="str">
        <f t="shared" si="11"/>
        <v>MVS,AES</v>
      </c>
      <c r="AG109" t="s">
        <v>6</v>
      </c>
      <c r="AH109" t="s">
        <v>7446</v>
      </c>
      <c r="AI109" t="s">
        <v>7267</v>
      </c>
      <c r="AJ109" t="s">
        <v>92</v>
      </c>
      <c r="AK109" t="s">
        <v>7445</v>
      </c>
      <c r="AL109" t="s">
        <v>7444</v>
      </c>
    </row>
    <row r="110" spans="5:44" x14ac:dyDescent="0.25">
      <c r="E110" t="s">
        <v>7493</v>
      </c>
      <c r="F110" t="s">
        <v>7492</v>
      </c>
      <c r="G110" t="s">
        <v>3906</v>
      </c>
      <c r="H110" t="s">
        <v>1912</v>
      </c>
      <c r="I110" t="str">
        <f t="shared" si="8"/>
        <v>ridheroh</v>
      </c>
      <c r="J110" t="str">
        <f t="shared" si="9"/>
        <v>ridherohserial</v>
      </c>
      <c r="K110" t="s">
        <v>1373</v>
      </c>
      <c r="L110" t="str">
        <f t="shared" si="7"/>
        <v>NGM-006 (MVS), NGH-006 (AES)</v>
      </c>
      <c r="M110" t="str">
        <f t="shared" si="7"/>
        <v>19900724 (MVS), 19910701 (AES)</v>
      </c>
      <c r="N110" t="str">
        <f t="shared" si="7"/>
        <v>ライディングヒーロー</v>
      </c>
      <c r="O110" t="str">
        <f t="shared" si="7"/>
        <v/>
      </c>
      <c r="P110" t="str">
        <f t="shared" si="7"/>
        <v/>
      </c>
      <c r="Q110" t="s">
        <v>7491</v>
      </c>
      <c r="S110" t="s">
        <v>46</v>
      </c>
      <c r="T110" t="str">
        <f t="shared" si="10"/>
        <v>ridherohrelease</v>
      </c>
      <c r="U110" t="s">
        <v>5637</v>
      </c>
      <c r="V110" t="str">
        <f t="shared" si="11"/>
        <v>unknown</v>
      </c>
      <c r="W110" t="str">
        <f t="shared" si="11"/>
        <v>MVS,AES</v>
      </c>
      <c r="Y110" t="s">
        <v>45</v>
      </c>
      <c r="Z110" t="s">
        <v>44</v>
      </c>
      <c r="AB110" t="s">
        <v>43</v>
      </c>
      <c r="AC110" t="s">
        <v>42</v>
      </c>
      <c r="AD110" t="s">
        <v>41</v>
      </c>
      <c r="AE110" t="s">
        <v>15</v>
      </c>
      <c r="AG110" t="s">
        <v>40</v>
      </c>
      <c r="AH110" t="s">
        <v>7490</v>
      </c>
      <c r="AI110" t="s">
        <v>9</v>
      </c>
      <c r="AJ110" t="s">
        <v>92</v>
      </c>
      <c r="AK110" t="s">
        <v>7489</v>
      </c>
      <c r="AL110" t="s">
        <v>7488</v>
      </c>
      <c r="AM110" t="s">
        <v>1192</v>
      </c>
      <c r="AR110" t="s">
        <v>7487</v>
      </c>
    </row>
    <row r="111" spans="5:44" x14ac:dyDescent="0.25">
      <c r="I111" t="str">
        <f t="shared" si="8"/>
        <v>ridheroh</v>
      </c>
      <c r="J111" t="str">
        <f t="shared" si="9"/>
        <v>ridherohrelease</v>
      </c>
      <c r="K111" t="s">
        <v>46</v>
      </c>
      <c r="L111" t="str">
        <f t="shared" si="7"/>
        <v>NGM-006 (MVS), NGH-006 (AES)</v>
      </c>
      <c r="M111" t="str">
        <f t="shared" si="7"/>
        <v>19900724 (MVS), 19910701 (AES)</v>
      </c>
      <c r="N111" t="str">
        <f t="shared" si="7"/>
        <v>ライディングヒーロー</v>
      </c>
      <c r="O111" t="str">
        <f t="shared" si="7"/>
        <v/>
      </c>
      <c r="P111" t="str">
        <f t="shared" si="7"/>
        <v/>
      </c>
      <c r="Q111" t="s">
        <v>7486</v>
      </c>
      <c r="T111" t="str">
        <f t="shared" si="10"/>
        <v/>
      </c>
      <c r="V111" t="str">
        <f t="shared" si="11"/>
        <v>unknown</v>
      </c>
      <c r="W111" t="str">
        <f t="shared" si="11"/>
        <v>MVS,AES</v>
      </c>
      <c r="AB111" t="s">
        <v>6268</v>
      </c>
      <c r="AE111" t="s">
        <v>7485</v>
      </c>
      <c r="AH111" t="s">
        <v>7484</v>
      </c>
      <c r="AI111" t="s">
        <v>9</v>
      </c>
      <c r="AJ111" t="s">
        <v>7483</v>
      </c>
      <c r="AK111" t="s">
        <v>7482</v>
      </c>
      <c r="AL111" t="s">
        <v>7481</v>
      </c>
    </row>
    <row r="112" spans="5:44" x14ac:dyDescent="0.25">
      <c r="I112" t="str">
        <f t="shared" si="8"/>
        <v>ridheroh</v>
      </c>
      <c r="J112" t="str">
        <f t="shared" si="9"/>
        <v>ridherohalt_title</v>
      </c>
      <c r="K112" t="s">
        <v>1218</v>
      </c>
      <c r="L112" t="str">
        <f t="shared" si="7"/>
        <v>NGM-006 (MVS), NGH-006 (AES)</v>
      </c>
      <c r="M112" t="str">
        <f t="shared" si="7"/>
        <v>19900724 (MVS), 19910701 (AES)</v>
      </c>
      <c r="N112" t="str">
        <f t="shared" si="7"/>
        <v>ライディングヒーロー</v>
      </c>
      <c r="O112" t="str">
        <f t="shared" si="7"/>
        <v/>
      </c>
      <c r="P112" t="str">
        <f t="shared" si="7"/>
        <v/>
      </c>
      <c r="Q112" t="s">
        <v>7480</v>
      </c>
      <c r="T112" t="str">
        <f t="shared" si="10"/>
        <v/>
      </c>
      <c r="V112" t="str">
        <f t="shared" si="11"/>
        <v>unknown</v>
      </c>
      <c r="W112" t="str">
        <f t="shared" si="11"/>
        <v>MVS,AES</v>
      </c>
      <c r="AB112" t="s">
        <v>34</v>
      </c>
      <c r="AE112" t="s">
        <v>33</v>
      </c>
      <c r="AH112" t="s">
        <v>7479</v>
      </c>
      <c r="AI112" t="s">
        <v>9</v>
      </c>
      <c r="AJ112" t="s">
        <v>27</v>
      </c>
      <c r="AK112" t="s">
        <v>7478</v>
      </c>
      <c r="AL112" t="s">
        <v>7477</v>
      </c>
    </row>
    <row r="113" spans="5:38" x14ac:dyDescent="0.25">
      <c r="I113" t="str">
        <f t="shared" si="8"/>
        <v>ridheroh</v>
      </c>
      <c r="J113" t="str">
        <f t="shared" si="9"/>
        <v/>
      </c>
      <c r="L113" t="str">
        <f t="shared" si="7"/>
        <v>NGM-006 (MVS), NGH-006 (AES)</v>
      </c>
      <c r="M113" t="str">
        <f t="shared" si="7"/>
        <v>19900724 (MVS), 19910701 (AES)</v>
      </c>
      <c r="N113" t="str">
        <f t="shared" si="7"/>
        <v>ライディングヒーロー</v>
      </c>
      <c r="O113" t="str">
        <f t="shared" si="7"/>
        <v/>
      </c>
      <c r="P113" t="str">
        <f t="shared" si="7"/>
        <v/>
      </c>
      <c r="S113" t="s">
        <v>36</v>
      </c>
      <c r="T113" t="str">
        <f t="shared" si="10"/>
        <v>ridherohcompatibility</v>
      </c>
      <c r="U113" t="s">
        <v>218</v>
      </c>
      <c r="V113" t="str">
        <f t="shared" si="11"/>
        <v>unknown</v>
      </c>
      <c r="W113" t="str">
        <f t="shared" si="11"/>
        <v>MVS,AES</v>
      </c>
      <c r="AB113" t="s">
        <v>29</v>
      </c>
      <c r="AE113" t="s">
        <v>33</v>
      </c>
      <c r="AH113" t="s">
        <v>7476</v>
      </c>
      <c r="AI113" t="s">
        <v>9</v>
      </c>
      <c r="AJ113" t="s">
        <v>33</v>
      </c>
      <c r="AK113" t="s">
        <v>7475</v>
      </c>
      <c r="AL113" t="s">
        <v>7474</v>
      </c>
    </row>
    <row r="114" spans="5:38" x14ac:dyDescent="0.25">
      <c r="I114" t="str">
        <f t="shared" si="8"/>
        <v>ridheroh</v>
      </c>
      <c r="J114" t="str">
        <f t="shared" si="9"/>
        <v/>
      </c>
      <c r="L114" t="str">
        <f t="shared" si="7"/>
        <v>NGM-006 (MVS), NGH-006 (AES)</v>
      </c>
      <c r="M114" t="str">
        <f t="shared" si="7"/>
        <v>19900724 (MVS), 19910701 (AES)</v>
      </c>
      <c r="N114" t="str">
        <f t="shared" si="7"/>
        <v>ライディングヒーロー</v>
      </c>
      <c r="O114" t="str">
        <f t="shared" si="7"/>
        <v/>
      </c>
      <c r="P114" t="str">
        <f t="shared" si="7"/>
        <v/>
      </c>
      <c r="T114" t="str">
        <f t="shared" si="10"/>
        <v/>
      </c>
      <c r="V114" t="str">
        <f t="shared" si="11"/>
        <v>unknown</v>
      </c>
      <c r="W114" t="str">
        <f t="shared" si="11"/>
        <v>MVS,AES</v>
      </c>
      <c r="AB114" t="s">
        <v>24</v>
      </c>
      <c r="AE114" t="s">
        <v>15</v>
      </c>
      <c r="AH114" t="s">
        <v>7473</v>
      </c>
      <c r="AI114" t="s">
        <v>9</v>
      </c>
      <c r="AJ114" t="s">
        <v>92</v>
      </c>
      <c r="AK114" t="s">
        <v>7472</v>
      </c>
      <c r="AL114" t="s">
        <v>7471</v>
      </c>
    </row>
    <row r="115" spans="5:38" x14ac:dyDescent="0.25">
      <c r="I115" t="str">
        <f t="shared" si="8"/>
        <v>ridheroh</v>
      </c>
      <c r="J115" t="str">
        <f t="shared" si="9"/>
        <v/>
      </c>
      <c r="L115" t="str">
        <f t="shared" si="7"/>
        <v>NGM-006 (MVS), NGH-006 (AES)</v>
      </c>
      <c r="M115" t="str">
        <f t="shared" si="7"/>
        <v>19900724 (MVS), 19910701 (AES)</v>
      </c>
      <c r="N115" t="str">
        <f t="shared" si="7"/>
        <v>ライディングヒーロー</v>
      </c>
      <c r="O115" t="str">
        <f t="shared" si="7"/>
        <v/>
      </c>
      <c r="P115" t="str">
        <f t="shared" si="7"/>
        <v/>
      </c>
      <c r="T115" t="str">
        <f t="shared" si="10"/>
        <v/>
      </c>
      <c r="V115" t="str">
        <f t="shared" si="11"/>
        <v>unknown</v>
      </c>
      <c r="W115" t="str">
        <f t="shared" si="11"/>
        <v>MVS,AES</v>
      </c>
      <c r="AH115" t="s">
        <v>7470</v>
      </c>
      <c r="AI115" t="s">
        <v>92</v>
      </c>
      <c r="AJ115" t="s">
        <v>92</v>
      </c>
      <c r="AK115" t="s">
        <v>7469</v>
      </c>
      <c r="AL115" t="s">
        <v>7468</v>
      </c>
    </row>
    <row r="116" spans="5:38" x14ac:dyDescent="0.25">
      <c r="I116" t="str">
        <f t="shared" si="8"/>
        <v>ridheroh</v>
      </c>
      <c r="J116" t="str">
        <f t="shared" si="9"/>
        <v/>
      </c>
      <c r="L116" t="str">
        <f t="shared" si="7"/>
        <v>NGM-006 (MVS), NGH-006 (AES)</v>
      </c>
      <c r="M116" t="str">
        <f t="shared" si="7"/>
        <v>19900724 (MVS), 19910701 (AES)</v>
      </c>
      <c r="N116" t="str">
        <f t="shared" si="7"/>
        <v>ライディングヒーロー</v>
      </c>
      <c r="O116" t="str">
        <f t="shared" si="7"/>
        <v/>
      </c>
      <c r="P116" t="str">
        <f t="shared" si="7"/>
        <v/>
      </c>
      <c r="T116" t="str">
        <f t="shared" si="10"/>
        <v/>
      </c>
      <c r="V116" t="str">
        <f t="shared" si="11"/>
        <v>unknown</v>
      </c>
      <c r="W116" t="str">
        <f t="shared" si="11"/>
        <v>MVS,AES</v>
      </c>
      <c r="AB116" t="s">
        <v>6575</v>
      </c>
      <c r="AE116" t="s">
        <v>3</v>
      </c>
      <c r="AH116" t="s">
        <v>7467</v>
      </c>
      <c r="AI116" t="s">
        <v>9</v>
      </c>
      <c r="AJ116" t="s">
        <v>92</v>
      </c>
      <c r="AK116" t="s">
        <v>7466</v>
      </c>
      <c r="AL116" t="s">
        <v>7465</v>
      </c>
    </row>
    <row r="117" spans="5:38" x14ac:dyDescent="0.25">
      <c r="I117" t="str">
        <f t="shared" si="8"/>
        <v>ridheroh</v>
      </c>
      <c r="J117" t="str">
        <f t="shared" si="9"/>
        <v/>
      </c>
      <c r="L117" t="str">
        <f t="shared" ref="L117:P167" si="12">IFERROR(VLOOKUP($I117&amp;L$1,$J:$Q,8,0),"")</f>
        <v>NGM-006 (MVS), NGH-006 (AES)</v>
      </c>
      <c r="M117" t="str">
        <f t="shared" si="12"/>
        <v>19900724 (MVS), 19910701 (AES)</v>
      </c>
      <c r="N117" t="str">
        <f t="shared" si="12"/>
        <v>ライディングヒーロー</v>
      </c>
      <c r="O117" t="str">
        <f t="shared" si="12"/>
        <v/>
      </c>
      <c r="P117" t="str">
        <f t="shared" si="12"/>
        <v/>
      </c>
      <c r="T117" t="str">
        <f t="shared" si="10"/>
        <v/>
      </c>
      <c r="V117" t="str">
        <f t="shared" si="11"/>
        <v>unknown</v>
      </c>
      <c r="W117" t="str">
        <f t="shared" si="11"/>
        <v>MVS,AES</v>
      </c>
      <c r="AH117" t="s">
        <v>7464</v>
      </c>
      <c r="AI117" t="s">
        <v>92</v>
      </c>
      <c r="AJ117" t="s">
        <v>92</v>
      </c>
      <c r="AK117" t="s">
        <v>7463</v>
      </c>
      <c r="AL117" t="s">
        <v>7462</v>
      </c>
    </row>
    <row r="118" spans="5:38" x14ac:dyDescent="0.25">
      <c r="I118" t="str">
        <f t="shared" si="8"/>
        <v>ridheroh</v>
      </c>
      <c r="J118" t="str">
        <f t="shared" si="9"/>
        <v/>
      </c>
      <c r="L118" t="str">
        <f t="shared" si="12"/>
        <v>NGM-006 (MVS), NGH-006 (AES)</v>
      </c>
      <c r="M118" t="str">
        <f t="shared" si="12"/>
        <v>19900724 (MVS), 19910701 (AES)</v>
      </c>
      <c r="N118" t="str">
        <f t="shared" si="12"/>
        <v>ライディングヒーロー</v>
      </c>
      <c r="O118" t="str">
        <f t="shared" si="12"/>
        <v/>
      </c>
      <c r="P118" t="str">
        <f t="shared" si="12"/>
        <v/>
      </c>
      <c r="T118" t="str">
        <f t="shared" si="10"/>
        <v/>
      </c>
      <c r="V118" t="str">
        <f t="shared" si="11"/>
        <v>unknown</v>
      </c>
      <c r="W118" t="str">
        <f t="shared" si="11"/>
        <v>MVS,AES</v>
      </c>
      <c r="AH118" t="s">
        <v>7461</v>
      </c>
      <c r="AI118" t="s">
        <v>15</v>
      </c>
      <c r="AJ118" t="s">
        <v>92</v>
      </c>
      <c r="AK118" t="s">
        <v>7460</v>
      </c>
      <c r="AL118" t="s">
        <v>7459</v>
      </c>
    </row>
    <row r="119" spans="5:38" x14ac:dyDescent="0.25">
      <c r="I119" t="str">
        <f t="shared" si="8"/>
        <v>ridheroh</v>
      </c>
      <c r="J119" t="str">
        <f t="shared" si="9"/>
        <v/>
      </c>
      <c r="L119" t="str">
        <f t="shared" si="12"/>
        <v>NGM-006 (MVS), NGH-006 (AES)</v>
      </c>
      <c r="M119" t="str">
        <f t="shared" si="12"/>
        <v>19900724 (MVS), 19910701 (AES)</v>
      </c>
      <c r="N119" t="str">
        <f t="shared" si="12"/>
        <v>ライディングヒーロー</v>
      </c>
      <c r="O119" t="str">
        <f t="shared" si="12"/>
        <v/>
      </c>
      <c r="P119" t="str">
        <f t="shared" si="12"/>
        <v/>
      </c>
      <c r="T119" t="str">
        <f t="shared" si="10"/>
        <v/>
      </c>
      <c r="V119" t="str">
        <f t="shared" si="11"/>
        <v>unknown</v>
      </c>
      <c r="W119" t="str">
        <f t="shared" si="11"/>
        <v>MVS,AES</v>
      </c>
      <c r="AH119" t="s">
        <v>7458</v>
      </c>
      <c r="AI119" t="s">
        <v>4502</v>
      </c>
      <c r="AJ119" t="s">
        <v>92</v>
      </c>
      <c r="AK119" t="s">
        <v>7457</v>
      </c>
      <c r="AL119" t="s">
        <v>7456</v>
      </c>
    </row>
    <row r="120" spans="5:38" x14ac:dyDescent="0.25">
      <c r="I120" t="str">
        <f t="shared" si="8"/>
        <v>ridheroh</v>
      </c>
      <c r="J120" t="str">
        <f t="shared" si="9"/>
        <v/>
      </c>
      <c r="L120" t="str">
        <f t="shared" si="12"/>
        <v>NGM-006 (MVS), NGH-006 (AES)</v>
      </c>
      <c r="M120" t="str">
        <f t="shared" si="12"/>
        <v>19900724 (MVS), 19910701 (AES)</v>
      </c>
      <c r="N120" t="str">
        <f t="shared" si="12"/>
        <v>ライディングヒーロー</v>
      </c>
      <c r="O120" t="str">
        <f t="shared" si="12"/>
        <v/>
      </c>
      <c r="P120" t="str">
        <f t="shared" si="12"/>
        <v/>
      </c>
      <c r="T120" t="str">
        <f t="shared" si="10"/>
        <v/>
      </c>
      <c r="V120" t="str">
        <f t="shared" si="11"/>
        <v>unknown</v>
      </c>
      <c r="W120" t="str">
        <f t="shared" si="11"/>
        <v>MVS,AES</v>
      </c>
      <c r="AB120" t="s">
        <v>12</v>
      </c>
      <c r="AE120" t="s">
        <v>3</v>
      </c>
      <c r="AG120" t="s">
        <v>6</v>
      </c>
      <c r="AH120" t="s">
        <v>7455</v>
      </c>
      <c r="AI120" t="s">
        <v>9</v>
      </c>
      <c r="AJ120" t="s">
        <v>92</v>
      </c>
      <c r="AK120" t="s">
        <v>7454</v>
      </c>
      <c r="AL120" t="s">
        <v>7453</v>
      </c>
    </row>
    <row r="121" spans="5:38" x14ac:dyDescent="0.25">
      <c r="I121" t="str">
        <f t="shared" si="8"/>
        <v>ridheroh</v>
      </c>
      <c r="J121" t="str">
        <f t="shared" si="9"/>
        <v/>
      </c>
      <c r="L121" t="str">
        <f t="shared" si="12"/>
        <v>NGM-006 (MVS), NGH-006 (AES)</v>
      </c>
      <c r="M121" t="str">
        <f t="shared" si="12"/>
        <v>19900724 (MVS), 19910701 (AES)</v>
      </c>
      <c r="N121" t="str">
        <f t="shared" si="12"/>
        <v>ライディングヒーロー</v>
      </c>
      <c r="O121" t="str">
        <f t="shared" si="12"/>
        <v/>
      </c>
      <c r="P121" t="str">
        <f t="shared" si="12"/>
        <v/>
      </c>
      <c r="T121" t="str">
        <f t="shared" si="10"/>
        <v/>
      </c>
      <c r="V121" t="str">
        <f t="shared" si="11"/>
        <v>unknown</v>
      </c>
      <c r="W121" t="str">
        <f t="shared" si="11"/>
        <v>MVS,AES</v>
      </c>
      <c r="AG121" t="s">
        <v>6</v>
      </c>
      <c r="AH121" t="s">
        <v>7452</v>
      </c>
      <c r="AI121" t="s">
        <v>4</v>
      </c>
      <c r="AJ121" t="s">
        <v>92</v>
      </c>
      <c r="AK121" t="s">
        <v>7451</v>
      </c>
      <c r="AL121" t="s">
        <v>7450</v>
      </c>
    </row>
    <row r="122" spans="5:38" x14ac:dyDescent="0.25">
      <c r="I122" t="str">
        <f t="shared" si="8"/>
        <v>ridheroh</v>
      </c>
      <c r="J122" t="str">
        <f t="shared" si="9"/>
        <v/>
      </c>
      <c r="L122" t="str">
        <f t="shared" si="12"/>
        <v>NGM-006 (MVS), NGH-006 (AES)</v>
      </c>
      <c r="M122" t="str">
        <f t="shared" si="12"/>
        <v>19900724 (MVS), 19910701 (AES)</v>
      </c>
      <c r="N122" t="str">
        <f t="shared" si="12"/>
        <v>ライディングヒーロー</v>
      </c>
      <c r="O122" t="str">
        <f t="shared" si="12"/>
        <v/>
      </c>
      <c r="P122" t="str">
        <f t="shared" si="12"/>
        <v/>
      </c>
      <c r="T122" t="str">
        <f t="shared" si="10"/>
        <v/>
      </c>
      <c r="V122" t="str">
        <f t="shared" si="11"/>
        <v>unknown</v>
      </c>
      <c r="W122" t="str">
        <f t="shared" si="11"/>
        <v>MVS,AES</v>
      </c>
      <c r="AG122" t="s">
        <v>6</v>
      </c>
      <c r="AH122" t="s">
        <v>7449</v>
      </c>
      <c r="AI122" t="s">
        <v>15</v>
      </c>
      <c r="AJ122" t="s">
        <v>92</v>
      </c>
      <c r="AK122" t="s">
        <v>7448</v>
      </c>
      <c r="AL122" t="s">
        <v>7447</v>
      </c>
    </row>
    <row r="123" spans="5:38" x14ac:dyDescent="0.25">
      <c r="I123" t="str">
        <f t="shared" si="8"/>
        <v>ridheroh</v>
      </c>
      <c r="J123" t="str">
        <f t="shared" si="9"/>
        <v/>
      </c>
      <c r="L123" t="str">
        <f t="shared" si="12"/>
        <v>NGM-006 (MVS), NGH-006 (AES)</v>
      </c>
      <c r="M123" t="str">
        <f t="shared" si="12"/>
        <v>19900724 (MVS), 19910701 (AES)</v>
      </c>
      <c r="N123" t="str">
        <f t="shared" si="12"/>
        <v>ライディングヒーロー</v>
      </c>
      <c r="O123" t="str">
        <f t="shared" si="12"/>
        <v/>
      </c>
      <c r="P123" t="str">
        <f t="shared" si="12"/>
        <v/>
      </c>
      <c r="T123" t="str">
        <f t="shared" si="10"/>
        <v/>
      </c>
      <c r="V123" t="str">
        <f t="shared" si="11"/>
        <v>unknown</v>
      </c>
      <c r="W123" t="str">
        <f t="shared" si="11"/>
        <v>MVS,AES</v>
      </c>
      <c r="AG123" t="s">
        <v>6</v>
      </c>
      <c r="AH123" t="s">
        <v>7446</v>
      </c>
      <c r="AI123" t="s">
        <v>7267</v>
      </c>
      <c r="AJ123" t="s">
        <v>92</v>
      </c>
      <c r="AK123" t="s">
        <v>7445</v>
      </c>
      <c r="AL123" t="s">
        <v>7444</v>
      </c>
    </row>
    <row r="124" spans="5:38" x14ac:dyDescent="0.25">
      <c r="E124" t="s">
        <v>7403</v>
      </c>
      <c r="F124" t="s">
        <v>7443</v>
      </c>
      <c r="G124" t="s">
        <v>6279</v>
      </c>
      <c r="H124" t="s">
        <v>1912</v>
      </c>
      <c r="I124" t="str">
        <f t="shared" si="8"/>
        <v>alpham2</v>
      </c>
      <c r="J124" t="str">
        <f t="shared" si="9"/>
        <v>alpham2serial</v>
      </c>
      <c r="K124" t="s">
        <v>1373</v>
      </c>
      <c r="L124" t="str">
        <f t="shared" si="12"/>
        <v>NGM-007 (MVS), NGH-007 (AES)</v>
      </c>
      <c r="M124" t="str">
        <f t="shared" si="12"/>
        <v>19910325 (MVS), 19910701 (AES)</v>
      </c>
      <c r="N124" t="str">
        <f t="shared" si="12"/>
        <v>ASO II ラストガーディアン</v>
      </c>
      <c r="O124" t="str">
        <f t="shared" si="12"/>
        <v/>
      </c>
      <c r="P124" t="str">
        <f t="shared" si="12"/>
        <v/>
      </c>
      <c r="Q124" t="s">
        <v>7442</v>
      </c>
      <c r="S124" t="s">
        <v>46</v>
      </c>
      <c r="T124" t="str">
        <f t="shared" si="10"/>
        <v>alpham2release</v>
      </c>
      <c r="U124" t="s">
        <v>218</v>
      </c>
      <c r="V124" t="str">
        <f t="shared" si="11"/>
        <v>MVS,AES</v>
      </c>
      <c r="W124" t="str">
        <f t="shared" si="11"/>
        <v>MVS,AES</v>
      </c>
      <c r="Y124" t="s">
        <v>45</v>
      </c>
      <c r="Z124" t="s">
        <v>44</v>
      </c>
      <c r="AB124" t="s">
        <v>43</v>
      </c>
      <c r="AC124" t="s">
        <v>42</v>
      </c>
      <c r="AD124" t="s">
        <v>41</v>
      </c>
      <c r="AE124" t="s">
        <v>15</v>
      </c>
      <c r="AG124" t="s">
        <v>40</v>
      </c>
      <c r="AH124" t="s">
        <v>7441</v>
      </c>
      <c r="AI124" t="s">
        <v>9</v>
      </c>
      <c r="AJ124" t="s">
        <v>92</v>
      </c>
      <c r="AK124" t="s">
        <v>7440</v>
      </c>
      <c r="AL124" t="s">
        <v>7439</v>
      </c>
    </row>
    <row r="125" spans="5:38" x14ac:dyDescent="0.25">
      <c r="I125" t="str">
        <f t="shared" si="8"/>
        <v>alpham2</v>
      </c>
      <c r="J125" t="str">
        <f t="shared" si="9"/>
        <v>alpham2release</v>
      </c>
      <c r="K125" t="s">
        <v>46</v>
      </c>
      <c r="L125" t="str">
        <f t="shared" si="12"/>
        <v>NGM-007 (MVS), NGH-007 (AES)</v>
      </c>
      <c r="M125" t="str">
        <f t="shared" si="12"/>
        <v>19910325 (MVS), 19910701 (AES)</v>
      </c>
      <c r="N125" t="str">
        <f t="shared" si="12"/>
        <v>ASO II ラストガーディアン</v>
      </c>
      <c r="O125" t="str">
        <f t="shared" si="12"/>
        <v/>
      </c>
      <c r="P125" t="str">
        <f t="shared" si="12"/>
        <v/>
      </c>
      <c r="Q125" t="s">
        <v>7438</v>
      </c>
      <c r="T125" t="str">
        <f t="shared" si="10"/>
        <v/>
      </c>
      <c r="V125" t="str">
        <f t="shared" si="11"/>
        <v>MVS,AES</v>
      </c>
      <c r="W125" t="str">
        <f t="shared" si="11"/>
        <v>MVS,AES</v>
      </c>
      <c r="AG125" t="s">
        <v>40</v>
      </c>
      <c r="AH125" t="s">
        <v>7437</v>
      </c>
      <c r="AI125" t="s">
        <v>92</v>
      </c>
      <c r="AJ125" t="s">
        <v>27</v>
      </c>
      <c r="AK125" t="s">
        <v>7436</v>
      </c>
      <c r="AL125" t="s">
        <v>7435</v>
      </c>
    </row>
    <row r="126" spans="5:38" x14ac:dyDescent="0.25">
      <c r="I126" t="str">
        <f t="shared" si="8"/>
        <v>alpham2</v>
      </c>
      <c r="J126" t="str">
        <f t="shared" si="9"/>
        <v>alpham2alt_title</v>
      </c>
      <c r="K126" t="s">
        <v>1218</v>
      </c>
      <c r="L126" t="str">
        <f t="shared" si="12"/>
        <v>NGM-007 (MVS), NGH-007 (AES)</v>
      </c>
      <c r="M126" t="str">
        <f t="shared" si="12"/>
        <v>19910325 (MVS), 19910701 (AES)</v>
      </c>
      <c r="N126" t="str">
        <f t="shared" si="12"/>
        <v>ASO II ラストガーディアン</v>
      </c>
      <c r="O126" t="str">
        <f t="shared" si="12"/>
        <v/>
      </c>
      <c r="P126" t="str">
        <f t="shared" si="12"/>
        <v/>
      </c>
      <c r="Q126" t="s">
        <v>7434</v>
      </c>
      <c r="T126" t="str">
        <f t="shared" si="10"/>
        <v/>
      </c>
      <c r="V126" t="str">
        <f t="shared" si="11"/>
        <v>MVS,AES</v>
      </c>
      <c r="W126" t="str">
        <f t="shared" si="11"/>
        <v>MVS,AES</v>
      </c>
      <c r="AB126" t="s">
        <v>34</v>
      </c>
      <c r="AE126" t="s">
        <v>33</v>
      </c>
      <c r="AH126" t="s">
        <v>7433</v>
      </c>
      <c r="AI126" t="s">
        <v>9</v>
      </c>
      <c r="AJ126" t="s">
        <v>27</v>
      </c>
      <c r="AK126" t="s">
        <v>7432</v>
      </c>
      <c r="AL126" t="s">
        <v>7431</v>
      </c>
    </row>
    <row r="127" spans="5:38" x14ac:dyDescent="0.25">
      <c r="I127" t="str">
        <f t="shared" si="8"/>
        <v>alpham2</v>
      </c>
      <c r="J127" t="str">
        <f t="shared" si="9"/>
        <v/>
      </c>
      <c r="L127" t="str">
        <f t="shared" si="12"/>
        <v>NGM-007 (MVS), NGH-007 (AES)</v>
      </c>
      <c r="M127" t="str">
        <f t="shared" si="12"/>
        <v>19910325 (MVS), 19910701 (AES)</v>
      </c>
      <c r="N127" t="str">
        <f t="shared" si="12"/>
        <v>ASO II ラストガーディアン</v>
      </c>
      <c r="O127" t="str">
        <f t="shared" si="12"/>
        <v/>
      </c>
      <c r="P127" t="str">
        <f t="shared" si="12"/>
        <v/>
      </c>
      <c r="S127" t="s">
        <v>36</v>
      </c>
      <c r="T127" t="str">
        <f t="shared" si="10"/>
        <v>alpham2compatibility</v>
      </c>
      <c r="U127" t="s">
        <v>218</v>
      </c>
      <c r="V127" t="str">
        <f t="shared" si="11"/>
        <v>MVS,AES</v>
      </c>
      <c r="W127" t="str">
        <f t="shared" si="11"/>
        <v>MVS,AES</v>
      </c>
      <c r="AB127" t="s">
        <v>29</v>
      </c>
      <c r="AE127" t="s">
        <v>27</v>
      </c>
      <c r="AH127" t="s">
        <v>7430</v>
      </c>
      <c r="AI127" t="s">
        <v>9</v>
      </c>
      <c r="AJ127" t="s">
        <v>27</v>
      </c>
      <c r="AK127" t="s">
        <v>7429</v>
      </c>
      <c r="AL127" t="s">
        <v>7428</v>
      </c>
    </row>
    <row r="128" spans="5:38" x14ac:dyDescent="0.25">
      <c r="I128" t="str">
        <f t="shared" si="8"/>
        <v>alpham2</v>
      </c>
      <c r="J128" t="str">
        <f t="shared" si="9"/>
        <v/>
      </c>
      <c r="L128" t="str">
        <f t="shared" si="12"/>
        <v>NGM-007 (MVS), NGH-007 (AES)</v>
      </c>
      <c r="M128" t="str">
        <f t="shared" si="12"/>
        <v>19910325 (MVS), 19910701 (AES)</v>
      </c>
      <c r="N128" t="str">
        <f t="shared" si="12"/>
        <v>ASO II ラストガーディアン</v>
      </c>
      <c r="O128" t="str">
        <f t="shared" si="12"/>
        <v/>
      </c>
      <c r="P128" t="str">
        <f t="shared" si="12"/>
        <v/>
      </c>
      <c r="T128" t="str">
        <f t="shared" si="10"/>
        <v/>
      </c>
      <c r="V128" t="str">
        <f t="shared" si="11"/>
        <v>MVS,AES</v>
      </c>
      <c r="W128" t="str">
        <f t="shared" si="11"/>
        <v>MVS,AES</v>
      </c>
      <c r="AB128" t="s">
        <v>24</v>
      </c>
      <c r="AE128" t="s">
        <v>3</v>
      </c>
      <c r="AH128" t="s">
        <v>7427</v>
      </c>
      <c r="AI128" t="s">
        <v>9</v>
      </c>
      <c r="AJ128" t="s">
        <v>15</v>
      </c>
      <c r="AK128" t="s">
        <v>7426</v>
      </c>
      <c r="AL128" t="s">
        <v>7425</v>
      </c>
    </row>
    <row r="129" spans="5:44" x14ac:dyDescent="0.25">
      <c r="I129" t="str">
        <f t="shared" si="8"/>
        <v>alpham2</v>
      </c>
      <c r="J129" t="str">
        <f t="shared" si="9"/>
        <v/>
      </c>
      <c r="L129" t="str">
        <f t="shared" si="12"/>
        <v>NGM-007 (MVS), NGH-007 (AES)</v>
      </c>
      <c r="M129" t="str">
        <f t="shared" si="12"/>
        <v>19910325 (MVS), 19910701 (AES)</v>
      </c>
      <c r="N129" t="str">
        <f t="shared" si="12"/>
        <v>ASO II ラストガーディアン</v>
      </c>
      <c r="O129" t="str">
        <f t="shared" si="12"/>
        <v/>
      </c>
      <c r="P129" t="str">
        <f t="shared" si="12"/>
        <v/>
      </c>
      <c r="T129" t="str">
        <f t="shared" si="10"/>
        <v/>
      </c>
      <c r="V129" t="str">
        <f t="shared" si="11"/>
        <v>MVS,AES</v>
      </c>
      <c r="W129" t="str">
        <f t="shared" si="11"/>
        <v>MVS,AES</v>
      </c>
      <c r="AH129" t="s">
        <v>7424</v>
      </c>
      <c r="AI129" t="s">
        <v>15</v>
      </c>
      <c r="AJ129" t="s">
        <v>15</v>
      </c>
      <c r="AK129" t="s">
        <v>7423</v>
      </c>
      <c r="AL129" t="s">
        <v>7422</v>
      </c>
    </row>
    <row r="130" spans="5:44" x14ac:dyDescent="0.25">
      <c r="I130" t="str">
        <f t="shared" si="8"/>
        <v>alpham2</v>
      </c>
      <c r="J130" t="str">
        <f t="shared" si="9"/>
        <v/>
      </c>
      <c r="L130" t="str">
        <f t="shared" si="12"/>
        <v>NGM-007 (MVS), NGH-007 (AES)</v>
      </c>
      <c r="M130" t="str">
        <f t="shared" si="12"/>
        <v>19910325 (MVS), 19910701 (AES)</v>
      </c>
      <c r="N130" t="str">
        <f t="shared" si="12"/>
        <v>ASO II ラストガーディアン</v>
      </c>
      <c r="O130" t="str">
        <f t="shared" si="12"/>
        <v/>
      </c>
      <c r="P130" t="str">
        <f t="shared" si="12"/>
        <v/>
      </c>
      <c r="T130" t="str">
        <f t="shared" si="10"/>
        <v/>
      </c>
      <c r="V130" t="str">
        <f t="shared" si="11"/>
        <v>MVS,AES</v>
      </c>
      <c r="W130" t="str">
        <f t="shared" si="11"/>
        <v>MVS,AES</v>
      </c>
      <c r="AB130" t="s">
        <v>12</v>
      </c>
      <c r="AE130" t="s">
        <v>377</v>
      </c>
      <c r="AG130" t="s">
        <v>6</v>
      </c>
      <c r="AH130" t="s">
        <v>7421</v>
      </c>
      <c r="AI130" t="s">
        <v>9</v>
      </c>
      <c r="AJ130" t="s">
        <v>15</v>
      </c>
      <c r="AK130" t="s">
        <v>7420</v>
      </c>
      <c r="AL130" t="s">
        <v>7419</v>
      </c>
    </row>
    <row r="131" spans="5:44" x14ac:dyDescent="0.25">
      <c r="I131" t="str">
        <f t="shared" ref="I131:I194" si="13">IF(E131="",I130,E131)</f>
        <v>alpham2</v>
      </c>
      <c r="J131" t="str">
        <f t="shared" ref="J131:J194" si="14">IF(K131="","",I131&amp;K131)</f>
        <v/>
      </c>
      <c r="L131" t="str">
        <f t="shared" si="12"/>
        <v>NGM-007 (MVS), NGH-007 (AES)</v>
      </c>
      <c r="M131" t="str">
        <f t="shared" si="12"/>
        <v>19910325 (MVS), 19910701 (AES)</v>
      </c>
      <c r="N131" t="str">
        <f t="shared" si="12"/>
        <v>ASO II ラストガーディアン</v>
      </c>
      <c r="O131" t="str">
        <f t="shared" si="12"/>
        <v/>
      </c>
      <c r="P131" t="str">
        <f t="shared" si="12"/>
        <v/>
      </c>
      <c r="T131" t="str">
        <f t="shared" ref="T131:T194" si="15">IF(S131="","",I131&amp;S131)</f>
        <v/>
      </c>
      <c r="V131" t="str">
        <f t="shared" si="11"/>
        <v>MVS,AES</v>
      </c>
      <c r="W131" t="str">
        <f t="shared" si="11"/>
        <v>MVS,AES</v>
      </c>
      <c r="AG131" t="s">
        <v>6</v>
      </c>
      <c r="AH131" t="s">
        <v>7418</v>
      </c>
      <c r="AI131" t="s">
        <v>4</v>
      </c>
      <c r="AJ131" t="s">
        <v>15</v>
      </c>
      <c r="AK131" t="s">
        <v>7417</v>
      </c>
      <c r="AL131" t="s">
        <v>7416</v>
      </c>
    </row>
    <row r="132" spans="5:44" x14ac:dyDescent="0.25">
      <c r="I132" t="str">
        <f t="shared" si="13"/>
        <v>alpham2</v>
      </c>
      <c r="J132" t="str">
        <f t="shared" si="14"/>
        <v/>
      </c>
      <c r="L132" t="str">
        <f t="shared" si="12"/>
        <v>NGM-007 (MVS), NGH-007 (AES)</v>
      </c>
      <c r="M132" t="str">
        <f t="shared" si="12"/>
        <v>19910325 (MVS), 19910701 (AES)</v>
      </c>
      <c r="N132" t="str">
        <f t="shared" si="12"/>
        <v>ASO II ラストガーディアン</v>
      </c>
      <c r="O132" t="str">
        <f t="shared" si="12"/>
        <v/>
      </c>
      <c r="P132" t="str">
        <f t="shared" si="12"/>
        <v/>
      </c>
      <c r="T132" t="str">
        <f t="shared" si="15"/>
        <v/>
      </c>
      <c r="V132" t="str">
        <f t="shared" si="11"/>
        <v>MVS,AES</v>
      </c>
      <c r="W132" t="str">
        <f t="shared" si="11"/>
        <v>MVS,AES</v>
      </c>
      <c r="AG132" t="s">
        <v>6</v>
      </c>
      <c r="AH132" t="s">
        <v>7415</v>
      </c>
      <c r="AI132" t="s">
        <v>3</v>
      </c>
      <c r="AJ132" t="s">
        <v>92</v>
      </c>
      <c r="AK132" t="s">
        <v>7414</v>
      </c>
      <c r="AL132" t="s">
        <v>7413</v>
      </c>
    </row>
    <row r="133" spans="5:44" x14ac:dyDescent="0.25">
      <c r="I133" t="str">
        <f t="shared" si="13"/>
        <v>alpham2</v>
      </c>
      <c r="J133" t="str">
        <f t="shared" si="14"/>
        <v/>
      </c>
      <c r="L133" t="str">
        <f t="shared" si="12"/>
        <v>NGM-007 (MVS), NGH-007 (AES)</v>
      </c>
      <c r="M133" t="str">
        <f t="shared" si="12"/>
        <v>19910325 (MVS), 19910701 (AES)</v>
      </c>
      <c r="N133" t="str">
        <f t="shared" si="12"/>
        <v>ASO II ラストガーディアン</v>
      </c>
      <c r="O133" t="str">
        <f t="shared" si="12"/>
        <v/>
      </c>
      <c r="P133" t="str">
        <f t="shared" si="12"/>
        <v/>
      </c>
      <c r="T133" t="str">
        <f t="shared" si="15"/>
        <v/>
      </c>
      <c r="V133" t="str">
        <f t="shared" si="11"/>
        <v>MVS,AES</v>
      </c>
      <c r="W133" t="str">
        <f t="shared" si="11"/>
        <v>MVS,AES</v>
      </c>
      <c r="AG133" t="s">
        <v>6</v>
      </c>
      <c r="AH133" t="s">
        <v>7412</v>
      </c>
      <c r="AI133" t="s">
        <v>4371</v>
      </c>
      <c r="AJ133" t="s">
        <v>92</v>
      </c>
      <c r="AK133" t="s">
        <v>7411</v>
      </c>
      <c r="AL133" t="s">
        <v>7410</v>
      </c>
    </row>
    <row r="134" spans="5:44" x14ac:dyDescent="0.25">
      <c r="E134" t="s">
        <v>7409</v>
      </c>
      <c r="F134" t="s">
        <v>7408</v>
      </c>
      <c r="G134" t="s">
        <v>6279</v>
      </c>
      <c r="H134" t="s">
        <v>1912</v>
      </c>
      <c r="I134" t="str">
        <f t="shared" si="13"/>
        <v>alpham2p</v>
      </c>
      <c r="J134" t="str">
        <f t="shared" si="14"/>
        <v>alpham2palt_title</v>
      </c>
      <c r="K134" t="s">
        <v>1218</v>
      </c>
      <c r="L134" t="str">
        <f t="shared" si="12"/>
        <v/>
      </c>
      <c r="M134" t="str">
        <f t="shared" si="12"/>
        <v/>
      </c>
      <c r="N134" t="str">
        <f t="shared" si="12"/>
        <v>ラストガーディアン</v>
      </c>
      <c r="O134" t="str">
        <f t="shared" si="12"/>
        <v/>
      </c>
      <c r="P134" t="str">
        <f t="shared" si="12"/>
        <v/>
      </c>
      <c r="Q134" t="s">
        <v>7407</v>
      </c>
      <c r="S134" t="s">
        <v>46</v>
      </c>
      <c r="T134" t="str">
        <f t="shared" si="15"/>
        <v>alpham2prelease</v>
      </c>
      <c r="U134" t="s">
        <v>35</v>
      </c>
      <c r="V134" t="str">
        <f t="shared" si="11"/>
        <v>AES</v>
      </c>
      <c r="W134" t="str">
        <f t="shared" si="11"/>
        <v>MVS,AES</v>
      </c>
      <c r="Y134" t="s">
        <v>45</v>
      </c>
      <c r="Z134" t="s">
        <v>44</v>
      </c>
      <c r="AB134" t="s">
        <v>43</v>
      </c>
      <c r="AC134" t="s">
        <v>42</v>
      </c>
      <c r="AD134" t="s">
        <v>41</v>
      </c>
      <c r="AE134" t="s">
        <v>15</v>
      </c>
      <c r="AG134" t="s">
        <v>6</v>
      </c>
      <c r="AH134" t="s">
        <v>7406</v>
      </c>
      <c r="AI134" t="s">
        <v>4</v>
      </c>
      <c r="AJ134" t="s">
        <v>92</v>
      </c>
      <c r="AK134" t="s">
        <v>7405</v>
      </c>
      <c r="AL134" t="s">
        <v>7404</v>
      </c>
      <c r="AR134" t="s">
        <v>7403</v>
      </c>
    </row>
    <row r="135" spans="5:44" x14ac:dyDescent="0.25">
      <c r="I135" t="str">
        <f t="shared" si="13"/>
        <v>alpham2p</v>
      </c>
      <c r="J135" t="str">
        <f t="shared" si="14"/>
        <v/>
      </c>
      <c r="L135" t="str">
        <f t="shared" si="12"/>
        <v/>
      </c>
      <c r="M135" t="str">
        <f t="shared" si="12"/>
        <v/>
      </c>
      <c r="N135" t="str">
        <f t="shared" si="12"/>
        <v>ラストガーディアン</v>
      </c>
      <c r="O135" t="str">
        <f t="shared" si="12"/>
        <v/>
      </c>
      <c r="P135" t="str">
        <f t="shared" si="12"/>
        <v/>
      </c>
      <c r="S135" t="s">
        <v>36</v>
      </c>
      <c r="T135" t="str">
        <f t="shared" si="15"/>
        <v>alpham2pcompatibility</v>
      </c>
      <c r="U135" t="s">
        <v>218</v>
      </c>
      <c r="V135" t="str">
        <f t="shared" si="11"/>
        <v>AES</v>
      </c>
      <c r="W135" t="str">
        <f t="shared" si="11"/>
        <v>MVS,AES</v>
      </c>
      <c r="AG135" t="s">
        <v>6</v>
      </c>
      <c r="AH135" t="s">
        <v>7402</v>
      </c>
      <c r="AI135" t="s">
        <v>9</v>
      </c>
      <c r="AJ135" t="s">
        <v>92</v>
      </c>
      <c r="AK135" t="s">
        <v>7401</v>
      </c>
      <c r="AL135" t="s">
        <v>7400</v>
      </c>
    </row>
    <row r="136" spans="5:44" x14ac:dyDescent="0.25">
      <c r="I136" t="str">
        <f t="shared" si="13"/>
        <v>alpham2p</v>
      </c>
      <c r="J136" t="str">
        <f t="shared" si="14"/>
        <v/>
      </c>
      <c r="L136" t="str">
        <f t="shared" si="12"/>
        <v/>
      </c>
      <c r="M136" t="str">
        <f t="shared" si="12"/>
        <v/>
      </c>
      <c r="N136" t="str">
        <f t="shared" si="12"/>
        <v>ラストガーディアン</v>
      </c>
      <c r="O136" t="str">
        <f t="shared" si="12"/>
        <v/>
      </c>
      <c r="P136" t="str">
        <f t="shared" si="12"/>
        <v/>
      </c>
      <c r="T136" t="str">
        <f t="shared" si="15"/>
        <v/>
      </c>
      <c r="V136" t="str">
        <f t="shared" si="11"/>
        <v>AES</v>
      </c>
      <c r="W136" t="str">
        <f t="shared" si="11"/>
        <v>MVS,AES</v>
      </c>
      <c r="AB136" t="s">
        <v>34</v>
      </c>
      <c r="AE136" t="s">
        <v>33</v>
      </c>
      <c r="AH136" t="s">
        <v>7399</v>
      </c>
      <c r="AI136" t="s">
        <v>9</v>
      </c>
      <c r="AJ136" t="s">
        <v>27</v>
      </c>
      <c r="AK136" t="s">
        <v>7398</v>
      </c>
      <c r="AL136" t="s">
        <v>7397</v>
      </c>
    </row>
    <row r="137" spans="5:44" x14ac:dyDescent="0.25">
      <c r="I137" t="str">
        <f t="shared" si="13"/>
        <v>alpham2p</v>
      </c>
      <c r="J137" t="str">
        <f t="shared" si="14"/>
        <v/>
      </c>
      <c r="L137" t="str">
        <f t="shared" si="12"/>
        <v/>
      </c>
      <c r="M137" t="str">
        <f t="shared" si="12"/>
        <v/>
      </c>
      <c r="N137" t="str">
        <f t="shared" si="12"/>
        <v>ラストガーディアン</v>
      </c>
      <c r="O137" t="str">
        <f t="shared" si="12"/>
        <v/>
      </c>
      <c r="P137" t="str">
        <f t="shared" si="12"/>
        <v/>
      </c>
      <c r="T137" t="str">
        <f t="shared" si="15"/>
        <v/>
      </c>
      <c r="V137" t="str">
        <f t="shared" si="11"/>
        <v>AES</v>
      </c>
      <c r="W137" t="str">
        <f t="shared" si="11"/>
        <v>MVS,AES</v>
      </c>
      <c r="AB137" t="s">
        <v>29</v>
      </c>
      <c r="AE137" t="s">
        <v>27</v>
      </c>
      <c r="AH137" t="s">
        <v>7396</v>
      </c>
      <c r="AI137" t="s">
        <v>9</v>
      </c>
      <c r="AJ137" t="s">
        <v>27</v>
      </c>
      <c r="AK137" t="s">
        <v>7395</v>
      </c>
      <c r="AL137" t="s">
        <v>7394</v>
      </c>
    </row>
    <row r="138" spans="5:44" x14ac:dyDescent="0.25">
      <c r="I138" t="str">
        <f t="shared" si="13"/>
        <v>alpham2p</v>
      </c>
      <c r="J138" t="str">
        <f t="shared" si="14"/>
        <v/>
      </c>
      <c r="L138" t="str">
        <f t="shared" si="12"/>
        <v/>
      </c>
      <c r="M138" t="str">
        <f t="shared" si="12"/>
        <v/>
      </c>
      <c r="N138" t="str">
        <f t="shared" si="12"/>
        <v>ラストガーディアン</v>
      </c>
      <c r="O138" t="str">
        <f t="shared" si="12"/>
        <v/>
      </c>
      <c r="P138" t="str">
        <f t="shared" si="12"/>
        <v/>
      </c>
      <c r="T138" t="str">
        <f t="shared" si="15"/>
        <v/>
      </c>
      <c r="V138" t="str">
        <f t="shared" si="11"/>
        <v>AES</v>
      </c>
      <c r="W138" t="str">
        <f t="shared" si="11"/>
        <v>MVS,AES</v>
      </c>
      <c r="AB138" t="s">
        <v>24</v>
      </c>
      <c r="AE138" t="s">
        <v>3</v>
      </c>
      <c r="AH138" t="s">
        <v>7393</v>
      </c>
      <c r="AI138" t="s">
        <v>9</v>
      </c>
      <c r="AJ138" t="s">
        <v>92</v>
      </c>
      <c r="AK138" t="s">
        <v>7392</v>
      </c>
      <c r="AL138" t="s">
        <v>7391</v>
      </c>
    </row>
    <row r="139" spans="5:44" x14ac:dyDescent="0.25">
      <c r="I139" t="str">
        <f t="shared" si="13"/>
        <v>alpham2p</v>
      </c>
      <c r="J139" t="str">
        <f t="shared" si="14"/>
        <v/>
      </c>
      <c r="L139" t="str">
        <f t="shared" si="12"/>
        <v/>
      </c>
      <c r="M139" t="str">
        <f t="shared" si="12"/>
        <v/>
      </c>
      <c r="N139" t="str">
        <f t="shared" si="12"/>
        <v>ラストガーディアン</v>
      </c>
      <c r="O139" t="str">
        <f t="shared" si="12"/>
        <v/>
      </c>
      <c r="P139" t="str">
        <f t="shared" si="12"/>
        <v/>
      </c>
      <c r="T139" t="str">
        <f t="shared" si="15"/>
        <v/>
      </c>
      <c r="V139" t="str">
        <f t="shared" si="11"/>
        <v>AES</v>
      </c>
      <c r="W139" t="str">
        <f t="shared" si="11"/>
        <v>MVS,AES</v>
      </c>
      <c r="AH139" t="s">
        <v>7390</v>
      </c>
      <c r="AI139" t="s">
        <v>92</v>
      </c>
      <c r="AJ139" t="s">
        <v>92</v>
      </c>
      <c r="AK139" t="s">
        <v>7389</v>
      </c>
      <c r="AL139" t="s">
        <v>7388</v>
      </c>
    </row>
    <row r="140" spans="5:44" x14ac:dyDescent="0.25">
      <c r="I140" t="str">
        <f t="shared" si="13"/>
        <v>alpham2p</v>
      </c>
      <c r="J140" t="str">
        <f t="shared" si="14"/>
        <v/>
      </c>
      <c r="L140" t="str">
        <f t="shared" si="12"/>
        <v/>
      </c>
      <c r="M140" t="str">
        <f t="shared" si="12"/>
        <v/>
      </c>
      <c r="N140" t="str">
        <f t="shared" si="12"/>
        <v>ラストガーディアン</v>
      </c>
      <c r="O140" t="str">
        <f t="shared" si="12"/>
        <v/>
      </c>
      <c r="P140" t="str">
        <f t="shared" si="12"/>
        <v/>
      </c>
      <c r="T140" t="str">
        <f t="shared" si="15"/>
        <v/>
      </c>
      <c r="V140" t="str">
        <f t="shared" si="11"/>
        <v>AES</v>
      </c>
      <c r="W140" t="str">
        <f t="shared" si="11"/>
        <v>MVS,AES</v>
      </c>
      <c r="AH140" t="s">
        <v>7387</v>
      </c>
      <c r="AI140" t="s">
        <v>15</v>
      </c>
      <c r="AJ140" t="s">
        <v>92</v>
      </c>
      <c r="AK140" t="s">
        <v>7386</v>
      </c>
      <c r="AL140" t="s">
        <v>7385</v>
      </c>
    </row>
    <row r="141" spans="5:44" x14ac:dyDescent="0.25">
      <c r="I141" t="str">
        <f t="shared" si="13"/>
        <v>alpham2p</v>
      </c>
      <c r="J141" t="str">
        <f t="shared" si="14"/>
        <v/>
      </c>
      <c r="L141" t="str">
        <f t="shared" si="12"/>
        <v/>
      </c>
      <c r="M141" t="str">
        <f t="shared" si="12"/>
        <v/>
      </c>
      <c r="N141" t="str">
        <f t="shared" si="12"/>
        <v>ラストガーディアン</v>
      </c>
      <c r="O141" t="str">
        <f t="shared" si="12"/>
        <v/>
      </c>
      <c r="P141" t="str">
        <f t="shared" si="12"/>
        <v/>
      </c>
      <c r="T141" t="str">
        <f t="shared" si="15"/>
        <v/>
      </c>
      <c r="V141" t="str">
        <f t="shared" si="11"/>
        <v>AES</v>
      </c>
      <c r="W141" t="str">
        <f t="shared" si="11"/>
        <v>MVS,AES</v>
      </c>
      <c r="AB141" t="s">
        <v>6575</v>
      </c>
      <c r="AE141" t="s">
        <v>480</v>
      </c>
      <c r="AH141" t="s">
        <v>7384</v>
      </c>
      <c r="AI141" t="s">
        <v>9</v>
      </c>
      <c r="AJ141" t="s">
        <v>92</v>
      </c>
      <c r="AK141" t="s">
        <v>7383</v>
      </c>
      <c r="AL141" t="s">
        <v>7382</v>
      </c>
    </row>
    <row r="142" spans="5:44" x14ac:dyDescent="0.25">
      <c r="I142" t="str">
        <f t="shared" si="13"/>
        <v>alpham2p</v>
      </c>
      <c r="J142" t="str">
        <f t="shared" si="14"/>
        <v/>
      </c>
      <c r="L142" t="str">
        <f t="shared" si="12"/>
        <v/>
      </c>
      <c r="M142" t="str">
        <f t="shared" si="12"/>
        <v/>
      </c>
      <c r="N142" t="str">
        <f t="shared" si="12"/>
        <v>ラストガーディアン</v>
      </c>
      <c r="O142" t="str">
        <f t="shared" si="12"/>
        <v/>
      </c>
      <c r="P142" t="str">
        <f t="shared" si="12"/>
        <v/>
      </c>
      <c r="T142" t="str">
        <f t="shared" si="15"/>
        <v/>
      </c>
      <c r="V142" t="str">
        <f t="shared" si="11"/>
        <v>AES</v>
      </c>
      <c r="W142" t="str">
        <f t="shared" si="11"/>
        <v>MVS,AES</v>
      </c>
      <c r="AB142" t="s">
        <v>12</v>
      </c>
      <c r="AE142" t="s">
        <v>11</v>
      </c>
      <c r="AG142" t="s">
        <v>4354</v>
      </c>
      <c r="AH142" t="s">
        <v>7381</v>
      </c>
      <c r="AI142" t="s">
        <v>9</v>
      </c>
      <c r="AJ142" t="s">
        <v>92</v>
      </c>
      <c r="AK142" t="s">
        <v>7380</v>
      </c>
      <c r="AL142" t="s">
        <v>7379</v>
      </c>
    </row>
    <row r="143" spans="5:44" x14ac:dyDescent="0.25">
      <c r="I143" t="str">
        <f t="shared" si="13"/>
        <v>alpham2p</v>
      </c>
      <c r="J143" t="str">
        <f t="shared" si="14"/>
        <v/>
      </c>
      <c r="L143" t="str">
        <f t="shared" si="12"/>
        <v/>
      </c>
      <c r="M143" t="str">
        <f t="shared" si="12"/>
        <v/>
      </c>
      <c r="N143" t="str">
        <f t="shared" si="12"/>
        <v>ラストガーディアン</v>
      </c>
      <c r="O143" t="str">
        <f t="shared" si="12"/>
        <v/>
      </c>
      <c r="P143" t="str">
        <f t="shared" si="12"/>
        <v/>
      </c>
      <c r="T143" t="str">
        <f t="shared" si="15"/>
        <v/>
      </c>
      <c r="V143" t="str">
        <f t="shared" si="11"/>
        <v>AES</v>
      </c>
      <c r="W143" t="str">
        <f t="shared" si="11"/>
        <v>MVS,AES</v>
      </c>
      <c r="AG143" t="s">
        <v>4354</v>
      </c>
      <c r="AH143" t="s">
        <v>7378</v>
      </c>
      <c r="AI143" t="s">
        <v>1427</v>
      </c>
      <c r="AJ143" t="s">
        <v>92</v>
      </c>
      <c r="AK143" t="s">
        <v>7377</v>
      </c>
      <c r="AL143" t="s">
        <v>7376</v>
      </c>
    </row>
    <row r="144" spans="5:44" x14ac:dyDescent="0.25">
      <c r="I144" t="str">
        <f t="shared" si="13"/>
        <v>alpham2p</v>
      </c>
      <c r="J144" t="str">
        <f t="shared" si="14"/>
        <v/>
      </c>
      <c r="L144" t="str">
        <f t="shared" si="12"/>
        <v/>
      </c>
      <c r="M144" t="str">
        <f t="shared" si="12"/>
        <v/>
      </c>
      <c r="N144" t="str">
        <f t="shared" si="12"/>
        <v>ラストガーディアン</v>
      </c>
      <c r="O144" t="str">
        <f t="shared" si="12"/>
        <v/>
      </c>
      <c r="P144" t="str">
        <f t="shared" si="12"/>
        <v/>
      </c>
      <c r="T144" t="str">
        <f t="shared" si="15"/>
        <v/>
      </c>
      <c r="V144" t="str">
        <f t="shared" si="11"/>
        <v>AES</v>
      </c>
      <c r="W144" t="str">
        <f t="shared" si="11"/>
        <v>MVS,AES</v>
      </c>
      <c r="AG144" t="s">
        <v>4354</v>
      </c>
      <c r="AH144" t="s">
        <v>7375</v>
      </c>
      <c r="AI144" t="s">
        <v>4</v>
      </c>
      <c r="AJ144" t="s">
        <v>92</v>
      </c>
      <c r="AK144" t="s">
        <v>7374</v>
      </c>
      <c r="AL144" t="s">
        <v>7373</v>
      </c>
    </row>
    <row r="145" spans="5:38" x14ac:dyDescent="0.25">
      <c r="I145" t="str">
        <f t="shared" si="13"/>
        <v>alpham2p</v>
      </c>
      <c r="J145" t="str">
        <f t="shared" si="14"/>
        <v/>
      </c>
      <c r="L145" t="str">
        <f t="shared" si="12"/>
        <v/>
      </c>
      <c r="M145" t="str">
        <f t="shared" si="12"/>
        <v/>
      </c>
      <c r="N145" t="str">
        <f t="shared" si="12"/>
        <v>ラストガーディアン</v>
      </c>
      <c r="O145" t="str">
        <f t="shared" si="12"/>
        <v/>
      </c>
      <c r="P145" t="str">
        <f t="shared" si="12"/>
        <v/>
      </c>
      <c r="T145" t="str">
        <f t="shared" si="15"/>
        <v/>
      </c>
      <c r="V145" t="str">
        <f t="shared" si="11"/>
        <v>AES</v>
      </c>
      <c r="W145" t="str">
        <f t="shared" si="11"/>
        <v>MVS,AES</v>
      </c>
      <c r="AG145" t="s">
        <v>4354</v>
      </c>
      <c r="AH145" t="s">
        <v>7372</v>
      </c>
      <c r="AI145" t="s">
        <v>4382</v>
      </c>
      <c r="AJ145" t="s">
        <v>92</v>
      </c>
      <c r="AK145" t="s">
        <v>7371</v>
      </c>
      <c r="AL145" t="s">
        <v>7370</v>
      </c>
    </row>
    <row r="146" spans="5:38" x14ac:dyDescent="0.25">
      <c r="I146" t="str">
        <f t="shared" si="13"/>
        <v>alpham2p</v>
      </c>
      <c r="J146" t="str">
        <f t="shared" si="14"/>
        <v/>
      </c>
      <c r="L146" t="str">
        <f t="shared" si="12"/>
        <v/>
      </c>
      <c r="M146" t="str">
        <f t="shared" si="12"/>
        <v/>
      </c>
      <c r="N146" t="str">
        <f t="shared" si="12"/>
        <v>ラストガーディアン</v>
      </c>
      <c r="O146" t="str">
        <f t="shared" si="12"/>
        <v/>
      </c>
      <c r="P146" t="str">
        <f t="shared" si="12"/>
        <v/>
      </c>
      <c r="T146" t="str">
        <f t="shared" si="15"/>
        <v/>
      </c>
      <c r="V146" t="str">
        <f t="shared" si="11"/>
        <v>AES</v>
      </c>
      <c r="W146" t="str">
        <f t="shared" si="11"/>
        <v>MVS,AES</v>
      </c>
      <c r="AG146" t="s">
        <v>4354</v>
      </c>
      <c r="AH146" t="s">
        <v>7369</v>
      </c>
      <c r="AI146" t="s">
        <v>3</v>
      </c>
      <c r="AJ146" t="s">
        <v>92</v>
      </c>
      <c r="AK146" t="s">
        <v>7368</v>
      </c>
      <c r="AL146" t="s">
        <v>7367</v>
      </c>
    </row>
    <row r="147" spans="5:38" x14ac:dyDescent="0.25">
      <c r="I147" t="str">
        <f t="shared" si="13"/>
        <v>alpham2p</v>
      </c>
      <c r="J147" t="str">
        <f t="shared" si="14"/>
        <v/>
      </c>
      <c r="L147" t="str">
        <f t="shared" si="12"/>
        <v/>
      </c>
      <c r="M147" t="str">
        <f t="shared" si="12"/>
        <v/>
      </c>
      <c r="N147" t="str">
        <f t="shared" si="12"/>
        <v>ラストガーディアン</v>
      </c>
      <c r="O147" t="str">
        <f t="shared" si="12"/>
        <v/>
      </c>
      <c r="P147" t="str">
        <f t="shared" si="12"/>
        <v/>
      </c>
      <c r="T147" t="str">
        <f t="shared" si="15"/>
        <v/>
      </c>
      <c r="V147" t="str">
        <f t="shared" si="11"/>
        <v>AES</v>
      </c>
      <c r="W147" t="str">
        <f t="shared" si="11"/>
        <v>MVS,AES</v>
      </c>
      <c r="AG147" t="s">
        <v>4354</v>
      </c>
      <c r="AH147" t="s">
        <v>7366</v>
      </c>
      <c r="AI147" t="s">
        <v>4375</v>
      </c>
      <c r="AJ147" t="s">
        <v>92</v>
      </c>
      <c r="AK147" t="s">
        <v>7365</v>
      </c>
      <c r="AL147" t="s">
        <v>7364</v>
      </c>
    </row>
    <row r="148" spans="5:38" x14ac:dyDescent="0.25">
      <c r="I148" t="str">
        <f t="shared" si="13"/>
        <v>alpham2p</v>
      </c>
      <c r="J148" t="str">
        <f t="shared" si="14"/>
        <v/>
      </c>
      <c r="L148" t="str">
        <f t="shared" si="12"/>
        <v/>
      </c>
      <c r="M148" t="str">
        <f t="shared" si="12"/>
        <v/>
      </c>
      <c r="N148" t="str">
        <f t="shared" si="12"/>
        <v>ラストガーディアン</v>
      </c>
      <c r="O148" t="str">
        <f t="shared" si="12"/>
        <v/>
      </c>
      <c r="P148" t="str">
        <f t="shared" si="12"/>
        <v/>
      </c>
      <c r="T148" t="str">
        <f t="shared" si="15"/>
        <v/>
      </c>
      <c r="V148" t="str">
        <f t="shared" si="11"/>
        <v>AES</v>
      </c>
      <c r="W148" t="str">
        <f t="shared" si="11"/>
        <v>MVS,AES</v>
      </c>
      <c r="AG148" t="s">
        <v>4354</v>
      </c>
      <c r="AH148" t="s">
        <v>7363</v>
      </c>
      <c r="AI148" t="s">
        <v>4371</v>
      </c>
      <c r="AJ148" t="s">
        <v>92</v>
      </c>
      <c r="AK148" t="s">
        <v>7362</v>
      </c>
      <c r="AL148" t="s">
        <v>7361</v>
      </c>
    </row>
    <row r="149" spans="5:38" x14ac:dyDescent="0.25">
      <c r="I149" t="str">
        <f t="shared" si="13"/>
        <v>alpham2p</v>
      </c>
      <c r="J149" t="str">
        <f t="shared" si="14"/>
        <v/>
      </c>
      <c r="L149" t="str">
        <f t="shared" si="12"/>
        <v/>
      </c>
      <c r="M149" t="str">
        <f t="shared" si="12"/>
        <v/>
      </c>
      <c r="N149" t="str">
        <f t="shared" si="12"/>
        <v>ラストガーディアン</v>
      </c>
      <c r="O149" t="str">
        <f t="shared" si="12"/>
        <v/>
      </c>
      <c r="P149" t="str">
        <f t="shared" si="12"/>
        <v/>
      </c>
      <c r="T149" t="str">
        <f t="shared" si="15"/>
        <v/>
      </c>
      <c r="V149" t="str">
        <f t="shared" si="11"/>
        <v>AES</v>
      </c>
      <c r="W149" t="str">
        <f t="shared" si="11"/>
        <v>MVS,AES</v>
      </c>
      <c r="AG149" t="s">
        <v>4354</v>
      </c>
      <c r="AH149" t="s">
        <v>7360</v>
      </c>
      <c r="AI149" t="s">
        <v>4367</v>
      </c>
      <c r="AJ149" t="s">
        <v>92</v>
      </c>
      <c r="AK149" t="s">
        <v>7359</v>
      </c>
      <c r="AL149" t="s">
        <v>7358</v>
      </c>
    </row>
    <row r="150" spans="5:38" x14ac:dyDescent="0.25">
      <c r="E150" t="s">
        <v>7345</v>
      </c>
      <c r="F150" t="s">
        <v>7357</v>
      </c>
      <c r="G150" t="s">
        <v>3906</v>
      </c>
      <c r="H150" t="s">
        <v>5638</v>
      </c>
      <c r="I150" t="str">
        <f t="shared" si="13"/>
        <v>ncombat</v>
      </c>
      <c r="J150" t="str">
        <f t="shared" si="14"/>
        <v>ncombatserial</v>
      </c>
      <c r="K150" t="s">
        <v>1373</v>
      </c>
      <c r="L150" t="str">
        <f t="shared" si="12"/>
        <v>NGM-009</v>
      </c>
      <c r="M150" t="str">
        <f t="shared" si="12"/>
        <v>19900724</v>
      </c>
      <c r="N150" t="str">
        <f t="shared" si="12"/>
        <v>ニンジャコンバット</v>
      </c>
      <c r="O150" t="str">
        <f t="shared" si="12"/>
        <v/>
      </c>
      <c r="P150" t="str">
        <f t="shared" si="12"/>
        <v/>
      </c>
      <c r="Q150" t="s">
        <v>7356</v>
      </c>
      <c r="S150" t="s">
        <v>46</v>
      </c>
      <c r="T150" t="str">
        <f t="shared" si="15"/>
        <v>ncombatrelease</v>
      </c>
      <c r="U150" t="s">
        <v>106</v>
      </c>
      <c r="V150" t="str">
        <f t="shared" si="11"/>
        <v>MVS</v>
      </c>
      <c r="W150" t="str">
        <f t="shared" si="11"/>
        <v>MVS,AES</v>
      </c>
      <c r="Y150" t="s">
        <v>45</v>
      </c>
      <c r="Z150" t="s">
        <v>44</v>
      </c>
      <c r="AB150" t="s">
        <v>43</v>
      </c>
      <c r="AC150" t="s">
        <v>42</v>
      </c>
      <c r="AD150" t="s">
        <v>41</v>
      </c>
      <c r="AE150" t="s">
        <v>15</v>
      </c>
      <c r="AG150" t="s">
        <v>40</v>
      </c>
      <c r="AH150" t="s">
        <v>7355</v>
      </c>
      <c r="AI150" t="s">
        <v>9</v>
      </c>
      <c r="AJ150" t="s">
        <v>92</v>
      </c>
      <c r="AK150" t="s">
        <v>7354</v>
      </c>
      <c r="AL150" t="s">
        <v>7353</v>
      </c>
    </row>
    <row r="151" spans="5:38" x14ac:dyDescent="0.25">
      <c r="I151" t="str">
        <f t="shared" si="13"/>
        <v>ncombat</v>
      </c>
      <c r="J151" t="str">
        <f t="shared" si="14"/>
        <v>ncombatrelease</v>
      </c>
      <c r="K151" t="s">
        <v>46</v>
      </c>
      <c r="L151" t="str">
        <f t="shared" si="12"/>
        <v>NGM-009</v>
      </c>
      <c r="M151" t="str">
        <f t="shared" si="12"/>
        <v>19900724</v>
      </c>
      <c r="N151" t="str">
        <f t="shared" si="12"/>
        <v>ニンジャコンバット</v>
      </c>
      <c r="O151" t="str">
        <f t="shared" si="12"/>
        <v/>
      </c>
      <c r="P151" t="str">
        <f t="shared" si="12"/>
        <v/>
      </c>
      <c r="Q151" t="s">
        <v>7352</v>
      </c>
      <c r="T151" t="str">
        <f t="shared" si="15"/>
        <v/>
      </c>
      <c r="V151" t="str">
        <f t="shared" ref="V151:W214" si="16">IFERROR(VLOOKUP($I151&amp;V$1,$T:$AA,2,0),"")</f>
        <v>MVS</v>
      </c>
      <c r="W151" t="str">
        <f t="shared" si="16"/>
        <v>MVS,AES</v>
      </c>
      <c r="AB151" t="s">
        <v>34</v>
      </c>
      <c r="AE151" t="s">
        <v>33</v>
      </c>
      <c r="AH151" t="s">
        <v>7343</v>
      </c>
      <c r="AI151" t="s">
        <v>9</v>
      </c>
      <c r="AJ151" t="s">
        <v>27</v>
      </c>
      <c r="AK151" t="s">
        <v>7342</v>
      </c>
      <c r="AL151" t="s">
        <v>7341</v>
      </c>
    </row>
    <row r="152" spans="5:38" x14ac:dyDescent="0.25">
      <c r="I152" t="str">
        <f t="shared" si="13"/>
        <v>ncombat</v>
      </c>
      <c r="J152" t="str">
        <f t="shared" si="14"/>
        <v>ncombatalt_title</v>
      </c>
      <c r="K152" t="s">
        <v>1218</v>
      </c>
      <c r="L152" t="str">
        <f t="shared" si="12"/>
        <v>NGM-009</v>
      </c>
      <c r="M152" t="str">
        <f t="shared" si="12"/>
        <v>19900724</v>
      </c>
      <c r="N152" t="str">
        <f t="shared" si="12"/>
        <v>ニンジャコンバット</v>
      </c>
      <c r="O152" t="str">
        <f t="shared" si="12"/>
        <v/>
      </c>
      <c r="P152" t="str">
        <f t="shared" si="12"/>
        <v/>
      </c>
      <c r="Q152" t="s">
        <v>7340</v>
      </c>
      <c r="T152" t="str">
        <f t="shared" si="15"/>
        <v/>
      </c>
      <c r="V152" t="str">
        <f t="shared" si="16"/>
        <v>MVS</v>
      </c>
      <c r="W152" t="str">
        <f t="shared" si="16"/>
        <v>MVS,AES</v>
      </c>
      <c r="AB152" t="s">
        <v>29</v>
      </c>
      <c r="AE152" t="s">
        <v>27</v>
      </c>
      <c r="AH152" t="s">
        <v>7339</v>
      </c>
      <c r="AI152" t="s">
        <v>9</v>
      </c>
      <c r="AJ152" t="s">
        <v>27</v>
      </c>
      <c r="AK152" t="s">
        <v>7338</v>
      </c>
      <c r="AL152" t="s">
        <v>7337</v>
      </c>
    </row>
    <row r="153" spans="5:38" x14ac:dyDescent="0.25">
      <c r="I153" t="str">
        <f t="shared" si="13"/>
        <v>ncombat</v>
      </c>
      <c r="J153" t="str">
        <f t="shared" si="14"/>
        <v/>
      </c>
      <c r="L153" t="str">
        <f t="shared" si="12"/>
        <v>NGM-009</v>
      </c>
      <c r="M153" t="str">
        <f t="shared" si="12"/>
        <v>19900724</v>
      </c>
      <c r="N153" t="str">
        <f t="shared" si="12"/>
        <v>ニンジャコンバット</v>
      </c>
      <c r="O153" t="str">
        <f t="shared" si="12"/>
        <v/>
      </c>
      <c r="P153" t="str">
        <f t="shared" si="12"/>
        <v/>
      </c>
      <c r="S153" t="s">
        <v>36</v>
      </c>
      <c r="T153" t="str">
        <f t="shared" si="15"/>
        <v>ncombatcompatibility</v>
      </c>
      <c r="U153" t="s">
        <v>218</v>
      </c>
      <c r="V153" t="str">
        <f t="shared" si="16"/>
        <v>MVS</v>
      </c>
      <c r="W153" t="str">
        <f t="shared" si="16"/>
        <v>MVS,AES</v>
      </c>
      <c r="AB153" t="s">
        <v>24</v>
      </c>
      <c r="AE153" t="s">
        <v>4502</v>
      </c>
      <c r="AH153" t="s">
        <v>7336</v>
      </c>
      <c r="AI153" t="s">
        <v>9</v>
      </c>
      <c r="AJ153" t="s">
        <v>92</v>
      </c>
      <c r="AK153" t="s">
        <v>7335</v>
      </c>
      <c r="AL153" t="s">
        <v>7334</v>
      </c>
    </row>
    <row r="154" spans="5:38" x14ac:dyDescent="0.25">
      <c r="I154" t="str">
        <f t="shared" si="13"/>
        <v>ncombat</v>
      </c>
      <c r="J154" t="str">
        <f t="shared" si="14"/>
        <v/>
      </c>
      <c r="L154" t="str">
        <f t="shared" si="12"/>
        <v>NGM-009</v>
      </c>
      <c r="M154" t="str">
        <f t="shared" si="12"/>
        <v>19900724</v>
      </c>
      <c r="N154" t="str">
        <f t="shared" si="12"/>
        <v>ニンジャコンバット</v>
      </c>
      <c r="O154" t="str">
        <f t="shared" si="12"/>
        <v/>
      </c>
      <c r="P154" t="str">
        <f t="shared" si="12"/>
        <v/>
      </c>
      <c r="T154" t="str">
        <f t="shared" si="15"/>
        <v/>
      </c>
      <c r="V154" t="str">
        <f t="shared" si="16"/>
        <v>MVS</v>
      </c>
      <c r="W154" t="str">
        <f t="shared" si="16"/>
        <v>MVS,AES</v>
      </c>
      <c r="AH154" t="s">
        <v>7333</v>
      </c>
      <c r="AI154" t="s">
        <v>92</v>
      </c>
      <c r="AJ154" t="s">
        <v>92</v>
      </c>
      <c r="AK154" t="s">
        <v>7332</v>
      </c>
      <c r="AL154" t="s">
        <v>7331</v>
      </c>
    </row>
    <row r="155" spans="5:38" x14ac:dyDescent="0.25">
      <c r="I155" t="str">
        <f t="shared" si="13"/>
        <v>ncombat</v>
      </c>
      <c r="J155" t="str">
        <f t="shared" si="14"/>
        <v/>
      </c>
      <c r="L155" t="str">
        <f t="shared" si="12"/>
        <v>NGM-009</v>
      </c>
      <c r="M155" t="str">
        <f t="shared" si="12"/>
        <v>19900724</v>
      </c>
      <c r="N155" t="str">
        <f t="shared" si="12"/>
        <v>ニンジャコンバット</v>
      </c>
      <c r="O155" t="str">
        <f t="shared" si="12"/>
        <v/>
      </c>
      <c r="P155" t="str">
        <f t="shared" si="12"/>
        <v/>
      </c>
      <c r="T155" t="str">
        <f t="shared" si="15"/>
        <v/>
      </c>
      <c r="V155" t="str">
        <f t="shared" si="16"/>
        <v>MVS</v>
      </c>
      <c r="W155" t="str">
        <f t="shared" si="16"/>
        <v>MVS,AES</v>
      </c>
      <c r="AH155" t="s">
        <v>7330</v>
      </c>
      <c r="AI155" t="s">
        <v>15</v>
      </c>
      <c r="AJ155" t="s">
        <v>92</v>
      </c>
      <c r="AK155" t="s">
        <v>7329</v>
      </c>
      <c r="AL155" t="s">
        <v>7328</v>
      </c>
    </row>
    <row r="156" spans="5:38" x14ac:dyDescent="0.25">
      <c r="I156" t="str">
        <f t="shared" si="13"/>
        <v>ncombat</v>
      </c>
      <c r="J156" t="str">
        <f t="shared" si="14"/>
        <v/>
      </c>
      <c r="L156" t="str">
        <f t="shared" si="12"/>
        <v>NGM-009</v>
      </c>
      <c r="M156" t="str">
        <f t="shared" si="12"/>
        <v>19900724</v>
      </c>
      <c r="N156" t="str">
        <f t="shared" si="12"/>
        <v>ニンジャコンバット</v>
      </c>
      <c r="O156" t="str">
        <f t="shared" si="12"/>
        <v/>
      </c>
      <c r="P156" t="str">
        <f t="shared" si="12"/>
        <v/>
      </c>
      <c r="T156" t="str">
        <f t="shared" si="15"/>
        <v/>
      </c>
      <c r="V156" t="str">
        <f t="shared" si="16"/>
        <v>MVS</v>
      </c>
      <c r="W156" t="str">
        <f t="shared" si="16"/>
        <v>MVS,AES</v>
      </c>
      <c r="AB156" t="s">
        <v>6575</v>
      </c>
      <c r="AE156" t="s">
        <v>480</v>
      </c>
      <c r="AH156" t="s">
        <v>7327</v>
      </c>
      <c r="AI156" t="s">
        <v>9</v>
      </c>
      <c r="AJ156" t="s">
        <v>92</v>
      </c>
      <c r="AK156" t="s">
        <v>7326</v>
      </c>
      <c r="AL156" t="s">
        <v>7325</v>
      </c>
    </row>
    <row r="157" spans="5:38" x14ac:dyDescent="0.25">
      <c r="I157" t="str">
        <f t="shared" si="13"/>
        <v>ncombat</v>
      </c>
      <c r="J157" t="str">
        <f t="shared" si="14"/>
        <v/>
      </c>
      <c r="L157" t="str">
        <f t="shared" si="12"/>
        <v>NGM-009</v>
      </c>
      <c r="M157" t="str">
        <f t="shared" si="12"/>
        <v>19900724</v>
      </c>
      <c r="N157" t="str">
        <f t="shared" si="12"/>
        <v>ニンジャコンバット</v>
      </c>
      <c r="O157" t="str">
        <f t="shared" si="12"/>
        <v/>
      </c>
      <c r="P157" t="str">
        <f t="shared" si="12"/>
        <v/>
      </c>
      <c r="T157" t="str">
        <f t="shared" si="15"/>
        <v/>
      </c>
      <c r="V157" t="str">
        <f t="shared" si="16"/>
        <v>MVS</v>
      </c>
      <c r="W157" t="str">
        <f t="shared" si="16"/>
        <v>MVS,AES</v>
      </c>
      <c r="AB157" t="s">
        <v>12</v>
      </c>
      <c r="AE157" t="s">
        <v>377</v>
      </c>
      <c r="AG157" t="s">
        <v>6</v>
      </c>
      <c r="AH157" t="s">
        <v>7324</v>
      </c>
      <c r="AI157" t="s">
        <v>9</v>
      </c>
      <c r="AJ157" t="s">
        <v>92</v>
      </c>
      <c r="AK157" t="s">
        <v>7323</v>
      </c>
      <c r="AL157" t="s">
        <v>7322</v>
      </c>
    </row>
    <row r="158" spans="5:38" x14ac:dyDescent="0.25">
      <c r="I158" t="str">
        <f t="shared" si="13"/>
        <v>ncombat</v>
      </c>
      <c r="J158" t="str">
        <f t="shared" si="14"/>
        <v/>
      </c>
      <c r="L158" t="str">
        <f t="shared" si="12"/>
        <v>NGM-009</v>
      </c>
      <c r="M158" t="str">
        <f t="shared" si="12"/>
        <v>19900724</v>
      </c>
      <c r="N158" t="str">
        <f t="shared" si="12"/>
        <v>ニンジャコンバット</v>
      </c>
      <c r="O158" t="str">
        <f t="shared" si="12"/>
        <v/>
      </c>
      <c r="P158" t="str">
        <f t="shared" si="12"/>
        <v/>
      </c>
      <c r="T158" t="str">
        <f t="shared" si="15"/>
        <v/>
      </c>
      <c r="V158" t="str">
        <f t="shared" si="16"/>
        <v>MVS</v>
      </c>
      <c r="W158" t="str">
        <f t="shared" si="16"/>
        <v>MVS,AES</v>
      </c>
      <c r="AG158" t="s">
        <v>6</v>
      </c>
      <c r="AH158" t="s">
        <v>7321</v>
      </c>
      <c r="AI158" t="s">
        <v>4</v>
      </c>
      <c r="AJ158" t="s">
        <v>92</v>
      </c>
      <c r="AK158" t="s">
        <v>7320</v>
      </c>
      <c r="AL158" t="s">
        <v>7319</v>
      </c>
    </row>
    <row r="159" spans="5:38" x14ac:dyDescent="0.25">
      <c r="I159" t="str">
        <f t="shared" si="13"/>
        <v>ncombat</v>
      </c>
      <c r="J159" t="str">
        <f t="shared" si="14"/>
        <v/>
      </c>
      <c r="L159" t="str">
        <f t="shared" si="12"/>
        <v>NGM-009</v>
      </c>
      <c r="M159" t="str">
        <f t="shared" si="12"/>
        <v>19900724</v>
      </c>
      <c r="N159" t="str">
        <f t="shared" si="12"/>
        <v>ニンジャコンバット</v>
      </c>
      <c r="O159" t="str">
        <f t="shared" si="12"/>
        <v/>
      </c>
      <c r="P159" t="str">
        <f t="shared" si="12"/>
        <v/>
      </c>
      <c r="T159" t="str">
        <f t="shared" si="15"/>
        <v/>
      </c>
      <c r="V159" t="str">
        <f t="shared" si="16"/>
        <v>MVS</v>
      </c>
      <c r="W159" t="str">
        <f t="shared" si="16"/>
        <v>MVS,AES</v>
      </c>
      <c r="AG159" t="s">
        <v>6</v>
      </c>
      <c r="AH159" t="s">
        <v>7318</v>
      </c>
      <c r="AI159" t="s">
        <v>15</v>
      </c>
      <c r="AJ159" t="s">
        <v>92</v>
      </c>
      <c r="AK159" t="s">
        <v>7317</v>
      </c>
      <c r="AL159" t="s">
        <v>7316</v>
      </c>
    </row>
    <row r="160" spans="5:38" x14ac:dyDescent="0.25">
      <c r="I160" t="str">
        <f t="shared" si="13"/>
        <v>ncombat</v>
      </c>
      <c r="J160" t="str">
        <f t="shared" si="14"/>
        <v/>
      </c>
      <c r="L160" t="str">
        <f t="shared" si="12"/>
        <v>NGM-009</v>
      </c>
      <c r="M160" t="str">
        <f t="shared" si="12"/>
        <v>19900724</v>
      </c>
      <c r="N160" t="str">
        <f t="shared" si="12"/>
        <v>ニンジャコンバット</v>
      </c>
      <c r="O160" t="str">
        <f t="shared" si="12"/>
        <v/>
      </c>
      <c r="P160" t="str">
        <f t="shared" si="12"/>
        <v/>
      </c>
      <c r="T160" t="str">
        <f t="shared" si="15"/>
        <v/>
      </c>
      <c r="V160" t="str">
        <f t="shared" si="16"/>
        <v>MVS</v>
      </c>
      <c r="W160" t="str">
        <f t="shared" si="16"/>
        <v>MVS,AES</v>
      </c>
      <c r="AG160" t="s">
        <v>6</v>
      </c>
      <c r="AH160" t="s">
        <v>7315</v>
      </c>
      <c r="AI160" t="s">
        <v>7267</v>
      </c>
      <c r="AJ160" t="s">
        <v>92</v>
      </c>
      <c r="AK160" t="s">
        <v>7314</v>
      </c>
      <c r="AL160" t="s">
        <v>7313</v>
      </c>
    </row>
    <row r="161" spans="5:44" x14ac:dyDescent="0.25">
      <c r="I161" t="str">
        <f t="shared" si="13"/>
        <v>ncombat</v>
      </c>
      <c r="J161" t="str">
        <f t="shared" si="14"/>
        <v/>
      </c>
      <c r="L161" t="str">
        <f t="shared" si="12"/>
        <v>NGM-009</v>
      </c>
      <c r="M161" t="str">
        <f t="shared" si="12"/>
        <v>19900724</v>
      </c>
      <c r="N161" t="str">
        <f t="shared" si="12"/>
        <v>ニンジャコンバット</v>
      </c>
      <c r="O161" t="str">
        <f t="shared" si="12"/>
        <v/>
      </c>
      <c r="P161" t="str">
        <f t="shared" si="12"/>
        <v/>
      </c>
      <c r="T161" t="str">
        <f t="shared" si="15"/>
        <v/>
      </c>
      <c r="V161" t="str">
        <f t="shared" si="16"/>
        <v>MVS</v>
      </c>
      <c r="W161" t="str">
        <f t="shared" si="16"/>
        <v>MVS,AES</v>
      </c>
      <c r="AG161" t="s">
        <v>6</v>
      </c>
      <c r="AH161" t="s">
        <v>7312</v>
      </c>
      <c r="AI161" t="s">
        <v>3</v>
      </c>
      <c r="AJ161" t="s">
        <v>92</v>
      </c>
      <c r="AK161" t="s">
        <v>7311</v>
      </c>
      <c r="AL161" t="s">
        <v>7310</v>
      </c>
    </row>
    <row r="162" spans="5:44" x14ac:dyDescent="0.25">
      <c r="I162" t="str">
        <f t="shared" si="13"/>
        <v>ncombat</v>
      </c>
      <c r="J162" t="str">
        <f t="shared" si="14"/>
        <v/>
      </c>
      <c r="L162" t="str">
        <f t="shared" si="12"/>
        <v>NGM-009</v>
      </c>
      <c r="M162" t="str">
        <f t="shared" si="12"/>
        <v>19900724</v>
      </c>
      <c r="N162" t="str">
        <f t="shared" si="12"/>
        <v>ニンジャコンバット</v>
      </c>
      <c r="O162" t="str">
        <f t="shared" si="12"/>
        <v/>
      </c>
      <c r="P162" t="str">
        <f t="shared" si="12"/>
        <v/>
      </c>
      <c r="T162" t="str">
        <f t="shared" si="15"/>
        <v/>
      </c>
      <c r="V162" t="str">
        <f t="shared" si="16"/>
        <v>MVS</v>
      </c>
      <c r="W162" t="str">
        <f t="shared" si="16"/>
        <v>MVS,AES</v>
      </c>
      <c r="AG162" t="s">
        <v>6</v>
      </c>
      <c r="AH162" t="s">
        <v>7309</v>
      </c>
      <c r="AI162" t="s">
        <v>4371</v>
      </c>
      <c r="AJ162" t="s">
        <v>92</v>
      </c>
      <c r="AK162" t="s">
        <v>7308</v>
      </c>
      <c r="AL162" t="s">
        <v>7307</v>
      </c>
    </row>
    <row r="163" spans="5:44" x14ac:dyDescent="0.25">
      <c r="E163" t="s">
        <v>7351</v>
      </c>
      <c r="F163" t="s">
        <v>7350</v>
      </c>
      <c r="G163" t="s">
        <v>3906</v>
      </c>
      <c r="H163" t="s">
        <v>5638</v>
      </c>
      <c r="I163" t="str">
        <f t="shared" si="13"/>
        <v>ncombath</v>
      </c>
      <c r="J163" t="str">
        <f t="shared" si="14"/>
        <v>ncombathserial</v>
      </c>
      <c r="K163" t="s">
        <v>1373</v>
      </c>
      <c r="L163" t="str">
        <f t="shared" si="12"/>
        <v>NGH-009</v>
      </c>
      <c r="M163" t="str">
        <f t="shared" si="12"/>
        <v>19910701</v>
      </c>
      <c r="N163" t="str">
        <f t="shared" si="12"/>
        <v>ニンジャコンバット</v>
      </c>
      <c r="O163" t="str">
        <f t="shared" si="12"/>
        <v/>
      </c>
      <c r="P163" t="str">
        <f t="shared" si="12"/>
        <v/>
      </c>
      <c r="Q163" t="s">
        <v>7349</v>
      </c>
      <c r="S163" t="s">
        <v>46</v>
      </c>
      <c r="T163" t="str">
        <f t="shared" si="15"/>
        <v>ncombathrelease</v>
      </c>
      <c r="U163" t="s">
        <v>35</v>
      </c>
      <c r="V163" t="str">
        <f t="shared" si="16"/>
        <v>AES</v>
      </c>
      <c r="W163" t="str">
        <f t="shared" si="16"/>
        <v>MVS,AES</v>
      </c>
      <c r="Y163" t="s">
        <v>45</v>
      </c>
      <c r="Z163" t="s">
        <v>44</v>
      </c>
      <c r="AB163" t="s">
        <v>43</v>
      </c>
      <c r="AC163" t="s">
        <v>42</v>
      </c>
      <c r="AD163" t="s">
        <v>41</v>
      </c>
      <c r="AE163" t="s">
        <v>15</v>
      </c>
      <c r="AG163" t="s">
        <v>40</v>
      </c>
      <c r="AH163" t="s">
        <v>7348</v>
      </c>
      <c r="AI163" t="s">
        <v>9</v>
      </c>
      <c r="AJ163" t="s">
        <v>92</v>
      </c>
      <c r="AK163" t="s">
        <v>7347</v>
      </c>
      <c r="AL163" t="s">
        <v>7346</v>
      </c>
      <c r="AR163" t="s">
        <v>7345</v>
      </c>
    </row>
    <row r="164" spans="5:44" x14ac:dyDescent="0.25">
      <c r="I164" t="str">
        <f t="shared" si="13"/>
        <v>ncombath</v>
      </c>
      <c r="J164" t="str">
        <f t="shared" si="14"/>
        <v>ncombathrelease</v>
      </c>
      <c r="K164" t="s">
        <v>46</v>
      </c>
      <c r="L164" t="str">
        <f t="shared" si="12"/>
        <v>NGH-009</v>
      </c>
      <c r="M164" t="str">
        <f t="shared" si="12"/>
        <v>19910701</v>
      </c>
      <c r="N164" t="str">
        <f t="shared" si="12"/>
        <v>ニンジャコンバット</v>
      </c>
      <c r="O164" t="str">
        <f t="shared" si="12"/>
        <v/>
      </c>
      <c r="P164" t="str">
        <f t="shared" si="12"/>
        <v/>
      </c>
      <c r="Q164" t="s">
        <v>7344</v>
      </c>
      <c r="T164" t="str">
        <f t="shared" si="15"/>
        <v/>
      </c>
      <c r="V164" t="str">
        <f t="shared" si="16"/>
        <v>AES</v>
      </c>
      <c r="W164" t="str">
        <f t="shared" si="16"/>
        <v>MVS,AES</v>
      </c>
      <c r="AB164" t="s">
        <v>34</v>
      </c>
      <c r="AE164" t="s">
        <v>33</v>
      </c>
      <c r="AH164" t="s">
        <v>7343</v>
      </c>
      <c r="AI164" t="s">
        <v>9</v>
      </c>
      <c r="AJ164" t="s">
        <v>27</v>
      </c>
      <c r="AK164" t="s">
        <v>7342</v>
      </c>
      <c r="AL164" t="s">
        <v>7341</v>
      </c>
    </row>
    <row r="165" spans="5:44" x14ac:dyDescent="0.25">
      <c r="I165" t="str">
        <f t="shared" si="13"/>
        <v>ncombath</v>
      </c>
      <c r="J165" t="str">
        <f t="shared" si="14"/>
        <v>ncombathalt_title</v>
      </c>
      <c r="K165" t="s">
        <v>1218</v>
      </c>
      <c r="L165" t="str">
        <f t="shared" si="12"/>
        <v>NGH-009</v>
      </c>
      <c r="M165" t="str">
        <f t="shared" si="12"/>
        <v>19910701</v>
      </c>
      <c r="N165" t="str">
        <f t="shared" si="12"/>
        <v>ニンジャコンバット</v>
      </c>
      <c r="O165" t="str">
        <f t="shared" si="12"/>
        <v/>
      </c>
      <c r="P165" t="str">
        <f t="shared" si="12"/>
        <v/>
      </c>
      <c r="Q165" t="s">
        <v>7340</v>
      </c>
      <c r="T165" t="str">
        <f t="shared" si="15"/>
        <v/>
      </c>
      <c r="V165" t="str">
        <f t="shared" si="16"/>
        <v>AES</v>
      </c>
      <c r="W165" t="str">
        <f t="shared" si="16"/>
        <v>MVS,AES</v>
      </c>
      <c r="AB165" t="s">
        <v>29</v>
      </c>
      <c r="AE165" t="s">
        <v>27</v>
      </c>
      <c r="AH165" t="s">
        <v>7339</v>
      </c>
      <c r="AI165" t="s">
        <v>9</v>
      </c>
      <c r="AJ165" t="s">
        <v>27</v>
      </c>
      <c r="AK165" t="s">
        <v>7338</v>
      </c>
      <c r="AL165" t="s">
        <v>7337</v>
      </c>
    </row>
    <row r="166" spans="5:44" x14ac:dyDescent="0.25">
      <c r="I166" t="str">
        <f t="shared" si="13"/>
        <v>ncombath</v>
      </c>
      <c r="J166" t="str">
        <f t="shared" si="14"/>
        <v/>
      </c>
      <c r="L166" t="str">
        <f t="shared" si="12"/>
        <v>NGH-009</v>
      </c>
      <c r="M166" t="str">
        <f t="shared" si="12"/>
        <v>19910701</v>
      </c>
      <c r="N166" t="str">
        <f t="shared" si="12"/>
        <v>ニンジャコンバット</v>
      </c>
      <c r="O166" t="str">
        <f t="shared" si="12"/>
        <v/>
      </c>
      <c r="P166" t="str">
        <f t="shared" si="12"/>
        <v/>
      </c>
      <c r="S166" t="s">
        <v>36</v>
      </c>
      <c r="T166" t="str">
        <f t="shared" si="15"/>
        <v>ncombathcompatibility</v>
      </c>
      <c r="U166" t="s">
        <v>218</v>
      </c>
      <c r="V166" t="str">
        <f t="shared" si="16"/>
        <v>AES</v>
      </c>
      <c r="W166" t="str">
        <f t="shared" si="16"/>
        <v>MVS,AES</v>
      </c>
      <c r="AB166" t="s">
        <v>24</v>
      </c>
      <c r="AE166" t="s">
        <v>4502</v>
      </c>
      <c r="AH166" t="s">
        <v>7336</v>
      </c>
      <c r="AI166" t="s">
        <v>9</v>
      </c>
      <c r="AJ166" t="s">
        <v>92</v>
      </c>
      <c r="AK166" t="s">
        <v>7335</v>
      </c>
      <c r="AL166" t="s">
        <v>7334</v>
      </c>
    </row>
    <row r="167" spans="5:44" x14ac:dyDescent="0.25">
      <c r="I167" t="str">
        <f t="shared" si="13"/>
        <v>ncombath</v>
      </c>
      <c r="J167" t="str">
        <f t="shared" si="14"/>
        <v/>
      </c>
      <c r="L167" t="str">
        <f t="shared" si="12"/>
        <v>NGH-009</v>
      </c>
      <c r="M167" t="str">
        <f t="shared" si="12"/>
        <v>19910701</v>
      </c>
      <c r="N167" t="str">
        <f t="shared" si="12"/>
        <v>ニンジャコンバット</v>
      </c>
      <c r="O167" t="str">
        <f t="shared" si="12"/>
        <v/>
      </c>
      <c r="P167" t="str">
        <f t="shared" si="12"/>
        <v/>
      </c>
      <c r="T167" t="str">
        <f t="shared" si="15"/>
        <v/>
      </c>
      <c r="V167" t="str">
        <f t="shared" si="16"/>
        <v>AES</v>
      </c>
      <c r="W167" t="str">
        <f t="shared" si="16"/>
        <v>MVS,AES</v>
      </c>
      <c r="AH167" t="s">
        <v>7333</v>
      </c>
      <c r="AI167" t="s">
        <v>92</v>
      </c>
      <c r="AJ167" t="s">
        <v>92</v>
      </c>
      <c r="AK167" t="s">
        <v>7332</v>
      </c>
      <c r="AL167" t="s">
        <v>7331</v>
      </c>
    </row>
    <row r="168" spans="5:44" x14ac:dyDescent="0.25">
      <c r="I168" t="str">
        <f t="shared" si="13"/>
        <v>ncombath</v>
      </c>
      <c r="J168" t="str">
        <f t="shared" si="14"/>
        <v/>
      </c>
      <c r="L168" t="str">
        <f t="shared" ref="L168:P218" si="17">IFERROR(VLOOKUP($I168&amp;L$1,$J:$Q,8,0),"")</f>
        <v>NGH-009</v>
      </c>
      <c r="M168" t="str">
        <f t="shared" si="17"/>
        <v>19910701</v>
      </c>
      <c r="N168" t="str">
        <f t="shared" si="17"/>
        <v>ニンジャコンバット</v>
      </c>
      <c r="O168" t="str">
        <f t="shared" si="17"/>
        <v/>
      </c>
      <c r="P168" t="str">
        <f t="shared" si="17"/>
        <v/>
      </c>
      <c r="T168" t="str">
        <f t="shared" si="15"/>
        <v/>
      </c>
      <c r="V168" t="str">
        <f t="shared" si="16"/>
        <v>AES</v>
      </c>
      <c r="W168" t="str">
        <f t="shared" si="16"/>
        <v>MVS,AES</v>
      </c>
      <c r="AH168" t="s">
        <v>7330</v>
      </c>
      <c r="AI168" t="s">
        <v>15</v>
      </c>
      <c r="AJ168" t="s">
        <v>92</v>
      </c>
      <c r="AK168" t="s">
        <v>7329</v>
      </c>
      <c r="AL168" t="s">
        <v>7328</v>
      </c>
    </row>
    <row r="169" spans="5:44" x14ac:dyDescent="0.25">
      <c r="I169" t="str">
        <f t="shared" si="13"/>
        <v>ncombath</v>
      </c>
      <c r="J169" t="str">
        <f t="shared" si="14"/>
        <v/>
      </c>
      <c r="L169" t="str">
        <f t="shared" si="17"/>
        <v>NGH-009</v>
      </c>
      <c r="M169" t="str">
        <f t="shared" si="17"/>
        <v>19910701</v>
      </c>
      <c r="N169" t="str">
        <f t="shared" si="17"/>
        <v>ニンジャコンバット</v>
      </c>
      <c r="O169" t="str">
        <f t="shared" si="17"/>
        <v/>
      </c>
      <c r="P169" t="str">
        <f t="shared" si="17"/>
        <v/>
      </c>
      <c r="T169" t="str">
        <f t="shared" si="15"/>
        <v/>
      </c>
      <c r="V169" t="str">
        <f t="shared" si="16"/>
        <v>AES</v>
      </c>
      <c r="W169" t="str">
        <f t="shared" si="16"/>
        <v>MVS,AES</v>
      </c>
      <c r="AB169" t="s">
        <v>6575</v>
      </c>
      <c r="AE169" t="s">
        <v>480</v>
      </c>
      <c r="AH169" t="s">
        <v>7327</v>
      </c>
      <c r="AI169" t="s">
        <v>9</v>
      </c>
      <c r="AJ169" t="s">
        <v>92</v>
      </c>
      <c r="AK169" t="s">
        <v>7326</v>
      </c>
      <c r="AL169" t="s">
        <v>7325</v>
      </c>
    </row>
    <row r="170" spans="5:44" x14ac:dyDescent="0.25">
      <c r="I170" t="str">
        <f t="shared" si="13"/>
        <v>ncombath</v>
      </c>
      <c r="J170" t="str">
        <f t="shared" si="14"/>
        <v/>
      </c>
      <c r="L170" t="str">
        <f t="shared" si="17"/>
        <v>NGH-009</v>
      </c>
      <c r="M170" t="str">
        <f t="shared" si="17"/>
        <v>19910701</v>
      </c>
      <c r="N170" t="str">
        <f t="shared" si="17"/>
        <v>ニンジャコンバット</v>
      </c>
      <c r="O170" t="str">
        <f t="shared" si="17"/>
        <v/>
      </c>
      <c r="P170" t="str">
        <f t="shared" si="17"/>
        <v/>
      </c>
      <c r="T170" t="str">
        <f t="shared" si="15"/>
        <v/>
      </c>
      <c r="V170" t="str">
        <f t="shared" si="16"/>
        <v>AES</v>
      </c>
      <c r="W170" t="str">
        <f t="shared" si="16"/>
        <v>MVS,AES</v>
      </c>
      <c r="AB170" t="s">
        <v>12</v>
      </c>
      <c r="AE170" t="s">
        <v>377</v>
      </c>
      <c r="AG170" t="s">
        <v>6</v>
      </c>
      <c r="AH170" t="s">
        <v>7324</v>
      </c>
      <c r="AI170" t="s">
        <v>9</v>
      </c>
      <c r="AJ170" t="s">
        <v>92</v>
      </c>
      <c r="AK170" t="s">
        <v>7323</v>
      </c>
      <c r="AL170" t="s">
        <v>7322</v>
      </c>
    </row>
    <row r="171" spans="5:44" x14ac:dyDescent="0.25">
      <c r="I171" t="str">
        <f t="shared" si="13"/>
        <v>ncombath</v>
      </c>
      <c r="J171" t="str">
        <f t="shared" si="14"/>
        <v/>
      </c>
      <c r="L171" t="str">
        <f t="shared" si="17"/>
        <v>NGH-009</v>
      </c>
      <c r="M171" t="str">
        <f t="shared" si="17"/>
        <v>19910701</v>
      </c>
      <c r="N171" t="str">
        <f t="shared" si="17"/>
        <v>ニンジャコンバット</v>
      </c>
      <c r="O171" t="str">
        <f t="shared" si="17"/>
        <v/>
      </c>
      <c r="P171" t="str">
        <f t="shared" si="17"/>
        <v/>
      </c>
      <c r="T171" t="str">
        <f t="shared" si="15"/>
        <v/>
      </c>
      <c r="V171" t="str">
        <f t="shared" si="16"/>
        <v>AES</v>
      </c>
      <c r="W171" t="str">
        <f t="shared" si="16"/>
        <v>MVS,AES</v>
      </c>
      <c r="AG171" t="s">
        <v>6</v>
      </c>
      <c r="AH171" t="s">
        <v>7321</v>
      </c>
      <c r="AI171" t="s">
        <v>4</v>
      </c>
      <c r="AJ171" t="s">
        <v>92</v>
      </c>
      <c r="AK171" t="s">
        <v>7320</v>
      </c>
      <c r="AL171" t="s">
        <v>7319</v>
      </c>
    </row>
    <row r="172" spans="5:44" x14ac:dyDescent="0.25">
      <c r="I172" t="str">
        <f t="shared" si="13"/>
        <v>ncombath</v>
      </c>
      <c r="J172" t="str">
        <f t="shared" si="14"/>
        <v/>
      </c>
      <c r="L172" t="str">
        <f t="shared" si="17"/>
        <v>NGH-009</v>
      </c>
      <c r="M172" t="str">
        <f t="shared" si="17"/>
        <v>19910701</v>
      </c>
      <c r="N172" t="str">
        <f t="shared" si="17"/>
        <v>ニンジャコンバット</v>
      </c>
      <c r="O172" t="str">
        <f t="shared" si="17"/>
        <v/>
      </c>
      <c r="P172" t="str">
        <f t="shared" si="17"/>
        <v/>
      </c>
      <c r="T172" t="str">
        <f t="shared" si="15"/>
        <v/>
      </c>
      <c r="V172" t="str">
        <f t="shared" si="16"/>
        <v>AES</v>
      </c>
      <c r="W172" t="str">
        <f t="shared" si="16"/>
        <v>MVS,AES</v>
      </c>
      <c r="AG172" t="s">
        <v>6</v>
      </c>
      <c r="AH172" t="s">
        <v>7318</v>
      </c>
      <c r="AI172" t="s">
        <v>15</v>
      </c>
      <c r="AJ172" t="s">
        <v>92</v>
      </c>
      <c r="AK172" t="s">
        <v>7317</v>
      </c>
      <c r="AL172" t="s">
        <v>7316</v>
      </c>
    </row>
    <row r="173" spans="5:44" x14ac:dyDescent="0.25">
      <c r="I173" t="str">
        <f t="shared" si="13"/>
        <v>ncombath</v>
      </c>
      <c r="J173" t="str">
        <f t="shared" si="14"/>
        <v/>
      </c>
      <c r="L173" t="str">
        <f t="shared" si="17"/>
        <v>NGH-009</v>
      </c>
      <c r="M173" t="str">
        <f t="shared" si="17"/>
        <v>19910701</v>
      </c>
      <c r="N173" t="str">
        <f t="shared" si="17"/>
        <v>ニンジャコンバット</v>
      </c>
      <c r="O173" t="str">
        <f t="shared" si="17"/>
        <v/>
      </c>
      <c r="P173" t="str">
        <f t="shared" si="17"/>
        <v/>
      </c>
      <c r="T173" t="str">
        <f t="shared" si="15"/>
        <v/>
      </c>
      <c r="V173" t="str">
        <f t="shared" si="16"/>
        <v>AES</v>
      </c>
      <c r="W173" t="str">
        <f t="shared" si="16"/>
        <v>MVS,AES</v>
      </c>
      <c r="AG173" t="s">
        <v>6</v>
      </c>
      <c r="AH173" t="s">
        <v>7315</v>
      </c>
      <c r="AI173" t="s">
        <v>7267</v>
      </c>
      <c r="AJ173" t="s">
        <v>92</v>
      </c>
      <c r="AK173" t="s">
        <v>7314</v>
      </c>
      <c r="AL173" t="s">
        <v>7313</v>
      </c>
    </row>
    <row r="174" spans="5:44" x14ac:dyDescent="0.25">
      <c r="I174" t="str">
        <f t="shared" si="13"/>
        <v>ncombath</v>
      </c>
      <c r="J174" t="str">
        <f t="shared" si="14"/>
        <v/>
      </c>
      <c r="L174" t="str">
        <f t="shared" si="17"/>
        <v>NGH-009</v>
      </c>
      <c r="M174" t="str">
        <f t="shared" si="17"/>
        <v>19910701</v>
      </c>
      <c r="N174" t="str">
        <f t="shared" si="17"/>
        <v>ニンジャコンバット</v>
      </c>
      <c r="O174" t="str">
        <f t="shared" si="17"/>
        <v/>
      </c>
      <c r="P174" t="str">
        <f t="shared" si="17"/>
        <v/>
      </c>
      <c r="T174" t="str">
        <f t="shared" si="15"/>
        <v/>
      </c>
      <c r="V174" t="str">
        <f t="shared" si="16"/>
        <v>AES</v>
      </c>
      <c r="W174" t="str">
        <f t="shared" si="16"/>
        <v>MVS,AES</v>
      </c>
      <c r="AG174" t="s">
        <v>6</v>
      </c>
      <c r="AH174" t="s">
        <v>7312</v>
      </c>
      <c r="AI174" t="s">
        <v>3</v>
      </c>
      <c r="AJ174" t="s">
        <v>92</v>
      </c>
      <c r="AK174" t="s">
        <v>7311</v>
      </c>
      <c r="AL174" t="s">
        <v>7310</v>
      </c>
    </row>
    <row r="175" spans="5:44" x14ac:dyDescent="0.25">
      <c r="I175" t="str">
        <f t="shared" si="13"/>
        <v>ncombath</v>
      </c>
      <c r="J175" t="str">
        <f t="shared" si="14"/>
        <v/>
      </c>
      <c r="L175" t="str">
        <f t="shared" si="17"/>
        <v>NGH-009</v>
      </c>
      <c r="M175" t="str">
        <f t="shared" si="17"/>
        <v>19910701</v>
      </c>
      <c r="N175" t="str">
        <f t="shared" si="17"/>
        <v>ニンジャコンバット</v>
      </c>
      <c r="O175" t="str">
        <f t="shared" si="17"/>
        <v/>
      </c>
      <c r="P175" t="str">
        <f t="shared" si="17"/>
        <v/>
      </c>
      <c r="T175" t="str">
        <f t="shared" si="15"/>
        <v/>
      </c>
      <c r="V175" t="str">
        <f t="shared" si="16"/>
        <v>AES</v>
      </c>
      <c r="W175" t="str">
        <f t="shared" si="16"/>
        <v>MVS,AES</v>
      </c>
      <c r="AG175" t="s">
        <v>6</v>
      </c>
      <c r="AH175" t="s">
        <v>7309</v>
      </c>
      <c r="AI175" t="s">
        <v>4371</v>
      </c>
      <c r="AJ175" t="s">
        <v>92</v>
      </c>
      <c r="AK175" t="s">
        <v>7308</v>
      </c>
      <c r="AL175" t="s">
        <v>7307</v>
      </c>
    </row>
    <row r="176" spans="5:44" x14ac:dyDescent="0.25">
      <c r="E176" t="s">
        <v>7306</v>
      </c>
      <c r="F176" t="s">
        <v>7305</v>
      </c>
      <c r="G176" t="s">
        <v>3906</v>
      </c>
      <c r="H176" t="s">
        <v>1912</v>
      </c>
      <c r="I176" t="str">
        <f t="shared" si="13"/>
        <v>cyberlip</v>
      </c>
      <c r="J176" t="str">
        <f t="shared" si="14"/>
        <v>cyberlipserial</v>
      </c>
      <c r="K176" t="s">
        <v>1373</v>
      </c>
      <c r="L176" t="str">
        <f t="shared" si="17"/>
        <v>NGM-010</v>
      </c>
      <c r="M176" t="str">
        <f t="shared" si="17"/>
        <v>19901107</v>
      </c>
      <c r="N176" t="str">
        <f t="shared" si="17"/>
        <v>サイバーリップ</v>
      </c>
      <c r="O176" t="str">
        <f t="shared" si="17"/>
        <v/>
      </c>
      <c r="P176" t="str">
        <f t="shared" si="17"/>
        <v/>
      </c>
      <c r="Q176" t="s">
        <v>7304</v>
      </c>
      <c r="S176" t="s">
        <v>46</v>
      </c>
      <c r="T176" t="str">
        <f t="shared" si="15"/>
        <v>cyberliprelease</v>
      </c>
      <c r="U176" t="s">
        <v>106</v>
      </c>
      <c r="V176" t="str">
        <f t="shared" si="16"/>
        <v>MVS</v>
      </c>
      <c r="W176" t="str">
        <f t="shared" si="16"/>
        <v>MVS,AES</v>
      </c>
      <c r="Y176" t="s">
        <v>45</v>
      </c>
      <c r="Z176" t="s">
        <v>44</v>
      </c>
      <c r="AB176" t="s">
        <v>43</v>
      </c>
      <c r="AC176" t="s">
        <v>42</v>
      </c>
      <c r="AD176" t="s">
        <v>41</v>
      </c>
      <c r="AE176" t="s">
        <v>15</v>
      </c>
      <c r="AG176" t="s">
        <v>40</v>
      </c>
      <c r="AH176" t="s">
        <v>7303</v>
      </c>
      <c r="AI176" t="s">
        <v>9</v>
      </c>
      <c r="AJ176" t="s">
        <v>92</v>
      </c>
      <c r="AK176" t="s">
        <v>7302</v>
      </c>
      <c r="AL176" t="s">
        <v>7301</v>
      </c>
    </row>
    <row r="177" spans="5:38" x14ac:dyDescent="0.25">
      <c r="I177" t="str">
        <f t="shared" si="13"/>
        <v>cyberlip</v>
      </c>
      <c r="J177" t="str">
        <f t="shared" si="14"/>
        <v>cyberliprelease</v>
      </c>
      <c r="K177" t="s">
        <v>46</v>
      </c>
      <c r="L177" t="str">
        <f t="shared" si="17"/>
        <v>NGM-010</v>
      </c>
      <c r="M177" t="str">
        <f t="shared" si="17"/>
        <v>19901107</v>
      </c>
      <c r="N177" t="str">
        <f t="shared" si="17"/>
        <v>サイバーリップ</v>
      </c>
      <c r="O177" t="str">
        <f t="shared" si="17"/>
        <v/>
      </c>
      <c r="P177" t="str">
        <f t="shared" si="17"/>
        <v/>
      </c>
      <c r="Q177" t="s">
        <v>7300</v>
      </c>
      <c r="T177" t="str">
        <f t="shared" si="15"/>
        <v/>
      </c>
      <c r="V177" t="str">
        <f t="shared" si="16"/>
        <v>MVS</v>
      </c>
      <c r="W177" t="str">
        <f t="shared" si="16"/>
        <v>MVS,AES</v>
      </c>
      <c r="AB177" t="s">
        <v>34</v>
      </c>
      <c r="AE177" t="s">
        <v>33</v>
      </c>
      <c r="AH177" t="s">
        <v>7299</v>
      </c>
      <c r="AI177" t="s">
        <v>9</v>
      </c>
      <c r="AJ177" t="s">
        <v>27</v>
      </c>
      <c r="AK177" t="s">
        <v>7298</v>
      </c>
      <c r="AL177" t="s">
        <v>7297</v>
      </c>
    </row>
    <row r="178" spans="5:38" x14ac:dyDescent="0.25">
      <c r="I178" t="str">
        <f t="shared" si="13"/>
        <v>cyberlip</v>
      </c>
      <c r="J178" t="str">
        <f t="shared" si="14"/>
        <v>cyberlipalt_title</v>
      </c>
      <c r="K178" t="s">
        <v>1218</v>
      </c>
      <c r="L178" t="str">
        <f t="shared" si="17"/>
        <v>NGM-010</v>
      </c>
      <c r="M178" t="str">
        <f t="shared" si="17"/>
        <v>19901107</v>
      </c>
      <c r="N178" t="str">
        <f t="shared" si="17"/>
        <v>サイバーリップ</v>
      </c>
      <c r="O178" t="str">
        <f t="shared" si="17"/>
        <v/>
      </c>
      <c r="P178" t="str">
        <f t="shared" si="17"/>
        <v/>
      </c>
      <c r="Q178" t="s">
        <v>7296</v>
      </c>
      <c r="T178" t="str">
        <f t="shared" si="15"/>
        <v/>
      </c>
      <c r="V178" t="str">
        <f t="shared" si="16"/>
        <v>MVS</v>
      </c>
      <c r="W178" t="str">
        <f t="shared" si="16"/>
        <v>MVS,AES</v>
      </c>
      <c r="AB178" t="s">
        <v>29</v>
      </c>
      <c r="AE178" t="s">
        <v>27</v>
      </c>
      <c r="AH178" t="s">
        <v>7295</v>
      </c>
      <c r="AI178" t="s">
        <v>9</v>
      </c>
      <c r="AJ178" t="s">
        <v>27</v>
      </c>
      <c r="AK178" t="s">
        <v>7294</v>
      </c>
      <c r="AL178" t="s">
        <v>7293</v>
      </c>
    </row>
    <row r="179" spans="5:38" x14ac:dyDescent="0.25">
      <c r="I179" t="str">
        <f t="shared" si="13"/>
        <v>cyberlip</v>
      </c>
      <c r="J179" t="str">
        <f t="shared" si="14"/>
        <v/>
      </c>
      <c r="L179" t="str">
        <f t="shared" si="17"/>
        <v>NGM-010</v>
      </c>
      <c r="M179" t="str">
        <f t="shared" si="17"/>
        <v>19901107</v>
      </c>
      <c r="N179" t="str">
        <f t="shared" si="17"/>
        <v>サイバーリップ</v>
      </c>
      <c r="O179" t="str">
        <f t="shared" si="17"/>
        <v/>
      </c>
      <c r="P179" t="str">
        <f t="shared" si="17"/>
        <v/>
      </c>
      <c r="S179" t="s">
        <v>36</v>
      </c>
      <c r="T179" t="str">
        <f t="shared" si="15"/>
        <v>cyberlipcompatibility</v>
      </c>
      <c r="U179" t="s">
        <v>218</v>
      </c>
      <c r="V179" t="str">
        <f t="shared" si="16"/>
        <v>MVS</v>
      </c>
      <c r="W179" t="str">
        <f t="shared" si="16"/>
        <v>MVS,AES</v>
      </c>
      <c r="AB179" t="s">
        <v>24</v>
      </c>
      <c r="AE179" t="s">
        <v>3</v>
      </c>
      <c r="AH179" t="s">
        <v>7292</v>
      </c>
      <c r="AI179" t="s">
        <v>9</v>
      </c>
      <c r="AJ179" t="s">
        <v>92</v>
      </c>
      <c r="AK179" t="s">
        <v>7291</v>
      </c>
      <c r="AL179" t="s">
        <v>7290</v>
      </c>
    </row>
    <row r="180" spans="5:38" x14ac:dyDescent="0.25">
      <c r="I180" t="str">
        <f t="shared" si="13"/>
        <v>cyberlip</v>
      </c>
      <c r="J180" t="str">
        <f t="shared" si="14"/>
        <v/>
      </c>
      <c r="L180" t="str">
        <f t="shared" si="17"/>
        <v>NGM-010</v>
      </c>
      <c r="M180" t="str">
        <f t="shared" si="17"/>
        <v>19901107</v>
      </c>
      <c r="N180" t="str">
        <f t="shared" si="17"/>
        <v>サイバーリップ</v>
      </c>
      <c r="O180" t="str">
        <f t="shared" si="17"/>
        <v/>
      </c>
      <c r="P180" t="str">
        <f t="shared" si="17"/>
        <v/>
      </c>
      <c r="T180" t="str">
        <f t="shared" si="15"/>
        <v/>
      </c>
      <c r="V180" t="str">
        <f t="shared" si="16"/>
        <v>MVS</v>
      </c>
      <c r="W180" t="str">
        <f t="shared" si="16"/>
        <v>MVS,AES</v>
      </c>
      <c r="AH180" t="s">
        <v>7289</v>
      </c>
      <c r="AI180" t="s">
        <v>92</v>
      </c>
      <c r="AJ180" t="s">
        <v>92</v>
      </c>
      <c r="AK180" t="s">
        <v>7288</v>
      </c>
      <c r="AL180" t="s">
        <v>7287</v>
      </c>
    </row>
    <row r="181" spans="5:38" x14ac:dyDescent="0.25">
      <c r="I181" t="str">
        <f t="shared" si="13"/>
        <v>cyberlip</v>
      </c>
      <c r="J181" t="str">
        <f t="shared" si="14"/>
        <v/>
      </c>
      <c r="L181" t="str">
        <f t="shared" si="17"/>
        <v>NGM-010</v>
      </c>
      <c r="M181" t="str">
        <f t="shared" si="17"/>
        <v>19901107</v>
      </c>
      <c r="N181" t="str">
        <f t="shared" si="17"/>
        <v>サイバーリップ</v>
      </c>
      <c r="O181" t="str">
        <f t="shared" si="17"/>
        <v/>
      </c>
      <c r="P181" t="str">
        <f t="shared" si="17"/>
        <v/>
      </c>
      <c r="T181" t="str">
        <f t="shared" si="15"/>
        <v/>
      </c>
      <c r="V181" t="str">
        <f t="shared" si="16"/>
        <v>MVS</v>
      </c>
      <c r="W181" t="str">
        <f t="shared" si="16"/>
        <v>MVS,AES</v>
      </c>
      <c r="AH181" t="s">
        <v>7286</v>
      </c>
      <c r="AI181" t="s">
        <v>15</v>
      </c>
      <c r="AJ181" t="s">
        <v>92</v>
      </c>
      <c r="AK181" t="s">
        <v>7285</v>
      </c>
      <c r="AL181" t="s">
        <v>7284</v>
      </c>
    </row>
    <row r="182" spans="5:38" x14ac:dyDescent="0.25">
      <c r="I182" t="str">
        <f t="shared" si="13"/>
        <v>cyberlip</v>
      </c>
      <c r="J182" t="str">
        <f t="shared" si="14"/>
        <v/>
      </c>
      <c r="L182" t="str">
        <f t="shared" si="17"/>
        <v>NGM-010</v>
      </c>
      <c r="M182" t="str">
        <f t="shared" si="17"/>
        <v>19901107</v>
      </c>
      <c r="N182" t="str">
        <f t="shared" si="17"/>
        <v>サイバーリップ</v>
      </c>
      <c r="O182" t="str">
        <f t="shared" si="17"/>
        <v/>
      </c>
      <c r="P182" t="str">
        <f t="shared" si="17"/>
        <v/>
      </c>
      <c r="T182" t="str">
        <f t="shared" si="15"/>
        <v/>
      </c>
      <c r="V182" t="str">
        <f t="shared" si="16"/>
        <v>MVS</v>
      </c>
      <c r="W182" t="str">
        <f t="shared" si="16"/>
        <v>MVS,AES</v>
      </c>
      <c r="AH182" t="s">
        <v>7283</v>
      </c>
      <c r="AI182" t="s">
        <v>4502</v>
      </c>
      <c r="AJ182" t="s">
        <v>92</v>
      </c>
      <c r="AK182" t="s">
        <v>7282</v>
      </c>
      <c r="AL182" t="s">
        <v>7281</v>
      </c>
    </row>
    <row r="183" spans="5:38" x14ac:dyDescent="0.25">
      <c r="I183" t="str">
        <f t="shared" si="13"/>
        <v>cyberlip</v>
      </c>
      <c r="J183" t="str">
        <f t="shared" si="14"/>
        <v/>
      </c>
      <c r="L183" t="str">
        <f t="shared" si="17"/>
        <v>NGM-010</v>
      </c>
      <c r="M183" t="str">
        <f t="shared" si="17"/>
        <v>19901107</v>
      </c>
      <c r="N183" t="str">
        <f t="shared" si="17"/>
        <v>サイバーリップ</v>
      </c>
      <c r="O183" t="str">
        <f t="shared" si="17"/>
        <v/>
      </c>
      <c r="P183" t="str">
        <f t="shared" si="17"/>
        <v/>
      </c>
      <c r="T183" t="str">
        <f t="shared" si="15"/>
        <v/>
      </c>
      <c r="V183" t="str">
        <f t="shared" si="16"/>
        <v>MVS</v>
      </c>
      <c r="W183" t="str">
        <f t="shared" si="16"/>
        <v>MVS,AES</v>
      </c>
      <c r="AB183" t="s">
        <v>6575</v>
      </c>
      <c r="AE183" t="s">
        <v>480</v>
      </c>
      <c r="AH183" t="s">
        <v>7280</v>
      </c>
      <c r="AI183" t="s">
        <v>9</v>
      </c>
      <c r="AJ183" t="s">
        <v>92</v>
      </c>
      <c r="AK183" t="s">
        <v>7279</v>
      </c>
      <c r="AL183" t="s">
        <v>7278</v>
      </c>
    </row>
    <row r="184" spans="5:38" x14ac:dyDescent="0.25">
      <c r="I184" t="str">
        <f t="shared" si="13"/>
        <v>cyberlip</v>
      </c>
      <c r="J184" t="str">
        <f t="shared" si="14"/>
        <v/>
      </c>
      <c r="L184" t="str">
        <f t="shared" si="17"/>
        <v>NGM-010</v>
      </c>
      <c r="M184" t="str">
        <f t="shared" si="17"/>
        <v>19901107</v>
      </c>
      <c r="N184" t="str">
        <f t="shared" si="17"/>
        <v>サイバーリップ</v>
      </c>
      <c r="O184" t="str">
        <f t="shared" si="17"/>
        <v/>
      </c>
      <c r="P184" t="str">
        <f t="shared" si="17"/>
        <v/>
      </c>
      <c r="T184" t="str">
        <f t="shared" si="15"/>
        <v/>
      </c>
      <c r="V184" t="str">
        <f t="shared" si="16"/>
        <v>MVS</v>
      </c>
      <c r="W184" t="str">
        <f t="shared" si="16"/>
        <v>MVS,AES</v>
      </c>
      <c r="AB184" t="s">
        <v>12</v>
      </c>
      <c r="AE184" t="s">
        <v>377</v>
      </c>
      <c r="AG184" t="s">
        <v>6</v>
      </c>
      <c r="AH184" t="s">
        <v>7277</v>
      </c>
      <c r="AI184" t="s">
        <v>9</v>
      </c>
      <c r="AJ184" t="s">
        <v>92</v>
      </c>
      <c r="AK184" t="s">
        <v>7276</v>
      </c>
      <c r="AL184" t="s">
        <v>7275</v>
      </c>
    </row>
    <row r="185" spans="5:38" x14ac:dyDescent="0.25">
      <c r="I185" t="str">
        <f t="shared" si="13"/>
        <v>cyberlip</v>
      </c>
      <c r="J185" t="str">
        <f t="shared" si="14"/>
        <v/>
      </c>
      <c r="L185" t="str">
        <f t="shared" si="17"/>
        <v>NGM-010</v>
      </c>
      <c r="M185" t="str">
        <f t="shared" si="17"/>
        <v>19901107</v>
      </c>
      <c r="N185" t="str">
        <f t="shared" si="17"/>
        <v>サイバーリップ</v>
      </c>
      <c r="O185" t="str">
        <f t="shared" si="17"/>
        <v/>
      </c>
      <c r="P185" t="str">
        <f t="shared" si="17"/>
        <v/>
      </c>
      <c r="T185" t="str">
        <f t="shared" si="15"/>
        <v/>
      </c>
      <c r="V185" t="str">
        <f t="shared" si="16"/>
        <v>MVS</v>
      </c>
      <c r="W185" t="str">
        <f t="shared" si="16"/>
        <v>MVS,AES</v>
      </c>
      <c r="AG185" t="s">
        <v>6</v>
      </c>
      <c r="AH185" t="s">
        <v>7274</v>
      </c>
      <c r="AI185" t="s">
        <v>4</v>
      </c>
      <c r="AJ185" t="s">
        <v>92</v>
      </c>
      <c r="AK185" t="s">
        <v>7273</v>
      </c>
      <c r="AL185" t="s">
        <v>7272</v>
      </c>
    </row>
    <row r="186" spans="5:38" x14ac:dyDescent="0.25">
      <c r="I186" t="str">
        <f t="shared" si="13"/>
        <v>cyberlip</v>
      </c>
      <c r="J186" t="str">
        <f t="shared" si="14"/>
        <v/>
      </c>
      <c r="L186" t="str">
        <f t="shared" si="17"/>
        <v>NGM-010</v>
      </c>
      <c r="M186" t="str">
        <f t="shared" si="17"/>
        <v>19901107</v>
      </c>
      <c r="N186" t="str">
        <f t="shared" si="17"/>
        <v>サイバーリップ</v>
      </c>
      <c r="O186" t="str">
        <f t="shared" si="17"/>
        <v/>
      </c>
      <c r="P186" t="str">
        <f t="shared" si="17"/>
        <v/>
      </c>
      <c r="T186" t="str">
        <f t="shared" si="15"/>
        <v/>
      </c>
      <c r="V186" t="str">
        <f t="shared" si="16"/>
        <v>MVS</v>
      </c>
      <c r="W186" t="str">
        <f t="shared" si="16"/>
        <v>MVS,AES</v>
      </c>
      <c r="AG186" t="s">
        <v>6</v>
      </c>
      <c r="AH186" t="s">
        <v>7271</v>
      </c>
      <c r="AI186" t="s">
        <v>15</v>
      </c>
      <c r="AJ186" t="s">
        <v>92</v>
      </c>
      <c r="AK186" t="s">
        <v>7270</v>
      </c>
      <c r="AL186" t="s">
        <v>7269</v>
      </c>
    </row>
    <row r="187" spans="5:38" x14ac:dyDescent="0.25">
      <c r="I187" t="str">
        <f t="shared" si="13"/>
        <v>cyberlip</v>
      </c>
      <c r="J187" t="str">
        <f t="shared" si="14"/>
        <v/>
      </c>
      <c r="L187" t="str">
        <f t="shared" si="17"/>
        <v>NGM-010</v>
      </c>
      <c r="M187" t="str">
        <f t="shared" si="17"/>
        <v>19901107</v>
      </c>
      <c r="N187" t="str">
        <f t="shared" si="17"/>
        <v>サイバーリップ</v>
      </c>
      <c r="O187" t="str">
        <f t="shared" si="17"/>
        <v/>
      </c>
      <c r="P187" t="str">
        <f t="shared" si="17"/>
        <v/>
      </c>
      <c r="T187" t="str">
        <f t="shared" si="15"/>
        <v/>
      </c>
      <c r="V187" t="str">
        <f t="shared" si="16"/>
        <v>MVS</v>
      </c>
      <c r="W187" t="str">
        <f t="shared" si="16"/>
        <v>MVS,AES</v>
      </c>
      <c r="AG187" t="s">
        <v>6</v>
      </c>
      <c r="AH187" t="s">
        <v>7268</v>
      </c>
      <c r="AI187" t="s">
        <v>7267</v>
      </c>
      <c r="AJ187" t="s">
        <v>92</v>
      </c>
      <c r="AK187" t="s">
        <v>7266</v>
      </c>
      <c r="AL187" t="s">
        <v>7265</v>
      </c>
    </row>
    <row r="188" spans="5:38" x14ac:dyDescent="0.25">
      <c r="I188" t="str">
        <f t="shared" si="13"/>
        <v>cyberlip</v>
      </c>
      <c r="J188" t="str">
        <f t="shared" si="14"/>
        <v/>
      </c>
      <c r="L188" t="str">
        <f t="shared" si="17"/>
        <v>NGM-010</v>
      </c>
      <c r="M188" t="str">
        <f t="shared" si="17"/>
        <v>19901107</v>
      </c>
      <c r="N188" t="str">
        <f t="shared" si="17"/>
        <v>サイバーリップ</v>
      </c>
      <c r="O188" t="str">
        <f t="shared" si="17"/>
        <v/>
      </c>
      <c r="P188" t="str">
        <f t="shared" si="17"/>
        <v/>
      </c>
      <c r="T188" t="str">
        <f t="shared" si="15"/>
        <v/>
      </c>
      <c r="V188" t="str">
        <f t="shared" si="16"/>
        <v>MVS</v>
      </c>
      <c r="W188" t="str">
        <f t="shared" si="16"/>
        <v>MVS,AES</v>
      </c>
      <c r="AG188" t="s">
        <v>6</v>
      </c>
      <c r="AH188" t="s">
        <v>7264</v>
      </c>
      <c r="AI188" t="s">
        <v>3</v>
      </c>
      <c r="AJ188" t="s">
        <v>92</v>
      </c>
      <c r="AK188" t="s">
        <v>7263</v>
      </c>
      <c r="AL188" t="s">
        <v>7262</v>
      </c>
    </row>
    <row r="189" spans="5:38" x14ac:dyDescent="0.25">
      <c r="I189" t="str">
        <f t="shared" si="13"/>
        <v>cyberlip</v>
      </c>
      <c r="J189" t="str">
        <f t="shared" si="14"/>
        <v/>
      </c>
      <c r="L189" t="str">
        <f t="shared" si="17"/>
        <v>NGM-010</v>
      </c>
      <c r="M189" t="str">
        <f t="shared" si="17"/>
        <v>19901107</v>
      </c>
      <c r="N189" t="str">
        <f t="shared" si="17"/>
        <v>サイバーリップ</v>
      </c>
      <c r="O189" t="str">
        <f t="shared" si="17"/>
        <v/>
      </c>
      <c r="P189" t="str">
        <f t="shared" si="17"/>
        <v/>
      </c>
      <c r="T189" t="str">
        <f t="shared" si="15"/>
        <v/>
      </c>
      <c r="V189" t="str">
        <f t="shared" si="16"/>
        <v>MVS</v>
      </c>
      <c r="W189" t="str">
        <f t="shared" si="16"/>
        <v>MVS,AES</v>
      </c>
      <c r="AG189" t="s">
        <v>6</v>
      </c>
      <c r="AH189" t="s">
        <v>7261</v>
      </c>
      <c r="AI189" t="s">
        <v>4371</v>
      </c>
      <c r="AJ189" t="s">
        <v>92</v>
      </c>
      <c r="AK189" t="s">
        <v>7260</v>
      </c>
      <c r="AL189" t="s">
        <v>7259</v>
      </c>
    </row>
    <row r="190" spans="5:38" x14ac:dyDescent="0.25">
      <c r="E190" t="s">
        <v>7258</v>
      </c>
      <c r="F190" t="s">
        <v>7257</v>
      </c>
      <c r="G190" t="s">
        <v>3906</v>
      </c>
      <c r="H190" t="s">
        <v>1912</v>
      </c>
      <c r="I190" t="str">
        <f t="shared" si="13"/>
        <v>superspy</v>
      </c>
      <c r="J190" t="str">
        <f t="shared" si="14"/>
        <v>superspyserial</v>
      </c>
      <c r="K190" t="s">
        <v>1373</v>
      </c>
      <c r="L190" t="str">
        <f t="shared" si="17"/>
        <v>NGM-011 (MVS), NGH-011 (AES)</v>
      </c>
      <c r="M190" t="str">
        <f t="shared" si="17"/>
        <v>19901008 (MVS), 19910701 (AES)</v>
      </c>
      <c r="N190" t="str">
        <f t="shared" si="17"/>
        <v>ザ・スーパースパイ</v>
      </c>
      <c r="O190" t="str">
        <f t="shared" si="17"/>
        <v/>
      </c>
      <c r="P190" t="str">
        <f t="shared" si="17"/>
        <v/>
      </c>
      <c r="Q190" t="s">
        <v>7256</v>
      </c>
      <c r="S190" t="s">
        <v>46</v>
      </c>
      <c r="T190" t="str">
        <f t="shared" si="15"/>
        <v>superspyrelease</v>
      </c>
      <c r="U190" t="s">
        <v>218</v>
      </c>
      <c r="V190" t="str">
        <f t="shared" si="16"/>
        <v>MVS,AES</v>
      </c>
      <c r="W190" t="str">
        <f t="shared" si="16"/>
        <v>MVS,AES</v>
      </c>
      <c r="Y190" t="s">
        <v>45</v>
      </c>
      <c r="Z190" t="s">
        <v>44</v>
      </c>
      <c r="AB190" t="s">
        <v>43</v>
      </c>
      <c r="AC190" t="s">
        <v>42</v>
      </c>
      <c r="AD190" t="s">
        <v>41</v>
      </c>
      <c r="AE190" t="s">
        <v>15</v>
      </c>
      <c r="AG190" t="s">
        <v>40</v>
      </c>
      <c r="AH190" t="s">
        <v>7255</v>
      </c>
      <c r="AI190" t="s">
        <v>9</v>
      </c>
      <c r="AJ190" t="s">
        <v>92</v>
      </c>
      <c r="AK190" t="s">
        <v>7254</v>
      </c>
      <c r="AL190" t="s">
        <v>7253</v>
      </c>
    </row>
    <row r="191" spans="5:38" x14ac:dyDescent="0.25">
      <c r="I191" t="str">
        <f t="shared" si="13"/>
        <v>superspy</v>
      </c>
      <c r="J191" t="str">
        <f t="shared" si="14"/>
        <v>superspyrelease</v>
      </c>
      <c r="K191" t="s">
        <v>46</v>
      </c>
      <c r="L191" t="str">
        <f t="shared" si="17"/>
        <v>NGM-011 (MVS), NGH-011 (AES)</v>
      </c>
      <c r="M191" t="str">
        <f t="shared" si="17"/>
        <v>19901008 (MVS), 19910701 (AES)</v>
      </c>
      <c r="N191" t="str">
        <f t="shared" si="17"/>
        <v>ザ・スーパースパイ</v>
      </c>
      <c r="O191" t="str">
        <f t="shared" si="17"/>
        <v/>
      </c>
      <c r="P191" t="str">
        <f t="shared" si="17"/>
        <v/>
      </c>
      <c r="Q191" t="s">
        <v>7252</v>
      </c>
      <c r="T191" t="str">
        <f t="shared" si="15"/>
        <v/>
      </c>
      <c r="V191" t="str">
        <f t="shared" si="16"/>
        <v>MVS,AES</v>
      </c>
      <c r="W191" t="str">
        <f t="shared" si="16"/>
        <v>MVS,AES</v>
      </c>
      <c r="AG191" t="s">
        <v>40</v>
      </c>
      <c r="AH191" t="s">
        <v>7251</v>
      </c>
      <c r="AI191" t="s">
        <v>92</v>
      </c>
      <c r="AJ191" t="s">
        <v>27</v>
      </c>
      <c r="AK191" t="s">
        <v>7250</v>
      </c>
      <c r="AL191" t="s">
        <v>7249</v>
      </c>
    </row>
    <row r="192" spans="5:38" x14ac:dyDescent="0.25">
      <c r="I192" t="str">
        <f t="shared" si="13"/>
        <v>superspy</v>
      </c>
      <c r="J192" t="str">
        <f t="shared" si="14"/>
        <v>superspyalt_title</v>
      </c>
      <c r="K192" t="s">
        <v>1218</v>
      </c>
      <c r="L192" t="str">
        <f t="shared" si="17"/>
        <v>NGM-011 (MVS), NGH-011 (AES)</v>
      </c>
      <c r="M192" t="str">
        <f t="shared" si="17"/>
        <v>19901008 (MVS), 19910701 (AES)</v>
      </c>
      <c r="N192" t="str">
        <f t="shared" si="17"/>
        <v>ザ・スーパースパイ</v>
      </c>
      <c r="O192" t="str">
        <f t="shared" si="17"/>
        <v/>
      </c>
      <c r="P192" t="str">
        <f t="shared" si="17"/>
        <v/>
      </c>
      <c r="Q192" t="s">
        <v>7248</v>
      </c>
      <c r="T192" t="str">
        <f t="shared" si="15"/>
        <v/>
      </c>
      <c r="V192" t="str">
        <f t="shared" si="16"/>
        <v>MVS,AES</v>
      </c>
      <c r="W192" t="str">
        <f t="shared" si="16"/>
        <v>MVS,AES</v>
      </c>
      <c r="AB192" t="s">
        <v>34</v>
      </c>
      <c r="AE192" t="s">
        <v>33</v>
      </c>
      <c r="AH192" t="s">
        <v>7247</v>
      </c>
      <c r="AI192" t="s">
        <v>9</v>
      </c>
      <c r="AJ192" t="s">
        <v>27</v>
      </c>
      <c r="AK192" t="s">
        <v>7246</v>
      </c>
      <c r="AL192" t="s">
        <v>7245</v>
      </c>
    </row>
    <row r="193" spans="5:38" x14ac:dyDescent="0.25">
      <c r="I193" t="str">
        <f t="shared" si="13"/>
        <v>superspy</v>
      </c>
      <c r="J193" t="str">
        <f t="shared" si="14"/>
        <v/>
      </c>
      <c r="L193" t="str">
        <f t="shared" si="17"/>
        <v>NGM-011 (MVS), NGH-011 (AES)</v>
      </c>
      <c r="M193" t="str">
        <f t="shared" si="17"/>
        <v>19901008 (MVS), 19910701 (AES)</v>
      </c>
      <c r="N193" t="str">
        <f t="shared" si="17"/>
        <v>ザ・スーパースパイ</v>
      </c>
      <c r="O193" t="str">
        <f t="shared" si="17"/>
        <v/>
      </c>
      <c r="P193" t="str">
        <f t="shared" si="17"/>
        <v/>
      </c>
      <c r="S193" t="s">
        <v>36</v>
      </c>
      <c r="T193" t="str">
        <f t="shared" si="15"/>
        <v>superspycompatibility</v>
      </c>
      <c r="U193" t="s">
        <v>218</v>
      </c>
      <c r="V193" t="str">
        <f t="shared" si="16"/>
        <v>MVS,AES</v>
      </c>
      <c r="W193" t="str">
        <f t="shared" si="16"/>
        <v>MVS,AES</v>
      </c>
      <c r="AB193" t="s">
        <v>29</v>
      </c>
      <c r="AE193" t="s">
        <v>33</v>
      </c>
      <c r="AH193" t="s">
        <v>7244</v>
      </c>
      <c r="AI193" t="s">
        <v>9</v>
      </c>
      <c r="AJ193" t="s">
        <v>33</v>
      </c>
      <c r="AK193" t="s">
        <v>7243</v>
      </c>
      <c r="AL193" t="s">
        <v>7242</v>
      </c>
    </row>
    <row r="194" spans="5:38" x14ac:dyDescent="0.25">
      <c r="I194" t="str">
        <f t="shared" si="13"/>
        <v>superspy</v>
      </c>
      <c r="J194" t="str">
        <f t="shared" si="14"/>
        <v/>
      </c>
      <c r="L194" t="str">
        <f t="shared" si="17"/>
        <v>NGM-011 (MVS), NGH-011 (AES)</v>
      </c>
      <c r="M194" t="str">
        <f t="shared" si="17"/>
        <v>19901008 (MVS), 19910701 (AES)</v>
      </c>
      <c r="N194" t="str">
        <f t="shared" si="17"/>
        <v>ザ・スーパースパイ</v>
      </c>
      <c r="O194" t="str">
        <f t="shared" si="17"/>
        <v/>
      </c>
      <c r="P194" t="str">
        <f t="shared" si="17"/>
        <v/>
      </c>
      <c r="T194" t="str">
        <f t="shared" si="15"/>
        <v/>
      </c>
      <c r="V194" t="str">
        <f t="shared" si="16"/>
        <v>MVS,AES</v>
      </c>
      <c r="W194" t="str">
        <f t="shared" si="16"/>
        <v>MVS,AES</v>
      </c>
      <c r="AB194" t="s">
        <v>24</v>
      </c>
      <c r="AE194" t="s">
        <v>4502</v>
      </c>
      <c r="AH194" t="s">
        <v>7241</v>
      </c>
      <c r="AI194" t="s">
        <v>9</v>
      </c>
      <c r="AJ194" t="s">
        <v>15</v>
      </c>
      <c r="AK194" t="s">
        <v>7240</v>
      </c>
      <c r="AL194" t="s">
        <v>7239</v>
      </c>
    </row>
    <row r="195" spans="5:38" x14ac:dyDescent="0.25">
      <c r="I195" t="str">
        <f t="shared" ref="I195:I258" si="18">IF(E195="",I194,E195)</f>
        <v>superspy</v>
      </c>
      <c r="J195" t="str">
        <f t="shared" ref="J195:J258" si="19">IF(K195="","",I195&amp;K195)</f>
        <v/>
      </c>
      <c r="L195" t="str">
        <f t="shared" si="17"/>
        <v>NGM-011 (MVS), NGH-011 (AES)</v>
      </c>
      <c r="M195" t="str">
        <f t="shared" si="17"/>
        <v>19901008 (MVS), 19910701 (AES)</v>
      </c>
      <c r="N195" t="str">
        <f t="shared" si="17"/>
        <v>ザ・スーパースパイ</v>
      </c>
      <c r="O195" t="str">
        <f t="shared" si="17"/>
        <v/>
      </c>
      <c r="P195" t="str">
        <f t="shared" si="17"/>
        <v/>
      </c>
      <c r="T195" t="str">
        <f t="shared" ref="T195:T258" si="20">IF(S195="","",I195&amp;S195)</f>
        <v/>
      </c>
      <c r="V195" t="str">
        <f t="shared" si="16"/>
        <v>MVS,AES</v>
      </c>
      <c r="W195" t="str">
        <f t="shared" si="16"/>
        <v>MVS,AES</v>
      </c>
      <c r="AH195" t="s">
        <v>7238</v>
      </c>
      <c r="AI195" t="s">
        <v>15</v>
      </c>
      <c r="AJ195" t="s">
        <v>92</v>
      </c>
      <c r="AK195" t="s">
        <v>7237</v>
      </c>
      <c r="AL195" t="s">
        <v>7236</v>
      </c>
    </row>
    <row r="196" spans="5:38" x14ac:dyDescent="0.25">
      <c r="I196" t="str">
        <f t="shared" si="18"/>
        <v>superspy</v>
      </c>
      <c r="J196" t="str">
        <f t="shared" si="19"/>
        <v/>
      </c>
      <c r="L196" t="str">
        <f t="shared" si="17"/>
        <v>NGM-011 (MVS), NGH-011 (AES)</v>
      </c>
      <c r="M196" t="str">
        <f t="shared" si="17"/>
        <v>19901008 (MVS), 19910701 (AES)</v>
      </c>
      <c r="N196" t="str">
        <f t="shared" si="17"/>
        <v>ザ・スーパースパイ</v>
      </c>
      <c r="O196" t="str">
        <f t="shared" si="17"/>
        <v/>
      </c>
      <c r="P196" t="str">
        <f t="shared" si="17"/>
        <v/>
      </c>
      <c r="T196" t="str">
        <f t="shared" si="20"/>
        <v/>
      </c>
      <c r="V196" t="str">
        <f t="shared" si="16"/>
        <v>MVS,AES</v>
      </c>
      <c r="W196" t="str">
        <f t="shared" si="16"/>
        <v>MVS,AES</v>
      </c>
      <c r="AB196" t="s">
        <v>6575</v>
      </c>
      <c r="AE196" t="s">
        <v>480</v>
      </c>
      <c r="AH196" t="s">
        <v>7235</v>
      </c>
      <c r="AI196" t="s">
        <v>9</v>
      </c>
      <c r="AJ196" t="s">
        <v>92</v>
      </c>
      <c r="AK196" t="s">
        <v>7234</v>
      </c>
      <c r="AL196" t="s">
        <v>7233</v>
      </c>
    </row>
    <row r="197" spans="5:38" x14ac:dyDescent="0.25">
      <c r="I197" t="str">
        <f t="shared" si="18"/>
        <v>superspy</v>
      </c>
      <c r="J197" t="str">
        <f t="shared" si="19"/>
        <v/>
      </c>
      <c r="L197" t="str">
        <f t="shared" si="17"/>
        <v>NGM-011 (MVS), NGH-011 (AES)</v>
      </c>
      <c r="M197" t="str">
        <f t="shared" si="17"/>
        <v>19901008 (MVS), 19910701 (AES)</v>
      </c>
      <c r="N197" t="str">
        <f t="shared" si="17"/>
        <v>ザ・スーパースパイ</v>
      </c>
      <c r="O197" t="str">
        <f t="shared" si="17"/>
        <v/>
      </c>
      <c r="P197" t="str">
        <f t="shared" si="17"/>
        <v/>
      </c>
      <c r="T197" t="str">
        <f t="shared" si="20"/>
        <v/>
      </c>
      <c r="V197" t="str">
        <f t="shared" si="16"/>
        <v>MVS,AES</v>
      </c>
      <c r="W197" t="str">
        <f t="shared" si="16"/>
        <v>MVS,AES</v>
      </c>
      <c r="AB197" t="s">
        <v>12</v>
      </c>
      <c r="AE197" t="s">
        <v>11</v>
      </c>
      <c r="AG197" t="s">
        <v>6</v>
      </c>
      <c r="AH197" t="s">
        <v>7232</v>
      </c>
      <c r="AI197" t="s">
        <v>9</v>
      </c>
      <c r="AJ197" t="s">
        <v>15</v>
      </c>
      <c r="AK197" t="s">
        <v>7231</v>
      </c>
      <c r="AL197" t="s">
        <v>7230</v>
      </c>
    </row>
    <row r="198" spans="5:38" x14ac:dyDescent="0.25">
      <c r="I198" t="str">
        <f t="shared" si="18"/>
        <v>superspy</v>
      </c>
      <c r="J198" t="str">
        <f t="shared" si="19"/>
        <v/>
      </c>
      <c r="L198" t="str">
        <f t="shared" si="17"/>
        <v>NGM-011 (MVS), NGH-011 (AES)</v>
      </c>
      <c r="M198" t="str">
        <f t="shared" si="17"/>
        <v>19901008 (MVS), 19910701 (AES)</v>
      </c>
      <c r="N198" t="str">
        <f t="shared" si="17"/>
        <v>ザ・スーパースパイ</v>
      </c>
      <c r="O198" t="str">
        <f t="shared" si="17"/>
        <v/>
      </c>
      <c r="P198" t="str">
        <f t="shared" si="17"/>
        <v/>
      </c>
      <c r="T198" t="str">
        <f t="shared" si="20"/>
        <v/>
      </c>
      <c r="V198" t="str">
        <f t="shared" si="16"/>
        <v>MVS,AES</v>
      </c>
      <c r="W198" t="str">
        <f t="shared" si="16"/>
        <v>MVS,AES</v>
      </c>
      <c r="AG198" t="s">
        <v>6</v>
      </c>
      <c r="AH198" t="s">
        <v>7229</v>
      </c>
      <c r="AI198" t="s">
        <v>4</v>
      </c>
      <c r="AJ198" t="s">
        <v>15</v>
      </c>
      <c r="AK198" t="s">
        <v>7228</v>
      </c>
      <c r="AL198" t="s">
        <v>7227</v>
      </c>
    </row>
    <row r="199" spans="5:38" x14ac:dyDescent="0.25">
      <c r="I199" t="str">
        <f t="shared" si="18"/>
        <v>superspy</v>
      </c>
      <c r="J199" t="str">
        <f t="shared" si="19"/>
        <v/>
      </c>
      <c r="L199" t="str">
        <f t="shared" si="17"/>
        <v>NGM-011 (MVS), NGH-011 (AES)</v>
      </c>
      <c r="M199" t="str">
        <f t="shared" si="17"/>
        <v>19901008 (MVS), 19910701 (AES)</v>
      </c>
      <c r="N199" t="str">
        <f t="shared" si="17"/>
        <v>ザ・スーパースパイ</v>
      </c>
      <c r="O199" t="str">
        <f t="shared" si="17"/>
        <v/>
      </c>
      <c r="P199" t="str">
        <f t="shared" si="17"/>
        <v/>
      </c>
      <c r="T199" t="str">
        <f t="shared" si="20"/>
        <v/>
      </c>
      <c r="V199" t="str">
        <f t="shared" si="16"/>
        <v>MVS,AES</v>
      </c>
      <c r="W199" t="str">
        <f t="shared" si="16"/>
        <v>MVS,AES</v>
      </c>
      <c r="AG199" t="s">
        <v>6</v>
      </c>
      <c r="AH199" t="s">
        <v>7226</v>
      </c>
      <c r="AI199" t="s">
        <v>3</v>
      </c>
      <c r="AJ199" t="s">
        <v>15</v>
      </c>
      <c r="AK199" t="s">
        <v>7225</v>
      </c>
      <c r="AL199" t="s">
        <v>7224</v>
      </c>
    </row>
    <row r="200" spans="5:38" x14ac:dyDescent="0.25">
      <c r="I200" t="str">
        <f t="shared" si="18"/>
        <v>superspy</v>
      </c>
      <c r="J200" t="str">
        <f t="shared" si="19"/>
        <v/>
      </c>
      <c r="L200" t="str">
        <f t="shared" si="17"/>
        <v>NGM-011 (MVS), NGH-011 (AES)</v>
      </c>
      <c r="M200" t="str">
        <f t="shared" si="17"/>
        <v>19901008 (MVS), 19910701 (AES)</v>
      </c>
      <c r="N200" t="str">
        <f t="shared" si="17"/>
        <v>ザ・スーパースパイ</v>
      </c>
      <c r="O200" t="str">
        <f t="shared" si="17"/>
        <v/>
      </c>
      <c r="P200" t="str">
        <f t="shared" si="17"/>
        <v/>
      </c>
      <c r="T200" t="str">
        <f t="shared" si="20"/>
        <v/>
      </c>
      <c r="V200" t="str">
        <f t="shared" si="16"/>
        <v>MVS,AES</v>
      </c>
      <c r="W200" t="str">
        <f t="shared" si="16"/>
        <v>MVS,AES</v>
      </c>
      <c r="AG200" t="s">
        <v>6</v>
      </c>
      <c r="AH200" t="s">
        <v>7223</v>
      </c>
      <c r="AI200" t="s">
        <v>4371</v>
      </c>
      <c r="AJ200" t="s">
        <v>15</v>
      </c>
      <c r="AK200" t="s">
        <v>7222</v>
      </c>
      <c r="AL200" t="s">
        <v>7221</v>
      </c>
    </row>
    <row r="201" spans="5:38" x14ac:dyDescent="0.25">
      <c r="E201" t="s">
        <v>7220</v>
      </c>
      <c r="F201" t="s">
        <v>7219</v>
      </c>
      <c r="G201" t="s">
        <v>5639</v>
      </c>
      <c r="H201" t="s">
        <v>1912</v>
      </c>
      <c r="I201" t="str">
        <f t="shared" si="18"/>
        <v>mutnat</v>
      </c>
      <c r="J201" t="str">
        <f t="shared" si="19"/>
        <v>mutnatserial</v>
      </c>
      <c r="K201" t="s">
        <v>1373</v>
      </c>
      <c r="L201" t="str">
        <f t="shared" si="17"/>
        <v>NGM-014 (MVS), NGH-014 (AES)</v>
      </c>
      <c r="M201" t="str">
        <f t="shared" si="17"/>
        <v>19920316 (MVS), 19920417 (AES)</v>
      </c>
      <c r="N201" t="str">
        <f t="shared" si="17"/>
        <v>ミューテイション ネイション</v>
      </c>
      <c r="O201" t="str">
        <f t="shared" si="17"/>
        <v/>
      </c>
      <c r="P201" t="str">
        <f t="shared" si="17"/>
        <v/>
      </c>
      <c r="Q201" t="s">
        <v>7218</v>
      </c>
      <c r="S201" t="s">
        <v>46</v>
      </c>
      <c r="T201" t="str">
        <f t="shared" si="20"/>
        <v>mutnatrelease</v>
      </c>
      <c r="U201" t="s">
        <v>218</v>
      </c>
      <c r="V201" t="str">
        <f t="shared" si="16"/>
        <v>MVS,AES</v>
      </c>
      <c r="W201" t="str">
        <f t="shared" si="16"/>
        <v>MVS,AES</v>
      </c>
      <c r="Y201" t="s">
        <v>45</v>
      </c>
      <c r="Z201" t="s">
        <v>44</v>
      </c>
      <c r="AB201" t="s">
        <v>43</v>
      </c>
      <c r="AC201" t="s">
        <v>42</v>
      </c>
      <c r="AD201" t="s">
        <v>41</v>
      </c>
      <c r="AE201" t="s">
        <v>15</v>
      </c>
      <c r="AG201" t="s">
        <v>40</v>
      </c>
      <c r="AH201" t="s">
        <v>7217</v>
      </c>
      <c r="AI201" t="s">
        <v>9</v>
      </c>
      <c r="AJ201" t="s">
        <v>92</v>
      </c>
      <c r="AK201" t="s">
        <v>7216</v>
      </c>
      <c r="AL201" t="s">
        <v>7215</v>
      </c>
    </row>
    <row r="202" spans="5:38" x14ac:dyDescent="0.25">
      <c r="I202" t="str">
        <f t="shared" si="18"/>
        <v>mutnat</v>
      </c>
      <c r="J202" t="str">
        <f t="shared" si="19"/>
        <v>mutnatrelease</v>
      </c>
      <c r="K202" t="s">
        <v>46</v>
      </c>
      <c r="L202" t="str">
        <f t="shared" si="17"/>
        <v>NGM-014 (MVS), NGH-014 (AES)</v>
      </c>
      <c r="M202" t="str">
        <f t="shared" si="17"/>
        <v>19920316 (MVS), 19920417 (AES)</v>
      </c>
      <c r="N202" t="str">
        <f t="shared" si="17"/>
        <v>ミューテイション ネイション</v>
      </c>
      <c r="O202" t="str">
        <f t="shared" si="17"/>
        <v/>
      </c>
      <c r="P202" t="str">
        <f t="shared" si="17"/>
        <v/>
      </c>
      <c r="Q202" t="s">
        <v>7214</v>
      </c>
      <c r="T202" t="str">
        <f t="shared" si="20"/>
        <v/>
      </c>
      <c r="V202" t="str">
        <f t="shared" si="16"/>
        <v>MVS,AES</v>
      </c>
      <c r="W202" t="str">
        <f t="shared" si="16"/>
        <v>MVS,AES</v>
      </c>
      <c r="AB202" t="s">
        <v>34</v>
      </c>
      <c r="AE202" t="s">
        <v>33</v>
      </c>
      <c r="AH202" t="s">
        <v>7213</v>
      </c>
      <c r="AI202" t="s">
        <v>9</v>
      </c>
      <c r="AJ202" t="s">
        <v>27</v>
      </c>
      <c r="AK202" t="s">
        <v>7212</v>
      </c>
      <c r="AL202" t="s">
        <v>7211</v>
      </c>
    </row>
    <row r="203" spans="5:38" x14ac:dyDescent="0.25">
      <c r="I203" t="str">
        <f t="shared" si="18"/>
        <v>mutnat</v>
      </c>
      <c r="J203" t="str">
        <f t="shared" si="19"/>
        <v>mutnatalt_title</v>
      </c>
      <c r="K203" t="s">
        <v>1218</v>
      </c>
      <c r="L203" t="str">
        <f t="shared" si="17"/>
        <v>NGM-014 (MVS), NGH-014 (AES)</v>
      </c>
      <c r="M203" t="str">
        <f t="shared" si="17"/>
        <v>19920316 (MVS), 19920417 (AES)</v>
      </c>
      <c r="N203" t="str">
        <f t="shared" si="17"/>
        <v>ミューテイション ネイション</v>
      </c>
      <c r="O203" t="str">
        <f t="shared" si="17"/>
        <v/>
      </c>
      <c r="P203" t="str">
        <f t="shared" si="17"/>
        <v/>
      </c>
      <c r="Q203" t="s">
        <v>7210</v>
      </c>
      <c r="T203" t="str">
        <f t="shared" si="20"/>
        <v/>
      </c>
      <c r="V203" t="str">
        <f t="shared" si="16"/>
        <v>MVS,AES</v>
      </c>
      <c r="W203" t="str">
        <f t="shared" si="16"/>
        <v>MVS,AES</v>
      </c>
      <c r="AB203" t="s">
        <v>29</v>
      </c>
      <c r="AE203" t="s">
        <v>27</v>
      </c>
      <c r="AH203" t="s">
        <v>7209</v>
      </c>
      <c r="AI203" t="s">
        <v>9</v>
      </c>
      <c r="AJ203" t="s">
        <v>27</v>
      </c>
      <c r="AK203" t="s">
        <v>7208</v>
      </c>
      <c r="AL203" t="s">
        <v>7207</v>
      </c>
    </row>
    <row r="204" spans="5:38" x14ac:dyDescent="0.25">
      <c r="I204" t="str">
        <f t="shared" si="18"/>
        <v>mutnat</v>
      </c>
      <c r="J204" t="str">
        <f t="shared" si="19"/>
        <v/>
      </c>
      <c r="L204" t="str">
        <f t="shared" si="17"/>
        <v>NGM-014 (MVS), NGH-014 (AES)</v>
      </c>
      <c r="M204" t="str">
        <f t="shared" si="17"/>
        <v>19920316 (MVS), 19920417 (AES)</v>
      </c>
      <c r="N204" t="str">
        <f t="shared" si="17"/>
        <v>ミューテイション ネイション</v>
      </c>
      <c r="O204" t="str">
        <f t="shared" si="17"/>
        <v/>
      </c>
      <c r="P204" t="str">
        <f t="shared" si="17"/>
        <v/>
      </c>
      <c r="S204" t="s">
        <v>36</v>
      </c>
      <c r="T204" t="str">
        <f t="shared" si="20"/>
        <v>mutnatcompatibility</v>
      </c>
      <c r="U204" t="s">
        <v>218</v>
      </c>
      <c r="V204" t="str">
        <f t="shared" si="16"/>
        <v>MVS,AES</v>
      </c>
      <c r="W204" t="str">
        <f t="shared" si="16"/>
        <v>MVS,AES</v>
      </c>
      <c r="AB204" t="s">
        <v>24</v>
      </c>
      <c r="AE204" t="s">
        <v>3</v>
      </c>
      <c r="AH204" t="s">
        <v>7206</v>
      </c>
      <c r="AI204" t="s">
        <v>9</v>
      </c>
      <c r="AJ204" t="s">
        <v>15</v>
      </c>
      <c r="AK204" t="s">
        <v>7205</v>
      </c>
      <c r="AL204" t="s">
        <v>7204</v>
      </c>
    </row>
    <row r="205" spans="5:38" x14ac:dyDescent="0.25">
      <c r="I205" t="str">
        <f t="shared" si="18"/>
        <v>mutnat</v>
      </c>
      <c r="J205" t="str">
        <f t="shared" si="19"/>
        <v/>
      </c>
      <c r="L205" t="str">
        <f t="shared" si="17"/>
        <v>NGM-014 (MVS), NGH-014 (AES)</v>
      </c>
      <c r="M205" t="str">
        <f t="shared" si="17"/>
        <v>19920316 (MVS), 19920417 (AES)</v>
      </c>
      <c r="N205" t="str">
        <f t="shared" si="17"/>
        <v>ミューテイション ネイション</v>
      </c>
      <c r="O205" t="str">
        <f t="shared" si="17"/>
        <v/>
      </c>
      <c r="P205" t="str">
        <f t="shared" si="17"/>
        <v/>
      </c>
      <c r="T205" t="str">
        <f t="shared" si="20"/>
        <v/>
      </c>
      <c r="V205" t="str">
        <f t="shared" si="16"/>
        <v>MVS,AES</v>
      </c>
      <c r="W205" t="str">
        <f t="shared" si="16"/>
        <v>MVS,AES</v>
      </c>
      <c r="AH205" t="s">
        <v>7203</v>
      </c>
      <c r="AI205" t="s">
        <v>15</v>
      </c>
      <c r="AJ205" t="s">
        <v>15</v>
      </c>
      <c r="AK205" t="s">
        <v>7202</v>
      </c>
      <c r="AL205" t="s">
        <v>7201</v>
      </c>
    </row>
    <row r="206" spans="5:38" x14ac:dyDescent="0.25">
      <c r="I206" t="str">
        <f t="shared" si="18"/>
        <v>mutnat</v>
      </c>
      <c r="J206" t="str">
        <f t="shared" si="19"/>
        <v/>
      </c>
      <c r="L206" t="str">
        <f t="shared" si="17"/>
        <v>NGM-014 (MVS), NGH-014 (AES)</v>
      </c>
      <c r="M206" t="str">
        <f t="shared" si="17"/>
        <v>19920316 (MVS), 19920417 (AES)</v>
      </c>
      <c r="N206" t="str">
        <f t="shared" si="17"/>
        <v>ミューテイション ネイション</v>
      </c>
      <c r="O206" t="str">
        <f t="shared" si="17"/>
        <v/>
      </c>
      <c r="P206" t="str">
        <f t="shared" si="17"/>
        <v/>
      </c>
      <c r="T206" t="str">
        <f t="shared" si="20"/>
        <v/>
      </c>
      <c r="V206" t="str">
        <f t="shared" si="16"/>
        <v>MVS,AES</v>
      </c>
      <c r="W206" t="str">
        <f t="shared" si="16"/>
        <v>MVS,AES</v>
      </c>
      <c r="AB206" t="s">
        <v>12</v>
      </c>
      <c r="AE206" t="s">
        <v>11</v>
      </c>
      <c r="AG206" t="s">
        <v>6</v>
      </c>
      <c r="AH206" t="s">
        <v>7200</v>
      </c>
      <c r="AI206" t="s">
        <v>9</v>
      </c>
      <c r="AJ206" t="s">
        <v>15</v>
      </c>
      <c r="AK206" t="s">
        <v>7199</v>
      </c>
      <c r="AL206" t="s">
        <v>7198</v>
      </c>
    </row>
    <row r="207" spans="5:38" x14ac:dyDescent="0.25">
      <c r="I207" t="str">
        <f t="shared" si="18"/>
        <v>mutnat</v>
      </c>
      <c r="J207" t="str">
        <f t="shared" si="19"/>
        <v/>
      </c>
      <c r="L207" t="str">
        <f t="shared" si="17"/>
        <v>NGM-014 (MVS), NGH-014 (AES)</v>
      </c>
      <c r="M207" t="str">
        <f t="shared" si="17"/>
        <v>19920316 (MVS), 19920417 (AES)</v>
      </c>
      <c r="N207" t="str">
        <f t="shared" si="17"/>
        <v>ミューテイション ネイション</v>
      </c>
      <c r="O207" t="str">
        <f t="shared" si="17"/>
        <v/>
      </c>
      <c r="P207" t="str">
        <f t="shared" si="17"/>
        <v/>
      </c>
      <c r="T207" t="str">
        <f t="shared" si="20"/>
        <v/>
      </c>
      <c r="V207" t="str">
        <f t="shared" si="16"/>
        <v>MVS,AES</v>
      </c>
      <c r="W207" t="str">
        <f t="shared" si="16"/>
        <v>MVS,AES</v>
      </c>
      <c r="AG207" t="s">
        <v>6</v>
      </c>
      <c r="AH207" t="s">
        <v>7197</v>
      </c>
      <c r="AI207" t="s">
        <v>4</v>
      </c>
      <c r="AJ207" t="s">
        <v>15</v>
      </c>
      <c r="AK207" t="s">
        <v>7196</v>
      </c>
      <c r="AL207" t="s">
        <v>7195</v>
      </c>
    </row>
    <row r="208" spans="5:38" x14ac:dyDescent="0.25">
      <c r="I208" t="str">
        <f t="shared" si="18"/>
        <v>mutnat</v>
      </c>
      <c r="J208" t="str">
        <f t="shared" si="19"/>
        <v/>
      </c>
      <c r="L208" t="str">
        <f t="shared" si="17"/>
        <v>NGM-014 (MVS), NGH-014 (AES)</v>
      </c>
      <c r="M208" t="str">
        <f t="shared" si="17"/>
        <v>19920316 (MVS), 19920417 (AES)</v>
      </c>
      <c r="N208" t="str">
        <f t="shared" si="17"/>
        <v>ミューテイション ネイション</v>
      </c>
      <c r="O208" t="str">
        <f t="shared" si="17"/>
        <v/>
      </c>
      <c r="P208" t="str">
        <f t="shared" si="17"/>
        <v/>
      </c>
      <c r="T208" t="str">
        <f t="shared" si="20"/>
        <v/>
      </c>
      <c r="V208" t="str">
        <f t="shared" si="16"/>
        <v>MVS,AES</v>
      </c>
      <c r="W208" t="str">
        <f t="shared" si="16"/>
        <v>MVS,AES</v>
      </c>
      <c r="AG208" t="s">
        <v>6</v>
      </c>
      <c r="AH208" t="s">
        <v>7194</v>
      </c>
      <c r="AI208" t="s">
        <v>3</v>
      </c>
      <c r="AJ208" t="s">
        <v>15</v>
      </c>
      <c r="AK208" t="s">
        <v>7193</v>
      </c>
      <c r="AL208" t="s">
        <v>7192</v>
      </c>
    </row>
    <row r="209" spans="5:44" x14ac:dyDescent="0.25">
      <c r="I209" t="str">
        <f t="shared" si="18"/>
        <v>mutnat</v>
      </c>
      <c r="J209" t="str">
        <f t="shared" si="19"/>
        <v/>
      </c>
      <c r="L209" t="str">
        <f t="shared" si="17"/>
        <v>NGM-014 (MVS), NGH-014 (AES)</v>
      </c>
      <c r="M209" t="str">
        <f t="shared" si="17"/>
        <v>19920316 (MVS), 19920417 (AES)</v>
      </c>
      <c r="N209" t="str">
        <f t="shared" si="17"/>
        <v>ミューテイション ネイション</v>
      </c>
      <c r="O209" t="str">
        <f t="shared" si="17"/>
        <v/>
      </c>
      <c r="P209" t="str">
        <f t="shared" si="17"/>
        <v/>
      </c>
      <c r="T209" t="str">
        <f t="shared" si="20"/>
        <v/>
      </c>
      <c r="V209" t="str">
        <f t="shared" si="16"/>
        <v>MVS,AES</v>
      </c>
      <c r="W209" t="str">
        <f t="shared" si="16"/>
        <v>MVS,AES</v>
      </c>
      <c r="AG209" t="s">
        <v>6</v>
      </c>
      <c r="AH209" t="s">
        <v>7191</v>
      </c>
      <c r="AI209" t="s">
        <v>4371</v>
      </c>
      <c r="AJ209" t="s">
        <v>15</v>
      </c>
      <c r="AK209" t="s">
        <v>7190</v>
      </c>
      <c r="AL209" t="s">
        <v>7189</v>
      </c>
    </row>
    <row r="210" spans="5:44" x14ac:dyDescent="0.25">
      <c r="E210" t="s">
        <v>7175</v>
      </c>
      <c r="F210" t="s">
        <v>7188</v>
      </c>
      <c r="G210" t="s">
        <v>6279</v>
      </c>
      <c r="H210" t="s">
        <v>1912</v>
      </c>
      <c r="I210" t="str">
        <f t="shared" si="18"/>
        <v>kotm</v>
      </c>
      <c r="J210" t="str">
        <f t="shared" si="19"/>
        <v>kotmserial</v>
      </c>
      <c r="K210" t="s">
        <v>1373</v>
      </c>
      <c r="L210" t="str">
        <f t="shared" si="17"/>
        <v>NGM-016?</v>
      </c>
      <c r="M210" t="str">
        <f t="shared" si="17"/>
        <v>19910225 (MVS), 19910701 (AES)</v>
      </c>
      <c r="N210" t="str">
        <f t="shared" si="17"/>
        <v>キング・オブ・ザ・モンスターズ</v>
      </c>
      <c r="O210" t="str">
        <f t="shared" si="17"/>
        <v/>
      </c>
      <c r="P210" t="str">
        <f t="shared" si="17"/>
        <v/>
      </c>
      <c r="Q210" t="s">
        <v>7187</v>
      </c>
      <c r="S210" t="s">
        <v>46</v>
      </c>
      <c r="T210" t="str">
        <f t="shared" si="20"/>
        <v>kotmrelease</v>
      </c>
      <c r="U210" t="s">
        <v>7186</v>
      </c>
      <c r="V210" t="str">
        <f t="shared" si="16"/>
        <v>MVS?</v>
      </c>
      <c r="W210" t="str">
        <f t="shared" si="16"/>
        <v>MVS,AES</v>
      </c>
      <c r="Y210" t="s">
        <v>45</v>
      </c>
      <c r="Z210" t="s">
        <v>44</v>
      </c>
      <c r="AB210" t="s">
        <v>43</v>
      </c>
      <c r="AC210" t="s">
        <v>42</v>
      </c>
      <c r="AD210" t="s">
        <v>41</v>
      </c>
      <c r="AE210" t="s">
        <v>15</v>
      </c>
      <c r="AG210" t="s">
        <v>40</v>
      </c>
      <c r="AH210" t="s">
        <v>7185</v>
      </c>
      <c r="AI210" t="s">
        <v>9</v>
      </c>
      <c r="AJ210" t="s">
        <v>92</v>
      </c>
      <c r="AK210" t="s">
        <v>7184</v>
      </c>
      <c r="AL210" t="s">
        <v>7183</v>
      </c>
    </row>
    <row r="211" spans="5:44" x14ac:dyDescent="0.25">
      <c r="I211" t="str">
        <f t="shared" si="18"/>
        <v>kotm</v>
      </c>
      <c r="J211" t="str">
        <f t="shared" si="19"/>
        <v>kotmrelease</v>
      </c>
      <c r="K211" t="s">
        <v>46</v>
      </c>
      <c r="L211" t="str">
        <f t="shared" si="17"/>
        <v>NGM-016?</v>
      </c>
      <c r="M211" t="str">
        <f t="shared" si="17"/>
        <v>19910225 (MVS), 19910701 (AES)</v>
      </c>
      <c r="N211" t="str">
        <f t="shared" si="17"/>
        <v>キング・オブ・ザ・モンスターズ</v>
      </c>
      <c r="O211" t="str">
        <f t="shared" si="17"/>
        <v/>
      </c>
      <c r="P211" t="str">
        <f t="shared" si="17"/>
        <v/>
      </c>
      <c r="Q211" t="s">
        <v>7174</v>
      </c>
      <c r="T211" t="str">
        <f t="shared" si="20"/>
        <v/>
      </c>
      <c r="V211" t="str">
        <f t="shared" si="16"/>
        <v>MVS?</v>
      </c>
      <c r="W211" t="str">
        <f t="shared" si="16"/>
        <v>MVS,AES</v>
      </c>
      <c r="AG211" t="s">
        <v>40</v>
      </c>
      <c r="AH211" t="s">
        <v>7173</v>
      </c>
      <c r="AI211" t="s">
        <v>92</v>
      </c>
      <c r="AJ211" t="s">
        <v>27</v>
      </c>
      <c r="AK211" t="s">
        <v>7172</v>
      </c>
      <c r="AL211" t="s">
        <v>7171</v>
      </c>
    </row>
    <row r="212" spans="5:44" x14ac:dyDescent="0.25">
      <c r="I212" t="str">
        <f t="shared" si="18"/>
        <v>kotm</v>
      </c>
      <c r="J212" t="str">
        <f t="shared" si="19"/>
        <v>kotmalt_title</v>
      </c>
      <c r="K212" t="s">
        <v>1218</v>
      </c>
      <c r="L212" t="str">
        <f t="shared" si="17"/>
        <v>NGM-016?</v>
      </c>
      <c r="M212" t="str">
        <f t="shared" si="17"/>
        <v>19910225 (MVS), 19910701 (AES)</v>
      </c>
      <c r="N212" t="str">
        <f t="shared" si="17"/>
        <v>キング・オブ・ザ・モンスターズ</v>
      </c>
      <c r="O212" t="str">
        <f t="shared" si="17"/>
        <v/>
      </c>
      <c r="P212" t="str">
        <f t="shared" si="17"/>
        <v/>
      </c>
      <c r="Q212" t="s">
        <v>7170</v>
      </c>
      <c r="T212" t="str">
        <f t="shared" si="20"/>
        <v/>
      </c>
      <c r="V212" t="str">
        <f t="shared" si="16"/>
        <v>MVS?</v>
      </c>
      <c r="W212" t="str">
        <f t="shared" si="16"/>
        <v>MVS,AES</v>
      </c>
      <c r="AB212" t="s">
        <v>34</v>
      </c>
      <c r="AE212" t="s">
        <v>33</v>
      </c>
      <c r="AH212" t="s">
        <v>7169</v>
      </c>
      <c r="AI212" t="s">
        <v>9</v>
      </c>
      <c r="AJ212" t="s">
        <v>27</v>
      </c>
      <c r="AK212" t="s">
        <v>7168</v>
      </c>
      <c r="AL212" t="s">
        <v>7167</v>
      </c>
    </row>
    <row r="213" spans="5:44" x14ac:dyDescent="0.25">
      <c r="I213" t="str">
        <f t="shared" si="18"/>
        <v>kotm</v>
      </c>
      <c r="J213" t="str">
        <f t="shared" si="19"/>
        <v/>
      </c>
      <c r="L213" t="str">
        <f t="shared" si="17"/>
        <v>NGM-016?</v>
      </c>
      <c r="M213" t="str">
        <f t="shared" si="17"/>
        <v>19910225 (MVS), 19910701 (AES)</v>
      </c>
      <c r="N213" t="str">
        <f t="shared" si="17"/>
        <v>キング・オブ・ザ・モンスターズ</v>
      </c>
      <c r="O213" t="str">
        <f t="shared" si="17"/>
        <v/>
      </c>
      <c r="P213" t="str">
        <f t="shared" si="17"/>
        <v/>
      </c>
      <c r="S213" t="s">
        <v>36</v>
      </c>
      <c r="T213" t="str">
        <f t="shared" si="20"/>
        <v>kotmcompatibility</v>
      </c>
      <c r="U213" t="s">
        <v>218</v>
      </c>
      <c r="V213" t="str">
        <f t="shared" si="16"/>
        <v>MVS?</v>
      </c>
      <c r="W213" t="str">
        <f t="shared" si="16"/>
        <v>MVS,AES</v>
      </c>
      <c r="AB213" t="s">
        <v>29</v>
      </c>
      <c r="AE213" t="s">
        <v>27</v>
      </c>
      <c r="AH213" t="s">
        <v>7166</v>
      </c>
      <c r="AI213" t="s">
        <v>9</v>
      </c>
      <c r="AJ213" t="s">
        <v>27</v>
      </c>
      <c r="AK213" t="s">
        <v>7165</v>
      </c>
      <c r="AL213" t="s">
        <v>7164</v>
      </c>
    </row>
    <row r="214" spans="5:44" x14ac:dyDescent="0.25">
      <c r="I214" t="str">
        <f t="shared" si="18"/>
        <v>kotm</v>
      </c>
      <c r="J214" t="str">
        <f t="shared" si="19"/>
        <v/>
      </c>
      <c r="L214" t="str">
        <f t="shared" si="17"/>
        <v>NGM-016?</v>
      </c>
      <c r="M214" t="str">
        <f t="shared" si="17"/>
        <v>19910225 (MVS), 19910701 (AES)</v>
      </c>
      <c r="N214" t="str">
        <f t="shared" si="17"/>
        <v>キング・オブ・ザ・モンスターズ</v>
      </c>
      <c r="O214" t="str">
        <f t="shared" si="17"/>
        <v/>
      </c>
      <c r="P214" t="str">
        <f t="shared" si="17"/>
        <v/>
      </c>
      <c r="T214" t="str">
        <f t="shared" si="20"/>
        <v/>
      </c>
      <c r="V214" t="str">
        <f t="shared" si="16"/>
        <v>MVS?</v>
      </c>
      <c r="W214" t="str">
        <f t="shared" si="16"/>
        <v>MVS,AES</v>
      </c>
      <c r="AB214" t="s">
        <v>24</v>
      </c>
      <c r="AE214" t="s">
        <v>3</v>
      </c>
      <c r="AH214" t="s">
        <v>7163</v>
      </c>
      <c r="AI214" t="s">
        <v>9</v>
      </c>
      <c r="AJ214" t="s">
        <v>15</v>
      </c>
      <c r="AK214" t="s">
        <v>7162</v>
      </c>
      <c r="AL214" t="s">
        <v>7161</v>
      </c>
    </row>
    <row r="215" spans="5:44" x14ac:dyDescent="0.25">
      <c r="I215" t="str">
        <f t="shared" si="18"/>
        <v>kotm</v>
      </c>
      <c r="J215" t="str">
        <f t="shared" si="19"/>
        <v/>
      </c>
      <c r="L215" t="str">
        <f t="shared" si="17"/>
        <v>NGM-016?</v>
      </c>
      <c r="M215" t="str">
        <f t="shared" si="17"/>
        <v>19910225 (MVS), 19910701 (AES)</v>
      </c>
      <c r="N215" t="str">
        <f t="shared" si="17"/>
        <v>キング・オブ・ザ・モンスターズ</v>
      </c>
      <c r="O215" t="str">
        <f t="shared" si="17"/>
        <v/>
      </c>
      <c r="P215" t="str">
        <f t="shared" si="17"/>
        <v/>
      </c>
      <c r="T215" t="str">
        <f t="shared" si="20"/>
        <v/>
      </c>
      <c r="V215" t="str">
        <f t="shared" ref="V215:W278" si="21">IFERROR(VLOOKUP($I215&amp;V$1,$T:$AA,2,0),"")</f>
        <v>MVS?</v>
      </c>
      <c r="W215" t="str">
        <f t="shared" si="21"/>
        <v>MVS,AES</v>
      </c>
      <c r="AH215" t="s">
        <v>7160</v>
      </c>
      <c r="AI215" t="s">
        <v>15</v>
      </c>
      <c r="AJ215" t="s">
        <v>15</v>
      </c>
      <c r="AK215" t="s">
        <v>7159</v>
      </c>
      <c r="AL215" t="s">
        <v>7158</v>
      </c>
    </row>
    <row r="216" spans="5:44" x14ac:dyDescent="0.25">
      <c r="I216" t="str">
        <f t="shared" si="18"/>
        <v>kotm</v>
      </c>
      <c r="J216" t="str">
        <f t="shared" si="19"/>
        <v/>
      </c>
      <c r="L216" t="str">
        <f t="shared" si="17"/>
        <v>NGM-016?</v>
      </c>
      <c r="M216" t="str">
        <f t="shared" si="17"/>
        <v>19910225 (MVS), 19910701 (AES)</v>
      </c>
      <c r="N216" t="str">
        <f t="shared" si="17"/>
        <v>キング・オブ・ザ・モンスターズ</v>
      </c>
      <c r="O216" t="str">
        <f t="shared" si="17"/>
        <v/>
      </c>
      <c r="P216" t="str">
        <f t="shared" si="17"/>
        <v/>
      </c>
      <c r="T216" t="str">
        <f t="shared" si="20"/>
        <v/>
      </c>
      <c r="V216" t="str">
        <f t="shared" si="21"/>
        <v>MVS?</v>
      </c>
      <c r="W216" t="str">
        <f t="shared" si="21"/>
        <v>MVS,AES</v>
      </c>
      <c r="AB216" t="s">
        <v>12</v>
      </c>
      <c r="AE216" t="s">
        <v>11</v>
      </c>
      <c r="AG216" t="s">
        <v>6</v>
      </c>
      <c r="AH216" t="s">
        <v>7157</v>
      </c>
      <c r="AI216" t="s">
        <v>9</v>
      </c>
      <c r="AJ216" t="s">
        <v>15</v>
      </c>
      <c r="AK216" t="s">
        <v>7156</v>
      </c>
      <c r="AL216" t="s">
        <v>7155</v>
      </c>
    </row>
    <row r="217" spans="5:44" x14ac:dyDescent="0.25">
      <c r="I217" t="str">
        <f t="shared" si="18"/>
        <v>kotm</v>
      </c>
      <c r="J217" t="str">
        <f t="shared" si="19"/>
        <v/>
      </c>
      <c r="L217" t="str">
        <f t="shared" si="17"/>
        <v>NGM-016?</v>
      </c>
      <c r="M217" t="str">
        <f t="shared" si="17"/>
        <v>19910225 (MVS), 19910701 (AES)</v>
      </c>
      <c r="N217" t="str">
        <f t="shared" si="17"/>
        <v>キング・オブ・ザ・モンスターズ</v>
      </c>
      <c r="O217" t="str">
        <f t="shared" si="17"/>
        <v/>
      </c>
      <c r="P217" t="str">
        <f t="shared" si="17"/>
        <v/>
      </c>
      <c r="T217" t="str">
        <f t="shared" si="20"/>
        <v/>
      </c>
      <c r="V217" t="str">
        <f t="shared" si="21"/>
        <v>MVS?</v>
      </c>
      <c r="W217" t="str">
        <f t="shared" si="21"/>
        <v>MVS,AES</v>
      </c>
      <c r="AG217" t="s">
        <v>6</v>
      </c>
      <c r="AH217" t="s">
        <v>7154</v>
      </c>
      <c r="AI217" t="s">
        <v>4</v>
      </c>
      <c r="AJ217" t="s">
        <v>15</v>
      </c>
      <c r="AK217" t="s">
        <v>7153</v>
      </c>
      <c r="AL217" t="s">
        <v>7152</v>
      </c>
    </row>
    <row r="218" spans="5:44" x14ac:dyDescent="0.25">
      <c r="I218" t="str">
        <f t="shared" si="18"/>
        <v>kotm</v>
      </c>
      <c r="J218" t="str">
        <f t="shared" si="19"/>
        <v/>
      </c>
      <c r="L218" t="str">
        <f t="shared" si="17"/>
        <v>NGM-016?</v>
      </c>
      <c r="M218" t="str">
        <f t="shared" si="17"/>
        <v>19910225 (MVS), 19910701 (AES)</v>
      </c>
      <c r="N218" t="str">
        <f t="shared" si="17"/>
        <v>キング・オブ・ザ・モンスターズ</v>
      </c>
      <c r="O218" t="str">
        <f t="shared" si="17"/>
        <v/>
      </c>
      <c r="P218" t="str">
        <f t="shared" si="17"/>
        <v/>
      </c>
      <c r="T218" t="str">
        <f t="shared" si="20"/>
        <v/>
      </c>
      <c r="V218" t="str">
        <f t="shared" si="21"/>
        <v>MVS?</v>
      </c>
      <c r="W218" t="str">
        <f t="shared" si="21"/>
        <v>MVS,AES</v>
      </c>
      <c r="AG218" t="s">
        <v>6</v>
      </c>
      <c r="AH218" t="s">
        <v>7151</v>
      </c>
      <c r="AI218" t="s">
        <v>3</v>
      </c>
      <c r="AJ218" t="s">
        <v>15</v>
      </c>
      <c r="AK218" t="s">
        <v>7150</v>
      </c>
      <c r="AL218" t="s">
        <v>7149</v>
      </c>
    </row>
    <row r="219" spans="5:44" x14ac:dyDescent="0.25">
      <c r="I219" t="str">
        <f t="shared" si="18"/>
        <v>kotm</v>
      </c>
      <c r="J219" t="str">
        <f t="shared" si="19"/>
        <v/>
      </c>
      <c r="L219" t="str">
        <f t="shared" ref="L219:P269" si="22">IFERROR(VLOOKUP($I219&amp;L$1,$J:$Q,8,0),"")</f>
        <v>NGM-016?</v>
      </c>
      <c r="M219" t="str">
        <f t="shared" si="22"/>
        <v>19910225 (MVS), 19910701 (AES)</v>
      </c>
      <c r="N219" t="str">
        <f t="shared" si="22"/>
        <v>キング・オブ・ザ・モンスターズ</v>
      </c>
      <c r="O219" t="str">
        <f t="shared" si="22"/>
        <v/>
      </c>
      <c r="P219" t="str">
        <f t="shared" si="22"/>
        <v/>
      </c>
      <c r="T219" t="str">
        <f t="shared" si="20"/>
        <v/>
      </c>
      <c r="V219" t="str">
        <f t="shared" si="21"/>
        <v>MVS?</v>
      </c>
      <c r="W219" t="str">
        <f t="shared" si="21"/>
        <v>MVS,AES</v>
      </c>
      <c r="AG219" t="s">
        <v>6</v>
      </c>
      <c r="AH219" t="s">
        <v>7148</v>
      </c>
      <c r="AI219" t="s">
        <v>4371</v>
      </c>
      <c r="AJ219" t="s">
        <v>15</v>
      </c>
      <c r="AK219" t="s">
        <v>7147</v>
      </c>
      <c r="AL219" t="s">
        <v>7146</v>
      </c>
    </row>
    <row r="220" spans="5:44" x14ac:dyDescent="0.25">
      <c r="E220" t="s">
        <v>7182</v>
      </c>
      <c r="F220" t="s">
        <v>7181</v>
      </c>
      <c r="G220" t="s">
        <v>6279</v>
      </c>
      <c r="H220" t="s">
        <v>1912</v>
      </c>
      <c r="I220" t="str">
        <f t="shared" si="18"/>
        <v>kotmh</v>
      </c>
      <c r="J220" t="str">
        <f t="shared" si="19"/>
        <v>kotmhserial</v>
      </c>
      <c r="K220" t="s">
        <v>1373</v>
      </c>
      <c r="L220" t="str">
        <f t="shared" si="22"/>
        <v>NGH-016?</v>
      </c>
      <c r="M220" t="str">
        <f t="shared" si="22"/>
        <v>19910225 (MVS), 19910701 (AES)</v>
      </c>
      <c r="N220" t="str">
        <f t="shared" si="22"/>
        <v>キング・オブ・ザ・モンスターズ</v>
      </c>
      <c r="O220" t="str">
        <f t="shared" si="22"/>
        <v/>
      </c>
      <c r="P220" t="str">
        <f t="shared" si="22"/>
        <v/>
      </c>
      <c r="Q220" t="s">
        <v>7180</v>
      </c>
      <c r="S220" t="s">
        <v>46</v>
      </c>
      <c r="T220" t="str">
        <f t="shared" si="20"/>
        <v>kotmhrelease</v>
      </c>
      <c r="U220" t="s">
        <v>7179</v>
      </c>
      <c r="V220" t="str">
        <f t="shared" si="21"/>
        <v>AES?</v>
      </c>
      <c r="W220" t="str">
        <f t="shared" si="21"/>
        <v>MVS,AES</v>
      </c>
      <c r="Y220" t="s">
        <v>45</v>
      </c>
      <c r="Z220" t="s">
        <v>44</v>
      </c>
      <c r="AB220" t="s">
        <v>43</v>
      </c>
      <c r="AC220" t="s">
        <v>42</v>
      </c>
      <c r="AD220" t="s">
        <v>41</v>
      </c>
      <c r="AE220" t="s">
        <v>15</v>
      </c>
      <c r="AG220" t="s">
        <v>40</v>
      </c>
      <c r="AH220" t="s">
        <v>7178</v>
      </c>
      <c r="AI220" t="s">
        <v>9</v>
      </c>
      <c r="AJ220" t="s">
        <v>92</v>
      </c>
      <c r="AK220" t="s">
        <v>7177</v>
      </c>
      <c r="AL220" t="s">
        <v>7176</v>
      </c>
      <c r="AR220" t="s">
        <v>7175</v>
      </c>
    </row>
    <row r="221" spans="5:44" x14ac:dyDescent="0.25">
      <c r="I221" t="str">
        <f t="shared" si="18"/>
        <v>kotmh</v>
      </c>
      <c r="J221" t="str">
        <f t="shared" si="19"/>
        <v>kotmhrelease</v>
      </c>
      <c r="K221" t="s">
        <v>46</v>
      </c>
      <c r="L221" t="str">
        <f t="shared" si="22"/>
        <v>NGH-016?</v>
      </c>
      <c r="M221" t="str">
        <f t="shared" si="22"/>
        <v>19910225 (MVS), 19910701 (AES)</v>
      </c>
      <c r="N221" t="str">
        <f t="shared" si="22"/>
        <v>キング・オブ・ザ・モンスターズ</v>
      </c>
      <c r="O221" t="str">
        <f t="shared" si="22"/>
        <v/>
      </c>
      <c r="P221" t="str">
        <f t="shared" si="22"/>
        <v/>
      </c>
      <c r="Q221" t="s">
        <v>7174</v>
      </c>
      <c r="T221" t="str">
        <f t="shared" si="20"/>
        <v/>
      </c>
      <c r="V221" t="str">
        <f t="shared" si="21"/>
        <v>AES?</v>
      </c>
      <c r="W221" t="str">
        <f t="shared" si="21"/>
        <v>MVS,AES</v>
      </c>
      <c r="AG221" t="s">
        <v>40</v>
      </c>
      <c r="AH221" t="s">
        <v>7173</v>
      </c>
      <c r="AI221" t="s">
        <v>92</v>
      </c>
      <c r="AJ221" t="s">
        <v>27</v>
      </c>
      <c r="AK221" t="s">
        <v>7172</v>
      </c>
      <c r="AL221" t="s">
        <v>7171</v>
      </c>
    </row>
    <row r="222" spans="5:44" x14ac:dyDescent="0.25">
      <c r="I222" t="str">
        <f t="shared" si="18"/>
        <v>kotmh</v>
      </c>
      <c r="J222" t="str">
        <f t="shared" si="19"/>
        <v>kotmhalt_title</v>
      </c>
      <c r="K222" t="s">
        <v>1218</v>
      </c>
      <c r="L222" t="str">
        <f t="shared" si="22"/>
        <v>NGH-016?</v>
      </c>
      <c r="M222" t="str">
        <f t="shared" si="22"/>
        <v>19910225 (MVS), 19910701 (AES)</v>
      </c>
      <c r="N222" t="str">
        <f t="shared" si="22"/>
        <v>キング・オブ・ザ・モンスターズ</v>
      </c>
      <c r="O222" t="str">
        <f t="shared" si="22"/>
        <v/>
      </c>
      <c r="P222" t="str">
        <f t="shared" si="22"/>
        <v/>
      </c>
      <c r="Q222" t="s">
        <v>7170</v>
      </c>
      <c r="T222" t="str">
        <f t="shared" si="20"/>
        <v/>
      </c>
      <c r="V222" t="str">
        <f t="shared" si="21"/>
        <v>AES?</v>
      </c>
      <c r="W222" t="str">
        <f t="shared" si="21"/>
        <v>MVS,AES</v>
      </c>
      <c r="AB222" t="s">
        <v>34</v>
      </c>
      <c r="AE222" t="s">
        <v>33</v>
      </c>
      <c r="AH222" t="s">
        <v>7169</v>
      </c>
      <c r="AI222" t="s">
        <v>9</v>
      </c>
      <c r="AJ222" t="s">
        <v>27</v>
      </c>
      <c r="AK222" t="s">
        <v>7168</v>
      </c>
      <c r="AL222" t="s">
        <v>7167</v>
      </c>
    </row>
    <row r="223" spans="5:44" x14ac:dyDescent="0.25">
      <c r="I223" t="str">
        <f t="shared" si="18"/>
        <v>kotmh</v>
      </c>
      <c r="J223" t="str">
        <f t="shared" si="19"/>
        <v/>
      </c>
      <c r="L223" t="str">
        <f t="shared" si="22"/>
        <v>NGH-016?</v>
      </c>
      <c r="M223" t="str">
        <f t="shared" si="22"/>
        <v>19910225 (MVS), 19910701 (AES)</v>
      </c>
      <c r="N223" t="str">
        <f t="shared" si="22"/>
        <v>キング・オブ・ザ・モンスターズ</v>
      </c>
      <c r="O223" t="str">
        <f t="shared" si="22"/>
        <v/>
      </c>
      <c r="P223" t="str">
        <f t="shared" si="22"/>
        <v/>
      </c>
      <c r="S223" t="s">
        <v>36</v>
      </c>
      <c r="T223" t="str">
        <f t="shared" si="20"/>
        <v>kotmhcompatibility</v>
      </c>
      <c r="U223" t="s">
        <v>218</v>
      </c>
      <c r="V223" t="str">
        <f t="shared" si="21"/>
        <v>AES?</v>
      </c>
      <c r="W223" t="str">
        <f t="shared" si="21"/>
        <v>MVS,AES</v>
      </c>
      <c r="AB223" t="s">
        <v>29</v>
      </c>
      <c r="AE223" t="s">
        <v>27</v>
      </c>
      <c r="AH223" t="s">
        <v>7166</v>
      </c>
      <c r="AI223" t="s">
        <v>9</v>
      </c>
      <c r="AJ223" t="s">
        <v>27</v>
      </c>
      <c r="AK223" t="s">
        <v>7165</v>
      </c>
      <c r="AL223" t="s">
        <v>7164</v>
      </c>
    </row>
    <row r="224" spans="5:44" x14ac:dyDescent="0.25">
      <c r="I224" t="str">
        <f t="shared" si="18"/>
        <v>kotmh</v>
      </c>
      <c r="J224" t="str">
        <f t="shared" si="19"/>
        <v/>
      </c>
      <c r="L224" t="str">
        <f t="shared" si="22"/>
        <v>NGH-016?</v>
      </c>
      <c r="M224" t="str">
        <f t="shared" si="22"/>
        <v>19910225 (MVS), 19910701 (AES)</v>
      </c>
      <c r="N224" t="str">
        <f t="shared" si="22"/>
        <v>キング・オブ・ザ・モンスターズ</v>
      </c>
      <c r="O224" t="str">
        <f t="shared" si="22"/>
        <v/>
      </c>
      <c r="P224" t="str">
        <f t="shared" si="22"/>
        <v/>
      </c>
      <c r="T224" t="str">
        <f t="shared" si="20"/>
        <v/>
      </c>
      <c r="V224" t="str">
        <f t="shared" si="21"/>
        <v>AES?</v>
      </c>
      <c r="W224" t="str">
        <f t="shared" si="21"/>
        <v>MVS,AES</v>
      </c>
      <c r="AB224" t="s">
        <v>24</v>
      </c>
      <c r="AE224" t="s">
        <v>3</v>
      </c>
      <c r="AH224" t="s">
        <v>7163</v>
      </c>
      <c r="AI224" t="s">
        <v>9</v>
      </c>
      <c r="AJ224" t="s">
        <v>15</v>
      </c>
      <c r="AK224" t="s">
        <v>7162</v>
      </c>
      <c r="AL224" t="s">
        <v>7161</v>
      </c>
    </row>
    <row r="225" spans="5:44" x14ac:dyDescent="0.25">
      <c r="I225" t="str">
        <f t="shared" si="18"/>
        <v>kotmh</v>
      </c>
      <c r="J225" t="str">
        <f t="shared" si="19"/>
        <v/>
      </c>
      <c r="L225" t="str">
        <f t="shared" si="22"/>
        <v>NGH-016?</v>
      </c>
      <c r="M225" t="str">
        <f t="shared" si="22"/>
        <v>19910225 (MVS), 19910701 (AES)</v>
      </c>
      <c r="N225" t="str">
        <f t="shared" si="22"/>
        <v>キング・オブ・ザ・モンスターズ</v>
      </c>
      <c r="O225" t="str">
        <f t="shared" si="22"/>
        <v/>
      </c>
      <c r="P225" t="str">
        <f t="shared" si="22"/>
        <v/>
      </c>
      <c r="T225" t="str">
        <f t="shared" si="20"/>
        <v/>
      </c>
      <c r="V225" t="str">
        <f t="shared" si="21"/>
        <v>AES?</v>
      </c>
      <c r="W225" t="str">
        <f t="shared" si="21"/>
        <v>MVS,AES</v>
      </c>
      <c r="AH225" t="s">
        <v>7160</v>
      </c>
      <c r="AI225" t="s">
        <v>15</v>
      </c>
      <c r="AJ225" t="s">
        <v>15</v>
      </c>
      <c r="AK225" t="s">
        <v>7159</v>
      </c>
      <c r="AL225" t="s">
        <v>7158</v>
      </c>
    </row>
    <row r="226" spans="5:44" x14ac:dyDescent="0.25">
      <c r="I226" t="str">
        <f t="shared" si="18"/>
        <v>kotmh</v>
      </c>
      <c r="J226" t="str">
        <f t="shared" si="19"/>
        <v/>
      </c>
      <c r="L226" t="str">
        <f t="shared" si="22"/>
        <v>NGH-016?</v>
      </c>
      <c r="M226" t="str">
        <f t="shared" si="22"/>
        <v>19910225 (MVS), 19910701 (AES)</v>
      </c>
      <c r="N226" t="str">
        <f t="shared" si="22"/>
        <v>キング・オブ・ザ・モンスターズ</v>
      </c>
      <c r="O226" t="str">
        <f t="shared" si="22"/>
        <v/>
      </c>
      <c r="P226" t="str">
        <f t="shared" si="22"/>
        <v/>
      </c>
      <c r="T226" t="str">
        <f t="shared" si="20"/>
        <v/>
      </c>
      <c r="V226" t="str">
        <f t="shared" si="21"/>
        <v>AES?</v>
      </c>
      <c r="W226" t="str">
        <f t="shared" si="21"/>
        <v>MVS,AES</v>
      </c>
      <c r="AB226" t="s">
        <v>12</v>
      </c>
      <c r="AE226" t="s">
        <v>11</v>
      </c>
      <c r="AG226" t="s">
        <v>6</v>
      </c>
      <c r="AH226" t="s">
        <v>7157</v>
      </c>
      <c r="AI226" t="s">
        <v>9</v>
      </c>
      <c r="AJ226" t="s">
        <v>15</v>
      </c>
      <c r="AK226" t="s">
        <v>7156</v>
      </c>
      <c r="AL226" t="s">
        <v>7155</v>
      </c>
    </row>
    <row r="227" spans="5:44" x14ac:dyDescent="0.25">
      <c r="I227" t="str">
        <f t="shared" si="18"/>
        <v>kotmh</v>
      </c>
      <c r="J227" t="str">
        <f t="shared" si="19"/>
        <v/>
      </c>
      <c r="L227" t="str">
        <f t="shared" si="22"/>
        <v>NGH-016?</v>
      </c>
      <c r="M227" t="str">
        <f t="shared" si="22"/>
        <v>19910225 (MVS), 19910701 (AES)</v>
      </c>
      <c r="N227" t="str">
        <f t="shared" si="22"/>
        <v>キング・オブ・ザ・モンスターズ</v>
      </c>
      <c r="O227" t="str">
        <f t="shared" si="22"/>
        <v/>
      </c>
      <c r="P227" t="str">
        <f t="shared" si="22"/>
        <v/>
      </c>
      <c r="T227" t="str">
        <f t="shared" si="20"/>
        <v/>
      </c>
      <c r="V227" t="str">
        <f t="shared" si="21"/>
        <v>AES?</v>
      </c>
      <c r="W227" t="str">
        <f t="shared" si="21"/>
        <v>MVS,AES</v>
      </c>
      <c r="AG227" t="s">
        <v>6</v>
      </c>
      <c r="AH227" t="s">
        <v>7154</v>
      </c>
      <c r="AI227" t="s">
        <v>4</v>
      </c>
      <c r="AJ227" t="s">
        <v>15</v>
      </c>
      <c r="AK227" t="s">
        <v>7153</v>
      </c>
      <c r="AL227" t="s">
        <v>7152</v>
      </c>
    </row>
    <row r="228" spans="5:44" x14ac:dyDescent="0.25">
      <c r="I228" t="str">
        <f t="shared" si="18"/>
        <v>kotmh</v>
      </c>
      <c r="J228" t="str">
        <f t="shared" si="19"/>
        <v/>
      </c>
      <c r="L228" t="str">
        <f t="shared" si="22"/>
        <v>NGH-016?</v>
      </c>
      <c r="M228" t="str">
        <f t="shared" si="22"/>
        <v>19910225 (MVS), 19910701 (AES)</v>
      </c>
      <c r="N228" t="str">
        <f t="shared" si="22"/>
        <v>キング・オブ・ザ・モンスターズ</v>
      </c>
      <c r="O228" t="str">
        <f t="shared" si="22"/>
        <v/>
      </c>
      <c r="P228" t="str">
        <f t="shared" si="22"/>
        <v/>
      </c>
      <c r="T228" t="str">
        <f t="shared" si="20"/>
        <v/>
      </c>
      <c r="V228" t="str">
        <f t="shared" si="21"/>
        <v>AES?</v>
      </c>
      <c r="W228" t="str">
        <f t="shared" si="21"/>
        <v>MVS,AES</v>
      </c>
      <c r="AG228" t="s">
        <v>6</v>
      </c>
      <c r="AH228" t="s">
        <v>7151</v>
      </c>
      <c r="AI228" t="s">
        <v>3</v>
      </c>
      <c r="AJ228" t="s">
        <v>15</v>
      </c>
      <c r="AK228" t="s">
        <v>7150</v>
      </c>
      <c r="AL228" t="s">
        <v>7149</v>
      </c>
    </row>
    <row r="229" spans="5:44" x14ac:dyDescent="0.25">
      <c r="I229" t="str">
        <f t="shared" si="18"/>
        <v>kotmh</v>
      </c>
      <c r="J229" t="str">
        <f t="shared" si="19"/>
        <v/>
      </c>
      <c r="L229" t="str">
        <f t="shared" si="22"/>
        <v>NGH-016?</v>
      </c>
      <c r="M229" t="str">
        <f t="shared" si="22"/>
        <v>19910225 (MVS), 19910701 (AES)</v>
      </c>
      <c r="N229" t="str">
        <f t="shared" si="22"/>
        <v>キング・オブ・ザ・モンスターズ</v>
      </c>
      <c r="O229" t="str">
        <f t="shared" si="22"/>
        <v/>
      </c>
      <c r="P229" t="str">
        <f t="shared" si="22"/>
        <v/>
      </c>
      <c r="T229" t="str">
        <f t="shared" si="20"/>
        <v/>
      </c>
      <c r="V229" t="str">
        <f t="shared" si="21"/>
        <v>AES?</v>
      </c>
      <c r="W229" t="str">
        <f t="shared" si="21"/>
        <v>MVS,AES</v>
      </c>
      <c r="AG229" t="s">
        <v>6</v>
      </c>
      <c r="AH229" t="s">
        <v>7148</v>
      </c>
      <c r="AI229" t="s">
        <v>4371</v>
      </c>
      <c r="AJ229" t="s">
        <v>15</v>
      </c>
      <c r="AK229" t="s">
        <v>7147</v>
      </c>
      <c r="AL229" t="s">
        <v>7146</v>
      </c>
    </row>
    <row r="230" spans="5:44" x14ac:dyDescent="0.25">
      <c r="E230" t="s">
        <v>7132</v>
      </c>
      <c r="F230" t="s">
        <v>7145</v>
      </c>
      <c r="G230" t="s">
        <v>6279</v>
      </c>
      <c r="H230" t="s">
        <v>1912</v>
      </c>
      <c r="I230" t="str">
        <f t="shared" si="18"/>
        <v>sengoku</v>
      </c>
      <c r="J230" t="str">
        <f t="shared" si="19"/>
        <v>sengokuserial</v>
      </c>
      <c r="K230" t="s">
        <v>1373</v>
      </c>
      <c r="L230" t="str">
        <f t="shared" si="22"/>
        <v>NGM-017 (MVS), NGH-017 (AES)</v>
      </c>
      <c r="M230" t="str">
        <f t="shared" si="22"/>
        <v>19910212 (MVS), 19910701 (AES)</v>
      </c>
      <c r="N230" t="str">
        <f t="shared" si="22"/>
        <v>戦国伝承</v>
      </c>
      <c r="O230" t="str">
        <f t="shared" si="22"/>
        <v/>
      </c>
      <c r="P230" t="str">
        <f t="shared" si="22"/>
        <v/>
      </c>
      <c r="Q230" t="s">
        <v>7144</v>
      </c>
      <c r="S230" t="s">
        <v>46</v>
      </c>
      <c r="T230" t="str">
        <f t="shared" si="20"/>
        <v>sengokurelease</v>
      </c>
      <c r="U230" t="s">
        <v>218</v>
      </c>
      <c r="V230" t="str">
        <f t="shared" si="21"/>
        <v>MVS,AES</v>
      </c>
      <c r="W230" t="str">
        <f t="shared" si="21"/>
        <v>MVS,AES</v>
      </c>
      <c r="Y230" t="s">
        <v>45</v>
      </c>
      <c r="Z230" t="s">
        <v>44</v>
      </c>
      <c r="AB230" t="s">
        <v>43</v>
      </c>
      <c r="AC230" t="s">
        <v>42</v>
      </c>
      <c r="AD230" t="s">
        <v>41</v>
      </c>
      <c r="AE230" t="s">
        <v>15</v>
      </c>
      <c r="AG230" t="s">
        <v>40</v>
      </c>
      <c r="AH230" t="s">
        <v>7143</v>
      </c>
      <c r="AI230" t="s">
        <v>9</v>
      </c>
      <c r="AJ230" t="s">
        <v>92</v>
      </c>
      <c r="AK230" t="s">
        <v>7142</v>
      </c>
      <c r="AL230" t="s">
        <v>7141</v>
      </c>
    </row>
    <row r="231" spans="5:44" x14ac:dyDescent="0.25">
      <c r="I231" t="str">
        <f t="shared" si="18"/>
        <v>sengoku</v>
      </c>
      <c r="J231" t="str">
        <f t="shared" si="19"/>
        <v>sengokurelease</v>
      </c>
      <c r="K231" t="s">
        <v>46</v>
      </c>
      <c r="L231" t="str">
        <f t="shared" si="22"/>
        <v>NGM-017 (MVS), NGH-017 (AES)</v>
      </c>
      <c r="M231" t="str">
        <f t="shared" si="22"/>
        <v>19910212 (MVS), 19910701 (AES)</v>
      </c>
      <c r="N231" t="str">
        <f t="shared" si="22"/>
        <v>戦国伝承</v>
      </c>
      <c r="O231" t="str">
        <f t="shared" si="22"/>
        <v/>
      </c>
      <c r="P231" t="str">
        <f t="shared" si="22"/>
        <v/>
      </c>
      <c r="Q231" t="s">
        <v>7140</v>
      </c>
      <c r="T231" t="str">
        <f t="shared" si="20"/>
        <v/>
      </c>
      <c r="V231" t="str">
        <f t="shared" si="21"/>
        <v>MVS,AES</v>
      </c>
      <c r="W231" t="str">
        <f t="shared" si="21"/>
        <v>MVS,AES</v>
      </c>
      <c r="AG231" t="s">
        <v>40</v>
      </c>
      <c r="AH231" t="s">
        <v>7131</v>
      </c>
      <c r="AI231" t="s">
        <v>92</v>
      </c>
      <c r="AJ231" t="s">
        <v>27</v>
      </c>
      <c r="AK231" t="s">
        <v>7130</v>
      </c>
      <c r="AL231" t="s">
        <v>7129</v>
      </c>
    </row>
    <row r="232" spans="5:44" x14ac:dyDescent="0.25">
      <c r="I232" t="str">
        <f t="shared" si="18"/>
        <v>sengoku</v>
      </c>
      <c r="J232" t="str">
        <f t="shared" si="19"/>
        <v>sengokualt_title</v>
      </c>
      <c r="K232" t="s">
        <v>1218</v>
      </c>
      <c r="L232" t="str">
        <f t="shared" si="22"/>
        <v>NGM-017 (MVS), NGH-017 (AES)</v>
      </c>
      <c r="M232" t="str">
        <f t="shared" si="22"/>
        <v>19910212 (MVS), 19910701 (AES)</v>
      </c>
      <c r="N232" t="str">
        <f t="shared" si="22"/>
        <v>戦国伝承</v>
      </c>
      <c r="O232" t="str">
        <f t="shared" si="22"/>
        <v/>
      </c>
      <c r="P232" t="str">
        <f t="shared" si="22"/>
        <v/>
      </c>
      <c r="Q232" t="s">
        <v>7139</v>
      </c>
      <c r="T232" t="str">
        <f t="shared" si="20"/>
        <v/>
      </c>
      <c r="V232" t="str">
        <f t="shared" si="21"/>
        <v>MVS,AES</v>
      </c>
      <c r="W232" t="str">
        <f t="shared" si="21"/>
        <v>MVS,AES</v>
      </c>
      <c r="AB232" t="s">
        <v>34</v>
      </c>
      <c r="AE232" t="s">
        <v>33</v>
      </c>
      <c r="AH232" t="s">
        <v>7128</v>
      </c>
      <c r="AI232" t="s">
        <v>9</v>
      </c>
      <c r="AJ232" t="s">
        <v>27</v>
      </c>
      <c r="AK232" t="s">
        <v>7127</v>
      </c>
      <c r="AL232" t="s">
        <v>7126</v>
      </c>
    </row>
    <row r="233" spans="5:44" x14ac:dyDescent="0.25">
      <c r="I233" t="str">
        <f t="shared" si="18"/>
        <v>sengoku</v>
      </c>
      <c r="J233" t="str">
        <f t="shared" si="19"/>
        <v/>
      </c>
      <c r="L233" t="str">
        <f t="shared" si="22"/>
        <v>NGM-017 (MVS), NGH-017 (AES)</v>
      </c>
      <c r="M233" t="str">
        <f t="shared" si="22"/>
        <v>19910212 (MVS), 19910701 (AES)</v>
      </c>
      <c r="N233" t="str">
        <f t="shared" si="22"/>
        <v>戦国伝承</v>
      </c>
      <c r="O233" t="str">
        <f t="shared" si="22"/>
        <v/>
      </c>
      <c r="P233" t="str">
        <f t="shared" si="22"/>
        <v/>
      </c>
      <c r="S233" t="s">
        <v>36</v>
      </c>
      <c r="T233" t="str">
        <f t="shared" si="20"/>
        <v>sengokucompatibility</v>
      </c>
      <c r="U233" t="s">
        <v>218</v>
      </c>
      <c r="V233" t="str">
        <f t="shared" si="21"/>
        <v>MVS,AES</v>
      </c>
      <c r="W233" t="str">
        <f t="shared" si="21"/>
        <v>MVS,AES</v>
      </c>
      <c r="AB233" t="s">
        <v>29</v>
      </c>
      <c r="AE233" t="s">
        <v>27</v>
      </c>
      <c r="AH233" t="s">
        <v>7125</v>
      </c>
      <c r="AI233" t="s">
        <v>9</v>
      </c>
      <c r="AJ233" t="s">
        <v>27</v>
      </c>
      <c r="AK233" t="s">
        <v>7124</v>
      </c>
      <c r="AL233" t="s">
        <v>7123</v>
      </c>
    </row>
    <row r="234" spans="5:44" x14ac:dyDescent="0.25">
      <c r="I234" t="str">
        <f t="shared" si="18"/>
        <v>sengoku</v>
      </c>
      <c r="J234" t="str">
        <f t="shared" si="19"/>
        <v/>
      </c>
      <c r="L234" t="str">
        <f t="shared" si="22"/>
        <v>NGM-017 (MVS), NGH-017 (AES)</v>
      </c>
      <c r="M234" t="str">
        <f t="shared" si="22"/>
        <v>19910212 (MVS), 19910701 (AES)</v>
      </c>
      <c r="N234" t="str">
        <f t="shared" si="22"/>
        <v>戦国伝承</v>
      </c>
      <c r="O234" t="str">
        <f t="shared" si="22"/>
        <v/>
      </c>
      <c r="P234" t="str">
        <f t="shared" si="22"/>
        <v/>
      </c>
      <c r="T234" t="str">
        <f t="shared" si="20"/>
        <v/>
      </c>
      <c r="V234" t="str">
        <f t="shared" si="21"/>
        <v>MVS,AES</v>
      </c>
      <c r="W234" t="str">
        <f t="shared" si="21"/>
        <v>MVS,AES</v>
      </c>
      <c r="AB234" t="s">
        <v>24</v>
      </c>
      <c r="AE234" t="s">
        <v>3</v>
      </c>
      <c r="AH234" t="s">
        <v>7122</v>
      </c>
      <c r="AI234" t="s">
        <v>9</v>
      </c>
      <c r="AJ234" t="s">
        <v>15</v>
      </c>
      <c r="AK234" t="s">
        <v>7121</v>
      </c>
      <c r="AL234" t="s">
        <v>7120</v>
      </c>
    </row>
    <row r="235" spans="5:44" x14ac:dyDescent="0.25">
      <c r="I235" t="str">
        <f t="shared" si="18"/>
        <v>sengoku</v>
      </c>
      <c r="J235" t="str">
        <f t="shared" si="19"/>
        <v/>
      </c>
      <c r="L235" t="str">
        <f t="shared" si="22"/>
        <v>NGM-017 (MVS), NGH-017 (AES)</v>
      </c>
      <c r="M235" t="str">
        <f t="shared" si="22"/>
        <v>19910212 (MVS), 19910701 (AES)</v>
      </c>
      <c r="N235" t="str">
        <f t="shared" si="22"/>
        <v>戦国伝承</v>
      </c>
      <c r="O235" t="str">
        <f t="shared" si="22"/>
        <v/>
      </c>
      <c r="P235" t="str">
        <f t="shared" si="22"/>
        <v/>
      </c>
      <c r="T235" t="str">
        <f t="shared" si="20"/>
        <v/>
      </c>
      <c r="V235" t="str">
        <f t="shared" si="21"/>
        <v>MVS,AES</v>
      </c>
      <c r="W235" t="str">
        <f t="shared" si="21"/>
        <v>MVS,AES</v>
      </c>
      <c r="AH235" t="s">
        <v>7119</v>
      </c>
      <c r="AI235" t="s">
        <v>15</v>
      </c>
      <c r="AJ235" t="s">
        <v>15</v>
      </c>
      <c r="AK235" t="s">
        <v>7118</v>
      </c>
      <c r="AL235" t="s">
        <v>7117</v>
      </c>
    </row>
    <row r="236" spans="5:44" x14ac:dyDescent="0.25">
      <c r="I236" t="str">
        <f t="shared" si="18"/>
        <v>sengoku</v>
      </c>
      <c r="J236" t="str">
        <f t="shared" si="19"/>
        <v/>
      </c>
      <c r="L236" t="str">
        <f t="shared" si="22"/>
        <v>NGM-017 (MVS), NGH-017 (AES)</v>
      </c>
      <c r="M236" t="str">
        <f t="shared" si="22"/>
        <v>19910212 (MVS), 19910701 (AES)</v>
      </c>
      <c r="N236" t="str">
        <f t="shared" si="22"/>
        <v>戦国伝承</v>
      </c>
      <c r="O236" t="str">
        <f t="shared" si="22"/>
        <v/>
      </c>
      <c r="P236" t="str">
        <f t="shared" si="22"/>
        <v/>
      </c>
      <c r="T236" t="str">
        <f t="shared" si="20"/>
        <v/>
      </c>
      <c r="V236" t="str">
        <f t="shared" si="21"/>
        <v>MVS,AES</v>
      </c>
      <c r="W236" t="str">
        <f t="shared" si="21"/>
        <v>MVS,AES</v>
      </c>
      <c r="AB236" t="s">
        <v>12</v>
      </c>
      <c r="AE236" t="s">
        <v>11</v>
      </c>
      <c r="AG236" t="s">
        <v>6</v>
      </c>
      <c r="AH236" t="s">
        <v>7116</v>
      </c>
      <c r="AI236" t="s">
        <v>9</v>
      </c>
      <c r="AJ236" t="s">
        <v>15</v>
      </c>
      <c r="AK236" t="s">
        <v>7115</v>
      </c>
      <c r="AL236" t="s">
        <v>7114</v>
      </c>
    </row>
    <row r="237" spans="5:44" x14ac:dyDescent="0.25">
      <c r="I237" t="str">
        <f t="shared" si="18"/>
        <v>sengoku</v>
      </c>
      <c r="J237" t="str">
        <f t="shared" si="19"/>
        <v/>
      </c>
      <c r="L237" t="str">
        <f t="shared" si="22"/>
        <v>NGM-017 (MVS), NGH-017 (AES)</v>
      </c>
      <c r="M237" t="str">
        <f t="shared" si="22"/>
        <v>19910212 (MVS), 19910701 (AES)</v>
      </c>
      <c r="N237" t="str">
        <f t="shared" si="22"/>
        <v>戦国伝承</v>
      </c>
      <c r="O237" t="str">
        <f t="shared" si="22"/>
        <v/>
      </c>
      <c r="P237" t="str">
        <f t="shared" si="22"/>
        <v/>
      </c>
      <c r="T237" t="str">
        <f t="shared" si="20"/>
        <v/>
      </c>
      <c r="V237" t="str">
        <f t="shared" si="21"/>
        <v>MVS,AES</v>
      </c>
      <c r="W237" t="str">
        <f t="shared" si="21"/>
        <v>MVS,AES</v>
      </c>
      <c r="AG237" t="s">
        <v>6</v>
      </c>
      <c r="AH237" t="s">
        <v>7113</v>
      </c>
      <c r="AI237" t="s">
        <v>4</v>
      </c>
      <c r="AJ237" t="s">
        <v>15</v>
      </c>
      <c r="AK237" t="s">
        <v>7112</v>
      </c>
      <c r="AL237" t="s">
        <v>7111</v>
      </c>
    </row>
    <row r="238" spans="5:44" x14ac:dyDescent="0.25">
      <c r="I238" t="str">
        <f t="shared" si="18"/>
        <v>sengoku</v>
      </c>
      <c r="J238" t="str">
        <f t="shared" si="19"/>
        <v/>
      </c>
      <c r="L238" t="str">
        <f t="shared" si="22"/>
        <v>NGM-017 (MVS), NGH-017 (AES)</v>
      </c>
      <c r="M238" t="str">
        <f t="shared" si="22"/>
        <v>19910212 (MVS), 19910701 (AES)</v>
      </c>
      <c r="N238" t="str">
        <f t="shared" si="22"/>
        <v>戦国伝承</v>
      </c>
      <c r="O238" t="str">
        <f t="shared" si="22"/>
        <v/>
      </c>
      <c r="P238" t="str">
        <f t="shared" si="22"/>
        <v/>
      </c>
      <c r="T238" t="str">
        <f t="shared" si="20"/>
        <v/>
      </c>
      <c r="V238" t="str">
        <f t="shared" si="21"/>
        <v>MVS,AES</v>
      </c>
      <c r="W238" t="str">
        <f t="shared" si="21"/>
        <v>MVS,AES</v>
      </c>
      <c r="AG238" t="s">
        <v>6</v>
      </c>
      <c r="AH238" t="s">
        <v>7110</v>
      </c>
      <c r="AI238" t="s">
        <v>3</v>
      </c>
      <c r="AJ238" t="s">
        <v>15</v>
      </c>
      <c r="AK238" t="s">
        <v>7109</v>
      </c>
      <c r="AL238" t="s">
        <v>7108</v>
      </c>
    </row>
    <row r="239" spans="5:44" x14ac:dyDescent="0.25">
      <c r="I239" t="str">
        <f t="shared" si="18"/>
        <v>sengoku</v>
      </c>
      <c r="J239" t="str">
        <f t="shared" si="19"/>
        <v/>
      </c>
      <c r="L239" t="str">
        <f t="shared" si="22"/>
        <v>NGM-017 (MVS), NGH-017 (AES)</v>
      </c>
      <c r="M239" t="str">
        <f t="shared" si="22"/>
        <v>19910212 (MVS), 19910701 (AES)</v>
      </c>
      <c r="N239" t="str">
        <f t="shared" si="22"/>
        <v>戦国伝承</v>
      </c>
      <c r="O239" t="str">
        <f t="shared" si="22"/>
        <v/>
      </c>
      <c r="P239" t="str">
        <f t="shared" si="22"/>
        <v/>
      </c>
      <c r="T239" t="str">
        <f t="shared" si="20"/>
        <v/>
      </c>
      <c r="V239" t="str">
        <f t="shared" si="21"/>
        <v>MVS,AES</v>
      </c>
      <c r="W239" t="str">
        <f t="shared" si="21"/>
        <v>MVS,AES</v>
      </c>
      <c r="AG239" t="s">
        <v>6</v>
      </c>
      <c r="AH239" t="s">
        <v>7107</v>
      </c>
      <c r="AI239" t="s">
        <v>4371</v>
      </c>
      <c r="AJ239" t="s">
        <v>15</v>
      </c>
      <c r="AK239" t="s">
        <v>7106</v>
      </c>
      <c r="AL239" t="s">
        <v>7105</v>
      </c>
    </row>
    <row r="240" spans="5:44" x14ac:dyDescent="0.25">
      <c r="E240" t="s">
        <v>7138</v>
      </c>
      <c r="F240" t="s">
        <v>7137</v>
      </c>
      <c r="G240" t="s">
        <v>6279</v>
      </c>
      <c r="H240" t="s">
        <v>1912</v>
      </c>
      <c r="I240" t="str">
        <f t="shared" si="18"/>
        <v>sengokuh</v>
      </c>
      <c r="J240" t="str">
        <f t="shared" si="19"/>
        <v>sengokuhserial</v>
      </c>
      <c r="K240" t="s">
        <v>1373</v>
      </c>
      <c r="L240" t="str">
        <f t="shared" si="22"/>
        <v>NGH-017 (AES)</v>
      </c>
      <c r="M240" t="str">
        <f t="shared" si="22"/>
        <v/>
      </c>
      <c r="N240" t="str">
        <f t="shared" si="22"/>
        <v/>
      </c>
      <c r="O240" t="str">
        <f t="shared" si="22"/>
        <v/>
      </c>
      <c r="P240" t="str">
        <f t="shared" si="22"/>
        <v/>
      </c>
      <c r="Q240" t="s">
        <v>7136</v>
      </c>
      <c r="S240" t="s">
        <v>46</v>
      </c>
      <c r="T240" t="str">
        <f t="shared" si="20"/>
        <v>sengokuhrelease</v>
      </c>
      <c r="U240" t="s">
        <v>35</v>
      </c>
      <c r="V240" t="str">
        <f t="shared" si="21"/>
        <v>AES</v>
      </c>
      <c r="W240" t="str">
        <f t="shared" si="21"/>
        <v>MVS,AES</v>
      </c>
      <c r="Y240" t="s">
        <v>45</v>
      </c>
      <c r="Z240" t="s">
        <v>44</v>
      </c>
      <c r="AB240" t="s">
        <v>43</v>
      </c>
      <c r="AC240" t="s">
        <v>42</v>
      </c>
      <c r="AD240" t="s">
        <v>41</v>
      </c>
      <c r="AE240" t="s">
        <v>15</v>
      </c>
      <c r="AG240" t="s">
        <v>40</v>
      </c>
      <c r="AH240" t="s">
        <v>7135</v>
      </c>
      <c r="AI240" t="s">
        <v>9</v>
      </c>
      <c r="AJ240" t="s">
        <v>92</v>
      </c>
      <c r="AK240" t="s">
        <v>7134</v>
      </c>
      <c r="AL240" t="s">
        <v>7133</v>
      </c>
      <c r="AR240" t="s">
        <v>7132</v>
      </c>
    </row>
    <row r="241" spans="5:38" x14ac:dyDescent="0.25">
      <c r="I241" t="str">
        <f t="shared" si="18"/>
        <v>sengokuh</v>
      </c>
      <c r="J241" t="str">
        <f t="shared" si="19"/>
        <v/>
      </c>
      <c r="L241" t="str">
        <f t="shared" si="22"/>
        <v>NGH-017 (AES)</v>
      </c>
      <c r="M241" t="str">
        <f t="shared" si="22"/>
        <v/>
      </c>
      <c r="N241" t="str">
        <f t="shared" si="22"/>
        <v/>
      </c>
      <c r="O241" t="str">
        <f t="shared" si="22"/>
        <v/>
      </c>
      <c r="P241" t="str">
        <f t="shared" si="22"/>
        <v/>
      </c>
      <c r="S241" t="s">
        <v>36</v>
      </c>
      <c r="T241" t="str">
        <f t="shared" si="20"/>
        <v>sengokuhcompatibility</v>
      </c>
      <c r="U241" t="s">
        <v>218</v>
      </c>
      <c r="V241" t="str">
        <f t="shared" si="21"/>
        <v>AES</v>
      </c>
      <c r="W241" t="str">
        <f t="shared" si="21"/>
        <v>MVS,AES</v>
      </c>
      <c r="AG241" t="s">
        <v>40</v>
      </c>
      <c r="AH241" t="s">
        <v>7131</v>
      </c>
      <c r="AI241" t="s">
        <v>92</v>
      </c>
      <c r="AJ241" t="s">
        <v>27</v>
      </c>
      <c r="AK241" t="s">
        <v>7130</v>
      </c>
      <c r="AL241" t="s">
        <v>7129</v>
      </c>
    </row>
    <row r="242" spans="5:38" x14ac:dyDescent="0.25">
      <c r="I242" t="str">
        <f t="shared" si="18"/>
        <v>sengokuh</v>
      </c>
      <c r="J242" t="str">
        <f t="shared" si="19"/>
        <v/>
      </c>
      <c r="L242" t="str">
        <f t="shared" si="22"/>
        <v>NGH-017 (AES)</v>
      </c>
      <c r="M242" t="str">
        <f t="shared" si="22"/>
        <v/>
      </c>
      <c r="N242" t="str">
        <f t="shared" si="22"/>
        <v/>
      </c>
      <c r="O242" t="str">
        <f t="shared" si="22"/>
        <v/>
      </c>
      <c r="P242" t="str">
        <f t="shared" si="22"/>
        <v/>
      </c>
      <c r="T242" t="str">
        <f t="shared" si="20"/>
        <v/>
      </c>
      <c r="V242" t="str">
        <f t="shared" si="21"/>
        <v>AES</v>
      </c>
      <c r="W242" t="str">
        <f t="shared" si="21"/>
        <v>MVS,AES</v>
      </c>
      <c r="AB242" t="s">
        <v>34</v>
      </c>
      <c r="AE242" t="s">
        <v>33</v>
      </c>
      <c r="AH242" t="s">
        <v>7128</v>
      </c>
      <c r="AI242" t="s">
        <v>9</v>
      </c>
      <c r="AJ242" t="s">
        <v>27</v>
      </c>
      <c r="AK242" t="s">
        <v>7127</v>
      </c>
      <c r="AL242" t="s">
        <v>7126</v>
      </c>
    </row>
    <row r="243" spans="5:38" x14ac:dyDescent="0.25">
      <c r="I243" t="str">
        <f t="shared" si="18"/>
        <v>sengokuh</v>
      </c>
      <c r="J243" t="str">
        <f t="shared" si="19"/>
        <v/>
      </c>
      <c r="L243" t="str">
        <f t="shared" si="22"/>
        <v>NGH-017 (AES)</v>
      </c>
      <c r="M243" t="str">
        <f t="shared" si="22"/>
        <v/>
      </c>
      <c r="N243" t="str">
        <f t="shared" si="22"/>
        <v/>
      </c>
      <c r="O243" t="str">
        <f t="shared" si="22"/>
        <v/>
      </c>
      <c r="P243" t="str">
        <f t="shared" si="22"/>
        <v/>
      </c>
      <c r="T243" t="str">
        <f t="shared" si="20"/>
        <v/>
      </c>
      <c r="V243" t="str">
        <f t="shared" si="21"/>
        <v>AES</v>
      </c>
      <c r="W243" t="str">
        <f t="shared" si="21"/>
        <v>MVS,AES</v>
      </c>
      <c r="AB243" t="s">
        <v>29</v>
      </c>
      <c r="AE243" t="s">
        <v>27</v>
      </c>
      <c r="AH243" t="s">
        <v>7125</v>
      </c>
      <c r="AI243" t="s">
        <v>9</v>
      </c>
      <c r="AJ243" t="s">
        <v>27</v>
      </c>
      <c r="AK243" t="s">
        <v>7124</v>
      </c>
      <c r="AL243" t="s">
        <v>7123</v>
      </c>
    </row>
    <row r="244" spans="5:38" x14ac:dyDescent="0.25">
      <c r="I244" t="str">
        <f t="shared" si="18"/>
        <v>sengokuh</v>
      </c>
      <c r="J244" t="str">
        <f t="shared" si="19"/>
        <v/>
      </c>
      <c r="L244" t="str">
        <f t="shared" si="22"/>
        <v>NGH-017 (AES)</v>
      </c>
      <c r="M244" t="str">
        <f t="shared" si="22"/>
        <v/>
      </c>
      <c r="N244" t="str">
        <f t="shared" si="22"/>
        <v/>
      </c>
      <c r="O244" t="str">
        <f t="shared" si="22"/>
        <v/>
      </c>
      <c r="P244" t="str">
        <f t="shared" si="22"/>
        <v/>
      </c>
      <c r="T244" t="str">
        <f t="shared" si="20"/>
        <v/>
      </c>
      <c r="V244" t="str">
        <f t="shared" si="21"/>
        <v>AES</v>
      </c>
      <c r="W244" t="str">
        <f t="shared" si="21"/>
        <v>MVS,AES</v>
      </c>
      <c r="AB244" t="s">
        <v>24</v>
      </c>
      <c r="AE244" t="s">
        <v>3</v>
      </c>
      <c r="AH244" t="s">
        <v>7122</v>
      </c>
      <c r="AI244" t="s">
        <v>9</v>
      </c>
      <c r="AJ244" t="s">
        <v>15</v>
      </c>
      <c r="AK244" t="s">
        <v>7121</v>
      </c>
      <c r="AL244" t="s">
        <v>7120</v>
      </c>
    </row>
    <row r="245" spans="5:38" x14ac:dyDescent="0.25">
      <c r="I245" t="str">
        <f t="shared" si="18"/>
        <v>sengokuh</v>
      </c>
      <c r="J245" t="str">
        <f t="shared" si="19"/>
        <v/>
      </c>
      <c r="L245" t="str">
        <f t="shared" si="22"/>
        <v>NGH-017 (AES)</v>
      </c>
      <c r="M245" t="str">
        <f t="shared" si="22"/>
        <v/>
      </c>
      <c r="N245" t="str">
        <f t="shared" si="22"/>
        <v/>
      </c>
      <c r="O245" t="str">
        <f t="shared" si="22"/>
        <v/>
      </c>
      <c r="P245" t="str">
        <f t="shared" si="22"/>
        <v/>
      </c>
      <c r="T245" t="str">
        <f t="shared" si="20"/>
        <v/>
      </c>
      <c r="V245" t="str">
        <f t="shared" si="21"/>
        <v>AES</v>
      </c>
      <c r="W245" t="str">
        <f t="shared" si="21"/>
        <v>MVS,AES</v>
      </c>
      <c r="AH245" t="s">
        <v>7119</v>
      </c>
      <c r="AI245" t="s">
        <v>15</v>
      </c>
      <c r="AJ245" t="s">
        <v>15</v>
      </c>
      <c r="AK245" t="s">
        <v>7118</v>
      </c>
      <c r="AL245" t="s">
        <v>7117</v>
      </c>
    </row>
    <row r="246" spans="5:38" x14ac:dyDescent="0.25">
      <c r="I246" t="str">
        <f t="shared" si="18"/>
        <v>sengokuh</v>
      </c>
      <c r="J246" t="str">
        <f t="shared" si="19"/>
        <v/>
      </c>
      <c r="L246" t="str">
        <f t="shared" si="22"/>
        <v>NGH-017 (AES)</v>
      </c>
      <c r="M246" t="str">
        <f t="shared" si="22"/>
        <v/>
      </c>
      <c r="N246" t="str">
        <f t="shared" si="22"/>
        <v/>
      </c>
      <c r="O246" t="str">
        <f t="shared" si="22"/>
        <v/>
      </c>
      <c r="P246" t="str">
        <f t="shared" si="22"/>
        <v/>
      </c>
      <c r="T246" t="str">
        <f t="shared" si="20"/>
        <v/>
      </c>
      <c r="V246" t="str">
        <f t="shared" si="21"/>
        <v>AES</v>
      </c>
      <c r="W246" t="str">
        <f t="shared" si="21"/>
        <v>MVS,AES</v>
      </c>
      <c r="AB246" t="s">
        <v>12</v>
      </c>
      <c r="AE246" t="s">
        <v>11</v>
      </c>
      <c r="AG246" t="s">
        <v>6</v>
      </c>
      <c r="AH246" t="s">
        <v>7116</v>
      </c>
      <c r="AI246" t="s">
        <v>9</v>
      </c>
      <c r="AJ246" t="s">
        <v>15</v>
      </c>
      <c r="AK246" t="s">
        <v>7115</v>
      </c>
      <c r="AL246" t="s">
        <v>7114</v>
      </c>
    </row>
    <row r="247" spans="5:38" x14ac:dyDescent="0.25">
      <c r="I247" t="str">
        <f t="shared" si="18"/>
        <v>sengokuh</v>
      </c>
      <c r="J247" t="str">
        <f t="shared" si="19"/>
        <v/>
      </c>
      <c r="L247" t="str">
        <f t="shared" si="22"/>
        <v>NGH-017 (AES)</v>
      </c>
      <c r="M247" t="str">
        <f t="shared" si="22"/>
        <v/>
      </c>
      <c r="N247" t="str">
        <f t="shared" si="22"/>
        <v/>
      </c>
      <c r="O247" t="str">
        <f t="shared" si="22"/>
        <v/>
      </c>
      <c r="P247" t="str">
        <f t="shared" si="22"/>
        <v/>
      </c>
      <c r="T247" t="str">
        <f t="shared" si="20"/>
        <v/>
      </c>
      <c r="V247" t="str">
        <f t="shared" si="21"/>
        <v>AES</v>
      </c>
      <c r="W247" t="str">
        <f t="shared" si="21"/>
        <v>MVS,AES</v>
      </c>
      <c r="AG247" t="s">
        <v>6</v>
      </c>
      <c r="AH247" t="s">
        <v>7113</v>
      </c>
      <c r="AI247" t="s">
        <v>4</v>
      </c>
      <c r="AJ247" t="s">
        <v>15</v>
      </c>
      <c r="AK247" t="s">
        <v>7112</v>
      </c>
      <c r="AL247" t="s">
        <v>7111</v>
      </c>
    </row>
    <row r="248" spans="5:38" x14ac:dyDescent="0.25">
      <c r="I248" t="str">
        <f t="shared" si="18"/>
        <v>sengokuh</v>
      </c>
      <c r="J248" t="str">
        <f t="shared" si="19"/>
        <v/>
      </c>
      <c r="L248" t="str">
        <f t="shared" si="22"/>
        <v>NGH-017 (AES)</v>
      </c>
      <c r="M248" t="str">
        <f t="shared" si="22"/>
        <v/>
      </c>
      <c r="N248" t="str">
        <f t="shared" si="22"/>
        <v/>
      </c>
      <c r="O248" t="str">
        <f t="shared" si="22"/>
        <v/>
      </c>
      <c r="P248" t="str">
        <f t="shared" si="22"/>
        <v/>
      </c>
      <c r="T248" t="str">
        <f t="shared" si="20"/>
        <v/>
      </c>
      <c r="V248" t="str">
        <f t="shared" si="21"/>
        <v>AES</v>
      </c>
      <c r="W248" t="str">
        <f t="shared" si="21"/>
        <v>MVS,AES</v>
      </c>
      <c r="AG248" t="s">
        <v>6</v>
      </c>
      <c r="AH248" t="s">
        <v>7110</v>
      </c>
      <c r="AI248" t="s">
        <v>3</v>
      </c>
      <c r="AJ248" t="s">
        <v>15</v>
      </c>
      <c r="AK248" t="s">
        <v>7109</v>
      </c>
      <c r="AL248" t="s">
        <v>7108</v>
      </c>
    </row>
    <row r="249" spans="5:38" x14ac:dyDescent="0.25">
      <c r="I249" t="str">
        <f t="shared" si="18"/>
        <v>sengokuh</v>
      </c>
      <c r="J249" t="str">
        <f t="shared" si="19"/>
        <v/>
      </c>
      <c r="L249" t="str">
        <f t="shared" si="22"/>
        <v>NGH-017 (AES)</v>
      </c>
      <c r="M249" t="str">
        <f t="shared" si="22"/>
        <v/>
      </c>
      <c r="N249" t="str">
        <f t="shared" si="22"/>
        <v/>
      </c>
      <c r="O249" t="str">
        <f t="shared" si="22"/>
        <v/>
      </c>
      <c r="P249" t="str">
        <f t="shared" si="22"/>
        <v/>
      </c>
      <c r="T249" t="str">
        <f t="shared" si="20"/>
        <v/>
      </c>
      <c r="V249" t="str">
        <f t="shared" si="21"/>
        <v>AES</v>
      </c>
      <c r="W249" t="str">
        <f t="shared" si="21"/>
        <v>MVS,AES</v>
      </c>
      <c r="AG249" t="s">
        <v>6</v>
      </c>
      <c r="AH249" t="s">
        <v>7107</v>
      </c>
      <c r="AI249" t="s">
        <v>4371</v>
      </c>
      <c r="AJ249" t="s">
        <v>15</v>
      </c>
      <c r="AK249" t="s">
        <v>7106</v>
      </c>
      <c r="AL249" t="s">
        <v>7105</v>
      </c>
    </row>
    <row r="250" spans="5:38" x14ac:dyDescent="0.25">
      <c r="E250" t="s">
        <v>6968</v>
      </c>
      <c r="F250" t="s">
        <v>7104</v>
      </c>
      <c r="G250" t="s">
        <v>6279</v>
      </c>
      <c r="H250" t="s">
        <v>1912</v>
      </c>
      <c r="I250" t="str">
        <f t="shared" si="18"/>
        <v>burningf</v>
      </c>
      <c r="J250" t="str">
        <f t="shared" si="19"/>
        <v>burningfserial</v>
      </c>
      <c r="K250" t="s">
        <v>1373</v>
      </c>
      <c r="L250" t="str">
        <f t="shared" si="22"/>
        <v>NGM-018 (MVS), NGH-018 (AES)</v>
      </c>
      <c r="M250" t="str">
        <f t="shared" si="22"/>
        <v>19910520 (MVS), 19910809 (AES)</v>
      </c>
      <c r="N250" t="str">
        <f t="shared" si="22"/>
        <v>バーニングファイト</v>
      </c>
      <c r="O250" t="str">
        <f t="shared" si="22"/>
        <v/>
      </c>
      <c r="P250" t="str">
        <f t="shared" si="22"/>
        <v/>
      </c>
      <c r="Q250" t="s">
        <v>7103</v>
      </c>
      <c r="S250" t="s">
        <v>46</v>
      </c>
      <c r="T250" t="str">
        <f t="shared" si="20"/>
        <v>burningfrelease</v>
      </c>
      <c r="U250" t="s">
        <v>218</v>
      </c>
      <c r="V250" t="str">
        <f t="shared" si="21"/>
        <v>MVS,AES</v>
      </c>
      <c r="W250" t="str">
        <f t="shared" si="21"/>
        <v>MVS,AES</v>
      </c>
      <c r="Y250" t="s">
        <v>45</v>
      </c>
      <c r="Z250" t="s">
        <v>44</v>
      </c>
      <c r="AB250" t="s">
        <v>43</v>
      </c>
      <c r="AC250" t="s">
        <v>42</v>
      </c>
      <c r="AD250" t="s">
        <v>41</v>
      </c>
      <c r="AE250" t="s">
        <v>15</v>
      </c>
      <c r="AG250" t="s">
        <v>40</v>
      </c>
      <c r="AH250" t="s">
        <v>7102</v>
      </c>
      <c r="AI250" t="s">
        <v>9</v>
      </c>
      <c r="AJ250" t="s">
        <v>92</v>
      </c>
      <c r="AK250" t="s">
        <v>7101</v>
      </c>
      <c r="AL250" t="s">
        <v>7100</v>
      </c>
    </row>
    <row r="251" spans="5:38" x14ac:dyDescent="0.25">
      <c r="I251" t="str">
        <f t="shared" si="18"/>
        <v>burningf</v>
      </c>
      <c r="J251" t="str">
        <f t="shared" si="19"/>
        <v>burningfrelease</v>
      </c>
      <c r="K251" t="s">
        <v>46</v>
      </c>
      <c r="L251" t="str">
        <f t="shared" si="22"/>
        <v>NGM-018 (MVS), NGH-018 (AES)</v>
      </c>
      <c r="M251" t="str">
        <f t="shared" si="22"/>
        <v>19910520 (MVS), 19910809 (AES)</v>
      </c>
      <c r="N251" t="str">
        <f t="shared" si="22"/>
        <v>バーニングファイト</v>
      </c>
      <c r="O251" t="str">
        <f t="shared" si="22"/>
        <v/>
      </c>
      <c r="P251" t="str">
        <f t="shared" si="22"/>
        <v/>
      </c>
      <c r="Q251" t="s">
        <v>7099</v>
      </c>
      <c r="T251" t="str">
        <f t="shared" si="20"/>
        <v/>
      </c>
      <c r="V251" t="str">
        <f t="shared" si="21"/>
        <v>MVS,AES</v>
      </c>
      <c r="W251" t="str">
        <f t="shared" si="21"/>
        <v>MVS,AES</v>
      </c>
      <c r="AB251" t="s">
        <v>34</v>
      </c>
      <c r="AE251" t="s">
        <v>33</v>
      </c>
      <c r="AH251" t="s">
        <v>7091</v>
      </c>
      <c r="AI251" t="s">
        <v>9</v>
      </c>
      <c r="AJ251" t="s">
        <v>27</v>
      </c>
      <c r="AK251" t="s">
        <v>7060</v>
      </c>
      <c r="AL251" t="s">
        <v>7059</v>
      </c>
    </row>
    <row r="252" spans="5:38" x14ac:dyDescent="0.25">
      <c r="I252" t="str">
        <f t="shared" si="18"/>
        <v>burningf</v>
      </c>
      <c r="J252" t="str">
        <f t="shared" si="19"/>
        <v>burningfalt_title</v>
      </c>
      <c r="K252" t="s">
        <v>1218</v>
      </c>
      <c r="L252" t="str">
        <f t="shared" si="22"/>
        <v>NGM-018 (MVS), NGH-018 (AES)</v>
      </c>
      <c r="M252" t="str">
        <f t="shared" si="22"/>
        <v>19910520 (MVS), 19910809 (AES)</v>
      </c>
      <c r="N252" t="str">
        <f t="shared" si="22"/>
        <v>バーニングファイト</v>
      </c>
      <c r="O252" t="str">
        <f t="shared" si="22"/>
        <v/>
      </c>
      <c r="P252" t="str">
        <f t="shared" si="22"/>
        <v/>
      </c>
      <c r="Q252" t="s">
        <v>7098</v>
      </c>
      <c r="T252" t="str">
        <f t="shared" si="20"/>
        <v/>
      </c>
      <c r="V252" t="str">
        <f t="shared" si="21"/>
        <v>MVS,AES</v>
      </c>
      <c r="W252" t="str">
        <f t="shared" si="21"/>
        <v>MVS,AES</v>
      </c>
      <c r="AB252" t="s">
        <v>29</v>
      </c>
      <c r="AE252" t="s">
        <v>27</v>
      </c>
      <c r="AH252" t="s">
        <v>7090</v>
      </c>
      <c r="AI252" t="s">
        <v>9</v>
      </c>
      <c r="AJ252" t="s">
        <v>27</v>
      </c>
      <c r="AK252" t="s">
        <v>7089</v>
      </c>
      <c r="AL252" t="s">
        <v>7088</v>
      </c>
    </row>
    <row r="253" spans="5:38" x14ac:dyDescent="0.25">
      <c r="I253" t="str">
        <f t="shared" si="18"/>
        <v>burningf</v>
      </c>
      <c r="J253" t="str">
        <f t="shared" si="19"/>
        <v/>
      </c>
      <c r="L253" t="str">
        <f t="shared" si="22"/>
        <v>NGM-018 (MVS), NGH-018 (AES)</v>
      </c>
      <c r="M253" t="str">
        <f t="shared" si="22"/>
        <v>19910520 (MVS), 19910809 (AES)</v>
      </c>
      <c r="N253" t="str">
        <f t="shared" si="22"/>
        <v>バーニングファイト</v>
      </c>
      <c r="O253" t="str">
        <f t="shared" si="22"/>
        <v/>
      </c>
      <c r="P253" t="str">
        <f t="shared" si="22"/>
        <v/>
      </c>
      <c r="S253" t="s">
        <v>36</v>
      </c>
      <c r="T253" t="str">
        <f t="shared" si="20"/>
        <v>burningfcompatibility</v>
      </c>
      <c r="U253" t="s">
        <v>218</v>
      </c>
      <c r="V253" t="str">
        <f t="shared" si="21"/>
        <v>MVS,AES</v>
      </c>
      <c r="W253" t="str">
        <f t="shared" si="21"/>
        <v>MVS,AES</v>
      </c>
      <c r="AB253" t="s">
        <v>24</v>
      </c>
      <c r="AE253" t="s">
        <v>3</v>
      </c>
      <c r="AH253" t="s">
        <v>7087</v>
      </c>
      <c r="AI253" t="s">
        <v>9</v>
      </c>
      <c r="AJ253" t="s">
        <v>15</v>
      </c>
      <c r="AK253" t="s">
        <v>7086</v>
      </c>
      <c r="AL253" t="s">
        <v>7085</v>
      </c>
    </row>
    <row r="254" spans="5:38" x14ac:dyDescent="0.25">
      <c r="I254" t="str">
        <f t="shared" si="18"/>
        <v>burningf</v>
      </c>
      <c r="J254" t="str">
        <f t="shared" si="19"/>
        <v/>
      </c>
      <c r="L254" t="str">
        <f t="shared" si="22"/>
        <v>NGM-018 (MVS), NGH-018 (AES)</v>
      </c>
      <c r="M254" t="str">
        <f t="shared" si="22"/>
        <v>19910520 (MVS), 19910809 (AES)</v>
      </c>
      <c r="N254" t="str">
        <f t="shared" si="22"/>
        <v>バーニングファイト</v>
      </c>
      <c r="O254" t="str">
        <f t="shared" si="22"/>
        <v/>
      </c>
      <c r="P254" t="str">
        <f t="shared" si="22"/>
        <v/>
      </c>
      <c r="T254" t="str">
        <f t="shared" si="20"/>
        <v/>
      </c>
      <c r="V254" t="str">
        <f t="shared" si="21"/>
        <v>MVS,AES</v>
      </c>
      <c r="W254" t="str">
        <f t="shared" si="21"/>
        <v>MVS,AES</v>
      </c>
      <c r="AH254" t="s">
        <v>7084</v>
      </c>
      <c r="AI254" t="s">
        <v>15</v>
      </c>
      <c r="AJ254" t="s">
        <v>15</v>
      </c>
      <c r="AK254" t="s">
        <v>7083</v>
      </c>
      <c r="AL254" t="s">
        <v>7082</v>
      </c>
    </row>
    <row r="255" spans="5:38" x14ac:dyDescent="0.25">
      <c r="I255" t="str">
        <f t="shared" si="18"/>
        <v>burningf</v>
      </c>
      <c r="J255" t="str">
        <f t="shared" si="19"/>
        <v/>
      </c>
      <c r="L255" t="str">
        <f t="shared" si="22"/>
        <v>NGM-018 (MVS), NGH-018 (AES)</v>
      </c>
      <c r="M255" t="str">
        <f t="shared" si="22"/>
        <v>19910520 (MVS), 19910809 (AES)</v>
      </c>
      <c r="N255" t="str">
        <f t="shared" si="22"/>
        <v>バーニングファイト</v>
      </c>
      <c r="O255" t="str">
        <f t="shared" si="22"/>
        <v/>
      </c>
      <c r="P255" t="str">
        <f t="shared" si="22"/>
        <v/>
      </c>
      <c r="T255" t="str">
        <f t="shared" si="20"/>
        <v/>
      </c>
      <c r="V255" t="str">
        <f t="shared" si="21"/>
        <v>MVS,AES</v>
      </c>
      <c r="W255" t="str">
        <f t="shared" si="21"/>
        <v>MVS,AES</v>
      </c>
      <c r="AB255" t="s">
        <v>12</v>
      </c>
      <c r="AE255" t="s">
        <v>11</v>
      </c>
      <c r="AG255" t="s">
        <v>6</v>
      </c>
      <c r="AH255" t="s">
        <v>7081</v>
      </c>
      <c r="AI255" t="s">
        <v>9</v>
      </c>
      <c r="AJ255" t="s">
        <v>15</v>
      </c>
      <c r="AK255" t="s">
        <v>7080</v>
      </c>
      <c r="AL255" t="s">
        <v>7079</v>
      </c>
    </row>
    <row r="256" spans="5:38" x14ac:dyDescent="0.25">
      <c r="I256" t="str">
        <f t="shared" si="18"/>
        <v>burningf</v>
      </c>
      <c r="J256" t="str">
        <f t="shared" si="19"/>
        <v/>
      </c>
      <c r="L256" t="str">
        <f t="shared" si="22"/>
        <v>NGM-018 (MVS), NGH-018 (AES)</v>
      </c>
      <c r="M256" t="str">
        <f t="shared" si="22"/>
        <v>19910520 (MVS), 19910809 (AES)</v>
      </c>
      <c r="N256" t="str">
        <f t="shared" si="22"/>
        <v>バーニングファイト</v>
      </c>
      <c r="O256" t="str">
        <f t="shared" si="22"/>
        <v/>
      </c>
      <c r="P256" t="str">
        <f t="shared" si="22"/>
        <v/>
      </c>
      <c r="T256" t="str">
        <f t="shared" si="20"/>
        <v/>
      </c>
      <c r="V256" t="str">
        <f t="shared" si="21"/>
        <v>MVS,AES</v>
      </c>
      <c r="W256" t="str">
        <f t="shared" si="21"/>
        <v>MVS,AES</v>
      </c>
      <c r="AG256" t="s">
        <v>6</v>
      </c>
      <c r="AH256" t="s">
        <v>7078</v>
      </c>
      <c r="AI256" t="s">
        <v>4</v>
      </c>
      <c r="AJ256" t="s">
        <v>15</v>
      </c>
      <c r="AK256" t="s">
        <v>7077</v>
      </c>
      <c r="AL256" t="s">
        <v>7076</v>
      </c>
    </row>
    <row r="257" spans="5:44" x14ac:dyDescent="0.25">
      <c r="I257" t="str">
        <f t="shared" si="18"/>
        <v>burningf</v>
      </c>
      <c r="J257" t="str">
        <f t="shared" si="19"/>
        <v/>
      </c>
      <c r="L257" t="str">
        <f t="shared" si="22"/>
        <v>NGM-018 (MVS), NGH-018 (AES)</v>
      </c>
      <c r="M257" t="str">
        <f t="shared" si="22"/>
        <v>19910520 (MVS), 19910809 (AES)</v>
      </c>
      <c r="N257" t="str">
        <f t="shared" si="22"/>
        <v>バーニングファイト</v>
      </c>
      <c r="O257" t="str">
        <f t="shared" si="22"/>
        <v/>
      </c>
      <c r="P257" t="str">
        <f t="shared" si="22"/>
        <v/>
      </c>
      <c r="T257" t="str">
        <f t="shared" si="20"/>
        <v/>
      </c>
      <c r="V257" t="str">
        <f t="shared" si="21"/>
        <v>MVS,AES</v>
      </c>
      <c r="W257" t="str">
        <f t="shared" si="21"/>
        <v>MVS,AES</v>
      </c>
      <c r="AG257" t="s">
        <v>6</v>
      </c>
      <c r="AH257" t="s">
        <v>7075</v>
      </c>
      <c r="AI257" t="s">
        <v>3</v>
      </c>
      <c r="AJ257" t="s">
        <v>15</v>
      </c>
      <c r="AK257" t="s">
        <v>7074</v>
      </c>
      <c r="AL257" t="s">
        <v>7073</v>
      </c>
    </row>
    <row r="258" spans="5:44" x14ac:dyDescent="0.25">
      <c r="I258" t="str">
        <f t="shared" si="18"/>
        <v>burningf</v>
      </c>
      <c r="J258" t="str">
        <f t="shared" si="19"/>
        <v/>
      </c>
      <c r="L258" t="str">
        <f t="shared" si="22"/>
        <v>NGM-018 (MVS), NGH-018 (AES)</v>
      </c>
      <c r="M258" t="str">
        <f t="shared" si="22"/>
        <v>19910520 (MVS), 19910809 (AES)</v>
      </c>
      <c r="N258" t="str">
        <f t="shared" si="22"/>
        <v>バーニングファイト</v>
      </c>
      <c r="O258" t="str">
        <f t="shared" si="22"/>
        <v/>
      </c>
      <c r="P258" t="str">
        <f t="shared" si="22"/>
        <v/>
      </c>
      <c r="T258" t="str">
        <f t="shared" si="20"/>
        <v/>
      </c>
      <c r="V258" t="str">
        <f t="shared" si="21"/>
        <v>MVS,AES</v>
      </c>
      <c r="W258" t="str">
        <f t="shared" si="21"/>
        <v>MVS,AES</v>
      </c>
      <c r="AG258" t="s">
        <v>6</v>
      </c>
      <c r="AH258" t="s">
        <v>7072</v>
      </c>
      <c r="AI258" t="s">
        <v>4371</v>
      </c>
      <c r="AJ258" t="s">
        <v>15</v>
      </c>
      <c r="AK258" t="s">
        <v>7071</v>
      </c>
      <c r="AL258" t="s">
        <v>7070</v>
      </c>
    </row>
    <row r="259" spans="5:44" x14ac:dyDescent="0.25">
      <c r="E259" t="s">
        <v>7097</v>
      </c>
      <c r="F259" t="s">
        <v>7096</v>
      </c>
      <c r="G259" t="s">
        <v>6279</v>
      </c>
      <c r="H259" t="s">
        <v>1912</v>
      </c>
      <c r="I259" t="str">
        <f t="shared" ref="I259:I322" si="23">IF(E259="",I258,E259)</f>
        <v>burningfh</v>
      </c>
      <c r="J259" t="str">
        <f t="shared" ref="J259:J322" si="24">IF(K259="","",I259&amp;K259)</f>
        <v>burningfhserial</v>
      </c>
      <c r="K259" t="s">
        <v>1373</v>
      </c>
      <c r="L259" t="str">
        <f t="shared" si="22"/>
        <v>NGH-018 (AES)</v>
      </c>
      <c r="M259" t="str">
        <f t="shared" si="22"/>
        <v/>
      </c>
      <c r="N259" t="str">
        <f t="shared" si="22"/>
        <v/>
      </c>
      <c r="O259" t="str">
        <f t="shared" si="22"/>
        <v/>
      </c>
      <c r="P259" t="str">
        <f t="shared" si="22"/>
        <v/>
      </c>
      <c r="Q259" t="s">
        <v>7095</v>
      </c>
      <c r="S259" t="s">
        <v>46</v>
      </c>
      <c r="T259" t="str">
        <f t="shared" ref="T259:T322" si="25">IF(S259="","",I259&amp;S259)</f>
        <v>burningfhrelease</v>
      </c>
      <c r="U259" t="s">
        <v>35</v>
      </c>
      <c r="V259" t="str">
        <f t="shared" si="21"/>
        <v>AES</v>
      </c>
      <c r="W259" t="str">
        <f t="shared" si="21"/>
        <v>MVS,AES</v>
      </c>
      <c r="Y259" t="s">
        <v>45</v>
      </c>
      <c r="Z259" t="s">
        <v>44</v>
      </c>
      <c r="AB259" t="s">
        <v>43</v>
      </c>
      <c r="AC259" t="s">
        <v>42</v>
      </c>
      <c r="AD259" t="s">
        <v>41</v>
      </c>
      <c r="AE259" t="s">
        <v>15</v>
      </c>
      <c r="AG259" t="s">
        <v>40</v>
      </c>
      <c r="AH259" t="s">
        <v>7094</v>
      </c>
      <c r="AI259" t="s">
        <v>9</v>
      </c>
      <c r="AJ259" t="s">
        <v>92</v>
      </c>
      <c r="AK259" t="s">
        <v>7093</v>
      </c>
      <c r="AL259" t="s">
        <v>7092</v>
      </c>
      <c r="AR259" t="s">
        <v>6968</v>
      </c>
    </row>
    <row r="260" spans="5:44" x14ac:dyDescent="0.25">
      <c r="I260" t="str">
        <f t="shared" si="23"/>
        <v>burningfh</v>
      </c>
      <c r="J260" t="str">
        <f t="shared" si="24"/>
        <v/>
      </c>
      <c r="L260" t="str">
        <f t="shared" si="22"/>
        <v>NGH-018 (AES)</v>
      </c>
      <c r="M260" t="str">
        <f t="shared" si="22"/>
        <v/>
      </c>
      <c r="N260" t="str">
        <f t="shared" si="22"/>
        <v/>
      </c>
      <c r="O260" t="str">
        <f t="shared" si="22"/>
        <v/>
      </c>
      <c r="P260" t="str">
        <f t="shared" si="22"/>
        <v/>
      </c>
      <c r="S260" t="s">
        <v>36</v>
      </c>
      <c r="T260" t="str">
        <f t="shared" si="25"/>
        <v>burningfhcompatibility</v>
      </c>
      <c r="U260" t="s">
        <v>218</v>
      </c>
      <c r="V260" t="str">
        <f t="shared" si="21"/>
        <v>AES</v>
      </c>
      <c r="W260" t="str">
        <f t="shared" si="21"/>
        <v>MVS,AES</v>
      </c>
      <c r="AB260" t="s">
        <v>34</v>
      </c>
      <c r="AE260" t="s">
        <v>33</v>
      </c>
      <c r="AH260" t="s">
        <v>7091</v>
      </c>
      <c r="AI260" t="s">
        <v>9</v>
      </c>
      <c r="AJ260" t="s">
        <v>27</v>
      </c>
      <c r="AK260" t="s">
        <v>7060</v>
      </c>
      <c r="AL260" t="s">
        <v>7059</v>
      </c>
    </row>
    <row r="261" spans="5:44" x14ac:dyDescent="0.25">
      <c r="I261" t="str">
        <f t="shared" si="23"/>
        <v>burningfh</v>
      </c>
      <c r="J261" t="str">
        <f t="shared" si="24"/>
        <v/>
      </c>
      <c r="L261" t="str">
        <f t="shared" si="22"/>
        <v>NGH-018 (AES)</v>
      </c>
      <c r="M261" t="str">
        <f t="shared" si="22"/>
        <v/>
      </c>
      <c r="N261" t="str">
        <f t="shared" si="22"/>
        <v/>
      </c>
      <c r="O261" t="str">
        <f t="shared" si="22"/>
        <v/>
      </c>
      <c r="P261" t="str">
        <f t="shared" si="22"/>
        <v/>
      </c>
      <c r="T261" t="str">
        <f t="shared" si="25"/>
        <v/>
      </c>
      <c r="V261" t="str">
        <f t="shared" si="21"/>
        <v>AES</v>
      </c>
      <c r="W261" t="str">
        <f t="shared" si="21"/>
        <v>MVS,AES</v>
      </c>
      <c r="AB261" t="s">
        <v>29</v>
      </c>
      <c r="AE261" t="s">
        <v>27</v>
      </c>
      <c r="AH261" t="s">
        <v>7090</v>
      </c>
      <c r="AI261" t="s">
        <v>9</v>
      </c>
      <c r="AJ261" t="s">
        <v>27</v>
      </c>
      <c r="AK261" t="s">
        <v>7089</v>
      </c>
      <c r="AL261" t="s">
        <v>7088</v>
      </c>
    </row>
    <row r="262" spans="5:44" x14ac:dyDescent="0.25">
      <c r="I262" t="str">
        <f t="shared" si="23"/>
        <v>burningfh</v>
      </c>
      <c r="J262" t="str">
        <f t="shared" si="24"/>
        <v/>
      </c>
      <c r="L262" t="str">
        <f t="shared" si="22"/>
        <v>NGH-018 (AES)</v>
      </c>
      <c r="M262" t="str">
        <f t="shared" si="22"/>
        <v/>
      </c>
      <c r="N262" t="str">
        <f t="shared" si="22"/>
        <v/>
      </c>
      <c r="O262" t="str">
        <f t="shared" si="22"/>
        <v/>
      </c>
      <c r="P262" t="str">
        <f t="shared" si="22"/>
        <v/>
      </c>
      <c r="T262" t="str">
        <f t="shared" si="25"/>
        <v/>
      </c>
      <c r="V262" t="str">
        <f t="shared" si="21"/>
        <v>AES</v>
      </c>
      <c r="W262" t="str">
        <f t="shared" si="21"/>
        <v>MVS,AES</v>
      </c>
      <c r="AB262" t="s">
        <v>24</v>
      </c>
      <c r="AE262" t="s">
        <v>3</v>
      </c>
      <c r="AH262" t="s">
        <v>7087</v>
      </c>
      <c r="AI262" t="s">
        <v>9</v>
      </c>
      <c r="AJ262" t="s">
        <v>15</v>
      </c>
      <c r="AK262" t="s">
        <v>7086</v>
      </c>
      <c r="AL262" t="s">
        <v>7085</v>
      </c>
    </row>
    <row r="263" spans="5:44" x14ac:dyDescent="0.25">
      <c r="I263" t="str">
        <f t="shared" si="23"/>
        <v>burningfh</v>
      </c>
      <c r="J263" t="str">
        <f t="shared" si="24"/>
        <v/>
      </c>
      <c r="L263" t="str">
        <f t="shared" si="22"/>
        <v>NGH-018 (AES)</v>
      </c>
      <c r="M263" t="str">
        <f t="shared" si="22"/>
        <v/>
      </c>
      <c r="N263" t="str">
        <f t="shared" si="22"/>
        <v/>
      </c>
      <c r="O263" t="str">
        <f t="shared" si="22"/>
        <v/>
      </c>
      <c r="P263" t="str">
        <f t="shared" si="22"/>
        <v/>
      </c>
      <c r="T263" t="str">
        <f t="shared" si="25"/>
        <v/>
      </c>
      <c r="V263" t="str">
        <f t="shared" si="21"/>
        <v>AES</v>
      </c>
      <c r="W263" t="str">
        <f t="shared" si="21"/>
        <v>MVS,AES</v>
      </c>
      <c r="AH263" t="s">
        <v>7084</v>
      </c>
      <c r="AI263" t="s">
        <v>15</v>
      </c>
      <c r="AJ263" t="s">
        <v>15</v>
      </c>
      <c r="AK263" t="s">
        <v>7083</v>
      </c>
      <c r="AL263" t="s">
        <v>7082</v>
      </c>
    </row>
    <row r="264" spans="5:44" x14ac:dyDescent="0.25">
      <c r="I264" t="str">
        <f t="shared" si="23"/>
        <v>burningfh</v>
      </c>
      <c r="J264" t="str">
        <f t="shared" si="24"/>
        <v/>
      </c>
      <c r="L264" t="str">
        <f t="shared" si="22"/>
        <v>NGH-018 (AES)</v>
      </c>
      <c r="M264" t="str">
        <f t="shared" si="22"/>
        <v/>
      </c>
      <c r="N264" t="str">
        <f t="shared" si="22"/>
        <v/>
      </c>
      <c r="O264" t="str">
        <f t="shared" si="22"/>
        <v/>
      </c>
      <c r="P264" t="str">
        <f t="shared" si="22"/>
        <v/>
      </c>
      <c r="T264" t="str">
        <f t="shared" si="25"/>
        <v/>
      </c>
      <c r="V264" t="str">
        <f t="shared" si="21"/>
        <v>AES</v>
      </c>
      <c r="W264" t="str">
        <f t="shared" si="21"/>
        <v>MVS,AES</v>
      </c>
      <c r="AB264" t="s">
        <v>12</v>
      </c>
      <c r="AE264" t="s">
        <v>11</v>
      </c>
      <c r="AG264" t="s">
        <v>6</v>
      </c>
      <c r="AH264" t="s">
        <v>7081</v>
      </c>
      <c r="AI264" t="s">
        <v>9</v>
      </c>
      <c r="AJ264" t="s">
        <v>15</v>
      </c>
      <c r="AK264" t="s">
        <v>7080</v>
      </c>
      <c r="AL264" t="s">
        <v>7079</v>
      </c>
    </row>
    <row r="265" spans="5:44" x14ac:dyDescent="0.25">
      <c r="I265" t="str">
        <f t="shared" si="23"/>
        <v>burningfh</v>
      </c>
      <c r="J265" t="str">
        <f t="shared" si="24"/>
        <v/>
      </c>
      <c r="L265" t="str">
        <f t="shared" si="22"/>
        <v>NGH-018 (AES)</v>
      </c>
      <c r="M265" t="str">
        <f t="shared" si="22"/>
        <v/>
      </c>
      <c r="N265" t="str">
        <f t="shared" si="22"/>
        <v/>
      </c>
      <c r="O265" t="str">
        <f t="shared" si="22"/>
        <v/>
      </c>
      <c r="P265" t="str">
        <f t="shared" si="22"/>
        <v/>
      </c>
      <c r="T265" t="str">
        <f t="shared" si="25"/>
        <v/>
      </c>
      <c r="V265" t="str">
        <f t="shared" si="21"/>
        <v>AES</v>
      </c>
      <c r="W265" t="str">
        <f t="shared" si="21"/>
        <v>MVS,AES</v>
      </c>
      <c r="AG265" t="s">
        <v>6</v>
      </c>
      <c r="AH265" t="s">
        <v>7078</v>
      </c>
      <c r="AI265" t="s">
        <v>4</v>
      </c>
      <c r="AJ265" t="s">
        <v>15</v>
      </c>
      <c r="AK265" t="s">
        <v>7077</v>
      </c>
      <c r="AL265" t="s">
        <v>7076</v>
      </c>
    </row>
    <row r="266" spans="5:44" x14ac:dyDescent="0.25">
      <c r="I266" t="str">
        <f t="shared" si="23"/>
        <v>burningfh</v>
      </c>
      <c r="J266" t="str">
        <f t="shared" si="24"/>
        <v/>
      </c>
      <c r="L266" t="str">
        <f t="shared" si="22"/>
        <v>NGH-018 (AES)</v>
      </c>
      <c r="M266" t="str">
        <f t="shared" si="22"/>
        <v/>
      </c>
      <c r="N266" t="str">
        <f t="shared" si="22"/>
        <v/>
      </c>
      <c r="O266" t="str">
        <f t="shared" si="22"/>
        <v/>
      </c>
      <c r="P266" t="str">
        <f t="shared" si="22"/>
        <v/>
      </c>
      <c r="T266" t="str">
        <f t="shared" si="25"/>
        <v/>
      </c>
      <c r="V266" t="str">
        <f t="shared" si="21"/>
        <v>AES</v>
      </c>
      <c r="W266" t="str">
        <f t="shared" si="21"/>
        <v>MVS,AES</v>
      </c>
      <c r="AG266" t="s">
        <v>6</v>
      </c>
      <c r="AH266" t="s">
        <v>7075</v>
      </c>
      <c r="AI266" t="s">
        <v>3</v>
      </c>
      <c r="AJ266" t="s">
        <v>15</v>
      </c>
      <c r="AK266" t="s">
        <v>7074</v>
      </c>
      <c r="AL266" t="s">
        <v>7073</v>
      </c>
    </row>
    <row r="267" spans="5:44" x14ac:dyDescent="0.25">
      <c r="I267" t="str">
        <f t="shared" si="23"/>
        <v>burningfh</v>
      </c>
      <c r="J267" t="str">
        <f t="shared" si="24"/>
        <v/>
      </c>
      <c r="L267" t="str">
        <f t="shared" si="22"/>
        <v>NGH-018 (AES)</v>
      </c>
      <c r="M267" t="str">
        <f t="shared" si="22"/>
        <v/>
      </c>
      <c r="N267" t="str">
        <f t="shared" si="22"/>
        <v/>
      </c>
      <c r="O267" t="str">
        <f t="shared" si="22"/>
        <v/>
      </c>
      <c r="P267" t="str">
        <f t="shared" si="22"/>
        <v/>
      </c>
      <c r="T267" t="str">
        <f t="shared" si="25"/>
        <v/>
      </c>
      <c r="V267" t="str">
        <f t="shared" si="21"/>
        <v>AES</v>
      </c>
      <c r="W267" t="str">
        <f t="shared" si="21"/>
        <v>MVS,AES</v>
      </c>
      <c r="AG267" t="s">
        <v>6</v>
      </c>
      <c r="AH267" t="s">
        <v>7072</v>
      </c>
      <c r="AI267" t="s">
        <v>4371</v>
      </c>
      <c r="AJ267" t="s">
        <v>15</v>
      </c>
      <c r="AK267" t="s">
        <v>7071</v>
      </c>
      <c r="AL267" t="s">
        <v>7070</v>
      </c>
    </row>
    <row r="268" spans="5:44" x14ac:dyDescent="0.25">
      <c r="E268" t="s">
        <v>7069</v>
      </c>
      <c r="F268" t="s">
        <v>7068</v>
      </c>
      <c r="G268" t="s">
        <v>6279</v>
      </c>
      <c r="H268" t="s">
        <v>1912</v>
      </c>
      <c r="I268" t="str">
        <f t="shared" si="23"/>
        <v>burningfpa</v>
      </c>
      <c r="J268" t="str">
        <f t="shared" si="24"/>
        <v/>
      </c>
      <c r="L268" t="str">
        <f t="shared" si="22"/>
        <v/>
      </c>
      <c r="M268" t="str">
        <f t="shared" si="22"/>
        <v/>
      </c>
      <c r="N268" t="str">
        <f t="shared" si="22"/>
        <v/>
      </c>
      <c r="O268" t="str">
        <f t="shared" si="22"/>
        <v/>
      </c>
      <c r="P268" t="str">
        <f t="shared" si="22"/>
        <v/>
      </c>
      <c r="S268" t="s">
        <v>46</v>
      </c>
      <c r="T268" t="str">
        <f t="shared" si="25"/>
        <v>burningfparelease</v>
      </c>
      <c r="U268" t="s">
        <v>35</v>
      </c>
      <c r="V268" t="str">
        <f t="shared" si="21"/>
        <v>AES</v>
      </c>
      <c r="W268" t="str">
        <f t="shared" si="21"/>
        <v>MVS,AES</v>
      </c>
      <c r="Y268" t="s">
        <v>45</v>
      </c>
      <c r="Z268" t="s">
        <v>44</v>
      </c>
      <c r="AB268" t="s">
        <v>43</v>
      </c>
      <c r="AC268" t="s">
        <v>42</v>
      </c>
      <c r="AD268" t="s">
        <v>41</v>
      </c>
      <c r="AE268" t="s">
        <v>15</v>
      </c>
      <c r="AG268" t="s">
        <v>6</v>
      </c>
      <c r="AH268" t="s">
        <v>7067</v>
      </c>
      <c r="AI268" t="s">
        <v>4</v>
      </c>
      <c r="AJ268" t="s">
        <v>92</v>
      </c>
      <c r="AK268" t="s">
        <v>7066</v>
      </c>
      <c r="AL268" t="s">
        <v>7065</v>
      </c>
      <c r="AR268" t="s">
        <v>6968</v>
      </c>
    </row>
    <row r="269" spans="5:44" x14ac:dyDescent="0.25">
      <c r="I269" t="str">
        <f t="shared" si="23"/>
        <v>burningfpa</v>
      </c>
      <c r="J269" t="str">
        <f t="shared" si="24"/>
        <v/>
      </c>
      <c r="L269" t="str">
        <f t="shared" si="22"/>
        <v/>
      </c>
      <c r="M269" t="str">
        <f t="shared" si="22"/>
        <v/>
      </c>
      <c r="N269" t="str">
        <f t="shared" si="22"/>
        <v/>
      </c>
      <c r="O269" t="str">
        <f t="shared" si="22"/>
        <v/>
      </c>
      <c r="P269" t="str">
        <f t="shared" si="22"/>
        <v/>
      </c>
      <c r="S269" t="s">
        <v>36</v>
      </c>
      <c r="T269" t="str">
        <f t="shared" si="25"/>
        <v>burningfpacompatibility</v>
      </c>
      <c r="U269" t="s">
        <v>218</v>
      </c>
      <c r="V269" t="str">
        <f t="shared" si="21"/>
        <v>AES</v>
      </c>
      <c r="W269" t="str">
        <f t="shared" si="21"/>
        <v>MVS,AES</v>
      </c>
      <c r="AG269" t="s">
        <v>6</v>
      </c>
      <c r="AH269" t="s">
        <v>7064</v>
      </c>
      <c r="AI269" t="s">
        <v>9</v>
      </c>
      <c r="AJ269" t="s">
        <v>92</v>
      </c>
      <c r="AK269" t="s">
        <v>7063</v>
      </c>
      <c r="AL269" t="s">
        <v>7062</v>
      </c>
    </row>
    <row r="270" spans="5:44" x14ac:dyDescent="0.25">
      <c r="I270" t="str">
        <f t="shared" si="23"/>
        <v>burningfpa</v>
      </c>
      <c r="J270" t="str">
        <f t="shared" si="24"/>
        <v/>
      </c>
      <c r="L270" t="str">
        <f t="shared" ref="L270:P320" si="26">IFERROR(VLOOKUP($I270&amp;L$1,$J:$Q,8,0),"")</f>
        <v/>
      </c>
      <c r="M270" t="str">
        <f t="shared" si="26"/>
        <v/>
      </c>
      <c r="N270" t="str">
        <f t="shared" si="26"/>
        <v/>
      </c>
      <c r="O270" t="str">
        <f t="shared" si="26"/>
        <v/>
      </c>
      <c r="P270" t="str">
        <f t="shared" si="26"/>
        <v/>
      </c>
      <c r="T270" t="str">
        <f t="shared" si="25"/>
        <v/>
      </c>
      <c r="V270" t="str">
        <f t="shared" si="21"/>
        <v>AES</v>
      </c>
      <c r="W270" t="str">
        <f t="shared" si="21"/>
        <v>MVS,AES</v>
      </c>
      <c r="AB270" t="s">
        <v>34</v>
      </c>
      <c r="AE270" t="s">
        <v>33</v>
      </c>
      <c r="AH270" t="s">
        <v>7061</v>
      </c>
      <c r="AI270" t="s">
        <v>9</v>
      </c>
      <c r="AJ270" t="s">
        <v>27</v>
      </c>
      <c r="AK270" t="s">
        <v>7060</v>
      </c>
      <c r="AL270" t="s">
        <v>7059</v>
      </c>
    </row>
    <row r="271" spans="5:44" x14ac:dyDescent="0.25">
      <c r="I271" t="str">
        <f t="shared" si="23"/>
        <v>burningfpa</v>
      </c>
      <c r="J271" t="str">
        <f t="shared" si="24"/>
        <v/>
      </c>
      <c r="L271" t="str">
        <f t="shared" si="26"/>
        <v/>
      </c>
      <c r="M271" t="str">
        <f t="shared" si="26"/>
        <v/>
      </c>
      <c r="N271" t="str">
        <f t="shared" si="26"/>
        <v/>
      </c>
      <c r="O271" t="str">
        <f t="shared" si="26"/>
        <v/>
      </c>
      <c r="P271" t="str">
        <f t="shared" si="26"/>
        <v/>
      </c>
      <c r="T271" t="str">
        <f t="shared" si="25"/>
        <v/>
      </c>
      <c r="V271" t="str">
        <f t="shared" si="21"/>
        <v>AES</v>
      </c>
      <c r="W271" t="str">
        <f t="shared" si="21"/>
        <v>MVS,AES</v>
      </c>
      <c r="AB271" t="s">
        <v>29</v>
      </c>
      <c r="AE271" t="s">
        <v>27</v>
      </c>
      <c r="AH271" t="s">
        <v>7058</v>
      </c>
      <c r="AI271" t="s">
        <v>9</v>
      </c>
      <c r="AJ271" t="s">
        <v>27</v>
      </c>
      <c r="AK271" t="s">
        <v>7057</v>
      </c>
      <c r="AL271" t="s">
        <v>7056</v>
      </c>
    </row>
    <row r="272" spans="5:44" x14ac:dyDescent="0.25">
      <c r="I272" t="str">
        <f t="shared" si="23"/>
        <v>burningfpa</v>
      </c>
      <c r="J272" t="str">
        <f t="shared" si="24"/>
        <v/>
      </c>
      <c r="L272" t="str">
        <f t="shared" si="26"/>
        <v/>
      </c>
      <c r="M272" t="str">
        <f t="shared" si="26"/>
        <v/>
      </c>
      <c r="N272" t="str">
        <f t="shared" si="26"/>
        <v/>
      </c>
      <c r="O272" t="str">
        <f t="shared" si="26"/>
        <v/>
      </c>
      <c r="P272" t="str">
        <f t="shared" si="26"/>
        <v/>
      </c>
      <c r="T272" t="str">
        <f t="shared" si="25"/>
        <v/>
      </c>
      <c r="V272" t="str">
        <f t="shared" si="21"/>
        <v>AES</v>
      </c>
      <c r="W272" t="str">
        <f t="shared" si="21"/>
        <v>MVS,AES</v>
      </c>
      <c r="AB272" t="s">
        <v>24</v>
      </c>
      <c r="AE272" t="s">
        <v>3</v>
      </c>
      <c r="AH272" t="s">
        <v>7055</v>
      </c>
      <c r="AI272" t="s">
        <v>9</v>
      </c>
      <c r="AJ272" t="s">
        <v>92</v>
      </c>
      <c r="AK272" t="s">
        <v>7054</v>
      </c>
      <c r="AL272" t="s">
        <v>7053</v>
      </c>
    </row>
    <row r="273" spans="5:44" x14ac:dyDescent="0.25">
      <c r="I273" t="str">
        <f t="shared" si="23"/>
        <v>burningfpa</v>
      </c>
      <c r="J273" t="str">
        <f t="shared" si="24"/>
        <v/>
      </c>
      <c r="L273" t="str">
        <f t="shared" si="26"/>
        <v/>
      </c>
      <c r="M273" t="str">
        <f t="shared" si="26"/>
        <v/>
      </c>
      <c r="N273" t="str">
        <f t="shared" si="26"/>
        <v/>
      </c>
      <c r="O273" t="str">
        <f t="shared" si="26"/>
        <v/>
      </c>
      <c r="P273" t="str">
        <f t="shared" si="26"/>
        <v/>
      </c>
      <c r="T273" t="str">
        <f t="shared" si="25"/>
        <v/>
      </c>
      <c r="V273" t="str">
        <f t="shared" si="21"/>
        <v>AES</v>
      </c>
      <c r="W273" t="str">
        <f t="shared" si="21"/>
        <v>MVS,AES</v>
      </c>
      <c r="AH273" t="s">
        <v>7052</v>
      </c>
      <c r="AI273" t="s">
        <v>92</v>
      </c>
      <c r="AJ273" t="s">
        <v>92</v>
      </c>
      <c r="AK273" t="s">
        <v>7008</v>
      </c>
      <c r="AL273" t="s">
        <v>7007</v>
      </c>
    </row>
    <row r="274" spans="5:44" x14ac:dyDescent="0.25">
      <c r="I274" t="str">
        <f t="shared" si="23"/>
        <v>burningfpa</v>
      </c>
      <c r="J274" t="str">
        <f t="shared" si="24"/>
        <v/>
      </c>
      <c r="L274" t="str">
        <f t="shared" si="26"/>
        <v/>
      </c>
      <c r="M274" t="str">
        <f t="shared" si="26"/>
        <v/>
      </c>
      <c r="N274" t="str">
        <f t="shared" si="26"/>
        <v/>
      </c>
      <c r="O274" t="str">
        <f t="shared" si="26"/>
        <v/>
      </c>
      <c r="P274" t="str">
        <f t="shared" si="26"/>
        <v/>
      </c>
      <c r="T274" t="str">
        <f t="shared" si="25"/>
        <v/>
      </c>
      <c r="V274" t="str">
        <f t="shared" si="21"/>
        <v>AES</v>
      </c>
      <c r="W274" t="str">
        <f t="shared" si="21"/>
        <v>MVS,AES</v>
      </c>
      <c r="AH274" t="s">
        <v>7051</v>
      </c>
      <c r="AI274" t="s">
        <v>15</v>
      </c>
      <c r="AJ274" t="s">
        <v>92</v>
      </c>
      <c r="AK274" t="s">
        <v>7050</v>
      </c>
      <c r="AL274" t="s">
        <v>7049</v>
      </c>
    </row>
    <row r="275" spans="5:44" x14ac:dyDescent="0.25">
      <c r="I275" t="str">
        <f t="shared" si="23"/>
        <v>burningfpa</v>
      </c>
      <c r="J275" t="str">
        <f t="shared" si="24"/>
        <v/>
      </c>
      <c r="L275" t="str">
        <f t="shared" si="26"/>
        <v/>
      </c>
      <c r="M275" t="str">
        <f t="shared" si="26"/>
        <v/>
      </c>
      <c r="N275" t="str">
        <f t="shared" si="26"/>
        <v/>
      </c>
      <c r="O275" t="str">
        <f t="shared" si="26"/>
        <v/>
      </c>
      <c r="P275" t="str">
        <f t="shared" si="26"/>
        <v/>
      </c>
      <c r="T275" t="str">
        <f t="shared" si="25"/>
        <v/>
      </c>
      <c r="V275" t="str">
        <f t="shared" si="21"/>
        <v>AES</v>
      </c>
      <c r="W275" t="str">
        <f t="shared" si="21"/>
        <v>MVS,AES</v>
      </c>
      <c r="AH275" t="s">
        <v>7000</v>
      </c>
      <c r="AI275" t="s">
        <v>4502</v>
      </c>
      <c r="AJ275" t="s">
        <v>92</v>
      </c>
      <c r="AK275" t="s">
        <v>6999</v>
      </c>
      <c r="AL275" t="s">
        <v>6998</v>
      </c>
    </row>
    <row r="276" spans="5:44" x14ac:dyDescent="0.25">
      <c r="I276" t="str">
        <f t="shared" si="23"/>
        <v>burningfpa</v>
      </c>
      <c r="J276" t="str">
        <f t="shared" si="24"/>
        <v/>
      </c>
      <c r="L276" t="str">
        <f t="shared" si="26"/>
        <v/>
      </c>
      <c r="M276" t="str">
        <f t="shared" si="26"/>
        <v/>
      </c>
      <c r="N276" t="str">
        <f t="shared" si="26"/>
        <v/>
      </c>
      <c r="O276" t="str">
        <f t="shared" si="26"/>
        <v/>
      </c>
      <c r="P276" t="str">
        <f t="shared" si="26"/>
        <v/>
      </c>
      <c r="T276" t="str">
        <f t="shared" si="25"/>
        <v/>
      </c>
      <c r="V276" t="str">
        <f t="shared" si="21"/>
        <v>AES</v>
      </c>
      <c r="W276" t="str">
        <f t="shared" si="21"/>
        <v>MVS,AES</v>
      </c>
      <c r="AB276" t="s">
        <v>12</v>
      </c>
      <c r="AE276" t="s">
        <v>11</v>
      </c>
      <c r="AG276" t="s">
        <v>4354</v>
      </c>
      <c r="AH276" t="s">
        <v>7048</v>
      </c>
      <c r="AI276" t="s">
        <v>9</v>
      </c>
      <c r="AJ276" t="s">
        <v>92</v>
      </c>
      <c r="AK276" t="s">
        <v>7047</v>
      </c>
      <c r="AL276" t="s">
        <v>7046</v>
      </c>
    </row>
    <row r="277" spans="5:44" x14ac:dyDescent="0.25">
      <c r="I277" t="str">
        <f t="shared" si="23"/>
        <v>burningfpa</v>
      </c>
      <c r="J277" t="str">
        <f t="shared" si="24"/>
        <v/>
      </c>
      <c r="L277" t="str">
        <f t="shared" si="26"/>
        <v/>
      </c>
      <c r="M277" t="str">
        <f t="shared" si="26"/>
        <v/>
      </c>
      <c r="N277" t="str">
        <f t="shared" si="26"/>
        <v/>
      </c>
      <c r="O277" t="str">
        <f t="shared" si="26"/>
        <v/>
      </c>
      <c r="P277" t="str">
        <f t="shared" si="26"/>
        <v/>
      </c>
      <c r="T277" t="str">
        <f t="shared" si="25"/>
        <v/>
      </c>
      <c r="V277" t="str">
        <f t="shared" si="21"/>
        <v>AES</v>
      </c>
      <c r="W277" t="str">
        <f t="shared" si="21"/>
        <v>MVS,AES</v>
      </c>
      <c r="AG277" t="s">
        <v>4354</v>
      </c>
      <c r="AH277" t="s">
        <v>7045</v>
      </c>
      <c r="AI277" t="s">
        <v>1427</v>
      </c>
      <c r="AJ277" t="s">
        <v>92</v>
      </c>
      <c r="AK277" t="s">
        <v>7044</v>
      </c>
      <c r="AL277" t="s">
        <v>7043</v>
      </c>
    </row>
    <row r="278" spans="5:44" x14ac:dyDescent="0.25">
      <c r="I278" t="str">
        <f t="shared" si="23"/>
        <v>burningfpa</v>
      </c>
      <c r="J278" t="str">
        <f t="shared" si="24"/>
        <v/>
      </c>
      <c r="L278" t="str">
        <f t="shared" si="26"/>
        <v/>
      </c>
      <c r="M278" t="str">
        <f t="shared" si="26"/>
        <v/>
      </c>
      <c r="N278" t="str">
        <f t="shared" si="26"/>
        <v/>
      </c>
      <c r="O278" t="str">
        <f t="shared" si="26"/>
        <v/>
      </c>
      <c r="P278" t="str">
        <f t="shared" si="26"/>
        <v/>
      </c>
      <c r="T278" t="str">
        <f t="shared" si="25"/>
        <v/>
      </c>
      <c r="V278" t="str">
        <f t="shared" si="21"/>
        <v>AES</v>
      </c>
      <c r="W278" t="str">
        <f t="shared" si="21"/>
        <v>MVS,AES</v>
      </c>
      <c r="AG278" t="s">
        <v>4354</v>
      </c>
      <c r="AH278" t="s">
        <v>7042</v>
      </c>
      <c r="AI278" t="s">
        <v>4</v>
      </c>
      <c r="AJ278" t="s">
        <v>92</v>
      </c>
      <c r="AK278" t="s">
        <v>7041</v>
      </c>
      <c r="AL278" t="s">
        <v>7040</v>
      </c>
    </row>
    <row r="279" spans="5:44" x14ac:dyDescent="0.25">
      <c r="I279" t="str">
        <f t="shared" si="23"/>
        <v>burningfpa</v>
      </c>
      <c r="J279" t="str">
        <f t="shared" si="24"/>
        <v/>
      </c>
      <c r="L279" t="str">
        <f t="shared" si="26"/>
        <v/>
      </c>
      <c r="M279" t="str">
        <f t="shared" si="26"/>
        <v/>
      </c>
      <c r="N279" t="str">
        <f t="shared" si="26"/>
        <v/>
      </c>
      <c r="O279" t="str">
        <f t="shared" si="26"/>
        <v/>
      </c>
      <c r="P279" t="str">
        <f t="shared" si="26"/>
        <v/>
      </c>
      <c r="T279" t="str">
        <f t="shared" si="25"/>
        <v/>
      </c>
      <c r="V279" t="str">
        <f t="shared" ref="V279:W342" si="27">IFERROR(VLOOKUP($I279&amp;V$1,$T:$AA,2,0),"")</f>
        <v>AES</v>
      </c>
      <c r="W279" t="str">
        <f t="shared" si="27"/>
        <v>MVS,AES</v>
      </c>
      <c r="AG279" t="s">
        <v>4354</v>
      </c>
      <c r="AH279" t="s">
        <v>7039</v>
      </c>
      <c r="AI279" t="s">
        <v>4382</v>
      </c>
      <c r="AJ279" t="s">
        <v>92</v>
      </c>
      <c r="AK279" t="s">
        <v>7038</v>
      </c>
      <c r="AL279" t="s">
        <v>7037</v>
      </c>
    </row>
    <row r="280" spans="5:44" x14ac:dyDescent="0.25">
      <c r="I280" t="str">
        <f t="shared" si="23"/>
        <v>burningfpa</v>
      </c>
      <c r="J280" t="str">
        <f t="shared" si="24"/>
        <v/>
      </c>
      <c r="L280" t="str">
        <f t="shared" si="26"/>
        <v/>
      </c>
      <c r="M280" t="str">
        <f t="shared" si="26"/>
        <v/>
      </c>
      <c r="N280" t="str">
        <f t="shared" si="26"/>
        <v/>
      </c>
      <c r="O280" t="str">
        <f t="shared" si="26"/>
        <v/>
      </c>
      <c r="P280" t="str">
        <f t="shared" si="26"/>
        <v/>
      </c>
      <c r="T280" t="str">
        <f t="shared" si="25"/>
        <v/>
      </c>
      <c r="V280" t="str">
        <f t="shared" si="27"/>
        <v>AES</v>
      </c>
      <c r="W280" t="str">
        <f t="shared" si="27"/>
        <v>MVS,AES</v>
      </c>
      <c r="AG280" t="s">
        <v>4354</v>
      </c>
      <c r="AH280" t="s">
        <v>7036</v>
      </c>
      <c r="AI280" t="s">
        <v>3</v>
      </c>
      <c r="AJ280" t="s">
        <v>92</v>
      </c>
      <c r="AK280" t="s">
        <v>7035</v>
      </c>
      <c r="AL280" t="s">
        <v>7034</v>
      </c>
    </row>
    <row r="281" spans="5:44" x14ac:dyDescent="0.25">
      <c r="I281" t="str">
        <f t="shared" si="23"/>
        <v>burningfpa</v>
      </c>
      <c r="J281" t="str">
        <f t="shared" si="24"/>
        <v/>
      </c>
      <c r="L281" t="str">
        <f t="shared" si="26"/>
        <v/>
      </c>
      <c r="M281" t="str">
        <f t="shared" si="26"/>
        <v/>
      </c>
      <c r="N281" t="str">
        <f t="shared" si="26"/>
        <v/>
      </c>
      <c r="O281" t="str">
        <f t="shared" si="26"/>
        <v/>
      </c>
      <c r="P281" t="str">
        <f t="shared" si="26"/>
        <v/>
      </c>
      <c r="T281" t="str">
        <f t="shared" si="25"/>
        <v/>
      </c>
      <c r="V281" t="str">
        <f t="shared" si="27"/>
        <v>AES</v>
      </c>
      <c r="W281" t="str">
        <f t="shared" si="27"/>
        <v>MVS,AES</v>
      </c>
      <c r="AG281" t="s">
        <v>4354</v>
      </c>
      <c r="AH281" t="s">
        <v>7033</v>
      </c>
      <c r="AI281" t="s">
        <v>4375</v>
      </c>
      <c r="AJ281" t="s">
        <v>92</v>
      </c>
      <c r="AK281" t="s">
        <v>7032</v>
      </c>
      <c r="AL281" t="s">
        <v>7031</v>
      </c>
    </row>
    <row r="282" spans="5:44" x14ac:dyDescent="0.25">
      <c r="I282" t="str">
        <f t="shared" si="23"/>
        <v>burningfpa</v>
      </c>
      <c r="J282" t="str">
        <f t="shared" si="24"/>
        <v/>
      </c>
      <c r="L282" t="str">
        <f t="shared" si="26"/>
        <v/>
      </c>
      <c r="M282" t="str">
        <f t="shared" si="26"/>
        <v/>
      </c>
      <c r="N282" t="str">
        <f t="shared" si="26"/>
        <v/>
      </c>
      <c r="O282" t="str">
        <f t="shared" si="26"/>
        <v/>
      </c>
      <c r="P282" t="str">
        <f t="shared" si="26"/>
        <v/>
      </c>
      <c r="T282" t="str">
        <f t="shared" si="25"/>
        <v/>
      </c>
      <c r="V282" t="str">
        <f t="shared" si="27"/>
        <v>AES</v>
      </c>
      <c r="W282" t="str">
        <f t="shared" si="27"/>
        <v>MVS,AES</v>
      </c>
      <c r="AG282" t="s">
        <v>4354</v>
      </c>
      <c r="AH282" t="s">
        <v>7030</v>
      </c>
      <c r="AI282" t="s">
        <v>4371</v>
      </c>
      <c r="AJ282" t="s">
        <v>92</v>
      </c>
      <c r="AK282" t="s">
        <v>7029</v>
      </c>
      <c r="AL282" t="s">
        <v>7028</v>
      </c>
    </row>
    <row r="283" spans="5:44" x14ac:dyDescent="0.25">
      <c r="I283" t="str">
        <f t="shared" si="23"/>
        <v>burningfpa</v>
      </c>
      <c r="J283" t="str">
        <f t="shared" si="24"/>
        <v/>
      </c>
      <c r="L283" t="str">
        <f t="shared" si="26"/>
        <v/>
      </c>
      <c r="M283" t="str">
        <f t="shared" si="26"/>
        <v/>
      </c>
      <c r="N283" t="str">
        <f t="shared" si="26"/>
        <v/>
      </c>
      <c r="O283" t="str">
        <f t="shared" si="26"/>
        <v/>
      </c>
      <c r="P283" t="str">
        <f t="shared" si="26"/>
        <v/>
      </c>
      <c r="T283" t="str">
        <f t="shared" si="25"/>
        <v/>
      </c>
      <c r="V283" t="str">
        <f t="shared" si="27"/>
        <v>AES</v>
      </c>
      <c r="W283" t="str">
        <f t="shared" si="27"/>
        <v>MVS,AES</v>
      </c>
      <c r="AG283" t="s">
        <v>4354</v>
      </c>
      <c r="AH283" t="s">
        <v>7027</v>
      </c>
      <c r="AI283" t="s">
        <v>4367</v>
      </c>
      <c r="AJ283" t="s">
        <v>92</v>
      </c>
      <c r="AK283" t="s">
        <v>7026</v>
      </c>
      <c r="AL283" t="s">
        <v>7025</v>
      </c>
    </row>
    <row r="284" spans="5:44" x14ac:dyDescent="0.25">
      <c r="E284" t="s">
        <v>7024</v>
      </c>
      <c r="F284" t="s">
        <v>7023</v>
      </c>
      <c r="G284" t="s">
        <v>6279</v>
      </c>
      <c r="H284" t="s">
        <v>1912</v>
      </c>
      <c r="I284" t="str">
        <f t="shared" si="23"/>
        <v>burningfpb</v>
      </c>
      <c r="J284" t="str">
        <f t="shared" si="24"/>
        <v/>
      </c>
      <c r="L284" t="str">
        <f t="shared" si="26"/>
        <v/>
      </c>
      <c r="M284" t="str">
        <f t="shared" si="26"/>
        <v/>
      </c>
      <c r="N284" t="str">
        <f t="shared" si="26"/>
        <v/>
      </c>
      <c r="O284" t="str">
        <f t="shared" si="26"/>
        <v/>
      </c>
      <c r="P284" t="str">
        <f t="shared" si="26"/>
        <v/>
      </c>
      <c r="S284" t="s">
        <v>46</v>
      </c>
      <c r="T284" t="str">
        <f t="shared" si="25"/>
        <v>burningfpbrelease</v>
      </c>
      <c r="U284" t="s">
        <v>35</v>
      </c>
      <c r="V284" t="str">
        <f t="shared" si="27"/>
        <v>AES</v>
      </c>
      <c r="W284" t="str">
        <f t="shared" si="27"/>
        <v>MVS,AES</v>
      </c>
      <c r="Y284" t="s">
        <v>45</v>
      </c>
      <c r="Z284" t="s">
        <v>44</v>
      </c>
      <c r="AB284" t="s">
        <v>43</v>
      </c>
      <c r="AC284" t="s">
        <v>42</v>
      </c>
      <c r="AD284" t="s">
        <v>41</v>
      </c>
      <c r="AE284" t="s">
        <v>15</v>
      </c>
      <c r="AG284" t="s">
        <v>6</v>
      </c>
      <c r="AH284" t="s">
        <v>1506</v>
      </c>
      <c r="AI284" t="s">
        <v>4</v>
      </c>
      <c r="AJ284" t="s">
        <v>92</v>
      </c>
      <c r="AK284" t="s">
        <v>7022</v>
      </c>
      <c r="AL284" t="s">
        <v>7021</v>
      </c>
      <c r="AR284" t="s">
        <v>6968</v>
      </c>
    </row>
    <row r="285" spans="5:44" x14ac:dyDescent="0.25">
      <c r="I285" t="str">
        <f t="shared" si="23"/>
        <v>burningfpb</v>
      </c>
      <c r="J285" t="str">
        <f t="shared" si="24"/>
        <v/>
      </c>
      <c r="L285" t="str">
        <f t="shared" si="26"/>
        <v/>
      </c>
      <c r="M285" t="str">
        <f t="shared" si="26"/>
        <v/>
      </c>
      <c r="N285" t="str">
        <f t="shared" si="26"/>
        <v/>
      </c>
      <c r="O285" t="str">
        <f t="shared" si="26"/>
        <v/>
      </c>
      <c r="P285" t="str">
        <f t="shared" si="26"/>
        <v/>
      </c>
      <c r="S285" t="s">
        <v>36</v>
      </c>
      <c r="T285" t="str">
        <f t="shared" si="25"/>
        <v>burningfpbcompatibility</v>
      </c>
      <c r="U285" t="s">
        <v>218</v>
      </c>
      <c r="V285" t="str">
        <f t="shared" si="27"/>
        <v>AES</v>
      </c>
      <c r="W285" t="str">
        <f t="shared" si="27"/>
        <v>MVS,AES</v>
      </c>
      <c r="AG285" t="s">
        <v>6</v>
      </c>
      <c r="AH285" t="s">
        <v>1502</v>
      </c>
      <c r="AI285" t="s">
        <v>9</v>
      </c>
      <c r="AJ285" t="s">
        <v>92</v>
      </c>
      <c r="AK285" t="s">
        <v>7020</v>
      </c>
      <c r="AL285" t="s">
        <v>7019</v>
      </c>
    </row>
    <row r="286" spans="5:44" x14ac:dyDescent="0.25">
      <c r="I286" t="str">
        <f t="shared" si="23"/>
        <v>burningfpb</v>
      </c>
      <c r="J286" t="str">
        <f t="shared" si="24"/>
        <v/>
      </c>
      <c r="L286" t="str">
        <f t="shared" si="26"/>
        <v/>
      </c>
      <c r="M286" t="str">
        <f t="shared" si="26"/>
        <v/>
      </c>
      <c r="N286" t="str">
        <f t="shared" si="26"/>
        <v/>
      </c>
      <c r="O286" t="str">
        <f t="shared" si="26"/>
        <v/>
      </c>
      <c r="P286" t="str">
        <f t="shared" si="26"/>
        <v/>
      </c>
      <c r="T286" t="str">
        <f t="shared" si="25"/>
        <v/>
      </c>
      <c r="V286" t="str">
        <f t="shared" si="27"/>
        <v>AES</v>
      </c>
      <c r="W286" t="str">
        <f t="shared" si="27"/>
        <v>MVS,AES</v>
      </c>
      <c r="AB286" t="s">
        <v>34</v>
      </c>
      <c r="AE286" t="s">
        <v>33</v>
      </c>
      <c r="AH286" t="s">
        <v>7018</v>
      </c>
      <c r="AI286" t="s">
        <v>9</v>
      </c>
      <c r="AJ286" t="s">
        <v>27</v>
      </c>
      <c r="AK286" t="s">
        <v>7017</v>
      </c>
      <c r="AL286" t="s">
        <v>7016</v>
      </c>
    </row>
    <row r="287" spans="5:44" x14ac:dyDescent="0.25">
      <c r="I287" t="str">
        <f t="shared" si="23"/>
        <v>burningfpb</v>
      </c>
      <c r="J287" t="str">
        <f t="shared" si="24"/>
        <v/>
      </c>
      <c r="L287" t="str">
        <f t="shared" si="26"/>
        <v/>
      </c>
      <c r="M287" t="str">
        <f t="shared" si="26"/>
        <v/>
      </c>
      <c r="N287" t="str">
        <f t="shared" si="26"/>
        <v/>
      </c>
      <c r="O287" t="str">
        <f t="shared" si="26"/>
        <v/>
      </c>
      <c r="P287" t="str">
        <f t="shared" si="26"/>
        <v/>
      </c>
      <c r="T287" t="str">
        <f t="shared" si="25"/>
        <v/>
      </c>
      <c r="V287" t="str">
        <f t="shared" si="27"/>
        <v>AES</v>
      </c>
      <c r="W287" t="str">
        <f t="shared" si="27"/>
        <v>MVS,AES</v>
      </c>
      <c r="AB287" t="s">
        <v>29</v>
      </c>
      <c r="AE287" t="s">
        <v>27</v>
      </c>
      <c r="AH287" t="s">
        <v>7015</v>
      </c>
      <c r="AI287" t="s">
        <v>9</v>
      </c>
      <c r="AJ287" t="s">
        <v>27</v>
      </c>
      <c r="AK287" t="s">
        <v>7014</v>
      </c>
      <c r="AL287" t="s">
        <v>7013</v>
      </c>
    </row>
    <row r="288" spans="5:44" x14ac:dyDescent="0.25">
      <c r="I288" t="str">
        <f t="shared" si="23"/>
        <v>burningfpb</v>
      </c>
      <c r="J288" t="str">
        <f t="shared" si="24"/>
        <v/>
      </c>
      <c r="L288" t="str">
        <f t="shared" si="26"/>
        <v/>
      </c>
      <c r="M288" t="str">
        <f t="shared" si="26"/>
        <v/>
      </c>
      <c r="N288" t="str">
        <f t="shared" si="26"/>
        <v/>
      </c>
      <c r="O288" t="str">
        <f t="shared" si="26"/>
        <v/>
      </c>
      <c r="P288" t="str">
        <f t="shared" si="26"/>
        <v/>
      </c>
      <c r="T288" t="str">
        <f t="shared" si="25"/>
        <v/>
      </c>
      <c r="V288" t="str">
        <f t="shared" si="27"/>
        <v>AES</v>
      </c>
      <c r="W288" t="str">
        <f t="shared" si="27"/>
        <v>MVS,AES</v>
      </c>
      <c r="AB288" t="s">
        <v>24</v>
      </c>
      <c r="AE288" t="s">
        <v>3</v>
      </c>
      <c r="AH288" t="s">
        <v>7012</v>
      </c>
      <c r="AI288" t="s">
        <v>9</v>
      </c>
      <c r="AJ288" t="s">
        <v>92</v>
      </c>
      <c r="AK288" t="s">
        <v>7011</v>
      </c>
      <c r="AL288" t="s">
        <v>7010</v>
      </c>
    </row>
    <row r="289" spans="5:44" x14ac:dyDescent="0.25">
      <c r="I289" t="str">
        <f t="shared" si="23"/>
        <v>burningfpb</v>
      </c>
      <c r="J289" t="str">
        <f t="shared" si="24"/>
        <v/>
      </c>
      <c r="L289" t="str">
        <f t="shared" si="26"/>
        <v/>
      </c>
      <c r="M289" t="str">
        <f t="shared" si="26"/>
        <v/>
      </c>
      <c r="N289" t="str">
        <f t="shared" si="26"/>
        <v/>
      </c>
      <c r="O289" t="str">
        <f t="shared" si="26"/>
        <v/>
      </c>
      <c r="P289" t="str">
        <f t="shared" si="26"/>
        <v/>
      </c>
      <c r="T289" t="str">
        <f t="shared" si="25"/>
        <v/>
      </c>
      <c r="V289" t="str">
        <f t="shared" si="27"/>
        <v>AES</v>
      </c>
      <c r="W289" t="str">
        <f t="shared" si="27"/>
        <v>MVS,AES</v>
      </c>
      <c r="AH289" t="s">
        <v>7009</v>
      </c>
      <c r="AI289" t="s">
        <v>92</v>
      </c>
      <c r="AJ289" t="s">
        <v>92</v>
      </c>
      <c r="AK289" t="s">
        <v>7008</v>
      </c>
      <c r="AL289" t="s">
        <v>7007</v>
      </c>
    </row>
    <row r="290" spans="5:44" x14ac:dyDescent="0.25">
      <c r="I290" t="str">
        <f t="shared" si="23"/>
        <v>burningfpb</v>
      </c>
      <c r="J290" t="str">
        <f t="shared" si="24"/>
        <v/>
      </c>
      <c r="L290" t="str">
        <f t="shared" si="26"/>
        <v/>
      </c>
      <c r="M290" t="str">
        <f t="shared" si="26"/>
        <v/>
      </c>
      <c r="N290" t="str">
        <f t="shared" si="26"/>
        <v/>
      </c>
      <c r="O290" t="str">
        <f t="shared" si="26"/>
        <v/>
      </c>
      <c r="P290" t="str">
        <f t="shared" si="26"/>
        <v/>
      </c>
      <c r="T290" t="str">
        <f t="shared" si="25"/>
        <v/>
      </c>
      <c r="V290" t="str">
        <f t="shared" si="27"/>
        <v>AES</v>
      </c>
      <c r="W290" t="str">
        <f t="shared" si="27"/>
        <v>MVS,AES</v>
      </c>
      <c r="AH290" t="s">
        <v>7006</v>
      </c>
      <c r="AI290" t="s">
        <v>15</v>
      </c>
      <c r="AJ290" t="s">
        <v>92</v>
      </c>
      <c r="AK290" t="s">
        <v>7005</v>
      </c>
      <c r="AL290" t="s">
        <v>7004</v>
      </c>
    </row>
    <row r="291" spans="5:44" x14ac:dyDescent="0.25">
      <c r="I291" t="str">
        <f t="shared" si="23"/>
        <v>burningfpb</v>
      </c>
      <c r="J291" t="str">
        <f t="shared" si="24"/>
        <v/>
      </c>
      <c r="L291" t="str">
        <f t="shared" si="26"/>
        <v/>
      </c>
      <c r="M291" t="str">
        <f t="shared" si="26"/>
        <v/>
      </c>
      <c r="N291" t="str">
        <f t="shared" si="26"/>
        <v/>
      </c>
      <c r="O291" t="str">
        <f t="shared" si="26"/>
        <v/>
      </c>
      <c r="P291" t="str">
        <f t="shared" si="26"/>
        <v/>
      </c>
      <c r="T291" t="str">
        <f t="shared" si="25"/>
        <v/>
      </c>
      <c r="V291" t="str">
        <f t="shared" si="27"/>
        <v>AES</v>
      </c>
      <c r="W291" t="str">
        <f t="shared" si="27"/>
        <v>MVS,AES</v>
      </c>
      <c r="AH291" t="s">
        <v>7003</v>
      </c>
      <c r="AI291" t="s">
        <v>4502</v>
      </c>
      <c r="AJ291" t="s">
        <v>92</v>
      </c>
      <c r="AK291" t="s">
        <v>7002</v>
      </c>
      <c r="AL291" t="s">
        <v>7001</v>
      </c>
      <c r="AM291" t="s">
        <v>1192</v>
      </c>
    </row>
    <row r="292" spans="5:44" x14ac:dyDescent="0.25">
      <c r="I292" t="str">
        <f t="shared" si="23"/>
        <v>burningfpb</v>
      </c>
      <c r="J292" t="str">
        <f t="shared" si="24"/>
        <v/>
      </c>
      <c r="L292" t="str">
        <f t="shared" si="26"/>
        <v/>
      </c>
      <c r="M292" t="str">
        <f t="shared" si="26"/>
        <v/>
      </c>
      <c r="N292" t="str">
        <f t="shared" si="26"/>
        <v/>
      </c>
      <c r="O292" t="str">
        <f t="shared" si="26"/>
        <v/>
      </c>
      <c r="P292" t="str">
        <f t="shared" si="26"/>
        <v/>
      </c>
      <c r="T292" t="str">
        <f t="shared" si="25"/>
        <v/>
      </c>
      <c r="V292" t="str">
        <f t="shared" si="27"/>
        <v>AES</v>
      </c>
      <c r="W292" t="str">
        <f t="shared" si="27"/>
        <v>MVS,AES</v>
      </c>
      <c r="AH292" t="s">
        <v>7000</v>
      </c>
      <c r="AI292" t="s">
        <v>4502</v>
      </c>
      <c r="AJ292" t="s">
        <v>92</v>
      </c>
      <c r="AK292" t="s">
        <v>6999</v>
      </c>
      <c r="AL292" t="s">
        <v>6998</v>
      </c>
    </row>
    <row r="293" spans="5:44" x14ac:dyDescent="0.25">
      <c r="I293" t="str">
        <f t="shared" si="23"/>
        <v>burningfpb</v>
      </c>
      <c r="J293" t="str">
        <f t="shared" si="24"/>
        <v/>
      </c>
      <c r="L293" t="str">
        <f t="shared" si="26"/>
        <v/>
      </c>
      <c r="M293" t="str">
        <f t="shared" si="26"/>
        <v/>
      </c>
      <c r="N293" t="str">
        <f t="shared" si="26"/>
        <v/>
      </c>
      <c r="O293" t="str">
        <f t="shared" si="26"/>
        <v/>
      </c>
      <c r="P293" t="str">
        <f t="shared" si="26"/>
        <v/>
      </c>
      <c r="T293" t="str">
        <f t="shared" si="25"/>
        <v/>
      </c>
      <c r="V293" t="str">
        <f t="shared" si="27"/>
        <v>AES</v>
      </c>
      <c r="W293" t="str">
        <f t="shared" si="27"/>
        <v>MVS,AES</v>
      </c>
      <c r="AB293" t="s">
        <v>12</v>
      </c>
      <c r="AE293" t="s">
        <v>11</v>
      </c>
      <c r="AG293" t="s">
        <v>4354</v>
      </c>
      <c r="AH293" t="s">
        <v>6997</v>
      </c>
      <c r="AI293" t="s">
        <v>9</v>
      </c>
      <c r="AJ293" t="s">
        <v>92</v>
      </c>
      <c r="AK293" t="s">
        <v>6996</v>
      </c>
      <c r="AL293" t="s">
        <v>6995</v>
      </c>
    </row>
    <row r="294" spans="5:44" x14ac:dyDescent="0.25">
      <c r="I294" t="str">
        <f t="shared" si="23"/>
        <v>burningfpb</v>
      </c>
      <c r="J294" t="str">
        <f t="shared" si="24"/>
        <v/>
      </c>
      <c r="L294" t="str">
        <f t="shared" si="26"/>
        <v/>
      </c>
      <c r="M294" t="str">
        <f t="shared" si="26"/>
        <v/>
      </c>
      <c r="N294" t="str">
        <f t="shared" si="26"/>
        <v/>
      </c>
      <c r="O294" t="str">
        <f t="shared" si="26"/>
        <v/>
      </c>
      <c r="P294" t="str">
        <f t="shared" si="26"/>
        <v/>
      </c>
      <c r="T294" t="str">
        <f t="shared" si="25"/>
        <v/>
      </c>
      <c r="V294" t="str">
        <f t="shared" si="27"/>
        <v>AES</v>
      </c>
      <c r="W294" t="str">
        <f t="shared" si="27"/>
        <v>MVS,AES</v>
      </c>
      <c r="AG294" t="s">
        <v>4354</v>
      </c>
      <c r="AH294" t="s">
        <v>6994</v>
      </c>
      <c r="AI294" t="s">
        <v>1427</v>
      </c>
      <c r="AJ294" t="s">
        <v>92</v>
      </c>
      <c r="AK294" t="s">
        <v>6993</v>
      </c>
      <c r="AL294" t="s">
        <v>6992</v>
      </c>
    </row>
    <row r="295" spans="5:44" x14ac:dyDescent="0.25">
      <c r="I295" t="str">
        <f t="shared" si="23"/>
        <v>burningfpb</v>
      </c>
      <c r="J295" t="str">
        <f t="shared" si="24"/>
        <v/>
      </c>
      <c r="L295" t="str">
        <f t="shared" si="26"/>
        <v/>
      </c>
      <c r="M295" t="str">
        <f t="shared" si="26"/>
        <v/>
      </c>
      <c r="N295" t="str">
        <f t="shared" si="26"/>
        <v/>
      </c>
      <c r="O295" t="str">
        <f t="shared" si="26"/>
        <v/>
      </c>
      <c r="P295" t="str">
        <f t="shared" si="26"/>
        <v/>
      </c>
      <c r="T295" t="str">
        <f t="shared" si="25"/>
        <v/>
      </c>
      <c r="V295" t="str">
        <f t="shared" si="27"/>
        <v>AES</v>
      </c>
      <c r="W295" t="str">
        <f t="shared" si="27"/>
        <v>MVS,AES</v>
      </c>
      <c r="AG295" t="s">
        <v>4354</v>
      </c>
      <c r="AH295" t="s">
        <v>6991</v>
      </c>
      <c r="AI295" t="s">
        <v>4</v>
      </c>
      <c r="AJ295" t="s">
        <v>92</v>
      </c>
      <c r="AK295" t="s">
        <v>6990</v>
      </c>
      <c r="AL295" t="s">
        <v>6989</v>
      </c>
    </row>
    <row r="296" spans="5:44" x14ac:dyDescent="0.25">
      <c r="I296" t="str">
        <f t="shared" si="23"/>
        <v>burningfpb</v>
      </c>
      <c r="J296" t="str">
        <f t="shared" si="24"/>
        <v/>
      </c>
      <c r="L296" t="str">
        <f t="shared" si="26"/>
        <v/>
      </c>
      <c r="M296" t="str">
        <f t="shared" si="26"/>
        <v/>
      </c>
      <c r="N296" t="str">
        <f t="shared" si="26"/>
        <v/>
      </c>
      <c r="O296" t="str">
        <f t="shared" si="26"/>
        <v/>
      </c>
      <c r="P296" t="str">
        <f t="shared" si="26"/>
        <v/>
      </c>
      <c r="T296" t="str">
        <f t="shared" si="25"/>
        <v/>
      </c>
      <c r="V296" t="str">
        <f t="shared" si="27"/>
        <v>AES</v>
      </c>
      <c r="W296" t="str">
        <f t="shared" si="27"/>
        <v>MVS,AES</v>
      </c>
      <c r="AG296" t="s">
        <v>4354</v>
      </c>
      <c r="AH296" t="s">
        <v>6988</v>
      </c>
      <c r="AI296" t="s">
        <v>4382</v>
      </c>
      <c r="AJ296" t="s">
        <v>92</v>
      </c>
      <c r="AK296" t="s">
        <v>6987</v>
      </c>
      <c r="AL296" t="s">
        <v>6986</v>
      </c>
    </row>
    <row r="297" spans="5:44" x14ac:dyDescent="0.25">
      <c r="I297" t="str">
        <f t="shared" si="23"/>
        <v>burningfpb</v>
      </c>
      <c r="J297" t="str">
        <f t="shared" si="24"/>
        <v/>
      </c>
      <c r="L297" t="str">
        <f t="shared" si="26"/>
        <v/>
      </c>
      <c r="M297" t="str">
        <f t="shared" si="26"/>
        <v/>
      </c>
      <c r="N297" t="str">
        <f t="shared" si="26"/>
        <v/>
      </c>
      <c r="O297" t="str">
        <f t="shared" si="26"/>
        <v/>
      </c>
      <c r="P297" t="str">
        <f t="shared" si="26"/>
        <v/>
      </c>
      <c r="T297" t="str">
        <f t="shared" si="25"/>
        <v/>
      </c>
      <c r="V297" t="str">
        <f t="shared" si="27"/>
        <v>AES</v>
      </c>
      <c r="W297" t="str">
        <f t="shared" si="27"/>
        <v>MVS,AES</v>
      </c>
      <c r="AG297" t="s">
        <v>4354</v>
      </c>
      <c r="AH297" t="s">
        <v>6985</v>
      </c>
      <c r="AI297" t="s">
        <v>3</v>
      </c>
      <c r="AJ297" t="s">
        <v>92</v>
      </c>
      <c r="AK297" t="s">
        <v>6984</v>
      </c>
      <c r="AL297" t="s">
        <v>6983</v>
      </c>
    </row>
    <row r="298" spans="5:44" x14ac:dyDescent="0.25">
      <c r="I298" t="str">
        <f t="shared" si="23"/>
        <v>burningfpb</v>
      </c>
      <c r="J298" t="str">
        <f t="shared" si="24"/>
        <v/>
      </c>
      <c r="L298" t="str">
        <f t="shared" si="26"/>
        <v/>
      </c>
      <c r="M298" t="str">
        <f t="shared" si="26"/>
        <v/>
      </c>
      <c r="N298" t="str">
        <f t="shared" si="26"/>
        <v/>
      </c>
      <c r="O298" t="str">
        <f t="shared" si="26"/>
        <v/>
      </c>
      <c r="P298" t="str">
        <f t="shared" si="26"/>
        <v/>
      </c>
      <c r="T298" t="str">
        <f t="shared" si="25"/>
        <v/>
      </c>
      <c r="V298" t="str">
        <f t="shared" si="27"/>
        <v>AES</v>
      </c>
      <c r="W298" t="str">
        <f t="shared" si="27"/>
        <v>MVS,AES</v>
      </c>
      <c r="AG298" t="s">
        <v>4354</v>
      </c>
      <c r="AH298" t="s">
        <v>6982</v>
      </c>
      <c r="AI298" t="s">
        <v>4375</v>
      </c>
      <c r="AJ298" t="s">
        <v>92</v>
      </c>
      <c r="AK298" t="s">
        <v>6981</v>
      </c>
      <c r="AL298" t="s">
        <v>6980</v>
      </c>
    </row>
    <row r="299" spans="5:44" x14ac:dyDescent="0.25">
      <c r="I299" t="str">
        <f t="shared" si="23"/>
        <v>burningfpb</v>
      </c>
      <c r="J299" t="str">
        <f t="shared" si="24"/>
        <v/>
      </c>
      <c r="L299" t="str">
        <f t="shared" si="26"/>
        <v/>
      </c>
      <c r="M299" t="str">
        <f t="shared" si="26"/>
        <v/>
      </c>
      <c r="N299" t="str">
        <f t="shared" si="26"/>
        <v/>
      </c>
      <c r="O299" t="str">
        <f t="shared" si="26"/>
        <v/>
      </c>
      <c r="P299" t="str">
        <f t="shared" si="26"/>
        <v/>
      </c>
      <c r="T299" t="str">
        <f t="shared" si="25"/>
        <v/>
      </c>
      <c r="V299" t="str">
        <f t="shared" si="27"/>
        <v>AES</v>
      </c>
      <c r="W299" t="str">
        <f t="shared" si="27"/>
        <v>MVS,AES</v>
      </c>
      <c r="AG299" t="s">
        <v>4354</v>
      </c>
      <c r="AH299" t="s">
        <v>6979</v>
      </c>
      <c r="AI299" t="s">
        <v>4371</v>
      </c>
      <c r="AJ299" t="s">
        <v>92</v>
      </c>
      <c r="AK299" t="s">
        <v>6978</v>
      </c>
      <c r="AL299" t="s">
        <v>6977</v>
      </c>
    </row>
    <row r="300" spans="5:44" x14ac:dyDescent="0.25">
      <c r="I300" t="str">
        <f t="shared" si="23"/>
        <v>burningfpb</v>
      </c>
      <c r="J300" t="str">
        <f t="shared" si="24"/>
        <v/>
      </c>
      <c r="L300" t="str">
        <f t="shared" si="26"/>
        <v/>
      </c>
      <c r="M300" t="str">
        <f t="shared" si="26"/>
        <v/>
      </c>
      <c r="N300" t="str">
        <f t="shared" si="26"/>
        <v/>
      </c>
      <c r="O300" t="str">
        <f t="shared" si="26"/>
        <v/>
      </c>
      <c r="P300" t="str">
        <f t="shared" si="26"/>
        <v/>
      </c>
      <c r="T300" t="str">
        <f t="shared" si="25"/>
        <v/>
      </c>
      <c r="V300" t="str">
        <f t="shared" si="27"/>
        <v>AES</v>
      </c>
      <c r="W300" t="str">
        <f t="shared" si="27"/>
        <v>MVS,AES</v>
      </c>
      <c r="AG300" t="s">
        <v>4354</v>
      </c>
      <c r="AH300" t="s">
        <v>6976</v>
      </c>
      <c r="AI300" t="s">
        <v>4367</v>
      </c>
      <c r="AJ300" t="s">
        <v>92</v>
      </c>
      <c r="AK300" t="s">
        <v>6975</v>
      </c>
      <c r="AL300" t="s">
        <v>6974</v>
      </c>
    </row>
    <row r="301" spans="5:44" x14ac:dyDescent="0.25">
      <c r="E301" t="s">
        <v>6973</v>
      </c>
      <c r="F301" t="s">
        <v>6972</v>
      </c>
      <c r="G301" t="s">
        <v>6279</v>
      </c>
      <c r="H301" t="s">
        <v>1912</v>
      </c>
      <c r="I301" t="str">
        <f t="shared" si="23"/>
        <v>burningfp</v>
      </c>
      <c r="J301" t="str">
        <f t="shared" si="24"/>
        <v/>
      </c>
      <c r="L301" t="str">
        <f t="shared" si="26"/>
        <v/>
      </c>
      <c r="M301" t="str">
        <f t="shared" si="26"/>
        <v/>
      </c>
      <c r="N301" t="str">
        <f t="shared" si="26"/>
        <v/>
      </c>
      <c r="O301" t="str">
        <f t="shared" si="26"/>
        <v/>
      </c>
      <c r="P301" t="str">
        <f t="shared" si="26"/>
        <v/>
      </c>
      <c r="S301" t="s">
        <v>46</v>
      </c>
      <c r="T301" t="str">
        <f t="shared" si="25"/>
        <v>burningfprelease</v>
      </c>
      <c r="U301" t="s">
        <v>35</v>
      </c>
      <c r="V301" t="str">
        <f t="shared" si="27"/>
        <v>AES</v>
      </c>
      <c r="W301" t="str">
        <f t="shared" si="27"/>
        <v>MVS,AES</v>
      </c>
      <c r="Y301" t="s">
        <v>45</v>
      </c>
      <c r="Z301" t="s">
        <v>44</v>
      </c>
      <c r="AB301" t="s">
        <v>43</v>
      </c>
      <c r="AC301" t="s">
        <v>42</v>
      </c>
      <c r="AD301" t="s">
        <v>41</v>
      </c>
      <c r="AE301" t="s">
        <v>15</v>
      </c>
      <c r="AG301" t="s">
        <v>6</v>
      </c>
      <c r="AH301" t="s">
        <v>6971</v>
      </c>
      <c r="AI301" t="s">
        <v>4</v>
      </c>
      <c r="AJ301" t="s">
        <v>92</v>
      </c>
      <c r="AK301" t="s">
        <v>6970</v>
      </c>
      <c r="AL301" t="s">
        <v>6969</v>
      </c>
      <c r="AR301" t="s">
        <v>6968</v>
      </c>
    </row>
    <row r="302" spans="5:44" x14ac:dyDescent="0.25">
      <c r="I302" t="str">
        <f t="shared" si="23"/>
        <v>burningfp</v>
      </c>
      <c r="J302" t="str">
        <f t="shared" si="24"/>
        <v/>
      </c>
      <c r="L302" t="str">
        <f t="shared" si="26"/>
        <v/>
      </c>
      <c r="M302" t="str">
        <f t="shared" si="26"/>
        <v/>
      </c>
      <c r="N302" t="str">
        <f t="shared" si="26"/>
        <v/>
      </c>
      <c r="O302" t="str">
        <f t="shared" si="26"/>
        <v/>
      </c>
      <c r="P302" t="str">
        <f t="shared" si="26"/>
        <v/>
      </c>
      <c r="S302" t="s">
        <v>36</v>
      </c>
      <c r="T302" t="str">
        <f t="shared" si="25"/>
        <v>burningfpcompatibility</v>
      </c>
      <c r="U302" t="s">
        <v>218</v>
      </c>
      <c r="V302" t="str">
        <f t="shared" si="27"/>
        <v>AES</v>
      </c>
      <c r="W302" t="str">
        <f t="shared" si="27"/>
        <v>MVS,AES</v>
      </c>
      <c r="AG302" t="s">
        <v>6</v>
      </c>
      <c r="AH302" t="s">
        <v>6967</v>
      </c>
      <c r="AI302" t="s">
        <v>9</v>
      </c>
      <c r="AJ302" t="s">
        <v>92</v>
      </c>
      <c r="AK302" t="s">
        <v>6966</v>
      </c>
      <c r="AL302" t="s">
        <v>6965</v>
      </c>
    </row>
    <row r="303" spans="5:44" x14ac:dyDescent="0.25">
      <c r="I303" t="str">
        <f t="shared" si="23"/>
        <v>burningfp</v>
      </c>
      <c r="J303" t="str">
        <f t="shared" si="24"/>
        <v/>
      </c>
      <c r="L303" t="str">
        <f t="shared" si="26"/>
        <v/>
      </c>
      <c r="M303" t="str">
        <f t="shared" si="26"/>
        <v/>
      </c>
      <c r="N303" t="str">
        <f t="shared" si="26"/>
        <v/>
      </c>
      <c r="O303" t="str">
        <f t="shared" si="26"/>
        <v/>
      </c>
      <c r="P303" t="str">
        <f t="shared" si="26"/>
        <v/>
      </c>
      <c r="T303" t="str">
        <f t="shared" si="25"/>
        <v/>
      </c>
      <c r="V303" t="str">
        <f t="shared" si="27"/>
        <v>AES</v>
      </c>
      <c r="W303" t="str">
        <f t="shared" si="27"/>
        <v>MVS,AES</v>
      </c>
      <c r="AB303" t="s">
        <v>34</v>
      </c>
      <c r="AE303" t="s">
        <v>33</v>
      </c>
      <c r="AH303" t="s">
        <v>6964</v>
      </c>
      <c r="AI303" t="s">
        <v>9</v>
      </c>
      <c r="AJ303" t="s">
        <v>27</v>
      </c>
      <c r="AK303" t="s">
        <v>6963</v>
      </c>
      <c r="AL303" t="s">
        <v>6962</v>
      </c>
    </row>
    <row r="304" spans="5:44" x14ac:dyDescent="0.25">
      <c r="I304" t="str">
        <f t="shared" si="23"/>
        <v>burningfp</v>
      </c>
      <c r="J304" t="str">
        <f t="shared" si="24"/>
        <v/>
      </c>
      <c r="L304" t="str">
        <f t="shared" si="26"/>
        <v/>
      </c>
      <c r="M304" t="str">
        <f t="shared" si="26"/>
        <v/>
      </c>
      <c r="N304" t="str">
        <f t="shared" si="26"/>
        <v/>
      </c>
      <c r="O304" t="str">
        <f t="shared" si="26"/>
        <v/>
      </c>
      <c r="P304" t="str">
        <f t="shared" si="26"/>
        <v/>
      </c>
      <c r="T304" t="str">
        <f t="shared" si="25"/>
        <v/>
      </c>
      <c r="V304" t="str">
        <f t="shared" si="27"/>
        <v>AES</v>
      </c>
      <c r="W304" t="str">
        <f t="shared" si="27"/>
        <v>MVS,AES</v>
      </c>
      <c r="AB304" t="s">
        <v>29</v>
      </c>
      <c r="AE304" t="s">
        <v>27</v>
      </c>
      <c r="AH304" t="s">
        <v>6961</v>
      </c>
      <c r="AI304" t="s">
        <v>9</v>
      </c>
      <c r="AJ304" t="s">
        <v>27</v>
      </c>
      <c r="AK304" t="s">
        <v>6960</v>
      </c>
      <c r="AL304" t="s">
        <v>6959</v>
      </c>
    </row>
    <row r="305" spans="5:38" x14ac:dyDescent="0.25">
      <c r="I305" t="str">
        <f t="shared" si="23"/>
        <v>burningfp</v>
      </c>
      <c r="J305" t="str">
        <f t="shared" si="24"/>
        <v/>
      </c>
      <c r="L305" t="str">
        <f t="shared" si="26"/>
        <v/>
      </c>
      <c r="M305" t="str">
        <f t="shared" si="26"/>
        <v/>
      </c>
      <c r="N305" t="str">
        <f t="shared" si="26"/>
        <v/>
      </c>
      <c r="O305" t="str">
        <f t="shared" si="26"/>
        <v/>
      </c>
      <c r="P305" t="str">
        <f t="shared" si="26"/>
        <v/>
      </c>
      <c r="T305" t="str">
        <f t="shared" si="25"/>
        <v/>
      </c>
      <c r="V305" t="str">
        <f t="shared" si="27"/>
        <v>AES</v>
      </c>
      <c r="W305" t="str">
        <f t="shared" si="27"/>
        <v>MVS,AES</v>
      </c>
      <c r="AB305" t="s">
        <v>24</v>
      </c>
      <c r="AE305" t="s">
        <v>3</v>
      </c>
      <c r="AH305" t="s">
        <v>6958</v>
      </c>
      <c r="AI305" t="s">
        <v>9</v>
      </c>
      <c r="AJ305" t="s">
        <v>92</v>
      </c>
      <c r="AK305" t="s">
        <v>6957</v>
      </c>
      <c r="AL305" t="s">
        <v>6956</v>
      </c>
    </row>
    <row r="306" spans="5:38" x14ac:dyDescent="0.25">
      <c r="I306" t="str">
        <f t="shared" si="23"/>
        <v>burningfp</v>
      </c>
      <c r="J306" t="str">
        <f t="shared" si="24"/>
        <v/>
      </c>
      <c r="L306" t="str">
        <f t="shared" si="26"/>
        <v/>
      </c>
      <c r="M306" t="str">
        <f t="shared" si="26"/>
        <v/>
      </c>
      <c r="N306" t="str">
        <f t="shared" si="26"/>
        <v/>
      </c>
      <c r="O306" t="str">
        <f t="shared" si="26"/>
        <v/>
      </c>
      <c r="P306" t="str">
        <f t="shared" si="26"/>
        <v/>
      </c>
      <c r="T306" t="str">
        <f t="shared" si="25"/>
        <v/>
      </c>
      <c r="V306" t="str">
        <f t="shared" si="27"/>
        <v>AES</v>
      </c>
      <c r="W306" t="str">
        <f t="shared" si="27"/>
        <v>MVS,AES</v>
      </c>
      <c r="AH306" t="s">
        <v>6955</v>
      </c>
      <c r="AI306" t="s">
        <v>92</v>
      </c>
      <c r="AJ306" t="s">
        <v>92</v>
      </c>
      <c r="AK306" t="s">
        <v>6954</v>
      </c>
      <c r="AL306" t="s">
        <v>6953</v>
      </c>
    </row>
    <row r="307" spans="5:38" x14ac:dyDescent="0.25">
      <c r="I307" t="str">
        <f t="shared" si="23"/>
        <v>burningfp</v>
      </c>
      <c r="J307" t="str">
        <f t="shared" si="24"/>
        <v/>
      </c>
      <c r="L307" t="str">
        <f t="shared" si="26"/>
        <v/>
      </c>
      <c r="M307" t="str">
        <f t="shared" si="26"/>
        <v/>
      </c>
      <c r="N307" t="str">
        <f t="shared" si="26"/>
        <v/>
      </c>
      <c r="O307" t="str">
        <f t="shared" si="26"/>
        <v/>
      </c>
      <c r="P307" t="str">
        <f t="shared" si="26"/>
        <v/>
      </c>
      <c r="T307" t="str">
        <f t="shared" si="25"/>
        <v/>
      </c>
      <c r="V307" t="str">
        <f t="shared" si="27"/>
        <v>AES</v>
      </c>
      <c r="W307" t="str">
        <f t="shared" si="27"/>
        <v>MVS,AES</v>
      </c>
      <c r="AB307" t="s">
        <v>6575</v>
      </c>
      <c r="AE307" t="s">
        <v>480</v>
      </c>
      <c r="AH307" t="s">
        <v>6952</v>
      </c>
      <c r="AI307" t="s">
        <v>9</v>
      </c>
      <c r="AJ307" t="s">
        <v>92</v>
      </c>
      <c r="AK307" t="s">
        <v>6951</v>
      </c>
      <c r="AL307" t="s">
        <v>6950</v>
      </c>
    </row>
    <row r="308" spans="5:38" x14ac:dyDescent="0.25">
      <c r="I308" t="str">
        <f t="shared" si="23"/>
        <v>burningfp</v>
      </c>
      <c r="J308" t="str">
        <f t="shared" si="24"/>
        <v/>
      </c>
      <c r="L308" t="str">
        <f t="shared" si="26"/>
        <v/>
      </c>
      <c r="M308" t="str">
        <f t="shared" si="26"/>
        <v/>
      </c>
      <c r="N308" t="str">
        <f t="shared" si="26"/>
        <v/>
      </c>
      <c r="O308" t="str">
        <f t="shared" si="26"/>
        <v/>
      </c>
      <c r="P308" t="str">
        <f t="shared" si="26"/>
        <v/>
      </c>
      <c r="T308" t="str">
        <f t="shared" si="25"/>
        <v/>
      </c>
      <c r="V308" t="str">
        <f t="shared" si="27"/>
        <v>AES</v>
      </c>
      <c r="W308" t="str">
        <f t="shared" si="27"/>
        <v>MVS,AES</v>
      </c>
      <c r="AB308" t="s">
        <v>12</v>
      </c>
      <c r="AE308" t="s">
        <v>11</v>
      </c>
      <c r="AG308" t="s">
        <v>4354</v>
      </c>
      <c r="AH308" t="s">
        <v>6949</v>
      </c>
      <c r="AI308" t="s">
        <v>9</v>
      </c>
      <c r="AJ308" t="s">
        <v>92</v>
      </c>
      <c r="AK308" t="s">
        <v>6948</v>
      </c>
      <c r="AL308" t="s">
        <v>6947</v>
      </c>
    </row>
    <row r="309" spans="5:38" x14ac:dyDescent="0.25">
      <c r="I309" t="str">
        <f t="shared" si="23"/>
        <v>burningfp</v>
      </c>
      <c r="J309" t="str">
        <f t="shared" si="24"/>
        <v/>
      </c>
      <c r="L309" t="str">
        <f t="shared" si="26"/>
        <v/>
      </c>
      <c r="M309" t="str">
        <f t="shared" si="26"/>
        <v/>
      </c>
      <c r="N309" t="str">
        <f t="shared" si="26"/>
        <v/>
      </c>
      <c r="O309" t="str">
        <f t="shared" si="26"/>
        <v/>
      </c>
      <c r="P309" t="str">
        <f t="shared" si="26"/>
        <v/>
      </c>
      <c r="T309" t="str">
        <f t="shared" si="25"/>
        <v/>
      </c>
      <c r="V309" t="str">
        <f t="shared" si="27"/>
        <v>AES</v>
      </c>
      <c r="W309" t="str">
        <f t="shared" si="27"/>
        <v>MVS,AES</v>
      </c>
      <c r="AG309" t="s">
        <v>4354</v>
      </c>
      <c r="AH309" t="s">
        <v>6946</v>
      </c>
      <c r="AI309" t="s">
        <v>1427</v>
      </c>
      <c r="AJ309" t="s">
        <v>92</v>
      </c>
      <c r="AK309" t="s">
        <v>6945</v>
      </c>
      <c r="AL309" t="s">
        <v>6944</v>
      </c>
    </row>
    <row r="310" spans="5:38" x14ac:dyDescent="0.25">
      <c r="I310" t="str">
        <f t="shared" si="23"/>
        <v>burningfp</v>
      </c>
      <c r="J310" t="str">
        <f t="shared" si="24"/>
        <v/>
      </c>
      <c r="L310" t="str">
        <f t="shared" si="26"/>
        <v/>
      </c>
      <c r="M310" t="str">
        <f t="shared" si="26"/>
        <v/>
      </c>
      <c r="N310" t="str">
        <f t="shared" si="26"/>
        <v/>
      </c>
      <c r="O310" t="str">
        <f t="shared" si="26"/>
        <v/>
      </c>
      <c r="P310" t="str">
        <f t="shared" si="26"/>
        <v/>
      </c>
      <c r="T310" t="str">
        <f t="shared" si="25"/>
        <v/>
      </c>
      <c r="V310" t="str">
        <f t="shared" si="27"/>
        <v>AES</v>
      </c>
      <c r="W310" t="str">
        <f t="shared" si="27"/>
        <v>MVS,AES</v>
      </c>
      <c r="AG310" t="s">
        <v>4354</v>
      </c>
      <c r="AH310" t="s">
        <v>6943</v>
      </c>
      <c r="AI310" t="s">
        <v>4</v>
      </c>
      <c r="AJ310" t="s">
        <v>92</v>
      </c>
      <c r="AK310" t="s">
        <v>6942</v>
      </c>
      <c r="AL310" t="s">
        <v>6941</v>
      </c>
    </row>
    <row r="311" spans="5:38" x14ac:dyDescent="0.25">
      <c r="I311" t="str">
        <f t="shared" si="23"/>
        <v>burningfp</v>
      </c>
      <c r="J311" t="str">
        <f t="shared" si="24"/>
        <v/>
      </c>
      <c r="L311" t="str">
        <f t="shared" si="26"/>
        <v/>
      </c>
      <c r="M311" t="str">
        <f t="shared" si="26"/>
        <v/>
      </c>
      <c r="N311" t="str">
        <f t="shared" si="26"/>
        <v/>
      </c>
      <c r="O311" t="str">
        <f t="shared" si="26"/>
        <v/>
      </c>
      <c r="P311" t="str">
        <f t="shared" si="26"/>
        <v/>
      </c>
      <c r="T311" t="str">
        <f t="shared" si="25"/>
        <v/>
      </c>
      <c r="V311" t="str">
        <f t="shared" si="27"/>
        <v>AES</v>
      </c>
      <c r="W311" t="str">
        <f t="shared" si="27"/>
        <v>MVS,AES</v>
      </c>
      <c r="AG311" t="s">
        <v>4354</v>
      </c>
      <c r="AH311" t="s">
        <v>6940</v>
      </c>
      <c r="AI311" t="s">
        <v>4382</v>
      </c>
      <c r="AJ311" t="s">
        <v>92</v>
      </c>
      <c r="AK311" t="s">
        <v>6939</v>
      </c>
      <c r="AL311" t="s">
        <v>6938</v>
      </c>
    </row>
    <row r="312" spans="5:38" x14ac:dyDescent="0.25">
      <c r="I312" t="str">
        <f t="shared" si="23"/>
        <v>burningfp</v>
      </c>
      <c r="J312" t="str">
        <f t="shared" si="24"/>
        <v/>
      </c>
      <c r="L312" t="str">
        <f t="shared" si="26"/>
        <v/>
      </c>
      <c r="M312" t="str">
        <f t="shared" si="26"/>
        <v/>
      </c>
      <c r="N312" t="str">
        <f t="shared" si="26"/>
        <v/>
      </c>
      <c r="O312" t="str">
        <f t="shared" si="26"/>
        <v/>
      </c>
      <c r="P312" t="str">
        <f t="shared" si="26"/>
        <v/>
      </c>
      <c r="T312" t="str">
        <f t="shared" si="25"/>
        <v/>
      </c>
      <c r="V312" t="str">
        <f t="shared" si="27"/>
        <v>AES</v>
      </c>
      <c r="W312" t="str">
        <f t="shared" si="27"/>
        <v>MVS,AES</v>
      </c>
      <c r="AG312" t="s">
        <v>4354</v>
      </c>
      <c r="AH312" t="s">
        <v>6937</v>
      </c>
      <c r="AI312" t="s">
        <v>3</v>
      </c>
      <c r="AJ312" t="s">
        <v>92</v>
      </c>
      <c r="AK312" t="s">
        <v>6936</v>
      </c>
      <c r="AL312" t="s">
        <v>6935</v>
      </c>
    </row>
    <row r="313" spans="5:38" x14ac:dyDescent="0.25">
      <c r="I313" t="str">
        <f t="shared" si="23"/>
        <v>burningfp</v>
      </c>
      <c r="J313" t="str">
        <f t="shared" si="24"/>
        <v/>
      </c>
      <c r="L313" t="str">
        <f t="shared" si="26"/>
        <v/>
      </c>
      <c r="M313" t="str">
        <f t="shared" si="26"/>
        <v/>
      </c>
      <c r="N313" t="str">
        <f t="shared" si="26"/>
        <v/>
      </c>
      <c r="O313" t="str">
        <f t="shared" si="26"/>
        <v/>
      </c>
      <c r="P313" t="str">
        <f t="shared" si="26"/>
        <v/>
      </c>
      <c r="T313" t="str">
        <f t="shared" si="25"/>
        <v/>
      </c>
      <c r="V313" t="str">
        <f t="shared" si="27"/>
        <v>AES</v>
      </c>
      <c r="W313" t="str">
        <f t="shared" si="27"/>
        <v>MVS,AES</v>
      </c>
      <c r="AG313" t="s">
        <v>4354</v>
      </c>
      <c r="AH313" t="s">
        <v>6934</v>
      </c>
      <c r="AI313" t="s">
        <v>4375</v>
      </c>
      <c r="AJ313" t="s">
        <v>92</v>
      </c>
      <c r="AK313" t="s">
        <v>6933</v>
      </c>
      <c r="AL313" t="s">
        <v>6932</v>
      </c>
    </row>
    <row r="314" spans="5:38" x14ac:dyDescent="0.25">
      <c r="I314" t="str">
        <f t="shared" si="23"/>
        <v>burningfp</v>
      </c>
      <c r="J314" t="str">
        <f t="shared" si="24"/>
        <v/>
      </c>
      <c r="L314" t="str">
        <f t="shared" si="26"/>
        <v/>
      </c>
      <c r="M314" t="str">
        <f t="shared" si="26"/>
        <v/>
      </c>
      <c r="N314" t="str">
        <f t="shared" si="26"/>
        <v/>
      </c>
      <c r="O314" t="str">
        <f t="shared" si="26"/>
        <v/>
      </c>
      <c r="P314" t="str">
        <f t="shared" si="26"/>
        <v/>
      </c>
      <c r="T314" t="str">
        <f t="shared" si="25"/>
        <v/>
      </c>
      <c r="V314" t="str">
        <f t="shared" si="27"/>
        <v>AES</v>
      </c>
      <c r="W314" t="str">
        <f t="shared" si="27"/>
        <v>MVS,AES</v>
      </c>
      <c r="AG314" t="s">
        <v>4354</v>
      </c>
      <c r="AH314" t="s">
        <v>6931</v>
      </c>
      <c r="AI314" t="s">
        <v>4371</v>
      </c>
      <c r="AJ314" t="s">
        <v>92</v>
      </c>
      <c r="AK314" t="s">
        <v>6930</v>
      </c>
      <c r="AL314" t="s">
        <v>6929</v>
      </c>
    </row>
    <row r="315" spans="5:38" x14ac:dyDescent="0.25">
      <c r="I315" t="str">
        <f t="shared" si="23"/>
        <v>burningfp</v>
      </c>
      <c r="J315" t="str">
        <f t="shared" si="24"/>
        <v/>
      </c>
      <c r="L315" t="str">
        <f t="shared" si="26"/>
        <v/>
      </c>
      <c r="M315" t="str">
        <f t="shared" si="26"/>
        <v/>
      </c>
      <c r="N315" t="str">
        <f t="shared" si="26"/>
        <v/>
      </c>
      <c r="O315" t="str">
        <f t="shared" si="26"/>
        <v/>
      </c>
      <c r="P315" t="str">
        <f t="shared" si="26"/>
        <v/>
      </c>
      <c r="T315" t="str">
        <f t="shared" si="25"/>
        <v/>
      </c>
      <c r="V315" t="str">
        <f t="shared" si="27"/>
        <v>AES</v>
      </c>
      <c r="W315" t="str">
        <f t="shared" si="27"/>
        <v>MVS,AES</v>
      </c>
      <c r="AG315" t="s">
        <v>4354</v>
      </c>
      <c r="AH315" t="s">
        <v>6928</v>
      </c>
      <c r="AI315" t="s">
        <v>4367</v>
      </c>
      <c r="AJ315" t="s">
        <v>92</v>
      </c>
      <c r="AK315" t="s">
        <v>6927</v>
      </c>
      <c r="AL315" t="s">
        <v>6926</v>
      </c>
    </row>
    <row r="316" spans="5:38" x14ac:dyDescent="0.25">
      <c r="E316" t="s">
        <v>6925</v>
      </c>
      <c r="F316" t="s">
        <v>6924</v>
      </c>
      <c r="G316" t="s">
        <v>3906</v>
      </c>
      <c r="H316" t="s">
        <v>1912</v>
      </c>
      <c r="I316" t="str">
        <f t="shared" si="23"/>
        <v>lbowling</v>
      </c>
      <c r="J316" t="str">
        <f t="shared" si="24"/>
        <v>lbowlingserial</v>
      </c>
      <c r="K316" t="s">
        <v>1373</v>
      </c>
      <c r="L316" t="str">
        <f t="shared" si="26"/>
        <v>NGM-019 (MVS), NGH-019 (AES)</v>
      </c>
      <c r="M316" t="str">
        <f t="shared" si="26"/>
        <v>19901210 (MVS), 19910701 (AES)</v>
      </c>
      <c r="N316" t="str">
        <f t="shared" si="26"/>
        <v>リーグボウリング</v>
      </c>
      <c r="O316" t="str">
        <f t="shared" si="26"/>
        <v/>
      </c>
      <c r="P316" t="str">
        <f t="shared" si="26"/>
        <v/>
      </c>
      <c r="Q316" t="s">
        <v>6923</v>
      </c>
      <c r="S316" t="s">
        <v>46</v>
      </c>
      <c r="T316" t="str">
        <f t="shared" si="25"/>
        <v>lbowlingrelease</v>
      </c>
      <c r="U316" t="s">
        <v>218</v>
      </c>
      <c r="V316" t="str">
        <f t="shared" si="27"/>
        <v>MVS,AES</v>
      </c>
      <c r="W316" t="str">
        <f t="shared" si="27"/>
        <v>MVS,AES</v>
      </c>
      <c r="Y316" t="s">
        <v>45</v>
      </c>
      <c r="Z316" t="s">
        <v>44</v>
      </c>
      <c r="AB316" t="s">
        <v>43</v>
      </c>
      <c r="AC316" t="s">
        <v>42</v>
      </c>
      <c r="AD316" t="s">
        <v>41</v>
      </c>
      <c r="AE316" t="s">
        <v>15</v>
      </c>
      <c r="AG316" t="s">
        <v>40</v>
      </c>
      <c r="AH316" t="s">
        <v>6922</v>
      </c>
      <c r="AI316" t="s">
        <v>9</v>
      </c>
      <c r="AJ316" t="s">
        <v>92</v>
      </c>
      <c r="AK316" t="s">
        <v>6921</v>
      </c>
      <c r="AL316" t="s">
        <v>6920</v>
      </c>
    </row>
    <row r="317" spans="5:38" x14ac:dyDescent="0.25">
      <c r="I317" t="str">
        <f t="shared" si="23"/>
        <v>lbowling</v>
      </c>
      <c r="J317" t="str">
        <f t="shared" si="24"/>
        <v>lbowlingrelease</v>
      </c>
      <c r="K317" t="s">
        <v>46</v>
      </c>
      <c r="L317" t="str">
        <f t="shared" si="26"/>
        <v>NGM-019 (MVS), NGH-019 (AES)</v>
      </c>
      <c r="M317" t="str">
        <f t="shared" si="26"/>
        <v>19901210 (MVS), 19910701 (AES)</v>
      </c>
      <c r="N317" t="str">
        <f t="shared" si="26"/>
        <v>リーグボウリング</v>
      </c>
      <c r="O317" t="str">
        <f t="shared" si="26"/>
        <v/>
      </c>
      <c r="P317" t="str">
        <f t="shared" si="26"/>
        <v/>
      </c>
      <c r="Q317" t="s">
        <v>6919</v>
      </c>
      <c r="T317" t="str">
        <f t="shared" si="25"/>
        <v/>
      </c>
      <c r="V317" t="str">
        <f t="shared" si="27"/>
        <v>MVS,AES</v>
      </c>
      <c r="W317" t="str">
        <f t="shared" si="27"/>
        <v>MVS,AES</v>
      </c>
      <c r="AA317" t="s">
        <v>6269</v>
      </c>
      <c r="AB317" t="s">
        <v>6268</v>
      </c>
      <c r="AE317" t="s">
        <v>6267</v>
      </c>
    </row>
    <row r="318" spans="5:38" x14ac:dyDescent="0.25">
      <c r="I318" t="str">
        <f t="shared" si="23"/>
        <v>lbowling</v>
      </c>
      <c r="J318" t="str">
        <f t="shared" si="24"/>
        <v>lbowlingalt_title</v>
      </c>
      <c r="K318" t="s">
        <v>1218</v>
      </c>
      <c r="L318" t="str">
        <f t="shared" si="26"/>
        <v>NGM-019 (MVS), NGH-019 (AES)</v>
      </c>
      <c r="M318" t="str">
        <f t="shared" si="26"/>
        <v>19901210 (MVS), 19910701 (AES)</v>
      </c>
      <c r="N318" t="str">
        <f t="shared" si="26"/>
        <v>リーグボウリング</v>
      </c>
      <c r="O318" t="str">
        <f t="shared" si="26"/>
        <v/>
      </c>
      <c r="P318" t="str">
        <f t="shared" si="26"/>
        <v/>
      </c>
      <c r="Q318" t="s">
        <v>6918</v>
      </c>
      <c r="T318" t="str">
        <f t="shared" si="25"/>
        <v/>
      </c>
      <c r="V318" t="str">
        <f t="shared" si="27"/>
        <v>MVS,AES</v>
      </c>
      <c r="W318" t="str">
        <f t="shared" si="27"/>
        <v>MVS,AES</v>
      </c>
      <c r="AB318" t="s">
        <v>34</v>
      </c>
      <c r="AE318" t="s">
        <v>33</v>
      </c>
      <c r="AH318" t="s">
        <v>6917</v>
      </c>
      <c r="AI318" t="s">
        <v>9</v>
      </c>
      <c r="AJ318" t="s">
        <v>27</v>
      </c>
      <c r="AK318" t="s">
        <v>6916</v>
      </c>
      <c r="AL318" t="s">
        <v>6915</v>
      </c>
    </row>
    <row r="319" spans="5:38" x14ac:dyDescent="0.25">
      <c r="I319" t="str">
        <f t="shared" si="23"/>
        <v>lbowling</v>
      </c>
      <c r="J319" t="str">
        <f t="shared" si="24"/>
        <v/>
      </c>
      <c r="L319" t="str">
        <f t="shared" si="26"/>
        <v>NGM-019 (MVS), NGH-019 (AES)</v>
      </c>
      <c r="M319" t="str">
        <f t="shared" si="26"/>
        <v>19901210 (MVS), 19910701 (AES)</v>
      </c>
      <c r="N319" t="str">
        <f t="shared" si="26"/>
        <v>リーグボウリング</v>
      </c>
      <c r="O319" t="str">
        <f t="shared" si="26"/>
        <v/>
      </c>
      <c r="P319" t="str">
        <f t="shared" si="26"/>
        <v/>
      </c>
      <c r="S319" t="s">
        <v>36</v>
      </c>
      <c r="T319" t="str">
        <f t="shared" si="25"/>
        <v>lbowlingcompatibility</v>
      </c>
      <c r="U319" t="s">
        <v>218</v>
      </c>
      <c r="V319" t="str">
        <f t="shared" si="27"/>
        <v>MVS,AES</v>
      </c>
      <c r="W319" t="str">
        <f t="shared" si="27"/>
        <v>MVS,AES</v>
      </c>
      <c r="AB319" t="s">
        <v>29</v>
      </c>
      <c r="AE319" t="s">
        <v>27</v>
      </c>
      <c r="AH319" t="s">
        <v>6914</v>
      </c>
      <c r="AI319" t="s">
        <v>9</v>
      </c>
      <c r="AJ319" t="s">
        <v>27</v>
      </c>
      <c r="AK319" t="s">
        <v>6913</v>
      </c>
      <c r="AL319" t="s">
        <v>6912</v>
      </c>
    </row>
    <row r="320" spans="5:38" x14ac:dyDescent="0.25">
      <c r="I320" t="str">
        <f t="shared" si="23"/>
        <v>lbowling</v>
      </c>
      <c r="J320" t="str">
        <f t="shared" si="24"/>
        <v/>
      </c>
      <c r="L320" t="str">
        <f t="shared" si="26"/>
        <v>NGM-019 (MVS), NGH-019 (AES)</v>
      </c>
      <c r="M320" t="str">
        <f t="shared" si="26"/>
        <v>19901210 (MVS), 19910701 (AES)</v>
      </c>
      <c r="N320" t="str">
        <f t="shared" si="26"/>
        <v>リーグボウリング</v>
      </c>
      <c r="O320" t="str">
        <f t="shared" si="26"/>
        <v/>
      </c>
      <c r="P320" t="str">
        <f t="shared" si="26"/>
        <v/>
      </c>
      <c r="T320" t="str">
        <f t="shared" si="25"/>
        <v/>
      </c>
      <c r="V320" t="str">
        <f t="shared" si="27"/>
        <v>MVS,AES</v>
      </c>
      <c r="W320" t="str">
        <f t="shared" si="27"/>
        <v>MVS,AES</v>
      </c>
      <c r="AB320" t="s">
        <v>24</v>
      </c>
      <c r="AE320" t="s">
        <v>15</v>
      </c>
      <c r="AH320" t="s">
        <v>6911</v>
      </c>
      <c r="AI320" t="s">
        <v>9</v>
      </c>
      <c r="AJ320" t="s">
        <v>92</v>
      </c>
      <c r="AK320" t="s">
        <v>6910</v>
      </c>
      <c r="AL320" t="s">
        <v>6909</v>
      </c>
    </row>
    <row r="321" spans="5:44" x14ac:dyDescent="0.25">
      <c r="I321" t="str">
        <f t="shared" si="23"/>
        <v>lbowling</v>
      </c>
      <c r="J321" t="str">
        <f t="shared" si="24"/>
        <v/>
      </c>
      <c r="L321" t="str">
        <f t="shared" ref="L321:P371" si="28">IFERROR(VLOOKUP($I321&amp;L$1,$J:$Q,8,0),"")</f>
        <v>NGM-019 (MVS), NGH-019 (AES)</v>
      </c>
      <c r="M321" t="str">
        <f t="shared" si="28"/>
        <v>19901210 (MVS), 19910701 (AES)</v>
      </c>
      <c r="N321" t="str">
        <f t="shared" si="28"/>
        <v>リーグボウリング</v>
      </c>
      <c r="O321" t="str">
        <f t="shared" si="28"/>
        <v/>
      </c>
      <c r="P321" t="str">
        <f t="shared" si="28"/>
        <v/>
      </c>
      <c r="T321" t="str">
        <f t="shared" si="25"/>
        <v/>
      </c>
      <c r="V321" t="str">
        <f t="shared" si="27"/>
        <v>MVS,AES</v>
      </c>
      <c r="W321" t="str">
        <f t="shared" si="27"/>
        <v>MVS,AES</v>
      </c>
      <c r="AH321" t="s">
        <v>6908</v>
      </c>
      <c r="AI321" t="s">
        <v>92</v>
      </c>
      <c r="AJ321" t="s">
        <v>92</v>
      </c>
      <c r="AK321" t="s">
        <v>6907</v>
      </c>
      <c r="AL321" t="s">
        <v>6906</v>
      </c>
    </row>
    <row r="322" spans="5:44" x14ac:dyDescent="0.25">
      <c r="I322" t="str">
        <f t="shared" si="23"/>
        <v>lbowling</v>
      </c>
      <c r="J322" t="str">
        <f t="shared" si="24"/>
        <v/>
      </c>
      <c r="L322" t="str">
        <f t="shared" si="28"/>
        <v>NGM-019 (MVS), NGH-019 (AES)</v>
      </c>
      <c r="M322" t="str">
        <f t="shared" si="28"/>
        <v>19901210 (MVS), 19910701 (AES)</v>
      </c>
      <c r="N322" t="str">
        <f t="shared" si="28"/>
        <v>リーグボウリング</v>
      </c>
      <c r="O322" t="str">
        <f t="shared" si="28"/>
        <v/>
      </c>
      <c r="P322" t="str">
        <f t="shared" si="28"/>
        <v/>
      </c>
      <c r="T322" t="str">
        <f t="shared" si="25"/>
        <v/>
      </c>
      <c r="V322" t="str">
        <f t="shared" si="27"/>
        <v>MVS,AES</v>
      </c>
      <c r="W322" t="str">
        <f t="shared" si="27"/>
        <v>MVS,AES</v>
      </c>
      <c r="AB322" t="s">
        <v>6575</v>
      </c>
      <c r="AE322" t="s">
        <v>480</v>
      </c>
      <c r="AH322" t="s">
        <v>6905</v>
      </c>
      <c r="AI322" t="s">
        <v>9</v>
      </c>
      <c r="AJ322" t="s">
        <v>92</v>
      </c>
      <c r="AK322" t="s">
        <v>6904</v>
      </c>
      <c r="AL322" t="s">
        <v>6903</v>
      </c>
    </row>
    <row r="323" spans="5:44" x14ac:dyDescent="0.25">
      <c r="I323" t="str">
        <f t="shared" ref="I323:I386" si="29">IF(E323="",I322,E323)</f>
        <v>lbowling</v>
      </c>
      <c r="J323" t="str">
        <f t="shared" ref="J323:J386" si="30">IF(K323="","",I323&amp;K323)</f>
        <v/>
      </c>
      <c r="L323" t="str">
        <f t="shared" si="28"/>
        <v>NGM-019 (MVS), NGH-019 (AES)</v>
      </c>
      <c r="M323" t="str">
        <f t="shared" si="28"/>
        <v>19901210 (MVS), 19910701 (AES)</v>
      </c>
      <c r="N323" t="str">
        <f t="shared" si="28"/>
        <v>リーグボウリング</v>
      </c>
      <c r="O323" t="str">
        <f t="shared" si="28"/>
        <v/>
      </c>
      <c r="P323" t="str">
        <f t="shared" si="28"/>
        <v/>
      </c>
      <c r="T323" t="str">
        <f t="shared" ref="T323:T386" si="31">IF(S323="","",I323&amp;S323)</f>
        <v/>
      </c>
      <c r="V323" t="str">
        <f t="shared" si="27"/>
        <v>MVS,AES</v>
      </c>
      <c r="W323" t="str">
        <f t="shared" si="27"/>
        <v>MVS,AES</v>
      </c>
      <c r="AB323" t="s">
        <v>12</v>
      </c>
      <c r="AE323" t="s">
        <v>15</v>
      </c>
      <c r="AG323" t="s">
        <v>6</v>
      </c>
      <c r="AH323" t="s">
        <v>6902</v>
      </c>
      <c r="AI323" t="s">
        <v>9</v>
      </c>
      <c r="AJ323" t="s">
        <v>92</v>
      </c>
      <c r="AK323" t="s">
        <v>6901</v>
      </c>
      <c r="AL323" t="s">
        <v>6900</v>
      </c>
    </row>
    <row r="324" spans="5:44" x14ac:dyDescent="0.25">
      <c r="I324" t="str">
        <f t="shared" si="29"/>
        <v>lbowling</v>
      </c>
      <c r="J324" t="str">
        <f t="shared" si="30"/>
        <v/>
      </c>
      <c r="L324" t="str">
        <f t="shared" si="28"/>
        <v>NGM-019 (MVS), NGH-019 (AES)</v>
      </c>
      <c r="M324" t="str">
        <f t="shared" si="28"/>
        <v>19901210 (MVS), 19910701 (AES)</v>
      </c>
      <c r="N324" t="str">
        <f t="shared" si="28"/>
        <v>リーグボウリング</v>
      </c>
      <c r="O324" t="str">
        <f t="shared" si="28"/>
        <v/>
      </c>
      <c r="P324" t="str">
        <f t="shared" si="28"/>
        <v/>
      </c>
      <c r="T324" t="str">
        <f t="shared" si="31"/>
        <v/>
      </c>
      <c r="V324" t="str">
        <f t="shared" si="27"/>
        <v>MVS,AES</v>
      </c>
      <c r="W324" t="str">
        <f t="shared" si="27"/>
        <v>MVS,AES</v>
      </c>
      <c r="AG324" t="s">
        <v>6</v>
      </c>
      <c r="AH324" t="s">
        <v>6899</v>
      </c>
      <c r="AI324" t="s">
        <v>4</v>
      </c>
      <c r="AJ324" t="s">
        <v>92</v>
      </c>
      <c r="AK324" t="s">
        <v>6898</v>
      </c>
      <c r="AL324" t="s">
        <v>6897</v>
      </c>
    </row>
    <row r="325" spans="5:44" x14ac:dyDescent="0.25">
      <c r="E325" t="s">
        <v>6855</v>
      </c>
      <c r="F325" t="s">
        <v>6896</v>
      </c>
      <c r="G325" t="s">
        <v>6279</v>
      </c>
      <c r="H325" t="s">
        <v>1912</v>
      </c>
      <c r="I325" t="str">
        <f t="shared" si="29"/>
        <v>gpilots</v>
      </c>
      <c r="J325" t="str">
        <f t="shared" si="30"/>
        <v>gpilotsserial</v>
      </c>
      <c r="K325" t="s">
        <v>1373</v>
      </c>
      <c r="L325" t="str">
        <f t="shared" si="28"/>
        <v>NGM-020 (MVS), NGH-020 (AES)</v>
      </c>
      <c r="M325" t="str">
        <f t="shared" si="28"/>
        <v>19910125 (MVS), 19910701 (AES)</v>
      </c>
      <c r="N325" t="str">
        <f t="shared" si="28"/>
        <v>ゴーストパイロット</v>
      </c>
      <c r="O325" t="str">
        <f t="shared" si="28"/>
        <v/>
      </c>
      <c r="P325" t="str">
        <f t="shared" si="28"/>
        <v/>
      </c>
      <c r="Q325" t="s">
        <v>6895</v>
      </c>
      <c r="S325" t="s">
        <v>46</v>
      </c>
      <c r="T325" t="str">
        <f t="shared" si="31"/>
        <v>gpilotsrelease</v>
      </c>
      <c r="U325" t="s">
        <v>218</v>
      </c>
      <c r="V325" t="str">
        <f t="shared" si="27"/>
        <v>MVS,AES</v>
      </c>
      <c r="W325" t="str">
        <f t="shared" si="27"/>
        <v>MVS,AES</v>
      </c>
      <c r="Y325" t="s">
        <v>45</v>
      </c>
      <c r="Z325" t="s">
        <v>44</v>
      </c>
      <c r="AB325" t="s">
        <v>43</v>
      </c>
      <c r="AC325" t="s">
        <v>42</v>
      </c>
      <c r="AD325" t="s">
        <v>41</v>
      </c>
      <c r="AE325" t="s">
        <v>15</v>
      </c>
      <c r="AG325" t="s">
        <v>40</v>
      </c>
      <c r="AH325" t="s">
        <v>6894</v>
      </c>
      <c r="AI325" t="s">
        <v>9</v>
      </c>
      <c r="AJ325" t="s">
        <v>92</v>
      </c>
      <c r="AK325" t="s">
        <v>6893</v>
      </c>
      <c r="AL325" t="s">
        <v>6892</v>
      </c>
    </row>
    <row r="326" spans="5:44" x14ac:dyDescent="0.25">
      <c r="I326" t="str">
        <f t="shared" si="29"/>
        <v>gpilots</v>
      </c>
      <c r="J326" t="str">
        <f t="shared" si="30"/>
        <v>gpilotsrelease</v>
      </c>
      <c r="K326" t="s">
        <v>46</v>
      </c>
      <c r="L326" t="str">
        <f t="shared" si="28"/>
        <v>NGM-020 (MVS), NGH-020 (AES)</v>
      </c>
      <c r="M326" t="str">
        <f t="shared" si="28"/>
        <v>19910125 (MVS), 19910701 (AES)</v>
      </c>
      <c r="N326" t="str">
        <f t="shared" si="28"/>
        <v>ゴーストパイロット</v>
      </c>
      <c r="O326" t="str">
        <f t="shared" si="28"/>
        <v/>
      </c>
      <c r="P326" t="str">
        <f t="shared" si="28"/>
        <v/>
      </c>
      <c r="Q326" t="s">
        <v>6891</v>
      </c>
      <c r="T326" t="str">
        <f t="shared" si="31"/>
        <v/>
      </c>
      <c r="V326" t="str">
        <f t="shared" si="27"/>
        <v>MVS,AES</v>
      </c>
      <c r="W326" t="str">
        <f t="shared" si="27"/>
        <v>MVS,AES</v>
      </c>
      <c r="AG326" t="s">
        <v>40</v>
      </c>
      <c r="AH326" t="s">
        <v>6883</v>
      </c>
      <c r="AI326" t="s">
        <v>92</v>
      </c>
      <c r="AJ326" t="s">
        <v>27</v>
      </c>
      <c r="AK326" t="s">
        <v>6882</v>
      </c>
      <c r="AL326" t="s">
        <v>6881</v>
      </c>
    </row>
    <row r="327" spans="5:44" x14ac:dyDescent="0.25">
      <c r="I327" t="str">
        <f t="shared" si="29"/>
        <v>gpilots</v>
      </c>
      <c r="J327" t="str">
        <f t="shared" si="30"/>
        <v>gpilotsalt_title</v>
      </c>
      <c r="K327" t="s">
        <v>1218</v>
      </c>
      <c r="L327" t="str">
        <f t="shared" si="28"/>
        <v>NGM-020 (MVS), NGH-020 (AES)</v>
      </c>
      <c r="M327" t="str">
        <f t="shared" si="28"/>
        <v>19910125 (MVS), 19910701 (AES)</v>
      </c>
      <c r="N327" t="str">
        <f t="shared" si="28"/>
        <v>ゴーストパイロット</v>
      </c>
      <c r="O327" t="str">
        <f t="shared" si="28"/>
        <v/>
      </c>
      <c r="P327" t="str">
        <f t="shared" si="28"/>
        <v/>
      </c>
      <c r="Q327" t="s">
        <v>6890</v>
      </c>
      <c r="T327" t="str">
        <f t="shared" si="31"/>
        <v/>
      </c>
      <c r="V327" t="str">
        <f t="shared" si="27"/>
        <v>MVS,AES</v>
      </c>
      <c r="W327" t="str">
        <f t="shared" si="27"/>
        <v>MVS,AES</v>
      </c>
      <c r="AB327" t="s">
        <v>34</v>
      </c>
      <c r="AE327" t="s">
        <v>33</v>
      </c>
      <c r="AH327" t="s">
        <v>6880</v>
      </c>
      <c r="AI327" t="s">
        <v>9</v>
      </c>
      <c r="AJ327" t="s">
        <v>27</v>
      </c>
      <c r="AK327" t="s">
        <v>6852</v>
      </c>
      <c r="AL327" t="s">
        <v>6851</v>
      </c>
    </row>
    <row r="328" spans="5:44" x14ac:dyDescent="0.25">
      <c r="I328" t="str">
        <f t="shared" si="29"/>
        <v>gpilots</v>
      </c>
      <c r="J328" t="str">
        <f t="shared" si="30"/>
        <v/>
      </c>
      <c r="L328" t="str">
        <f t="shared" si="28"/>
        <v>NGM-020 (MVS), NGH-020 (AES)</v>
      </c>
      <c r="M328" t="str">
        <f t="shared" si="28"/>
        <v>19910125 (MVS), 19910701 (AES)</v>
      </c>
      <c r="N328" t="str">
        <f t="shared" si="28"/>
        <v>ゴーストパイロット</v>
      </c>
      <c r="O328" t="str">
        <f t="shared" si="28"/>
        <v/>
      </c>
      <c r="P328" t="str">
        <f t="shared" si="28"/>
        <v/>
      </c>
      <c r="S328" t="s">
        <v>36</v>
      </c>
      <c r="T328" t="str">
        <f t="shared" si="31"/>
        <v>gpilotscompatibility</v>
      </c>
      <c r="U328" t="s">
        <v>218</v>
      </c>
      <c r="V328" t="str">
        <f t="shared" si="27"/>
        <v>MVS,AES</v>
      </c>
      <c r="W328" t="str">
        <f t="shared" si="27"/>
        <v>MVS,AES</v>
      </c>
      <c r="AB328" t="s">
        <v>29</v>
      </c>
      <c r="AE328" t="s">
        <v>27</v>
      </c>
      <c r="AH328" t="s">
        <v>6879</v>
      </c>
      <c r="AI328" t="s">
        <v>9</v>
      </c>
      <c r="AJ328" t="s">
        <v>27</v>
      </c>
      <c r="AK328" t="s">
        <v>6878</v>
      </c>
      <c r="AL328" t="s">
        <v>6877</v>
      </c>
    </row>
    <row r="329" spans="5:44" x14ac:dyDescent="0.25">
      <c r="I329" t="str">
        <f t="shared" si="29"/>
        <v>gpilots</v>
      </c>
      <c r="J329" t="str">
        <f t="shared" si="30"/>
        <v/>
      </c>
      <c r="L329" t="str">
        <f t="shared" si="28"/>
        <v>NGM-020 (MVS), NGH-020 (AES)</v>
      </c>
      <c r="M329" t="str">
        <f t="shared" si="28"/>
        <v>19910125 (MVS), 19910701 (AES)</v>
      </c>
      <c r="N329" t="str">
        <f t="shared" si="28"/>
        <v>ゴーストパイロット</v>
      </c>
      <c r="O329" t="str">
        <f t="shared" si="28"/>
        <v/>
      </c>
      <c r="P329" t="str">
        <f t="shared" si="28"/>
        <v/>
      </c>
      <c r="T329" t="str">
        <f t="shared" si="31"/>
        <v/>
      </c>
      <c r="V329" t="str">
        <f t="shared" si="27"/>
        <v>MVS,AES</v>
      </c>
      <c r="W329" t="str">
        <f t="shared" si="27"/>
        <v>MVS,AES</v>
      </c>
      <c r="AB329" t="s">
        <v>24</v>
      </c>
      <c r="AE329" t="s">
        <v>4502</v>
      </c>
      <c r="AH329" t="s">
        <v>6876</v>
      </c>
      <c r="AI329" t="s">
        <v>9</v>
      </c>
      <c r="AJ329" t="s">
        <v>15</v>
      </c>
      <c r="AK329" t="s">
        <v>6875</v>
      </c>
      <c r="AL329" t="s">
        <v>6874</v>
      </c>
    </row>
    <row r="330" spans="5:44" x14ac:dyDescent="0.25">
      <c r="I330" t="str">
        <f t="shared" si="29"/>
        <v>gpilots</v>
      </c>
      <c r="J330" t="str">
        <f t="shared" si="30"/>
        <v/>
      </c>
      <c r="L330" t="str">
        <f t="shared" si="28"/>
        <v>NGM-020 (MVS), NGH-020 (AES)</v>
      </c>
      <c r="M330" t="str">
        <f t="shared" si="28"/>
        <v>19910125 (MVS), 19910701 (AES)</v>
      </c>
      <c r="N330" t="str">
        <f t="shared" si="28"/>
        <v>ゴーストパイロット</v>
      </c>
      <c r="O330" t="str">
        <f t="shared" si="28"/>
        <v/>
      </c>
      <c r="P330" t="str">
        <f t="shared" si="28"/>
        <v/>
      </c>
      <c r="T330" t="str">
        <f t="shared" si="31"/>
        <v/>
      </c>
      <c r="V330" t="str">
        <f t="shared" si="27"/>
        <v>MVS,AES</v>
      </c>
      <c r="W330" t="str">
        <f t="shared" si="27"/>
        <v>MVS,AES</v>
      </c>
      <c r="AH330" t="s">
        <v>6873</v>
      </c>
      <c r="AI330" t="s">
        <v>15</v>
      </c>
      <c r="AJ330" t="s">
        <v>92</v>
      </c>
      <c r="AK330" t="s">
        <v>6841</v>
      </c>
      <c r="AL330" t="s">
        <v>6840</v>
      </c>
    </row>
    <row r="331" spans="5:44" x14ac:dyDescent="0.25">
      <c r="I331" t="str">
        <f t="shared" si="29"/>
        <v>gpilots</v>
      </c>
      <c r="J331" t="str">
        <f t="shared" si="30"/>
        <v/>
      </c>
      <c r="L331" t="str">
        <f t="shared" si="28"/>
        <v>NGM-020 (MVS), NGH-020 (AES)</v>
      </c>
      <c r="M331" t="str">
        <f t="shared" si="28"/>
        <v>19910125 (MVS), 19910701 (AES)</v>
      </c>
      <c r="N331" t="str">
        <f t="shared" si="28"/>
        <v>ゴーストパイロット</v>
      </c>
      <c r="O331" t="str">
        <f t="shared" si="28"/>
        <v/>
      </c>
      <c r="P331" t="str">
        <f t="shared" si="28"/>
        <v/>
      </c>
      <c r="T331" t="str">
        <f t="shared" si="31"/>
        <v/>
      </c>
      <c r="V331" t="str">
        <f t="shared" si="27"/>
        <v>MVS,AES</v>
      </c>
      <c r="W331" t="str">
        <f t="shared" si="27"/>
        <v>MVS,AES</v>
      </c>
      <c r="AB331" t="s">
        <v>6575</v>
      </c>
      <c r="AE331" t="s">
        <v>480</v>
      </c>
      <c r="AH331" t="s">
        <v>6872</v>
      </c>
      <c r="AI331" t="s">
        <v>9</v>
      </c>
      <c r="AJ331" t="s">
        <v>92</v>
      </c>
      <c r="AK331" t="s">
        <v>6838</v>
      </c>
      <c r="AL331" t="s">
        <v>6837</v>
      </c>
    </row>
    <row r="332" spans="5:44" x14ac:dyDescent="0.25">
      <c r="I332" t="str">
        <f t="shared" si="29"/>
        <v>gpilots</v>
      </c>
      <c r="J332" t="str">
        <f t="shared" si="30"/>
        <v/>
      </c>
      <c r="L332" t="str">
        <f t="shared" si="28"/>
        <v>NGM-020 (MVS), NGH-020 (AES)</v>
      </c>
      <c r="M332" t="str">
        <f t="shared" si="28"/>
        <v>19910125 (MVS), 19910701 (AES)</v>
      </c>
      <c r="N332" t="str">
        <f t="shared" si="28"/>
        <v>ゴーストパイロット</v>
      </c>
      <c r="O332" t="str">
        <f t="shared" si="28"/>
        <v/>
      </c>
      <c r="P332" t="str">
        <f t="shared" si="28"/>
        <v/>
      </c>
      <c r="T332" t="str">
        <f t="shared" si="31"/>
        <v/>
      </c>
      <c r="V332" t="str">
        <f t="shared" si="27"/>
        <v>MVS,AES</v>
      </c>
      <c r="W332" t="str">
        <f t="shared" si="27"/>
        <v>MVS,AES</v>
      </c>
      <c r="AB332" t="s">
        <v>12</v>
      </c>
      <c r="AE332" t="s">
        <v>11</v>
      </c>
      <c r="AG332" t="s">
        <v>6</v>
      </c>
      <c r="AH332" t="s">
        <v>6871</v>
      </c>
      <c r="AI332" t="s">
        <v>9</v>
      </c>
      <c r="AJ332" t="s">
        <v>15</v>
      </c>
      <c r="AK332" t="s">
        <v>6870</v>
      </c>
      <c r="AL332" t="s">
        <v>6869</v>
      </c>
    </row>
    <row r="333" spans="5:44" x14ac:dyDescent="0.25">
      <c r="I333" t="str">
        <f t="shared" si="29"/>
        <v>gpilots</v>
      </c>
      <c r="J333" t="str">
        <f t="shared" si="30"/>
        <v/>
      </c>
      <c r="L333" t="str">
        <f t="shared" si="28"/>
        <v>NGM-020 (MVS), NGH-020 (AES)</v>
      </c>
      <c r="M333" t="str">
        <f t="shared" si="28"/>
        <v>19910125 (MVS), 19910701 (AES)</v>
      </c>
      <c r="N333" t="str">
        <f t="shared" si="28"/>
        <v>ゴーストパイロット</v>
      </c>
      <c r="O333" t="str">
        <f t="shared" si="28"/>
        <v/>
      </c>
      <c r="P333" t="str">
        <f t="shared" si="28"/>
        <v/>
      </c>
      <c r="T333" t="str">
        <f t="shared" si="31"/>
        <v/>
      </c>
      <c r="V333" t="str">
        <f t="shared" si="27"/>
        <v>MVS,AES</v>
      </c>
      <c r="W333" t="str">
        <f t="shared" si="27"/>
        <v>MVS,AES</v>
      </c>
      <c r="AG333" t="s">
        <v>6</v>
      </c>
      <c r="AH333" t="s">
        <v>6868</v>
      </c>
      <c r="AI333" t="s">
        <v>4</v>
      </c>
      <c r="AJ333" t="s">
        <v>15</v>
      </c>
      <c r="AK333" t="s">
        <v>6867</v>
      </c>
      <c r="AL333" t="s">
        <v>6866</v>
      </c>
    </row>
    <row r="334" spans="5:44" x14ac:dyDescent="0.25">
      <c r="I334" t="str">
        <f t="shared" si="29"/>
        <v>gpilots</v>
      </c>
      <c r="J334" t="str">
        <f t="shared" si="30"/>
        <v/>
      </c>
      <c r="L334" t="str">
        <f t="shared" si="28"/>
        <v>NGM-020 (MVS), NGH-020 (AES)</v>
      </c>
      <c r="M334" t="str">
        <f t="shared" si="28"/>
        <v>19910125 (MVS), 19910701 (AES)</v>
      </c>
      <c r="N334" t="str">
        <f t="shared" si="28"/>
        <v>ゴーストパイロット</v>
      </c>
      <c r="O334" t="str">
        <f t="shared" si="28"/>
        <v/>
      </c>
      <c r="P334" t="str">
        <f t="shared" si="28"/>
        <v/>
      </c>
      <c r="T334" t="str">
        <f t="shared" si="31"/>
        <v/>
      </c>
      <c r="V334" t="str">
        <f t="shared" si="27"/>
        <v>MVS,AES</v>
      </c>
      <c r="W334" t="str">
        <f t="shared" si="27"/>
        <v>MVS,AES</v>
      </c>
      <c r="AG334" t="s">
        <v>6</v>
      </c>
      <c r="AH334" t="s">
        <v>6865</v>
      </c>
      <c r="AI334" t="s">
        <v>3</v>
      </c>
      <c r="AJ334" t="s">
        <v>15</v>
      </c>
      <c r="AK334" t="s">
        <v>6864</v>
      </c>
      <c r="AL334" t="s">
        <v>6863</v>
      </c>
    </row>
    <row r="335" spans="5:44" x14ac:dyDescent="0.25">
      <c r="I335" t="str">
        <f t="shared" si="29"/>
        <v>gpilots</v>
      </c>
      <c r="J335" t="str">
        <f t="shared" si="30"/>
        <v/>
      </c>
      <c r="L335" t="str">
        <f t="shared" si="28"/>
        <v>NGM-020 (MVS), NGH-020 (AES)</v>
      </c>
      <c r="M335" t="str">
        <f t="shared" si="28"/>
        <v>19910125 (MVS), 19910701 (AES)</v>
      </c>
      <c r="N335" t="str">
        <f t="shared" si="28"/>
        <v>ゴーストパイロット</v>
      </c>
      <c r="O335" t="str">
        <f t="shared" si="28"/>
        <v/>
      </c>
      <c r="P335" t="str">
        <f t="shared" si="28"/>
        <v/>
      </c>
      <c r="T335" t="str">
        <f t="shared" si="31"/>
        <v/>
      </c>
      <c r="V335" t="str">
        <f t="shared" si="27"/>
        <v>MVS,AES</v>
      </c>
      <c r="W335" t="str">
        <f t="shared" si="27"/>
        <v>MVS,AES</v>
      </c>
      <c r="AG335" t="s">
        <v>6</v>
      </c>
      <c r="AH335" t="s">
        <v>6862</v>
      </c>
      <c r="AI335" t="s">
        <v>4371</v>
      </c>
      <c r="AJ335" t="s">
        <v>15</v>
      </c>
      <c r="AK335" t="s">
        <v>6861</v>
      </c>
      <c r="AL335" t="s">
        <v>6860</v>
      </c>
    </row>
    <row r="336" spans="5:44" x14ac:dyDescent="0.25">
      <c r="E336" t="s">
        <v>6889</v>
      </c>
      <c r="F336" t="s">
        <v>6888</v>
      </c>
      <c r="G336" t="s">
        <v>6279</v>
      </c>
      <c r="H336" t="s">
        <v>1912</v>
      </c>
      <c r="I336" t="str">
        <f t="shared" si="29"/>
        <v>gpilotsh</v>
      </c>
      <c r="J336" t="str">
        <f t="shared" si="30"/>
        <v>gpilotshserial</v>
      </c>
      <c r="K336" t="s">
        <v>1373</v>
      </c>
      <c r="L336" t="str">
        <f t="shared" si="28"/>
        <v>NGH-020</v>
      </c>
      <c r="M336" t="str">
        <f t="shared" si="28"/>
        <v/>
      </c>
      <c r="N336" t="str">
        <f t="shared" si="28"/>
        <v/>
      </c>
      <c r="O336" t="str">
        <f t="shared" si="28"/>
        <v/>
      </c>
      <c r="P336" t="str">
        <f t="shared" si="28"/>
        <v/>
      </c>
      <c r="Q336" t="s">
        <v>6887</v>
      </c>
      <c r="S336" t="s">
        <v>46</v>
      </c>
      <c r="T336" t="str">
        <f t="shared" si="31"/>
        <v>gpilotshrelease</v>
      </c>
      <c r="U336" t="s">
        <v>35</v>
      </c>
      <c r="V336" t="str">
        <f t="shared" si="27"/>
        <v>AES</v>
      </c>
      <c r="W336" t="str">
        <f t="shared" si="27"/>
        <v>MVS,AES</v>
      </c>
      <c r="Y336" t="s">
        <v>45</v>
      </c>
      <c r="Z336" t="s">
        <v>44</v>
      </c>
      <c r="AB336" t="s">
        <v>43</v>
      </c>
      <c r="AC336" t="s">
        <v>42</v>
      </c>
      <c r="AD336" t="s">
        <v>41</v>
      </c>
      <c r="AE336" t="s">
        <v>15</v>
      </c>
      <c r="AG336" t="s">
        <v>40</v>
      </c>
      <c r="AH336" t="s">
        <v>6886</v>
      </c>
      <c r="AI336" t="s">
        <v>9</v>
      </c>
      <c r="AJ336" t="s">
        <v>92</v>
      </c>
      <c r="AK336" t="s">
        <v>6885</v>
      </c>
      <c r="AL336" t="s">
        <v>6884</v>
      </c>
      <c r="AR336" t="s">
        <v>6855</v>
      </c>
    </row>
    <row r="337" spans="5:44" x14ac:dyDescent="0.25">
      <c r="I337" t="str">
        <f t="shared" si="29"/>
        <v>gpilotsh</v>
      </c>
      <c r="J337" t="str">
        <f t="shared" si="30"/>
        <v/>
      </c>
      <c r="L337" t="str">
        <f t="shared" si="28"/>
        <v>NGH-020</v>
      </c>
      <c r="M337" t="str">
        <f t="shared" si="28"/>
        <v/>
      </c>
      <c r="N337" t="str">
        <f t="shared" si="28"/>
        <v/>
      </c>
      <c r="O337" t="str">
        <f t="shared" si="28"/>
        <v/>
      </c>
      <c r="P337" t="str">
        <f t="shared" si="28"/>
        <v/>
      </c>
      <c r="S337" t="s">
        <v>36</v>
      </c>
      <c r="T337" t="str">
        <f t="shared" si="31"/>
        <v>gpilotshcompatibility</v>
      </c>
      <c r="U337" t="s">
        <v>218</v>
      </c>
      <c r="V337" t="str">
        <f t="shared" si="27"/>
        <v>AES</v>
      </c>
      <c r="W337" t="str">
        <f t="shared" si="27"/>
        <v>MVS,AES</v>
      </c>
      <c r="AG337" t="s">
        <v>40</v>
      </c>
      <c r="AH337" t="s">
        <v>6883</v>
      </c>
      <c r="AI337" t="s">
        <v>92</v>
      </c>
      <c r="AJ337" t="s">
        <v>27</v>
      </c>
      <c r="AK337" t="s">
        <v>6882</v>
      </c>
      <c r="AL337" t="s">
        <v>6881</v>
      </c>
    </row>
    <row r="338" spans="5:44" x14ac:dyDescent="0.25">
      <c r="I338" t="str">
        <f t="shared" si="29"/>
        <v>gpilotsh</v>
      </c>
      <c r="J338" t="str">
        <f t="shared" si="30"/>
        <v/>
      </c>
      <c r="L338" t="str">
        <f t="shared" si="28"/>
        <v>NGH-020</v>
      </c>
      <c r="M338" t="str">
        <f t="shared" si="28"/>
        <v/>
      </c>
      <c r="N338" t="str">
        <f t="shared" si="28"/>
        <v/>
      </c>
      <c r="O338" t="str">
        <f t="shared" si="28"/>
        <v/>
      </c>
      <c r="P338" t="str">
        <f t="shared" si="28"/>
        <v/>
      </c>
      <c r="T338" t="str">
        <f t="shared" si="31"/>
        <v/>
      </c>
      <c r="V338" t="str">
        <f t="shared" si="27"/>
        <v>AES</v>
      </c>
      <c r="W338" t="str">
        <f t="shared" si="27"/>
        <v>MVS,AES</v>
      </c>
      <c r="AB338" t="s">
        <v>34</v>
      </c>
      <c r="AE338" t="s">
        <v>33</v>
      </c>
      <c r="AH338" t="s">
        <v>6880</v>
      </c>
      <c r="AI338" t="s">
        <v>9</v>
      </c>
      <c r="AJ338" t="s">
        <v>27</v>
      </c>
      <c r="AK338" t="s">
        <v>6852</v>
      </c>
      <c r="AL338" t="s">
        <v>6851</v>
      </c>
    </row>
    <row r="339" spans="5:44" x14ac:dyDescent="0.25">
      <c r="I339" t="str">
        <f t="shared" si="29"/>
        <v>gpilotsh</v>
      </c>
      <c r="J339" t="str">
        <f t="shared" si="30"/>
        <v/>
      </c>
      <c r="L339" t="str">
        <f t="shared" si="28"/>
        <v>NGH-020</v>
      </c>
      <c r="M339" t="str">
        <f t="shared" si="28"/>
        <v/>
      </c>
      <c r="N339" t="str">
        <f t="shared" si="28"/>
        <v/>
      </c>
      <c r="O339" t="str">
        <f t="shared" si="28"/>
        <v/>
      </c>
      <c r="P339" t="str">
        <f t="shared" si="28"/>
        <v/>
      </c>
      <c r="T339" t="str">
        <f t="shared" si="31"/>
        <v/>
      </c>
      <c r="V339" t="str">
        <f t="shared" si="27"/>
        <v>AES</v>
      </c>
      <c r="W339" t="str">
        <f t="shared" si="27"/>
        <v>MVS,AES</v>
      </c>
      <c r="AB339" t="s">
        <v>29</v>
      </c>
      <c r="AE339" t="s">
        <v>27</v>
      </c>
      <c r="AH339" t="s">
        <v>6879</v>
      </c>
      <c r="AI339" t="s">
        <v>9</v>
      </c>
      <c r="AJ339" t="s">
        <v>27</v>
      </c>
      <c r="AK339" t="s">
        <v>6878</v>
      </c>
      <c r="AL339" t="s">
        <v>6877</v>
      </c>
    </row>
    <row r="340" spans="5:44" x14ac:dyDescent="0.25">
      <c r="I340" t="str">
        <f t="shared" si="29"/>
        <v>gpilotsh</v>
      </c>
      <c r="J340" t="str">
        <f t="shared" si="30"/>
        <v/>
      </c>
      <c r="L340" t="str">
        <f t="shared" si="28"/>
        <v>NGH-020</v>
      </c>
      <c r="M340" t="str">
        <f t="shared" si="28"/>
        <v/>
      </c>
      <c r="N340" t="str">
        <f t="shared" si="28"/>
        <v/>
      </c>
      <c r="O340" t="str">
        <f t="shared" si="28"/>
        <v/>
      </c>
      <c r="P340" t="str">
        <f t="shared" si="28"/>
        <v/>
      </c>
      <c r="T340" t="str">
        <f t="shared" si="31"/>
        <v/>
      </c>
      <c r="V340" t="str">
        <f t="shared" si="27"/>
        <v>AES</v>
      </c>
      <c r="W340" t="str">
        <f t="shared" si="27"/>
        <v>MVS,AES</v>
      </c>
      <c r="AB340" t="s">
        <v>24</v>
      </c>
      <c r="AE340" t="s">
        <v>4502</v>
      </c>
      <c r="AH340" t="s">
        <v>6876</v>
      </c>
      <c r="AI340" t="s">
        <v>9</v>
      </c>
      <c r="AJ340" t="s">
        <v>15</v>
      </c>
      <c r="AK340" t="s">
        <v>6875</v>
      </c>
      <c r="AL340" t="s">
        <v>6874</v>
      </c>
    </row>
    <row r="341" spans="5:44" x14ac:dyDescent="0.25">
      <c r="I341" t="str">
        <f t="shared" si="29"/>
        <v>gpilotsh</v>
      </c>
      <c r="J341" t="str">
        <f t="shared" si="30"/>
        <v/>
      </c>
      <c r="L341" t="str">
        <f t="shared" si="28"/>
        <v>NGH-020</v>
      </c>
      <c r="M341" t="str">
        <f t="shared" si="28"/>
        <v/>
      </c>
      <c r="N341" t="str">
        <f t="shared" si="28"/>
        <v/>
      </c>
      <c r="O341" t="str">
        <f t="shared" si="28"/>
        <v/>
      </c>
      <c r="P341" t="str">
        <f t="shared" si="28"/>
        <v/>
      </c>
      <c r="T341" t="str">
        <f t="shared" si="31"/>
        <v/>
      </c>
      <c r="V341" t="str">
        <f t="shared" si="27"/>
        <v>AES</v>
      </c>
      <c r="W341" t="str">
        <f t="shared" si="27"/>
        <v>MVS,AES</v>
      </c>
      <c r="AH341" t="s">
        <v>6873</v>
      </c>
      <c r="AI341" t="s">
        <v>15</v>
      </c>
      <c r="AJ341" t="s">
        <v>92</v>
      </c>
      <c r="AK341" t="s">
        <v>6841</v>
      </c>
      <c r="AL341" t="s">
        <v>6840</v>
      </c>
    </row>
    <row r="342" spans="5:44" x14ac:dyDescent="0.25">
      <c r="I342" t="str">
        <f t="shared" si="29"/>
        <v>gpilotsh</v>
      </c>
      <c r="J342" t="str">
        <f t="shared" si="30"/>
        <v/>
      </c>
      <c r="L342" t="str">
        <f t="shared" si="28"/>
        <v>NGH-020</v>
      </c>
      <c r="M342" t="str">
        <f t="shared" si="28"/>
        <v/>
      </c>
      <c r="N342" t="str">
        <f t="shared" si="28"/>
        <v/>
      </c>
      <c r="O342" t="str">
        <f t="shared" si="28"/>
        <v/>
      </c>
      <c r="P342" t="str">
        <f t="shared" si="28"/>
        <v/>
      </c>
      <c r="T342" t="str">
        <f t="shared" si="31"/>
        <v/>
      </c>
      <c r="V342" t="str">
        <f t="shared" si="27"/>
        <v>AES</v>
      </c>
      <c r="W342" t="str">
        <f t="shared" si="27"/>
        <v>MVS,AES</v>
      </c>
      <c r="AB342" t="s">
        <v>6575</v>
      </c>
      <c r="AE342" t="s">
        <v>480</v>
      </c>
      <c r="AH342" t="s">
        <v>6872</v>
      </c>
      <c r="AI342" t="s">
        <v>9</v>
      </c>
      <c r="AJ342" t="s">
        <v>92</v>
      </c>
      <c r="AK342" t="s">
        <v>6838</v>
      </c>
      <c r="AL342" t="s">
        <v>6837</v>
      </c>
    </row>
    <row r="343" spans="5:44" x14ac:dyDescent="0.25">
      <c r="I343" t="str">
        <f t="shared" si="29"/>
        <v>gpilotsh</v>
      </c>
      <c r="J343" t="str">
        <f t="shared" si="30"/>
        <v/>
      </c>
      <c r="L343" t="str">
        <f t="shared" si="28"/>
        <v>NGH-020</v>
      </c>
      <c r="M343" t="str">
        <f t="shared" si="28"/>
        <v/>
      </c>
      <c r="N343" t="str">
        <f t="shared" si="28"/>
        <v/>
      </c>
      <c r="O343" t="str">
        <f t="shared" si="28"/>
        <v/>
      </c>
      <c r="P343" t="str">
        <f t="shared" si="28"/>
        <v/>
      </c>
      <c r="T343" t="str">
        <f t="shared" si="31"/>
        <v/>
      </c>
      <c r="V343" t="str">
        <f t="shared" ref="V343:W406" si="32">IFERROR(VLOOKUP($I343&amp;V$1,$T:$AA,2,0),"")</f>
        <v>AES</v>
      </c>
      <c r="W343" t="str">
        <f t="shared" si="32"/>
        <v>MVS,AES</v>
      </c>
      <c r="AB343" t="s">
        <v>12</v>
      </c>
      <c r="AE343" t="s">
        <v>11</v>
      </c>
      <c r="AG343" t="s">
        <v>6</v>
      </c>
      <c r="AH343" t="s">
        <v>6871</v>
      </c>
      <c r="AI343" t="s">
        <v>9</v>
      </c>
      <c r="AJ343" t="s">
        <v>15</v>
      </c>
      <c r="AK343" t="s">
        <v>6870</v>
      </c>
      <c r="AL343" t="s">
        <v>6869</v>
      </c>
    </row>
    <row r="344" spans="5:44" x14ac:dyDescent="0.25">
      <c r="I344" t="str">
        <f t="shared" si="29"/>
        <v>gpilotsh</v>
      </c>
      <c r="J344" t="str">
        <f t="shared" si="30"/>
        <v/>
      </c>
      <c r="L344" t="str">
        <f t="shared" si="28"/>
        <v>NGH-020</v>
      </c>
      <c r="M344" t="str">
        <f t="shared" si="28"/>
        <v/>
      </c>
      <c r="N344" t="str">
        <f t="shared" si="28"/>
        <v/>
      </c>
      <c r="O344" t="str">
        <f t="shared" si="28"/>
        <v/>
      </c>
      <c r="P344" t="str">
        <f t="shared" si="28"/>
        <v/>
      </c>
      <c r="T344" t="str">
        <f t="shared" si="31"/>
        <v/>
      </c>
      <c r="V344" t="str">
        <f t="shared" si="32"/>
        <v>AES</v>
      </c>
      <c r="W344" t="str">
        <f t="shared" si="32"/>
        <v>MVS,AES</v>
      </c>
      <c r="AG344" t="s">
        <v>6</v>
      </c>
      <c r="AH344" t="s">
        <v>6868</v>
      </c>
      <c r="AI344" t="s">
        <v>4</v>
      </c>
      <c r="AJ344" t="s">
        <v>15</v>
      </c>
      <c r="AK344" t="s">
        <v>6867</v>
      </c>
      <c r="AL344" t="s">
        <v>6866</v>
      </c>
    </row>
    <row r="345" spans="5:44" x14ac:dyDescent="0.25">
      <c r="I345" t="str">
        <f t="shared" si="29"/>
        <v>gpilotsh</v>
      </c>
      <c r="J345" t="str">
        <f t="shared" si="30"/>
        <v/>
      </c>
      <c r="L345" t="str">
        <f t="shared" si="28"/>
        <v>NGH-020</v>
      </c>
      <c r="M345" t="str">
        <f t="shared" si="28"/>
        <v/>
      </c>
      <c r="N345" t="str">
        <f t="shared" si="28"/>
        <v/>
      </c>
      <c r="O345" t="str">
        <f t="shared" si="28"/>
        <v/>
      </c>
      <c r="P345" t="str">
        <f t="shared" si="28"/>
        <v/>
      </c>
      <c r="T345" t="str">
        <f t="shared" si="31"/>
        <v/>
      </c>
      <c r="V345" t="str">
        <f t="shared" si="32"/>
        <v>AES</v>
      </c>
      <c r="W345" t="str">
        <f t="shared" si="32"/>
        <v>MVS,AES</v>
      </c>
      <c r="AG345" t="s">
        <v>6</v>
      </c>
      <c r="AH345" t="s">
        <v>6865</v>
      </c>
      <c r="AI345" t="s">
        <v>3</v>
      </c>
      <c r="AJ345" t="s">
        <v>15</v>
      </c>
      <c r="AK345" t="s">
        <v>6864</v>
      </c>
      <c r="AL345" t="s">
        <v>6863</v>
      </c>
    </row>
    <row r="346" spans="5:44" x14ac:dyDescent="0.25">
      <c r="I346" t="str">
        <f t="shared" si="29"/>
        <v>gpilotsh</v>
      </c>
      <c r="J346" t="str">
        <f t="shared" si="30"/>
        <v/>
      </c>
      <c r="L346" t="str">
        <f t="shared" si="28"/>
        <v>NGH-020</v>
      </c>
      <c r="M346" t="str">
        <f t="shared" si="28"/>
        <v/>
      </c>
      <c r="N346" t="str">
        <f t="shared" si="28"/>
        <v/>
      </c>
      <c r="O346" t="str">
        <f t="shared" si="28"/>
        <v/>
      </c>
      <c r="P346" t="str">
        <f t="shared" si="28"/>
        <v/>
      </c>
      <c r="T346" t="str">
        <f t="shared" si="31"/>
        <v/>
      </c>
      <c r="V346" t="str">
        <f t="shared" si="32"/>
        <v>AES</v>
      </c>
      <c r="W346" t="str">
        <f t="shared" si="32"/>
        <v>MVS,AES</v>
      </c>
      <c r="AG346" t="s">
        <v>6</v>
      </c>
      <c r="AH346" t="s">
        <v>6862</v>
      </c>
      <c r="AI346" t="s">
        <v>4371</v>
      </c>
      <c r="AJ346" t="s">
        <v>15</v>
      </c>
      <c r="AK346" t="s">
        <v>6861</v>
      </c>
      <c r="AL346" t="s">
        <v>6860</v>
      </c>
    </row>
    <row r="347" spans="5:44" x14ac:dyDescent="0.25">
      <c r="E347" t="s">
        <v>6859</v>
      </c>
      <c r="F347" t="s">
        <v>6858</v>
      </c>
      <c r="G347" t="s">
        <v>6279</v>
      </c>
      <c r="H347" t="s">
        <v>1912</v>
      </c>
      <c r="I347" t="str">
        <f t="shared" si="29"/>
        <v>gpilotsp</v>
      </c>
      <c r="J347" t="str">
        <f t="shared" si="30"/>
        <v/>
      </c>
      <c r="L347" t="str">
        <f t="shared" si="28"/>
        <v/>
      </c>
      <c r="M347" t="str">
        <f t="shared" si="28"/>
        <v/>
      </c>
      <c r="N347" t="str">
        <f t="shared" si="28"/>
        <v/>
      </c>
      <c r="O347" t="str">
        <f t="shared" si="28"/>
        <v/>
      </c>
      <c r="P347" t="str">
        <f t="shared" si="28"/>
        <v/>
      </c>
      <c r="S347" t="s">
        <v>46</v>
      </c>
      <c r="T347" t="str">
        <f t="shared" si="31"/>
        <v>gpilotsprelease</v>
      </c>
      <c r="U347" t="s">
        <v>35</v>
      </c>
      <c r="V347" t="str">
        <f t="shared" si="32"/>
        <v>AES</v>
      </c>
      <c r="W347" t="str">
        <f t="shared" si="32"/>
        <v>MVS,AES</v>
      </c>
      <c r="Y347" t="s">
        <v>45</v>
      </c>
      <c r="Z347" t="s">
        <v>44</v>
      </c>
      <c r="AB347" t="s">
        <v>43</v>
      </c>
      <c r="AC347" t="s">
        <v>42</v>
      </c>
      <c r="AD347" t="s">
        <v>41</v>
      </c>
      <c r="AE347" t="s">
        <v>15</v>
      </c>
      <c r="AG347" t="s">
        <v>6</v>
      </c>
      <c r="AH347" t="s">
        <v>5734</v>
      </c>
      <c r="AI347" t="s">
        <v>4</v>
      </c>
      <c r="AJ347" t="s">
        <v>92</v>
      </c>
      <c r="AK347" t="s">
        <v>6857</v>
      </c>
      <c r="AL347" t="s">
        <v>6856</v>
      </c>
      <c r="AR347" t="s">
        <v>6855</v>
      </c>
    </row>
    <row r="348" spans="5:44" x14ac:dyDescent="0.25">
      <c r="I348" t="str">
        <f t="shared" si="29"/>
        <v>gpilotsp</v>
      </c>
      <c r="J348" t="str">
        <f t="shared" si="30"/>
        <v/>
      </c>
      <c r="L348" t="str">
        <f t="shared" si="28"/>
        <v/>
      </c>
      <c r="M348" t="str">
        <f t="shared" si="28"/>
        <v/>
      </c>
      <c r="N348" t="str">
        <f t="shared" si="28"/>
        <v/>
      </c>
      <c r="O348" t="str">
        <f t="shared" si="28"/>
        <v/>
      </c>
      <c r="P348" t="str">
        <f t="shared" si="28"/>
        <v/>
      </c>
      <c r="S348" t="s">
        <v>36</v>
      </c>
      <c r="T348" t="str">
        <f t="shared" si="31"/>
        <v>gpilotspcompatibility</v>
      </c>
      <c r="U348" t="s">
        <v>218</v>
      </c>
      <c r="V348" t="str">
        <f t="shared" si="32"/>
        <v>AES</v>
      </c>
      <c r="W348" t="str">
        <f t="shared" si="32"/>
        <v>MVS,AES</v>
      </c>
      <c r="AG348" t="s">
        <v>6</v>
      </c>
      <c r="AH348" t="s">
        <v>5730</v>
      </c>
      <c r="AI348" t="s">
        <v>9</v>
      </c>
      <c r="AJ348" t="s">
        <v>92</v>
      </c>
      <c r="AK348" t="s">
        <v>6854</v>
      </c>
      <c r="AL348" t="s">
        <v>6853</v>
      </c>
    </row>
    <row r="349" spans="5:44" x14ac:dyDescent="0.25">
      <c r="I349" t="str">
        <f t="shared" si="29"/>
        <v>gpilotsp</v>
      </c>
      <c r="J349" t="str">
        <f t="shared" si="30"/>
        <v/>
      </c>
      <c r="L349" t="str">
        <f t="shared" si="28"/>
        <v/>
      </c>
      <c r="M349" t="str">
        <f t="shared" si="28"/>
        <v/>
      </c>
      <c r="N349" t="str">
        <f t="shared" si="28"/>
        <v/>
      </c>
      <c r="O349" t="str">
        <f t="shared" si="28"/>
        <v/>
      </c>
      <c r="P349" t="str">
        <f t="shared" si="28"/>
        <v/>
      </c>
      <c r="T349" t="str">
        <f t="shared" si="31"/>
        <v/>
      </c>
      <c r="V349" t="str">
        <f t="shared" si="32"/>
        <v>AES</v>
      </c>
      <c r="W349" t="str">
        <f t="shared" si="32"/>
        <v>MVS,AES</v>
      </c>
      <c r="AB349" t="s">
        <v>34</v>
      </c>
      <c r="AE349" t="s">
        <v>33</v>
      </c>
      <c r="AH349" t="s">
        <v>5727</v>
      </c>
      <c r="AI349" t="s">
        <v>9</v>
      </c>
      <c r="AJ349" t="s">
        <v>27</v>
      </c>
      <c r="AK349" t="s">
        <v>6852</v>
      </c>
      <c r="AL349" t="s">
        <v>6851</v>
      </c>
    </row>
    <row r="350" spans="5:44" x14ac:dyDescent="0.25">
      <c r="I350" t="str">
        <f t="shared" si="29"/>
        <v>gpilotsp</v>
      </c>
      <c r="J350" t="str">
        <f t="shared" si="30"/>
        <v/>
      </c>
      <c r="L350" t="str">
        <f t="shared" si="28"/>
        <v/>
      </c>
      <c r="M350" t="str">
        <f t="shared" si="28"/>
        <v/>
      </c>
      <c r="N350" t="str">
        <f t="shared" si="28"/>
        <v/>
      </c>
      <c r="O350" t="str">
        <f t="shared" si="28"/>
        <v/>
      </c>
      <c r="P350" t="str">
        <f t="shared" si="28"/>
        <v/>
      </c>
      <c r="T350" t="str">
        <f t="shared" si="31"/>
        <v/>
      </c>
      <c r="V350" t="str">
        <f t="shared" si="32"/>
        <v>AES</v>
      </c>
      <c r="W350" t="str">
        <f t="shared" si="32"/>
        <v>MVS,AES</v>
      </c>
      <c r="AB350" t="s">
        <v>29</v>
      </c>
      <c r="AE350" t="s">
        <v>27</v>
      </c>
      <c r="AH350" t="s">
        <v>5724</v>
      </c>
      <c r="AI350" t="s">
        <v>9</v>
      </c>
      <c r="AJ350" t="s">
        <v>27</v>
      </c>
      <c r="AK350" t="s">
        <v>6850</v>
      </c>
      <c r="AL350" t="s">
        <v>6849</v>
      </c>
    </row>
    <row r="351" spans="5:44" x14ac:dyDescent="0.25">
      <c r="I351" t="str">
        <f t="shared" si="29"/>
        <v>gpilotsp</v>
      </c>
      <c r="J351" t="str">
        <f t="shared" si="30"/>
        <v/>
      </c>
      <c r="L351" t="str">
        <f t="shared" si="28"/>
        <v/>
      </c>
      <c r="M351" t="str">
        <f t="shared" si="28"/>
        <v/>
      </c>
      <c r="N351" t="str">
        <f t="shared" si="28"/>
        <v/>
      </c>
      <c r="O351" t="str">
        <f t="shared" si="28"/>
        <v/>
      </c>
      <c r="P351" t="str">
        <f t="shared" si="28"/>
        <v/>
      </c>
      <c r="T351" t="str">
        <f t="shared" si="31"/>
        <v/>
      </c>
      <c r="V351" t="str">
        <f t="shared" si="32"/>
        <v>AES</v>
      </c>
      <c r="W351" t="str">
        <f t="shared" si="32"/>
        <v>MVS,AES</v>
      </c>
      <c r="AB351" t="s">
        <v>24</v>
      </c>
      <c r="AE351" t="s">
        <v>4502</v>
      </c>
      <c r="AH351" t="s">
        <v>6848</v>
      </c>
      <c r="AI351" t="s">
        <v>9</v>
      </c>
      <c r="AJ351" t="s">
        <v>92</v>
      </c>
      <c r="AK351" t="s">
        <v>6847</v>
      </c>
      <c r="AL351" t="s">
        <v>6846</v>
      </c>
    </row>
    <row r="352" spans="5:44" x14ac:dyDescent="0.25">
      <c r="I352" t="str">
        <f t="shared" si="29"/>
        <v>gpilotsp</v>
      </c>
      <c r="J352" t="str">
        <f t="shared" si="30"/>
        <v/>
      </c>
      <c r="L352" t="str">
        <f t="shared" si="28"/>
        <v/>
      </c>
      <c r="M352" t="str">
        <f t="shared" si="28"/>
        <v/>
      </c>
      <c r="N352" t="str">
        <f t="shared" si="28"/>
        <v/>
      </c>
      <c r="O352" t="str">
        <f t="shared" si="28"/>
        <v/>
      </c>
      <c r="P352" t="str">
        <f t="shared" si="28"/>
        <v/>
      </c>
      <c r="T352" t="str">
        <f t="shared" si="31"/>
        <v/>
      </c>
      <c r="V352" t="str">
        <f t="shared" si="32"/>
        <v>AES</v>
      </c>
      <c r="W352" t="str">
        <f t="shared" si="32"/>
        <v>MVS,AES</v>
      </c>
      <c r="AH352" t="s">
        <v>6845</v>
      </c>
      <c r="AI352" t="s">
        <v>92</v>
      </c>
      <c r="AJ352" t="s">
        <v>92</v>
      </c>
      <c r="AK352" t="s">
        <v>6844</v>
      </c>
      <c r="AL352" t="s">
        <v>6843</v>
      </c>
    </row>
    <row r="353" spans="5:38" x14ac:dyDescent="0.25">
      <c r="I353" t="str">
        <f t="shared" si="29"/>
        <v>gpilotsp</v>
      </c>
      <c r="J353" t="str">
        <f t="shared" si="30"/>
        <v/>
      </c>
      <c r="L353" t="str">
        <f t="shared" si="28"/>
        <v/>
      </c>
      <c r="M353" t="str">
        <f t="shared" si="28"/>
        <v/>
      </c>
      <c r="N353" t="str">
        <f t="shared" si="28"/>
        <v/>
      </c>
      <c r="O353" t="str">
        <f t="shared" si="28"/>
        <v/>
      </c>
      <c r="P353" t="str">
        <f t="shared" si="28"/>
        <v/>
      </c>
      <c r="T353" t="str">
        <f t="shared" si="31"/>
        <v/>
      </c>
      <c r="V353" t="str">
        <f t="shared" si="32"/>
        <v>AES</v>
      </c>
      <c r="W353" t="str">
        <f t="shared" si="32"/>
        <v>MVS,AES</v>
      </c>
      <c r="AH353" t="s">
        <v>6842</v>
      </c>
      <c r="AI353" t="s">
        <v>15</v>
      </c>
      <c r="AJ353" t="s">
        <v>92</v>
      </c>
      <c r="AK353" t="s">
        <v>6841</v>
      </c>
      <c r="AL353" t="s">
        <v>6840</v>
      </c>
    </row>
    <row r="354" spans="5:38" x14ac:dyDescent="0.25">
      <c r="I354" t="str">
        <f t="shared" si="29"/>
        <v>gpilotsp</v>
      </c>
      <c r="J354" t="str">
        <f t="shared" si="30"/>
        <v/>
      </c>
      <c r="L354" t="str">
        <f t="shared" si="28"/>
        <v/>
      </c>
      <c r="M354" t="str">
        <f t="shared" si="28"/>
        <v/>
      </c>
      <c r="N354" t="str">
        <f t="shared" si="28"/>
        <v/>
      </c>
      <c r="O354" t="str">
        <f t="shared" si="28"/>
        <v/>
      </c>
      <c r="P354" t="str">
        <f t="shared" si="28"/>
        <v/>
      </c>
      <c r="T354" t="str">
        <f t="shared" si="31"/>
        <v/>
      </c>
      <c r="V354" t="str">
        <f t="shared" si="32"/>
        <v>AES</v>
      </c>
      <c r="W354" t="str">
        <f t="shared" si="32"/>
        <v>MVS,AES</v>
      </c>
      <c r="AB354" t="s">
        <v>6575</v>
      </c>
      <c r="AE354" t="s">
        <v>480</v>
      </c>
      <c r="AH354" t="s">
        <v>6839</v>
      </c>
      <c r="AI354" t="s">
        <v>9</v>
      </c>
      <c r="AJ354" t="s">
        <v>92</v>
      </c>
      <c r="AK354" t="s">
        <v>6838</v>
      </c>
      <c r="AL354" t="s">
        <v>6837</v>
      </c>
    </row>
    <row r="355" spans="5:38" x14ac:dyDescent="0.25">
      <c r="I355" t="str">
        <f t="shared" si="29"/>
        <v>gpilotsp</v>
      </c>
      <c r="J355" t="str">
        <f t="shared" si="30"/>
        <v/>
      </c>
      <c r="L355" t="str">
        <f t="shared" si="28"/>
        <v/>
      </c>
      <c r="M355" t="str">
        <f t="shared" si="28"/>
        <v/>
      </c>
      <c r="N355" t="str">
        <f t="shared" si="28"/>
        <v/>
      </c>
      <c r="O355" t="str">
        <f t="shared" si="28"/>
        <v/>
      </c>
      <c r="P355" t="str">
        <f t="shared" si="28"/>
        <v/>
      </c>
      <c r="T355" t="str">
        <f t="shared" si="31"/>
        <v/>
      </c>
      <c r="V355" t="str">
        <f t="shared" si="32"/>
        <v>AES</v>
      </c>
      <c r="W355" t="str">
        <f t="shared" si="32"/>
        <v>MVS,AES</v>
      </c>
      <c r="AB355" t="s">
        <v>12</v>
      </c>
      <c r="AE355" t="s">
        <v>11</v>
      </c>
      <c r="AG355" t="s">
        <v>4354</v>
      </c>
      <c r="AH355" t="s">
        <v>6836</v>
      </c>
      <c r="AI355" t="s">
        <v>9</v>
      </c>
      <c r="AJ355" t="s">
        <v>92</v>
      </c>
      <c r="AK355" t="s">
        <v>6835</v>
      </c>
      <c r="AL355" t="s">
        <v>6834</v>
      </c>
    </row>
    <row r="356" spans="5:38" x14ac:dyDescent="0.25">
      <c r="I356" t="str">
        <f t="shared" si="29"/>
        <v>gpilotsp</v>
      </c>
      <c r="J356" t="str">
        <f t="shared" si="30"/>
        <v/>
      </c>
      <c r="L356" t="str">
        <f t="shared" si="28"/>
        <v/>
      </c>
      <c r="M356" t="str">
        <f t="shared" si="28"/>
        <v/>
      </c>
      <c r="N356" t="str">
        <f t="shared" si="28"/>
        <v/>
      </c>
      <c r="O356" t="str">
        <f t="shared" si="28"/>
        <v/>
      </c>
      <c r="P356" t="str">
        <f t="shared" si="28"/>
        <v/>
      </c>
      <c r="T356" t="str">
        <f t="shared" si="31"/>
        <v/>
      </c>
      <c r="V356" t="str">
        <f t="shared" si="32"/>
        <v>AES</v>
      </c>
      <c r="W356" t="str">
        <f t="shared" si="32"/>
        <v>MVS,AES</v>
      </c>
      <c r="AG356" t="s">
        <v>4354</v>
      </c>
      <c r="AH356" t="s">
        <v>6833</v>
      </c>
      <c r="AI356" t="s">
        <v>1427</v>
      </c>
      <c r="AJ356" t="s">
        <v>92</v>
      </c>
      <c r="AK356" t="s">
        <v>6832</v>
      </c>
      <c r="AL356" t="s">
        <v>6831</v>
      </c>
    </row>
    <row r="357" spans="5:38" x14ac:dyDescent="0.25">
      <c r="I357" t="str">
        <f t="shared" si="29"/>
        <v>gpilotsp</v>
      </c>
      <c r="J357" t="str">
        <f t="shared" si="30"/>
        <v/>
      </c>
      <c r="L357" t="str">
        <f t="shared" si="28"/>
        <v/>
      </c>
      <c r="M357" t="str">
        <f t="shared" si="28"/>
        <v/>
      </c>
      <c r="N357" t="str">
        <f t="shared" si="28"/>
        <v/>
      </c>
      <c r="O357" t="str">
        <f t="shared" si="28"/>
        <v/>
      </c>
      <c r="P357" t="str">
        <f t="shared" si="28"/>
        <v/>
      </c>
      <c r="T357" t="str">
        <f t="shared" si="31"/>
        <v/>
      </c>
      <c r="V357" t="str">
        <f t="shared" si="32"/>
        <v>AES</v>
      </c>
      <c r="W357" t="str">
        <f t="shared" si="32"/>
        <v>MVS,AES</v>
      </c>
      <c r="AG357" t="s">
        <v>4354</v>
      </c>
      <c r="AH357" t="s">
        <v>6830</v>
      </c>
      <c r="AI357" t="s">
        <v>4</v>
      </c>
      <c r="AJ357" t="s">
        <v>92</v>
      </c>
      <c r="AK357" t="s">
        <v>6829</v>
      </c>
      <c r="AL357" t="s">
        <v>6828</v>
      </c>
    </row>
    <row r="358" spans="5:38" x14ac:dyDescent="0.25">
      <c r="I358" t="str">
        <f t="shared" si="29"/>
        <v>gpilotsp</v>
      </c>
      <c r="J358" t="str">
        <f t="shared" si="30"/>
        <v/>
      </c>
      <c r="L358" t="str">
        <f t="shared" si="28"/>
        <v/>
      </c>
      <c r="M358" t="str">
        <f t="shared" si="28"/>
        <v/>
      </c>
      <c r="N358" t="str">
        <f t="shared" si="28"/>
        <v/>
      </c>
      <c r="O358" t="str">
        <f t="shared" si="28"/>
        <v/>
      </c>
      <c r="P358" t="str">
        <f t="shared" si="28"/>
        <v/>
      </c>
      <c r="T358" t="str">
        <f t="shared" si="31"/>
        <v/>
      </c>
      <c r="V358" t="str">
        <f t="shared" si="32"/>
        <v>AES</v>
      </c>
      <c r="W358" t="str">
        <f t="shared" si="32"/>
        <v>MVS,AES</v>
      </c>
      <c r="AG358" t="s">
        <v>4354</v>
      </c>
      <c r="AH358" t="s">
        <v>6827</v>
      </c>
      <c r="AI358" t="s">
        <v>4382</v>
      </c>
      <c r="AJ358" t="s">
        <v>92</v>
      </c>
      <c r="AK358" t="s">
        <v>6826</v>
      </c>
      <c r="AL358" t="s">
        <v>6825</v>
      </c>
    </row>
    <row r="359" spans="5:38" x14ac:dyDescent="0.25">
      <c r="I359" t="str">
        <f t="shared" si="29"/>
        <v>gpilotsp</v>
      </c>
      <c r="J359" t="str">
        <f t="shared" si="30"/>
        <v/>
      </c>
      <c r="L359" t="str">
        <f t="shared" si="28"/>
        <v/>
      </c>
      <c r="M359" t="str">
        <f t="shared" si="28"/>
        <v/>
      </c>
      <c r="N359" t="str">
        <f t="shared" si="28"/>
        <v/>
      </c>
      <c r="O359" t="str">
        <f t="shared" si="28"/>
        <v/>
      </c>
      <c r="P359" t="str">
        <f t="shared" si="28"/>
        <v/>
      </c>
      <c r="T359" t="str">
        <f t="shared" si="31"/>
        <v/>
      </c>
      <c r="V359" t="str">
        <f t="shared" si="32"/>
        <v>AES</v>
      </c>
      <c r="W359" t="str">
        <f t="shared" si="32"/>
        <v>MVS,AES</v>
      </c>
      <c r="AG359" t="s">
        <v>4354</v>
      </c>
      <c r="AH359" t="s">
        <v>6824</v>
      </c>
      <c r="AI359" t="s">
        <v>3</v>
      </c>
      <c r="AJ359" t="s">
        <v>92</v>
      </c>
      <c r="AK359" t="s">
        <v>6823</v>
      </c>
      <c r="AL359" t="s">
        <v>6822</v>
      </c>
    </row>
    <row r="360" spans="5:38" x14ac:dyDescent="0.25">
      <c r="I360" t="str">
        <f t="shared" si="29"/>
        <v>gpilotsp</v>
      </c>
      <c r="J360" t="str">
        <f t="shared" si="30"/>
        <v/>
      </c>
      <c r="L360" t="str">
        <f t="shared" si="28"/>
        <v/>
      </c>
      <c r="M360" t="str">
        <f t="shared" si="28"/>
        <v/>
      </c>
      <c r="N360" t="str">
        <f t="shared" si="28"/>
        <v/>
      </c>
      <c r="O360" t="str">
        <f t="shared" si="28"/>
        <v/>
      </c>
      <c r="P360" t="str">
        <f t="shared" si="28"/>
        <v/>
      </c>
      <c r="T360" t="str">
        <f t="shared" si="31"/>
        <v/>
      </c>
      <c r="V360" t="str">
        <f t="shared" si="32"/>
        <v>AES</v>
      </c>
      <c r="W360" t="str">
        <f t="shared" si="32"/>
        <v>MVS,AES</v>
      </c>
      <c r="AG360" t="s">
        <v>4354</v>
      </c>
      <c r="AH360" t="s">
        <v>6821</v>
      </c>
      <c r="AI360" t="s">
        <v>4375</v>
      </c>
      <c r="AJ360" t="s">
        <v>92</v>
      </c>
      <c r="AK360" t="s">
        <v>6820</v>
      </c>
      <c r="AL360" t="s">
        <v>6819</v>
      </c>
    </row>
    <row r="361" spans="5:38" x14ac:dyDescent="0.25">
      <c r="I361" t="str">
        <f t="shared" si="29"/>
        <v>gpilotsp</v>
      </c>
      <c r="J361" t="str">
        <f t="shared" si="30"/>
        <v/>
      </c>
      <c r="L361" t="str">
        <f t="shared" si="28"/>
        <v/>
      </c>
      <c r="M361" t="str">
        <f t="shared" si="28"/>
        <v/>
      </c>
      <c r="N361" t="str">
        <f t="shared" si="28"/>
        <v/>
      </c>
      <c r="O361" t="str">
        <f t="shared" si="28"/>
        <v/>
      </c>
      <c r="P361" t="str">
        <f t="shared" si="28"/>
        <v/>
      </c>
      <c r="T361" t="str">
        <f t="shared" si="31"/>
        <v/>
      </c>
      <c r="V361" t="str">
        <f t="shared" si="32"/>
        <v>AES</v>
      </c>
      <c r="W361" t="str">
        <f t="shared" si="32"/>
        <v>MVS,AES</v>
      </c>
      <c r="AG361" t="s">
        <v>4354</v>
      </c>
      <c r="AH361" t="s">
        <v>6818</v>
      </c>
      <c r="AI361" t="s">
        <v>4371</v>
      </c>
      <c r="AJ361" t="s">
        <v>92</v>
      </c>
      <c r="AK361" t="s">
        <v>6817</v>
      </c>
      <c r="AL361" t="s">
        <v>6816</v>
      </c>
    </row>
    <row r="362" spans="5:38" x14ac:dyDescent="0.25">
      <c r="I362" t="str">
        <f t="shared" si="29"/>
        <v>gpilotsp</v>
      </c>
      <c r="J362" t="str">
        <f t="shared" si="30"/>
        <v/>
      </c>
      <c r="L362" t="str">
        <f t="shared" si="28"/>
        <v/>
      </c>
      <c r="M362" t="str">
        <f t="shared" si="28"/>
        <v/>
      </c>
      <c r="N362" t="str">
        <f t="shared" si="28"/>
        <v/>
      </c>
      <c r="O362" t="str">
        <f t="shared" si="28"/>
        <v/>
      </c>
      <c r="P362" t="str">
        <f t="shared" si="28"/>
        <v/>
      </c>
      <c r="T362" t="str">
        <f t="shared" si="31"/>
        <v/>
      </c>
      <c r="V362" t="str">
        <f t="shared" si="32"/>
        <v>AES</v>
      </c>
      <c r="W362" t="str">
        <f t="shared" si="32"/>
        <v>MVS,AES</v>
      </c>
      <c r="AG362" t="s">
        <v>4354</v>
      </c>
      <c r="AH362" t="s">
        <v>6815</v>
      </c>
      <c r="AI362" t="s">
        <v>4367</v>
      </c>
      <c r="AJ362" t="s">
        <v>92</v>
      </c>
      <c r="AK362" t="s">
        <v>6814</v>
      </c>
      <c r="AL362" t="s">
        <v>6813</v>
      </c>
    </row>
    <row r="363" spans="5:38" x14ac:dyDescent="0.25">
      <c r="E363" t="s">
        <v>6812</v>
      </c>
      <c r="F363" t="s">
        <v>6811</v>
      </c>
      <c r="G363" t="s">
        <v>3906</v>
      </c>
      <c r="H363" t="s">
        <v>1912</v>
      </c>
      <c r="I363" t="str">
        <f t="shared" si="29"/>
        <v>joyjoy</v>
      </c>
      <c r="J363" t="str">
        <f t="shared" si="30"/>
        <v>joyjoyserial</v>
      </c>
      <c r="K363" t="s">
        <v>1373</v>
      </c>
      <c r="L363" t="str">
        <f t="shared" si="28"/>
        <v>NGM-021 (MVS), NGH-021 (AES)</v>
      </c>
      <c r="M363" t="str">
        <f t="shared" si="28"/>
        <v>19901120 (MVS), 19910701 (AES)</v>
      </c>
      <c r="N363" t="str">
        <f t="shared" si="28"/>
        <v>ジョイジョイキッド</v>
      </c>
      <c r="O363" t="str">
        <f t="shared" si="28"/>
        <v/>
      </c>
      <c r="P363" t="str">
        <f t="shared" si="28"/>
        <v/>
      </c>
      <c r="Q363" t="s">
        <v>6810</v>
      </c>
      <c r="S363" t="s">
        <v>46</v>
      </c>
      <c r="T363" t="str">
        <f t="shared" si="31"/>
        <v>joyjoyrelease</v>
      </c>
      <c r="U363" t="s">
        <v>218</v>
      </c>
      <c r="V363" t="str">
        <f t="shared" si="32"/>
        <v>MVS,AES</v>
      </c>
      <c r="W363" t="str">
        <f t="shared" si="32"/>
        <v>MVS,AES</v>
      </c>
      <c r="Y363" t="s">
        <v>45</v>
      </c>
      <c r="Z363" t="s">
        <v>44</v>
      </c>
      <c r="AB363" t="s">
        <v>43</v>
      </c>
      <c r="AC363" t="s">
        <v>42</v>
      </c>
      <c r="AD363" t="s">
        <v>41</v>
      </c>
      <c r="AE363" t="s">
        <v>15</v>
      </c>
      <c r="AG363" t="s">
        <v>40</v>
      </c>
      <c r="AH363" t="s">
        <v>6809</v>
      </c>
      <c r="AI363" t="s">
        <v>9</v>
      </c>
      <c r="AJ363" t="s">
        <v>92</v>
      </c>
      <c r="AK363" t="s">
        <v>6808</v>
      </c>
      <c r="AL363" t="s">
        <v>6807</v>
      </c>
    </row>
    <row r="364" spans="5:38" x14ac:dyDescent="0.25">
      <c r="I364" t="str">
        <f t="shared" si="29"/>
        <v>joyjoy</v>
      </c>
      <c r="J364" t="str">
        <f t="shared" si="30"/>
        <v>joyjoyrelease</v>
      </c>
      <c r="K364" t="s">
        <v>46</v>
      </c>
      <c r="L364" t="str">
        <f t="shared" si="28"/>
        <v>NGM-021 (MVS), NGH-021 (AES)</v>
      </c>
      <c r="M364" t="str">
        <f t="shared" si="28"/>
        <v>19901120 (MVS), 19910701 (AES)</v>
      </c>
      <c r="N364" t="str">
        <f t="shared" si="28"/>
        <v>ジョイジョイキッド</v>
      </c>
      <c r="O364" t="str">
        <f t="shared" si="28"/>
        <v/>
      </c>
      <c r="P364" t="str">
        <f t="shared" si="28"/>
        <v/>
      </c>
      <c r="Q364" t="s">
        <v>6806</v>
      </c>
      <c r="T364" t="str">
        <f t="shared" si="31"/>
        <v/>
      </c>
      <c r="V364" t="str">
        <f t="shared" si="32"/>
        <v>MVS,AES</v>
      </c>
      <c r="W364" t="str">
        <f t="shared" si="32"/>
        <v>MVS,AES</v>
      </c>
      <c r="AB364" t="s">
        <v>34</v>
      </c>
      <c r="AE364" t="s">
        <v>33</v>
      </c>
      <c r="AH364" t="s">
        <v>6805</v>
      </c>
      <c r="AI364" t="s">
        <v>9</v>
      </c>
      <c r="AJ364" t="s">
        <v>27</v>
      </c>
      <c r="AK364" t="s">
        <v>6804</v>
      </c>
      <c r="AL364" t="s">
        <v>6803</v>
      </c>
    </row>
    <row r="365" spans="5:38" x14ac:dyDescent="0.25">
      <c r="I365" t="str">
        <f t="shared" si="29"/>
        <v>joyjoy</v>
      </c>
      <c r="J365" t="str">
        <f t="shared" si="30"/>
        <v>joyjoyalt_title</v>
      </c>
      <c r="K365" t="s">
        <v>1218</v>
      </c>
      <c r="L365" t="str">
        <f t="shared" si="28"/>
        <v>NGM-021 (MVS), NGH-021 (AES)</v>
      </c>
      <c r="M365" t="str">
        <f t="shared" si="28"/>
        <v>19901120 (MVS), 19910701 (AES)</v>
      </c>
      <c r="N365" t="str">
        <f t="shared" si="28"/>
        <v>ジョイジョイキッド</v>
      </c>
      <c r="O365" t="str">
        <f t="shared" si="28"/>
        <v/>
      </c>
      <c r="P365" t="str">
        <f t="shared" si="28"/>
        <v/>
      </c>
      <c r="Q365" t="s">
        <v>6802</v>
      </c>
      <c r="T365" t="str">
        <f t="shared" si="31"/>
        <v/>
      </c>
      <c r="V365" t="str">
        <f t="shared" si="32"/>
        <v>MVS,AES</v>
      </c>
      <c r="W365" t="str">
        <f t="shared" si="32"/>
        <v>MVS,AES</v>
      </c>
      <c r="AB365" t="s">
        <v>29</v>
      </c>
      <c r="AE365" t="s">
        <v>33</v>
      </c>
      <c r="AH365" t="s">
        <v>6801</v>
      </c>
      <c r="AI365" t="s">
        <v>9</v>
      </c>
      <c r="AJ365" t="s">
        <v>33</v>
      </c>
      <c r="AK365" t="s">
        <v>6800</v>
      </c>
      <c r="AL365" t="s">
        <v>6799</v>
      </c>
    </row>
    <row r="366" spans="5:38" x14ac:dyDescent="0.25">
      <c r="I366" t="str">
        <f t="shared" si="29"/>
        <v>joyjoy</v>
      </c>
      <c r="J366" t="str">
        <f t="shared" si="30"/>
        <v/>
      </c>
      <c r="L366" t="str">
        <f t="shared" si="28"/>
        <v>NGM-021 (MVS), NGH-021 (AES)</v>
      </c>
      <c r="M366" t="str">
        <f t="shared" si="28"/>
        <v>19901120 (MVS), 19910701 (AES)</v>
      </c>
      <c r="N366" t="str">
        <f t="shared" si="28"/>
        <v>ジョイジョイキッド</v>
      </c>
      <c r="O366" t="str">
        <f t="shared" si="28"/>
        <v/>
      </c>
      <c r="P366" t="str">
        <f t="shared" si="28"/>
        <v/>
      </c>
      <c r="S366" t="s">
        <v>36</v>
      </c>
      <c r="T366" t="str">
        <f t="shared" si="31"/>
        <v>joyjoycompatibility</v>
      </c>
      <c r="U366" t="s">
        <v>218</v>
      </c>
      <c r="V366" t="str">
        <f t="shared" si="32"/>
        <v>MVS,AES</v>
      </c>
      <c r="W366" t="str">
        <f t="shared" si="32"/>
        <v>MVS,AES</v>
      </c>
      <c r="AB366" t="s">
        <v>24</v>
      </c>
      <c r="AE366" t="s">
        <v>480</v>
      </c>
      <c r="AH366" t="s">
        <v>6798</v>
      </c>
      <c r="AI366" t="s">
        <v>9</v>
      </c>
      <c r="AJ366" t="s">
        <v>92</v>
      </c>
      <c r="AK366" t="s">
        <v>6797</v>
      </c>
      <c r="AL366" t="s">
        <v>6796</v>
      </c>
    </row>
    <row r="367" spans="5:38" x14ac:dyDescent="0.25">
      <c r="I367" t="str">
        <f t="shared" si="29"/>
        <v>joyjoy</v>
      </c>
      <c r="J367" t="str">
        <f t="shared" si="30"/>
        <v/>
      </c>
      <c r="L367" t="str">
        <f t="shared" si="28"/>
        <v>NGM-021 (MVS), NGH-021 (AES)</v>
      </c>
      <c r="M367" t="str">
        <f t="shared" si="28"/>
        <v>19901120 (MVS), 19910701 (AES)</v>
      </c>
      <c r="N367" t="str">
        <f t="shared" si="28"/>
        <v>ジョイジョイキッド</v>
      </c>
      <c r="O367" t="str">
        <f t="shared" si="28"/>
        <v/>
      </c>
      <c r="P367" t="str">
        <f t="shared" si="28"/>
        <v/>
      </c>
      <c r="T367" t="str">
        <f t="shared" si="31"/>
        <v/>
      </c>
      <c r="V367" t="str">
        <f t="shared" si="32"/>
        <v>MVS,AES</v>
      </c>
      <c r="W367" t="str">
        <f t="shared" si="32"/>
        <v>MVS,AES</v>
      </c>
      <c r="AB367" t="s">
        <v>6575</v>
      </c>
      <c r="AE367" t="s">
        <v>480</v>
      </c>
      <c r="AH367" t="s">
        <v>6795</v>
      </c>
      <c r="AI367" t="s">
        <v>9</v>
      </c>
      <c r="AJ367" t="s">
        <v>92</v>
      </c>
      <c r="AK367" t="s">
        <v>6794</v>
      </c>
      <c r="AL367" t="s">
        <v>6793</v>
      </c>
    </row>
    <row r="368" spans="5:38" x14ac:dyDescent="0.25">
      <c r="I368" t="str">
        <f t="shared" si="29"/>
        <v>joyjoy</v>
      </c>
      <c r="J368" t="str">
        <f t="shared" si="30"/>
        <v/>
      </c>
      <c r="L368" t="str">
        <f t="shared" si="28"/>
        <v>NGM-021 (MVS), NGH-021 (AES)</v>
      </c>
      <c r="M368" t="str">
        <f t="shared" si="28"/>
        <v>19901120 (MVS), 19910701 (AES)</v>
      </c>
      <c r="N368" t="str">
        <f t="shared" si="28"/>
        <v>ジョイジョイキッド</v>
      </c>
      <c r="O368" t="str">
        <f t="shared" si="28"/>
        <v/>
      </c>
      <c r="P368" t="str">
        <f t="shared" si="28"/>
        <v/>
      </c>
      <c r="T368" t="str">
        <f t="shared" si="31"/>
        <v/>
      </c>
      <c r="V368" t="str">
        <f t="shared" si="32"/>
        <v>MVS,AES</v>
      </c>
      <c r="W368" t="str">
        <f t="shared" si="32"/>
        <v>MVS,AES</v>
      </c>
      <c r="AB368" t="s">
        <v>12</v>
      </c>
      <c r="AE368" t="s">
        <v>15</v>
      </c>
      <c r="AG368" t="s">
        <v>6</v>
      </c>
      <c r="AH368" t="s">
        <v>6792</v>
      </c>
      <c r="AI368" t="s">
        <v>9</v>
      </c>
      <c r="AJ368" t="s">
        <v>92</v>
      </c>
      <c r="AK368" t="s">
        <v>6791</v>
      </c>
      <c r="AL368" t="s">
        <v>6790</v>
      </c>
    </row>
    <row r="369" spans="5:44" x14ac:dyDescent="0.25">
      <c r="I369" t="str">
        <f t="shared" si="29"/>
        <v>joyjoy</v>
      </c>
      <c r="J369" t="str">
        <f t="shared" si="30"/>
        <v/>
      </c>
      <c r="L369" t="str">
        <f t="shared" si="28"/>
        <v>NGM-021 (MVS), NGH-021 (AES)</v>
      </c>
      <c r="M369" t="str">
        <f t="shared" si="28"/>
        <v>19901120 (MVS), 19910701 (AES)</v>
      </c>
      <c r="N369" t="str">
        <f t="shared" si="28"/>
        <v>ジョイジョイキッド</v>
      </c>
      <c r="O369" t="str">
        <f t="shared" si="28"/>
        <v/>
      </c>
      <c r="P369" t="str">
        <f t="shared" si="28"/>
        <v/>
      </c>
      <c r="T369" t="str">
        <f t="shared" si="31"/>
        <v/>
      </c>
      <c r="V369" t="str">
        <f t="shared" si="32"/>
        <v>MVS,AES</v>
      </c>
      <c r="W369" t="str">
        <f t="shared" si="32"/>
        <v>MVS,AES</v>
      </c>
      <c r="AG369" t="s">
        <v>6</v>
      </c>
      <c r="AH369" t="s">
        <v>6789</v>
      </c>
      <c r="AI369" t="s">
        <v>4</v>
      </c>
      <c r="AJ369" t="s">
        <v>92</v>
      </c>
      <c r="AK369" t="s">
        <v>6788</v>
      </c>
      <c r="AL369" t="s">
        <v>6787</v>
      </c>
    </row>
    <row r="370" spans="5:44" x14ac:dyDescent="0.25">
      <c r="E370" t="s">
        <v>6774</v>
      </c>
      <c r="F370" t="s">
        <v>6786</v>
      </c>
      <c r="G370" t="s">
        <v>3906</v>
      </c>
      <c r="H370" t="s">
        <v>5638</v>
      </c>
      <c r="I370" t="str">
        <f t="shared" si="29"/>
        <v>bjourney</v>
      </c>
      <c r="J370" t="str">
        <f t="shared" si="30"/>
        <v>bjourneyserial</v>
      </c>
      <c r="K370" t="s">
        <v>1373</v>
      </c>
      <c r="L370" t="str">
        <f t="shared" si="28"/>
        <v>NGM-022 / ALM-001 (MVS), NGH-022 / ALH-001 (AES)</v>
      </c>
      <c r="M370" t="str">
        <f t="shared" si="28"/>
        <v>19910314 (MVS), 19910701 (AES)</v>
      </c>
      <c r="N370" t="str">
        <f t="shared" si="28"/>
        <v>ラギ</v>
      </c>
      <c r="O370" t="str">
        <f t="shared" si="28"/>
        <v/>
      </c>
      <c r="P370" t="str">
        <f t="shared" si="28"/>
        <v/>
      </c>
      <c r="Q370" t="s">
        <v>6785</v>
      </c>
      <c r="S370" t="s">
        <v>46</v>
      </c>
      <c r="T370" t="str">
        <f t="shared" si="31"/>
        <v>bjourneyrelease</v>
      </c>
      <c r="U370" t="s">
        <v>218</v>
      </c>
      <c r="V370" t="str">
        <f t="shared" si="32"/>
        <v>MVS,AES</v>
      </c>
      <c r="W370" t="str">
        <f t="shared" si="32"/>
        <v>MVS,AES</v>
      </c>
      <c r="Y370" t="s">
        <v>45</v>
      </c>
      <c r="Z370" t="s">
        <v>44</v>
      </c>
      <c r="AB370" t="s">
        <v>43</v>
      </c>
      <c r="AC370" t="s">
        <v>42</v>
      </c>
      <c r="AD370" t="s">
        <v>41</v>
      </c>
      <c r="AE370" t="s">
        <v>15</v>
      </c>
      <c r="AG370" t="s">
        <v>40</v>
      </c>
      <c r="AH370" t="s">
        <v>6784</v>
      </c>
      <c r="AI370" t="s">
        <v>9</v>
      </c>
      <c r="AJ370" t="s">
        <v>15</v>
      </c>
      <c r="AK370" t="s">
        <v>6783</v>
      </c>
      <c r="AL370" t="s">
        <v>6782</v>
      </c>
    </row>
    <row r="371" spans="5:44" x14ac:dyDescent="0.25">
      <c r="I371" t="str">
        <f t="shared" si="29"/>
        <v>bjourney</v>
      </c>
      <c r="J371" t="str">
        <f t="shared" si="30"/>
        <v>bjourneyrelease</v>
      </c>
      <c r="K371" t="s">
        <v>46</v>
      </c>
      <c r="L371" t="str">
        <f t="shared" si="28"/>
        <v>NGM-022 / ALM-001 (MVS), NGH-022 / ALH-001 (AES)</v>
      </c>
      <c r="M371" t="str">
        <f t="shared" si="28"/>
        <v>19910314 (MVS), 19910701 (AES)</v>
      </c>
      <c r="N371" t="str">
        <f t="shared" si="28"/>
        <v>ラギ</v>
      </c>
      <c r="O371" t="str">
        <f t="shared" si="28"/>
        <v/>
      </c>
      <c r="P371" t="str">
        <f t="shared" si="28"/>
        <v/>
      </c>
      <c r="Q371" t="s">
        <v>6781</v>
      </c>
      <c r="T371" t="str">
        <f t="shared" si="31"/>
        <v/>
      </c>
      <c r="V371" t="str">
        <f t="shared" si="32"/>
        <v>MVS,AES</v>
      </c>
      <c r="W371" t="str">
        <f t="shared" si="32"/>
        <v>MVS,AES</v>
      </c>
      <c r="AB371" t="s">
        <v>34</v>
      </c>
      <c r="AE371" t="s">
        <v>33</v>
      </c>
      <c r="AH371" t="s">
        <v>6772</v>
      </c>
      <c r="AI371" t="s">
        <v>9</v>
      </c>
      <c r="AJ371" t="s">
        <v>27</v>
      </c>
      <c r="AK371" t="s">
        <v>6771</v>
      </c>
      <c r="AL371" t="s">
        <v>6770</v>
      </c>
    </row>
    <row r="372" spans="5:44" x14ac:dyDescent="0.25">
      <c r="I372" t="str">
        <f t="shared" si="29"/>
        <v>bjourney</v>
      </c>
      <c r="J372" t="str">
        <f t="shared" si="30"/>
        <v>bjourneyalt_title</v>
      </c>
      <c r="K372" t="s">
        <v>1218</v>
      </c>
      <c r="L372" t="str">
        <f t="shared" ref="L372:P422" si="33">IFERROR(VLOOKUP($I372&amp;L$1,$J:$Q,8,0),"")</f>
        <v>NGM-022 / ALM-001 (MVS), NGH-022 / ALH-001 (AES)</v>
      </c>
      <c r="M372" t="str">
        <f t="shared" si="33"/>
        <v>19910314 (MVS), 19910701 (AES)</v>
      </c>
      <c r="N372" t="str">
        <f t="shared" si="33"/>
        <v>ラギ</v>
      </c>
      <c r="O372" t="str">
        <f t="shared" si="33"/>
        <v/>
      </c>
      <c r="P372" t="str">
        <f t="shared" si="33"/>
        <v/>
      </c>
      <c r="Q372" t="s">
        <v>6769</v>
      </c>
      <c r="T372" t="str">
        <f t="shared" si="31"/>
        <v/>
      </c>
      <c r="V372" t="str">
        <f t="shared" si="32"/>
        <v>MVS,AES</v>
      </c>
      <c r="W372" t="str">
        <f t="shared" si="32"/>
        <v>MVS,AES</v>
      </c>
      <c r="AB372" t="s">
        <v>29</v>
      </c>
      <c r="AE372" t="s">
        <v>27</v>
      </c>
      <c r="AH372" t="s">
        <v>6768</v>
      </c>
      <c r="AI372" t="s">
        <v>9</v>
      </c>
      <c r="AJ372" t="s">
        <v>27</v>
      </c>
      <c r="AK372" t="s">
        <v>6767</v>
      </c>
      <c r="AL372" t="s">
        <v>6766</v>
      </c>
    </row>
    <row r="373" spans="5:44" x14ac:dyDescent="0.25">
      <c r="I373" t="str">
        <f t="shared" si="29"/>
        <v>bjourney</v>
      </c>
      <c r="J373" t="str">
        <f t="shared" si="30"/>
        <v/>
      </c>
      <c r="L373" t="str">
        <f t="shared" si="33"/>
        <v>NGM-022 / ALM-001 (MVS), NGH-022 / ALH-001 (AES)</v>
      </c>
      <c r="M373" t="str">
        <f t="shared" si="33"/>
        <v>19910314 (MVS), 19910701 (AES)</v>
      </c>
      <c r="N373" t="str">
        <f t="shared" si="33"/>
        <v>ラギ</v>
      </c>
      <c r="O373" t="str">
        <f t="shared" si="33"/>
        <v/>
      </c>
      <c r="P373" t="str">
        <f t="shared" si="33"/>
        <v/>
      </c>
      <c r="S373" t="s">
        <v>36</v>
      </c>
      <c r="T373" t="str">
        <f t="shared" si="31"/>
        <v>bjourneycompatibility</v>
      </c>
      <c r="U373" t="s">
        <v>218</v>
      </c>
      <c r="V373" t="str">
        <f t="shared" si="32"/>
        <v>MVS,AES</v>
      </c>
      <c r="W373" t="str">
        <f t="shared" si="32"/>
        <v>MVS,AES</v>
      </c>
      <c r="AB373" t="s">
        <v>24</v>
      </c>
      <c r="AE373" t="s">
        <v>3</v>
      </c>
      <c r="AH373" t="s">
        <v>6765</v>
      </c>
      <c r="AI373" t="s">
        <v>9</v>
      </c>
      <c r="AJ373" t="s">
        <v>15</v>
      </c>
      <c r="AK373" t="s">
        <v>6764</v>
      </c>
      <c r="AL373" t="s">
        <v>6763</v>
      </c>
    </row>
    <row r="374" spans="5:44" x14ac:dyDescent="0.25">
      <c r="I374" t="str">
        <f t="shared" si="29"/>
        <v>bjourney</v>
      </c>
      <c r="J374" t="str">
        <f t="shared" si="30"/>
        <v/>
      </c>
      <c r="L374" t="str">
        <f t="shared" si="33"/>
        <v>NGM-022 / ALM-001 (MVS), NGH-022 / ALH-001 (AES)</v>
      </c>
      <c r="M374" t="str">
        <f t="shared" si="33"/>
        <v>19910314 (MVS), 19910701 (AES)</v>
      </c>
      <c r="N374" t="str">
        <f t="shared" si="33"/>
        <v>ラギ</v>
      </c>
      <c r="O374" t="str">
        <f t="shared" si="33"/>
        <v/>
      </c>
      <c r="P374" t="str">
        <f t="shared" si="33"/>
        <v/>
      </c>
      <c r="T374" t="str">
        <f t="shared" si="31"/>
        <v/>
      </c>
      <c r="V374" t="str">
        <f t="shared" si="32"/>
        <v>MVS,AES</v>
      </c>
      <c r="W374" t="str">
        <f t="shared" si="32"/>
        <v>MVS,AES</v>
      </c>
      <c r="AH374" t="s">
        <v>6762</v>
      </c>
      <c r="AI374" t="s">
        <v>15</v>
      </c>
      <c r="AJ374" t="s">
        <v>15</v>
      </c>
      <c r="AK374" t="s">
        <v>6761</v>
      </c>
      <c r="AL374" t="s">
        <v>6760</v>
      </c>
    </row>
    <row r="375" spans="5:44" x14ac:dyDescent="0.25">
      <c r="I375" t="str">
        <f t="shared" si="29"/>
        <v>bjourney</v>
      </c>
      <c r="J375" t="str">
        <f t="shared" si="30"/>
        <v/>
      </c>
      <c r="L375" t="str">
        <f t="shared" si="33"/>
        <v>NGM-022 / ALM-001 (MVS), NGH-022 / ALH-001 (AES)</v>
      </c>
      <c r="M375" t="str">
        <f t="shared" si="33"/>
        <v>19910314 (MVS), 19910701 (AES)</v>
      </c>
      <c r="N375" t="str">
        <f t="shared" si="33"/>
        <v>ラギ</v>
      </c>
      <c r="O375" t="str">
        <f t="shared" si="33"/>
        <v/>
      </c>
      <c r="P375" t="str">
        <f t="shared" si="33"/>
        <v/>
      </c>
      <c r="T375" t="str">
        <f t="shared" si="31"/>
        <v/>
      </c>
      <c r="V375" t="str">
        <f t="shared" si="32"/>
        <v>MVS,AES</v>
      </c>
      <c r="W375" t="str">
        <f t="shared" si="32"/>
        <v>MVS,AES</v>
      </c>
      <c r="AB375" t="s">
        <v>12</v>
      </c>
      <c r="AE375" t="s">
        <v>377</v>
      </c>
      <c r="AG375" t="s">
        <v>6</v>
      </c>
      <c r="AH375" t="s">
        <v>6759</v>
      </c>
      <c r="AI375" t="s">
        <v>9</v>
      </c>
      <c r="AJ375" t="s">
        <v>15</v>
      </c>
      <c r="AK375" t="s">
        <v>6758</v>
      </c>
      <c r="AL375" t="s">
        <v>6757</v>
      </c>
    </row>
    <row r="376" spans="5:44" x14ac:dyDescent="0.25">
      <c r="I376" t="str">
        <f t="shared" si="29"/>
        <v>bjourney</v>
      </c>
      <c r="J376" t="str">
        <f t="shared" si="30"/>
        <v/>
      </c>
      <c r="L376" t="str">
        <f t="shared" si="33"/>
        <v>NGM-022 / ALM-001 (MVS), NGH-022 / ALH-001 (AES)</v>
      </c>
      <c r="M376" t="str">
        <f t="shared" si="33"/>
        <v>19910314 (MVS), 19910701 (AES)</v>
      </c>
      <c r="N376" t="str">
        <f t="shared" si="33"/>
        <v>ラギ</v>
      </c>
      <c r="O376" t="str">
        <f t="shared" si="33"/>
        <v/>
      </c>
      <c r="P376" t="str">
        <f t="shared" si="33"/>
        <v/>
      </c>
      <c r="T376" t="str">
        <f t="shared" si="31"/>
        <v/>
      </c>
      <c r="V376" t="str">
        <f t="shared" si="32"/>
        <v>MVS,AES</v>
      </c>
      <c r="W376" t="str">
        <f t="shared" si="32"/>
        <v>MVS,AES</v>
      </c>
      <c r="AG376" t="s">
        <v>6</v>
      </c>
      <c r="AH376" t="s">
        <v>6756</v>
      </c>
      <c r="AI376" t="s">
        <v>4</v>
      </c>
      <c r="AJ376" t="s">
        <v>15</v>
      </c>
      <c r="AK376" t="s">
        <v>6755</v>
      </c>
      <c r="AL376" t="s">
        <v>6754</v>
      </c>
    </row>
    <row r="377" spans="5:44" x14ac:dyDescent="0.25">
      <c r="I377" t="str">
        <f t="shared" si="29"/>
        <v>bjourney</v>
      </c>
      <c r="J377" t="str">
        <f t="shared" si="30"/>
        <v/>
      </c>
      <c r="L377" t="str">
        <f t="shared" si="33"/>
        <v>NGM-022 / ALM-001 (MVS), NGH-022 / ALH-001 (AES)</v>
      </c>
      <c r="M377" t="str">
        <f t="shared" si="33"/>
        <v>19910314 (MVS), 19910701 (AES)</v>
      </c>
      <c r="N377" t="str">
        <f t="shared" si="33"/>
        <v>ラギ</v>
      </c>
      <c r="O377" t="str">
        <f t="shared" si="33"/>
        <v/>
      </c>
      <c r="P377" t="str">
        <f t="shared" si="33"/>
        <v/>
      </c>
      <c r="T377" t="str">
        <f t="shared" si="31"/>
        <v/>
      </c>
      <c r="V377" t="str">
        <f t="shared" si="32"/>
        <v>MVS,AES</v>
      </c>
      <c r="W377" t="str">
        <f t="shared" si="32"/>
        <v>MVS,AES</v>
      </c>
      <c r="AG377" t="s">
        <v>6</v>
      </c>
      <c r="AH377" t="s">
        <v>6753</v>
      </c>
      <c r="AI377" t="s">
        <v>3</v>
      </c>
      <c r="AJ377" t="s">
        <v>92</v>
      </c>
      <c r="AK377" t="s">
        <v>6752</v>
      </c>
      <c r="AL377" t="s">
        <v>6751</v>
      </c>
    </row>
    <row r="378" spans="5:44" x14ac:dyDescent="0.25">
      <c r="I378" t="str">
        <f t="shared" si="29"/>
        <v>bjourney</v>
      </c>
      <c r="J378" t="str">
        <f t="shared" si="30"/>
        <v/>
      </c>
      <c r="L378" t="str">
        <f t="shared" si="33"/>
        <v>NGM-022 / ALM-001 (MVS), NGH-022 / ALH-001 (AES)</v>
      </c>
      <c r="M378" t="str">
        <f t="shared" si="33"/>
        <v>19910314 (MVS), 19910701 (AES)</v>
      </c>
      <c r="N378" t="str">
        <f t="shared" si="33"/>
        <v>ラギ</v>
      </c>
      <c r="O378" t="str">
        <f t="shared" si="33"/>
        <v/>
      </c>
      <c r="P378" t="str">
        <f t="shared" si="33"/>
        <v/>
      </c>
      <c r="T378" t="str">
        <f t="shared" si="31"/>
        <v/>
      </c>
      <c r="V378" t="str">
        <f t="shared" si="32"/>
        <v>MVS,AES</v>
      </c>
      <c r="W378" t="str">
        <f t="shared" si="32"/>
        <v>MVS,AES</v>
      </c>
      <c r="AG378" t="s">
        <v>6</v>
      </c>
      <c r="AH378" t="s">
        <v>6750</v>
      </c>
      <c r="AI378" t="s">
        <v>4371</v>
      </c>
      <c r="AJ378" t="s">
        <v>92</v>
      </c>
      <c r="AK378" t="s">
        <v>6749</v>
      </c>
      <c r="AL378" t="s">
        <v>6748</v>
      </c>
    </row>
    <row r="379" spans="5:44" x14ac:dyDescent="0.25">
      <c r="E379" t="s">
        <v>6780</v>
      </c>
      <c r="F379" t="s">
        <v>6779</v>
      </c>
      <c r="G379" t="s">
        <v>3906</v>
      </c>
      <c r="H379" t="s">
        <v>5638</v>
      </c>
      <c r="I379" t="str">
        <f t="shared" si="29"/>
        <v>bjourneyh</v>
      </c>
      <c r="J379" t="str">
        <f t="shared" si="30"/>
        <v>bjourneyhserial</v>
      </c>
      <c r="K379" t="s">
        <v>1373</v>
      </c>
      <c r="L379" t="str">
        <f t="shared" si="33"/>
        <v>NGH-022 / ALH-001 (AES)</v>
      </c>
      <c r="M379" t="str">
        <f t="shared" si="33"/>
        <v>19910701 (AES)</v>
      </c>
      <c r="N379" t="str">
        <f t="shared" si="33"/>
        <v>ラギ</v>
      </c>
      <c r="O379" t="str">
        <f t="shared" si="33"/>
        <v/>
      </c>
      <c r="P379" t="str">
        <f t="shared" si="33"/>
        <v/>
      </c>
      <c r="Q379" t="s">
        <v>6778</v>
      </c>
      <c r="S379" t="s">
        <v>46</v>
      </c>
      <c r="T379" t="str">
        <f t="shared" si="31"/>
        <v>bjourneyhrelease</v>
      </c>
      <c r="U379" t="s">
        <v>35</v>
      </c>
      <c r="V379" t="str">
        <f t="shared" si="32"/>
        <v>AES</v>
      </c>
      <c r="W379" t="str">
        <f t="shared" si="32"/>
        <v>MVS,AES</v>
      </c>
      <c r="Y379" t="s">
        <v>45</v>
      </c>
      <c r="Z379" t="s">
        <v>44</v>
      </c>
      <c r="AB379" t="s">
        <v>43</v>
      </c>
      <c r="AC379" t="s">
        <v>42</v>
      </c>
      <c r="AD379" t="s">
        <v>41</v>
      </c>
      <c r="AE379" t="s">
        <v>15</v>
      </c>
      <c r="AG379" t="s">
        <v>40</v>
      </c>
      <c r="AH379" t="s">
        <v>6777</v>
      </c>
      <c r="AI379" t="s">
        <v>9</v>
      </c>
      <c r="AJ379" t="s">
        <v>15</v>
      </c>
      <c r="AK379" t="s">
        <v>6776</v>
      </c>
      <c r="AL379" t="s">
        <v>6775</v>
      </c>
      <c r="AR379" t="s">
        <v>6774</v>
      </c>
    </row>
    <row r="380" spans="5:44" x14ac:dyDescent="0.25">
      <c r="I380" t="str">
        <f t="shared" si="29"/>
        <v>bjourneyh</v>
      </c>
      <c r="J380" t="str">
        <f t="shared" si="30"/>
        <v>bjourneyhrelease</v>
      </c>
      <c r="K380" t="s">
        <v>46</v>
      </c>
      <c r="L380" t="str">
        <f t="shared" si="33"/>
        <v>NGH-022 / ALH-001 (AES)</v>
      </c>
      <c r="M380" t="str">
        <f t="shared" si="33"/>
        <v>19910701 (AES)</v>
      </c>
      <c r="N380" t="str">
        <f t="shared" si="33"/>
        <v>ラギ</v>
      </c>
      <c r="O380" t="str">
        <f t="shared" si="33"/>
        <v/>
      </c>
      <c r="P380" t="str">
        <f t="shared" si="33"/>
        <v/>
      </c>
      <c r="Q380" t="s">
        <v>6773</v>
      </c>
      <c r="T380" t="str">
        <f t="shared" si="31"/>
        <v/>
      </c>
      <c r="V380" t="str">
        <f t="shared" si="32"/>
        <v>AES</v>
      </c>
      <c r="W380" t="str">
        <f t="shared" si="32"/>
        <v>MVS,AES</v>
      </c>
      <c r="AB380" t="s">
        <v>34</v>
      </c>
      <c r="AE380" t="s">
        <v>33</v>
      </c>
      <c r="AH380" t="s">
        <v>6772</v>
      </c>
      <c r="AI380" t="s">
        <v>9</v>
      </c>
      <c r="AJ380" t="s">
        <v>27</v>
      </c>
      <c r="AK380" t="s">
        <v>6771</v>
      </c>
      <c r="AL380" t="s">
        <v>6770</v>
      </c>
    </row>
    <row r="381" spans="5:44" x14ac:dyDescent="0.25">
      <c r="I381" t="str">
        <f t="shared" si="29"/>
        <v>bjourneyh</v>
      </c>
      <c r="J381" t="str">
        <f t="shared" si="30"/>
        <v>bjourneyhalt_title</v>
      </c>
      <c r="K381" t="s">
        <v>1218</v>
      </c>
      <c r="L381" t="str">
        <f t="shared" si="33"/>
        <v>NGH-022 / ALH-001 (AES)</v>
      </c>
      <c r="M381" t="str">
        <f t="shared" si="33"/>
        <v>19910701 (AES)</v>
      </c>
      <c r="N381" t="str">
        <f t="shared" si="33"/>
        <v>ラギ</v>
      </c>
      <c r="O381" t="str">
        <f t="shared" si="33"/>
        <v/>
      </c>
      <c r="P381" t="str">
        <f t="shared" si="33"/>
        <v/>
      </c>
      <c r="Q381" t="s">
        <v>6769</v>
      </c>
      <c r="T381" t="str">
        <f t="shared" si="31"/>
        <v/>
      </c>
      <c r="V381" t="str">
        <f t="shared" si="32"/>
        <v>AES</v>
      </c>
      <c r="W381" t="str">
        <f t="shared" si="32"/>
        <v>MVS,AES</v>
      </c>
      <c r="AB381" t="s">
        <v>29</v>
      </c>
      <c r="AE381" t="s">
        <v>27</v>
      </c>
      <c r="AH381" t="s">
        <v>6768</v>
      </c>
      <c r="AI381" t="s">
        <v>9</v>
      </c>
      <c r="AJ381" t="s">
        <v>27</v>
      </c>
      <c r="AK381" t="s">
        <v>6767</v>
      </c>
      <c r="AL381" t="s">
        <v>6766</v>
      </c>
    </row>
    <row r="382" spans="5:44" x14ac:dyDescent="0.25">
      <c r="I382" t="str">
        <f t="shared" si="29"/>
        <v>bjourneyh</v>
      </c>
      <c r="J382" t="str">
        <f t="shared" si="30"/>
        <v/>
      </c>
      <c r="L382" t="str">
        <f t="shared" si="33"/>
        <v>NGH-022 / ALH-001 (AES)</v>
      </c>
      <c r="M382" t="str">
        <f t="shared" si="33"/>
        <v>19910701 (AES)</v>
      </c>
      <c r="N382" t="str">
        <f t="shared" si="33"/>
        <v>ラギ</v>
      </c>
      <c r="O382" t="str">
        <f t="shared" si="33"/>
        <v/>
      </c>
      <c r="P382" t="str">
        <f t="shared" si="33"/>
        <v/>
      </c>
      <c r="S382" t="s">
        <v>36</v>
      </c>
      <c r="T382" t="str">
        <f t="shared" si="31"/>
        <v>bjourneyhcompatibility</v>
      </c>
      <c r="U382" t="s">
        <v>218</v>
      </c>
      <c r="V382" t="str">
        <f t="shared" si="32"/>
        <v>AES</v>
      </c>
      <c r="W382" t="str">
        <f t="shared" si="32"/>
        <v>MVS,AES</v>
      </c>
      <c r="AB382" t="s">
        <v>24</v>
      </c>
      <c r="AE382" t="s">
        <v>3</v>
      </c>
      <c r="AH382" t="s">
        <v>6765</v>
      </c>
      <c r="AI382" t="s">
        <v>9</v>
      </c>
      <c r="AJ382" t="s">
        <v>15</v>
      </c>
      <c r="AK382" t="s">
        <v>6764</v>
      </c>
      <c r="AL382" t="s">
        <v>6763</v>
      </c>
    </row>
    <row r="383" spans="5:44" x14ac:dyDescent="0.25">
      <c r="I383" t="str">
        <f t="shared" si="29"/>
        <v>bjourneyh</v>
      </c>
      <c r="J383" t="str">
        <f t="shared" si="30"/>
        <v/>
      </c>
      <c r="L383" t="str">
        <f t="shared" si="33"/>
        <v>NGH-022 / ALH-001 (AES)</v>
      </c>
      <c r="M383" t="str">
        <f t="shared" si="33"/>
        <v>19910701 (AES)</v>
      </c>
      <c r="N383" t="str">
        <f t="shared" si="33"/>
        <v>ラギ</v>
      </c>
      <c r="O383" t="str">
        <f t="shared" si="33"/>
        <v/>
      </c>
      <c r="P383" t="str">
        <f t="shared" si="33"/>
        <v/>
      </c>
      <c r="T383" t="str">
        <f t="shared" si="31"/>
        <v/>
      </c>
      <c r="V383" t="str">
        <f t="shared" si="32"/>
        <v>AES</v>
      </c>
      <c r="W383" t="str">
        <f t="shared" si="32"/>
        <v>MVS,AES</v>
      </c>
      <c r="AH383" t="s">
        <v>6762</v>
      </c>
      <c r="AI383" t="s">
        <v>15</v>
      </c>
      <c r="AJ383" t="s">
        <v>15</v>
      </c>
      <c r="AK383" t="s">
        <v>6761</v>
      </c>
      <c r="AL383" t="s">
        <v>6760</v>
      </c>
    </row>
    <row r="384" spans="5:44" x14ac:dyDescent="0.25">
      <c r="I384" t="str">
        <f t="shared" si="29"/>
        <v>bjourneyh</v>
      </c>
      <c r="J384" t="str">
        <f t="shared" si="30"/>
        <v/>
      </c>
      <c r="L384" t="str">
        <f t="shared" si="33"/>
        <v>NGH-022 / ALH-001 (AES)</v>
      </c>
      <c r="M384" t="str">
        <f t="shared" si="33"/>
        <v>19910701 (AES)</v>
      </c>
      <c r="N384" t="str">
        <f t="shared" si="33"/>
        <v>ラギ</v>
      </c>
      <c r="O384" t="str">
        <f t="shared" si="33"/>
        <v/>
      </c>
      <c r="P384" t="str">
        <f t="shared" si="33"/>
        <v/>
      </c>
      <c r="T384" t="str">
        <f t="shared" si="31"/>
        <v/>
      </c>
      <c r="V384" t="str">
        <f t="shared" si="32"/>
        <v>AES</v>
      </c>
      <c r="W384" t="str">
        <f t="shared" si="32"/>
        <v>MVS,AES</v>
      </c>
      <c r="AB384" t="s">
        <v>12</v>
      </c>
      <c r="AE384" t="s">
        <v>377</v>
      </c>
      <c r="AG384" t="s">
        <v>6</v>
      </c>
      <c r="AH384" t="s">
        <v>6759</v>
      </c>
      <c r="AI384" t="s">
        <v>9</v>
      </c>
      <c r="AJ384" t="s">
        <v>15</v>
      </c>
      <c r="AK384" t="s">
        <v>6758</v>
      </c>
      <c r="AL384" t="s">
        <v>6757</v>
      </c>
    </row>
    <row r="385" spans="5:44" x14ac:dyDescent="0.25">
      <c r="I385" t="str">
        <f t="shared" si="29"/>
        <v>bjourneyh</v>
      </c>
      <c r="J385" t="str">
        <f t="shared" si="30"/>
        <v/>
      </c>
      <c r="L385" t="str">
        <f t="shared" si="33"/>
        <v>NGH-022 / ALH-001 (AES)</v>
      </c>
      <c r="M385" t="str">
        <f t="shared" si="33"/>
        <v>19910701 (AES)</v>
      </c>
      <c r="N385" t="str">
        <f t="shared" si="33"/>
        <v>ラギ</v>
      </c>
      <c r="O385" t="str">
        <f t="shared" si="33"/>
        <v/>
      </c>
      <c r="P385" t="str">
        <f t="shared" si="33"/>
        <v/>
      </c>
      <c r="T385" t="str">
        <f t="shared" si="31"/>
        <v/>
      </c>
      <c r="V385" t="str">
        <f t="shared" si="32"/>
        <v>AES</v>
      </c>
      <c r="W385" t="str">
        <f t="shared" si="32"/>
        <v>MVS,AES</v>
      </c>
      <c r="AG385" t="s">
        <v>6</v>
      </c>
      <c r="AH385" t="s">
        <v>6756</v>
      </c>
      <c r="AI385" t="s">
        <v>4</v>
      </c>
      <c r="AJ385" t="s">
        <v>15</v>
      </c>
      <c r="AK385" t="s">
        <v>6755</v>
      </c>
      <c r="AL385" t="s">
        <v>6754</v>
      </c>
    </row>
    <row r="386" spans="5:44" x14ac:dyDescent="0.25">
      <c r="I386" t="str">
        <f t="shared" si="29"/>
        <v>bjourneyh</v>
      </c>
      <c r="J386" t="str">
        <f t="shared" si="30"/>
        <v/>
      </c>
      <c r="L386" t="str">
        <f t="shared" si="33"/>
        <v>NGH-022 / ALH-001 (AES)</v>
      </c>
      <c r="M386" t="str">
        <f t="shared" si="33"/>
        <v>19910701 (AES)</v>
      </c>
      <c r="N386" t="str">
        <f t="shared" si="33"/>
        <v>ラギ</v>
      </c>
      <c r="O386" t="str">
        <f t="shared" si="33"/>
        <v/>
      </c>
      <c r="P386" t="str">
        <f t="shared" si="33"/>
        <v/>
      </c>
      <c r="T386" t="str">
        <f t="shared" si="31"/>
        <v/>
      </c>
      <c r="V386" t="str">
        <f t="shared" si="32"/>
        <v>AES</v>
      </c>
      <c r="W386" t="str">
        <f t="shared" si="32"/>
        <v>MVS,AES</v>
      </c>
      <c r="AG386" t="s">
        <v>6</v>
      </c>
      <c r="AH386" t="s">
        <v>6753</v>
      </c>
      <c r="AI386" t="s">
        <v>3</v>
      </c>
      <c r="AJ386" t="s">
        <v>92</v>
      </c>
      <c r="AK386" t="s">
        <v>6752</v>
      </c>
      <c r="AL386" t="s">
        <v>6751</v>
      </c>
    </row>
    <row r="387" spans="5:44" x14ac:dyDescent="0.25">
      <c r="I387" t="str">
        <f t="shared" ref="I387:I450" si="34">IF(E387="",I386,E387)</f>
        <v>bjourneyh</v>
      </c>
      <c r="J387" t="str">
        <f t="shared" ref="J387:J450" si="35">IF(K387="","",I387&amp;K387)</f>
        <v/>
      </c>
      <c r="L387" t="str">
        <f t="shared" si="33"/>
        <v>NGH-022 / ALH-001 (AES)</v>
      </c>
      <c r="M387" t="str">
        <f t="shared" si="33"/>
        <v>19910701 (AES)</v>
      </c>
      <c r="N387" t="str">
        <f t="shared" si="33"/>
        <v>ラギ</v>
      </c>
      <c r="O387" t="str">
        <f t="shared" si="33"/>
        <v/>
      </c>
      <c r="P387" t="str">
        <f t="shared" si="33"/>
        <v/>
      </c>
      <c r="T387" t="str">
        <f t="shared" ref="T387:T450" si="36">IF(S387="","",I387&amp;S387)</f>
        <v/>
      </c>
      <c r="V387" t="str">
        <f t="shared" si="32"/>
        <v>AES</v>
      </c>
      <c r="W387" t="str">
        <f t="shared" si="32"/>
        <v>MVS,AES</v>
      </c>
      <c r="AG387" t="s">
        <v>6</v>
      </c>
      <c r="AH387" t="s">
        <v>6750</v>
      </c>
      <c r="AI387" t="s">
        <v>4371</v>
      </c>
      <c r="AJ387" t="s">
        <v>92</v>
      </c>
      <c r="AK387" t="s">
        <v>6749</v>
      </c>
      <c r="AL387" t="s">
        <v>6748</v>
      </c>
    </row>
    <row r="388" spans="5:44" x14ac:dyDescent="0.25">
      <c r="E388" t="s">
        <v>6719</v>
      </c>
      <c r="F388" t="s">
        <v>6747</v>
      </c>
      <c r="G388" t="s">
        <v>6279</v>
      </c>
      <c r="H388" t="s">
        <v>1912</v>
      </c>
      <c r="I388" t="str">
        <f t="shared" si="34"/>
        <v>quizdais</v>
      </c>
      <c r="J388" t="str">
        <f t="shared" si="35"/>
        <v>quizdaisserial</v>
      </c>
      <c r="K388" t="s">
        <v>1373</v>
      </c>
      <c r="L388" t="str">
        <f t="shared" si="33"/>
        <v>NGM-023 (MVS), NGH-023 (AES)</v>
      </c>
      <c r="M388" t="str">
        <f t="shared" si="33"/>
        <v>199107xx (MVS), 19910830 (AES)</v>
      </c>
      <c r="N388" t="str">
        <f t="shared" si="33"/>
        <v>クイズ大捜査線</v>
      </c>
      <c r="O388" t="str">
        <f t="shared" si="33"/>
        <v/>
      </c>
      <c r="P388" t="str">
        <f t="shared" si="33"/>
        <v/>
      </c>
      <c r="Q388" t="s">
        <v>6746</v>
      </c>
      <c r="S388" t="s">
        <v>46</v>
      </c>
      <c r="T388" t="str">
        <f t="shared" si="36"/>
        <v>quizdaisrelease</v>
      </c>
      <c r="U388" t="s">
        <v>218</v>
      </c>
      <c r="V388" t="str">
        <f t="shared" si="32"/>
        <v>MVS,AES</v>
      </c>
      <c r="W388" t="str">
        <f t="shared" si="32"/>
        <v>MVS,AES</v>
      </c>
      <c r="Y388" t="s">
        <v>45</v>
      </c>
      <c r="Z388" t="s">
        <v>44</v>
      </c>
      <c r="AB388" t="s">
        <v>43</v>
      </c>
      <c r="AC388" t="s">
        <v>42</v>
      </c>
      <c r="AD388" t="s">
        <v>41</v>
      </c>
      <c r="AE388" t="s">
        <v>15</v>
      </c>
      <c r="AG388" t="s">
        <v>40</v>
      </c>
      <c r="AH388" t="s">
        <v>6745</v>
      </c>
      <c r="AI388" t="s">
        <v>9</v>
      </c>
      <c r="AJ388" t="s">
        <v>15</v>
      </c>
      <c r="AK388" t="s">
        <v>6744</v>
      </c>
      <c r="AL388" t="s">
        <v>6743</v>
      </c>
    </row>
    <row r="389" spans="5:44" x14ac:dyDescent="0.25">
      <c r="I389" t="str">
        <f t="shared" si="34"/>
        <v>quizdais</v>
      </c>
      <c r="J389" t="str">
        <f t="shared" si="35"/>
        <v>quizdaisrelease</v>
      </c>
      <c r="K389" t="s">
        <v>46</v>
      </c>
      <c r="L389" t="str">
        <f t="shared" si="33"/>
        <v>NGM-023 (MVS), NGH-023 (AES)</v>
      </c>
      <c r="M389" t="str">
        <f t="shared" si="33"/>
        <v>199107xx (MVS), 19910830 (AES)</v>
      </c>
      <c r="N389" t="str">
        <f t="shared" si="33"/>
        <v>クイズ大捜査線</v>
      </c>
      <c r="O389" t="str">
        <f t="shared" si="33"/>
        <v/>
      </c>
      <c r="P389" t="str">
        <f t="shared" si="33"/>
        <v/>
      </c>
      <c r="Q389" t="s">
        <v>6552</v>
      </c>
      <c r="T389" t="str">
        <f t="shared" si="36"/>
        <v/>
      </c>
      <c r="V389" t="str">
        <f t="shared" si="32"/>
        <v>MVS,AES</v>
      </c>
      <c r="W389" t="str">
        <f t="shared" si="32"/>
        <v>MVS,AES</v>
      </c>
      <c r="AB389" t="s">
        <v>34</v>
      </c>
      <c r="AE389" t="s">
        <v>33</v>
      </c>
      <c r="AH389" t="s">
        <v>6742</v>
      </c>
      <c r="AI389" t="s">
        <v>9</v>
      </c>
      <c r="AJ389" t="s">
        <v>27</v>
      </c>
      <c r="AK389" t="s">
        <v>6741</v>
      </c>
      <c r="AL389" t="s">
        <v>6740</v>
      </c>
    </row>
    <row r="390" spans="5:44" x14ac:dyDescent="0.25">
      <c r="I390" t="str">
        <f t="shared" si="34"/>
        <v>quizdais</v>
      </c>
      <c r="J390" t="str">
        <f t="shared" si="35"/>
        <v>quizdaisalt_title</v>
      </c>
      <c r="K390" t="s">
        <v>1218</v>
      </c>
      <c r="L390" t="str">
        <f t="shared" si="33"/>
        <v>NGM-023 (MVS), NGH-023 (AES)</v>
      </c>
      <c r="M390" t="str">
        <f t="shared" si="33"/>
        <v>199107xx (MVS), 19910830 (AES)</v>
      </c>
      <c r="N390" t="str">
        <f t="shared" si="33"/>
        <v>クイズ大捜査線</v>
      </c>
      <c r="O390" t="str">
        <f t="shared" si="33"/>
        <v/>
      </c>
      <c r="P390" t="str">
        <f t="shared" si="33"/>
        <v/>
      </c>
      <c r="Q390" t="s">
        <v>6739</v>
      </c>
      <c r="T390" t="str">
        <f t="shared" si="36"/>
        <v/>
      </c>
      <c r="V390" t="str">
        <f t="shared" si="32"/>
        <v>MVS,AES</v>
      </c>
      <c r="W390" t="str">
        <f t="shared" si="32"/>
        <v>MVS,AES</v>
      </c>
      <c r="AB390" t="s">
        <v>29</v>
      </c>
      <c r="AE390" t="s">
        <v>27</v>
      </c>
      <c r="AH390" t="s">
        <v>6738</v>
      </c>
      <c r="AI390" t="s">
        <v>9</v>
      </c>
      <c r="AJ390" t="s">
        <v>27</v>
      </c>
      <c r="AK390" t="s">
        <v>6737</v>
      </c>
      <c r="AL390" t="s">
        <v>6736</v>
      </c>
    </row>
    <row r="391" spans="5:44" x14ac:dyDescent="0.25">
      <c r="I391" t="str">
        <f t="shared" si="34"/>
        <v>quizdais</v>
      </c>
      <c r="J391" t="str">
        <f t="shared" si="35"/>
        <v/>
      </c>
      <c r="L391" t="str">
        <f t="shared" si="33"/>
        <v>NGM-023 (MVS), NGH-023 (AES)</v>
      </c>
      <c r="M391" t="str">
        <f t="shared" si="33"/>
        <v>199107xx (MVS), 19910830 (AES)</v>
      </c>
      <c r="N391" t="str">
        <f t="shared" si="33"/>
        <v>クイズ大捜査線</v>
      </c>
      <c r="O391" t="str">
        <f t="shared" si="33"/>
        <v/>
      </c>
      <c r="P391" t="str">
        <f t="shared" si="33"/>
        <v/>
      </c>
      <c r="S391" t="s">
        <v>36</v>
      </c>
      <c r="T391" t="str">
        <f t="shared" si="36"/>
        <v>quizdaiscompatibility</v>
      </c>
      <c r="U391" t="s">
        <v>218</v>
      </c>
      <c r="V391" t="str">
        <f t="shared" si="32"/>
        <v>MVS,AES</v>
      </c>
      <c r="W391" t="str">
        <f t="shared" si="32"/>
        <v>MVS,AES</v>
      </c>
      <c r="AB391" t="s">
        <v>24</v>
      </c>
      <c r="AE391" t="s">
        <v>15</v>
      </c>
      <c r="AH391" t="s">
        <v>6735</v>
      </c>
      <c r="AI391" t="s">
        <v>9</v>
      </c>
      <c r="AJ391" t="s">
        <v>15</v>
      </c>
      <c r="AK391" t="s">
        <v>6734</v>
      </c>
      <c r="AL391" t="s">
        <v>6733</v>
      </c>
    </row>
    <row r="392" spans="5:44" x14ac:dyDescent="0.25">
      <c r="I392" t="str">
        <f t="shared" si="34"/>
        <v>quizdais</v>
      </c>
      <c r="J392" t="str">
        <f t="shared" si="35"/>
        <v/>
      </c>
      <c r="L392" t="str">
        <f t="shared" si="33"/>
        <v>NGM-023 (MVS), NGH-023 (AES)</v>
      </c>
      <c r="M392" t="str">
        <f t="shared" si="33"/>
        <v>199107xx (MVS), 19910830 (AES)</v>
      </c>
      <c r="N392" t="str">
        <f t="shared" si="33"/>
        <v>クイズ大捜査線</v>
      </c>
      <c r="O392" t="str">
        <f t="shared" si="33"/>
        <v/>
      </c>
      <c r="P392" t="str">
        <f t="shared" si="33"/>
        <v/>
      </c>
      <c r="T392" t="str">
        <f t="shared" si="36"/>
        <v/>
      </c>
      <c r="V392" t="str">
        <f t="shared" si="32"/>
        <v>MVS,AES</v>
      </c>
      <c r="W392" t="str">
        <f t="shared" si="32"/>
        <v>MVS,AES</v>
      </c>
      <c r="AB392" t="s">
        <v>12</v>
      </c>
      <c r="AE392" t="s">
        <v>3</v>
      </c>
      <c r="AG392" t="s">
        <v>6</v>
      </c>
      <c r="AH392" t="s">
        <v>6732</v>
      </c>
      <c r="AI392" t="s">
        <v>9</v>
      </c>
      <c r="AJ392" t="s">
        <v>15</v>
      </c>
      <c r="AK392" t="s">
        <v>6731</v>
      </c>
      <c r="AL392" t="s">
        <v>6730</v>
      </c>
    </row>
    <row r="393" spans="5:44" x14ac:dyDescent="0.25">
      <c r="I393" t="str">
        <f t="shared" si="34"/>
        <v>quizdais</v>
      </c>
      <c r="J393" t="str">
        <f t="shared" si="35"/>
        <v/>
      </c>
      <c r="L393" t="str">
        <f t="shared" si="33"/>
        <v>NGM-023 (MVS), NGH-023 (AES)</v>
      </c>
      <c r="M393" t="str">
        <f t="shared" si="33"/>
        <v>199107xx (MVS), 19910830 (AES)</v>
      </c>
      <c r="N393" t="str">
        <f t="shared" si="33"/>
        <v>クイズ大捜査線</v>
      </c>
      <c r="O393" t="str">
        <f t="shared" si="33"/>
        <v/>
      </c>
      <c r="P393" t="str">
        <f t="shared" si="33"/>
        <v/>
      </c>
      <c r="T393" t="str">
        <f t="shared" si="36"/>
        <v/>
      </c>
      <c r="V393" t="str">
        <f t="shared" si="32"/>
        <v>MVS,AES</v>
      </c>
      <c r="W393" t="str">
        <f t="shared" si="32"/>
        <v>MVS,AES</v>
      </c>
      <c r="AG393" t="s">
        <v>6</v>
      </c>
      <c r="AH393" t="s">
        <v>6729</v>
      </c>
      <c r="AI393" t="s">
        <v>4</v>
      </c>
      <c r="AJ393" t="s">
        <v>15</v>
      </c>
      <c r="AK393" t="s">
        <v>6728</v>
      </c>
      <c r="AL393" t="s">
        <v>6727</v>
      </c>
    </row>
    <row r="394" spans="5:44" x14ac:dyDescent="0.25">
      <c r="E394" t="s">
        <v>6726</v>
      </c>
      <c r="F394" t="s">
        <v>6725</v>
      </c>
      <c r="G394" t="s">
        <v>1239</v>
      </c>
      <c r="H394" t="s">
        <v>6724</v>
      </c>
      <c r="I394" t="str">
        <f t="shared" si="34"/>
        <v>quizdaisk</v>
      </c>
      <c r="J394" t="str">
        <f t="shared" si="35"/>
        <v>quizdaiskalt_title</v>
      </c>
      <c r="K394" t="s">
        <v>1218</v>
      </c>
      <c r="L394" t="str">
        <f t="shared" si="33"/>
        <v/>
      </c>
      <c r="M394" t="str">
        <f t="shared" si="33"/>
        <v/>
      </c>
      <c r="N394" t="str">
        <f t="shared" si="33"/>
        <v>퀴즈 사립탐정</v>
      </c>
      <c r="O394" t="str">
        <f t="shared" si="33"/>
        <v/>
      </c>
      <c r="P394" t="str">
        <f t="shared" si="33"/>
        <v/>
      </c>
      <c r="Q394" t="s">
        <v>6723</v>
      </c>
      <c r="S394" t="s">
        <v>46</v>
      </c>
      <c r="T394" t="str">
        <f t="shared" si="36"/>
        <v>quizdaiskrelease</v>
      </c>
      <c r="U394" t="s">
        <v>106</v>
      </c>
      <c r="V394" t="str">
        <f t="shared" si="32"/>
        <v>MVS</v>
      </c>
      <c r="W394" t="str">
        <f t="shared" si="32"/>
        <v>MVS,AES</v>
      </c>
      <c r="Y394" t="s">
        <v>45</v>
      </c>
      <c r="Z394" t="s">
        <v>44</v>
      </c>
      <c r="AB394" t="s">
        <v>43</v>
      </c>
      <c r="AC394" t="s">
        <v>42</v>
      </c>
      <c r="AD394" t="s">
        <v>41</v>
      </c>
      <c r="AE394" t="s">
        <v>15</v>
      </c>
      <c r="AG394" t="s">
        <v>40</v>
      </c>
      <c r="AH394" t="s">
        <v>6722</v>
      </c>
      <c r="AI394" t="s">
        <v>9</v>
      </c>
      <c r="AJ394" t="s">
        <v>15</v>
      </c>
      <c r="AK394" t="s">
        <v>6721</v>
      </c>
      <c r="AL394" t="s">
        <v>6720</v>
      </c>
      <c r="AR394" t="s">
        <v>6719</v>
      </c>
    </row>
    <row r="395" spans="5:44" x14ac:dyDescent="0.25">
      <c r="I395" t="str">
        <f t="shared" si="34"/>
        <v>quizdaisk</v>
      </c>
      <c r="J395" t="str">
        <f t="shared" si="35"/>
        <v/>
      </c>
      <c r="L395" t="str">
        <f t="shared" si="33"/>
        <v/>
      </c>
      <c r="M395" t="str">
        <f t="shared" si="33"/>
        <v/>
      </c>
      <c r="N395" t="str">
        <f t="shared" si="33"/>
        <v>퀴즈 사립탐정</v>
      </c>
      <c r="O395" t="str">
        <f t="shared" si="33"/>
        <v/>
      </c>
      <c r="P395" t="str">
        <f t="shared" si="33"/>
        <v/>
      </c>
      <c r="S395" t="s">
        <v>36</v>
      </c>
      <c r="T395" t="str">
        <f t="shared" si="36"/>
        <v>quizdaiskcompatibility</v>
      </c>
      <c r="U395" t="s">
        <v>218</v>
      </c>
      <c r="V395" t="str">
        <f t="shared" si="32"/>
        <v>MVS</v>
      </c>
      <c r="W395" t="str">
        <f t="shared" si="32"/>
        <v>MVS,AES</v>
      </c>
      <c r="AB395" t="s">
        <v>34</v>
      </c>
      <c r="AE395" t="s">
        <v>33</v>
      </c>
      <c r="AH395" t="s">
        <v>6718</v>
      </c>
      <c r="AI395" t="s">
        <v>9</v>
      </c>
      <c r="AJ395" t="s">
        <v>27</v>
      </c>
      <c r="AK395" t="s">
        <v>6717</v>
      </c>
      <c r="AL395" t="s">
        <v>6716</v>
      </c>
    </row>
    <row r="396" spans="5:44" x14ac:dyDescent="0.25">
      <c r="I396" t="str">
        <f t="shared" si="34"/>
        <v>quizdaisk</v>
      </c>
      <c r="J396" t="str">
        <f t="shared" si="35"/>
        <v/>
      </c>
      <c r="L396" t="str">
        <f t="shared" si="33"/>
        <v/>
      </c>
      <c r="M396" t="str">
        <f t="shared" si="33"/>
        <v/>
      </c>
      <c r="N396" t="str">
        <f t="shared" si="33"/>
        <v>퀴즈 사립탐정</v>
      </c>
      <c r="O396" t="str">
        <f t="shared" si="33"/>
        <v/>
      </c>
      <c r="P396" t="str">
        <f t="shared" si="33"/>
        <v/>
      </c>
      <c r="T396" t="str">
        <f t="shared" si="36"/>
        <v/>
      </c>
      <c r="V396" t="str">
        <f t="shared" si="32"/>
        <v>MVS</v>
      </c>
      <c r="W396" t="str">
        <f t="shared" si="32"/>
        <v>MVS,AES</v>
      </c>
      <c r="AB396" t="s">
        <v>29</v>
      </c>
      <c r="AE396" t="s">
        <v>27</v>
      </c>
      <c r="AH396" t="s">
        <v>6715</v>
      </c>
      <c r="AI396" t="s">
        <v>9</v>
      </c>
      <c r="AJ396" t="s">
        <v>27</v>
      </c>
      <c r="AK396" t="s">
        <v>6714</v>
      </c>
      <c r="AL396" t="s">
        <v>6713</v>
      </c>
    </row>
    <row r="397" spans="5:44" x14ac:dyDescent="0.25">
      <c r="I397" t="str">
        <f t="shared" si="34"/>
        <v>quizdaisk</v>
      </c>
      <c r="J397" t="str">
        <f t="shared" si="35"/>
        <v/>
      </c>
      <c r="L397" t="str">
        <f t="shared" si="33"/>
        <v/>
      </c>
      <c r="M397" t="str">
        <f t="shared" si="33"/>
        <v/>
      </c>
      <c r="N397" t="str">
        <f t="shared" si="33"/>
        <v>퀴즈 사립탐정</v>
      </c>
      <c r="O397" t="str">
        <f t="shared" si="33"/>
        <v/>
      </c>
      <c r="P397" t="str">
        <f t="shared" si="33"/>
        <v/>
      </c>
      <c r="T397" t="str">
        <f t="shared" si="36"/>
        <v/>
      </c>
      <c r="V397" t="str">
        <f t="shared" si="32"/>
        <v>MVS</v>
      </c>
      <c r="W397" t="str">
        <f t="shared" si="32"/>
        <v>MVS,AES</v>
      </c>
      <c r="AB397" t="s">
        <v>24</v>
      </c>
      <c r="AE397" t="s">
        <v>3</v>
      </c>
      <c r="AH397" t="s">
        <v>6712</v>
      </c>
      <c r="AI397" t="s">
        <v>9</v>
      </c>
      <c r="AJ397" t="s">
        <v>3</v>
      </c>
      <c r="AK397" t="s">
        <v>6711</v>
      </c>
      <c r="AL397" t="s">
        <v>6710</v>
      </c>
    </row>
    <row r="398" spans="5:44" x14ac:dyDescent="0.25">
      <c r="I398" t="str">
        <f t="shared" si="34"/>
        <v>quizdaisk</v>
      </c>
      <c r="J398" t="str">
        <f t="shared" si="35"/>
        <v/>
      </c>
      <c r="L398" t="str">
        <f t="shared" si="33"/>
        <v/>
      </c>
      <c r="M398" t="str">
        <f t="shared" si="33"/>
        <v/>
      </c>
      <c r="N398" t="str">
        <f t="shared" si="33"/>
        <v>퀴즈 사립탐정</v>
      </c>
      <c r="O398" t="str">
        <f t="shared" si="33"/>
        <v/>
      </c>
      <c r="P398" t="str">
        <f t="shared" si="33"/>
        <v/>
      </c>
      <c r="T398" t="str">
        <f t="shared" si="36"/>
        <v/>
      </c>
      <c r="V398" t="str">
        <f t="shared" si="32"/>
        <v>MVS</v>
      </c>
      <c r="W398" t="str">
        <f t="shared" si="32"/>
        <v>MVS,AES</v>
      </c>
      <c r="AB398" t="s">
        <v>12</v>
      </c>
      <c r="AE398" t="s">
        <v>3</v>
      </c>
      <c r="AG398" t="s">
        <v>6</v>
      </c>
      <c r="AH398" t="s">
        <v>6709</v>
      </c>
      <c r="AI398" t="s">
        <v>9</v>
      </c>
      <c r="AJ398" t="s">
        <v>15</v>
      </c>
      <c r="AK398" t="s">
        <v>6708</v>
      </c>
      <c r="AL398" t="s">
        <v>6707</v>
      </c>
    </row>
    <row r="399" spans="5:44" x14ac:dyDescent="0.25">
      <c r="I399" t="str">
        <f t="shared" si="34"/>
        <v>quizdaisk</v>
      </c>
      <c r="J399" t="str">
        <f t="shared" si="35"/>
        <v/>
      </c>
      <c r="L399" t="str">
        <f t="shared" si="33"/>
        <v/>
      </c>
      <c r="M399" t="str">
        <f t="shared" si="33"/>
        <v/>
      </c>
      <c r="N399" t="str">
        <f t="shared" si="33"/>
        <v>퀴즈 사립탐정</v>
      </c>
      <c r="O399" t="str">
        <f t="shared" si="33"/>
        <v/>
      </c>
      <c r="P399" t="str">
        <f t="shared" si="33"/>
        <v/>
      </c>
      <c r="T399" t="str">
        <f t="shared" si="36"/>
        <v/>
      </c>
      <c r="V399" t="str">
        <f t="shared" si="32"/>
        <v>MVS</v>
      </c>
      <c r="W399" t="str">
        <f t="shared" si="32"/>
        <v>MVS,AES</v>
      </c>
      <c r="AG399" t="s">
        <v>6</v>
      </c>
      <c r="AH399" t="s">
        <v>6706</v>
      </c>
      <c r="AI399" t="s">
        <v>4</v>
      </c>
      <c r="AJ399" t="s">
        <v>15</v>
      </c>
      <c r="AK399" t="s">
        <v>6705</v>
      </c>
      <c r="AL399" t="s">
        <v>6704</v>
      </c>
    </row>
    <row r="400" spans="5:44" x14ac:dyDescent="0.25">
      <c r="E400" t="s">
        <v>6670</v>
      </c>
      <c r="F400" t="s">
        <v>6703</v>
      </c>
      <c r="G400" t="s">
        <v>5639</v>
      </c>
      <c r="H400" t="s">
        <v>1912</v>
      </c>
      <c r="I400" t="str">
        <f t="shared" si="34"/>
        <v>lresort</v>
      </c>
      <c r="J400" t="str">
        <f t="shared" si="35"/>
        <v>lresortserial</v>
      </c>
      <c r="K400" t="s">
        <v>1373</v>
      </c>
      <c r="L400" t="str">
        <f t="shared" si="33"/>
        <v>NGM-024 (MVS), NGH-024 (AES)</v>
      </c>
      <c r="M400" t="str">
        <f t="shared" si="33"/>
        <v>19920323 (MVS), 19920424 (AES)</v>
      </c>
      <c r="N400" t="str">
        <f t="shared" si="33"/>
        <v>ラストリゾート</v>
      </c>
      <c r="O400" t="str">
        <f t="shared" si="33"/>
        <v/>
      </c>
      <c r="P400" t="str">
        <f t="shared" si="33"/>
        <v/>
      </c>
      <c r="Q400" t="s">
        <v>6622</v>
      </c>
      <c r="S400" t="s">
        <v>46</v>
      </c>
      <c r="T400" t="str">
        <f t="shared" si="36"/>
        <v>lresortrelease</v>
      </c>
      <c r="U400" t="s">
        <v>218</v>
      </c>
      <c r="V400" t="str">
        <f t="shared" si="32"/>
        <v>MVS,AES</v>
      </c>
      <c r="W400" t="str">
        <f t="shared" si="32"/>
        <v>MVS,AES</v>
      </c>
      <c r="Y400" t="s">
        <v>45</v>
      </c>
      <c r="Z400" t="s">
        <v>44</v>
      </c>
      <c r="AB400" t="s">
        <v>43</v>
      </c>
      <c r="AC400" t="s">
        <v>42</v>
      </c>
      <c r="AD400" t="s">
        <v>41</v>
      </c>
      <c r="AE400" t="s">
        <v>15</v>
      </c>
      <c r="AG400" t="s">
        <v>40</v>
      </c>
      <c r="AH400" t="s">
        <v>6702</v>
      </c>
      <c r="AI400" t="s">
        <v>9</v>
      </c>
      <c r="AJ400" t="s">
        <v>92</v>
      </c>
      <c r="AK400" t="s">
        <v>6701</v>
      </c>
      <c r="AL400" t="s">
        <v>6700</v>
      </c>
    </row>
    <row r="401" spans="5:44" x14ac:dyDescent="0.25">
      <c r="I401" t="str">
        <f t="shared" si="34"/>
        <v>lresort</v>
      </c>
      <c r="J401" t="str">
        <f t="shared" si="35"/>
        <v>lresortrelease</v>
      </c>
      <c r="K401" t="s">
        <v>46</v>
      </c>
      <c r="L401" t="str">
        <f t="shared" si="33"/>
        <v>NGM-024 (MVS), NGH-024 (AES)</v>
      </c>
      <c r="M401" t="str">
        <f t="shared" si="33"/>
        <v>19920323 (MVS), 19920424 (AES)</v>
      </c>
      <c r="N401" t="str">
        <f t="shared" si="33"/>
        <v>ラストリゾート</v>
      </c>
      <c r="O401" t="str">
        <f t="shared" si="33"/>
        <v/>
      </c>
      <c r="P401" t="str">
        <f t="shared" si="33"/>
        <v/>
      </c>
      <c r="Q401" t="s">
        <v>6699</v>
      </c>
      <c r="T401" t="str">
        <f t="shared" si="36"/>
        <v/>
      </c>
      <c r="V401" t="str">
        <f t="shared" si="32"/>
        <v>MVS,AES</v>
      </c>
      <c r="W401" t="str">
        <f t="shared" si="32"/>
        <v>MVS,AES</v>
      </c>
      <c r="AB401" t="s">
        <v>34</v>
      </c>
      <c r="AE401" t="s">
        <v>33</v>
      </c>
      <c r="AH401" t="s">
        <v>6698</v>
      </c>
      <c r="AI401" t="s">
        <v>9</v>
      </c>
      <c r="AJ401" t="s">
        <v>27</v>
      </c>
      <c r="AK401" t="s">
        <v>6665</v>
      </c>
      <c r="AL401" t="s">
        <v>6664</v>
      </c>
    </row>
    <row r="402" spans="5:44" x14ac:dyDescent="0.25">
      <c r="I402" t="str">
        <f t="shared" si="34"/>
        <v>lresort</v>
      </c>
      <c r="J402" t="str">
        <f t="shared" si="35"/>
        <v>lresortalt_title</v>
      </c>
      <c r="K402" t="s">
        <v>1218</v>
      </c>
      <c r="L402" t="str">
        <f t="shared" si="33"/>
        <v>NGM-024 (MVS), NGH-024 (AES)</v>
      </c>
      <c r="M402" t="str">
        <f t="shared" si="33"/>
        <v>19920323 (MVS), 19920424 (AES)</v>
      </c>
      <c r="N402" t="str">
        <f t="shared" si="33"/>
        <v>ラストリゾート</v>
      </c>
      <c r="O402" t="str">
        <f t="shared" si="33"/>
        <v/>
      </c>
      <c r="P402" t="str">
        <f t="shared" si="33"/>
        <v/>
      </c>
      <c r="Q402" t="s">
        <v>6697</v>
      </c>
      <c r="T402" t="str">
        <f t="shared" si="36"/>
        <v/>
      </c>
      <c r="V402" t="str">
        <f t="shared" si="32"/>
        <v>MVS,AES</v>
      </c>
      <c r="W402" t="str">
        <f t="shared" si="32"/>
        <v>MVS,AES</v>
      </c>
      <c r="AB402" t="s">
        <v>29</v>
      </c>
      <c r="AE402" t="s">
        <v>27</v>
      </c>
      <c r="AH402" t="s">
        <v>6696</v>
      </c>
      <c r="AI402" t="s">
        <v>9</v>
      </c>
      <c r="AJ402" t="s">
        <v>27</v>
      </c>
      <c r="AK402" t="s">
        <v>6695</v>
      </c>
      <c r="AL402" t="s">
        <v>6694</v>
      </c>
    </row>
    <row r="403" spans="5:44" x14ac:dyDescent="0.25">
      <c r="I403" t="str">
        <f t="shared" si="34"/>
        <v>lresort</v>
      </c>
      <c r="J403" t="str">
        <f t="shared" si="35"/>
        <v/>
      </c>
      <c r="L403" t="str">
        <f t="shared" si="33"/>
        <v>NGM-024 (MVS), NGH-024 (AES)</v>
      </c>
      <c r="M403" t="str">
        <f t="shared" si="33"/>
        <v>19920323 (MVS), 19920424 (AES)</v>
      </c>
      <c r="N403" t="str">
        <f t="shared" si="33"/>
        <v>ラストリゾート</v>
      </c>
      <c r="O403" t="str">
        <f t="shared" si="33"/>
        <v/>
      </c>
      <c r="P403" t="str">
        <f t="shared" si="33"/>
        <v/>
      </c>
      <c r="S403" t="s">
        <v>36</v>
      </c>
      <c r="T403" t="str">
        <f t="shared" si="36"/>
        <v>lresortcompatibility</v>
      </c>
      <c r="U403" t="s">
        <v>218</v>
      </c>
      <c r="V403" t="str">
        <f t="shared" si="32"/>
        <v>MVS,AES</v>
      </c>
      <c r="W403" t="str">
        <f t="shared" si="32"/>
        <v>MVS,AES</v>
      </c>
      <c r="AB403" t="s">
        <v>24</v>
      </c>
      <c r="AE403" t="s">
        <v>3</v>
      </c>
      <c r="AH403" t="s">
        <v>6693</v>
      </c>
      <c r="AI403" t="s">
        <v>9</v>
      </c>
      <c r="AJ403" t="s">
        <v>15</v>
      </c>
      <c r="AK403" t="s">
        <v>6692</v>
      </c>
      <c r="AL403" t="s">
        <v>6691</v>
      </c>
    </row>
    <row r="404" spans="5:44" x14ac:dyDescent="0.25">
      <c r="I404" t="str">
        <f t="shared" si="34"/>
        <v>lresort</v>
      </c>
      <c r="J404" t="str">
        <f t="shared" si="35"/>
        <v/>
      </c>
      <c r="L404" t="str">
        <f t="shared" si="33"/>
        <v>NGM-024 (MVS), NGH-024 (AES)</v>
      </c>
      <c r="M404" t="str">
        <f t="shared" si="33"/>
        <v>19920323 (MVS), 19920424 (AES)</v>
      </c>
      <c r="N404" t="str">
        <f t="shared" si="33"/>
        <v>ラストリゾート</v>
      </c>
      <c r="O404" t="str">
        <f t="shared" si="33"/>
        <v/>
      </c>
      <c r="P404" t="str">
        <f t="shared" si="33"/>
        <v/>
      </c>
      <c r="T404" t="str">
        <f t="shared" si="36"/>
        <v/>
      </c>
      <c r="V404" t="str">
        <f t="shared" si="32"/>
        <v>MVS,AES</v>
      </c>
      <c r="W404" t="str">
        <f t="shared" si="32"/>
        <v>MVS,AES</v>
      </c>
      <c r="AH404" t="s">
        <v>6690</v>
      </c>
      <c r="AI404" t="s">
        <v>15</v>
      </c>
      <c r="AJ404" t="s">
        <v>15</v>
      </c>
      <c r="AK404" t="s">
        <v>6689</v>
      </c>
      <c r="AL404" t="s">
        <v>6688</v>
      </c>
    </row>
    <row r="405" spans="5:44" x14ac:dyDescent="0.25">
      <c r="I405" t="str">
        <f t="shared" si="34"/>
        <v>lresort</v>
      </c>
      <c r="J405" t="str">
        <f t="shared" si="35"/>
        <v/>
      </c>
      <c r="L405" t="str">
        <f t="shared" si="33"/>
        <v>NGM-024 (MVS), NGH-024 (AES)</v>
      </c>
      <c r="M405" t="str">
        <f t="shared" si="33"/>
        <v>19920323 (MVS), 19920424 (AES)</v>
      </c>
      <c r="N405" t="str">
        <f t="shared" si="33"/>
        <v>ラストリゾート</v>
      </c>
      <c r="O405" t="str">
        <f t="shared" si="33"/>
        <v/>
      </c>
      <c r="P405" t="str">
        <f t="shared" si="33"/>
        <v/>
      </c>
      <c r="T405" t="str">
        <f t="shared" si="36"/>
        <v/>
      </c>
      <c r="V405" t="str">
        <f t="shared" si="32"/>
        <v>MVS,AES</v>
      </c>
      <c r="W405" t="str">
        <f t="shared" si="32"/>
        <v>MVS,AES</v>
      </c>
      <c r="AB405" t="s">
        <v>12</v>
      </c>
      <c r="AE405" t="s">
        <v>377</v>
      </c>
      <c r="AG405" t="s">
        <v>6</v>
      </c>
      <c r="AH405" t="s">
        <v>6687</v>
      </c>
      <c r="AI405" t="s">
        <v>9</v>
      </c>
      <c r="AJ405" t="s">
        <v>15</v>
      </c>
      <c r="AK405" t="s">
        <v>6686</v>
      </c>
      <c r="AL405" t="s">
        <v>6685</v>
      </c>
    </row>
    <row r="406" spans="5:44" x14ac:dyDescent="0.25">
      <c r="I406" t="str">
        <f t="shared" si="34"/>
        <v>lresort</v>
      </c>
      <c r="J406" t="str">
        <f t="shared" si="35"/>
        <v/>
      </c>
      <c r="L406" t="str">
        <f t="shared" si="33"/>
        <v>NGM-024 (MVS), NGH-024 (AES)</v>
      </c>
      <c r="M406" t="str">
        <f t="shared" si="33"/>
        <v>19920323 (MVS), 19920424 (AES)</v>
      </c>
      <c r="N406" t="str">
        <f t="shared" si="33"/>
        <v>ラストリゾート</v>
      </c>
      <c r="O406" t="str">
        <f t="shared" si="33"/>
        <v/>
      </c>
      <c r="P406" t="str">
        <f t="shared" si="33"/>
        <v/>
      </c>
      <c r="T406" t="str">
        <f t="shared" si="36"/>
        <v/>
      </c>
      <c r="V406" t="str">
        <f t="shared" si="32"/>
        <v>MVS,AES</v>
      </c>
      <c r="W406" t="str">
        <f t="shared" si="32"/>
        <v>MVS,AES</v>
      </c>
      <c r="AG406" t="s">
        <v>6</v>
      </c>
      <c r="AH406" t="s">
        <v>6684</v>
      </c>
      <c r="AI406" t="s">
        <v>4</v>
      </c>
      <c r="AJ406" t="s">
        <v>15</v>
      </c>
      <c r="AK406" t="s">
        <v>6683</v>
      </c>
      <c r="AL406" t="s">
        <v>6682</v>
      </c>
    </row>
    <row r="407" spans="5:44" x14ac:dyDescent="0.25">
      <c r="I407" t="str">
        <f t="shared" si="34"/>
        <v>lresort</v>
      </c>
      <c r="J407" t="str">
        <f t="shared" si="35"/>
        <v/>
      </c>
      <c r="L407" t="str">
        <f t="shared" si="33"/>
        <v>NGM-024 (MVS), NGH-024 (AES)</v>
      </c>
      <c r="M407" t="str">
        <f t="shared" si="33"/>
        <v>19920323 (MVS), 19920424 (AES)</v>
      </c>
      <c r="N407" t="str">
        <f t="shared" si="33"/>
        <v>ラストリゾート</v>
      </c>
      <c r="O407" t="str">
        <f t="shared" si="33"/>
        <v/>
      </c>
      <c r="P407" t="str">
        <f t="shared" si="33"/>
        <v/>
      </c>
      <c r="T407" t="str">
        <f t="shared" si="36"/>
        <v/>
      </c>
      <c r="V407" t="str">
        <f t="shared" ref="V407:W470" si="37">IFERROR(VLOOKUP($I407&amp;V$1,$T:$AA,2,0),"")</f>
        <v>MVS,AES</v>
      </c>
      <c r="W407" t="str">
        <f t="shared" si="37"/>
        <v>MVS,AES</v>
      </c>
      <c r="AG407" t="s">
        <v>6</v>
      </c>
      <c r="AH407" t="s">
        <v>6681</v>
      </c>
      <c r="AI407" t="s">
        <v>3</v>
      </c>
      <c r="AJ407" t="s">
        <v>92</v>
      </c>
      <c r="AK407" t="s">
        <v>6680</v>
      </c>
      <c r="AL407" t="s">
        <v>6679</v>
      </c>
    </row>
    <row r="408" spans="5:44" x14ac:dyDescent="0.25">
      <c r="I408" t="str">
        <f t="shared" si="34"/>
        <v>lresort</v>
      </c>
      <c r="J408" t="str">
        <f t="shared" si="35"/>
        <v/>
      </c>
      <c r="L408" t="str">
        <f t="shared" si="33"/>
        <v>NGM-024 (MVS), NGH-024 (AES)</v>
      </c>
      <c r="M408" t="str">
        <f t="shared" si="33"/>
        <v>19920323 (MVS), 19920424 (AES)</v>
      </c>
      <c r="N408" t="str">
        <f t="shared" si="33"/>
        <v>ラストリゾート</v>
      </c>
      <c r="O408" t="str">
        <f t="shared" si="33"/>
        <v/>
      </c>
      <c r="P408" t="str">
        <f t="shared" si="33"/>
        <v/>
      </c>
      <c r="T408" t="str">
        <f t="shared" si="36"/>
        <v/>
      </c>
      <c r="V408" t="str">
        <f t="shared" si="37"/>
        <v>MVS,AES</v>
      </c>
      <c r="W408" t="str">
        <f t="shared" si="37"/>
        <v>MVS,AES</v>
      </c>
      <c r="AG408" t="s">
        <v>6</v>
      </c>
      <c r="AH408" t="s">
        <v>6678</v>
      </c>
      <c r="AI408" t="s">
        <v>4371</v>
      </c>
      <c r="AJ408" t="s">
        <v>92</v>
      </c>
      <c r="AK408" t="s">
        <v>6677</v>
      </c>
      <c r="AL408" t="s">
        <v>6676</v>
      </c>
    </row>
    <row r="409" spans="5:44" x14ac:dyDescent="0.25">
      <c r="E409" t="s">
        <v>6675</v>
      </c>
      <c r="F409" t="s">
        <v>6674</v>
      </c>
      <c r="G409" t="s">
        <v>5639</v>
      </c>
      <c r="H409" t="s">
        <v>1912</v>
      </c>
      <c r="I409" t="str">
        <f t="shared" si="34"/>
        <v>lresortp</v>
      </c>
      <c r="J409" t="str">
        <f t="shared" si="35"/>
        <v/>
      </c>
      <c r="L409" t="str">
        <f t="shared" si="33"/>
        <v/>
      </c>
      <c r="M409" t="str">
        <f t="shared" si="33"/>
        <v/>
      </c>
      <c r="N409" t="str">
        <f t="shared" si="33"/>
        <v/>
      </c>
      <c r="O409" t="str">
        <f t="shared" si="33"/>
        <v/>
      </c>
      <c r="P409" t="str">
        <f t="shared" si="33"/>
        <v/>
      </c>
      <c r="S409" t="s">
        <v>46</v>
      </c>
      <c r="T409" t="str">
        <f t="shared" si="36"/>
        <v>lresortprelease</v>
      </c>
      <c r="U409" t="s">
        <v>106</v>
      </c>
      <c r="V409" t="str">
        <f t="shared" si="37"/>
        <v>MVS</v>
      </c>
      <c r="W409" t="str">
        <f t="shared" si="37"/>
        <v>MVS,AES</v>
      </c>
      <c r="Y409" t="s">
        <v>45</v>
      </c>
      <c r="Z409" t="s">
        <v>44</v>
      </c>
      <c r="AB409" t="s">
        <v>43</v>
      </c>
      <c r="AC409" t="s">
        <v>42</v>
      </c>
      <c r="AD409" t="s">
        <v>41</v>
      </c>
      <c r="AE409" t="s">
        <v>15</v>
      </c>
      <c r="AG409" t="s">
        <v>6</v>
      </c>
      <c r="AH409" t="s">
        <v>6673</v>
      </c>
      <c r="AI409" t="s">
        <v>4</v>
      </c>
      <c r="AJ409" t="s">
        <v>92</v>
      </c>
      <c r="AK409" t="s">
        <v>6672</v>
      </c>
      <c r="AL409" t="s">
        <v>6671</v>
      </c>
      <c r="AR409" t="s">
        <v>6670</v>
      </c>
    </row>
    <row r="410" spans="5:44" x14ac:dyDescent="0.25">
      <c r="I410" t="str">
        <f t="shared" si="34"/>
        <v>lresortp</v>
      </c>
      <c r="J410" t="str">
        <f t="shared" si="35"/>
        <v/>
      </c>
      <c r="L410" t="str">
        <f t="shared" si="33"/>
        <v/>
      </c>
      <c r="M410" t="str">
        <f t="shared" si="33"/>
        <v/>
      </c>
      <c r="N410" t="str">
        <f t="shared" si="33"/>
        <v/>
      </c>
      <c r="O410" t="str">
        <f t="shared" si="33"/>
        <v/>
      </c>
      <c r="P410" t="str">
        <f t="shared" si="33"/>
        <v/>
      </c>
      <c r="S410" t="s">
        <v>36</v>
      </c>
      <c r="T410" t="str">
        <f t="shared" si="36"/>
        <v>lresortpcompatibility</v>
      </c>
      <c r="U410" t="s">
        <v>218</v>
      </c>
      <c r="V410" t="str">
        <f t="shared" si="37"/>
        <v>MVS</v>
      </c>
      <c r="W410" t="str">
        <f t="shared" si="37"/>
        <v>MVS,AES</v>
      </c>
      <c r="AG410" t="s">
        <v>6</v>
      </c>
      <c r="AH410" t="s">
        <v>6669</v>
      </c>
      <c r="AI410" t="s">
        <v>9</v>
      </c>
      <c r="AJ410" t="s">
        <v>92</v>
      </c>
      <c r="AK410" t="s">
        <v>6668</v>
      </c>
      <c r="AL410" t="s">
        <v>6667</v>
      </c>
    </row>
    <row r="411" spans="5:44" x14ac:dyDescent="0.25">
      <c r="I411" t="str">
        <f t="shared" si="34"/>
        <v>lresortp</v>
      </c>
      <c r="J411" t="str">
        <f t="shared" si="35"/>
        <v/>
      </c>
      <c r="L411" t="str">
        <f t="shared" si="33"/>
        <v/>
      </c>
      <c r="M411" t="str">
        <f t="shared" si="33"/>
        <v/>
      </c>
      <c r="N411" t="str">
        <f t="shared" si="33"/>
        <v/>
      </c>
      <c r="O411" t="str">
        <f t="shared" si="33"/>
        <v/>
      </c>
      <c r="P411" t="str">
        <f t="shared" si="33"/>
        <v/>
      </c>
      <c r="T411" t="str">
        <f t="shared" si="36"/>
        <v/>
      </c>
      <c r="V411" t="str">
        <f t="shared" si="37"/>
        <v>MVS</v>
      </c>
      <c r="W411" t="str">
        <f t="shared" si="37"/>
        <v>MVS,AES</v>
      </c>
      <c r="AB411" t="s">
        <v>34</v>
      </c>
      <c r="AE411" t="s">
        <v>33</v>
      </c>
      <c r="AH411" t="s">
        <v>6666</v>
      </c>
      <c r="AI411" t="s">
        <v>9</v>
      </c>
      <c r="AJ411" t="s">
        <v>27</v>
      </c>
      <c r="AK411" t="s">
        <v>6665</v>
      </c>
      <c r="AL411" t="s">
        <v>6664</v>
      </c>
    </row>
    <row r="412" spans="5:44" x14ac:dyDescent="0.25">
      <c r="I412" t="str">
        <f t="shared" si="34"/>
        <v>lresortp</v>
      </c>
      <c r="J412" t="str">
        <f t="shared" si="35"/>
        <v/>
      </c>
      <c r="L412" t="str">
        <f t="shared" si="33"/>
        <v/>
      </c>
      <c r="M412" t="str">
        <f t="shared" si="33"/>
        <v/>
      </c>
      <c r="N412" t="str">
        <f t="shared" si="33"/>
        <v/>
      </c>
      <c r="O412" t="str">
        <f t="shared" si="33"/>
        <v/>
      </c>
      <c r="P412" t="str">
        <f t="shared" si="33"/>
        <v/>
      </c>
      <c r="T412" t="str">
        <f t="shared" si="36"/>
        <v/>
      </c>
      <c r="V412" t="str">
        <f t="shared" si="37"/>
        <v>MVS</v>
      </c>
      <c r="W412" t="str">
        <f t="shared" si="37"/>
        <v>MVS,AES</v>
      </c>
      <c r="AB412" t="s">
        <v>29</v>
      </c>
      <c r="AE412" t="s">
        <v>27</v>
      </c>
      <c r="AH412" t="s">
        <v>6663</v>
      </c>
      <c r="AI412" t="s">
        <v>9</v>
      </c>
      <c r="AJ412" t="s">
        <v>27</v>
      </c>
      <c r="AK412" t="s">
        <v>6662</v>
      </c>
      <c r="AL412" t="s">
        <v>6661</v>
      </c>
    </row>
    <row r="413" spans="5:44" x14ac:dyDescent="0.25">
      <c r="I413" t="str">
        <f t="shared" si="34"/>
        <v>lresortp</v>
      </c>
      <c r="J413" t="str">
        <f t="shared" si="35"/>
        <v/>
      </c>
      <c r="L413" t="str">
        <f t="shared" si="33"/>
        <v/>
      </c>
      <c r="M413" t="str">
        <f t="shared" si="33"/>
        <v/>
      </c>
      <c r="N413" t="str">
        <f t="shared" si="33"/>
        <v/>
      </c>
      <c r="O413" t="str">
        <f t="shared" si="33"/>
        <v/>
      </c>
      <c r="P413" t="str">
        <f t="shared" si="33"/>
        <v/>
      </c>
      <c r="T413" t="str">
        <f t="shared" si="36"/>
        <v/>
      </c>
      <c r="V413" t="str">
        <f t="shared" si="37"/>
        <v>MVS</v>
      </c>
      <c r="W413" t="str">
        <f t="shared" si="37"/>
        <v>MVS,AES</v>
      </c>
      <c r="AB413" t="s">
        <v>24</v>
      </c>
      <c r="AE413" t="s">
        <v>3</v>
      </c>
      <c r="AH413" t="s">
        <v>6660</v>
      </c>
      <c r="AI413" t="s">
        <v>9</v>
      </c>
      <c r="AJ413" t="s">
        <v>92</v>
      </c>
      <c r="AK413" t="s">
        <v>6659</v>
      </c>
      <c r="AL413" t="s">
        <v>6658</v>
      </c>
    </row>
    <row r="414" spans="5:44" x14ac:dyDescent="0.25">
      <c r="I414" t="str">
        <f t="shared" si="34"/>
        <v>lresortp</v>
      </c>
      <c r="J414" t="str">
        <f t="shared" si="35"/>
        <v/>
      </c>
      <c r="L414" t="str">
        <f t="shared" si="33"/>
        <v/>
      </c>
      <c r="M414" t="str">
        <f t="shared" si="33"/>
        <v/>
      </c>
      <c r="N414" t="str">
        <f t="shared" si="33"/>
        <v/>
      </c>
      <c r="O414" t="str">
        <f t="shared" si="33"/>
        <v/>
      </c>
      <c r="P414" t="str">
        <f t="shared" si="33"/>
        <v/>
      </c>
      <c r="T414" t="str">
        <f t="shared" si="36"/>
        <v/>
      </c>
      <c r="V414" t="str">
        <f t="shared" si="37"/>
        <v>MVS</v>
      </c>
      <c r="W414" t="str">
        <f t="shared" si="37"/>
        <v>MVS,AES</v>
      </c>
      <c r="AH414" t="s">
        <v>6657</v>
      </c>
      <c r="AI414" t="s">
        <v>92</v>
      </c>
      <c r="AJ414" t="s">
        <v>92</v>
      </c>
      <c r="AK414" t="s">
        <v>6656</v>
      </c>
      <c r="AL414" t="s">
        <v>6655</v>
      </c>
    </row>
    <row r="415" spans="5:44" x14ac:dyDescent="0.25">
      <c r="I415" t="str">
        <f t="shared" si="34"/>
        <v>lresortp</v>
      </c>
      <c r="J415" t="str">
        <f t="shared" si="35"/>
        <v/>
      </c>
      <c r="L415" t="str">
        <f t="shared" si="33"/>
        <v/>
      </c>
      <c r="M415" t="str">
        <f t="shared" si="33"/>
        <v/>
      </c>
      <c r="N415" t="str">
        <f t="shared" si="33"/>
        <v/>
      </c>
      <c r="O415" t="str">
        <f t="shared" si="33"/>
        <v/>
      </c>
      <c r="P415" t="str">
        <f t="shared" si="33"/>
        <v/>
      </c>
      <c r="T415" t="str">
        <f t="shared" si="36"/>
        <v/>
      </c>
      <c r="V415" t="str">
        <f t="shared" si="37"/>
        <v>MVS</v>
      </c>
      <c r="W415" t="str">
        <f t="shared" si="37"/>
        <v>MVS,AES</v>
      </c>
      <c r="AH415" t="s">
        <v>6654</v>
      </c>
      <c r="AI415" t="s">
        <v>15</v>
      </c>
      <c r="AJ415" t="s">
        <v>92</v>
      </c>
      <c r="AK415" t="s">
        <v>6653</v>
      </c>
      <c r="AL415" t="s">
        <v>6652</v>
      </c>
    </row>
    <row r="416" spans="5:44" x14ac:dyDescent="0.25">
      <c r="I416" t="str">
        <f t="shared" si="34"/>
        <v>lresortp</v>
      </c>
      <c r="J416" t="str">
        <f t="shared" si="35"/>
        <v/>
      </c>
      <c r="L416" t="str">
        <f t="shared" si="33"/>
        <v/>
      </c>
      <c r="M416" t="str">
        <f t="shared" si="33"/>
        <v/>
      </c>
      <c r="N416" t="str">
        <f t="shared" si="33"/>
        <v/>
      </c>
      <c r="O416" t="str">
        <f t="shared" si="33"/>
        <v/>
      </c>
      <c r="P416" t="str">
        <f t="shared" si="33"/>
        <v/>
      </c>
      <c r="T416" t="str">
        <f t="shared" si="36"/>
        <v/>
      </c>
      <c r="V416" t="str">
        <f t="shared" si="37"/>
        <v>MVS</v>
      </c>
      <c r="W416" t="str">
        <f t="shared" si="37"/>
        <v>MVS,AES</v>
      </c>
      <c r="AH416" t="s">
        <v>6651</v>
      </c>
      <c r="AI416" t="s">
        <v>4502</v>
      </c>
      <c r="AJ416" t="s">
        <v>92</v>
      </c>
      <c r="AK416" t="s">
        <v>6650</v>
      </c>
      <c r="AL416" t="s">
        <v>6649</v>
      </c>
    </row>
    <row r="417" spans="5:38" x14ac:dyDescent="0.25">
      <c r="I417" t="str">
        <f t="shared" si="34"/>
        <v>lresortp</v>
      </c>
      <c r="J417" t="str">
        <f t="shared" si="35"/>
        <v/>
      </c>
      <c r="L417" t="str">
        <f t="shared" si="33"/>
        <v/>
      </c>
      <c r="M417" t="str">
        <f t="shared" si="33"/>
        <v/>
      </c>
      <c r="N417" t="str">
        <f t="shared" si="33"/>
        <v/>
      </c>
      <c r="O417" t="str">
        <f t="shared" si="33"/>
        <v/>
      </c>
      <c r="P417" t="str">
        <f t="shared" si="33"/>
        <v/>
      </c>
      <c r="T417" t="str">
        <f t="shared" si="36"/>
        <v/>
      </c>
      <c r="V417" t="str">
        <f t="shared" si="37"/>
        <v>MVS</v>
      </c>
      <c r="W417" t="str">
        <f t="shared" si="37"/>
        <v>MVS,AES</v>
      </c>
      <c r="AB417" t="s">
        <v>12</v>
      </c>
      <c r="AE417" t="s">
        <v>11</v>
      </c>
      <c r="AG417" t="s">
        <v>4354</v>
      </c>
      <c r="AH417" t="s">
        <v>6648</v>
      </c>
      <c r="AI417" t="s">
        <v>9</v>
      </c>
      <c r="AJ417" t="s">
        <v>92</v>
      </c>
      <c r="AK417" t="s">
        <v>6647</v>
      </c>
      <c r="AL417" t="s">
        <v>6646</v>
      </c>
    </row>
    <row r="418" spans="5:38" x14ac:dyDescent="0.25">
      <c r="I418" t="str">
        <f t="shared" si="34"/>
        <v>lresortp</v>
      </c>
      <c r="J418" t="str">
        <f t="shared" si="35"/>
        <v/>
      </c>
      <c r="L418" t="str">
        <f t="shared" si="33"/>
        <v/>
      </c>
      <c r="M418" t="str">
        <f t="shared" si="33"/>
        <v/>
      </c>
      <c r="N418" t="str">
        <f t="shared" si="33"/>
        <v/>
      </c>
      <c r="O418" t="str">
        <f t="shared" si="33"/>
        <v/>
      </c>
      <c r="P418" t="str">
        <f t="shared" si="33"/>
        <v/>
      </c>
      <c r="T418" t="str">
        <f t="shared" si="36"/>
        <v/>
      </c>
      <c r="V418" t="str">
        <f t="shared" si="37"/>
        <v>MVS</v>
      </c>
      <c r="W418" t="str">
        <f t="shared" si="37"/>
        <v>MVS,AES</v>
      </c>
      <c r="AG418" t="s">
        <v>4354</v>
      </c>
      <c r="AH418" t="s">
        <v>6645</v>
      </c>
      <c r="AI418" t="s">
        <v>1427</v>
      </c>
      <c r="AJ418" t="s">
        <v>92</v>
      </c>
      <c r="AK418" t="s">
        <v>6644</v>
      </c>
      <c r="AL418" t="s">
        <v>6643</v>
      </c>
    </row>
    <row r="419" spans="5:38" x14ac:dyDescent="0.25">
      <c r="I419" t="str">
        <f t="shared" si="34"/>
        <v>lresortp</v>
      </c>
      <c r="J419" t="str">
        <f t="shared" si="35"/>
        <v/>
      </c>
      <c r="L419" t="str">
        <f t="shared" si="33"/>
        <v/>
      </c>
      <c r="M419" t="str">
        <f t="shared" si="33"/>
        <v/>
      </c>
      <c r="N419" t="str">
        <f t="shared" si="33"/>
        <v/>
      </c>
      <c r="O419" t="str">
        <f t="shared" si="33"/>
        <v/>
      </c>
      <c r="P419" t="str">
        <f t="shared" si="33"/>
        <v/>
      </c>
      <c r="T419" t="str">
        <f t="shared" si="36"/>
        <v/>
      </c>
      <c r="V419" t="str">
        <f t="shared" si="37"/>
        <v>MVS</v>
      </c>
      <c r="W419" t="str">
        <f t="shared" si="37"/>
        <v>MVS,AES</v>
      </c>
      <c r="AG419" t="s">
        <v>4354</v>
      </c>
      <c r="AH419" t="s">
        <v>6642</v>
      </c>
      <c r="AI419" t="s">
        <v>4</v>
      </c>
      <c r="AJ419" t="s">
        <v>92</v>
      </c>
      <c r="AK419" t="s">
        <v>6641</v>
      </c>
      <c r="AL419" t="s">
        <v>6640</v>
      </c>
    </row>
    <row r="420" spans="5:38" x14ac:dyDescent="0.25">
      <c r="I420" t="str">
        <f t="shared" si="34"/>
        <v>lresortp</v>
      </c>
      <c r="J420" t="str">
        <f t="shared" si="35"/>
        <v/>
      </c>
      <c r="L420" t="str">
        <f t="shared" si="33"/>
        <v/>
      </c>
      <c r="M420" t="str">
        <f t="shared" si="33"/>
        <v/>
      </c>
      <c r="N420" t="str">
        <f t="shared" si="33"/>
        <v/>
      </c>
      <c r="O420" t="str">
        <f t="shared" si="33"/>
        <v/>
      </c>
      <c r="P420" t="str">
        <f t="shared" si="33"/>
        <v/>
      </c>
      <c r="T420" t="str">
        <f t="shared" si="36"/>
        <v/>
      </c>
      <c r="V420" t="str">
        <f t="shared" si="37"/>
        <v>MVS</v>
      </c>
      <c r="W420" t="str">
        <f t="shared" si="37"/>
        <v>MVS,AES</v>
      </c>
      <c r="AG420" t="s">
        <v>4354</v>
      </c>
      <c r="AH420" t="s">
        <v>6639</v>
      </c>
      <c r="AI420" t="s">
        <v>4382</v>
      </c>
      <c r="AJ420" t="s">
        <v>92</v>
      </c>
      <c r="AK420" t="s">
        <v>6638</v>
      </c>
      <c r="AL420" t="s">
        <v>6637</v>
      </c>
    </row>
    <row r="421" spans="5:38" x14ac:dyDescent="0.25">
      <c r="I421" t="str">
        <f t="shared" si="34"/>
        <v>lresortp</v>
      </c>
      <c r="J421" t="str">
        <f t="shared" si="35"/>
        <v/>
      </c>
      <c r="L421" t="str">
        <f t="shared" si="33"/>
        <v/>
      </c>
      <c r="M421" t="str">
        <f t="shared" si="33"/>
        <v/>
      </c>
      <c r="N421" t="str">
        <f t="shared" si="33"/>
        <v/>
      </c>
      <c r="O421" t="str">
        <f t="shared" si="33"/>
        <v/>
      </c>
      <c r="P421" t="str">
        <f t="shared" si="33"/>
        <v/>
      </c>
      <c r="T421" t="str">
        <f t="shared" si="36"/>
        <v/>
      </c>
      <c r="V421" t="str">
        <f t="shared" si="37"/>
        <v>MVS</v>
      </c>
      <c r="W421" t="str">
        <f t="shared" si="37"/>
        <v>MVS,AES</v>
      </c>
      <c r="AG421" t="s">
        <v>4354</v>
      </c>
      <c r="AH421" t="s">
        <v>6636</v>
      </c>
      <c r="AI421" t="s">
        <v>3</v>
      </c>
      <c r="AJ421" t="s">
        <v>92</v>
      </c>
      <c r="AK421" t="s">
        <v>6635</v>
      </c>
      <c r="AL421" t="s">
        <v>6634</v>
      </c>
    </row>
    <row r="422" spans="5:38" x14ac:dyDescent="0.25">
      <c r="I422" t="str">
        <f t="shared" si="34"/>
        <v>lresortp</v>
      </c>
      <c r="J422" t="str">
        <f t="shared" si="35"/>
        <v/>
      </c>
      <c r="L422" t="str">
        <f t="shared" si="33"/>
        <v/>
      </c>
      <c r="M422" t="str">
        <f t="shared" si="33"/>
        <v/>
      </c>
      <c r="N422" t="str">
        <f t="shared" si="33"/>
        <v/>
      </c>
      <c r="O422" t="str">
        <f t="shared" si="33"/>
        <v/>
      </c>
      <c r="P422" t="str">
        <f t="shared" si="33"/>
        <v/>
      </c>
      <c r="T422" t="str">
        <f t="shared" si="36"/>
        <v/>
      </c>
      <c r="V422" t="str">
        <f t="shared" si="37"/>
        <v>MVS</v>
      </c>
      <c r="W422" t="str">
        <f t="shared" si="37"/>
        <v>MVS,AES</v>
      </c>
      <c r="AG422" t="s">
        <v>4354</v>
      </c>
      <c r="AH422" t="s">
        <v>6633</v>
      </c>
      <c r="AI422" t="s">
        <v>4375</v>
      </c>
      <c r="AJ422" t="s">
        <v>92</v>
      </c>
      <c r="AK422" t="s">
        <v>6632</v>
      </c>
      <c r="AL422" t="s">
        <v>6631</v>
      </c>
    </row>
    <row r="423" spans="5:38" x14ac:dyDescent="0.25">
      <c r="I423" t="str">
        <f t="shared" si="34"/>
        <v>lresortp</v>
      </c>
      <c r="J423" t="str">
        <f t="shared" si="35"/>
        <v/>
      </c>
      <c r="L423" t="str">
        <f t="shared" ref="L423:P473" si="38">IFERROR(VLOOKUP($I423&amp;L$1,$J:$Q,8,0),"")</f>
        <v/>
      </c>
      <c r="M423" t="str">
        <f t="shared" si="38"/>
        <v/>
      </c>
      <c r="N423" t="str">
        <f t="shared" si="38"/>
        <v/>
      </c>
      <c r="O423" t="str">
        <f t="shared" si="38"/>
        <v/>
      </c>
      <c r="P423" t="str">
        <f t="shared" si="38"/>
        <v/>
      </c>
      <c r="T423" t="str">
        <f t="shared" si="36"/>
        <v/>
      </c>
      <c r="V423" t="str">
        <f t="shared" si="37"/>
        <v>MVS</v>
      </c>
      <c r="W423" t="str">
        <f t="shared" si="37"/>
        <v>MVS,AES</v>
      </c>
      <c r="AG423" t="s">
        <v>4354</v>
      </c>
      <c r="AH423" t="s">
        <v>6630</v>
      </c>
      <c r="AI423" t="s">
        <v>4371</v>
      </c>
      <c r="AJ423" t="s">
        <v>92</v>
      </c>
      <c r="AK423" t="s">
        <v>6629</v>
      </c>
      <c r="AL423" t="s">
        <v>6628</v>
      </c>
    </row>
    <row r="424" spans="5:38" x14ac:dyDescent="0.25">
      <c r="I424" t="str">
        <f t="shared" si="34"/>
        <v>lresortp</v>
      </c>
      <c r="J424" t="str">
        <f t="shared" si="35"/>
        <v/>
      </c>
      <c r="L424" t="str">
        <f t="shared" si="38"/>
        <v/>
      </c>
      <c r="M424" t="str">
        <f t="shared" si="38"/>
        <v/>
      </c>
      <c r="N424" t="str">
        <f t="shared" si="38"/>
        <v/>
      </c>
      <c r="O424" t="str">
        <f t="shared" si="38"/>
        <v/>
      </c>
      <c r="P424" t="str">
        <f t="shared" si="38"/>
        <v/>
      </c>
      <c r="T424" t="str">
        <f t="shared" si="36"/>
        <v/>
      </c>
      <c r="V424" t="str">
        <f t="shared" si="37"/>
        <v>MVS</v>
      </c>
      <c r="W424" t="str">
        <f t="shared" si="37"/>
        <v>MVS,AES</v>
      </c>
      <c r="AG424" t="s">
        <v>4354</v>
      </c>
      <c r="AH424" t="s">
        <v>6627</v>
      </c>
      <c r="AI424" t="s">
        <v>4367</v>
      </c>
      <c r="AJ424" t="s">
        <v>92</v>
      </c>
      <c r="AK424" t="s">
        <v>6626</v>
      </c>
      <c r="AL424" t="s">
        <v>6625</v>
      </c>
    </row>
    <row r="425" spans="5:38" x14ac:dyDescent="0.25">
      <c r="E425" t="s">
        <v>6624</v>
      </c>
      <c r="F425" t="s">
        <v>6623</v>
      </c>
      <c r="G425" t="s">
        <v>6279</v>
      </c>
      <c r="H425" t="s">
        <v>6518</v>
      </c>
      <c r="I425" t="str">
        <f t="shared" si="34"/>
        <v>eightman</v>
      </c>
      <c r="J425" t="str">
        <f t="shared" si="35"/>
        <v>eightmanserial</v>
      </c>
      <c r="K425" t="s">
        <v>1373</v>
      </c>
      <c r="L425" t="str">
        <f t="shared" si="38"/>
        <v>NGM-024 (MVS), NGH-024 (AES)</v>
      </c>
      <c r="M425" t="str">
        <f t="shared" si="38"/>
        <v>1991xxxx (MVS), 19911120 (AES)</v>
      </c>
      <c r="N425" t="str">
        <f t="shared" si="38"/>
        <v>8マン</v>
      </c>
      <c r="O425" t="str">
        <f t="shared" si="38"/>
        <v/>
      </c>
      <c r="P425" t="str">
        <f t="shared" si="38"/>
        <v/>
      </c>
      <c r="Q425" t="s">
        <v>6622</v>
      </c>
      <c r="S425" t="s">
        <v>46</v>
      </c>
      <c r="T425" t="str">
        <f t="shared" si="36"/>
        <v>eightmanrelease</v>
      </c>
      <c r="U425" t="s">
        <v>218</v>
      </c>
      <c r="V425" t="str">
        <f t="shared" si="37"/>
        <v>MVS,AES</v>
      </c>
      <c r="W425" t="str">
        <f t="shared" si="37"/>
        <v>MVS,AES</v>
      </c>
      <c r="Y425" t="s">
        <v>45</v>
      </c>
      <c r="Z425" t="s">
        <v>44</v>
      </c>
      <c r="AB425" t="s">
        <v>43</v>
      </c>
      <c r="AC425" t="s">
        <v>42</v>
      </c>
      <c r="AD425" t="s">
        <v>41</v>
      </c>
      <c r="AE425" t="s">
        <v>15</v>
      </c>
      <c r="AG425" t="s">
        <v>40</v>
      </c>
      <c r="AH425" t="s">
        <v>6621</v>
      </c>
      <c r="AI425" t="s">
        <v>9</v>
      </c>
      <c r="AJ425" t="s">
        <v>92</v>
      </c>
      <c r="AK425" t="s">
        <v>6620</v>
      </c>
      <c r="AL425" t="s">
        <v>6619</v>
      </c>
    </row>
    <row r="426" spans="5:38" x14ac:dyDescent="0.25">
      <c r="I426" t="str">
        <f t="shared" si="34"/>
        <v>eightman</v>
      </c>
      <c r="J426" t="str">
        <f t="shared" si="35"/>
        <v>eightmanrelease</v>
      </c>
      <c r="K426" t="s">
        <v>46</v>
      </c>
      <c r="L426" t="str">
        <f t="shared" si="38"/>
        <v>NGM-024 (MVS), NGH-024 (AES)</v>
      </c>
      <c r="M426" t="str">
        <f t="shared" si="38"/>
        <v>1991xxxx (MVS), 19911120 (AES)</v>
      </c>
      <c r="N426" t="str">
        <f t="shared" si="38"/>
        <v>8マン</v>
      </c>
      <c r="O426" t="str">
        <f t="shared" si="38"/>
        <v/>
      </c>
      <c r="P426" t="str">
        <f t="shared" si="38"/>
        <v/>
      </c>
      <c r="Q426" t="s">
        <v>6618</v>
      </c>
      <c r="T426" t="str">
        <f t="shared" si="36"/>
        <v/>
      </c>
      <c r="V426" t="str">
        <f t="shared" si="37"/>
        <v>MVS,AES</v>
      </c>
      <c r="W426" t="str">
        <f t="shared" si="37"/>
        <v>MVS,AES</v>
      </c>
      <c r="AB426" t="s">
        <v>34</v>
      </c>
      <c r="AE426" t="s">
        <v>33</v>
      </c>
      <c r="AH426" t="s">
        <v>6617</v>
      </c>
      <c r="AI426" t="s">
        <v>9</v>
      </c>
      <c r="AJ426" t="s">
        <v>27</v>
      </c>
      <c r="AK426" t="s">
        <v>6616</v>
      </c>
      <c r="AL426" t="s">
        <v>6615</v>
      </c>
    </row>
    <row r="427" spans="5:38" x14ac:dyDescent="0.25">
      <c r="I427" t="str">
        <f t="shared" si="34"/>
        <v>eightman</v>
      </c>
      <c r="J427" t="str">
        <f t="shared" si="35"/>
        <v>eightmanalt_title</v>
      </c>
      <c r="K427" t="s">
        <v>1218</v>
      </c>
      <c r="L427" t="str">
        <f t="shared" si="38"/>
        <v>NGM-024 (MVS), NGH-024 (AES)</v>
      </c>
      <c r="M427" t="str">
        <f t="shared" si="38"/>
        <v>1991xxxx (MVS), 19911120 (AES)</v>
      </c>
      <c r="N427" t="str">
        <f t="shared" si="38"/>
        <v>8マン</v>
      </c>
      <c r="O427" t="str">
        <f t="shared" si="38"/>
        <v/>
      </c>
      <c r="P427" t="str">
        <f t="shared" si="38"/>
        <v/>
      </c>
      <c r="Q427" t="s">
        <v>6614</v>
      </c>
      <c r="T427" t="str">
        <f t="shared" si="36"/>
        <v/>
      </c>
      <c r="V427" t="str">
        <f t="shared" si="37"/>
        <v>MVS,AES</v>
      </c>
      <c r="W427" t="str">
        <f t="shared" si="37"/>
        <v>MVS,AES</v>
      </c>
      <c r="AB427" t="s">
        <v>29</v>
      </c>
      <c r="AE427" t="s">
        <v>27</v>
      </c>
      <c r="AH427" t="s">
        <v>6613</v>
      </c>
      <c r="AI427" t="s">
        <v>9</v>
      </c>
      <c r="AJ427" t="s">
        <v>27</v>
      </c>
      <c r="AK427" t="s">
        <v>6612</v>
      </c>
      <c r="AL427" t="s">
        <v>6611</v>
      </c>
    </row>
    <row r="428" spans="5:38" x14ac:dyDescent="0.25">
      <c r="I428" t="str">
        <f t="shared" si="34"/>
        <v>eightman</v>
      </c>
      <c r="J428" t="str">
        <f t="shared" si="35"/>
        <v/>
      </c>
      <c r="L428" t="str">
        <f t="shared" si="38"/>
        <v>NGM-024 (MVS), NGH-024 (AES)</v>
      </c>
      <c r="M428" t="str">
        <f t="shared" si="38"/>
        <v>1991xxxx (MVS), 19911120 (AES)</v>
      </c>
      <c r="N428" t="str">
        <f t="shared" si="38"/>
        <v>8マン</v>
      </c>
      <c r="O428" t="str">
        <f t="shared" si="38"/>
        <v/>
      </c>
      <c r="P428" t="str">
        <f t="shared" si="38"/>
        <v/>
      </c>
      <c r="S428" t="s">
        <v>36</v>
      </c>
      <c r="T428" t="str">
        <f t="shared" si="36"/>
        <v>eightmancompatibility</v>
      </c>
      <c r="U428" t="s">
        <v>218</v>
      </c>
      <c r="V428" t="str">
        <f t="shared" si="37"/>
        <v>MVS,AES</v>
      </c>
      <c r="W428" t="str">
        <f t="shared" si="37"/>
        <v>MVS,AES</v>
      </c>
      <c r="AB428" t="s">
        <v>24</v>
      </c>
      <c r="AE428" t="s">
        <v>3</v>
      </c>
      <c r="AH428" t="s">
        <v>6610</v>
      </c>
      <c r="AI428" t="s">
        <v>9</v>
      </c>
      <c r="AJ428" t="s">
        <v>15</v>
      </c>
      <c r="AK428" t="s">
        <v>6609</v>
      </c>
      <c r="AL428" t="s">
        <v>6608</v>
      </c>
    </row>
    <row r="429" spans="5:38" x14ac:dyDescent="0.25">
      <c r="I429" t="str">
        <f t="shared" si="34"/>
        <v>eightman</v>
      </c>
      <c r="J429" t="str">
        <f t="shared" si="35"/>
        <v/>
      </c>
      <c r="L429" t="str">
        <f t="shared" si="38"/>
        <v>NGM-024 (MVS), NGH-024 (AES)</v>
      </c>
      <c r="M429" t="str">
        <f t="shared" si="38"/>
        <v>1991xxxx (MVS), 19911120 (AES)</v>
      </c>
      <c r="N429" t="str">
        <f t="shared" si="38"/>
        <v>8マン</v>
      </c>
      <c r="O429" t="str">
        <f t="shared" si="38"/>
        <v/>
      </c>
      <c r="P429" t="str">
        <f t="shared" si="38"/>
        <v/>
      </c>
      <c r="T429" t="str">
        <f t="shared" si="36"/>
        <v/>
      </c>
      <c r="V429" t="str">
        <f t="shared" si="37"/>
        <v>MVS,AES</v>
      </c>
      <c r="W429" t="str">
        <f t="shared" si="37"/>
        <v>MVS,AES</v>
      </c>
      <c r="AH429" t="s">
        <v>6607</v>
      </c>
      <c r="AI429" t="s">
        <v>15</v>
      </c>
      <c r="AJ429" t="s">
        <v>15</v>
      </c>
      <c r="AK429" t="s">
        <v>6606</v>
      </c>
      <c r="AL429" t="s">
        <v>6605</v>
      </c>
    </row>
    <row r="430" spans="5:38" x14ac:dyDescent="0.25">
      <c r="I430" t="str">
        <f t="shared" si="34"/>
        <v>eightman</v>
      </c>
      <c r="J430" t="str">
        <f t="shared" si="35"/>
        <v/>
      </c>
      <c r="L430" t="str">
        <f t="shared" si="38"/>
        <v>NGM-024 (MVS), NGH-024 (AES)</v>
      </c>
      <c r="M430" t="str">
        <f t="shared" si="38"/>
        <v>1991xxxx (MVS), 19911120 (AES)</v>
      </c>
      <c r="N430" t="str">
        <f t="shared" si="38"/>
        <v>8マン</v>
      </c>
      <c r="O430" t="str">
        <f t="shared" si="38"/>
        <v/>
      </c>
      <c r="P430" t="str">
        <f t="shared" si="38"/>
        <v/>
      </c>
      <c r="T430" t="str">
        <f t="shared" si="36"/>
        <v/>
      </c>
      <c r="V430" t="str">
        <f t="shared" si="37"/>
        <v>MVS,AES</v>
      </c>
      <c r="W430" t="str">
        <f t="shared" si="37"/>
        <v>MVS,AES</v>
      </c>
      <c r="AB430" t="s">
        <v>12</v>
      </c>
      <c r="AE430" t="s">
        <v>377</v>
      </c>
      <c r="AG430" t="s">
        <v>6</v>
      </c>
      <c r="AH430" t="s">
        <v>6604</v>
      </c>
      <c r="AI430" t="s">
        <v>9</v>
      </c>
      <c r="AJ430" t="s">
        <v>15</v>
      </c>
      <c r="AK430" t="s">
        <v>6603</v>
      </c>
      <c r="AL430" t="s">
        <v>6602</v>
      </c>
    </row>
    <row r="431" spans="5:38" x14ac:dyDescent="0.25">
      <c r="I431" t="str">
        <f t="shared" si="34"/>
        <v>eightman</v>
      </c>
      <c r="J431" t="str">
        <f t="shared" si="35"/>
        <v/>
      </c>
      <c r="L431" t="str">
        <f t="shared" si="38"/>
        <v>NGM-024 (MVS), NGH-024 (AES)</v>
      </c>
      <c r="M431" t="str">
        <f t="shared" si="38"/>
        <v>1991xxxx (MVS), 19911120 (AES)</v>
      </c>
      <c r="N431" t="str">
        <f t="shared" si="38"/>
        <v>8マン</v>
      </c>
      <c r="O431" t="str">
        <f t="shared" si="38"/>
        <v/>
      </c>
      <c r="P431" t="str">
        <f t="shared" si="38"/>
        <v/>
      </c>
      <c r="T431" t="str">
        <f t="shared" si="36"/>
        <v/>
      </c>
      <c r="V431" t="str">
        <f t="shared" si="37"/>
        <v>MVS,AES</v>
      </c>
      <c r="W431" t="str">
        <f t="shared" si="37"/>
        <v>MVS,AES</v>
      </c>
      <c r="AG431" t="s">
        <v>6</v>
      </c>
      <c r="AH431" t="s">
        <v>6601</v>
      </c>
      <c r="AI431" t="s">
        <v>4</v>
      </c>
      <c r="AJ431" t="s">
        <v>15</v>
      </c>
      <c r="AK431" t="s">
        <v>6600</v>
      </c>
      <c r="AL431" t="s">
        <v>6599</v>
      </c>
    </row>
    <row r="432" spans="5:38" x14ac:dyDescent="0.25">
      <c r="I432" t="str">
        <f t="shared" si="34"/>
        <v>eightman</v>
      </c>
      <c r="J432" t="str">
        <f t="shared" si="35"/>
        <v/>
      </c>
      <c r="L432" t="str">
        <f t="shared" si="38"/>
        <v>NGM-024 (MVS), NGH-024 (AES)</v>
      </c>
      <c r="M432" t="str">
        <f t="shared" si="38"/>
        <v>1991xxxx (MVS), 19911120 (AES)</v>
      </c>
      <c r="N432" t="str">
        <f t="shared" si="38"/>
        <v>8マン</v>
      </c>
      <c r="O432" t="str">
        <f t="shared" si="38"/>
        <v/>
      </c>
      <c r="P432" t="str">
        <f t="shared" si="38"/>
        <v/>
      </c>
      <c r="T432" t="str">
        <f t="shared" si="36"/>
        <v/>
      </c>
      <c r="V432" t="str">
        <f t="shared" si="37"/>
        <v>MVS,AES</v>
      </c>
      <c r="W432" t="str">
        <f t="shared" si="37"/>
        <v>MVS,AES</v>
      </c>
      <c r="AG432" t="s">
        <v>6</v>
      </c>
      <c r="AH432" t="s">
        <v>6598</v>
      </c>
      <c r="AI432" t="s">
        <v>3</v>
      </c>
      <c r="AJ432" t="s">
        <v>92</v>
      </c>
      <c r="AK432" t="s">
        <v>6597</v>
      </c>
      <c r="AL432" t="s">
        <v>6596</v>
      </c>
    </row>
    <row r="433" spans="5:38" x14ac:dyDescent="0.25">
      <c r="I433" t="str">
        <f t="shared" si="34"/>
        <v>eightman</v>
      </c>
      <c r="J433" t="str">
        <f t="shared" si="35"/>
        <v/>
      </c>
      <c r="L433" t="str">
        <f t="shared" si="38"/>
        <v>NGM-024 (MVS), NGH-024 (AES)</v>
      </c>
      <c r="M433" t="str">
        <f t="shared" si="38"/>
        <v>1991xxxx (MVS), 19911120 (AES)</v>
      </c>
      <c r="N433" t="str">
        <f t="shared" si="38"/>
        <v>8マン</v>
      </c>
      <c r="O433" t="str">
        <f t="shared" si="38"/>
        <v/>
      </c>
      <c r="P433" t="str">
        <f t="shared" si="38"/>
        <v/>
      </c>
      <c r="T433" t="str">
        <f t="shared" si="36"/>
        <v/>
      </c>
      <c r="V433" t="str">
        <f t="shared" si="37"/>
        <v>MVS,AES</v>
      </c>
      <c r="W433" t="str">
        <f t="shared" si="37"/>
        <v>MVS,AES</v>
      </c>
      <c r="AG433" t="s">
        <v>6</v>
      </c>
      <c r="AH433" t="s">
        <v>6595</v>
      </c>
      <c r="AI433" t="s">
        <v>4371</v>
      </c>
      <c r="AJ433" t="s">
        <v>92</v>
      </c>
      <c r="AK433" t="s">
        <v>6594</v>
      </c>
      <c r="AL433" t="s">
        <v>6593</v>
      </c>
    </row>
    <row r="434" spans="5:38" x14ac:dyDescent="0.25">
      <c r="E434" t="s">
        <v>6592</v>
      </c>
      <c r="F434" t="s">
        <v>6591</v>
      </c>
      <c r="G434" t="s">
        <v>3906</v>
      </c>
      <c r="H434" t="s">
        <v>6341</v>
      </c>
      <c r="I434" t="str">
        <f t="shared" si="34"/>
        <v>minasan</v>
      </c>
      <c r="J434" t="str">
        <f t="shared" si="35"/>
        <v>minasanserial</v>
      </c>
      <c r="K434" t="s">
        <v>1373</v>
      </c>
      <c r="L434" t="str">
        <f t="shared" si="38"/>
        <v>NGM-027 / MOM-001 (MVS), NGH-027 / MOH-001 (AES)</v>
      </c>
      <c r="M434" t="str">
        <f t="shared" si="38"/>
        <v>199107xx (MVS), 19910701 (AES)</v>
      </c>
      <c r="N434" t="str">
        <f t="shared" si="38"/>
        <v>みなさんのおかげさまです！ 大スゴロク大会</v>
      </c>
      <c r="O434" t="str">
        <f t="shared" si="38"/>
        <v/>
      </c>
      <c r="P434" t="str">
        <f t="shared" si="38"/>
        <v/>
      </c>
      <c r="Q434" t="s">
        <v>6590</v>
      </c>
      <c r="S434" t="s">
        <v>46</v>
      </c>
      <c r="T434" t="str">
        <f t="shared" si="36"/>
        <v>minasanrelease</v>
      </c>
      <c r="U434" t="s">
        <v>218</v>
      </c>
      <c r="V434" t="str">
        <f t="shared" si="37"/>
        <v>MVS,AES</v>
      </c>
      <c r="W434" t="str">
        <f t="shared" si="37"/>
        <v>MVS,AES</v>
      </c>
      <c r="Y434" t="s">
        <v>45</v>
      </c>
      <c r="Z434" t="s">
        <v>44</v>
      </c>
      <c r="AB434" t="s">
        <v>43</v>
      </c>
      <c r="AC434" t="s">
        <v>42</v>
      </c>
      <c r="AD434" t="s">
        <v>41</v>
      </c>
      <c r="AE434" t="s">
        <v>15</v>
      </c>
      <c r="AG434" t="s">
        <v>40</v>
      </c>
      <c r="AH434" t="s">
        <v>6589</v>
      </c>
      <c r="AI434" t="s">
        <v>9</v>
      </c>
      <c r="AJ434" t="s">
        <v>92</v>
      </c>
      <c r="AK434" t="s">
        <v>6588</v>
      </c>
      <c r="AL434" t="s">
        <v>6587</v>
      </c>
    </row>
    <row r="435" spans="5:38" x14ac:dyDescent="0.25">
      <c r="I435" t="str">
        <f t="shared" si="34"/>
        <v>minasan</v>
      </c>
      <c r="J435" t="str">
        <f t="shared" si="35"/>
        <v>minasanrelease</v>
      </c>
      <c r="K435" t="s">
        <v>46</v>
      </c>
      <c r="L435" t="str">
        <f t="shared" si="38"/>
        <v>NGM-027 / MOM-001 (MVS), NGH-027 / MOH-001 (AES)</v>
      </c>
      <c r="M435" t="str">
        <f t="shared" si="38"/>
        <v>199107xx (MVS), 19910701 (AES)</v>
      </c>
      <c r="N435" t="str">
        <f t="shared" si="38"/>
        <v>みなさんのおかげさまです！ 大スゴロク大会</v>
      </c>
      <c r="O435" t="str">
        <f t="shared" si="38"/>
        <v/>
      </c>
      <c r="P435" t="str">
        <f t="shared" si="38"/>
        <v/>
      </c>
      <c r="Q435" t="s">
        <v>6586</v>
      </c>
      <c r="T435" t="str">
        <f t="shared" si="36"/>
        <v/>
      </c>
      <c r="V435" t="str">
        <f t="shared" si="37"/>
        <v>MVS,AES</v>
      </c>
      <c r="W435" t="str">
        <f t="shared" si="37"/>
        <v>MVS,AES</v>
      </c>
      <c r="AB435" t="s">
        <v>34</v>
      </c>
      <c r="AE435" t="s">
        <v>33</v>
      </c>
      <c r="AH435" t="s">
        <v>6585</v>
      </c>
      <c r="AI435" t="s">
        <v>9</v>
      </c>
      <c r="AJ435" t="s">
        <v>27</v>
      </c>
      <c r="AK435" t="s">
        <v>6584</v>
      </c>
      <c r="AL435" t="s">
        <v>6583</v>
      </c>
    </row>
    <row r="436" spans="5:38" x14ac:dyDescent="0.25">
      <c r="I436" t="str">
        <f t="shared" si="34"/>
        <v>minasan</v>
      </c>
      <c r="J436" t="str">
        <f t="shared" si="35"/>
        <v>minasanalt_title</v>
      </c>
      <c r="K436" t="s">
        <v>1218</v>
      </c>
      <c r="L436" t="str">
        <f t="shared" si="38"/>
        <v>NGM-027 / MOM-001 (MVS), NGH-027 / MOH-001 (AES)</v>
      </c>
      <c r="M436" t="str">
        <f t="shared" si="38"/>
        <v>199107xx (MVS), 19910701 (AES)</v>
      </c>
      <c r="N436" t="str">
        <f t="shared" si="38"/>
        <v>みなさんのおかげさまです！ 大スゴロク大会</v>
      </c>
      <c r="O436" t="str">
        <f t="shared" si="38"/>
        <v/>
      </c>
      <c r="P436" t="str">
        <f t="shared" si="38"/>
        <v/>
      </c>
      <c r="Q436" t="s">
        <v>6582</v>
      </c>
      <c r="T436" t="str">
        <f t="shared" si="36"/>
        <v/>
      </c>
      <c r="V436" t="str">
        <f t="shared" si="37"/>
        <v>MVS,AES</v>
      </c>
      <c r="W436" t="str">
        <f t="shared" si="37"/>
        <v>MVS,AES</v>
      </c>
      <c r="AB436" t="s">
        <v>29</v>
      </c>
      <c r="AE436" t="s">
        <v>27</v>
      </c>
      <c r="AH436" t="s">
        <v>6581</v>
      </c>
      <c r="AI436" t="s">
        <v>9</v>
      </c>
      <c r="AJ436" t="s">
        <v>27</v>
      </c>
      <c r="AK436" t="s">
        <v>6580</v>
      </c>
      <c r="AL436" t="s">
        <v>6579</v>
      </c>
    </row>
    <row r="437" spans="5:38" x14ac:dyDescent="0.25">
      <c r="I437" t="str">
        <f t="shared" si="34"/>
        <v>minasan</v>
      </c>
      <c r="J437" t="str">
        <f t="shared" si="35"/>
        <v/>
      </c>
      <c r="L437" t="str">
        <f t="shared" si="38"/>
        <v>NGM-027 / MOM-001 (MVS), NGH-027 / MOH-001 (AES)</v>
      </c>
      <c r="M437" t="str">
        <f t="shared" si="38"/>
        <v>199107xx (MVS), 19910701 (AES)</v>
      </c>
      <c r="N437" t="str">
        <f t="shared" si="38"/>
        <v>みなさんのおかげさまです！ 大スゴロク大会</v>
      </c>
      <c r="O437" t="str">
        <f t="shared" si="38"/>
        <v/>
      </c>
      <c r="P437" t="str">
        <f t="shared" si="38"/>
        <v/>
      </c>
      <c r="S437" t="s">
        <v>36</v>
      </c>
      <c r="T437" t="str">
        <f t="shared" si="36"/>
        <v>minasancompatibility</v>
      </c>
      <c r="U437" t="s">
        <v>218</v>
      </c>
      <c r="V437" t="str">
        <f t="shared" si="37"/>
        <v>MVS,AES</v>
      </c>
      <c r="W437" t="str">
        <f t="shared" si="37"/>
        <v>MVS,AES</v>
      </c>
      <c r="AB437" t="s">
        <v>24</v>
      </c>
      <c r="AE437" t="s">
        <v>15</v>
      </c>
      <c r="AH437" t="s">
        <v>6578</v>
      </c>
      <c r="AI437" t="s">
        <v>9</v>
      </c>
      <c r="AJ437" t="s">
        <v>15</v>
      </c>
      <c r="AK437" t="s">
        <v>6577</v>
      </c>
      <c r="AL437" t="s">
        <v>6576</v>
      </c>
    </row>
    <row r="438" spans="5:38" x14ac:dyDescent="0.25">
      <c r="I438" t="str">
        <f t="shared" si="34"/>
        <v>minasan</v>
      </c>
      <c r="J438" t="str">
        <f t="shared" si="35"/>
        <v/>
      </c>
      <c r="L438" t="str">
        <f t="shared" si="38"/>
        <v>NGM-027 / MOM-001 (MVS), NGH-027 / MOH-001 (AES)</v>
      </c>
      <c r="M438" t="str">
        <f t="shared" si="38"/>
        <v>199107xx (MVS), 19910701 (AES)</v>
      </c>
      <c r="N438" t="str">
        <f t="shared" si="38"/>
        <v>みなさんのおかげさまです！ 大スゴロク大会</v>
      </c>
      <c r="O438" t="str">
        <f t="shared" si="38"/>
        <v/>
      </c>
      <c r="P438" t="str">
        <f t="shared" si="38"/>
        <v/>
      </c>
      <c r="T438" t="str">
        <f t="shared" si="36"/>
        <v/>
      </c>
      <c r="V438" t="str">
        <f t="shared" si="37"/>
        <v>MVS,AES</v>
      </c>
      <c r="W438" t="str">
        <f t="shared" si="37"/>
        <v>MVS,AES</v>
      </c>
      <c r="AB438" t="s">
        <v>6575</v>
      </c>
      <c r="AE438" t="s">
        <v>15</v>
      </c>
      <c r="AH438" t="s">
        <v>6574</v>
      </c>
      <c r="AI438" t="s">
        <v>9</v>
      </c>
      <c r="AJ438" t="s">
        <v>15</v>
      </c>
      <c r="AK438" t="s">
        <v>6573</v>
      </c>
      <c r="AL438" t="s">
        <v>6572</v>
      </c>
    </row>
    <row r="439" spans="5:38" x14ac:dyDescent="0.25">
      <c r="I439" t="str">
        <f t="shared" si="34"/>
        <v>minasan</v>
      </c>
      <c r="J439" t="str">
        <f t="shared" si="35"/>
        <v/>
      </c>
      <c r="L439" t="str">
        <f t="shared" si="38"/>
        <v>NGM-027 / MOM-001 (MVS), NGH-027 / MOH-001 (AES)</v>
      </c>
      <c r="M439" t="str">
        <f t="shared" si="38"/>
        <v>199107xx (MVS), 19910701 (AES)</v>
      </c>
      <c r="N439" t="str">
        <f t="shared" si="38"/>
        <v>みなさんのおかげさまです！ 大スゴロク大会</v>
      </c>
      <c r="O439" t="str">
        <f t="shared" si="38"/>
        <v/>
      </c>
      <c r="P439" t="str">
        <f t="shared" si="38"/>
        <v/>
      </c>
      <c r="T439" t="str">
        <f t="shared" si="36"/>
        <v/>
      </c>
      <c r="V439" t="str">
        <f t="shared" si="37"/>
        <v>MVS,AES</v>
      </c>
      <c r="W439" t="str">
        <f t="shared" si="37"/>
        <v>MVS,AES</v>
      </c>
      <c r="AB439" t="s">
        <v>12</v>
      </c>
      <c r="AE439" t="s">
        <v>11</v>
      </c>
      <c r="AG439" t="s">
        <v>6</v>
      </c>
      <c r="AH439" t="s">
        <v>6571</v>
      </c>
      <c r="AI439" t="s">
        <v>9</v>
      </c>
      <c r="AJ439" t="s">
        <v>15</v>
      </c>
      <c r="AK439" t="s">
        <v>6570</v>
      </c>
      <c r="AL439" t="s">
        <v>6569</v>
      </c>
    </row>
    <row r="440" spans="5:38" x14ac:dyDescent="0.25">
      <c r="I440" t="str">
        <f t="shared" si="34"/>
        <v>minasan</v>
      </c>
      <c r="J440" t="str">
        <f t="shared" si="35"/>
        <v/>
      </c>
      <c r="L440" t="str">
        <f t="shared" si="38"/>
        <v>NGM-027 / MOM-001 (MVS), NGH-027 / MOH-001 (AES)</v>
      </c>
      <c r="M440" t="str">
        <f t="shared" si="38"/>
        <v>199107xx (MVS), 19910701 (AES)</v>
      </c>
      <c r="N440" t="str">
        <f t="shared" si="38"/>
        <v>みなさんのおかげさまです！ 大スゴロク大会</v>
      </c>
      <c r="O440" t="str">
        <f t="shared" si="38"/>
        <v/>
      </c>
      <c r="P440" t="str">
        <f t="shared" si="38"/>
        <v/>
      </c>
      <c r="T440" t="str">
        <f t="shared" si="36"/>
        <v/>
      </c>
      <c r="V440" t="str">
        <f t="shared" si="37"/>
        <v>MVS,AES</v>
      </c>
      <c r="W440" t="str">
        <f t="shared" si="37"/>
        <v>MVS,AES</v>
      </c>
      <c r="AG440" t="s">
        <v>6</v>
      </c>
      <c r="AH440" t="s">
        <v>6568</v>
      </c>
      <c r="AI440" t="s">
        <v>4</v>
      </c>
      <c r="AJ440" t="s">
        <v>15</v>
      </c>
      <c r="AK440" t="s">
        <v>6567</v>
      </c>
      <c r="AL440" t="s">
        <v>6566</v>
      </c>
    </row>
    <row r="441" spans="5:38" x14ac:dyDescent="0.25">
      <c r="I441" t="str">
        <f t="shared" si="34"/>
        <v>minasan</v>
      </c>
      <c r="J441" t="str">
        <f t="shared" si="35"/>
        <v/>
      </c>
      <c r="L441" t="str">
        <f t="shared" si="38"/>
        <v>NGM-027 / MOM-001 (MVS), NGH-027 / MOH-001 (AES)</v>
      </c>
      <c r="M441" t="str">
        <f t="shared" si="38"/>
        <v>199107xx (MVS), 19910701 (AES)</v>
      </c>
      <c r="N441" t="str">
        <f t="shared" si="38"/>
        <v>みなさんのおかげさまです！ 大スゴロク大会</v>
      </c>
      <c r="O441" t="str">
        <f t="shared" si="38"/>
        <v/>
      </c>
      <c r="P441" t="str">
        <f t="shared" si="38"/>
        <v/>
      </c>
      <c r="T441" t="str">
        <f t="shared" si="36"/>
        <v/>
      </c>
      <c r="V441" t="str">
        <f t="shared" si="37"/>
        <v>MVS,AES</v>
      </c>
      <c r="W441" t="str">
        <f t="shared" si="37"/>
        <v>MVS,AES</v>
      </c>
      <c r="AG441" t="s">
        <v>6</v>
      </c>
      <c r="AH441" t="s">
        <v>6565</v>
      </c>
      <c r="AI441" t="s">
        <v>3</v>
      </c>
      <c r="AJ441" t="s">
        <v>15</v>
      </c>
      <c r="AK441" t="s">
        <v>6564</v>
      </c>
      <c r="AL441" t="s">
        <v>6563</v>
      </c>
    </row>
    <row r="442" spans="5:38" x14ac:dyDescent="0.25">
      <c r="I442" t="str">
        <f t="shared" si="34"/>
        <v>minasan</v>
      </c>
      <c r="J442" t="str">
        <f t="shared" si="35"/>
        <v/>
      </c>
      <c r="L442" t="str">
        <f t="shared" si="38"/>
        <v>NGM-027 / MOM-001 (MVS), NGH-027 / MOH-001 (AES)</v>
      </c>
      <c r="M442" t="str">
        <f t="shared" si="38"/>
        <v>199107xx (MVS), 19910701 (AES)</v>
      </c>
      <c r="N442" t="str">
        <f t="shared" si="38"/>
        <v>みなさんのおかげさまです！ 大スゴロク大会</v>
      </c>
      <c r="O442" t="str">
        <f t="shared" si="38"/>
        <v/>
      </c>
      <c r="P442" t="str">
        <f t="shared" si="38"/>
        <v/>
      </c>
      <c r="T442" t="str">
        <f t="shared" si="36"/>
        <v/>
      </c>
      <c r="V442" t="str">
        <f t="shared" si="37"/>
        <v>MVS,AES</v>
      </c>
      <c r="W442" t="str">
        <f t="shared" si="37"/>
        <v>MVS,AES</v>
      </c>
      <c r="AG442" t="s">
        <v>6</v>
      </c>
      <c r="AH442" t="s">
        <v>6562</v>
      </c>
      <c r="AI442" t="s">
        <v>4371</v>
      </c>
      <c r="AJ442" t="s">
        <v>15</v>
      </c>
      <c r="AK442" t="s">
        <v>6561</v>
      </c>
      <c r="AL442" t="s">
        <v>6560</v>
      </c>
    </row>
    <row r="443" spans="5:38" x14ac:dyDescent="0.25">
      <c r="E443" t="s">
        <v>6559</v>
      </c>
      <c r="F443" t="s">
        <v>6558</v>
      </c>
      <c r="G443" t="s">
        <v>6279</v>
      </c>
      <c r="H443" t="s">
        <v>6557</v>
      </c>
      <c r="I443" t="str">
        <f t="shared" si="34"/>
        <v>legendos</v>
      </c>
      <c r="J443" t="str">
        <f t="shared" si="35"/>
        <v>legendosserial</v>
      </c>
      <c r="K443" t="s">
        <v>1373</v>
      </c>
      <c r="L443" t="str">
        <f t="shared" si="38"/>
        <v>NGM-029 (MVS), NGH-029 (AES)</v>
      </c>
      <c r="M443" t="str">
        <f t="shared" si="38"/>
        <v>199107xx (MVS), 19910830 (AES)</v>
      </c>
      <c r="N443" t="str">
        <f t="shared" si="38"/>
        <v>あしたのジョー伝説</v>
      </c>
      <c r="O443" t="str">
        <f t="shared" si="38"/>
        <v/>
      </c>
      <c r="P443" t="str">
        <f t="shared" si="38"/>
        <v/>
      </c>
      <c r="Q443" t="s">
        <v>6556</v>
      </c>
      <c r="S443" t="s">
        <v>46</v>
      </c>
      <c r="T443" t="str">
        <f t="shared" si="36"/>
        <v>legendosrelease</v>
      </c>
      <c r="U443" t="s">
        <v>218</v>
      </c>
      <c r="V443" t="str">
        <f t="shared" si="37"/>
        <v>MVS,AES</v>
      </c>
      <c r="W443" t="str">
        <f t="shared" si="37"/>
        <v>MVS,AES</v>
      </c>
      <c r="Y443" t="s">
        <v>45</v>
      </c>
      <c r="Z443" t="s">
        <v>44</v>
      </c>
      <c r="AB443" t="s">
        <v>43</v>
      </c>
      <c r="AC443" t="s">
        <v>42</v>
      </c>
      <c r="AD443" t="s">
        <v>41</v>
      </c>
      <c r="AE443" t="s">
        <v>15</v>
      </c>
      <c r="AG443" t="s">
        <v>40</v>
      </c>
      <c r="AH443" t="s">
        <v>6555</v>
      </c>
      <c r="AI443" t="s">
        <v>9</v>
      </c>
      <c r="AJ443" t="s">
        <v>92</v>
      </c>
      <c r="AK443" t="s">
        <v>6554</v>
      </c>
      <c r="AL443" t="s">
        <v>6553</v>
      </c>
    </row>
    <row r="444" spans="5:38" x14ac:dyDescent="0.25">
      <c r="I444" t="str">
        <f t="shared" si="34"/>
        <v>legendos</v>
      </c>
      <c r="J444" t="str">
        <f t="shared" si="35"/>
        <v>legendosrelease</v>
      </c>
      <c r="K444" t="s">
        <v>46</v>
      </c>
      <c r="L444" t="str">
        <f t="shared" si="38"/>
        <v>NGM-029 (MVS), NGH-029 (AES)</v>
      </c>
      <c r="M444" t="str">
        <f t="shared" si="38"/>
        <v>199107xx (MVS), 19910830 (AES)</v>
      </c>
      <c r="N444" t="str">
        <f t="shared" si="38"/>
        <v>あしたのジョー伝説</v>
      </c>
      <c r="O444" t="str">
        <f t="shared" si="38"/>
        <v/>
      </c>
      <c r="P444" t="str">
        <f t="shared" si="38"/>
        <v/>
      </c>
      <c r="Q444" t="s">
        <v>6552</v>
      </c>
      <c r="T444" t="str">
        <f t="shared" si="36"/>
        <v/>
      </c>
      <c r="V444" t="str">
        <f t="shared" si="37"/>
        <v>MVS,AES</v>
      </c>
      <c r="W444" t="str">
        <f t="shared" si="37"/>
        <v>MVS,AES</v>
      </c>
      <c r="AB444" t="s">
        <v>34</v>
      </c>
      <c r="AE444" t="s">
        <v>33</v>
      </c>
      <c r="AH444" t="s">
        <v>6551</v>
      </c>
      <c r="AI444" t="s">
        <v>9</v>
      </c>
      <c r="AJ444" t="s">
        <v>27</v>
      </c>
      <c r="AK444" t="s">
        <v>6550</v>
      </c>
      <c r="AL444" t="s">
        <v>6549</v>
      </c>
    </row>
    <row r="445" spans="5:38" x14ac:dyDescent="0.25">
      <c r="I445" t="str">
        <f t="shared" si="34"/>
        <v>legendos</v>
      </c>
      <c r="J445" t="str">
        <f t="shared" si="35"/>
        <v>legendosalt_title</v>
      </c>
      <c r="K445" t="s">
        <v>1218</v>
      </c>
      <c r="L445" t="str">
        <f t="shared" si="38"/>
        <v>NGM-029 (MVS), NGH-029 (AES)</v>
      </c>
      <c r="M445" t="str">
        <f t="shared" si="38"/>
        <v>199107xx (MVS), 19910830 (AES)</v>
      </c>
      <c r="N445" t="str">
        <f t="shared" si="38"/>
        <v>あしたのジョー伝説</v>
      </c>
      <c r="O445" t="str">
        <f t="shared" si="38"/>
        <v/>
      </c>
      <c r="P445" t="str">
        <f t="shared" si="38"/>
        <v/>
      </c>
      <c r="Q445" t="s">
        <v>6548</v>
      </c>
      <c r="T445" t="str">
        <f t="shared" si="36"/>
        <v/>
      </c>
      <c r="V445" t="str">
        <f t="shared" si="37"/>
        <v>MVS,AES</v>
      </c>
      <c r="W445" t="str">
        <f t="shared" si="37"/>
        <v>MVS,AES</v>
      </c>
      <c r="AB445" t="s">
        <v>29</v>
      </c>
      <c r="AE445" t="s">
        <v>27</v>
      </c>
      <c r="AH445" t="s">
        <v>6547</v>
      </c>
      <c r="AI445" t="s">
        <v>9</v>
      </c>
      <c r="AJ445" t="s">
        <v>27</v>
      </c>
      <c r="AK445" t="s">
        <v>6546</v>
      </c>
      <c r="AL445" t="s">
        <v>6545</v>
      </c>
    </row>
    <row r="446" spans="5:38" x14ac:dyDescent="0.25">
      <c r="I446" t="str">
        <f t="shared" si="34"/>
        <v>legendos</v>
      </c>
      <c r="J446" t="str">
        <f t="shared" si="35"/>
        <v/>
      </c>
      <c r="L446" t="str">
        <f t="shared" si="38"/>
        <v>NGM-029 (MVS), NGH-029 (AES)</v>
      </c>
      <c r="M446" t="str">
        <f t="shared" si="38"/>
        <v>199107xx (MVS), 19910830 (AES)</v>
      </c>
      <c r="N446" t="str">
        <f t="shared" si="38"/>
        <v>あしたのジョー伝説</v>
      </c>
      <c r="O446" t="str">
        <f t="shared" si="38"/>
        <v/>
      </c>
      <c r="P446" t="str">
        <f t="shared" si="38"/>
        <v/>
      </c>
      <c r="S446" t="s">
        <v>36</v>
      </c>
      <c r="T446" t="str">
        <f t="shared" si="36"/>
        <v>legendoscompatibility</v>
      </c>
      <c r="U446" t="s">
        <v>218</v>
      </c>
      <c r="V446" t="str">
        <f t="shared" si="37"/>
        <v>MVS,AES</v>
      </c>
      <c r="W446" t="str">
        <f t="shared" si="37"/>
        <v>MVS,AES</v>
      </c>
      <c r="AB446" t="s">
        <v>24</v>
      </c>
      <c r="AE446" t="s">
        <v>15</v>
      </c>
      <c r="AH446" t="s">
        <v>6544</v>
      </c>
      <c r="AI446" t="s">
        <v>9</v>
      </c>
      <c r="AJ446" t="s">
        <v>15</v>
      </c>
      <c r="AK446" t="s">
        <v>6543</v>
      </c>
      <c r="AL446" t="s">
        <v>6542</v>
      </c>
    </row>
    <row r="447" spans="5:38" x14ac:dyDescent="0.25">
      <c r="I447" t="str">
        <f t="shared" si="34"/>
        <v>legendos</v>
      </c>
      <c r="J447" t="str">
        <f t="shared" si="35"/>
        <v/>
      </c>
      <c r="L447" t="str">
        <f t="shared" si="38"/>
        <v>NGM-029 (MVS), NGH-029 (AES)</v>
      </c>
      <c r="M447" t="str">
        <f t="shared" si="38"/>
        <v>199107xx (MVS), 19910830 (AES)</v>
      </c>
      <c r="N447" t="str">
        <f t="shared" si="38"/>
        <v>あしたのジョー伝説</v>
      </c>
      <c r="O447" t="str">
        <f t="shared" si="38"/>
        <v/>
      </c>
      <c r="P447" t="str">
        <f t="shared" si="38"/>
        <v/>
      </c>
      <c r="T447" t="str">
        <f t="shared" si="36"/>
        <v/>
      </c>
      <c r="V447" t="str">
        <f t="shared" si="37"/>
        <v>MVS,AES</v>
      </c>
      <c r="W447" t="str">
        <f t="shared" si="37"/>
        <v>MVS,AES</v>
      </c>
      <c r="AB447" t="s">
        <v>12</v>
      </c>
      <c r="AE447" t="s">
        <v>11</v>
      </c>
      <c r="AG447" t="s">
        <v>6</v>
      </c>
      <c r="AH447" t="s">
        <v>6541</v>
      </c>
      <c r="AI447" t="s">
        <v>9</v>
      </c>
      <c r="AJ447" t="s">
        <v>15</v>
      </c>
      <c r="AK447" t="s">
        <v>6540</v>
      </c>
      <c r="AL447" t="s">
        <v>6539</v>
      </c>
    </row>
    <row r="448" spans="5:38" x14ac:dyDescent="0.25">
      <c r="I448" t="str">
        <f t="shared" si="34"/>
        <v>legendos</v>
      </c>
      <c r="J448" t="str">
        <f t="shared" si="35"/>
        <v/>
      </c>
      <c r="L448" t="str">
        <f t="shared" si="38"/>
        <v>NGM-029 (MVS), NGH-029 (AES)</v>
      </c>
      <c r="M448" t="str">
        <f t="shared" si="38"/>
        <v>199107xx (MVS), 19910830 (AES)</v>
      </c>
      <c r="N448" t="str">
        <f t="shared" si="38"/>
        <v>あしたのジョー伝説</v>
      </c>
      <c r="O448" t="str">
        <f t="shared" si="38"/>
        <v/>
      </c>
      <c r="P448" t="str">
        <f t="shared" si="38"/>
        <v/>
      </c>
      <c r="T448" t="str">
        <f t="shared" si="36"/>
        <v/>
      </c>
      <c r="V448" t="str">
        <f t="shared" si="37"/>
        <v>MVS,AES</v>
      </c>
      <c r="W448" t="str">
        <f t="shared" si="37"/>
        <v>MVS,AES</v>
      </c>
      <c r="AG448" t="s">
        <v>6</v>
      </c>
      <c r="AH448" t="s">
        <v>6538</v>
      </c>
      <c r="AI448" t="s">
        <v>4</v>
      </c>
      <c r="AJ448" t="s">
        <v>15</v>
      </c>
      <c r="AK448" t="s">
        <v>6537</v>
      </c>
      <c r="AL448" t="s">
        <v>6536</v>
      </c>
    </row>
    <row r="449" spans="5:44" x14ac:dyDescent="0.25">
      <c r="I449" t="str">
        <f t="shared" si="34"/>
        <v>legendos</v>
      </c>
      <c r="J449" t="str">
        <f t="shared" si="35"/>
        <v/>
      </c>
      <c r="L449" t="str">
        <f t="shared" si="38"/>
        <v>NGM-029 (MVS), NGH-029 (AES)</v>
      </c>
      <c r="M449" t="str">
        <f t="shared" si="38"/>
        <v>199107xx (MVS), 19910830 (AES)</v>
      </c>
      <c r="N449" t="str">
        <f t="shared" si="38"/>
        <v>あしたのジョー伝説</v>
      </c>
      <c r="O449" t="str">
        <f t="shared" si="38"/>
        <v/>
      </c>
      <c r="P449" t="str">
        <f t="shared" si="38"/>
        <v/>
      </c>
      <c r="T449" t="str">
        <f t="shared" si="36"/>
        <v/>
      </c>
      <c r="V449" t="str">
        <f t="shared" si="37"/>
        <v>MVS,AES</v>
      </c>
      <c r="W449" t="str">
        <f t="shared" si="37"/>
        <v>MVS,AES</v>
      </c>
      <c r="AG449" t="s">
        <v>6</v>
      </c>
      <c r="AH449" t="s">
        <v>6535</v>
      </c>
      <c r="AI449" t="s">
        <v>3</v>
      </c>
      <c r="AJ449" t="s">
        <v>15</v>
      </c>
      <c r="AK449" t="s">
        <v>6534</v>
      </c>
      <c r="AL449" t="s">
        <v>6533</v>
      </c>
    </row>
    <row r="450" spans="5:44" x14ac:dyDescent="0.25">
      <c r="I450" t="str">
        <f t="shared" si="34"/>
        <v>legendos</v>
      </c>
      <c r="J450" t="str">
        <f t="shared" si="35"/>
        <v/>
      </c>
      <c r="L450" t="str">
        <f t="shared" si="38"/>
        <v>NGM-029 (MVS), NGH-029 (AES)</v>
      </c>
      <c r="M450" t="str">
        <f t="shared" si="38"/>
        <v>199107xx (MVS), 19910830 (AES)</v>
      </c>
      <c r="N450" t="str">
        <f t="shared" si="38"/>
        <v>あしたのジョー伝説</v>
      </c>
      <c r="O450" t="str">
        <f t="shared" si="38"/>
        <v/>
      </c>
      <c r="P450" t="str">
        <f t="shared" si="38"/>
        <v/>
      </c>
      <c r="T450" t="str">
        <f t="shared" si="36"/>
        <v/>
      </c>
      <c r="V450" t="str">
        <f t="shared" si="37"/>
        <v>MVS,AES</v>
      </c>
      <c r="W450" t="str">
        <f t="shared" si="37"/>
        <v>MVS,AES</v>
      </c>
      <c r="AG450" t="s">
        <v>6</v>
      </c>
      <c r="AH450" t="s">
        <v>6532</v>
      </c>
      <c r="AI450" t="s">
        <v>4371</v>
      </c>
      <c r="AJ450" t="s">
        <v>15</v>
      </c>
      <c r="AK450" t="s">
        <v>6531</v>
      </c>
      <c r="AL450" t="s">
        <v>6530</v>
      </c>
    </row>
    <row r="451" spans="5:44" x14ac:dyDescent="0.25">
      <c r="E451" t="s">
        <v>6513</v>
      </c>
      <c r="F451" t="s">
        <v>6529</v>
      </c>
      <c r="G451" t="s">
        <v>6279</v>
      </c>
      <c r="H451" t="s">
        <v>6518</v>
      </c>
      <c r="I451" t="str">
        <f t="shared" ref="I451:I514" si="39">IF(E451="",I450,E451)</f>
        <v>2020bb</v>
      </c>
      <c r="J451" t="str">
        <f t="shared" ref="J451:J514" si="40">IF(K451="","",I451&amp;K451)</f>
        <v>2020bbserial</v>
      </c>
      <c r="K451" t="s">
        <v>1373</v>
      </c>
      <c r="L451" t="str">
        <f t="shared" si="38"/>
        <v>NGM-030 (MVS), NGH-030 (AES)</v>
      </c>
      <c r="M451" t="str">
        <f t="shared" si="38"/>
        <v>19910920 (MVS), 19911025 (AES)</v>
      </c>
      <c r="N451" t="str">
        <f t="shared" si="38"/>
        <v>2020年スーパーベースボール</v>
      </c>
      <c r="O451" t="str">
        <f t="shared" si="38"/>
        <v/>
      </c>
      <c r="P451" t="str">
        <f t="shared" si="38"/>
        <v/>
      </c>
      <c r="Q451" t="s">
        <v>6517</v>
      </c>
      <c r="S451" t="s">
        <v>46</v>
      </c>
      <c r="T451" t="str">
        <f t="shared" ref="T451:T514" si="41">IF(S451="","",I451&amp;S451)</f>
        <v>2020bbrelease</v>
      </c>
      <c r="U451" t="s">
        <v>218</v>
      </c>
      <c r="V451" t="str">
        <f t="shared" si="37"/>
        <v>MVS,AES</v>
      </c>
      <c r="W451" t="str">
        <f t="shared" si="37"/>
        <v>MVS,AES</v>
      </c>
      <c r="Y451" t="s">
        <v>45</v>
      </c>
      <c r="Z451" t="s">
        <v>44</v>
      </c>
      <c r="AB451" t="s">
        <v>43</v>
      </c>
      <c r="AC451" t="s">
        <v>42</v>
      </c>
      <c r="AD451" t="s">
        <v>41</v>
      </c>
      <c r="AE451" t="s">
        <v>15</v>
      </c>
      <c r="AG451" t="s">
        <v>40</v>
      </c>
      <c r="AH451" t="s">
        <v>6528</v>
      </c>
      <c r="AI451" t="s">
        <v>9</v>
      </c>
      <c r="AJ451" t="s">
        <v>92</v>
      </c>
      <c r="AK451" t="s">
        <v>6527</v>
      </c>
      <c r="AL451" t="s">
        <v>6526</v>
      </c>
    </row>
    <row r="452" spans="5:44" x14ac:dyDescent="0.25">
      <c r="I452" t="str">
        <f t="shared" si="39"/>
        <v>2020bb</v>
      </c>
      <c r="J452" t="str">
        <f t="shared" si="40"/>
        <v>2020bbrelease</v>
      </c>
      <c r="K452" t="s">
        <v>46</v>
      </c>
      <c r="L452" t="str">
        <f t="shared" si="38"/>
        <v>NGM-030 (MVS), NGH-030 (AES)</v>
      </c>
      <c r="M452" t="str">
        <f t="shared" si="38"/>
        <v>19910920 (MVS), 19911025 (AES)</v>
      </c>
      <c r="N452" t="str">
        <f t="shared" si="38"/>
        <v>2020年スーパーベースボール</v>
      </c>
      <c r="O452" t="str">
        <f t="shared" si="38"/>
        <v/>
      </c>
      <c r="P452" t="str">
        <f t="shared" si="38"/>
        <v/>
      </c>
      <c r="Q452" t="s">
        <v>6512</v>
      </c>
      <c r="T452" t="str">
        <f t="shared" si="41"/>
        <v/>
      </c>
      <c r="V452" t="str">
        <f t="shared" si="37"/>
        <v>MVS,AES</v>
      </c>
      <c r="W452" t="str">
        <f t="shared" si="37"/>
        <v>MVS,AES</v>
      </c>
      <c r="AB452" t="s">
        <v>34</v>
      </c>
      <c r="AE452" t="s">
        <v>33</v>
      </c>
      <c r="AH452" t="s">
        <v>6511</v>
      </c>
      <c r="AI452" t="s">
        <v>9</v>
      </c>
      <c r="AJ452" t="s">
        <v>27</v>
      </c>
      <c r="AK452" t="s">
        <v>6510</v>
      </c>
      <c r="AL452" t="s">
        <v>6509</v>
      </c>
    </row>
    <row r="453" spans="5:44" x14ac:dyDescent="0.25">
      <c r="I453" t="str">
        <f t="shared" si="39"/>
        <v>2020bb</v>
      </c>
      <c r="J453" t="str">
        <f t="shared" si="40"/>
        <v>2020bbalt_title</v>
      </c>
      <c r="K453" t="s">
        <v>1218</v>
      </c>
      <c r="L453" t="str">
        <f t="shared" si="38"/>
        <v>NGM-030 (MVS), NGH-030 (AES)</v>
      </c>
      <c r="M453" t="str">
        <f t="shared" si="38"/>
        <v>19910920 (MVS), 19911025 (AES)</v>
      </c>
      <c r="N453" t="str">
        <f t="shared" si="38"/>
        <v>2020年スーパーベースボール</v>
      </c>
      <c r="O453" t="str">
        <f t="shared" si="38"/>
        <v/>
      </c>
      <c r="P453" t="str">
        <f t="shared" si="38"/>
        <v/>
      </c>
      <c r="Q453" t="s">
        <v>6508</v>
      </c>
      <c r="T453" t="str">
        <f t="shared" si="41"/>
        <v/>
      </c>
      <c r="V453" t="str">
        <f t="shared" si="37"/>
        <v>MVS,AES</v>
      </c>
      <c r="W453" t="str">
        <f t="shared" si="37"/>
        <v>MVS,AES</v>
      </c>
      <c r="AB453" t="s">
        <v>29</v>
      </c>
      <c r="AE453" t="s">
        <v>27</v>
      </c>
      <c r="AH453" t="s">
        <v>6507</v>
      </c>
      <c r="AI453" t="s">
        <v>9</v>
      </c>
      <c r="AJ453" t="s">
        <v>27</v>
      </c>
      <c r="AK453" t="s">
        <v>6506</v>
      </c>
      <c r="AL453" t="s">
        <v>6505</v>
      </c>
    </row>
    <row r="454" spans="5:44" x14ac:dyDescent="0.25">
      <c r="I454" t="str">
        <f t="shared" si="39"/>
        <v>2020bb</v>
      </c>
      <c r="J454" t="str">
        <f t="shared" si="40"/>
        <v/>
      </c>
      <c r="L454" t="str">
        <f t="shared" si="38"/>
        <v>NGM-030 (MVS), NGH-030 (AES)</v>
      </c>
      <c r="M454" t="str">
        <f t="shared" si="38"/>
        <v>19910920 (MVS), 19911025 (AES)</v>
      </c>
      <c r="N454" t="str">
        <f t="shared" si="38"/>
        <v>2020年スーパーベースボール</v>
      </c>
      <c r="O454" t="str">
        <f t="shared" si="38"/>
        <v/>
      </c>
      <c r="P454" t="str">
        <f t="shared" si="38"/>
        <v/>
      </c>
      <c r="S454" t="s">
        <v>36</v>
      </c>
      <c r="T454" t="str">
        <f t="shared" si="41"/>
        <v>2020bbcompatibility</v>
      </c>
      <c r="U454" t="s">
        <v>218</v>
      </c>
      <c r="V454" t="str">
        <f t="shared" si="37"/>
        <v>MVS,AES</v>
      </c>
      <c r="W454" t="str">
        <f t="shared" si="37"/>
        <v>MVS,AES</v>
      </c>
      <c r="AB454" t="s">
        <v>24</v>
      </c>
      <c r="AE454" t="s">
        <v>3</v>
      </c>
      <c r="AH454" t="s">
        <v>6504</v>
      </c>
      <c r="AI454" t="s">
        <v>9</v>
      </c>
      <c r="AJ454" t="s">
        <v>15</v>
      </c>
      <c r="AK454" t="s">
        <v>6503</v>
      </c>
      <c r="AL454" t="s">
        <v>6502</v>
      </c>
    </row>
    <row r="455" spans="5:44" x14ac:dyDescent="0.25">
      <c r="I455" t="str">
        <f t="shared" si="39"/>
        <v>2020bb</v>
      </c>
      <c r="J455" t="str">
        <f t="shared" si="40"/>
        <v/>
      </c>
      <c r="L455" t="str">
        <f t="shared" si="38"/>
        <v>NGM-030 (MVS), NGH-030 (AES)</v>
      </c>
      <c r="M455" t="str">
        <f t="shared" si="38"/>
        <v>19910920 (MVS), 19911025 (AES)</v>
      </c>
      <c r="N455" t="str">
        <f t="shared" si="38"/>
        <v>2020年スーパーベースボール</v>
      </c>
      <c r="O455" t="str">
        <f t="shared" si="38"/>
        <v/>
      </c>
      <c r="P455" t="str">
        <f t="shared" si="38"/>
        <v/>
      </c>
      <c r="T455" t="str">
        <f t="shared" si="41"/>
        <v/>
      </c>
      <c r="V455" t="str">
        <f t="shared" si="37"/>
        <v>MVS,AES</v>
      </c>
      <c r="W455" t="str">
        <f t="shared" si="37"/>
        <v>MVS,AES</v>
      </c>
      <c r="AH455" t="s">
        <v>6501</v>
      </c>
      <c r="AI455" t="s">
        <v>15</v>
      </c>
      <c r="AJ455" t="s">
        <v>15</v>
      </c>
      <c r="AK455" t="s">
        <v>6500</v>
      </c>
      <c r="AL455" t="s">
        <v>6499</v>
      </c>
    </row>
    <row r="456" spans="5:44" x14ac:dyDescent="0.25">
      <c r="I456" t="str">
        <f t="shared" si="39"/>
        <v>2020bb</v>
      </c>
      <c r="J456" t="str">
        <f t="shared" si="40"/>
        <v/>
      </c>
      <c r="L456" t="str">
        <f t="shared" si="38"/>
        <v>NGM-030 (MVS), NGH-030 (AES)</v>
      </c>
      <c r="M456" t="str">
        <f t="shared" si="38"/>
        <v>19910920 (MVS), 19911025 (AES)</v>
      </c>
      <c r="N456" t="str">
        <f t="shared" si="38"/>
        <v>2020年スーパーベースボール</v>
      </c>
      <c r="O456" t="str">
        <f t="shared" si="38"/>
        <v/>
      </c>
      <c r="P456" t="str">
        <f t="shared" si="38"/>
        <v/>
      </c>
      <c r="T456" t="str">
        <f t="shared" si="41"/>
        <v/>
      </c>
      <c r="V456" t="str">
        <f t="shared" si="37"/>
        <v>MVS,AES</v>
      </c>
      <c r="W456" t="str">
        <f t="shared" si="37"/>
        <v>MVS,AES</v>
      </c>
      <c r="AB456" t="s">
        <v>12</v>
      </c>
      <c r="AE456" t="s">
        <v>11</v>
      </c>
      <c r="AG456" t="s">
        <v>6</v>
      </c>
      <c r="AH456" t="s">
        <v>6498</v>
      </c>
      <c r="AI456" t="s">
        <v>9</v>
      </c>
      <c r="AJ456" t="s">
        <v>15</v>
      </c>
      <c r="AK456" t="s">
        <v>6497</v>
      </c>
      <c r="AL456" t="s">
        <v>6496</v>
      </c>
    </row>
    <row r="457" spans="5:44" x14ac:dyDescent="0.25">
      <c r="I457" t="str">
        <f t="shared" si="39"/>
        <v>2020bb</v>
      </c>
      <c r="J457" t="str">
        <f t="shared" si="40"/>
        <v/>
      </c>
      <c r="L457" t="str">
        <f t="shared" si="38"/>
        <v>NGM-030 (MVS), NGH-030 (AES)</v>
      </c>
      <c r="M457" t="str">
        <f t="shared" si="38"/>
        <v>19910920 (MVS), 19911025 (AES)</v>
      </c>
      <c r="N457" t="str">
        <f t="shared" si="38"/>
        <v>2020年スーパーベースボール</v>
      </c>
      <c r="O457" t="str">
        <f t="shared" si="38"/>
        <v/>
      </c>
      <c r="P457" t="str">
        <f t="shared" si="38"/>
        <v/>
      </c>
      <c r="T457" t="str">
        <f t="shared" si="41"/>
        <v/>
      </c>
      <c r="V457" t="str">
        <f t="shared" si="37"/>
        <v>MVS,AES</v>
      </c>
      <c r="W457" t="str">
        <f t="shared" si="37"/>
        <v>MVS,AES</v>
      </c>
      <c r="AG457" t="s">
        <v>6</v>
      </c>
      <c r="AH457" t="s">
        <v>6495</v>
      </c>
      <c r="AI457" t="s">
        <v>4</v>
      </c>
      <c r="AJ457" t="s">
        <v>15</v>
      </c>
      <c r="AK457" t="s">
        <v>6494</v>
      </c>
      <c r="AL457" t="s">
        <v>6493</v>
      </c>
    </row>
    <row r="458" spans="5:44" x14ac:dyDescent="0.25">
      <c r="I458" t="str">
        <f t="shared" si="39"/>
        <v>2020bb</v>
      </c>
      <c r="J458" t="str">
        <f t="shared" si="40"/>
        <v/>
      </c>
      <c r="L458" t="str">
        <f t="shared" si="38"/>
        <v>NGM-030 (MVS), NGH-030 (AES)</v>
      </c>
      <c r="M458" t="str">
        <f t="shared" si="38"/>
        <v>19910920 (MVS), 19911025 (AES)</v>
      </c>
      <c r="N458" t="str">
        <f t="shared" si="38"/>
        <v>2020年スーパーベースボール</v>
      </c>
      <c r="O458" t="str">
        <f t="shared" si="38"/>
        <v/>
      </c>
      <c r="P458" t="str">
        <f t="shared" si="38"/>
        <v/>
      </c>
      <c r="T458" t="str">
        <f t="shared" si="41"/>
        <v/>
      </c>
      <c r="V458" t="str">
        <f t="shared" si="37"/>
        <v>MVS,AES</v>
      </c>
      <c r="W458" t="str">
        <f t="shared" si="37"/>
        <v>MVS,AES</v>
      </c>
      <c r="AG458" t="s">
        <v>6</v>
      </c>
      <c r="AH458" t="s">
        <v>6492</v>
      </c>
      <c r="AI458" t="s">
        <v>3</v>
      </c>
      <c r="AJ458" t="s">
        <v>15</v>
      </c>
      <c r="AK458" t="s">
        <v>6491</v>
      </c>
      <c r="AL458" t="s">
        <v>6490</v>
      </c>
    </row>
    <row r="459" spans="5:44" x14ac:dyDescent="0.25">
      <c r="I459" t="str">
        <f t="shared" si="39"/>
        <v>2020bb</v>
      </c>
      <c r="J459" t="str">
        <f t="shared" si="40"/>
        <v/>
      </c>
      <c r="L459" t="str">
        <f t="shared" si="38"/>
        <v>NGM-030 (MVS), NGH-030 (AES)</v>
      </c>
      <c r="M459" t="str">
        <f t="shared" si="38"/>
        <v>19910920 (MVS), 19911025 (AES)</v>
      </c>
      <c r="N459" t="str">
        <f t="shared" si="38"/>
        <v>2020年スーパーベースボール</v>
      </c>
      <c r="O459" t="str">
        <f t="shared" si="38"/>
        <v/>
      </c>
      <c r="P459" t="str">
        <f t="shared" si="38"/>
        <v/>
      </c>
      <c r="T459" t="str">
        <f t="shared" si="41"/>
        <v/>
      </c>
      <c r="V459" t="str">
        <f t="shared" si="37"/>
        <v>MVS,AES</v>
      </c>
      <c r="W459" t="str">
        <f t="shared" si="37"/>
        <v>MVS,AES</v>
      </c>
      <c r="AG459" t="s">
        <v>6</v>
      </c>
      <c r="AH459" t="s">
        <v>6489</v>
      </c>
      <c r="AI459" t="s">
        <v>4371</v>
      </c>
      <c r="AJ459" t="s">
        <v>15</v>
      </c>
      <c r="AK459" t="s">
        <v>6488</v>
      </c>
      <c r="AL459" t="s">
        <v>6487</v>
      </c>
    </row>
    <row r="460" spans="5:44" x14ac:dyDescent="0.25">
      <c r="E460" t="s">
        <v>6525</v>
      </c>
      <c r="F460" t="s">
        <v>6524</v>
      </c>
      <c r="G460" t="s">
        <v>6279</v>
      </c>
      <c r="H460" t="s">
        <v>6518</v>
      </c>
      <c r="I460" t="str">
        <f t="shared" si="39"/>
        <v>2020bba</v>
      </c>
      <c r="J460" t="str">
        <f t="shared" si="40"/>
        <v>2020bbaserial</v>
      </c>
      <c r="K460" t="s">
        <v>1373</v>
      </c>
      <c r="L460" t="str">
        <f t="shared" si="38"/>
        <v>NGM-030 (MVS), NGH-030 (AES)</v>
      </c>
      <c r="M460" t="str">
        <f t="shared" si="38"/>
        <v>19910920 (MVS), 19911025 (AES)</v>
      </c>
      <c r="N460" t="str">
        <f t="shared" si="38"/>
        <v>2020年スーパーベースボール</v>
      </c>
      <c r="O460" t="str">
        <f t="shared" si="38"/>
        <v/>
      </c>
      <c r="P460" t="str">
        <f t="shared" si="38"/>
        <v/>
      </c>
      <c r="Q460" t="s">
        <v>6517</v>
      </c>
      <c r="S460" t="s">
        <v>46</v>
      </c>
      <c r="T460" t="str">
        <f t="shared" si="41"/>
        <v>2020bbarelease</v>
      </c>
      <c r="U460" t="s">
        <v>218</v>
      </c>
      <c r="V460" t="str">
        <f t="shared" si="37"/>
        <v>MVS,AES</v>
      </c>
      <c r="W460" t="str">
        <f t="shared" si="37"/>
        <v>MVS,AES</v>
      </c>
      <c r="Y460" t="s">
        <v>45</v>
      </c>
      <c r="Z460" t="s">
        <v>44</v>
      </c>
      <c r="AB460" t="s">
        <v>43</v>
      </c>
      <c r="AC460" t="s">
        <v>42</v>
      </c>
      <c r="AD460" t="s">
        <v>41</v>
      </c>
      <c r="AE460" t="s">
        <v>15</v>
      </c>
      <c r="AG460" t="s">
        <v>40</v>
      </c>
      <c r="AH460" t="s">
        <v>6523</v>
      </c>
      <c r="AI460" t="s">
        <v>9</v>
      </c>
      <c r="AJ460" t="s">
        <v>92</v>
      </c>
      <c r="AK460" t="s">
        <v>6522</v>
      </c>
      <c r="AL460" t="s">
        <v>6521</v>
      </c>
      <c r="AR460" t="s">
        <v>6513</v>
      </c>
    </row>
    <row r="461" spans="5:44" x14ac:dyDescent="0.25">
      <c r="I461" t="str">
        <f t="shared" si="39"/>
        <v>2020bba</v>
      </c>
      <c r="J461" t="str">
        <f t="shared" si="40"/>
        <v>2020bbarelease</v>
      </c>
      <c r="K461" t="s">
        <v>46</v>
      </c>
      <c r="L461" t="str">
        <f t="shared" si="38"/>
        <v>NGM-030 (MVS), NGH-030 (AES)</v>
      </c>
      <c r="M461" t="str">
        <f t="shared" si="38"/>
        <v>19910920 (MVS), 19911025 (AES)</v>
      </c>
      <c r="N461" t="str">
        <f t="shared" si="38"/>
        <v>2020年スーパーベースボール</v>
      </c>
      <c r="O461" t="str">
        <f t="shared" si="38"/>
        <v/>
      </c>
      <c r="P461" t="str">
        <f t="shared" si="38"/>
        <v/>
      </c>
      <c r="Q461" t="s">
        <v>6512</v>
      </c>
      <c r="T461" t="str">
        <f t="shared" si="41"/>
        <v/>
      </c>
      <c r="V461" t="str">
        <f t="shared" si="37"/>
        <v>MVS,AES</v>
      </c>
      <c r="W461" t="str">
        <f t="shared" si="37"/>
        <v>MVS,AES</v>
      </c>
      <c r="AB461" t="s">
        <v>34</v>
      </c>
      <c r="AE461" t="s">
        <v>33</v>
      </c>
      <c r="AH461" t="s">
        <v>6511</v>
      </c>
      <c r="AI461" t="s">
        <v>9</v>
      </c>
      <c r="AJ461" t="s">
        <v>27</v>
      </c>
      <c r="AK461" t="s">
        <v>6510</v>
      </c>
      <c r="AL461" t="s">
        <v>6509</v>
      </c>
    </row>
    <row r="462" spans="5:44" x14ac:dyDescent="0.25">
      <c r="I462" t="str">
        <f t="shared" si="39"/>
        <v>2020bba</v>
      </c>
      <c r="J462" t="str">
        <f t="shared" si="40"/>
        <v>2020bbaalt_title</v>
      </c>
      <c r="K462" t="s">
        <v>1218</v>
      </c>
      <c r="L462" t="str">
        <f t="shared" si="38"/>
        <v>NGM-030 (MVS), NGH-030 (AES)</v>
      </c>
      <c r="M462" t="str">
        <f t="shared" si="38"/>
        <v>19910920 (MVS), 19911025 (AES)</v>
      </c>
      <c r="N462" t="str">
        <f t="shared" si="38"/>
        <v>2020年スーパーベースボール</v>
      </c>
      <c r="O462" t="str">
        <f t="shared" si="38"/>
        <v/>
      </c>
      <c r="P462" t="str">
        <f t="shared" si="38"/>
        <v/>
      </c>
      <c r="Q462" t="s">
        <v>6508</v>
      </c>
      <c r="T462" t="str">
        <f t="shared" si="41"/>
        <v/>
      </c>
      <c r="V462" t="str">
        <f t="shared" si="37"/>
        <v>MVS,AES</v>
      </c>
      <c r="W462" t="str">
        <f t="shared" si="37"/>
        <v>MVS,AES</v>
      </c>
      <c r="AB462" t="s">
        <v>29</v>
      </c>
      <c r="AE462" t="s">
        <v>27</v>
      </c>
      <c r="AH462" t="s">
        <v>6507</v>
      </c>
      <c r="AI462" t="s">
        <v>9</v>
      </c>
      <c r="AJ462" t="s">
        <v>27</v>
      </c>
      <c r="AK462" t="s">
        <v>6506</v>
      </c>
      <c r="AL462" t="s">
        <v>6505</v>
      </c>
    </row>
    <row r="463" spans="5:44" x14ac:dyDescent="0.25">
      <c r="I463" t="str">
        <f t="shared" si="39"/>
        <v>2020bba</v>
      </c>
      <c r="J463" t="str">
        <f t="shared" si="40"/>
        <v/>
      </c>
      <c r="L463" t="str">
        <f t="shared" si="38"/>
        <v>NGM-030 (MVS), NGH-030 (AES)</v>
      </c>
      <c r="M463" t="str">
        <f t="shared" si="38"/>
        <v>19910920 (MVS), 19911025 (AES)</v>
      </c>
      <c r="N463" t="str">
        <f t="shared" si="38"/>
        <v>2020年スーパーベースボール</v>
      </c>
      <c r="O463" t="str">
        <f t="shared" si="38"/>
        <v/>
      </c>
      <c r="P463" t="str">
        <f t="shared" si="38"/>
        <v/>
      </c>
      <c r="S463" t="s">
        <v>36</v>
      </c>
      <c r="T463" t="str">
        <f t="shared" si="41"/>
        <v>2020bbacompatibility</v>
      </c>
      <c r="U463" t="s">
        <v>218</v>
      </c>
      <c r="V463" t="str">
        <f t="shared" si="37"/>
        <v>MVS,AES</v>
      </c>
      <c r="W463" t="str">
        <f t="shared" si="37"/>
        <v>MVS,AES</v>
      </c>
      <c r="AB463" t="s">
        <v>24</v>
      </c>
      <c r="AE463" t="s">
        <v>3</v>
      </c>
      <c r="AH463" t="s">
        <v>6504</v>
      </c>
      <c r="AI463" t="s">
        <v>9</v>
      </c>
      <c r="AJ463" t="s">
        <v>15</v>
      </c>
      <c r="AK463" t="s">
        <v>6503</v>
      </c>
      <c r="AL463" t="s">
        <v>6502</v>
      </c>
    </row>
    <row r="464" spans="5:44" x14ac:dyDescent="0.25">
      <c r="I464" t="str">
        <f t="shared" si="39"/>
        <v>2020bba</v>
      </c>
      <c r="J464" t="str">
        <f t="shared" si="40"/>
        <v/>
      </c>
      <c r="L464" t="str">
        <f t="shared" si="38"/>
        <v>NGM-030 (MVS), NGH-030 (AES)</v>
      </c>
      <c r="M464" t="str">
        <f t="shared" si="38"/>
        <v>19910920 (MVS), 19911025 (AES)</v>
      </c>
      <c r="N464" t="str">
        <f t="shared" si="38"/>
        <v>2020年スーパーベースボール</v>
      </c>
      <c r="O464" t="str">
        <f t="shared" si="38"/>
        <v/>
      </c>
      <c r="P464" t="str">
        <f t="shared" si="38"/>
        <v/>
      </c>
      <c r="T464" t="str">
        <f t="shared" si="41"/>
        <v/>
      </c>
      <c r="V464" t="str">
        <f t="shared" si="37"/>
        <v>MVS,AES</v>
      </c>
      <c r="W464" t="str">
        <f t="shared" si="37"/>
        <v>MVS,AES</v>
      </c>
      <c r="AH464" t="s">
        <v>6501</v>
      </c>
      <c r="AI464" t="s">
        <v>15</v>
      </c>
      <c r="AJ464" t="s">
        <v>15</v>
      </c>
      <c r="AK464" t="s">
        <v>6500</v>
      </c>
      <c r="AL464" t="s">
        <v>6499</v>
      </c>
    </row>
    <row r="465" spans="5:44" x14ac:dyDescent="0.25">
      <c r="I465" t="str">
        <f t="shared" si="39"/>
        <v>2020bba</v>
      </c>
      <c r="J465" t="str">
        <f t="shared" si="40"/>
        <v/>
      </c>
      <c r="L465" t="str">
        <f t="shared" si="38"/>
        <v>NGM-030 (MVS), NGH-030 (AES)</v>
      </c>
      <c r="M465" t="str">
        <f t="shared" si="38"/>
        <v>19910920 (MVS), 19911025 (AES)</v>
      </c>
      <c r="N465" t="str">
        <f t="shared" si="38"/>
        <v>2020年スーパーベースボール</v>
      </c>
      <c r="O465" t="str">
        <f t="shared" si="38"/>
        <v/>
      </c>
      <c r="P465" t="str">
        <f t="shared" si="38"/>
        <v/>
      </c>
      <c r="T465" t="str">
        <f t="shared" si="41"/>
        <v/>
      </c>
      <c r="V465" t="str">
        <f t="shared" si="37"/>
        <v>MVS,AES</v>
      </c>
      <c r="W465" t="str">
        <f t="shared" si="37"/>
        <v>MVS,AES</v>
      </c>
      <c r="AB465" t="s">
        <v>12</v>
      </c>
      <c r="AE465" t="s">
        <v>11</v>
      </c>
      <c r="AG465" t="s">
        <v>6</v>
      </c>
      <c r="AH465" t="s">
        <v>6498</v>
      </c>
      <c r="AI465" t="s">
        <v>9</v>
      </c>
      <c r="AJ465" t="s">
        <v>15</v>
      </c>
      <c r="AK465" t="s">
        <v>6497</v>
      </c>
      <c r="AL465" t="s">
        <v>6496</v>
      </c>
    </row>
    <row r="466" spans="5:44" x14ac:dyDescent="0.25">
      <c r="I466" t="str">
        <f t="shared" si="39"/>
        <v>2020bba</v>
      </c>
      <c r="J466" t="str">
        <f t="shared" si="40"/>
        <v/>
      </c>
      <c r="L466" t="str">
        <f t="shared" si="38"/>
        <v>NGM-030 (MVS), NGH-030 (AES)</v>
      </c>
      <c r="M466" t="str">
        <f t="shared" si="38"/>
        <v>19910920 (MVS), 19911025 (AES)</v>
      </c>
      <c r="N466" t="str">
        <f t="shared" si="38"/>
        <v>2020年スーパーベースボール</v>
      </c>
      <c r="O466" t="str">
        <f t="shared" si="38"/>
        <v/>
      </c>
      <c r="P466" t="str">
        <f t="shared" si="38"/>
        <v/>
      </c>
      <c r="T466" t="str">
        <f t="shared" si="41"/>
        <v/>
      </c>
      <c r="V466" t="str">
        <f t="shared" si="37"/>
        <v>MVS,AES</v>
      </c>
      <c r="W466" t="str">
        <f t="shared" si="37"/>
        <v>MVS,AES</v>
      </c>
      <c r="AG466" t="s">
        <v>6</v>
      </c>
      <c r="AH466" t="s">
        <v>6495</v>
      </c>
      <c r="AI466" t="s">
        <v>4</v>
      </c>
      <c r="AJ466" t="s">
        <v>15</v>
      </c>
      <c r="AK466" t="s">
        <v>6494</v>
      </c>
      <c r="AL466" t="s">
        <v>6493</v>
      </c>
    </row>
    <row r="467" spans="5:44" x14ac:dyDescent="0.25">
      <c r="I467" t="str">
        <f t="shared" si="39"/>
        <v>2020bba</v>
      </c>
      <c r="J467" t="str">
        <f t="shared" si="40"/>
        <v/>
      </c>
      <c r="L467" t="str">
        <f t="shared" si="38"/>
        <v>NGM-030 (MVS), NGH-030 (AES)</v>
      </c>
      <c r="M467" t="str">
        <f t="shared" si="38"/>
        <v>19910920 (MVS), 19911025 (AES)</v>
      </c>
      <c r="N467" t="str">
        <f t="shared" si="38"/>
        <v>2020年スーパーベースボール</v>
      </c>
      <c r="O467" t="str">
        <f t="shared" si="38"/>
        <v/>
      </c>
      <c r="P467" t="str">
        <f t="shared" si="38"/>
        <v/>
      </c>
      <c r="T467" t="str">
        <f t="shared" si="41"/>
        <v/>
      </c>
      <c r="V467" t="str">
        <f t="shared" si="37"/>
        <v>MVS,AES</v>
      </c>
      <c r="W467" t="str">
        <f t="shared" si="37"/>
        <v>MVS,AES</v>
      </c>
      <c r="AG467" t="s">
        <v>6</v>
      </c>
      <c r="AH467" t="s">
        <v>6492</v>
      </c>
      <c r="AI467" t="s">
        <v>3</v>
      </c>
      <c r="AJ467" t="s">
        <v>15</v>
      </c>
      <c r="AK467" t="s">
        <v>6491</v>
      </c>
      <c r="AL467" t="s">
        <v>6490</v>
      </c>
    </row>
    <row r="468" spans="5:44" x14ac:dyDescent="0.25">
      <c r="I468" t="str">
        <f t="shared" si="39"/>
        <v>2020bba</v>
      </c>
      <c r="J468" t="str">
        <f t="shared" si="40"/>
        <v/>
      </c>
      <c r="L468" t="str">
        <f t="shared" si="38"/>
        <v>NGM-030 (MVS), NGH-030 (AES)</v>
      </c>
      <c r="M468" t="str">
        <f t="shared" si="38"/>
        <v>19910920 (MVS), 19911025 (AES)</v>
      </c>
      <c r="N468" t="str">
        <f t="shared" si="38"/>
        <v>2020年スーパーベースボール</v>
      </c>
      <c r="O468" t="str">
        <f t="shared" si="38"/>
        <v/>
      </c>
      <c r="P468" t="str">
        <f t="shared" si="38"/>
        <v/>
      </c>
      <c r="T468" t="str">
        <f t="shared" si="41"/>
        <v/>
      </c>
      <c r="V468" t="str">
        <f t="shared" si="37"/>
        <v>MVS,AES</v>
      </c>
      <c r="W468" t="str">
        <f t="shared" si="37"/>
        <v>MVS,AES</v>
      </c>
      <c r="AG468" t="s">
        <v>6</v>
      </c>
      <c r="AH468" t="s">
        <v>6489</v>
      </c>
      <c r="AI468" t="s">
        <v>4371</v>
      </c>
      <c r="AJ468" t="s">
        <v>15</v>
      </c>
      <c r="AK468" t="s">
        <v>6488</v>
      </c>
      <c r="AL468" t="s">
        <v>6487</v>
      </c>
    </row>
    <row r="469" spans="5:44" x14ac:dyDescent="0.25">
      <c r="E469" t="s">
        <v>6520</v>
      </c>
      <c r="F469" t="s">
        <v>6519</v>
      </c>
      <c r="G469" t="s">
        <v>6279</v>
      </c>
      <c r="H469" t="s">
        <v>6518</v>
      </c>
      <c r="I469" t="str">
        <f t="shared" si="39"/>
        <v>2020bbh</v>
      </c>
      <c r="J469" t="str">
        <f t="shared" si="40"/>
        <v>2020bbhserial</v>
      </c>
      <c r="K469" t="s">
        <v>1373</v>
      </c>
      <c r="L469" t="str">
        <f t="shared" si="38"/>
        <v>NGM-030 (MVS), NGH-030 (AES)</v>
      </c>
      <c r="M469" t="str">
        <f t="shared" si="38"/>
        <v>19910920 (MVS), 19911025 (AES)</v>
      </c>
      <c r="N469" t="str">
        <f t="shared" si="38"/>
        <v>2020年スーパーベースボール</v>
      </c>
      <c r="O469" t="str">
        <f t="shared" si="38"/>
        <v/>
      </c>
      <c r="P469" t="str">
        <f t="shared" si="38"/>
        <v/>
      </c>
      <c r="Q469" t="s">
        <v>6517</v>
      </c>
      <c r="S469" t="s">
        <v>46</v>
      </c>
      <c r="T469" t="str">
        <f t="shared" si="41"/>
        <v>2020bbhrelease</v>
      </c>
      <c r="U469" t="s">
        <v>218</v>
      </c>
      <c r="V469" t="str">
        <f t="shared" si="37"/>
        <v>MVS,AES</v>
      </c>
      <c r="W469" t="str">
        <f t="shared" si="37"/>
        <v>MVS,AES</v>
      </c>
      <c r="Y469" t="s">
        <v>45</v>
      </c>
      <c r="Z469" t="s">
        <v>44</v>
      </c>
      <c r="AB469" t="s">
        <v>43</v>
      </c>
      <c r="AC469" t="s">
        <v>42</v>
      </c>
      <c r="AD469" t="s">
        <v>41</v>
      </c>
      <c r="AE469" t="s">
        <v>15</v>
      </c>
      <c r="AG469" t="s">
        <v>40</v>
      </c>
      <c r="AH469" t="s">
        <v>6516</v>
      </c>
      <c r="AI469" t="s">
        <v>9</v>
      </c>
      <c r="AJ469" t="s">
        <v>92</v>
      </c>
      <c r="AK469" t="s">
        <v>6515</v>
      </c>
      <c r="AL469" t="s">
        <v>6514</v>
      </c>
      <c r="AM469" t="s">
        <v>1192</v>
      </c>
      <c r="AR469" t="s">
        <v>6513</v>
      </c>
    </row>
    <row r="470" spans="5:44" x14ac:dyDescent="0.25">
      <c r="I470" t="str">
        <f t="shared" si="39"/>
        <v>2020bbh</v>
      </c>
      <c r="J470" t="str">
        <f t="shared" si="40"/>
        <v>2020bbhrelease</v>
      </c>
      <c r="K470" t="s">
        <v>46</v>
      </c>
      <c r="L470" t="str">
        <f t="shared" si="38"/>
        <v>NGM-030 (MVS), NGH-030 (AES)</v>
      </c>
      <c r="M470" t="str">
        <f t="shared" si="38"/>
        <v>19910920 (MVS), 19911025 (AES)</v>
      </c>
      <c r="N470" t="str">
        <f t="shared" si="38"/>
        <v>2020年スーパーベースボール</v>
      </c>
      <c r="O470" t="str">
        <f t="shared" si="38"/>
        <v/>
      </c>
      <c r="P470" t="str">
        <f t="shared" si="38"/>
        <v/>
      </c>
      <c r="Q470" t="s">
        <v>6512</v>
      </c>
      <c r="T470" t="str">
        <f t="shared" si="41"/>
        <v/>
      </c>
      <c r="V470" t="str">
        <f t="shared" si="37"/>
        <v>MVS,AES</v>
      </c>
      <c r="W470" t="str">
        <f t="shared" si="37"/>
        <v>MVS,AES</v>
      </c>
      <c r="AB470" t="s">
        <v>34</v>
      </c>
      <c r="AE470" t="s">
        <v>33</v>
      </c>
      <c r="AH470" t="s">
        <v>6511</v>
      </c>
      <c r="AI470" t="s">
        <v>9</v>
      </c>
      <c r="AJ470" t="s">
        <v>27</v>
      </c>
      <c r="AK470" t="s">
        <v>6510</v>
      </c>
      <c r="AL470" t="s">
        <v>6509</v>
      </c>
    </row>
    <row r="471" spans="5:44" x14ac:dyDescent="0.25">
      <c r="I471" t="str">
        <f t="shared" si="39"/>
        <v>2020bbh</v>
      </c>
      <c r="J471" t="str">
        <f t="shared" si="40"/>
        <v>2020bbhalt_title</v>
      </c>
      <c r="K471" t="s">
        <v>1218</v>
      </c>
      <c r="L471" t="str">
        <f t="shared" si="38"/>
        <v>NGM-030 (MVS), NGH-030 (AES)</v>
      </c>
      <c r="M471" t="str">
        <f t="shared" si="38"/>
        <v>19910920 (MVS), 19911025 (AES)</v>
      </c>
      <c r="N471" t="str">
        <f t="shared" si="38"/>
        <v>2020年スーパーベースボール</v>
      </c>
      <c r="O471" t="str">
        <f t="shared" si="38"/>
        <v/>
      </c>
      <c r="P471" t="str">
        <f t="shared" si="38"/>
        <v/>
      </c>
      <c r="Q471" t="s">
        <v>6508</v>
      </c>
      <c r="T471" t="str">
        <f t="shared" si="41"/>
        <v/>
      </c>
      <c r="V471" t="str">
        <f t="shared" ref="V471:W534" si="42">IFERROR(VLOOKUP($I471&amp;V$1,$T:$AA,2,0),"")</f>
        <v>MVS,AES</v>
      </c>
      <c r="W471" t="str">
        <f t="shared" si="42"/>
        <v>MVS,AES</v>
      </c>
      <c r="AB471" t="s">
        <v>29</v>
      </c>
      <c r="AE471" t="s">
        <v>27</v>
      </c>
      <c r="AH471" t="s">
        <v>6507</v>
      </c>
      <c r="AI471" t="s">
        <v>9</v>
      </c>
      <c r="AJ471" t="s">
        <v>27</v>
      </c>
      <c r="AK471" t="s">
        <v>6506</v>
      </c>
      <c r="AL471" t="s">
        <v>6505</v>
      </c>
    </row>
    <row r="472" spans="5:44" x14ac:dyDescent="0.25">
      <c r="I472" t="str">
        <f t="shared" si="39"/>
        <v>2020bbh</v>
      </c>
      <c r="J472" t="str">
        <f t="shared" si="40"/>
        <v/>
      </c>
      <c r="L472" t="str">
        <f t="shared" si="38"/>
        <v>NGM-030 (MVS), NGH-030 (AES)</v>
      </c>
      <c r="M472" t="str">
        <f t="shared" si="38"/>
        <v>19910920 (MVS), 19911025 (AES)</v>
      </c>
      <c r="N472" t="str">
        <f t="shared" si="38"/>
        <v>2020年スーパーベースボール</v>
      </c>
      <c r="O472" t="str">
        <f t="shared" si="38"/>
        <v/>
      </c>
      <c r="P472" t="str">
        <f t="shared" si="38"/>
        <v/>
      </c>
      <c r="S472" t="s">
        <v>36</v>
      </c>
      <c r="T472" t="str">
        <f t="shared" si="41"/>
        <v>2020bbhcompatibility</v>
      </c>
      <c r="U472" t="s">
        <v>218</v>
      </c>
      <c r="V472" t="str">
        <f t="shared" si="42"/>
        <v>MVS,AES</v>
      </c>
      <c r="W472" t="str">
        <f t="shared" si="42"/>
        <v>MVS,AES</v>
      </c>
      <c r="AB472" t="s">
        <v>24</v>
      </c>
      <c r="AE472" t="s">
        <v>3</v>
      </c>
      <c r="AH472" t="s">
        <v>6504</v>
      </c>
      <c r="AI472" t="s">
        <v>9</v>
      </c>
      <c r="AJ472" t="s">
        <v>15</v>
      </c>
      <c r="AK472" t="s">
        <v>6503</v>
      </c>
      <c r="AL472" t="s">
        <v>6502</v>
      </c>
    </row>
    <row r="473" spans="5:44" x14ac:dyDescent="0.25">
      <c r="I473" t="str">
        <f t="shared" si="39"/>
        <v>2020bbh</v>
      </c>
      <c r="J473" t="str">
        <f t="shared" si="40"/>
        <v/>
      </c>
      <c r="L473" t="str">
        <f t="shared" si="38"/>
        <v>NGM-030 (MVS), NGH-030 (AES)</v>
      </c>
      <c r="M473" t="str">
        <f t="shared" si="38"/>
        <v>19910920 (MVS), 19911025 (AES)</v>
      </c>
      <c r="N473" t="str">
        <f t="shared" si="38"/>
        <v>2020年スーパーベースボール</v>
      </c>
      <c r="O473" t="str">
        <f t="shared" si="38"/>
        <v/>
      </c>
      <c r="P473" t="str">
        <f t="shared" si="38"/>
        <v/>
      </c>
      <c r="T473" t="str">
        <f t="shared" si="41"/>
        <v/>
      </c>
      <c r="V473" t="str">
        <f t="shared" si="42"/>
        <v>MVS,AES</v>
      </c>
      <c r="W473" t="str">
        <f t="shared" si="42"/>
        <v>MVS,AES</v>
      </c>
      <c r="AH473" t="s">
        <v>6501</v>
      </c>
      <c r="AI473" t="s">
        <v>15</v>
      </c>
      <c r="AJ473" t="s">
        <v>15</v>
      </c>
      <c r="AK473" t="s">
        <v>6500</v>
      </c>
      <c r="AL473" t="s">
        <v>6499</v>
      </c>
    </row>
    <row r="474" spans="5:44" x14ac:dyDescent="0.25">
      <c r="I474" t="str">
        <f t="shared" si="39"/>
        <v>2020bbh</v>
      </c>
      <c r="J474" t="str">
        <f t="shared" si="40"/>
        <v/>
      </c>
      <c r="L474" t="str">
        <f t="shared" ref="L474:P524" si="43">IFERROR(VLOOKUP($I474&amp;L$1,$J:$Q,8,0),"")</f>
        <v>NGM-030 (MVS), NGH-030 (AES)</v>
      </c>
      <c r="M474" t="str">
        <f t="shared" si="43"/>
        <v>19910920 (MVS), 19911025 (AES)</v>
      </c>
      <c r="N474" t="str">
        <f t="shared" si="43"/>
        <v>2020年スーパーベースボール</v>
      </c>
      <c r="O474" t="str">
        <f t="shared" si="43"/>
        <v/>
      </c>
      <c r="P474" t="str">
        <f t="shared" si="43"/>
        <v/>
      </c>
      <c r="T474" t="str">
        <f t="shared" si="41"/>
        <v/>
      </c>
      <c r="V474" t="str">
        <f t="shared" si="42"/>
        <v>MVS,AES</v>
      </c>
      <c r="W474" t="str">
        <f t="shared" si="42"/>
        <v>MVS,AES</v>
      </c>
      <c r="AB474" t="s">
        <v>12</v>
      </c>
      <c r="AE474" t="s">
        <v>11</v>
      </c>
      <c r="AG474" t="s">
        <v>6</v>
      </c>
      <c r="AH474" t="s">
        <v>6498</v>
      </c>
      <c r="AI474" t="s">
        <v>9</v>
      </c>
      <c r="AJ474" t="s">
        <v>15</v>
      </c>
      <c r="AK474" t="s">
        <v>6497</v>
      </c>
      <c r="AL474" t="s">
        <v>6496</v>
      </c>
    </row>
    <row r="475" spans="5:44" x14ac:dyDescent="0.25">
      <c r="I475" t="str">
        <f t="shared" si="39"/>
        <v>2020bbh</v>
      </c>
      <c r="J475" t="str">
        <f t="shared" si="40"/>
        <v/>
      </c>
      <c r="L475" t="str">
        <f t="shared" si="43"/>
        <v>NGM-030 (MVS), NGH-030 (AES)</v>
      </c>
      <c r="M475" t="str">
        <f t="shared" si="43"/>
        <v>19910920 (MVS), 19911025 (AES)</v>
      </c>
      <c r="N475" t="str">
        <f t="shared" si="43"/>
        <v>2020年スーパーベースボール</v>
      </c>
      <c r="O475" t="str">
        <f t="shared" si="43"/>
        <v/>
      </c>
      <c r="P475" t="str">
        <f t="shared" si="43"/>
        <v/>
      </c>
      <c r="T475" t="str">
        <f t="shared" si="41"/>
        <v/>
      </c>
      <c r="V475" t="str">
        <f t="shared" si="42"/>
        <v>MVS,AES</v>
      </c>
      <c r="W475" t="str">
        <f t="shared" si="42"/>
        <v>MVS,AES</v>
      </c>
      <c r="AG475" t="s">
        <v>6</v>
      </c>
      <c r="AH475" t="s">
        <v>6495</v>
      </c>
      <c r="AI475" t="s">
        <v>4</v>
      </c>
      <c r="AJ475" t="s">
        <v>15</v>
      </c>
      <c r="AK475" t="s">
        <v>6494</v>
      </c>
      <c r="AL475" t="s">
        <v>6493</v>
      </c>
    </row>
    <row r="476" spans="5:44" x14ac:dyDescent="0.25">
      <c r="I476" t="str">
        <f t="shared" si="39"/>
        <v>2020bbh</v>
      </c>
      <c r="J476" t="str">
        <f t="shared" si="40"/>
        <v/>
      </c>
      <c r="L476" t="str">
        <f t="shared" si="43"/>
        <v>NGM-030 (MVS), NGH-030 (AES)</v>
      </c>
      <c r="M476" t="str">
        <f t="shared" si="43"/>
        <v>19910920 (MVS), 19911025 (AES)</v>
      </c>
      <c r="N476" t="str">
        <f t="shared" si="43"/>
        <v>2020年スーパーベースボール</v>
      </c>
      <c r="O476" t="str">
        <f t="shared" si="43"/>
        <v/>
      </c>
      <c r="P476" t="str">
        <f t="shared" si="43"/>
        <v/>
      </c>
      <c r="T476" t="str">
        <f t="shared" si="41"/>
        <v/>
      </c>
      <c r="V476" t="str">
        <f t="shared" si="42"/>
        <v>MVS,AES</v>
      </c>
      <c r="W476" t="str">
        <f t="shared" si="42"/>
        <v>MVS,AES</v>
      </c>
      <c r="AG476" t="s">
        <v>6</v>
      </c>
      <c r="AH476" t="s">
        <v>6492</v>
      </c>
      <c r="AI476" t="s">
        <v>3</v>
      </c>
      <c r="AJ476" t="s">
        <v>15</v>
      </c>
      <c r="AK476" t="s">
        <v>6491</v>
      </c>
      <c r="AL476" t="s">
        <v>6490</v>
      </c>
    </row>
    <row r="477" spans="5:44" x14ac:dyDescent="0.25">
      <c r="I477" t="str">
        <f t="shared" si="39"/>
        <v>2020bbh</v>
      </c>
      <c r="J477" t="str">
        <f t="shared" si="40"/>
        <v/>
      </c>
      <c r="L477" t="str">
        <f t="shared" si="43"/>
        <v>NGM-030 (MVS), NGH-030 (AES)</v>
      </c>
      <c r="M477" t="str">
        <f t="shared" si="43"/>
        <v>19910920 (MVS), 19911025 (AES)</v>
      </c>
      <c r="N477" t="str">
        <f t="shared" si="43"/>
        <v>2020年スーパーベースボール</v>
      </c>
      <c r="O477" t="str">
        <f t="shared" si="43"/>
        <v/>
      </c>
      <c r="P477" t="str">
        <f t="shared" si="43"/>
        <v/>
      </c>
      <c r="T477" t="str">
        <f t="shared" si="41"/>
        <v/>
      </c>
      <c r="V477" t="str">
        <f t="shared" si="42"/>
        <v>MVS,AES</v>
      </c>
      <c r="W477" t="str">
        <f t="shared" si="42"/>
        <v>MVS,AES</v>
      </c>
      <c r="AG477" t="s">
        <v>6</v>
      </c>
      <c r="AH477" t="s">
        <v>6489</v>
      </c>
      <c r="AI477" t="s">
        <v>4371</v>
      </c>
      <c r="AJ477" t="s">
        <v>15</v>
      </c>
      <c r="AK477" t="s">
        <v>6488</v>
      </c>
      <c r="AL477" t="s">
        <v>6487</v>
      </c>
    </row>
    <row r="478" spans="5:44" x14ac:dyDescent="0.25">
      <c r="E478" t="s">
        <v>6474</v>
      </c>
      <c r="F478" t="s">
        <v>6486</v>
      </c>
      <c r="G478" t="s">
        <v>6279</v>
      </c>
      <c r="H478" t="s">
        <v>1912</v>
      </c>
      <c r="I478" t="str">
        <f t="shared" si="39"/>
        <v>socbrawl</v>
      </c>
      <c r="J478" t="str">
        <f t="shared" si="40"/>
        <v>socbrawlserial</v>
      </c>
      <c r="K478" t="s">
        <v>1373</v>
      </c>
      <c r="L478" t="str">
        <f t="shared" si="43"/>
        <v>NGM-031</v>
      </c>
      <c r="M478" t="str">
        <f t="shared" si="43"/>
        <v>19920214</v>
      </c>
      <c r="N478" t="str">
        <f t="shared" si="43"/>
        <v>サッカーブロール</v>
      </c>
      <c r="O478" t="str">
        <f t="shared" si="43"/>
        <v/>
      </c>
      <c r="P478" t="str">
        <f t="shared" si="43"/>
        <v/>
      </c>
      <c r="Q478" t="s">
        <v>6485</v>
      </c>
      <c r="S478" t="s">
        <v>46</v>
      </c>
      <c r="T478" t="str">
        <f t="shared" si="41"/>
        <v>socbrawlrelease</v>
      </c>
      <c r="U478" t="s">
        <v>106</v>
      </c>
      <c r="V478" t="str">
        <f t="shared" si="42"/>
        <v>MVS</v>
      </c>
      <c r="W478" t="str">
        <f t="shared" si="42"/>
        <v>MVS,AES</v>
      </c>
      <c r="Y478" t="s">
        <v>45</v>
      </c>
      <c r="Z478" t="s">
        <v>44</v>
      </c>
      <c r="AB478" t="s">
        <v>43</v>
      </c>
      <c r="AC478" t="s">
        <v>42</v>
      </c>
      <c r="AD478" t="s">
        <v>41</v>
      </c>
      <c r="AE478" t="s">
        <v>15</v>
      </c>
      <c r="AG478" t="s">
        <v>40</v>
      </c>
      <c r="AH478" t="s">
        <v>6484</v>
      </c>
      <c r="AI478" t="s">
        <v>9</v>
      </c>
      <c r="AJ478" t="s">
        <v>92</v>
      </c>
      <c r="AK478" t="s">
        <v>6483</v>
      </c>
      <c r="AL478" t="s">
        <v>6482</v>
      </c>
    </row>
    <row r="479" spans="5:44" x14ac:dyDescent="0.25">
      <c r="I479" t="str">
        <f t="shared" si="39"/>
        <v>socbrawl</v>
      </c>
      <c r="J479" t="str">
        <f t="shared" si="40"/>
        <v>socbrawlrelease</v>
      </c>
      <c r="K479" t="s">
        <v>46</v>
      </c>
      <c r="L479" t="str">
        <f t="shared" si="43"/>
        <v>NGM-031</v>
      </c>
      <c r="M479" t="str">
        <f t="shared" si="43"/>
        <v>19920214</v>
      </c>
      <c r="N479" t="str">
        <f t="shared" si="43"/>
        <v>サッカーブロール</v>
      </c>
      <c r="O479" t="str">
        <f t="shared" si="43"/>
        <v/>
      </c>
      <c r="P479" t="str">
        <f t="shared" si="43"/>
        <v/>
      </c>
      <c r="Q479" t="s">
        <v>6481</v>
      </c>
      <c r="T479" t="str">
        <f t="shared" si="41"/>
        <v/>
      </c>
      <c r="V479" t="str">
        <f t="shared" si="42"/>
        <v>MVS</v>
      </c>
      <c r="W479" t="str">
        <f t="shared" si="42"/>
        <v>MVS,AES</v>
      </c>
      <c r="AB479" t="s">
        <v>34</v>
      </c>
      <c r="AE479" t="s">
        <v>33</v>
      </c>
      <c r="AH479" t="s">
        <v>6472</v>
      </c>
      <c r="AI479" t="s">
        <v>9</v>
      </c>
      <c r="AJ479" t="s">
        <v>27</v>
      </c>
      <c r="AK479" t="s">
        <v>6471</v>
      </c>
      <c r="AL479" t="s">
        <v>6470</v>
      </c>
    </row>
    <row r="480" spans="5:44" x14ac:dyDescent="0.25">
      <c r="I480" t="str">
        <f t="shared" si="39"/>
        <v>socbrawl</v>
      </c>
      <c r="J480" t="str">
        <f t="shared" si="40"/>
        <v>socbrawlalt_title</v>
      </c>
      <c r="K480" t="s">
        <v>1218</v>
      </c>
      <c r="L480" t="str">
        <f t="shared" si="43"/>
        <v>NGM-031</v>
      </c>
      <c r="M480" t="str">
        <f t="shared" si="43"/>
        <v>19920214</v>
      </c>
      <c r="N480" t="str">
        <f t="shared" si="43"/>
        <v>サッカーブロール</v>
      </c>
      <c r="O480" t="str">
        <f t="shared" si="43"/>
        <v/>
      </c>
      <c r="P480" t="str">
        <f t="shared" si="43"/>
        <v/>
      </c>
      <c r="Q480" t="s">
        <v>6469</v>
      </c>
      <c r="T480" t="str">
        <f t="shared" si="41"/>
        <v/>
      </c>
      <c r="V480" t="str">
        <f t="shared" si="42"/>
        <v>MVS</v>
      </c>
      <c r="W480" t="str">
        <f t="shared" si="42"/>
        <v>MVS,AES</v>
      </c>
      <c r="AB480" t="s">
        <v>29</v>
      </c>
      <c r="AE480" t="s">
        <v>27</v>
      </c>
      <c r="AH480" t="s">
        <v>6468</v>
      </c>
      <c r="AI480" t="s">
        <v>9</v>
      </c>
      <c r="AJ480" t="s">
        <v>27</v>
      </c>
      <c r="AK480" t="s">
        <v>6467</v>
      </c>
      <c r="AL480" t="s">
        <v>6466</v>
      </c>
    </row>
    <row r="481" spans="5:44" x14ac:dyDescent="0.25">
      <c r="I481" t="str">
        <f t="shared" si="39"/>
        <v>socbrawl</v>
      </c>
      <c r="J481" t="str">
        <f t="shared" si="40"/>
        <v/>
      </c>
      <c r="L481" t="str">
        <f t="shared" si="43"/>
        <v>NGM-031</v>
      </c>
      <c r="M481" t="str">
        <f t="shared" si="43"/>
        <v>19920214</v>
      </c>
      <c r="N481" t="str">
        <f t="shared" si="43"/>
        <v>サッカーブロール</v>
      </c>
      <c r="O481" t="str">
        <f t="shared" si="43"/>
        <v/>
      </c>
      <c r="P481" t="str">
        <f t="shared" si="43"/>
        <v/>
      </c>
      <c r="S481" t="s">
        <v>36</v>
      </c>
      <c r="T481" t="str">
        <f t="shared" si="41"/>
        <v>socbrawlcompatibility</v>
      </c>
      <c r="U481" t="s">
        <v>218</v>
      </c>
      <c r="V481" t="str">
        <f t="shared" si="42"/>
        <v>MVS</v>
      </c>
      <c r="W481" t="str">
        <f t="shared" si="42"/>
        <v>MVS,AES</v>
      </c>
      <c r="AB481" t="s">
        <v>24</v>
      </c>
      <c r="AE481" t="s">
        <v>3</v>
      </c>
      <c r="AH481" t="s">
        <v>6465</v>
      </c>
      <c r="AI481" t="s">
        <v>9</v>
      </c>
      <c r="AJ481" t="s">
        <v>15</v>
      </c>
      <c r="AK481" t="s">
        <v>6464</v>
      </c>
      <c r="AL481" t="s">
        <v>6463</v>
      </c>
    </row>
    <row r="482" spans="5:44" x14ac:dyDescent="0.25">
      <c r="I482" t="str">
        <f t="shared" si="39"/>
        <v>socbrawl</v>
      </c>
      <c r="J482" t="str">
        <f t="shared" si="40"/>
        <v/>
      </c>
      <c r="L482" t="str">
        <f t="shared" si="43"/>
        <v>NGM-031</v>
      </c>
      <c r="M482" t="str">
        <f t="shared" si="43"/>
        <v>19920214</v>
      </c>
      <c r="N482" t="str">
        <f t="shared" si="43"/>
        <v>サッカーブロール</v>
      </c>
      <c r="O482" t="str">
        <f t="shared" si="43"/>
        <v/>
      </c>
      <c r="P482" t="str">
        <f t="shared" si="43"/>
        <v/>
      </c>
      <c r="T482" t="str">
        <f t="shared" si="41"/>
        <v/>
      </c>
      <c r="V482" t="str">
        <f t="shared" si="42"/>
        <v>MVS</v>
      </c>
      <c r="W482" t="str">
        <f t="shared" si="42"/>
        <v>MVS,AES</v>
      </c>
      <c r="AH482" t="s">
        <v>6462</v>
      </c>
      <c r="AI482" t="s">
        <v>15</v>
      </c>
      <c r="AJ482" t="s">
        <v>15</v>
      </c>
      <c r="AK482" t="s">
        <v>6461</v>
      </c>
      <c r="AL482" t="s">
        <v>6460</v>
      </c>
    </row>
    <row r="483" spans="5:44" x14ac:dyDescent="0.25">
      <c r="I483" t="str">
        <f t="shared" si="39"/>
        <v>socbrawl</v>
      </c>
      <c r="J483" t="str">
        <f t="shared" si="40"/>
        <v/>
      </c>
      <c r="L483" t="str">
        <f t="shared" si="43"/>
        <v>NGM-031</v>
      </c>
      <c r="M483" t="str">
        <f t="shared" si="43"/>
        <v>19920214</v>
      </c>
      <c r="N483" t="str">
        <f t="shared" si="43"/>
        <v>サッカーブロール</v>
      </c>
      <c r="O483" t="str">
        <f t="shared" si="43"/>
        <v/>
      </c>
      <c r="P483" t="str">
        <f t="shared" si="43"/>
        <v/>
      </c>
      <c r="T483" t="str">
        <f t="shared" si="41"/>
        <v/>
      </c>
      <c r="V483" t="str">
        <f t="shared" si="42"/>
        <v>MVS</v>
      </c>
      <c r="W483" t="str">
        <f t="shared" si="42"/>
        <v>MVS,AES</v>
      </c>
      <c r="AB483" t="s">
        <v>12</v>
      </c>
      <c r="AE483" t="s">
        <v>377</v>
      </c>
      <c r="AG483" t="s">
        <v>6</v>
      </c>
      <c r="AH483" t="s">
        <v>6459</v>
      </c>
      <c r="AI483" t="s">
        <v>9</v>
      </c>
      <c r="AJ483" t="s">
        <v>15</v>
      </c>
      <c r="AK483" t="s">
        <v>6458</v>
      </c>
      <c r="AL483" t="s">
        <v>6457</v>
      </c>
    </row>
    <row r="484" spans="5:44" x14ac:dyDescent="0.25">
      <c r="I484" t="str">
        <f t="shared" si="39"/>
        <v>socbrawl</v>
      </c>
      <c r="J484" t="str">
        <f t="shared" si="40"/>
        <v/>
      </c>
      <c r="L484" t="str">
        <f t="shared" si="43"/>
        <v>NGM-031</v>
      </c>
      <c r="M484" t="str">
        <f t="shared" si="43"/>
        <v>19920214</v>
      </c>
      <c r="N484" t="str">
        <f t="shared" si="43"/>
        <v>サッカーブロール</v>
      </c>
      <c r="O484" t="str">
        <f t="shared" si="43"/>
        <v/>
      </c>
      <c r="P484" t="str">
        <f t="shared" si="43"/>
        <v/>
      </c>
      <c r="T484" t="str">
        <f t="shared" si="41"/>
        <v/>
      </c>
      <c r="V484" t="str">
        <f t="shared" si="42"/>
        <v>MVS</v>
      </c>
      <c r="W484" t="str">
        <f t="shared" si="42"/>
        <v>MVS,AES</v>
      </c>
      <c r="AG484" t="s">
        <v>6</v>
      </c>
      <c r="AH484" t="s">
        <v>6456</v>
      </c>
      <c r="AI484" t="s">
        <v>4</v>
      </c>
      <c r="AJ484" t="s">
        <v>15</v>
      </c>
      <c r="AK484" t="s">
        <v>6455</v>
      </c>
      <c r="AL484" t="s">
        <v>6454</v>
      </c>
    </row>
    <row r="485" spans="5:44" x14ac:dyDescent="0.25">
      <c r="I485" t="str">
        <f t="shared" si="39"/>
        <v>socbrawl</v>
      </c>
      <c r="J485" t="str">
        <f t="shared" si="40"/>
        <v/>
      </c>
      <c r="L485" t="str">
        <f t="shared" si="43"/>
        <v>NGM-031</v>
      </c>
      <c r="M485" t="str">
        <f t="shared" si="43"/>
        <v>19920214</v>
      </c>
      <c r="N485" t="str">
        <f t="shared" si="43"/>
        <v>サッカーブロール</v>
      </c>
      <c r="O485" t="str">
        <f t="shared" si="43"/>
        <v/>
      </c>
      <c r="P485" t="str">
        <f t="shared" si="43"/>
        <v/>
      </c>
      <c r="T485" t="str">
        <f t="shared" si="41"/>
        <v/>
      </c>
      <c r="V485" t="str">
        <f t="shared" si="42"/>
        <v>MVS</v>
      </c>
      <c r="W485" t="str">
        <f t="shared" si="42"/>
        <v>MVS,AES</v>
      </c>
      <c r="AG485" t="s">
        <v>6</v>
      </c>
      <c r="AH485" t="s">
        <v>6453</v>
      </c>
      <c r="AI485" t="s">
        <v>3</v>
      </c>
      <c r="AJ485" t="s">
        <v>92</v>
      </c>
      <c r="AK485" t="s">
        <v>6452</v>
      </c>
      <c r="AL485" t="s">
        <v>6451</v>
      </c>
    </row>
    <row r="486" spans="5:44" x14ac:dyDescent="0.25">
      <c r="I486" t="str">
        <f t="shared" si="39"/>
        <v>socbrawl</v>
      </c>
      <c r="J486" t="str">
        <f t="shared" si="40"/>
        <v/>
      </c>
      <c r="L486" t="str">
        <f t="shared" si="43"/>
        <v>NGM-031</v>
      </c>
      <c r="M486" t="str">
        <f t="shared" si="43"/>
        <v>19920214</v>
      </c>
      <c r="N486" t="str">
        <f t="shared" si="43"/>
        <v>サッカーブロール</v>
      </c>
      <c r="O486" t="str">
        <f t="shared" si="43"/>
        <v/>
      </c>
      <c r="P486" t="str">
        <f t="shared" si="43"/>
        <v/>
      </c>
      <c r="T486" t="str">
        <f t="shared" si="41"/>
        <v/>
      </c>
      <c r="V486" t="str">
        <f t="shared" si="42"/>
        <v>MVS</v>
      </c>
      <c r="W486" t="str">
        <f t="shared" si="42"/>
        <v>MVS,AES</v>
      </c>
      <c r="AG486" t="s">
        <v>6</v>
      </c>
      <c r="AH486" t="s">
        <v>6450</v>
      </c>
      <c r="AI486" t="s">
        <v>4371</v>
      </c>
      <c r="AJ486" t="s">
        <v>92</v>
      </c>
      <c r="AK486" t="s">
        <v>6449</v>
      </c>
      <c r="AL486" t="s">
        <v>6448</v>
      </c>
    </row>
    <row r="487" spans="5:44" x14ac:dyDescent="0.25">
      <c r="E487" t="s">
        <v>6480</v>
      </c>
      <c r="F487" t="s">
        <v>6479</v>
      </c>
      <c r="G487" t="s">
        <v>6279</v>
      </c>
      <c r="H487" t="s">
        <v>1912</v>
      </c>
      <c r="I487" t="str">
        <f t="shared" si="39"/>
        <v>socbrawlh</v>
      </c>
      <c r="J487" t="str">
        <f t="shared" si="40"/>
        <v>socbrawlhserial</v>
      </c>
      <c r="K487" t="s">
        <v>1373</v>
      </c>
      <c r="L487" t="str">
        <f t="shared" si="43"/>
        <v>NGH-031</v>
      </c>
      <c r="M487" t="str">
        <f t="shared" si="43"/>
        <v>19920313</v>
      </c>
      <c r="N487" t="str">
        <f t="shared" si="43"/>
        <v>サッカーブロール</v>
      </c>
      <c r="O487" t="str">
        <f t="shared" si="43"/>
        <v/>
      </c>
      <c r="P487" t="str">
        <f t="shared" si="43"/>
        <v/>
      </c>
      <c r="Q487" t="s">
        <v>6478</v>
      </c>
      <c r="S487" t="s">
        <v>46</v>
      </c>
      <c r="T487" t="str">
        <f t="shared" si="41"/>
        <v>socbrawlhrelease</v>
      </c>
      <c r="U487" t="s">
        <v>35</v>
      </c>
      <c r="V487" t="str">
        <f t="shared" si="42"/>
        <v>AES</v>
      </c>
      <c r="W487" t="str">
        <f t="shared" si="42"/>
        <v>MVS,AES</v>
      </c>
      <c r="Y487" t="s">
        <v>45</v>
      </c>
      <c r="Z487" t="s">
        <v>44</v>
      </c>
      <c r="AB487" t="s">
        <v>43</v>
      </c>
      <c r="AC487" t="s">
        <v>42</v>
      </c>
      <c r="AD487" t="s">
        <v>41</v>
      </c>
      <c r="AE487" t="s">
        <v>15</v>
      </c>
      <c r="AG487" t="s">
        <v>40</v>
      </c>
      <c r="AH487" t="s">
        <v>6477</v>
      </c>
      <c r="AI487" t="s">
        <v>9</v>
      </c>
      <c r="AJ487" t="s">
        <v>92</v>
      </c>
      <c r="AK487" t="s">
        <v>6476</v>
      </c>
      <c r="AL487" t="s">
        <v>6475</v>
      </c>
      <c r="AR487" t="s">
        <v>6474</v>
      </c>
    </row>
    <row r="488" spans="5:44" x14ac:dyDescent="0.25">
      <c r="I488" t="str">
        <f t="shared" si="39"/>
        <v>socbrawlh</v>
      </c>
      <c r="J488" t="str">
        <f t="shared" si="40"/>
        <v>socbrawlhrelease</v>
      </c>
      <c r="K488" t="s">
        <v>46</v>
      </c>
      <c r="L488" t="str">
        <f t="shared" si="43"/>
        <v>NGH-031</v>
      </c>
      <c r="M488" t="str">
        <f t="shared" si="43"/>
        <v>19920313</v>
      </c>
      <c r="N488" t="str">
        <f t="shared" si="43"/>
        <v>サッカーブロール</v>
      </c>
      <c r="O488" t="str">
        <f t="shared" si="43"/>
        <v/>
      </c>
      <c r="P488" t="str">
        <f t="shared" si="43"/>
        <v/>
      </c>
      <c r="Q488" t="s">
        <v>6473</v>
      </c>
      <c r="T488" t="str">
        <f t="shared" si="41"/>
        <v/>
      </c>
      <c r="V488" t="str">
        <f t="shared" si="42"/>
        <v>AES</v>
      </c>
      <c r="W488" t="str">
        <f t="shared" si="42"/>
        <v>MVS,AES</v>
      </c>
      <c r="AB488" t="s">
        <v>34</v>
      </c>
      <c r="AE488" t="s">
        <v>33</v>
      </c>
      <c r="AH488" t="s">
        <v>6472</v>
      </c>
      <c r="AI488" t="s">
        <v>9</v>
      </c>
      <c r="AJ488" t="s">
        <v>27</v>
      </c>
      <c r="AK488" t="s">
        <v>6471</v>
      </c>
      <c r="AL488" t="s">
        <v>6470</v>
      </c>
    </row>
    <row r="489" spans="5:44" x14ac:dyDescent="0.25">
      <c r="I489" t="str">
        <f t="shared" si="39"/>
        <v>socbrawlh</v>
      </c>
      <c r="J489" t="str">
        <f t="shared" si="40"/>
        <v>socbrawlhalt_title</v>
      </c>
      <c r="K489" t="s">
        <v>1218</v>
      </c>
      <c r="L489" t="str">
        <f t="shared" si="43"/>
        <v>NGH-031</v>
      </c>
      <c r="M489" t="str">
        <f t="shared" si="43"/>
        <v>19920313</v>
      </c>
      <c r="N489" t="str">
        <f t="shared" si="43"/>
        <v>サッカーブロール</v>
      </c>
      <c r="O489" t="str">
        <f t="shared" si="43"/>
        <v/>
      </c>
      <c r="P489" t="str">
        <f t="shared" si="43"/>
        <v/>
      </c>
      <c r="Q489" t="s">
        <v>6469</v>
      </c>
      <c r="T489" t="str">
        <f t="shared" si="41"/>
        <v/>
      </c>
      <c r="V489" t="str">
        <f t="shared" si="42"/>
        <v>AES</v>
      </c>
      <c r="W489" t="str">
        <f t="shared" si="42"/>
        <v>MVS,AES</v>
      </c>
      <c r="AB489" t="s">
        <v>29</v>
      </c>
      <c r="AE489" t="s">
        <v>27</v>
      </c>
      <c r="AH489" t="s">
        <v>6468</v>
      </c>
      <c r="AI489" t="s">
        <v>9</v>
      </c>
      <c r="AJ489" t="s">
        <v>27</v>
      </c>
      <c r="AK489" t="s">
        <v>6467</v>
      </c>
      <c r="AL489" t="s">
        <v>6466</v>
      </c>
    </row>
    <row r="490" spans="5:44" x14ac:dyDescent="0.25">
      <c r="I490" t="str">
        <f t="shared" si="39"/>
        <v>socbrawlh</v>
      </c>
      <c r="J490" t="str">
        <f t="shared" si="40"/>
        <v/>
      </c>
      <c r="L490" t="str">
        <f t="shared" si="43"/>
        <v>NGH-031</v>
      </c>
      <c r="M490" t="str">
        <f t="shared" si="43"/>
        <v>19920313</v>
      </c>
      <c r="N490" t="str">
        <f t="shared" si="43"/>
        <v>サッカーブロール</v>
      </c>
      <c r="O490" t="str">
        <f t="shared" si="43"/>
        <v/>
      </c>
      <c r="P490" t="str">
        <f t="shared" si="43"/>
        <v/>
      </c>
      <c r="S490" t="s">
        <v>36</v>
      </c>
      <c r="T490" t="str">
        <f t="shared" si="41"/>
        <v>socbrawlhcompatibility</v>
      </c>
      <c r="U490" t="s">
        <v>218</v>
      </c>
      <c r="V490" t="str">
        <f t="shared" si="42"/>
        <v>AES</v>
      </c>
      <c r="W490" t="str">
        <f t="shared" si="42"/>
        <v>MVS,AES</v>
      </c>
      <c r="AB490" t="s">
        <v>24</v>
      </c>
      <c r="AE490" t="s">
        <v>3</v>
      </c>
      <c r="AH490" t="s">
        <v>6465</v>
      </c>
      <c r="AI490" t="s">
        <v>9</v>
      </c>
      <c r="AJ490" t="s">
        <v>15</v>
      </c>
      <c r="AK490" t="s">
        <v>6464</v>
      </c>
      <c r="AL490" t="s">
        <v>6463</v>
      </c>
    </row>
    <row r="491" spans="5:44" x14ac:dyDescent="0.25">
      <c r="I491" t="str">
        <f t="shared" si="39"/>
        <v>socbrawlh</v>
      </c>
      <c r="J491" t="str">
        <f t="shared" si="40"/>
        <v/>
      </c>
      <c r="L491" t="str">
        <f t="shared" si="43"/>
        <v>NGH-031</v>
      </c>
      <c r="M491" t="str">
        <f t="shared" si="43"/>
        <v>19920313</v>
      </c>
      <c r="N491" t="str">
        <f t="shared" si="43"/>
        <v>サッカーブロール</v>
      </c>
      <c r="O491" t="str">
        <f t="shared" si="43"/>
        <v/>
      </c>
      <c r="P491" t="str">
        <f t="shared" si="43"/>
        <v/>
      </c>
      <c r="T491" t="str">
        <f t="shared" si="41"/>
        <v/>
      </c>
      <c r="V491" t="str">
        <f t="shared" si="42"/>
        <v>AES</v>
      </c>
      <c r="W491" t="str">
        <f t="shared" si="42"/>
        <v>MVS,AES</v>
      </c>
      <c r="AH491" t="s">
        <v>6462</v>
      </c>
      <c r="AI491" t="s">
        <v>15</v>
      </c>
      <c r="AJ491" t="s">
        <v>15</v>
      </c>
      <c r="AK491" t="s">
        <v>6461</v>
      </c>
      <c r="AL491" t="s">
        <v>6460</v>
      </c>
    </row>
    <row r="492" spans="5:44" x14ac:dyDescent="0.25">
      <c r="I492" t="str">
        <f t="shared" si="39"/>
        <v>socbrawlh</v>
      </c>
      <c r="J492" t="str">
        <f t="shared" si="40"/>
        <v/>
      </c>
      <c r="L492" t="str">
        <f t="shared" si="43"/>
        <v>NGH-031</v>
      </c>
      <c r="M492" t="str">
        <f t="shared" si="43"/>
        <v>19920313</v>
      </c>
      <c r="N492" t="str">
        <f t="shared" si="43"/>
        <v>サッカーブロール</v>
      </c>
      <c r="O492" t="str">
        <f t="shared" si="43"/>
        <v/>
      </c>
      <c r="P492" t="str">
        <f t="shared" si="43"/>
        <v/>
      </c>
      <c r="T492" t="str">
        <f t="shared" si="41"/>
        <v/>
      </c>
      <c r="V492" t="str">
        <f t="shared" si="42"/>
        <v>AES</v>
      </c>
      <c r="W492" t="str">
        <f t="shared" si="42"/>
        <v>MVS,AES</v>
      </c>
      <c r="AB492" t="s">
        <v>12</v>
      </c>
      <c r="AE492" t="s">
        <v>377</v>
      </c>
      <c r="AG492" t="s">
        <v>6</v>
      </c>
      <c r="AH492" t="s">
        <v>6459</v>
      </c>
      <c r="AI492" t="s">
        <v>9</v>
      </c>
      <c r="AJ492" t="s">
        <v>15</v>
      </c>
      <c r="AK492" t="s">
        <v>6458</v>
      </c>
      <c r="AL492" t="s">
        <v>6457</v>
      </c>
    </row>
    <row r="493" spans="5:44" x14ac:dyDescent="0.25">
      <c r="I493" t="str">
        <f t="shared" si="39"/>
        <v>socbrawlh</v>
      </c>
      <c r="J493" t="str">
        <f t="shared" si="40"/>
        <v/>
      </c>
      <c r="L493" t="str">
        <f t="shared" si="43"/>
        <v>NGH-031</v>
      </c>
      <c r="M493" t="str">
        <f t="shared" si="43"/>
        <v>19920313</v>
      </c>
      <c r="N493" t="str">
        <f t="shared" si="43"/>
        <v>サッカーブロール</v>
      </c>
      <c r="O493" t="str">
        <f t="shared" si="43"/>
        <v/>
      </c>
      <c r="P493" t="str">
        <f t="shared" si="43"/>
        <v/>
      </c>
      <c r="T493" t="str">
        <f t="shared" si="41"/>
        <v/>
      </c>
      <c r="V493" t="str">
        <f t="shared" si="42"/>
        <v>AES</v>
      </c>
      <c r="W493" t="str">
        <f t="shared" si="42"/>
        <v>MVS,AES</v>
      </c>
      <c r="AG493" t="s">
        <v>6</v>
      </c>
      <c r="AH493" t="s">
        <v>6456</v>
      </c>
      <c r="AI493" t="s">
        <v>4</v>
      </c>
      <c r="AJ493" t="s">
        <v>15</v>
      </c>
      <c r="AK493" t="s">
        <v>6455</v>
      </c>
      <c r="AL493" t="s">
        <v>6454</v>
      </c>
    </row>
    <row r="494" spans="5:44" x14ac:dyDescent="0.25">
      <c r="I494" t="str">
        <f t="shared" si="39"/>
        <v>socbrawlh</v>
      </c>
      <c r="J494" t="str">
        <f t="shared" si="40"/>
        <v/>
      </c>
      <c r="L494" t="str">
        <f t="shared" si="43"/>
        <v>NGH-031</v>
      </c>
      <c r="M494" t="str">
        <f t="shared" si="43"/>
        <v>19920313</v>
      </c>
      <c r="N494" t="str">
        <f t="shared" si="43"/>
        <v>サッカーブロール</v>
      </c>
      <c r="O494" t="str">
        <f t="shared" si="43"/>
        <v/>
      </c>
      <c r="P494" t="str">
        <f t="shared" si="43"/>
        <v/>
      </c>
      <c r="T494" t="str">
        <f t="shared" si="41"/>
        <v/>
      </c>
      <c r="V494" t="str">
        <f t="shared" si="42"/>
        <v>AES</v>
      </c>
      <c r="W494" t="str">
        <f t="shared" si="42"/>
        <v>MVS,AES</v>
      </c>
      <c r="AG494" t="s">
        <v>6</v>
      </c>
      <c r="AH494" t="s">
        <v>6453</v>
      </c>
      <c r="AI494" t="s">
        <v>3</v>
      </c>
      <c r="AJ494" t="s">
        <v>92</v>
      </c>
      <c r="AK494" t="s">
        <v>6452</v>
      </c>
      <c r="AL494" t="s">
        <v>6451</v>
      </c>
    </row>
    <row r="495" spans="5:44" x14ac:dyDescent="0.25">
      <c r="I495" t="str">
        <f t="shared" si="39"/>
        <v>socbrawlh</v>
      </c>
      <c r="J495" t="str">
        <f t="shared" si="40"/>
        <v/>
      </c>
      <c r="L495" t="str">
        <f t="shared" si="43"/>
        <v>NGH-031</v>
      </c>
      <c r="M495" t="str">
        <f t="shared" si="43"/>
        <v>19920313</v>
      </c>
      <c r="N495" t="str">
        <f t="shared" si="43"/>
        <v>サッカーブロール</v>
      </c>
      <c r="O495" t="str">
        <f t="shared" si="43"/>
        <v/>
      </c>
      <c r="P495" t="str">
        <f t="shared" si="43"/>
        <v/>
      </c>
      <c r="T495" t="str">
        <f t="shared" si="41"/>
        <v/>
      </c>
      <c r="V495" t="str">
        <f t="shared" si="42"/>
        <v>AES</v>
      </c>
      <c r="W495" t="str">
        <f t="shared" si="42"/>
        <v>MVS,AES</v>
      </c>
      <c r="AG495" t="s">
        <v>6</v>
      </c>
      <c r="AH495" t="s">
        <v>6450</v>
      </c>
      <c r="AI495" t="s">
        <v>4371</v>
      </c>
      <c r="AJ495" t="s">
        <v>92</v>
      </c>
      <c r="AK495" t="s">
        <v>6449</v>
      </c>
      <c r="AL495" t="s">
        <v>6448</v>
      </c>
    </row>
    <row r="496" spans="5:44" x14ac:dyDescent="0.25">
      <c r="E496" t="s">
        <v>6447</v>
      </c>
      <c r="F496" t="s">
        <v>6446</v>
      </c>
      <c r="G496" t="s">
        <v>6279</v>
      </c>
      <c r="H496" t="s">
        <v>1912</v>
      </c>
      <c r="I496" t="str">
        <f t="shared" si="39"/>
        <v>roboarmy</v>
      </c>
      <c r="J496" t="str">
        <f t="shared" si="40"/>
        <v>roboarmyserial</v>
      </c>
      <c r="K496" t="s">
        <v>1373</v>
      </c>
      <c r="L496" t="str">
        <f t="shared" si="43"/>
        <v>NGM-032 (MVS), NGH-032 (AES)</v>
      </c>
      <c r="M496" t="str">
        <f t="shared" si="43"/>
        <v>19911030 (MVS), 19911220 (AES)</v>
      </c>
      <c r="N496" t="str">
        <f t="shared" si="43"/>
        <v>ロボアーミー</v>
      </c>
      <c r="O496" t="str">
        <f t="shared" si="43"/>
        <v/>
      </c>
      <c r="P496" t="str">
        <f t="shared" si="43"/>
        <v/>
      </c>
      <c r="Q496" t="s">
        <v>6440</v>
      </c>
      <c r="S496" t="s">
        <v>46</v>
      </c>
      <c r="T496" t="str">
        <f t="shared" si="41"/>
        <v>roboarmyrelease</v>
      </c>
      <c r="U496" t="s">
        <v>218</v>
      </c>
      <c r="V496" t="str">
        <f t="shared" si="42"/>
        <v>MVS,AES</v>
      </c>
      <c r="W496" t="str">
        <f t="shared" si="42"/>
        <v>MVS,AES</v>
      </c>
      <c r="Y496" t="s">
        <v>45</v>
      </c>
      <c r="Z496" t="s">
        <v>44</v>
      </c>
      <c r="AB496" t="s">
        <v>43</v>
      </c>
      <c r="AC496" t="s">
        <v>42</v>
      </c>
      <c r="AD496" t="s">
        <v>41</v>
      </c>
      <c r="AE496" t="s">
        <v>15</v>
      </c>
      <c r="AG496" t="s">
        <v>40</v>
      </c>
      <c r="AH496" t="s">
        <v>6445</v>
      </c>
      <c r="AI496" t="s">
        <v>9</v>
      </c>
      <c r="AJ496" t="s">
        <v>92</v>
      </c>
      <c r="AK496" t="s">
        <v>6444</v>
      </c>
      <c r="AL496" t="s">
        <v>6443</v>
      </c>
    </row>
    <row r="497" spans="5:38" x14ac:dyDescent="0.25">
      <c r="I497" t="str">
        <f t="shared" si="39"/>
        <v>roboarmy</v>
      </c>
      <c r="J497" t="str">
        <f t="shared" si="40"/>
        <v>roboarmyrelease</v>
      </c>
      <c r="K497" t="s">
        <v>46</v>
      </c>
      <c r="L497" t="str">
        <f t="shared" si="43"/>
        <v>NGM-032 (MVS), NGH-032 (AES)</v>
      </c>
      <c r="M497" t="str">
        <f t="shared" si="43"/>
        <v>19911030 (MVS), 19911220 (AES)</v>
      </c>
      <c r="N497" t="str">
        <f t="shared" si="43"/>
        <v>ロボアーミー</v>
      </c>
      <c r="O497" t="str">
        <f t="shared" si="43"/>
        <v/>
      </c>
      <c r="P497" t="str">
        <f t="shared" si="43"/>
        <v/>
      </c>
      <c r="Q497" t="s">
        <v>6436</v>
      </c>
      <c r="T497" t="str">
        <f t="shared" si="41"/>
        <v/>
      </c>
      <c r="V497" t="str">
        <f t="shared" si="42"/>
        <v>MVS,AES</v>
      </c>
      <c r="W497" t="str">
        <f t="shared" si="42"/>
        <v>MVS,AES</v>
      </c>
      <c r="AB497" t="s">
        <v>34</v>
      </c>
      <c r="AE497" t="s">
        <v>33</v>
      </c>
      <c r="AH497" t="s">
        <v>6435</v>
      </c>
      <c r="AI497" t="s">
        <v>9</v>
      </c>
      <c r="AJ497" t="s">
        <v>27</v>
      </c>
      <c r="AK497" t="s">
        <v>6434</v>
      </c>
      <c r="AL497" t="s">
        <v>6433</v>
      </c>
    </row>
    <row r="498" spans="5:38" x14ac:dyDescent="0.25">
      <c r="I498" t="str">
        <f t="shared" si="39"/>
        <v>roboarmy</v>
      </c>
      <c r="J498" t="str">
        <f t="shared" si="40"/>
        <v>roboarmyalt_title</v>
      </c>
      <c r="K498" t="s">
        <v>1218</v>
      </c>
      <c r="L498" t="str">
        <f t="shared" si="43"/>
        <v>NGM-032 (MVS), NGH-032 (AES)</v>
      </c>
      <c r="M498" t="str">
        <f t="shared" si="43"/>
        <v>19911030 (MVS), 19911220 (AES)</v>
      </c>
      <c r="N498" t="str">
        <f t="shared" si="43"/>
        <v>ロボアーミー</v>
      </c>
      <c r="O498" t="str">
        <f t="shared" si="43"/>
        <v/>
      </c>
      <c r="P498" t="str">
        <f t="shared" si="43"/>
        <v/>
      </c>
      <c r="Q498" t="s">
        <v>6432</v>
      </c>
      <c r="T498" t="str">
        <f t="shared" si="41"/>
        <v/>
      </c>
      <c r="V498" t="str">
        <f t="shared" si="42"/>
        <v>MVS,AES</v>
      </c>
      <c r="W498" t="str">
        <f t="shared" si="42"/>
        <v>MVS,AES</v>
      </c>
      <c r="AB498" t="s">
        <v>29</v>
      </c>
      <c r="AE498" t="s">
        <v>27</v>
      </c>
      <c r="AH498" t="s">
        <v>6431</v>
      </c>
      <c r="AI498" t="s">
        <v>9</v>
      </c>
      <c r="AJ498" t="s">
        <v>27</v>
      </c>
      <c r="AK498" t="s">
        <v>6430</v>
      </c>
      <c r="AL498" t="s">
        <v>6429</v>
      </c>
    </row>
    <row r="499" spans="5:38" x14ac:dyDescent="0.25">
      <c r="I499" t="str">
        <f t="shared" si="39"/>
        <v>roboarmy</v>
      </c>
      <c r="J499" t="str">
        <f t="shared" si="40"/>
        <v/>
      </c>
      <c r="L499" t="str">
        <f t="shared" si="43"/>
        <v>NGM-032 (MVS), NGH-032 (AES)</v>
      </c>
      <c r="M499" t="str">
        <f t="shared" si="43"/>
        <v>19911030 (MVS), 19911220 (AES)</v>
      </c>
      <c r="N499" t="str">
        <f t="shared" si="43"/>
        <v>ロボアーミー</v>
      </c>
      <c r="O499" t="str">
        <f t="shared" si="43"/>
        <v/>
      </c>
      <c r="P499" t="str">
        <f t="shared" si="43"/>
        <v/>
      </c>
      <c r="S499" t="s">
        <v>36</v>
      </c>
      <c r="T499" t="str">
        <f t="shared" si="41"/>
        <v>roboarmycompatibility</v>
      </c>
      <c r="U499" t="s">
        <v>218</v>
      </c>
      <c r="V499" t="str">
        <f t="shared" si="42"/>
        <v>MVS,AES</v>
      </c>
      <c r="W499" t="str">
        <f t="shared" si="42"/>
        <v>MVS,AES</v>
      </c>
      <c r="AB499" t="s">
        <v>24</v>
      </c>
      <c r="AE499" t="s">
        <v>3</v>
      </c>
      <c r="AH499" t="s">
        <v>6428</v>
      </c>
      <c r="AI499" t="s">
        <v>9</v>
      </c>
      <c r="AJ499" t="s">
        <v>15</v>
      </c>
      <c r="AK499" t="s">
        <v>6427</v>
      </c>
      <c r="AL499" t="s">
        <v>6426</v>
      </c>
    </row>
    <row r="500" spans="5:38" x14ac:dyDescent="0.25">
      <c r="I500" t="str">
        <f t="shared" si="39"/>
        <v>roboarmy</v>
      </c>
      <c r="J500" t="str">
        <f t="shared" si="40"/>
        <v/>
      </c>
      <c r="L500" t="str">
        <f t="shared" si="43"/>
        <v>NGM-032 (MVS), NGH-032 (AES)</v>
      </c>
      <c r="M500" t="str">
        <f t="shared" si="43"/>
        <v>19911030 (MVS), 19911220 (AES)</v>
      </c>
      <c r="N500" t="str">
        <f t="shared" si="43"/>
        <v>ロボアーミー</v>
      </c>
      <c r="O500" t="str">
        <f t="shared" si="43"/>
        <v/>
      </c>
      <c r="P500" t="str">
        <f t="shared" si="43"/>
        <v/>
      </c>
      <c r="T500" t="str">
        <f t="shared" si="41"/>
        <v/>
      </c>
      <c r="V500" t="str">
        <f t="shared" si="42"/>
        <v>MVS,AES</v>
      </c>
      <c r="W500" t="str">
        <f t="shared" si="42"/>
        <v>MVS,AES</v>
      </c>
      <c r="AH500" t="s">
        <v>6425</v>
      </c>
      <c r="AI500" t="s">
        <v>15</v>
      </c>
      <c r="AJ500" t="s">
        <v>15</v>
      </c>
      <c r="AK500" t="s">
        <v>6424</v>
      </c>
      <c r="AL500" t="s">
        <v>6423</v>
      </c>
    </row>
    <row r="501" spans="5:38" x14ac:dyDescent="0.25">
      <c r="I501" t="str">
        <f t="shared" si="39"/>
        <v>roboarmy</v>
      </c>
      <c r="J501" t="str">
        <f t="shared" si="40"/>
        <v/>
      </c>
      <c r="L501" t="str">
        <f t="shared" si="43"/>
        <v>NGM-032 (MVS), NGH-032 (AES)</v>
      </c>
      <c r="M501" t="str">
        <f t="shared" si="43"/>
        <v>19911030 (MVS), 19911220 (AES)</v>
      </c>
      <c r="N501" t="str">
        <f t="shared" si="43"/>
        <v>ロボアーミー</v>
      </c>
      <c r="O501" t="str">
        <f t="shared" si="43"/>
        <v/>
      </c>
      <c r="P501" t="str">
        <f t="shared" si="43"/>
        <v/>
      </c>
      <c r="T501" t="str">
        <f t="shared" si="41"/>
        <v/>
      </c>
      <c r="V501" t="str">
        <f t="shared" si="42"/>
        <v>MVS,AES</v>
      </c>
      <c r="W501" t="str">
        <f t="shared" si="42"/>
        <v>MVS,AES</v>
      </c>
      <c r="AB501" t="s">
        <v>12</v>
      </c>
      <c r="AE501" t="s">
        <v>377</v>
      </c>
      <c r="AG501" t="s">
        <v>6</v>
      </c>
      <c r="AH501" t="s">
        <v>6422</v>
      </c>
      <c r="AI501" t="s">
        <v>9</v>
      </c>
      <c r="AJ501" t="s">
        <v>15</v>
      </c>
      <c r="AK501" t="s">
        <v>6421</v>
      </c>
      <c r="AL501" t="s">
        <v>6420</v>
      </c>
    </row>
    <row r="502" spans="5:38" x14ac:dyDescent="0.25">
      <c r="I502" t="str">
        <f t="shared" si="39"/>
        <v>roboarmy</v>
      </c>
      <c r="J502" t="str">
        <f t="shared" si="40"/>
        <v/>
      </c>
      <c r="L502" t="str">
        <f t="shared" si="43"/>
        <v>NGM-032 (MVS), NGH-032 (AES)</v>
      </c>
      <c r="M502" t="str">
        <f t="shared" si="43"/>
        <v>19911030 (MVS), 19911220 (AES)</v>
      </c>
      <c r="N502" t="str">
        <f t="shared" si="43"/>
        <v>ロボアーミー</v>
      </c>
      <c r="O502" t="str">
        <f t="shared" si="43"/>
        <v/>
      </c>
      <c r="P502" t="str">
        <f t="shared" si="43"/>
        <v/>
      </c>
      <c r="T502" t="str">
        <f t="shared" si="41"/>
        <v/>
      </c>
      <c r="V502" t="str">
        <f t="shared" si="42"/>
        <v>MVS,AES</v>
      </c>
      <c r="W502" t="str">
        <f t="shared" si="42"/>
        <v>MVS,AES</v>
      </c>
      <c r="AG502" t="s">
        <v>6</v>
      </c>
      <c r="AH502" t="s">
        <v>6419</v>
      </c>
      <c r="AI502" t="s">
        <v>4</v>
      </c>
      <c r="AJ502" t="s">
        <v>15</v>
      </c>
      <c r="AK502" t="s">
        <v>6418</v>
      </c>
      <c r="AL502" t="s">
        <v>6417</v>
      </c>
    </row>
    <row r="503" spans="5:38" x14ac:dyDescent="0.25">
      <c r="I503" t="str">
        <f t="shared" si="39"/>
        <v>roboarmy</v>
      </c>
      <c r="J503" t="str">
        <f t="shared" si="40"/>
        <v/>
      </c>
      <c r="L503" t="str">
        <f t="shared" si="43"/>
        <v>NGM-032 (MVS), NGH-032 (AES)</v>
      </c>
      <c r="M503" t="str">
        <f t="shared" si="43"/>
        <v>19911030 (MVS), 19911220 (AES)</v>
      </c>
      <c r="N503" t="str">
        <f t="shared" si="43"/>
        <v>ロボアーミー</v>
      </c>
      <c r="O503" t="str">
        <f t="shared" si="43"/>
        <v/>
      </c>
      <c r="P503" t="str">
        <f t="shared" si="43"/>
        <v/>
      </c>
      <c r="T503" t="str">
        <f t="shared" si="41"/>
        <v/>
      </c>
      <c r="V503" t="str">
        <f t="shared" si="42"/>
        <v>MVS,AES</v>
      </c>
      <c r="W503" t="str">
        <f t="shared" si="42"/>
        <v>MVS,AES</v>
      </c>
      <c r="AG503" t="s">
        <v>6</v>
      </c>
      <c r="AH503" t="s">
        <v>6416</v>
      </c>
      <c r="AI503" t="s">
        <v>3</v>
      </c>
      <c r="AJ503" t="s">
        <v>92</v>
      </c>
      <c r="AK503" t="s">
        <v>6415</v>
      </c>
      <c r="AL503" t="s">
        <v>6414</v>
      </c>
    </row>
    <row r="504" spans="5:38" x14ac:dyDescent="0.25">
      <c r="I504" t="str">
        <f t="shared" si="39"/>
        <v>roboarmy</v>
      </c>
      <c r="J504" t="str">
        <f t="shared" si="40"/>
        <v/>
      </c>
      <c r="L504" t="str">
        <f t="shared" si="43"/>
        <v>NGM-032 (MVS), NGH-032 (AES)</v>
      </c>
      <c r="M504" t="str">
        <f t="shared" si="43"/>
        <v>19911030 (MVS), 19911220 (AES)</v>
      </c>
      <c r="N504" t="str">
        <f t="shared" si="43"/>
        <v>ロボアーミー</v>
      </c>
      <c r="O504" t="str">
        <f t="shared" si="43"/>
        <v/>
      </c>
      <c r="P504" t="str">
        <f t="shared" si="43"/>
        <v/>
      </c>
      <c r="T504" t="str">
        <f t="shared" si="41"/>
        <v/>
      </c>
      <c r="V504" t="str">
        <f t="shared" si="42"/>
        <v>MVS,AES</v>
      </c>
      <c r="W504" t="str">
        <f t="shared" si="42"/>
        <v>MVS,AES</v>
      </c>
      <c r="AG504" t="s">
        <v>6</v>
      </c>
      <c r="AH504" t="s">
        <v>6413</v>
      </c>
      <c r="AI504" t="s">
        <v>4371</v>
      </c>
      <c r="AJ504" t="s">
        <v>92</v>
      </c>
      <c r="AK504" t="s">
        <v>6412</v>
      </c>
      <c r="AL504" t="s">
        <v>6411</v>
      </c>
    </row>
    <row r="505" spans="5:38" x14ac:dyDescent="0.25">
      <c r="E505" t="s">
        <v>6442</v>
      </c>
      <c r="F505" t="s">
        <v>6441</v>
      </c>
      <c r="G505" t="s">
        <v>6279</v>
      </c>
      <c r="H505" t="s">
        <v>1912</v>
      </c>
      <c r="I505" t="str">
        <f t="shared" si="39"/>
        <v>roboarmya</v>
      </c>
      <c r="J505" t="str">
        <f t="shared" si="40"/>
        <v>roboarmyaserial</v>
      </c>
      <c r="K505" t="s">
        <v>1373</v>
      </c>
      <c r="L505" t="str">
        <f t="shared" si="43"/>
        <v>NGM-032 (MVS), NGH-032 (AES)</v>
      </c>
      <c r="M505" t="str">
        <f t="shared" si="43"/>
        <v>19911030 (MVS), 19911220 (AES)</v>
      </c>
      <c r="N505" t="str">
        <f t="shared" si="43"/>
        <v>ロボアーミー</v>
      </c>
      <c r="O505" t="str">
        <f t="shared" si="43"/>
        <v/>
      </c>
      <c r="P505" t="str">
        <f t="shared" si="43"/>
        <v/>
      </c>
      <c r="Q505" t="s">
        <v>6440</v>
      </c>
      <c r="S505" t="s">
        <v>46</v>
      </c>
      <c r="T505" t="str">
        <f t="shared" si="41"/>
        <v>roboarmyarelease</v>
      </c>
      <c r="U505" t="s">
        <v>218</v>
      </c>
      <c r="V505" t="str">
        <f t="shared" si="42"/>
        <v>MVS,AES</v>
      </c>
      <c r="W505" t="str">
        <f t="shared" si="42"/>
        <v>MVS,AES</v>
      </c>
      <c r="Y505" t="s">
        <v>45</v>
      </c>
      <c r="Z505" t="s">
        <v>44</v>
      </c>
      <c r="AB505" t="s">
        <v>43</v>
      </c>
      <c r="AC505" t="s">
        <v>42</v>
      </c>
      <c r="AD505" t="s">
        <v>41</v>
      </c>
      <c r="AE505" t="s">
        <v>15</v>
      </c>
      <c r="AG505" t="s">
        <v>40</v>
      </c>
      <c r="AH505" t="s">
        <v>6439</v>
      </c>
      <c r="AI505" t="s">
        <v>9</v>
      </c>
      <c r="AJ505" t="s">
        <v>92</v>
      </c>
      <c r="AK505" t="s">
        <v>6438</v>
      </c>
      <c r="AL505" t="s">
        <v>6437</v>
      </c>
    </row>
    <row r="506" spans="5:38" x14ac:dyDescent="0.25">
      <c r="I506" t="str">
        <f t="shared" si="39"/>
        <v>roboarmya</v>
      </c>
      <c r="J506" t="str">
        <f t="shared" si="40"/>
        <v>roboarmyarelease</v>
      </c>
      <c r="K506" t="s">
        <v>46</v>
      </c>
      <c r="L506" t="str">
        <f t="shared" si="43"/>
        <v>NGM-032 (MVS), NGH-032 (AES)</v>
      </c>
      <c r="M506" t="str">
        <f t="shared" si="43"/>
        <v>19911030 (MVS), 19911220 (AES)</v>
      </c>
      <c r="N506" t="str">
        <f t="shared" si="43"/>
        <v>ロボアーミー</v>
      </c>
      <c r="O506" t="str">
        <f t="shared" si="43"/>
        <v/>
      </c>
      <c r="P506" t="str">
        <f t="shared" si="43"/>
        <v/>
      </c>
      <c r="Q506" t="s">
        <v>6436</v>
      </c>
      <c r="T506" t="str">
        <f t="shared" si="41"/>
        <v/>
      </c>
      <c r="V506" t="str">
        <f t="shared" si="42"/>
        <v>MVS,AES</v>
      </c>
      <c r="W506" t="str">
        <f t="shared" si="42"/>
        <v>MVS,AES</v>
      </c>
      <c r="AB506" t="s">
        <v>34</v>
      </c>
      <c r="AE506" t="s">
        <v>33</v>
      </c>
      <c r="AH506" t="s">
        <v>6435</v>
      </c>
      <c r="AI506" t="s">
        <v>9</v>
      </c>
      <c r="AJ506" t="s">
        <v>27</v>
      </c>
      <c r="AK506" t="s">
        <v>6434</v>
      </c>
      <c r="AL506" t="s">
        <v>6433</v>
      </c>
    </row>
    <row r="507" spans="5:38" x14ac:dyDescent="0.25">
      <c r="I507" t="str">
        <f t="shared" si="39"/>
        <v>roboarmya</v>
      </c>
      <c r="J507" t="str">
        <f t="shared" si="40"/>
        <v>roboarmyaalt_title</v>
      </c>
      <c r="K507" t="s">
        <v>1218</v>
      </c>
      <c r="L507" t="str">
        <f t="shared" si="43"/>
        <v>NGM-032 (MVS), NGH-032 (AES)</v>
      </c>
      <c r="M507" t="str">
        <f t="shared" si="43"/>
        <v>19911030 (MVS), 19911220 (AES)</v>
      </c>
      <c r="N507" t="str">
        <f t="shared" si="43"/>
        <v>ロボアーミー</v>
      </c>
      <c r="O507" t="str">
        <f t="shared" si="43"/>
        <v/>
      </c>
      <c r="P507" t="str">
        <f t="shared" si="43"/>
        <v/>
      </c>
      <c r="Q507" t="s">
        <v>6432</v>
      </c>
      <c r="T507" t="str">
        <f t="shared" si="41"/>
        <v/>
      </c>
      <c r="V507" t="str">
        <f t="shared" si="42"/>
        <v>MVS,AES</v>
      </c>
      <c r="W507" t="str">
        <f t="shared" si="42"/>
        <v>MVS,AES</v>
      </c>
      <c r="AB507" t="s">
        <v>29</v>
      </c>
      <c r="AE507" t="s">
        <v>27</v>
      </c>
      <c r="AH507" t="s">
        <v>6431</v>
      </c>
      <c r="AI507" t="s">
        <v>9</v>
      </c>
      <c r="AJ507" t="s">
        <v>27</v>
      </c>
      <c r="AK507" t="s">
        <v>6430</v>
      </c>
      <c r="AL507" t="s">
        <v>6429</v>
      </c>
    </row>
    <row r="508" spans="5:38" x14ac:dyDescent="0.25">
      <c r="I508" t="str">
        <f t="shared" si="39"/>
        <v>roboarmya</v>
      </c>
      <c r="J508" t="str">
        <f t="shared" si="40"/>
        <v/>
      </c>
      <c r="L508" t="str">
        <f t="shared" si="43"/>
        <v>NGM-032 (MVS), NGH-032 (AES)</v>
      </c>
      <c r="M508" t="str">
        <f t="shared" si="43"/>
        <v>19911030 (MVS), 19911220 (AES)</v>
      </c>
      <c r="N508" t="str">
        <f t="shared" si="43"/>
        <v>ロボアーミー</v>
      </c>
      <c r="O508" t="str">
        <f t="shared" si="43"/>
        <v/>
      </c>
      <c r="P508" t="str">
        <f t="shared" si="43"/>
        <v/>
      </c>
      <c r="S508" t="s">
        <v>36</v>
      </c>
      <c r="T508" t="str">
        <f t="shared" si="41"/>
        <v>roboarmyacompatibility</v>
      </c>
      <c r="U508" t="s">
        <v>218</v>
      </c>
      <c r="V508" t="str">
        <f t="shared" si="42"/>
        <v>MVS,AES</v>
      </c>
      <c r="W508" t="str">
        <f t="shared" si="42"/>
        <v>MVS,AES</v>
      </c>
      <c r="AB508" t="s">
        <v>24</v>
      </c>
      <c r="AE508" t="s">
        <v>3</v>
      </c>
      <c r="AH508" t="s">
        <v>6428</v>
      </c>
      <c r="AI508" t="s">
        <v>9</v>
      </c>
      <c r="AJ508" t="s">
        <v>15</v>
      </c>
      <c r="AK508" t="s">
        <v>6427</v>
      </c>
      <c r="AL508" t="s">
        <v>6426</v>
      </c>
    </row>
    <row r="509" spans="5:38" x14ac:dyDescent="0.25">
      <c r="I509" t="str">
        <f t="shared" si="39"/>
        <v>roboarmya</v>
      </c>
      <c r="J509" t="str">
        <f t="shared" si="40"/>
        <v/>
      </c>
      <c r="L509" t="str">
        <f t="shared" si="43"/>
        <v>NGM-032 (MVS), NGH-032 (AES)</v>
      </c>
      <c r="M509" t="str">
        <f t="shared" si="43"/>
        <v>19911030 (MVS), 19911220 (AES)</v>
      </c>
      <c r="N509" t="str">
        <f t="shared" si="43"/>
        <v>ロボアーミー</v>
      </c>
      <c r="O509" t="str">
        <f t="shared" si="43"/>
        <v/>
      </c>
      <c r="P509" t="str">
        <f t="shared" si="43"/>
        <v/>
      </c>
      <c r="T509" t="str">
        <f t="shared" si="41"/>
        <v/>
      </c>
      <c r="V509" t="str">
        <f t="shared" si="42"/>
        <v>MVS,AES</v>
      </c>
      <c r="W509" t="str">
        <f t="shared" si="42"/>
        <v>MVS,AES</v>
      </c>
      <c r="AH509" t="s">
        <v>6425</v>
      </c>
      <c r="AI509" t="s">
        <v>15</v>
      </c>
      <c r="AJ509" t="s">
        <v>15</v>
      </c>
      <c r="AK509" t="s">
        <v>6424</v>
      </c>
      <c r="AL509" t="s">
        <v>6423</v>
      </c>
    </row>
    <row r="510" spans="5:38" x14ac:dyDescent="0.25">
      <c r="I510" t="str">
        <f t="shared" si="39"/>
        <v>roboarmya</v>
      </c>
      <c r="J510" t="str">
        <f t="shared" si="40"/>
        <v/>
      </c>
      <c r="L510" t="str">
        <f t="shared" si="43"/>
        <v>NGM-032 (MVS), NGH-032 (AES)</v>
      </c>
      <c r="M510" t="str">
        <f t="shared" si="43"/>
        <v>19911030 (MVS), 19911220 (AES)</v>
      </c>
      <c r="N510" t="str">
        <f t="shared" si="43"/>
        <v>ロボアーミー</v>
      </c>
      <c r="O510" t="str">
        <f t="shared" si="43"/>
        <v/>
      </c>
      <c r="P510" t="str">
        <f t="shared" si="43"/>
        <v/>
      </c>
      <c r="T510" t="str">
        <f t="shared" si="41"/>
        <v/>
      </c>
      <c r="V510" t="str">
        <f t="shared" si="42"/>
        <v>MVS,AES</v>
      </c>
      <c r="W510" t="str">
        <f t="shared" si="42"/>
        <v>MVS,AES</v>
      </c>
      <c r="AB510" t="s">
        <v>12</v>
      </c>
      <c r="AE510" t="s">
        <v>377</v>
      </c>
      <c r="AG510" t="s">
        <v>6</v>
      </c>
      <c r="AH510" t="s">
        <v>6422</v>
      </c>
      <c r="AI510" t="s">
        <v>9</v>
      </c>
      <c r="AJ510" t="s">
        <v>15</v>
      </c>
      <c r="AK510" t="s">
        <v>6421</v>
      </c>
      <c r="AL510" t="s">
        <v>6420</v>
      </c>
    </row>
    <row r="511" spans="5:38" x14ac:dyDescent="0.25">
      <c r="I511" t="str">
        <f t="shared" si="39"/>
        <v>roboarmya</v>
      </c>
      <c r="J511" t="str">
        <f t="shared" si="40"/>
        <v/>
      </c>
      <c r="L511" t="str">
        <f t="shared" si="43"/>
        <v>NGM-032 (MVS), NGH-032 (AES)</v>
      </c>
      <c r="M511" t="str">
        <f t="shared" si="43"/>
        <v>19911030 (MVS), 19911220 (AES)</v>
      </c>
      <c r="N511" t="str">
        <f t="shared" si="43"/>
        <v>ロボアーミー</v>
      </c>
      <c r="O511" t="str">
        <f t="shared" si="43"/>
        <v/>
      </c>
      <c r="P511" t="str">
        <f t="shared" si="43"/>
        <v/>
      </c>
      <c r="T511" t="str">
        <f t="shared" si="41"/>
        <v/>
      </c>
      <c r="V511" t="str">
        <f t="shared" si="42"/>
        <v>MVS,AES</v>
      </c>
      <c r="W511" t="str">
        <f t="shared" si="42"/>
        <v>MVS,AES</v>
      </c>
      <c r="AG511" t="s">
        <v>6</v>
      </c>
      <c r="AH511" t="s">
        <v>6419</v>
      </c>
      <c r="AI511" t="s">
        <v>4</v>
      </c>
      <c r="AJ511" t="s">
        <v>15</v>
      </c>
      <c r="AK511" t="s">
        <v>6418</v>
      </c>
      <c r="AL511" t="s">
        <v>6417</v>
      </c>
    </row>
    <row r="512" spans="5:38" x14ac:dyDescent="0.25">
      <c r="I512" t="str">
        <f t="shared" si="39"/>
        <v>roboarmya</v>
      </c>
      <c r="J512" t="str">
        <f t="shared" si="40"/>
        <v/>
      </c>
      <c r="L512" t="str">
        <f t="shared" si="43"/>
        <v>NGM-032 (MVS), NGH-032 (AES)</v>
      </c>
      <c r="M512" t="str">
        <f t="shared" si="43"/>
        <v>19911030 (MVS), 19911220 (AES)</v>
      </c>
      <c r="N512" t="str">
        <f t="shared" si="43"/>
        <v>ロボアーミー</v>
      </c>
      <c r="O512" t="str">
        <f t="shared" si="43"/>
        <v/>
      </c>
      <c r="P512" t="str">
        <f t="shared" si="43"/>
        <v/>
      </c>
      <c r="T512" t="str">
        <f t="shared" si="41"/>
        <v/>
      </c>
      <c r="V512" t="str">
        <f t="shared" si="42"/>
        <v>MVS,AES</v>
      </c>
      <c r="W512" t="str">
        <f t="shared" si="42"/>
        <v>MVS,AES</v>
      </c>
      <c r="AG512" t="s">
        <v>6</v>
      </c>
      <c r="AH512" t="s">
        <v>6416</v>
      </c>
      <c r="AI512" t="s">
        <v>3</v>
      </c>
      <c r="AJ512" t="s">
        <v>92</v>
      </c>
      <c r="AK512" t="s">
        <v>6415</v>
      </c>
      <c r="AL512" t="s">
        <v>6414</v>
      </c>
    </row>
    <row r="513" spans="5:38" x14ac:dyDescent="0.25">
      <c r="I513" t="str">
        <f t="shared" si="39"/>
        <v>roboarmya</v>
      </c>
      <c r="J513" t="str">
        <f t="shared" si="40"/>
        <v/>
      </c>
      <c r="L513" t="str">
        <f t="shared" si="43"/>
        <v>NGM-032 (MVS), NGH-032 (AES)</v>
      </c>
      <c r="M513" t="str">
        <f t="shared" si="43"/>
        <v>19911030 (MVS), 19911220 (AES)</v>
      </c>
      <c r="N513" t="str">
        <f t="shared" si="43"/>
        <v>ロボアーミー</v>
      </c>
      <c r="O513" t="str">
        <f t="shared" si="43"/>
        <v/>
      </c>
      <c r="P513" t="str">
        <f t="shared" si="43"/>
        <v/>
      </c>
      <c r="T513" t="str">
        <f t="shared" si="41"/>
        <v/>
      </c>
      <c r="V513" t="str">
        <f t="shared" si="42"/>
        <v>MVS,AES</v>
      </c>
      <c r="W513" t="str">
        <f t="shared" si="42"/>
        <v>MVS,AES</v>
      </c>
      <c r="AG513" t="s">
        <v>6</v>
      </c>
      <c r="AH513" t="s">
        <v>6413</v>
      </c>
      <c r="AI513" t="s">
        <v>4371</v>
      </c>
      <c r="AJ513" t="s">
        <v>92</v>
      </c>
      <c r="AK513" t="s">
        <v>6412</v>
      </c>
      <c r="AL513" t="s">
        <v>6411</v>
      </c>
    </row>
    <row r="514" spans="5:38" x14ac:dyDescent="0.25">
      <c r="E514" t="s">
        <v>6410</v>
      </c>
      <c r="F514" t="s">
        <v>6409</v>
      </c>
      <c r="G514" t="s">
        <v>6279</v>
      </c>
      <c r="H514" t="s">
        <v>1912</v>
      </c>
      <c r="I514" t="str">
        <f t="shared" si="39"/>
        <v>fatfury1</v>
      </c>
      <c r="J514" t="str">
        <f t="shared" si="40"/>
        <v>fatfury1serial</v>
      </c>
      <c r="K514" t="s">
        <v>1373</v>
      </c>
      <c r="L514" t="str">
        <f t="shared" si="43"/>
        <v>NGM-033 (MVS), NGH-033 (AES)</v>
      </c>
      <c r="M514" t="str">
        <f t="shared" si="43"/>
        <v>19911125 (MVS), 19911220 (AES)</v>
      </c>
      <c r="N514" t="str">
        <f t="shared" si="43"/>
        <v>餓狼伝説 宿命の闘い</v>
      </c>
      <c r="O514" t="str">
        <f t="shared" si="43"/>
        <v/>
      </c>
      <c r="P514" t="str">
        <f t="shared" si="43"/>
        <v/>
      </c>
      <c r="Q514" t="s">
        <v>6408</v>
      </c>
      <c r="S514" t="s">
        <v>46</v>
      </c>
      <c r="T514" t="str">
        <f t="shared" si="41"/>
        <v>fatfury1release</v>
      </c>
      <c r="U514" t="s">
        <v>218</v>
      </c>
      <c r="V514" t="str">
        <f t="shared" si="42"/>
        <v>MVS,AES</v>
      </c>
      <c r="W514" t="str">
        <f t="shared" si="42"/>
        <v>MVS,AES</v>
      </c>
      <c r="Y514" t="s">
        <v>45</v>
      </c>
      <c r="Z514" t="s">
        <v>44</v>
      </c>
      <c r="AB514" t="s">
        <v>43</v>
      </c>
      <c r="AC514" t="s">
        <v>42</v>
      </c>
      <c r="AD514" t="s">
        <v>41</v>
      </c>
      <c r="AE514" t="s">
        <v>15</v>
      </c>
      <c r="AG514" t="s">
        <v>40</v>
      </c>
      <c r="AH514" t="s">
        <v>6407</v>
      </c>
      <c r="AI514" t="s">
        <v>9</v>
      </c>
      <c r="AJ514" t="s">
        <v>92</v>
      </c>
      <c r="AK514" t="s">
        <v>6406</v>
      </c>
      <c r="AL514" t="s">
        <v>6405</v>
      </c>
    </row>
    <row r="515" spans="5:38" x14ac:dyDescent="0.25">
      <c r="I515" t="str">
        <f t="shared" ref="I515:I578" si="44">IF(E515="",I514,E515)</f>
        <v>fatfury1</v>
      </c>
      <c r="J515" t="str">
        <f t="shared" ref="J515:J578" si="45">IF(K515="","",I515&amp;K515)</f>
        <v>fatfury1release</v>
      </c>
      <c r="K515" t="s">
        <v>46</v>
      </c>
      <c r="L515" t="str">
        <f t="shared" si="43"/>
        <v>NGM-033 (MVS), NGH-033 (AES)</v>
      </c>
      <c r="M515" t="str">
        <f t="shared" si="43"/>
        <v>19911125 (MVS), 19911220 (AES)</v>
      </c>
      <c r="N515" t="str">
        <f t="shared" si="43"/>
        <v>餓狼伝説 宿命の闘い</v>
      </c>
      <c r="O515" t="str">
        <f t="shared" si="43"/>
        <v/>
      </c>
      <c r="P515" t="str">
        <f t="shared" si="43"/>
        <v/>
      </c>
      <c r="Q515" t="s">
        <v>6404</v>
      </c>
      <c r="T515" t="str">
        <f t="shared" ref="T515:T578" si="46">IF(S515="","",I515&amp;S515)</f>
        <v/>
      </c>
      <c r="V515" t="str">
        <f t="shared" si="42"/>
        <v>MVS,AES</v>
      </c>
      <c r="W515" t="str">
        <f t="shared" si="42"/>
        <v>MVS,AES</v>
      </c>
      <c r="AG515" t="s">
        <v>40</v>
      </c>
      <c r="AH515" t="s">
        <v>6403</v>
      </c>
      <c r="AI515" t="s">
        <v>92</v>
      </c>
      <c r="AJ515" t="s">
        <v>27</v>
      </c>
      <c r="AK515" t="s">
        <v>6402</v>
      </c>
      <c r="AL515" t="s">
        <v>6401</v>
      </c>
    </row>
    <row r="516" spans="5:38" x14ac:dyDescent="0.25">
      <c r="I516" t="str">
        <f t="shared" si="44"/>
        <v>fatfury1</v>
      </c>
      <c r="J516" t="str">
        <f t="shared" si="45"/>
        <v>fatfury1alt_title</v>
      </c>
      <c r="K516" t="s">
        <v>1218</v>
      </c>
      <c r="L516" t="str">
        <f t="shared" si="43"/>
        <v>NGM-033 (MVS), NGH-033 (AES)</v>
      </c>
      <c r="M516" t="str">
        <f t="shared" si="43"/>
        <v>19911125 (MVS), 19911220 (AES)</v>
      </c>
      <c r="N516" t="str">
        <f t="shared" si="43"/>
        <v>餓狼伝説 宿命の闘い</v>
      </c>
      <c r="O516" t="str">
        <f t="shared" si="43"/>
        <v/>
      </c>
      <c r="P516" t="str">
        <f t="shared" si="43"/>
        <v/>
      </c>
      <c r="Q516" t="s">
        <v>6400</v>
      </c>
      <c r="T516" t="str">
        <f t="shared" si="46"/>
        <v/>
      </c>
      <c r="V516" t="str">
        <f t="shared" si="42"/>
        <v>MVS,AES</v>
      </c>
      <c r="W516" t="str">
        <f t="shared" si="42"/>
        <v>MVS,AES</v>
      </c>
      <c r="AB516" t="s">
        <v>34</v>
      </c>
      <c r="AE516" t="s">
        <v>33</v>
      </c>
      <c r="AH516" t="s">
        <v>6399</v>
      </c>
      <c r="AI516" t="s">
        <v>9</v>
      </c>
      <c r="AJ516" t="s">
        <v>27</v>
      </c>
      <c r="AK516" t="s">
        <v>6398</v>
      </c>
      <c r="AL516" t="s">
        <v>6397</v>
      </c>
    </row>
    <row r="517" spans="5:38" x14ac:dyDescent="0.25">
      <c r="I517" t="str">
        <f t="shared" si="44"/>
        <v>fatfury1</v>
      </c>
      <c r="J517" t="str">
        <f t="shared" si="45"/>
        <v/>
      </c>
      <c r="L517" t="str">
        <f t="shared" si="43"/>
        <v>NGM-033 (MVS), NGH-033 (AES)</v>
      </c>
      <c r="M517" t="str">
        <f t="shared" si="43"/>
        <v>19911125 (MVS), 19911220 (AES)</v>
      </c>
      <c r="N517" t="str">
        <f t="shared" si="43"/>
        <v>餓狼伝説 宿命の闘い</v>
      </c>
      <c r="O517" t="str">
        <f t="shared" si="43"/>
        <v/>
      </c>
      <c r="P517" t="str">
        <f t="shared" si="43"/>
        <v/>
      </c>
      <c r="S517" t="s">
        <v>36</v>
      </c>
      <c r="T517" t="str">
        <f t="shared" si="46"/>
        <v>fatfury1compatibility</v>
      </c>
      <c r="U517" t="s">
        <v>218</v>
      </c>
      <c r="V517" t="str">
        <f t="shared" si="42"/>
        <v>MVS,AES</v>
      </c>
      <c r="W517" t="str">
        <f t="shared" si="42"/>
        <v>MVS,AES</v>
      </c>
      <c r="AB517" t="s">
        <v>29</v>
      </c>
      <c r="AE517" t="s">
        <v>27</v>
      </c>
      <c r="AH517" t="s">
        <v>6396</v>
      </c>
      <c r="AI517" t="s">
        <v>9</v>
      </c>
      <c r="AJ517" t="s">
        <v>27</v>
      </c>
      <c r="AK517" t="s">
        <v>6395</v>
      </c>
      <c r="AL517" t="s">
        <v>6394</v>
      </c>
    </row>
    <row r="518" spans="5:38" x14ac:dyDescent="0.25">
      <c r="I518" t="str">
        <f t="shared" si="44"/>
        <v>fatfury1</v>
      </c>
      <c r="J518" t="str">
        <f t="shared" si="45"/>
        <v/>
      </c>
      <c r="L518" t="str">
        <f t="shared" si="43"/>
        <v>NGM-033 (MVS), NGH-033 (AES)</v>
      </c>
      <c r="M518" t="str">
        <f t="shared" si="43"/>
        <v>19911125 (MVS), 19911220 (AES)</v>
      </c>
      <c r="N518" t="str">
        <f t="shared" si="43"/>
        <v>餓狼伝説 宿命の闘い</v>
      </c>
      <c r="O518" t="str">
        <f t="shared" si="43"/>
        <v/>
      </c>
      <c r="P518" t="str">
        <f t="shared" si="43"/>
        <v/>
      </c>
      <c r="T518" t="str">
        <f t="shared" si="46"/>
        <v/>
      </c>
      <c r="V518" t="str">
        <f t="shared" si="42"/>
        <v>MVS,AES</v>
      </c>
      <c r="W518" t="str">
        <f t="shared" si="42"/>
        <v>MVS,AES</v>
      </c>
      <c r="AB518" t="s">
        <v>24</v>
      </c>
      <c r="AE518" t="s">
        <v>3</v>
      </c>
      <c r="AH518" t="s">
        <v>6393</v>
      </c>
      <c r="AI518" t="s">
        <v>9</v>
      </c>
      <c r="AJ518" t="s">
        <v>15</v>
      </c>
      <c r="AK518" t="s">
        <v>6392</v>
      </c>
      <c r="AL518" t="s">
        <v>6391</v>
      </c>
    </row>
    <row r="519" spans="5:38" x14ac:dyDescent="0.25">
      <c r="I519" t="str">
        <f t="shared" si="44"/>
        <v>fatfury1</v>
      </c>
      <c r="J519" t="str">
        <f t="shared" si="45"/>
        <v/>
      </c>
      <c r="L519" t="str">
        <f t="shared" si="43"/>
        <v>NGM-033 (MVS), NGH-033 (AES)</v>
      </c>
      <c r="M519" t="str">
        <f t="shared" si="43"/>
        <v>19911125 (MVS), 19911220 (AES)</v>
      </c>
      <c r="N519" t="str">
        <f t="shared" si="43"/>
        <v>餓狼伝説 宿命の闘い</v>
      </c>
      <c r="O519" t="str">
        <f t="shared" si="43"/>
        <v/>
      </c>
      <c r="P519" t="str">
        <f t="shared" si="43"/>
        <v/>
      </c>
      <c r="T519" t="str">
        <f t="shared" si="46"/>
        <v/>
      </c>
      <c r="V519" t="str">
        <f t="shared" si="42"/>
        <v>MVS,AES</v>
      </c>
      <c r="W519" t="str">
        <f t="shared" si="42"/>
        <v>MVS,AES</v>
      </c>
      <c r="AH519" t="s">
        <v>6390</v>
      </c>
      <c r="AI519" t="s">
        <v>15</v>
      </c>
      <c r="AJ519" t="s">
        <v>15</v>
      </c>
      <c r="AK519" t="s">
        <v>6389</v>
      </c>
      <c r="AL519" t="s">
        <v>6388</v>
      </c>
    </row>
    <row r="520" spans="5:38" x14ac:dyDescent="0.25">
      <c r="I520" t="str">
        <f t="shared" si="44"/>
        <v>fatfury1</v>
      </c>
      <c r="J520" t="str">
        <f t="shared" si="45"/>
        <v/>
      </c>
      <c r="L520" t="str">
        <f t="shared" si="43"/>
        <v>NGM-033 (MVS), NGH-033 (AES)</v>
      </c>
      <c r="M520" t="str">
        <f t="shared" si="43"/>
        <v>19911125 (MVS), 19911220 (AES)</v>
      </c>
      <c r="N520" t="str">
        <f t="shared" si="43"/>
        <v>餓狼伝説 宿命の闘い</v>
      </c>
      <c r="O520" t="str">
        <f t="shared" si="43"/>
        <v/>
      </c>
      <c r="P520" t="str">
        <f t="shared" si="43"/>
        <v/>
      </c>
      <c r="T520" t="str">
        <f t="shared" si="46"/>
        <v/>
      </c>
      <c r="V520" t="str">
        <f t="shared" si="42"/>
        <v>MVS,AES</v>
      </c>
      <c r="W520" t="str">
        <f t="shared" si="42"/>
        <v>MVS,AES</v>
      </c>
      <c r="AB520" t="s">
        <v>12</v>
      </c>
      <c r="AE520" t="s">
        <v>11</v>
      </c>
      <c r="AG520" t="s">
        <v>6</v>
      </c>
      <c r="AH520" t="s">
        <v>6387</v>
      </c>
      <c r="AI520" t="s">
        <v>9</v>
      </c>
      <c r="AJ520" t="s">
        <v>15</v>
      </c>
      <c r="AK520" t="s">
        <v>6386</v>
      </c>
      <c r="AL520" t="s">
        <v>6385</v>
      </c>
    </row>
    <row r="521" spans="5:38" x14ac:dyDescent="0.25">
      <c r="I521" t="str">
        <f t="shared" si="44"/>
        <v>fatfury1</v>
      </c>
      <c r="J521" t="str">
        <f t="shared" si="45"/>
        <v/>
      </c>
      <c r="L521" t="str">
        <f t="shared" si="43"/>
        <v>NGM-033 (MVS), NGH-033 (AES)</v>
      </c>
      <c r="M521" t="str">
        <f t="shared" si="43"/>
        <v>19911125 (MVS), 19911220 (AES)</v>
      </c>
      <c r="N521" t="str">
        <f t="shared" si="43"/>
        <v>餓狼伝説 宿命の闘い</v>
      </c>
      <c r="O521" t="str">
        <f t="shared" si="43"/>
        <v/>
      </c>
      <c r="P521" t="str">
        <f t="shared" si="43"/>
        <v/>
      </c>
      <c r="T521" t="str">
        <f t="shared" si="46"/>
        <v/>
      </c>
      <c r="V521" t="str">
        <f t="shared" si="42"/>
        <v>MVS,AES</v>
      </c>
      <c r="W521" t="str">
        <f t="shared" si="42"/>
        <v>MVS,AES</v>
      </c>
      <c r="AG521" t="s">
        <v>6</v>
      </c>
      <c r="AH521" t="s">
        <v>6384</v>
      </c>
      <c r="AI521" t="s">
        <v>4</v>
      </c>
      <c r="AJ521" t="s">
        <v>15</v>
      </c>
      <c r="AK521" t="s">
        <v>6383</v>
      </c>
      <c r="AL521" t="s">
        <v>6382</v>
      </c>
    </row>
    <row r="522" spans="5:38" x14ac:dyDescent="0.25">
      <c r="I522" t="str">
        <f t="shared" si="44"/>
        <v>fatfury1</v>
      </c>
      <c r="J522" t="str">
        <f t="shared" si="45"/>
        <v/>
      </c>
      <c r="L522" t="str">
        <f t="shared" si="43"/>
        <v>NGM-033 (MVS), NGH-033 (AES)</v>
      </c>
      <c r="M522" t="str">
        <f t="shared" si="43"/>
        <v>19911125 (MVS), 19911220 (AES)</v>
      </c>
      <c r="N522" t="str">
        <f t="shared" si="43"/>
        <v>餓狼伝説 宿命の闘い</v>
      </c>
      <c r="O522" t="str">
        <f t="shared" si="43"/>
        <v/>
      </c>
      <c r="P522" t="str">
        <f t="shared" si="43"/>
        <v/>
      </c>
      <c r="T522" t="str">
        <f t="shared" si="46"/>
        <v/>
      </c>
      <c r="V522" t="str">
        <f t="shared" si="42"/>
        <v>MVS,AES</v>
      </c>
      <c r="W522" t="str">
        <f t="shared" si="42"/>
        <v>MVS,AES</v>
      </c>
      <c r="AG522" t="s">
        <v>6</v>
      </c>
      <c r="AH522" t="s">
        <v>6381</v>
      </c>
      <c r="AI522" t="s">
        <v>3</v>
      </c>
      <c r="AJ522" t="s">
        <v>15</v>
      </c>
      <c r="AK522" t="s">
        <v>6380</v>
      </c>
      <c r="AL522" t="s">
        <v>6379</v>
      </c>
    </row>
    <row r="523" spans="5:38" x14ac:dyDescent="0.25">
      <c r="I523" t="str">
        <f t="shared" si="44"/>
        <v>fatfury1</v>
      </c>
      <c r="J523" t="str">
        <f t="shared" si="45"/>
        <v/>
      </c>
      <c r="L523" t="str">
        <f t="shared" si="43"/>
        <v>NGM-033 (MVS), NGH-033 (AES)</v>
      </c>
      <c r="M523" t="str">
        <f t="shared" si="43"/>
        <v>19911125 (MVS), 19911220 (AES)</v>
      </c>
      <c r="N523" t="str">
        <f t="shared" si="43"/>
        <v>餓狼伝説 宿命の闘い</v>
      </c>
      <c r="O523" t="str">
        <f t="shared" si="43"/>
        <v/>
      </c>
      <c r="P523" t="str">
        <f t="shared" si="43"/>
        <v/>
      </c>
      <c r="T523" t="str">
        <f t="shared" si="46"/>
        <v/>
      </c>
      <c r="V523" t="str">
        <f t="shared" si="42"/>
        <v>MVS,AES</v>
      </c>
      <c r="W523" t="str">
        <f t="shared" si="42"/>
        <v>MVS,AES</v>
      </c>
      <c r="AG523" t="s">
        <v>6</v>
      </c>
      <c r="AH523" t="s">
        <v>6378</v>
      </c>
      <c r="AI523" t="s">
        <v>4371</v>
      </c>
      <c r="AJ523" t="s">
        <v>15</v>
      </c>
      <c r="AK523" t="s">
        <v>6377</v>
      </c>
      <c r="AL523" t="s">
        <v>6376</v>
      </c>
    </row>
    <row r="524" spans="5:38" x14ac:dyDescent="0.25">
      <c r="E524" t="s">
        <v>6375</v>
      </c>
      <c r="F524" t="s">
        <v>6374</v>
      </c>
      <c r="G524" t="s">
        <v>5639</v>
      </c>
      <c r="H524" t="s">
        <v>1912</v>
      </c>
      <c r="I524" t="str">
        <f t="shared" si="44"/>
        <v>fbfrenzy</v>
      </c>
      <c r="J524" t="str">
        <f t="shared" si="45"/>
        <v>fbfrenzyserial</v>
      </c>
      <c r="K524" t="s">
        <v>1373</v>
      </c>
      <c r="L524" t="str">
        <f t="shared" si="43"/>
        <v>NGM-034 (MVS), NGH-034 (AES)</v>
      </c>
      <c r="M524" t="str">
        <f t="shared" si="43"/>
        <v>19920131 (MVS), 19920221 (AES)</v>
      </c>
      <c r="N524" t="str">
        <f t="shared" si="43"/>
        <v>フットボールフレンジー</v>
      </c>
      <c r="O524" t="str">
        <f t="shared" si="43"/>
        <v/>
      </c>
      <c r="P524" t="str">
        <f t="shared" si="43"/>
        <v/>
      </c>
      <c r="Q524" t="s">
        <v>6373</v>
      </c>
      <c r="S524" t="s">
        <v>46</v>
      </c>
      <c r="T524" t="str">
        <f t="shared" si="46"/>
        <v>fbfrenzyrelease</v>
      </c>
      <c r="U524" t="s">
        <v>218</v>
      </c>
      <c r="V524" t="str">
        <f t="shared" si="42"/>
        <v>MVS,AES</v>
      </c>
      <c r="W524" t="str">
        <f t="shared" si="42"/>
        <v>MVS,AES</v>
      </c>
      <c r="Y524" t="s">
        <v>45</v>
      </c>
      <c r="Z524" t="s">
        <v>44</v>
      </c>
      <c r="AB524" t="s">
        <v>43</v>
      </c>
      <c r="AC524" t="s">
        <v>42</v>
      </c>
      <c r="AD524" t="s">
        <v>41</v>
      </c>
      <c r="AE524" t="s">
        <v>15</v>
      </c>
      <c r="AG524" t="s">
        <v>40</v>
      </c>
      <c r="AH524" t="s">
        <v>6372</v>
      </c>
      <c r="AI524" t="s">
        <v>9</v>
      </c>
      <c r="AJ524" t="s">
        <v>92</v>
      </c>
      <c r="AK524" t="s">
        <v>6371</v>
      </c>
      <c r="AL524" t="s">
        <v>6370</v>
      </c>
    </row>
    <row r="525" spans="5:38" x14ac:dyDescent="0.25">
      <c r="I525" t="str">
        <f t="shared" si="44"/>
        <v>fbfrenzy</v>
      </c>
      <c r="J525" t="str">
        <f t="shared" si="45"/>
        <v>fbfrenzyrelease</v>
      </c>
      <c r="K525" t="s">
        <v>46</v>
      </c>
      <c r="L525" t="str">
        <f t="shared" ref="L525:P575" si="47">IFERROR(VLOOKUP($I525&amp;L$1,$J:$Q,8,0),"")</f>
        <v>NGM-034 (MVS), NGH-034 (AES)</v>
      </c>
      <c r="M525" t="str">
        <f t="shared" si="47"/>
        <v>19920131 (MVS), 19920221 (AES)</v>
      </c>
      <c r="N525" t="str">
        <f t="shared" si="47"/>
        <v>フットボールフレンジー</v>
      </c>
      <c r="O525" t="str">
        <f t="shared" si="47"/>
        <v/>
      </c>
      <c r="P525" t="str">
        <f t="shared" si="47"/>
        <v/>
      </c>
      <c r="Q525" t="s">
        <v>6369</v>
      </c>
      <c r="T525" t="str">
        <f t="shared" si="46"/>
        <v/>
      </c>
      <c r="V525" t="str">
        <f t="shared" si="42"/>
        <v>MVS,AES</v>
      </c>
      <c r="W525" t="str">
        <f t="shared" si="42"/>
        <v>MVS,AES</v>
      </c>
      <c r="AB525" t="s">
        <v>34</v>
      </c>
      <c r="AE525" t="s">
        <v>33</v>
      </c>
      <c r="AH525" t="s">
        <v>6368</v>
      </c>
      <c r="AI525" t="s">
        <v>9</v>
      </c>
      <c r="AJ525" t="s">
        <v>27</v>
      </c>
      <c r="AK525" t="s">
        <v>6367</v>
      </c>
      <c r="AL525" t="s">
        <v>6366</v>
      </c>
    </row>
    <row r="526" spans="5:38" x14ac:dyDescent="0.25">
      <c r="I526" t="str">
        <f t="shared" si="44"/>
        <v>fbfrenzy</v>
      </c>
      <c r="J526" t="str">
        <f t="shared" si="45"/>
        <v>fbfrenzyalt_title</v>
      </c>
      <c r="K526" t="s">
        <v>1218</v>
      </c>
      <c r="L526" t="str">
        <f t="shared" si="47"/>
        <v>NGM-034 (MVS), NGH-034 (AES)</v>
      </c>
      <c r="M526" t="str">
        <f t="shared" si="47"/>
        <v>19920131 (MVS), 19920221 (AES)</v>
      </c>
      <c r="N526" t="str">
        <f t="shared" si="47"/>
        <v>フットボールフレンジー</v>
      </c>
      <c r="O526" t="str">
        <f t="shared" si="47"/>
        <v/>
      </c>
      <c r="P526" t="str">
        <f t="shared" si="47"/>
        <v/>
      </c>
      <c r="Q526" t="s">
        <v>6365</v>
      </c>
      <c r="T526" t="str">
        <f t="shared" si="46"/>
        <v/>
      </c>
      <c r="V526" t="str">
        <f t="shared" si="42"/>
        <v>MVS,AES</v>
      </c>
      <c r="W526" t="str">
        <f t="shared" si="42"/>
        <v>MVS,AES</v>
      </c>
      <c r="AB526" t="s">
        <v>29</v>
      </c>
      <c r="AE526" t="s">
        <v>27</v>
      </c>
      <c r="AH526" t="s">
        <v>6364</v>
      </c>
      <c r="AI526" t="s">
        <v>9</v>
      </c>
      <c r="AJ526" t="s">
        <v>27</v>
      </c>
      <c r="AK526" t="s">
        <v>6363</v>
      </c>
      <c r="AL526" t="s">
        <v>6362</v>
      </c>
    </row>
    <row r="527" spans="5:38" x14ac:dyDescent="0.25">
      <c r="I527" t="str">
        <f t="shared" si="44"/>
        <v>fbfrenzy</v>
      </c>
      <c r="J527" t="str">
        <f t="shared" si="45"/>
        <v/>
      </c>
      <c r="L527" t="str">
        <f t="shared" si="47"/>
        <v>NGM-034 (MVS), NGH-034 (AES)</v>
      </c>
      <c r="M527" t="str">
        <f t="shared" si="47"/>
        <v>19920131 (MVS), 19920221 (AES)</v>
      </c>
      <c r="N527" t="str">
        <f t="shared" si="47"/>
        <v>フットボールフレンジー</v>
      </c>
      <c r="O527" t="str">
        <f t="shared" si="47"/>
        <v/>
      </c>
      <c r="P527" t="str">
        <f t="shared" si="47"/>
        <v/>
      </c>
      <c r="S527" t="s">
        <v>36</v>
      </c>
      <c r="T527" t="str">
        <f t="shared" si="46"/>
        <v>fbfrenzycompatibility</v>
      </c>
      <c r="U527" t="s">
        <v>218</v>
      </c>
      <c r="V527" t="str">
        <f t="shared" si="42"/>
        <v>MVS,AES</v>
      </c>
      <c r="W527" t="str">
        <f t="shared" si="42"/>
        <v>MVS,AES</v>
      </c>
      <c r="AB527" t="s">
        <v>24</v>
      </c>
      <c r="AE527" t="s">
        <v>3</v>
      </c>
      <c r="AH527" t="s">
        <v>6361</v>
      </c>
      <c r="AI527" t="s">
        <v>9</v>
      </c>
      <c r="AJ527" t="s">
        <v>15</v>
      </c>
      <c r="AK527" t="s">
        <v>6360</v>
      </c>
      <c r="AL527" t="s">
        <v>6359</v>
      </c>
    </row>
    <row r="528" spans="5:38" x14ac:dyDescent="0.25">
      <c r="I528" t="str">
        <f t="shared" si="44"/>
        <v>fbfrenzy</v>
      </c>
      <c r="J528" t="str">
        <f t="shared" si="45"/>
        <v/>
      </c>
      <c r="L528" t="str">
        <f t="shared" si="47"/>
        <v>NGM-034 (MVS), NGH-034 (AES)</v>
      </c>
      <c r="M528" t="str">
        <f t="shared" si="47"/>
        <v>19920131 (MVS), 19920221 (AES)</v>
      </c>
      <c r="N528" t="str">
        <f t="shared" si="47"/>
        <v>フットボールフレンジー</v>
      </c>
      <c r="O528" t="str">
        <f t="shared" si="47"/>
        <v/>
      </c>
      <c r="P528" t="str">
        <f t="shared" si="47"/>
        <v/>
      </c>
      <c r="T528" t="str">
        <f t="shared" si="46"/>
        <v/>
      </c>
      <c r="V528" t="str">
        <f t="shared" si="42"/>
        <v>MVS,AES</v>
      </c>
      <c r="W528" t="str">
        <f t="shared" si="42"/>
        <v>MVS,AES</v>
      </c>
      <c r="AH528" t="s">
        <v>6358</v>
      </c>
      <c r="AI528" t="s">
        <v>15</v>
      </c>
      <c r="AJ528" t="s">
        <v>15</v>
      </c>
      <c r="AK528" t="s">
        <v>6357</v>
      </c>
      <c r="AL528" t="s">
        <v>6356</v>
      </c>
    </row>
    <row r="529" spans="5:38" x14ac:dyDescent="0.25">
      <c r="I529" t="str">
        <f t="shared" si="44"/>
        <v>fbfrenzy</v>
      </c>
      <c r="J529" t="str">
        <f t="shared" si="45"/>
        <v/>
      </c>
      <c r="L529" t="str">
        <f t="shared" si="47"/>
        <v>NGM-034 (MVS), NGH-034 (AES)</v>
      </c>
      <c r="M529" t="str">
        <f t="shared" si="47"/>
        <v>19920131 (MVS), 19920221 (AES)</v>
      </c>
      <c r="N529" t="str">
        <f t="shared" si="47"/>
        <v>フットボールフレンジー</v>
      </c>
      <c r="O529" t="str">
        <f t="shared" si="47"/>
        <v/>
      </c>
      <c r="P529" t="str">
        <f t="shared" si="47"/>
        <v/>
      </c>
      <c r="T529" t="str">
        <f t="shared" si="46"/>
        <v/>
      </c>
      <c r="V529" t="str">
        <f t="shared" si="42"/>
        <v>MVS,AES</v>
      </c>
      <c r="W529" t="str">
        <f t="shared" si="42"/>
        <v>MVS,AES</v>
      </c>
      <c r="AB529" t="s">
        <v>12</v>
      </c>
      <c r="AE529" t="s">
        <v>377</v>
      </c>
      <c r="AG529" t="s">
        <v>6</v>
      </c>
      <c r="AH529" t="s">
        <v>6355</v>
      </c>
      <c r="AI529" t="s">
        <v>9</v>
      </c>
      <c r="AJ529" t="s">
        <v>15</v>
      </c>
      <c r="AK529" t="s">
        <v>6354</v>
      </c>
      <c r="AL529" t="s">
        <v>6353</v>
      </c>
    </row>
    <row r="530" spans="5:38" x14ac:dyDescent="0.25">
      <c r="I530" t="str">
        <f t="shared" si="44"/>
        <v>fbfrenzy</v>
      </c>
      <c r="J530" t="str">
        <f t="shared" si="45"/>
        <v/>
      </c>
      <c r="L530" t="str">
        <f t="shared" si="47"/>
        <v>NGM-034 (MVS), NGH-034 (AES)</v>
      </c>
      <c r="M530" t="str">
        <f t="shared" si="47"/>
        <v>19920131 (MVS), 19920221 (AES)</v>
      </c>
      <c r="N530" t="str">
        <f t="shared" si="47"/>
        <v>フットボールフレンジー</v>
      </c>
      <c r="O530" t="str">
        <f t="shared" si="47"/>
        <v/>
      </c>
      <c r="P530" t="str">
        <f t="shared" si="47"/>
        <v/>
      </c>
      <c r="T530" t="str">
        <f t="shared" si="46"/>
        <v/>
      </c>
      <c r="V530" t="str">
        <f t="shared" si="42"/>
        <v>MVS,AES</v>
      </c>
      <c r="W530" t="str">
        <f t="shared" si="42"/>
        <v>MVS,AES</v>
      </c>
      <c r="AG530" t="s">
        <v>6</v>
      </c>
      <c r="AH530" t="s">
        <v>6352</v>
      </c>
      <c r="AI530" t="s">
        <v>4</v>
      </c>
      <c r="AJ530" t="s">
        <v>15</v>
      </c>
      <c r="AK530" t="s">
        <v>6351</v>
      </c>
      <c r="AL530" t="s">
        <v>6350</v>
      </c>
    </row>
    <row r="531" spans="5:38" x14ac:dyDescent="0.25">
      <c r="I531" t="str">
        <f t="shared" si="44"/>
        <v>fbfrenzy</v>
      </c>
      <c r="J531" t="str">
        <f t="shared" si="45"/>
        <v/>
      </c>
      <c r="L531" t="str">
        <f t="shared" si="47"/>
        <v>NGM-034 (MVS), NGH-034 (AES)</v>
      </c>
      <c r="M531" t="str">
        <f t="shared" si="47"/>
        <v>19920131 (MVS), 19920221 (AES)</v>
      </c>
      <c r="N531" t="str">
        <f t="shared" si="47"/>
        <v>フットボールフレンジー</v>
      </c>
      <c r="O531" t="str">
        <f t="shared" si="47"/>
        <v/>
      </c>
      <c r="P531" t="str">
        <f t="shared" si="47"/>
        <v/>
      </c>
      <c r="T531" t="str">
        <f t="shared" si="46"/>
        <v/>
      </c>
      <c r="V531" t="str">
        <f t="shared" si="42"/>
        <v>MVS,AES</v>
      </c>
      <c r="W531" t="str">
        <f t="shared" si="42"/>
        <v>MVS,AES</v>
      </c>
      <c r="AG531" t="s">
        <v>6</v>
      </c>
      <c r="AH531" t="s">
        <v>6349</v>
      </c>
      <c r="AI531" t="s">
        <v>3</v>
      </c>
      <c r="AJ531" t="s">
        <v>92</v>
      </c>
      <c r="AK531" t="s">
        <v>6348</v>
      </c>
      <c r="AL531" t="s">
        <v>6347</v>
      </c>
    </row>
    <row r="532" spans="5:38" x14ac:dyDescent="0.25">
      <c r="I532" t="str">
        <f t="shared" si="44"/>
        <v>fbfrenzy</v>
      </c>
      <c r="J532" t="str">
        <f t="shared" si="45"/>
        <v/>
      </c>
      <c r="L532" t="str">
        <f t="shared" si="47"/>
        <v>NGM-034 (MVS), NGH-034 (AES)</v>
      </c>
      <c r="M532" t="str">
        <f t="shared" si="47"/>
        <v>19920131 (MVS), 19920221 (AES)</v>
      </c>
      <c r="N532" t="str">
        <f t="shared" si="47"/>
        <v>フットボールフレンジー</v>
      </c>
      <c r="O532" t="str">
        <f t="shared" si="47"/>
        <v/>
      </c>
      <c r="P532" t="str">
        <f t="shared" si="47"/>
        <v/>
      </c>
      <c r="T532" t="str">
        <f t="shared" si="46"/>
        <v/>
      </c>
      <c r="V532" t="str">
        <f t="shared" si="42"/>
        <v>MVS,AES</v>
      </c>
      <c r="W532" t="str">
        <f t="shared" si="42"/>
        <v>MVS,AES</v>
      </c>
      <c r="AG532" t="s">
        <v>6</v>
      </c>
      <c r="AH532" t="s">
        <v>6346</v>
      </c>
      <c r="AI532" t="s">
        <v>4371</v>
      </c>
      <c r="AJ532" t="s">
        <v>92</v>
      </c>
      <c r="AK532" t="s">
        <v>6345</v>
      </c>
      <c r="AL532" t="s">
        <v>6344</v>
      </c>
    </row>
    <row r="533" spans="5:38" x14ac:dyDescent="0.25">
      <c r="E533" t="s">
        <v>6343</v>
      </c>
      <c r="F533" t="s">
        <v>6342</v>
      </c>
      <c r="G533" t="s">
        <v>6279</v>
      </c>
      <c r="H533" t="s">
        <v>6341</v>
      </c>
      <c r="I533" t="str">
        <f t="shared" si="44"/>
        <v>bakatono</v>
      </c>
      <c r="J533" t="str">
        <f t="shared" si="45"/>
        <v>bakatonoserial</v>
      </c>
      <c r="K533" t="s">
        <v>1373</v>
      </c>
      <c r="L533" t="str">
        <f t="shared" si="47"/>
        <v>NGM-036 / MOM-002 (MVS), NGH-036 / MOH-002 (AES)</v>
      </c>
      <c r="M533" t="str">
        <f t="shared" si="47"/>
        <v>199111xx (MVS), 19911220 (AES)</v>
      </c>
      <c r="N533" t="str">
        <f t="shared" si="47"/>
        <v>バカ殿様 麻雀漫遊記</v>
      </c>
      <c r="O533" t="str">
        <f t="shared" si="47"/>
        <v/>
      </c>
      <c r="P533" t="str">
        <f t="shared" si="47"/>
        <v/>
      </c>
      <c r="Q533" t="s">
        <v>6340</v>
      </c>
      <c r="S533" t="s">
        <v>46</v>
      </c>
      <c r="T533" t="str">
        <f t="shared" si="46"/>
        <v>bakatonorelease</v>
      </c>
      <c r="U533" t="s">
        <v>218</v>
      </c>
      <c r="V533" t="str">
        <f t="shared" si="42"/>
        <v>MVS,AES</v>
      </c>
      <c r="W533" t="str">
        <f t="shared" si="42"/>
        <v>MVS,AES</v>
      </c>
      <c r="Y533" t="s">
        <v>45</v>
      </c>
      <c r="Z533" t="s">
        <v>44</v>
      </c>
      <c r="AB533" t="s">
        <v>43</v>
      </c>
      <c r="AC533" t="s">
        <v>42</v>
      </c>
      <c r="AD533" t="s">
        <v>41</v>
      </c>
      <c r="AE533" t="s">
        <v>15</v>
      </c>
      <c r="AG533" t="s">
        <v>40</v>
      </c>
      <c r="AH533" t="s">
        <v>6339</v>
      </c>
      <c r="AI533" t="s">
        <v>9</v>
      </c>
      <c r="AJ533" t="s">
        <v>92</v>
      </c>
      <c r="AK533" t="s">
        <v>6338</v>
      </c>
      <c r="AL533" t="s">
        <v>6337</v>
      </c>
    </row>
    <row r="534" spans="5:38" x14ac:dyDescent="0.25">
      <c r="I534" t="str">
        <f t="shared" si="44"/>
        <v>bakatono</v>
      </c>
      <c r="J534" t="str">
        <f t="shared" si="45"/>
        <v>bakatonorelease</v>
      </c>
      <c r="K534" t="s">
        <v>46</v>
      </c>
      <c r="L534" t="str">
        <f t="shared" si="47"/>
        <v>NGM-036 / MOM-002 (MVS), NGH-036 / MOH-002 (AES)</v>
      </c>
      <c r="M534" t="str">
        <f t="shared" si="47"/>
        <v>199111xx (MVS), 19911220 (AES)</v>
      </c>
      <c r="N534" t="str">
        <f t="shared" si="47"/>
        <v>バカ殿様 麻雀漫遊記</v>
      </c>
      <c r="O534" t="str">
        <f t="shared" si="47"/>
        <v/>
      </c>
      <c r="P534" t="str">
        <f t="shared" si="47"/>
        <v/>
      </c>
      <c r="Q534" t="s">
        <v>6336</v>
      </c>
      <c r="T534" t="str">
        <f t="shared" si="46"/>
        <v/>
      </c>
      <c r="V534" t="str">
        <f t="shared" si="42"/>
        <v>MVS,AES</v>
      </c>
      <c r="W534" t="str">
        <f t="shared" si="42"/>
        <v>MVS,AES</v>
      </c>
      <c r="AB534" t="s">
        <v>34</v>
      </c>
      <c r="AE534" t="s">
        <v>33</v>
      </c>
      <c r="AH534" t="s">
        <v>6335</v>
      </c>
      <c r="AI534" t="s">
        <v>9</v>
      </c>
      <c r="AJ534" t="s">
        <v>27</v>
      </c>
      <c r="AK534" t="s">
        <v>6334</v>
      </c>
      <c r="AL534" t="s">
        <v>6333</v>
      </c>
    </row>
    <row r="535" spans="5:38" x14ac:dyDescent="0.25">
      <c r="I535" t="str">
        <f t="shared" si="44"/>
        <v>bakatono</v>
      </c>
      <c r="J535" t="str">
        <f t="shared" si="45"/>
        <v>bakatonoalt_title</v>
      </c>
      <c r="K535" t="s">
        <v>1218</v>
      </c>
      <c r="L535" t="str">
        <f t="shared" si="47"/>
        <v>NGM-036 / MOM-002 (MVS), NGH-036 / MOH-002 (AES)</v>
      </c>
      <c r="M535" t="str">
        <f t="shared" si="47"/>
        <v>199111xx (MVS), 19911220 (AES)</v>
      </c>
      <c r="N535" t="str">
        <f t="shared" si="47"/>
        <v>バカ殿様 麻雀漫遊記</v>
      </c>
      <c r="O535" t="str">
        <f t="shared" si="47"/>
        <v/>
      </c>
      <c r="P535" t="str">
        <f t="shared" si="47"/>
        <v/>
      </c>
      <c r="Q535" t="s">
        <v>6332</v>
      </c>
      <c r="T535" t="str">
        <f t="shared" si="46"/>
        <v/>
      </c>
      <c r="V535" t="str">
        <f t="shared" ref="V535:W598" si="48">IFERROR(VLOOKUP($I535&amp;V$1,$T:$AA,2,0),"")</f>
        <v>MVS,AES</v>
      </c>
      <c r="W535" t="str">
        <f t="shared" si="48"/>
        <v>MVS,AES</v>
      </c>
      <c r="AB535" t="s">
        <v>29</v>
      </c>
      <c r="AE535" t="s">
        <v>27</v>
      </c>
      <c r="AH535" t="s">
        <v>6331</v>
      </c>
      <c r="AI535" t="s">
        <v>9</v>
      </c>
      <c r="AJ535" t="s">
        <v>27</v>
      </c>
      <c r="AK535" t="s">
        <v>6330</v>
      </c>
      <c r="AL535" t="s">
        <v>6329</v>
      </c>
    </row>
    <row r="536" spans="5:38" x14ac:dyDescent="0.25">
      <c r="I536" t="str">
        <f t="shared" si="44"/>
        <v>bakatono</v>
      </c>
      <c r="J536" t="str">
        <f t="shared" si="45"/>
        <v/>
      </c>
      <c r="L536" t="str">
        <f t="shared" si="47"/>
        <v>NGM-036 / MOM-002 (MVS), NGH-036 / MOH-002 (AES)</v>
      </c>
      <c r="M536" t="str">
        <f t="shared" si="47"/>
        <v>199111xx (MVS), 19911220 (AES)</v>
      </c>
      <c r="N536" t="str">
        <f t="shared" si="47"/>
        <v>バカ殿様 麻雀漫遊記</v>
      </c>
      <c r="O536" t="str">
        <f t="shared" si="47"/>
        <v/>
      </c>
      <c r="P536" t="str">
        <f t="shared" si="47"/>
        <v/>
      </c>
      <c r="S536" t="s">
        <v>36</v>
      </c>
      <c r="T536" t="str">
        <f t="shared" si="46"/>
        <v>bakatonocompatibility</v>
      </c>
      <c r="U536" t="s">
        <v>218</v>
      </c>
      <c r="V536" t="str">
        <f t="shared" si="48"/>
        <v>MVS,AES</v>
      </c>
      <c r="W536" t="str">
        <f t="shared" si="48"/>
        <v>MVS,AES</v>
      </c>
      <c r="AB536" t="s">
        <v>24</v>
      </c>
      <c r="AE536" t="s">
        <v>3</v>
      </c>
      <c r="AH536" t="s">
        <v>6328</v>
      </c>
      <c r="AI536" t="s">
        <v>9</v>
      </c>
      <c r="AJ536" t="s">
        <v>15</v>
      </c>
      <c r="AK536" t="s">
        <v>6327</v>
      </c>
      <c r="AL536" t="s">
        <v>6326</v>
      </c>
    </row>
    <row r="537" spans="5:38" x14ac:dyDescent="0.25">
      <c r="I537" t="str">
        <f t="shared" si="44"/>
        <v>bakatono</v>
      </c>
      <c r="J537" t="str">
        <f t="shared" si="45"/>
        <v/>
      </c>
      <c r="L537" t="str">
        <f t="shared" si="47"/>
        <v>NGM-036 / MOM-002 (MVS), NGH-036 / MOH-002 (AES)</v>
      </c>
      <c r="M537" t="str">
        <f t="shared" si="47"/>
        <v>199111xx (MVS), 19911220 (AES)</v>
      </c>
      <c r="N537" t="str">
        <f t="shared" si="47"/>
        <v>バカ殿様 麻雀漫遊記</v>
      </c>
      <c r="O537" t="str">
        <f t="shared" si="47"/>
        <v/>
      </c>
      <c r="P537" t="str">
        <f t="shared" si="47"/>
        <v/>
      </c>
      <c r="T537" t="str">
        <f t="shared" si="46"/>
        <v/>
      </c>
      <c r="V537" t="str">
        <f t="shared" si="48"/>
        <v>MVS,AES</v>
      </c>
      <c r="W537" t="str">
        <f t="shared" si="48"/>
        <v>MVS,AES</v>
      </c>
      <c r="AH537" t="s">
        <v>6325</v>
      </c>
      <c r="AI537" t="s">
        <v>15</v>
      </c>
      <c r="AJ537" t="s">
        <v>15</v>
      </c>
      <c r="AK537" t="s">
        <v>6324</v>
      </c>
      <c r="AL537" t="s">
        <v>6323</v>
      </c>
    </row>
    <row r="538" spans="5:38" x14ac:dyDescent="0.25">
      <c r="I538" t="str">
        <f t="shared" si="44"/>
        <v>bakatono</v>
      </c>
      <c r="J538" t="str">
        <f t="shared" si="45"/>
        <v/>
      </c>
      <c r="L538" t="str">
        <f t="shared" si="47"/>
        <v>NGM-036 / MOM-002 (MVS), NGH-036 / MOH-002 (AES)</v>
      </c>
      <c r="M538" t="str">
        <f t="shared" si="47"/>
        <v>199111xx (MVS), 19911220 (AES)</v>
      </c>
      <c r="N538" t="str">
        <f t="shared" si="47"/>
        <v>バカ殿様 麻雀漫遊記</v>
      </c>
      <c r="O538" t="str">
        <f t="shared" si="47"/>
        <v/>
      </c>
      <c r="P538" t="str">
        <f t="shared" si="47"/>
        <v/>
      </c>
      <c r="T538" t="str">
        <f t="shared" si="46"/>
        <v/>
      </c>
      <c r="V538" t="str">
        <f t="shared" si="48"/>
        <v>MVS,AES</v>
      </c>
      <c r="W538" t="str">
        <f t="shared" si="48"/>
        <v>MVS,AES</v>
      </c>
      <c r="AB538" t="s">
        <v>12</v>
      </c>
      <c r="AE538" t="s">
        <v>11</v>
      </c>
      <c r="AG538" t="s">
        <v>6</v>
      </c>
      <c r="AH538" t="s">
        <v>6322</v>
      </c>
      <c r="AI538" t="s">
        <v>9</v>
      </c>
      <c r="AJ538" t="s">
        <v>15</v>
      </c>
      <c r="AK538" t="s">
        <v>6321</v>
      </c>
      <c r="AL538" t="s">
        <v>6320</v>
      </c>
    </row>
    <row r="539" spans="5:38" x14ac:dyDescent="0.25">
      <c r="I539" t="str">
        <f t="shared" si="44"/>
        <v>bakatono</v>
      </c>
      <c r="J539" t="str">
        <f t="shared" si="45"/>
        <v/>
      </c>
      <c r="L539" t="str">
        <f t="shared" si="47"/>
        <v>NGM-036 / MOM-002 (MVS), NGH-036 / MOH-002 (AES)</v>
      </c>
      <c r="M539" t="str">
        <f t="shared" si="47"/>
        <v>199111xx (MVS), 19911220 (AES)</v>
      </c>
      <c r="N539" t="str">
        <f t="shared" si="47"/>
        <v>バカ殿様 麻雀漫遊記</v>
      </c>
      <c r="O539" t="str">
        <f t="shared" si="47"/>
        <v/>
      </c>
      <c r="P539" t="str">
        <f t="shared" si="47"/>
        <v/>
      </c>
      <c r="T539" t="str">
        <f t="shared" si="46"/>
        <v/>
      </c>
      <c r="V539" t="str">
        <f t="shared" si="48"/>
        <v>MVS,AES</v>
      </c>
      <c r="W539" t="str">
        <f t="shared" si="48"/>
        <v>MVS,AES</v>
      </c>
      <c r="AG539" t="s">
        <v>6</v>
      </c>
      <c r="AH539" t="s">
        <v>6319</v>
      </c>
      <c r="AI539" t="s">
        <v>4</v>
      </c>
      <c r="AJ539" t="s">
        <v>15</v>
      </c>
      <c r="AK539" t="s">
        <v>6318</v>
      </c>
      <c r="AL539" t="s">
        <v>6317</v>
      </c>
    </row>
    <row r="540" spans="5:38" x14ac:dyDescent="0.25">
      <c r="I540" t="str">
        <f t="shared" si="44"/>
        <v>bakatono</v>
      </c>
      <c r="J540" t="str">
        <f t="shared" si="45"/>
        <v/>
      </c>
      <c r="L540" t="str">
        <f t="shared" si="47"/>
        <v>NGM-036 / MOM-002 (MVS), NGH-036 / MOH-002 (AES)</v>
      </c>
      <c r="M540" t="str">
        <f t="shared" si="47"/>
        <v>199111xx (MVS), 19911220 (AES)</v>
      </c>
      <c r="N540" t="str">
        <f t="shared" si="47"/>
        <v>バカ殿様 麻雀漫遊記</v>
      </c>
      <c r="O540" t="str">
        <f t="shared" si="47"/>
        <v/>
      </c>
      <c r="P540" t="str">
        <f t="shared" si="47"/>
        <v/>
      </c>
      <c r="T540" t="str">
        <f t="shared" si="46"/>
        <v/>
      </c>
      <c r="V540" t="str">
        <f t="shared" si="48"/>
        <v>MVS,AES</v>
      </c>
      <c r="W540" t="str">
        <f t="shared" si="48"/>
        <v>MVS,AES</v>
      </c>
      <c r="AG540" t="s">
        <v>6</v>
      </c>
      <c r="AH540" t="s">
        <v>6316</v>
      </c>
      <c r="AI540" t="s">
        <v>3</v>
      </c>
      <c r="AJ540" t="s">
        <v>15</v>
      </c>
      <c r="AK540" t="s">
        <v>6315</v>
      </c>
      <c r="AL540" t="s">
        <v>6314</v>
      </c>
    </row>
    <row r="541" spans="5:38" x14ac:dyDescent="0.25">
      <c r="I541" t="str">
        <f t="shared" si="44"/>
        <v>bakatono</v>
      </c>
      <c r="J541" t="str">
        <f t="shared" si="45"/>
        <v/>
      </c>
      <c r="L541" t="str">
        <f t="shared" si="47"/>
        <v>NGM-036 / MOM-002 (MVS), NGH-036 / MOH-002 (AES)</v>
      </c>
      <c r="M541" t="str">
        <f t="shared" si="47"/>
        <v>199111xx (MVS), 19911220 (AES)</v>
      </c>
      <c r="N541" t="str">
        <f t="shared" si="47"/>
        <v>バカ殿様 麻雀漫遊記</v>
      </c>
      <c r="O541" t="str">
        <f t="shared" si="47"/>
        <v/>
      </c>
      <c r="P541" t="str">
        <f t="shared" si="47"/>
        <v/>
      </c>
      <c r="T541" t="str">
        <f t="shared" si="46"/>
        <v/>
      </c>
      <c r="V541" t="str">
        <f t="shared" si="48"/>
        <v>MVS,AES</v>
      </c>
      <c r="W541" t="str">
        <f t="shared" si="48"/>
        <v>MVS,AES</v>
      </c>
      <c r="AG541" t="s">
        <v>6</v>
      </c>
      <c r="AH541" t="s">
        <v>6313</v>
      </c>
      <c r="AI541" t="s">
        <v>4371</v>
      </c>
      <c r="AJ541" t="s">
        <v>15</v>
      </c>
      <c r="AK541" t="s">
        <v>6312</v>
      </c>
      <c r="AL541" t="s">
        <v>6311</v>
      </c>
    </row>
    <row r="542" spans="5:38" x14ac:dyDescent="0.25">
      <c r="E542" t="s">
        <v>6310</v>
      </c>
      <c r="F542" t="s">
        <v>6309</v>
      </c>
      <c r="G542" t="s">
        <v>6279</v>
      </c>
      <c r="H542" t="s">
        <v>5638</v>
      </c>
      <c r="I542" t="str">
        <f t="shared" si="44"/>
        <v>crsword</v>
      </c>
      <c r="J542" t="str">
        <f t="shared" si="45"/>
        <v>crswordserial</v>
      </c>
      <c r="K542" t="s">
        <v>1373</v>
      </c>
      <c r="L542" t="str">
        <f t="shared" si="47"/>
        <v>NGM-037 / ALM-002 (MVS), NGH-037 / ALH-002 (AES)</v>
      </c>
      <c r="M542" t="str">
        <f t="shared" si="47"/>
        <v>19910725 (MVS), 19911001 (AES)</v>
      </c>
      <c r="N542" t="str">
        <f t="shared" si="47"/>
        <v>クロスソード</v>
      </c>
      <c r="O542" t="str">
        <f t="shared" si="47"/>
        <v/>
      </c>
      <c r="P542" t="str">
        <f t="shared" si="47"/>
        <v/>
      </c>
      <c r="Q542" t="s">
        <v>6308</v>
      </c>
      <c r="S542" t="s">
        <v>46</v>
      </c>
      <c r="T542" t="str">
        <f t="shared" si="46"/>
        <v>crswordrelease</v>
      </c>
      <c r="U542" t="s">
        <v>218</v>
      </c>
      <c r="V542" t="str">
        <f t="shared" si="48"/>
        <v>MVS,AES</v>
      </c>
      <c r="W542" t="str">
        <f t="shared" si="48"/>
        <v>MVS,AES</v>
      </c>
      <c r="Y542" t="s">
        <v>45</v>
      </c>
      <c r="Z542" t="s">
        <v>44</v>
      </c>
      <c r="AB542" t="s">
        <v>43</v>
      </c>
      <c r="AC542" t="s">
        <v>42</v>
      </c>
      <c r="AD542" t="s">
        <v>41</v>
      </c>
      <c r="AE542" t="s">
        <v>15</v>
      </c>
      <c r="AG542" t="s">
        <v>40</v>
      </c>
      <c r="AH542" t="s">
        <v>6307</v>
      </c>
      <c r="AI542" t="s">
        <v>9</v>
      </c>
      <c r="AJ542" t="s">
        <v>92</v>
      </c>
      <c r="AK542" t="s">
        <v>6306</v>
      </c>
      <c r="AL542" t="s">
        <v>6305</v>
      </c>
    </row>
    <row r="543" spans="5:38" x14ac:dyDescent="0.25">
      <c r="I543" t="str">
        <f t="shared" si="44"/>
        <v>crsword</v>
      </c>
      <c r="J543" t="str">
        <f t="shared" si="45"/>
        <v>crswordrelease</v>
      </c>
      <c r="K543" t="s">
        <v>46</v>
      </c>
      <c r="L543" t="str">
        <f t="shared" si="47"/>
        <v>NGM-037 / ALM-002 (MVS), NGH-037 / ALH-002 (AES)</v>
      </c>
      <c r="M543" t="str">
        <f t="shared" si="47"/>
        <v>19910725 (MVS), 19911001 (AES)</v>
      </c>
      <c r="N543" t="str">
        <f t="shared" si="47"/>
        <v>クロスソード</v>
      </c>
      <c r="O543" t="str">
        <f t="shared" si="47"/>
        <v/>
      </c>
      <c r="P543" t="str">
        <f t="shared" si="47"/>
        <v/>
      </c>
      <c r="Q543" t="s">
        <v>6304</v>
      </c>
      <c r="T543" t="str">
        <f t="shared" si="46"/>
        <v/>
      </c>
      <c r="V543" t="str">
        <f t="shared" si="48"/>
        <v>MVS,AES</v>
      </c>
      <c r="W543" t="str">
        <f t="shared" si="48"/>
        <v>MVS,AES</v>
      </c>
      <c r="AB543" t="s">
        <v>34</v>
      </c>
      <c r="AE543" t="s">
        <v>33</v>
      </c>
      <c r="AH543" t="s">
        <v>6303</v>
      </c>
      <c r="AI543" t="s">
        <v>9</v>
      </c>
      <c r="AJ543" t="s">
        <v>27</v>
      </c>
      <c r="AK543" t="s">
        <v>6302</v>
      </c>
      <c r="AL543" t="s">
        <v>6301</v>
      </c>
    </row>
    <row r="544" spans="5:38" x14ac:dyDescent="0.25">
      <c r="I544" t="str">
        <f t="shared" si="44"/>
        <v>crsword</v>
      </c>
      <c r="J544" t="str">
        <f t="shared" si="45"/>
        <v>crswordalt_title</v>
      </c>
      <c r="K544" t="s">
        <v>1218</v>
      </c>
      <c r="L544" t="str">
        <f t="shared" si="47"/>
        <v>NGM-037 / ALM-002 (MVS), NGH-037 / ALH-002 (AES)</v>
      </c>
      <c r="M544" t="str">
        <f t="shared" si="47"/>
        <v>19910725 (MVS), 19911001 (AES)</v>
      </c>
      <c r="N544" t="str">
        <f t="shared" si="47"/>
        <v>クロスソード</v>
      </c>
      <c r="O544" t="str">
        <f t="shared" si="47"/>
        <v/>
      </c>
      <c r="P544" t="str">
        <f t="shared" si="47"/>
        <v/>
      </c>
      <c r="Q544" t="s">
        <v>6300</v>
      </c>
      <c r="T544" t="str">
        <f t="shared" si="46"/>
        <v/>
      </c>
      <c r="V544" t="str">
        <f t="shared" si="48"/>
        <v>MVS,AES</v>
      </c>
      <c r="W544" t="str">
        <f t="shared" si="48"/>
        <v>MVS,AES</v>
      </c>
      <c r="AB544" t="s">
        <v>29</v>
      </c>
      <c r="AE544" t="s">
        <v>27</v>
      </c>
      <c r="AH544" t="s">
        <v>6299</v>
      </c>
      <c r="AI544" t="s">
        <v>9</v>
      </c>
      <c r="AJ544" t="s">
        <v>27</v>
      </c>
      <c r="AK544" t="s">
        <v>6298</v>
      </c>
      <c r="AL544" t="s">
        <v>6297</v>
      </c>
    </row>
    <row r="545" spans="5:38" x14ac:dyDescent="0.25">
      <c r="I545" t="str">
        <f t="shared" si="44"/>
        <v>crsword</v>
      </c>
      <c r="J545" t="str">
        <f t="shared" si="45"/>
        <v/>
      </c>
      <c r="L545" t="str">
        <f t="shared" si="47"/>
        <v>NGM-037 / ALM-002 (MVS), NGH-037 / ALH-002 (AES)</v>
      </c>
      <c r="M545" t="str">
        <f t="shared" si="47"/>
        <v>19910725 (MVS), 19911001 (AES)</v>
      </c>
      <c r="N545" t="str">
        <f t="shared" si="47"/>
        <v>クロスソード</v>
      </c>
      <c r="O545" t="str">
        <f t="shared" si="47"/>
        <v/>
      </c>
      <c r="P545" t="str">
        <f t="shared" si="47"/>
        <v/>
      </c>
      <c r="S545" t="s">
        <v>36</v>
      </c>
      <c r="T545" t="str">
        <f t="shared" si="46"/>
        <v>crswordcompatibility</v>
      </c>
      <c r="U545" t="s">
        <v>218</v>
      </c>
      <c r="V545" t="str">
        <f t="shared" si="48"/>
        <v>MVS,AES</v>
      </c>
      <c r="W545" t="str">
        <f t="shared" si="48"/>
        <v>MVS,AES</v>
      </c>
      <c r="AB545" t="s">
        <v>24</v>
      </c>
      <c r="AE545" t="s">
        <v>15</v>
      </c>
      <c r="AH545" t="s">
        <v>6296</v>
      </c>
      <c r="AI545" t="s">
        <v>9</v>
      </c>
      <c r="AJ545" t="s">
        <v>15</v>
      </c>
      <c r="AK545" t="s">
        <v>6295</v>
      </c>
      <c r="AL545" t="s">
        <v>6294</v>
      </c>
    </row>
    <row r="546" spans="5:38" x14ac:dyDescent="0.25">
      <c r="I546" t="str">
        <f t="shared" si="44"/>
        <v>crsword</v>
      </c>
      <c r="J546" t="str">
        <f t="shared" si="45"/>
        <v/>
      </c>
      <c r="L546" t="str">
        <f t="shared" si="47"/>
        <v>NGM-037 / ALM-002 (MVS), NGH-037 / ALH-002 (AES)</v>
      </c>
      <c r="M546" t="str">
        <f t="shared" si="47"/>
        <v>19910725 (MVS), 19911001 (AES)</v>
      </c>
      <c r="N546" t="str">
        <f t="shared" si="47"/>
        <v>クロスソード</v>
      </c>
      <c r="O546" t="str">
        <f t="shared" si="47"/>
        <v/>
      </c>
      <c r="P546" t="str">
        <f t="shared" si="47"/>
        <v/>
      </c>
      <c r="T546" t="str">
        <f t="shared" si="46"/>
        <v/>
      </c>
      <c r="V546" t="str">
        <f t="shared" si="48"/>
        <v>MVS,AES</v>
      </c>
      <c r="W546" t="str">
        <f t="shared" si="48"/>
        <v>MVS,AES</v>
      </c>
      <c r="AB546" t="s">
        <v>12</v>
      </c>
      <c r="AE546" t="s">
        <v>11</v>
      </c>
      <c r="AG546" t="s">
        <v>6</v>
      </c>
      <c r="AH546" t="s">
        <v>6293</v>
      </c>
      <c r="AI546" t="s">
        <v>9</v>
      </c>
      <c r="AJ546" t="s">
        <v>15</v>
      </c>
      <c r="AK546" t="s">
        <v>6292</v>
      </c>
      <c r="AL546" t="s">
        <v>6291</v>
      </c>
    </row>
    <row r="547" spans="5:38" x14ac:dyDescent="0.25">
      <c r="I547" t="str">
        <f t="shared" si="44"/>
        <v>crsword</v>
      </c>
      <c r="J547" t="str">
        <f t="shared" si="45"/>
        <v/>
      </c>
      <c r="L547" t="str">
        <f t="shared" si="47"/>
        <v>NGM-037 / ALM-002 (MVS), NGH-037 / ALH-002 (AES)</v>
      </c>
      <c r="M547" t="str">
        <f t="shared" si="47"/>
        <v>19910725 (MVS), 19911001 (AES)</v>
      </c>
      <c r="N547" t="str">
        <f t="shared" si="47"/>
        <v>クロスソード</v>
      </c>
      <c r="O547" t="str">
        <f t="shared" si="47"/>
        <v/>
      </c>
      <c r="P547" t="str">
        <f t="shared" si="47"/>
        <v/>
      </c>
      <c r="T547" t="str">
        <f t="shared" si="46"/>
        <v/>
      </c>
      <c r="V547" t="str">
        <f t="shared" si="48"/>
        <v>MVS,AES</v>
      </c>
      <c r="W547" t="str">
        <f t="shared" si="48"/>
        <v>MVS,AES</v>
      </c>
      <c r="AG547" t="s">
        <v>6</v>
      </c>
      <c r="AH547" t="s">
        <v>6290</v>
      </c>
      <c r="AI547" t="s">
        <v>4</v>
      </c>
      <c r="AJ547" t="s">
        <v>15</v>
      </c>
      <c r="AK547" t="s">
        <v>6289</v>
      </c>
      <c r="AL547" t="s">
        <v>6288</v>
      </c>
    </row>
    <row r="548" spans="5:38" x14ac:dyDescent="0.25">
      <c r="I548" t="str">
        <f t="shared" si="44"/>
        <v>crsword</v>
      </c>
      <c r="J548" t="str">
        <f t="shared" si="45"/>
        <v/>
      </c>
      <c r="L548" t="str">
        <f t="shared" si="47"/>
        <v>NGM-037 / ALM-002 (MVS), NGH-037 / ALH-002 (AES)</v>
      </c>
      <c r="M548" t="str">
        <f t="shared" si="47"/>
        <v>19910725 (MVS), 19911001 (AES)</v>
      </c>
      <c r="N548" t="str">
        <f t="shared" si="47"/>
        <v>クロスソード</v>
      </c>
      <c r="O548" t="str">
        <f t="shared" si="47"/>
        <v/>
      </c>
      <c r="P548" t="str">
        <f t="shared" si="47"/>
        <v/>
      </c>
      <c r="T548" t="str">
        <f t="shared" si="46"/>
        <v/>
      </c>
      <c r="V548" t="str">
        <f t="shared" si="48"/>
        <v>MVS,AES</v>
      </c>
      <c r="W548" t="str">
        <f t="shared" si="48"/>
        <v>MVS,AES</v>
      </c>
      <c r="AG548" t="s">
        <v>6</v>
      </c>
      <c r="AH548" t="s">
        <v>6287</v>
      </c>
      <c r="AI548" t="s">
        <v>3</v>
      </c>
      <c r="AJ548" t="s">
        <v>15</v>
      </c>
      <c r="AK548" t="s">
        <v>6286</v>
      </c>
      <c r="AL548" t="s">
        <v>6285</v>
      </c>
    </row>
    <row r="549" spans="5:38" x14ac:dyDescent="0.25">
      <c r="I549" t="str">
        <f t="shared" si="44"/>
        <v>crsword</v>
      </c>
      <c r="J549" t="str">
        <f t="shared" si="45"/>
        <v/>
      </c>
      <c r="L549" t="str">
        <f t="shared" si="47"/>
        <v>NGM-037 / ALM-002 (MVS), NGH-037 / ALH-002 (AES)</v>
      </c>
      <c r="M549" t="str">
        <f t="shared" si="47"/>
        <v>19910725 (MVS), 19911001 (AES)</v>
      </c>
      <c r="N549" t="str">
        <f t="shared" si="47"/>
        <v>クロスソード</v>
      </c>
      <c r="O549" t="str">
        <f t="shared" si="47"/>
        <v/>
      </c>
      <c r="P549" t="str">
        <f t="shared" si="47"/>
        <v/>
      </c>
      <c r="T549" t="str">
        <f t="shared" si="46"/>
        <v/>
      </c>
      <c r="V549" t="str">
        <f t="shared" si="48"/>
        <v>MVS,AES</v>
      </c>
      <c r="W549" t="str">
        <f t="shared" si="48"/>
        <v>MVS,AES</v>
      </c>
      <c r="AG549" t="s">
        <v>6</v>
      </c>
      <c r="AH549" t="s">
        <v>6284</v>
      </c>
      <c r="AI549" t="s">
        <v>4371</v>
      </c>
      <c r="AJ549" t="s">
        <v>15</v>
      </c>
      <c r="AK549" t="s">
        <v>6283</v>
      </c>
      <c r="AL549" t="s">
        <v>6282</v>
      </c>
    </row>
    <row r="550" spans="5:38" x14ac:dyDescent="0.25">
      <c r="E550" t="s">
        <v>6281</v>
      </c>
      <c r="F550" t="s">
        <v>6280</v>
      </c>
      <c r="G550" t="s">
        <v>6279</v>
      </c>
      <c r="H550" t="s">
        <v>5638</v>
      </c>
      <c r="I550" t="str">
        <f t="shared" si="44"/>
        <v>trally</v>
      </c>
      <c r="J550" t="str">
        <f t="shared" si="45"/>
        <v>trallyserial</v>
      </c>
      <c r="K550" t="s">
        <v>1373</v>
      </c>
      <c r="L550" t="str">
        <f t="shared" si="47"/>
        <v>NGM-038 / ALM-003 (MVS), NGH-038 / ALH-003 (AES)</v>
      </c>
      <c r="M550" t="str">
        <f t="shared" si="47"/>
        <v>19911108 (MVS), 19911220 (AES)</v>
      </c>
      <c r="N550" t="str">
        <f t="shared" si="47"/>
        <v>スラッシュ ラリー</v>
      </c>
      <c r="O550" t="str">
        <f t="shared" si="47"/>
        <v/>
      </c>
      <c r="P550" t="str">
        <f t="shared" si="47"/>
        <v/>
      </c>
      <c r="Q550" t="s">
        <v>6278</v>
      </c>
      <c r="S550" t="s">
        <v>46</v>
      </c>
      <c r="T550" t="str">
        <f t="shared" si="46"/>
        <v>trallyrelease</v>
      </c>
      <c r="U550" t="s">
        <v>218</v>
      </c>
      <c r="V550" t="str">
        <f t="shared" si="48"/>
        <v>MVS,AES</v>
      </c>
      <c r="W550" t="str">
        <f t="shared" si="48"/>
        <v>MVS,AES</v>
      </c>
      <c r="Y550" t="s">
        <v>45</v>
      </c>
      <c r="Z550" t="s">
        <v>44</v>
      </c>
      <c r="AB550" t="s">
        <v>43</v>
      </c>
      <c r="AC550" t="s">
        <v>42</v>
      </c>
      <c r="AD550" t="s">
        <v>41</v>
      </c>
      <c r="AE550" t="s">
        <v>15</v>
      </c>
      <c r="AG550" t="s">
        <v>40</v>
      </c>
      <c r="AH550" t="s">
        <v>6277</v>
      </c>
      <c r="AI550" t="s">
        <v>9</v>
      </c>
      <c r="AJ550" t="s">
        <v>92</v>
      </c>
      <c r="AK550" t="s">
        <v>6276</v>
      </c>
      <c r="AL550" t="s">
        <v>6275</v>
      </c>
    </row>
    <row r="551" spans="5:38" x14ac:dyDescent="0.25">
      <c r="I551" t="str">
        <f t="shared" si="44"/>
        <v>trally</v>
      </c>
      <c r="J551" t="str">
        <f t="shared" si="45"/>
        <v>trallyrelease</v>
      </c>
      <c r="K551" t="s">
        <v>46</v>
      </c>
      <c r="L551" t="str">
        <f t="shared" si="47"/>
        <v>NGM-038 / ALM-003 (MVS), NGH-038 / ALH-003 (AES)</v>
      </c>
      <c r="M551" t="str">
        <f t="shared" si="47"/>
        <v>19911108 (MVS), 19911220 (AES)</v>
      </c>
      <c r="N551" t="str">
        <f t="shared" si="47"/>
        <v>スラッシュ ラリー</v>
      </c>
      <c r="O551" t="str">
        <f t="shared" si="47"/>
        <v/>
      </c>
      <c r="P551" t="str">
        <f t="shared" si="47"/>
        <v/>
      </c>
      <c r="Q551" t="s">
        <v>6274</v>
      </c>
      <c r="T551" t="str">
        <f t="shared" si="46"/>
        <v/>
      </c>
      <c r="V551" t="str">
        <f t="shared" si="48"/>
        <v>MVS,AES</v>
      </c>
      <c r="W551" t="str">
        <f t="shared" si="48"/>
        <v>MVS,AES</v>
      </c>
      <c r="AG551" t="s">
        <v>40</v>
      </c>
      <c r="AH551" t="s">
        <v>6273</v>
      </c>
      <c r="AI551" t="s">
        <v>92</v>
      </c>
      <c r="AJ551" t="s">
        <v>92</v>
      </c>
      <c r="AK551" t="s">
        <v>6272</v>
      </c>
      <c r="AL551" t="s">
        <v>6271</v>
      </c>
    </row>
    <row r="552" spans="5:38" x14ac:dyDescent="0.25">
      <c r="I552" t="str">
        <f t="shared" si="44"/>
        <v>trally</v>
      </c>
      <c r="J552" t="str">
        <f t="shared" si="45"/>
        <v>trallyalt_title</v>
      </c>
      <c r="K552" t="s">
        <v>1218</v>
      </c>
      <c r="L552" t="str">
        <f t="shared" si="47"/>
        <v>NGM-038 / ALM-003 (MVS), NGH-038 / ALH-003 (AES)</v>
      </c>
      <c r="M552" t="str">
        <f t="shared" si="47"/>
        <v>19911108 (MVS), 19911220 (AES)</v>
      </c>
      <c r="N552" t="str">
        <f t="shared" si="47"/>
        <v>スラッシュ ラリー</v>
      </c>
      <c r="O552" t="str">
        <f t="shared" si="47"/>
        <v/>
      </c>
      <c r="P552" t="str">
        <f t="shared" si="47"/>
        <v/>
      </c>
      <c r="Q552" t="s">
        <v>6270</v>
      </c>
      <c r="T552" t="str">
        <f t="shared" si="46"/>
        <v/>
      </c>
      <c r="V552" t="str">
        <f t="shared" si="48"/>
        <v>MVS,AES</v>
      </c>
      <c r="W552" t="str">
        <f t="shared" si="48"/>
        <v>MVS,AES</v>
      </c>
      <c r="AA552" t="s">
        <v>6269</v>
      </c>
      <c r="AB552" t="s">
        <v>6268</v>
      </c>
      <c r="AE552" t="s">
        <v>6267</v>
      </c>
    </row>
    <row r="553" spans="5:38" x14ac:dyDescent="0.25">
      <c r="I553" t="str">
        <f t="shared" si="44"/>
        <v>trally</v>
      </c>
      <c r="J553" t="str">
        <f t="shared" si="45"/>
        <v/>
      </c>
      <c r="L553" t="str">
        <f t="shared" si="47"/>
        <v>NGM-038 / ALM-003 (MVS), NGH-038 / ALH-003 (AES)</v>
      </c>
      <c r="M553" t="str">
        <f t="shared" si="47"/>
        <v>19911108 (MVS), 19911220 (AES)</v>
      </c>
      <c r="N553" t="str">
        <f t="shared" si="47"/>
        <v>スラッシュ ラリー</v>
      </c>
      <c r="O553" t="str">
        <f t="shared" si="47"/>
        <v/>
      </c>
      <c r="P553" t="str">
        <f t="shared" si="47"/>
        <v/>
      </c>
      <c r="S553" t="s">
        <v>36</v>
      </c>
      <c r="T553" t="str">
        <f t="shared" si="46"/>
        <v>trallycompatibility</v>
      </c>
      <c r="U553" t="s">
        <v>218</v>
      </c>
      <c r="V553" t="str">
        <f t="shared" si="48"/>
        <v>MVS,AES</v>
      </c>
      <c r="W553" t="str">
        <f t="shared" si="48"/>
        <v>MVS,AES</v>
      </c>
      <c r="AB553" t="s">
        <v>34</v>
      </c>
      <c r="AE553" t="s">
        <v>33</v>
      </c>
      <c r="AH553" t="s">
        <v>6266</v>
      </c>
      <c r="AI553" t="s">
        <v>9</v>
      </c>
      <c r="AJ553" t="s">
        <v>27</v>
      </c>
      <c r="AK553" t="s">
        <v>6265</v>
      </c>
      <c r="AL553" t="s">
        <v>6264</v>
      </c>
    </row>
    <row r="554" spans="5:38" x14ac:dyDescent="0.25">
      <c r="I554" t="str">
        <f t="shared" si="44"/>
        <v>trally</v>
      </c>
      <c r="J554" t="str">
        <f t="shared" si="45"/>
        <v/>
      </c>
      <c r="L554" t="str">
        <f t="shared" si="47"/>
        <v>NGM-038 / ALM-003 (MVS), NGH-038 / ALH-003 (AES)</v>
      </c>
      <c r="M554" t="str">
        <f t="shared" si="47"/>
        <v>19911108 (MVS), 19911220 (AES)</v>
      </c>
      <c r="N554" t="str">
        <f t="shared" si="47"/>
        <v>スラッシュ ラリー</v>
      </c>
      <c r="O554" t="str">
        <f t="shared" si="47"/>
        <v/>
      </c>
      <c r="P554" t="str">
        <f t="shared" si="47"/>
        <v/>
      </c>
      <c r="T554" t="str">
        <f t="shared" si="46"/>
        <v/>
      </c>
      <c r="V554" t="str">
        <f t="shared" si="48"/>
        <v>MVS,AES</v>
      </c>
      <c r="W554" t="str">
        <f t="shared" si="48"/>
        <v>MVS,AES</v>
      </c>
      <c r="AB554" t="s">
        <v>29</v>
      </c>
      <c r="AE554" t="s">
        <v>27</v>
      </c>
      <c r="AH554" t="s">
        <v>6263</v>
      </c>
      <c r="AI554" t="s">
        <v>9</v>
      </c>
      <c r="AJ554" t="s">
        <v>27</v>
      </c>
      <c r="AK554" t="s">
        <v>6262</v>
      </c>
      <c r="AL554" t="s">
        <v>6261</v>
      </c>
    </row>
    <row r="555" spans="5:38" x14ac:dyDescent="0.25">
      <c r="I555" t="str">
        <f t="shared" si="44"/>
        <v>trally</v>
      </c>
      <c r="J555" t="str">
        <f t="shared" si="45"/>
        <v/>
      </c>
      <c r="L555" t="str">
        <f t="shared" si="47"/>
        <v>NGM-038 / ALM-003 (MVS), NGH-038 / ALH-003 (AES)</v>
      </c>
      <c r="M555" t="str">
        <f t="shared" si="47"/>
        <v>19911108 (MVS), 19911220 (AES)</v>
      </c>
      <c r="N555" t="str">
        <f t="shared" si="47"/>
        <v>スラッシュ ラリー</v>
      </c>
      <c r="O555" t="str">
        <f t="shared" si="47"/>
        <v/>
      </c>
      <c r="P555" t="str">
        <f t="shared" si="47"/>
        <v/>
      </c>
      <c r="T555" t="str">
        <f t="shared" si="46"/>
        <v/>
      </c>
      <c r="V555" t="str">
        <f t="shared" si="48"/>
        <v>MVS,AES</v>
      </c>
      <c r="W555" t="str">
        <f t="shared" si="48"/>
        <v>MVS,AES</v>
      </c>
      <c r="AB555" t="s">
        <v>24</v>
      </c>
      <c r="AE555" t="s">
        <v>4502</v>
      </c>
      <c r="AH555" t="s">
        <v>6260</v>
      </c>
      <c r="AI555" t="s">
        <v>9</v>
      </c>
      <c r="AJ555" t="s">
        <v>15</v>
      </c>
      <c r="AK555" t="s">
        <v>6259</v>
      </c>
      <c r="AL555" t="s">
        <v>6258</v>
      </c>
    </row>
    <row r="556" spans="5:38" x14ac:dyDescent="0.25">
      <c r="I556" t="str">
        <f t="shared" si="44"/>
        <v>trally</v>
      </c>
      <c r="J556" t="str">
        <f t="shared" si="45"/>
        <v/>
      </c>
      <c r="L556" t="str">
        <f t="shared" si="47"/>
        <v>NGM-038 / ALM-003 (MVS), NGH-038 / ALH-003 (AES)</v>
      </c>
      <c r="M556" t="str">
        <f t="shared" si="47"/>
        <v>19911108 (MVS), 19911220 (AES)</v>
      </c>
      <c r="N556" t="str">
        <f t="shared" si="47"/>
        <v>スラッシュ ラリー</v>
      </c>
      <c r="O556" t="str">
        <f t="shared" si="47"/>
        <v/>
      </c>
      <c r="P556" t="str">
        <f t="shared" si="47"/>
        <v/>
      </c>
      <c r="T556" t="str">
        <f t="shared" si="46"/>
        <v/>
      </c>
      <c r="V556" t="str">
        <f t="shared" si="48"/>
        <v>MVS,AES</v>
      </c>
      <c r="W556" t="str">
        <f t="shared" si="48"/>
        <v>MVS,AES</v>
      </c>
      <c r="AH556" t="s">
        <v>6257</v>
      </c>
      <c r="AI556" t="s">
        <v>15</v>
      </c>
      <c r="AJ556" t="s">
        <v>92</v>
      </c>
      <c r="AK556" t="s">
        <v>6256</v>
      </c>
      <c r="AL556" t="s">
        <v>6255</v>
      </c>
    </row>
    <row r="557" spans="5:38" x14ac:dyDescent="0.25">
      <c r="I557" t="str">
        <f t="shared" si="44"/>
        <v>trally</v>
      </c>
      <c r="J557" t="str">
        <f t="shared" si="45"/>
        <v/>
      </c>
      <c r="L557" t="str">
        <f t="shared" si="47"/>
        <v>NGM-038 / ALM-003 (MVS), NGH-038 / ALH-003 (AES)</v>
      </c>
      <c r="M557" t="str">
        <f t="shared" si="47"/>
        <v>19911108 (MVS), 19911220 (AES)</v>
      </c>
      <c r="N557" t="str">
        <f t="shared" si="47"/>
        <v>スラッシュ ラリー</v>
      </c>
      <c r="O557" t="str">
        <f t="shared" si="47"/>
        <v/>
      </c>
      <c r="P557" t="str">
        <f t="shared" si="47"/>
        <v/>
      </c>
      <c r="T557" t="str">
        <f t="shared" si="46"/>
        <v/>
      </c>
      <c r="V557" t="str">
        <f t="shared" si="48"/>
        <v>MVS,AES</v>
      </c>
      <c r="W557" t="str">
        <f t="shared" si="48"/>
        <v>MVS,AES</v>
      </c>
      <c r="AB557" t="s">
        <v>12</v>
      </c>
      <c r="AE557" t="s">
        <v>377</v>
      </c>
      <c r="AG557" t="s">
        <v>6</v>
      </c>
      <c r="AH557" t="s">
        <v>6254</v>
      </c>
      <c r="AI557" t="s">
        <v>9</v>
      </c>
      <c r="AJ557" t="s">
        <v>15</v>
      </c>
      <c r="AK557" t="s">
        <v>6253</v>
      </c>
      <c r="AL557" t="s">
        <v>6252</v>
      </c>
    </row>
    <row r="558" spans="5:38" x14ac:dyDescent="0.25">
      <c r="I558" t="str">
        <f t="shared" si="44"/>
        <v>trally</v>
      </c>
      <c r="J558" t="str">
        <f t="shared" si="45"/>
        <v/>
      </c>
      <c r="L558" t="str">
        <f t="shared" si="47"/>
        <v>NGM-038 / ALM-003 (MVS), NGH-038 / ALH-003 (AES)</v>
      </c>
      <c r="M558" t="str">
        <f t="shared" si="47"/>
        <v>19911108 (MVS), 19911220 (AES)</v>
      </c>
      <c r="N558" t="str">
        <f t="shared" si="47"/>
        <v>スラッシュ ラリー</v>
      </c>
      <c r="O558" t="str">
        <f t="shared" si="47"/>
        <v/>
      </c>
      <c r="P558" t="str">
        <f t="shared" si="47"/>
        <v/>
      </c>
      <c r="T558" t="str">
        <f t="shared" si="46"/>
        <v/>
      </c>
      <c r="V558" t="str">
        <f t="shared" si="48"/>
        <v>MVS,AES</v>
      </c>
      <c r="W558" t="str">
        <f t="shared" si="48"/>
        <v>MVS,AES</v>
      </c>
      <c r="AG558" t="s">
        <v>6</v>
      </c>
      <c r="AH558" t="s">
        <v>6251</v>
      </c>
      <c r="AI558" t="s">
        <v>4</v>
      </c>
      <c r="AJ558" t="s">
        <v>15</v>
      </c>
      <c r="AK558" t="s">
        <v>6250</v>
      </c>
      <c r="AL558" t="s">
        <v>6249</v>
      </c>
    </row>
    <row r="559" spans="5:38" x14ac:dyDescent="0.25">
      <c r="I559" t="str">
        <f t="shared" si="44"/>
        <v>trally</v>
      </c>
      <c r="J559" t="str">
        <f t="shared" si="45"/>
        <v/>
      </c>
      <c r="L559" t="str">
        <f t="shared" si="47"/>
        <v>NGM-038 / ALM-003 (MVS), NGH-038 / ALH-003 (AES)</v>
      </c>
      <c r="M559" t="str">
        <f t="shared" si="47"/>
        <v>19911108 (MVS), 19911220 (AES)</v>
      </c>
      <c r="N559" t="str">
        <f t="shared" si="47"/>
        <v>スラッシュ ラリー</v>
      </c>
      <c r="O559" t="str">
        <f t="shared" si="47"/>
        <v/>
      </c>
      <c r="P559" t="str">
        <f t="shared" si="47"/>
        <v/>
      </c>
      <c r="T559" t="str">
        <f t="shared" si="46"/>
        <v/>
      </c>
      <c r="V559" t="str">
        <f t="shared" si="48"/>
        <v>MVS,AES</v>
      </c>
      <c r="W559" t="str">
        <f t="shared" si="48"/>
        <v>MVS,AES</v>
      </c>
      <c r="AG559" t="s">
        <v>6</v>
      </c>
      <c r="AH559" t="s">
        <v>6248</v>
      </c>
      <c r="AI559" t="s">
        <v>3</v>
      </c>
      <c r="AJ559" t="s">
        <v>92</v>
      </c>
      <c r="AK559" t="s">
        <v>6247</v>
      </c>
      <c r="AL559" t="s">
        <v>6246</v>
      </c>
    </row>
    <row r="560" spans="5:38" x14ac:dyDescent="0.25">
      <c r="I560" t="str">
        <f t="shared" si="44"/>
        <v>trally</v>
      </c>
      <c r="J560" t="str">
        <f t="shared" si="45"/>
        <v/>
      </c>
      <c r="L560" t="str">
        <f t="shared" si="47"/>
        <v>NGM-038 / ALM-003 (MVS), NGH-038 / ALH-003 (AES)</v>
      </c>
      <c r="M560" t="str">
        <f t="shared" si="47"/>
        <v>19911108 (MVS), 19911220 (AES)</v>
      </c>
      <c r="N560" t="str">
        <f t="shared" si="47"/>
        <v>スラッシュ ラリー</v>
      </c>
      <c r="O560" t="str">
        <f t="shared" si="47"/>
        <v/>
      </c>
      <c r="P560" t="str">
        <f t="shared" si="47"/>
        <v/>
      </c>
      <c r="T560" t="str">
        <f t="shared" si="46"/>
        <v/>
      </c>
      <c r="V560" t="str">
        <f t="shared" si="48"/>
        <v>MVS,AES</v>
      </c>
      <c r="W560" t="str">
        <f t="shared" si="48"/>
        <v>MVS,AES</v>
      </c>
      <c r="AG560" t="s">
        <v>6</v>
      </c>
      <c r="AH560" t="s">
        <v>6245</v>
      </c>
      <c r="AI560" t="s">
        <v>4371</v>
      </c>
      <c r="AJ560" t="s">
        <v>92</v>
      </c>
      <c r="AK560" t="s">
        <v>6244</v>
      </c>
      <c r="AL560" t="s">
        <v>6243</v>
      </c>
    </row>
    <row r="561" spans="5:44" x14ac:dyDescent="0.25">
      <c r="E561" t="s">
        <v>6204</v>
      </c>
      <c r="F561" t="s">
        <v>6242</v>
      </c>
      <c r="G561" t="s">
        <v>5639</v>
      </c>
      <c r="H561" t="s">
        <v>1912</v>
      </c>
      <c r="I561" t="str">
        <f t="shared" si="44"/>
        <v>kotm2</v>
      </c>
      <c r="J561" t="str">
        <f t="shared" si="45"/>
        <v>kotm2serial</v>
      </c>
      <c r="K561" t="s">
        <v>1373</v>
      </c>
      <c r="L561" t="str">
        <f t="shared" si="47"/>
        <v>NGM-039 (MVS), NGH-039 (AES)</v>
      </c>
      <c r="M561" t="str">
        <f t="shared" si="47"/>
        <v>19920525 (MVS), 19920601 (AES)</v>
      </c>
      <c r="N561" t="str">
        <f t="shared" si="47"/>
        <v>キング・オブ・ザ・モンスターズ2 ―ネクストシング―</v>
      </c>
      <c r="O561" t="str">
        <f t="shared" si="47"/>
        <v/>
      </c>
      <c r="P561" t="str">
        <f t="shared" si="47"/>
        <v/>
      </c>
      <c r="Q561" t="s">
        <v>6241</v>
      </c>
      <c r="S561" t="s">
        <v>46</v>
      </c>
      <c r="T561" t="str">
        <f t="shared" si="46"/>
        <v>kotm2release</v>
      </c>
      <c r="U561" t="s">
        <v>218</v>
      </c>
      <c r="V561" t="str">
        <f t="shared" si="48"/>
        <v>MVS,AES</v>
      </c>
      <c r="W561" t="str">
        <f t="shared" si="48"/>
        <v>MVS,AES</v>
      </c>
      <c r="Y561" t="s">
        <v>45</v>
      </c>
      <c r="Z561" t="s">
        <v>44</v>
      </c>
      <c r="AB561" t="s">
        <v>43</v>
      </c>
      <c r="AC561" t="s">
        <v>42</v>
      </c>
      <c r="AD561" t="s">
        <v>41</v>
      </c>
      <c r="AE561" t="s">
        <v>15</v>
      </c>
      <c r="AG561" t="s">
        <v>40</v>
      </c>
      <c r="AH561" t="s">
        <v>6240</v>
      </c>
      <c r="AI561" t="s">
        <v>9</v>
      </c>
      <c r="AJ561" t="s">
        <v>92</v>
      </c>
      <c r="AK561" t="s">
        <v>6239</v>
      </c>
      <c r="AL561" t="s">
        <v>6238</v>
      </c>
    </row>
    <row r="562" spans="5:44" x14ac:dyDescent="0.25">
      <c r="I562" t="str">
        <f t="shared" si="44"/>
        <v>kotm2</v>
      </c>
      <c r="J562" t="str">
        <f t="shared" si="45"/>
        <v>kotm2release</v>
      </c>
      <c r="K562" t="s">
        <v>46</v>
      </c>
      <c r="L562" t="str">
        <f t="shared" si="47"/>
        <v>NGM-039 (MVS), NGH-039 (AES)</v>
      </c>
      <c r="M562" t="str">
        <f t="shared" si="47"/>
        <v>19920525 (MVS), 19920601 (AES)</v>
      </c>
      <c r="N562" t="str">
        <f t="shared" si="47"/>
        <v>キング・オブ・ザ・モンスターズ2 ―ネクストシング―</v>
      </c>
      <c r="O562" t="str">
        <f t="shared" si="47"/>
        <v/>
      </c>
      <c r="P562" t="str">
        <f t="shared" si="47"/>
        <v/>
      </c>
      <c r="Q562" t="s">
        <v>6237</v>
      </c>
      <c r="T562" t="str">
        <f t="shared" si="46"/>
        <v/>
      </c>
      <c r="V562" t="str">
        <f t="shared" si="48"/>
        <v>MVS,AES</v>
      </c>
      <c r="W562" t="str">
        <f t="shared" si="48"/>
        <v>MVS,AES</v>
      </c>
      <c r="AG562" t="s">
        <v>40</v>
      </c>
      <c r="AH562" t="s">
        <v>6230</v>
      </c>
      <c r="AI562" t="s">
        <v>92</v>
      </c>
      <c r="AJ562" t="s">
        <v>92</v>
      </c>
      <c r="AK562" t="s">
        <v>6229</v>
      </c>
      <c r="AL562" t="s">
        <v>6228</v>
      </c>
    </row>
    <row r="563" spans="5:44" x14ac:dyDescent="0.25">
      <c r="I563" t="str">
        <f t="shared" si="44"/>
        <v>kotm2</v>
      </c>
      <c r="J563" t="str">
        <f t="shared" si="45"/>
        <v>kotm2alt_title</v>
      </c>
      <c r="K563" t="s">
        <v>1218</v>
      </c>
      <c r="L563" t="str">
        <f t="shared" si="47"/>
        <v>NGM-039 (MVS), NGH-039 (AES)</v>
      </c>
      <c r="M563" t="str">
        <f t="shared" si="47"/>
        <v>19920525 (MVS), 19920601 (AES)</v>
      </c>
      <c r="N563" t="str">
        <f t="shared" si="47"/>
        <v>キング・オブ・ザ・モンスターズ2 ―ネクストシング―</v>
      </c>
      <c r="O563" t="str">
        <f t="shared" si="47"/>
        <v/>
      </c>
      <c r="P563" t="str">
        <f t="shared" si="47"/>
        <v/>
      </c>
      <c r="Q563" t="s">
        <v>6234</v>
      </c>
      <c r="T563" t="str">
        <f t="shared" si="46"/>
        <v/>
      </c>
      <c r="V563" t="str">
        <f t="shared" si="48"/>
        <v>MVS,AES</v>
      </c>
      <c r="W563" t="str">
        <f t="shared" si="48"/>
        <v>MVS,AES</v>
      </c>
      <c r="AB563" t="s">
        <v>34</v>
      </c>
      <c r="AE563" t="s">
        <v>33</v>
      </c>
      <c r="AH563" t="s">
        <v>6200</v>
      </c>
      <c r="AI563" t="s">
        <v>9</v>
      </c>
      <c r="AJ563" t="s">
        <v>27</v>
      </c>
      <c r="AK563" t="s">
        <v>6199</v>
      </c>
      <c r="AL563" t="s">
        <v>6198</v>
      </c>
    </row>
    <row r="564" spans="5:44" x14ac:dyDescent="0.25">
      <c r="I564" t="str">
        <f t="shared" si="44"/>
        <v>kotm2</v>
      </c>
      <c r="J564" t="str">
        <f t="shared" si="45"/>
        <v/>
      </c>
      <c r="L564" t="str">
        <f t="shared" si="47"/>
        <v>NGM-039 (MVS), NGH-039 (AES)</v>
      </c>
      <c r="M564" t="str">
        <f t="shared" si="47"/>
        <v>19920525 (MVS), 19920601 (AES)</v>
      </c>
      <c r="N564" t="str">
        <f t="shared" si="47"/>
        <v>キング・オブ・ザ・モンスターズ2 ―ネクストシング―</v>
      </c>
      <c r="O564" t="str">
        <f t="shared" si="47"/>
        <v/>
      </c>
      <c r="P564" t="str">
        <f t="shared" si="47"/>
        <v/>
      </c>
      <c r="S564" t="s">
        <v>36</v>
      </c>
      <c r="T564" t="str">
        <f t="shared" si="46"/>
        <v>kotm2compatibility</v>
      </c>
      <c r="U564" t="s">
        <v>218</v>
      </c>
      <c r="V564" t="str">
        <f t="shared" si="48"/>
        <v>MVS,AES</v>
      </c>
      <c r="W564" t="str">
        <f t="shared" si="48"/>
        <v>MVS,AES</v>
      </c>
      <c r="AB564" t="s">
        <v>29</v>
      </c>
      <c r="AE564" t="s">
        <v>27</v>
      </c>
      <c r="AH564" t="s">
        <v>6197</v>
      </c>
      <c r="AI564" t="s">
        <v>9</v>
      </c>
      <c r="AJ564" t="s">
        <v>27</v>
      </c>
      <c r="AK564" t="s">
        <v>6196</v>
      </c>
      <c r="AL564" t="s">
        <v>6195</v>
      </c>
    </row>
    <row r="565" spans="5:44" x14ac:dyDescent="0.25">
      <c r="I565" t="str">
        <f t="shared" si="44"/>
        <v>kotm2</v>
      </c>
      <c r="J565" t="str">
        <f t="shared" si="45"/>
        <v/>
      </c>
      <c r="L565" t="str">
        <f t="shared" si="47"/>
        <v>NGM-039 (MVS), NGH-039 (AES)</v>
      </c>
      <c r="M565" t="str">
        <f t="shared" si="47"/>
        <v>19920525 (MVS), 19920601 (AES)</v>
      </c>
      <c r="N565" t="str">
        <f t="shared" si="47"/>
        <v>キング・オブ・ザ・モンスターズ2 ―ネクストシング―</v>
      </c>
      <c r="O565" t="str">
        <f t="shared" si="47"/>
        <v/>
      </c>
      <c r="P565" t="str">
        <f t="shared" si="47"/>
        <v/>
      </c>
      <c r="T565" t="str">
        <f t="shared" si="46"/>
        <v/>
      </c>
      <c r="V565" t="str">
        <f t="shared" si="48"/>
        <v>MVS,AES</v>
      </c>
      <c r="W565" t="str">
        <f t="shared" si="48"/>
        <v>MVS,AES</v>
      </c>
      <c r="AB565" t="s">
        <v>24</v>
      </c>
      <c r="AE565" t="s">
        <v>377</v>
      </c>
      <c r="AH565" t="s">
        <v>6227</v>
      </c>
      <c r="AI565" t="s">
        <v>9</v>
      </c>
      <c r="AJ565" t="s">
        <v>3</v>
      </c>
      <c r="AK565" t="s">
        <v>6226</v>
      </c>
      <c r="AL565" t="s">
        <v>6225</v>
      </c>
    </row>
    <row r="566" spans="5:44" x14ac:dyDescent="0.25">
      <c r="I566" t="str">
        <f t="shared" si="44"/>
        <v>kotm2</v>
      </c>
      <c r="J566" t="str">
        <f t="shared" si="45"/>
        <v/>
      </c>
      <c r="L566" t="str">
        <f t="shared" si="47"/>
        <v>NGM-039 (MVS), NGH-039 (AES)</v>
      </c>
      <c r="M566" t="str">
        <f t="shared" si="47"/>
        <v>19920525 (MVS), 19920601 (AES)</v>
      </c>
      <c r="N566" t="str">
        <f t="shared" si="47"/>
        <v>キング・オブ・ザ・モンスターズ2 ―ネクストシング―</v>
      </c>
      <c r="O566" t="str">
        <f t="shared" si="47"/>
        <v/>
      </c>
      <c r="P566" t="str">
        <f t="shared" si="47"/>
        <v/>
      </c>
      <c r="T566" t="str">
        <f t="shared" si="46"/>
        <v/>
      </c>
      <c r="V566" t="str">
        <f t="shared" si="48"/>
        <v>MVS,AES</v>
      </c>
      <c r="W566" t="str">
        <f t="shared" si="48"/>
        <v>MVS,AES</v>
      </c>
      <c r="AH566" t="s">
        <v>6224</v>
      </c>
      <c r="AI566" t="s">
        <v>3</v>
      </c>
      <c r="AJ566" t="s">
        <v>15</v>
      </c>
      <c r="AK566" t="s">
        <v>6223</v>
      </c>
      <c r="AL566" t="s">
        <v>6222</v>
      </c>
    </row>
    <row r="567" spans="5:44" x14ac:dyDescent="0.25">
      <c r="I567" t="str">
        <f t="shared" si="44"/>
        <v>kotm2</v>
      </c>
      <c r="J567" t="str">
        <f t="shared" si="45"/>
        <v/>
      </c>
      <c r="L567" t="str">
        <f t="shared" si="47"/>
        <v>NGM-039 (MVS), NGH-039 (AES)</v>
      </c>
      <c r="M567" t="str">
        <f t="shared" si="47"/>
        <v>19920525 (MVS), 19920601 (AES)</v>
      </c>
      <c r="N567" t="str">
        <f t="shared" si="47"/>
        <v>キング・オブ・ザ・モンスターズ2 ―ネクストシング―</v>
      </c>
      <c r="O567" t="str">
        <f t="shared" si="47"/>
        <v/>
      </c>
      <c r="P567" t="str">
        <f t="shared" si="47"/>
        <v/>
      </c>
      <c r="T567" t="str">
        <f t="shared" si="46"/>
        <v/>
      </c>
      <c r="V567" t="str">
        <f t="shared" si="48"/>
        <v>MVS,AES</v>
      </c>
      <c r="W567" t="str">
        <f t="shared" si="48"/>
        <v>MVS,AES</v>
      </c>
      <c r="AB567" t="s">
        <v>12</v>
      </c>
      <c r="AE567" t="s">
        <v>75</v>
      </c>
      <c r="AG567" t="s">
        <v>6</v>
      </c>
      <c r="AH567" t="s">
        <v>6221</v>
      </c>
      <c r="AI567" t="s">
        <v>9</v>
      </c>
      <c r="AJ567" t="s">
        <v>15</v>
      </c>
      <c r="AK567" t="s">
        <v>6220</v>
      </c>
      <c r="AL567" t="s">
        <v>6219</v>
      </c>
    </row>
    <row r="568" spans="5:44" x14ac:dyDescent="0.25">
      <c r="I568" t="str">
        <f t="shared" si="44"/>
        <v>kotm2</v>
      </c>
      <c r="J568" t="str">
        <f t="shared" si="45"/>
        <v/>
      </c>
      <c r="L568" t="str">
        <f t="shared" si="47"/>
        <v>NGM-039 (MVS), NGH-039 (AES)</v>
      </c>
      <c r="M568" t="str">
        <f t="shared" si="47"/>
        <v>19920525 (MVS), 19920601 (AES)</v>
      </c>
      <c r="N568" t="str">
        <f t="shared" si="47"/>
        <v>キング・オブ・ザ・モンスターズ2 ―ネクストシング―</v>
      </c>
      <c r="O568" t="str">
        <f t="shared" si="47"/>
        <v/>
      </c>
      <c r="P568" t="str">
        <f t="shared" si="47"/>
        <v/>
      </c>
      <c r="T568" t="str">
        <f t="shared" si="46"/>
        <v/>
      </c>
      <c r="V568" t="str">
        <f t="shared" si="48"/>
        <v>MVS,AES</v>
      </c>
      <c r="W568" t="str">
        <f t="shared" si="48"/>
        <v>MVS,AES</v>
      </c>
      <c r="AG568" t="s">
        <v>224</v>
      </c>
      <c r="AI568" t="s">
        <v>11</v>
      </c>
      <c r="AJ568" t="s">
        <v>15</v>
      </c>
    </row>
    <row r="569" spans="5:44" x14ac:dyDescent="0.25">
      <c r="I569" t="str">
        <f t="shared" si="44"/>
        <v>kotm2</v>
      </c>
      <c r="J569" t="str">
        <f t="shared" si="45"/>
        <v/>
      </c>
      <c r="L569" t="str">
        <f t="shared" si="47"/>
        <v>NGM-039 (MVS), NGH-039 (AES)</v>
      </c>
      <c r="M569" t="str">
        <f t="shared" si="47"/>
        <v>19920525 (MVS), 19920601 (AES)</v>
      </c>
      <c r="N569" t="str">
        <f t="shared" si="47"/>
        <v>キング・オブ・ザ・モンスターズ2 ―ネクストシング―</v>
      </c>
      <c r="O569" t="str">
        <f t="shared" si="47"/>
        <v/>
      </c>
      <c r="P569" t="str">
        <f t="shared" si="47"/>
        <v/>
      </c>
      <c r="T569" t="str">
        <f t="shared" si="46"/>
        <v/>
      </c>
      <c r="V569" t="str">
        <f t="shared" si="48"/>
        <v>MVS,AES</v>
      </c>
      <c r="W569" t="str">
        <f t="shared" si="48"/>
        <v>MVS,AES</v>
      </c>
      <c r="AG569" t="s">
        <v>6</v>
      </c>
      <c r="AH569" t="s">
        <v>6218</v>
      </c>
      <c r="AI569" t="s">
        <v>4</v>
      </c>
      <c r="AJ569" t="s">
        <v>15</v>
      </c>
      <c r="AK569" t="s">
        <v>6217</v>
      </c>
      <c r="AL569" t="s">
        <v>6216</v>
      </c>
    </row>
    <row r="570" spans="5:44" x14ac:dyDescent="0.25">
      <c r="I570" t="str">
        <f t="shared" si="44"/>
        <v>kotm2</v>
      </c>
      <c r="J570" t="str">
        <f t="shared" si="45"/>
        <v/>
      </c>
      <c r="L570" t="str">
        <f t="shared" si="47"/>
        <v>NGM-039 (MVS), NGH-039 (AES)</v>
      </c>
      <c r="M570" t="str">
        <f t="shared" si="47"/>
        <v>19920525 (MVS), 19920601 (AES)</v>
      </c>
      <c r="N570" t="str">
        <f t="shared" si="47"/>
        <v>キング・オブ・ザ・モンスターズ2 ―ネクストシング―</v>
      </c>
      <c r="O570" t="str">
        <f t="shared" si="47"/>
        <v/>
      </c>
      <c r="P570" t="str">
        <f t="shared" si="47"/>
        <v/>
      </c>
      <c r="T570" t="str">
        <f t="shared" si="46"/>
        <v/>
      </c>
      <c r="V570" t="str">
        <f t="shared" si="48"/>
        <v>MVS,AES</v>
      </c>
      <c r="W570" t="str">
        <f t="shared" si="48"/>
        <v>MVS,AES</v>
      </c>
      <c r="AG570" t="s">
        <v>224</v>
      </c>
      <c r="AI570" t="s">
        <v>932</v>
      </c>
      <c r="AJ570" t="s">
        <v>15</v>
      </c>
    </row>
    <row r="571" spans="5:44" x14ac:dyDescent="0.25">
      <c r="I571" t="str">
        <f t="shared" si="44"/>
        <v>kotm2</v>
      </c>
      <c r="J571" t="str">
        <f t="shared" si="45"/>
        <v/>
      </c>
      <c r="L571" t="str">
        <f t="shared" si="47"/>
        <v>NGM-039 (MVS), NGH-039 (AES)</v>
      </c>
      <c r="M571" t="str">
        <f t="shared" si="47"/>
        <v>19920525 (MVS), 19920601 (AES)</v>
      </c>
      <c r="N571" t="str">
        <f t="shared" si="47"/>
        <v>キング・オブ・ザ・モンスターズ2 ―ネクストシング―</v>
      </c>
      <c r="O571" t="str">
        <f t="shared" si="47"/>
        <v/>
      </c>
      <c r="P571" t="str">
        <f t="shared" si="47"/>
        <v/>
      </c>
      <c r="T571" t="str">
        <f t="shared" si="46"/>
        <v/>
      </c>
      <c r="V571" t="str">
        <f t="shared" si="48"/>
        <v>MVS,AES</v>
      </c>
      <c r="W571" t="str">
        <f t="shared" si="48"/>
        <v>MVS,AES</v>
      </c>
      <c r="AG571" t="s">
        <v>6</v>
      </c>
      <c r="AH571" t="s">
        <v>6215</v>
      </c>
      <c r="AI571" t="s">
        <v>3</v>
      </c>
      <c r="AJ571" t="s">
        <v>92</v>
      </c>
      <c r="AK571" t="s">
        <v>6214</v>
      </c>
      <c r="AL571" t="s">
        <v>6213</v>
      </c>
    </row>
    <row r="572" spans="5:44" x14ac:dyDescent="0.25">
      <c r="I572" t="str">
        <f t="shared" si="44"/>
        <v>kotm2</v>
      </c>
      <c r="J572" t="str">
        <f t="shared" si="45"/>
        <v/>
      </c>
      <c r="L572" t="str">
        <f t="shared" si="47"/>
        <v>NGM-039 (MVS), NGH-039 (AES)</v>
      </c>
      <c r="M572" t="str">
        <f t="shared" si="47"/>
        <v>19920525 (MVS), 19920601 (AES)</v>
      </c>
      <c r="N572" t="str">
        <f t="shared" si="47"/>
        <v>キング・オブ・ザ・モンスターズ2 ―ネクストシング―</v>
      </c>
      <c r="O572" t="str">
        <f t="shared" si="47"/>
        <v/>
      </c>
      <c r="P572" t="str">
        <f t="shared" si="47"/>
        <v/>
      </c>
      <c r="T572" t="str">
        <f t="shared" si="46"/>
        <v/>
      </c>
      <c r="V572" t="str">
        <f t="shared" si="48"/>
        <v>MVS,AES</v>
      </c>
      <c r="W572" t="str">
        <f t="shared" si="48"/>
        <v>MVS,AES</v>
      </c>
      <c r="AG572" t="s">
        <v>6</v>
      </c>
      <c r="AH572" t="s">
        <v>6212</v>
      </c>
      <c r="AI572" t="s">
        <v>4371</v>
      </c>
      <c r="AJ572" t="s">
        <v>92</v>
      </c>
      <c r="AK572" t="s">
        <v>6211</v>
      </c>
      <c r="AL572" t="s">
        <v>6210</v>
      </c>
    </row>
    <row r="573" spans="5:44" x14ac:dyDescent="0.25">
      <c r="E573" t="s">
        <v>6236</v>
      </c>
      <c r="F573" t="s">
        <v>6235</v>
      </c>
      <c r="G573" t="s">
        <v>5639</v>
      </c>
      <c r="H573" t="s">
        <v>1912</v>
      </c>
      <c r="I573" t="str">
        <f t="shared" si="44"/>
        <v>kotm2a</v>
      </c>
      <c r="J573" t="str">
        <f t="shared" si="45"/>
        <v>kotm2aalt_title</v>
      </c>
      <c r="K573" t="s">
        <v>1218</v>
      </c>
      <c r="L573" t="str">
        <f t="shared" si="47"/>
        <v/>
      </c>
      <c r="M573" t="str">
        <f t="shared" si="47"/>
        <v/>
      </c>
      <c r="N573" t="str">
        <f t="shared" si="47"/>
        <v>キング・オブ・ザ・モンスターズ2 ―ネクストシング―</v>
      </c>
      <c r="O573" t="str">
        <f t="shared" si="47"/>
        <v/>
      </c>
      <c r="P573" t="str">
        <f t="shared" si="47"/>
        <v/>
      </c>
      <c r="Q573" t="s">
        <v>6234</v>
      </c>
      <c r="S573" t="s">
        <v>46</v>
      </c>
      <c r="T573" t="str">
        <f t="shared" si="46"/>
        <v>kotm2arelease</v>
      </c>
      <c r="U573" t="s">
        <v>106</v>
      </c>
      <c r="V573" t="str">
        <f t="shared" si="48"/>
        <v>MVS</v>
      </c>
      <c r="W573" t="str">
        <f t="shared" si="48"/>
        <v>MVS,AES</v>
      </c>
      <c r="Y573" t="s">
        <v>45</v>
      </c>
      <c r="Z573" t="s">
        <v>44</v>
      </c>
      <c r="AB573" t="s">
        <v>43</v>
      </c>
      <c r="AC573" t="s">
        <v>42</v>
      </c>
      <c r="AD573" t="s">
        <v>41</v>
      </c>
      <c r="AE573" t="s">
        <v>15</v>
      </c>
      <c r="AG573" t="s">
        <v>40</v>
      </c>
      <c r="AH573" t="s">
        <v>6233</v>
      </c>
      <c r="AI573" t="s">
        <v>9</v>
      </c>
      <c r="AJ573" t="s">
        <v>92</v>
      </c>
      <c r="AK573" t="s">
        <v>6232</v>
      </c>
      <c r="AL573" t="s">
        <v>6231</v>
      </c>
      <c r="AR573" t="s">
        <v>6204</v>
      </c>
    </row>
    <row r="574" spans="5:44" x14ac:dyDescent="0.25">
      <c r="I574" t="str">
        <f t="shared" si="44"/>
        <v>kotm2a</v>
      </c>
      <c r="J574" t="str">
        <f t="shared" si="45"/>
        <v/>
      </c>
      <c r="L574" t="str">
        <f t="shared" si="47"/>
        <v/>
      </c>
      <c r="M574" t="str">
        <f t="shared" si="47"/>
        <v/>
      </c>
      <c r="N574" t="str">
        <f t="shared" si="47"/>
        <v>キング・オブ・ザ・モンスターズ2 ―ネクストシング―</v>
      </c>
      <c r="O574" t="str">
        <f t="shared" si="47"/>
        <v/>
      </c>
      <c r="P574" t="str">
        <f t="shared" si="47"/>
        <v/>
      </c>
      <c r="S574" t="s">
        <v>36</v>
      </c>
      <c r="T574" t="str">
        <f t="shared" si="46"/>
        <v>kotm2acompatibility</v>
      </c>
      <c r="U574" t="s">
        <v>218</v>
      </c>
      <c r="V574" t="str">
        <f t="shared" si="48"/>
        <v>MVS</v>
      </c>
      <c r="W574" t="str">
        <f t="shared" si="48"/>
        <v>MVS,AES</v>
      </c>
      <c r="AG574" t="s">
        <v>40</v>
      </c>
      <c r="AH574" t="s">
        <v>6230</v>
      </c>
      <c r="AI574" t="s">
        <v>92</v>
      </c>
      <c r="AJ574" t="s">
        <v>92</v>
      </c>
      <c r="AK574" t="s">
        <v>6229</v>
      </c>
      <c r="AL574" t="s">
        <v>6228</v>
      </c>
    </row>
    <row r="575" spans="5:44" x14ac:dyDescent="0.25">
      <c r="I575" t="str">
        <f t="shared" si="44"/>
        <v>kotm2a</v>
      </c>
      <c r="J575" t="str">
        <f t="shared" si="45"/>
        <v/>
      </c>
      <c r="L575" t="str">
        <f t="shared" si="47"/>
        <v/>
      </c>
      <c r="M575" t="str">
        <f t="shared" si="47"/>
        <v/>
      </c>
      <c r="N575" t="str">
        <f t="shared" si="47"/>
        <v>キング・オブ・ザ・モンスターズ2 ―ネクストシング―</v>
      </c>
      <c r="O575" t="str">
        <f t="shared" si="47"/>
        <v/>
      </c>
      <c r="P575" t="str">
        <f t="shared" si="47"/>
        <v/>
      </c>
      <c r="T575" t="str">
        <f t="shared" si="46"/>
        <v/>
      </c>
      <c r="V575" t="str">
        <f t="shared" si="48"/>
        <v>MVS</v>
      </c>
      <c r="W575" t="str">
        <f t="shared" si="48"/>
        <v>MVS,AES</v>
      </c>
      <c r="AB575" t="s">
        <v>34</v>
      </c>
      <c r="AE575" t="s">
        <v>33</v>
      </c>
      <c r="AH575" t="s">
        <v>6200</v>
      </c>
      <c r="AI575" t="s">
        <v>9</v>
      </c>
      <c r="AJ575" t="s">
        <v>27</v>
      </c>
      <c r="AK575" t="s">
        <v>6199</v>
      </c>
      <c r="AL575" t="s">
        <v>6198</v>
      </c>
    </row>
    <row r="576" spans="5:44" x14ac:dyDescent="0.25">
      <c r="I576" t="str">
        <f t="shared" si="44"/>
        <v>kotm2a</v>
      </c>
      <c r="J576" t="str">
        <f t="shared" si="45"/>
        <v/>
      </c>
      <c r="L576" t="str">
        <f t="shared" ref="L576:P626" si="49">IFERROR(VLOOKUP($I576&amp;L$1,$J:$Q,8,0),"")</f>
        <v/>
      </c>
      <c r="M576" t="str">
        <f t="shared" si="49"/>
        <v/>
      </c>
      <c r="N576" t="str">
        <f t="shared" si="49"/>
        <v>キング・オブ・ザ・モンスターズ2 ―ネクストシング―</v>
      </c>
      <c r="O576" t="str">
        <f t="shared" si="49"/>
        <v/>
      </c>
      <c r="P576" t="str">
        <f t="shared" si="49"/>
        <v/>
      </c>
      <c r="T576" t="str">
        <f t="shared" si="46"/>
        <v/>
      </c>
      <c r="V576" t="str">
        <f t="shared" si="48"/>
        <v>MVS</v>
      </c>
      <c r="W576" t="str">
        <f t="shared" si="48"/>
        <v>MVS,AES</v>
      </c>
      <c r="AB576" t="s">
        <v>29</v>
      </c>
      <c r="AE576" t="s">
        <v>27</v>
      </c>
      <c r="AH576" t="s">
        <v>6197</v>
      </c>
      <c r="AI576" t="s">
        <v>9</v>
      </c>
      <c r="AJ576" t="s">
        <v>27</v>
      </c>
      <c r="AK576" t="s">
        <v>6196</v>
      </c>
      <c r="AL576" t="s">
        <v>6195</v>
      </c>
    </row>
    <row r="577" spans="5:44" x14ac:dyDescent="0.25">
      <c r="I577" t="str">
        <f t="shared" si="44"/>
        <v>kotm2a</v>
      </c>
      <c r="J577" t="str">
        <f t="shared" si="45"/>
        <v/>
      </c>
      <c r="L577" t="str">
        <f t="shared" si="49"/>
        <v/>
      </c>
      <c r="M577" t="str">
        <f t="shared" si="49"/>
        <v/>
      </c>
      <c r="N577" t="str">
        <f t="shared" si="49"/>
        <v>キング・オブ・ザ・モンスターズ2 ―ネクストシング―</v>
      </c>
      <c r="O577" t="str">
        <f t="shared" si="49"/>
        <v/>
      </c>
      <c r="P577" t="str">
        <f t="shared" si="49"/>
        <v/>
      </c>
      <c r="T577" t="str">
        <f t="shared" si="46"/>
        <v/>
      </c>
      <c r="V577" t="str">
        <f t="shared" si="48"/>
        <v>MVS</v>
      </c>
      <c r="W577" t="str">
        <f t="shared" si="48"/>
        <v>MVS,AES</v>
      </c>
      <c r="AB577" t="s">
        <v>24</v>
      </c>
      <c r="AE577" t="s">
        <v>377</v>
      </c>
      <c r="AH577" t="s">
        <v>6227</v>
      </c>
      <c r="AI577" t="s">
        <v>9</v>
      </c>
      <c r="AJ577" t="s">
        <v>3</v>
      </c>
      <c r="AK577" t="s">
        <v>6226</v>
      </c>
      <c r="AL577" t="s">
        <v>6225</v>
      </c>
    </row>
    <row r="578" spans="5:44" x14ac:dyDescent="0.25">
      <c r="I578" t="str">
        <f t="shared" si="44"/>
        <v>kotm2a</v>
      </c>
      <c r="J578" t="str">
        <f t="shared" si="45"/>
        <v/>
      </c>
      <c r="L578" t="str">
        <f t="shared" si="49"/>
        <v/>
      </c>
      <c r="M578" t="str">
        <f t="shared" si="49"/>
        <v/>
      </c>
      <c r="N578" t="str">
        <f t="shared" si="49"/>
        <v>キング・オブ・ザ・モンスターズ2 ―ネクストシング―</v>
      </c>
      <c r="O578" t="str">
        <f t="shared" si="49"/>
        <v/>
      </c>
      <c r="P578" t="str">
        <f t="shared" si="49"/>
        <v/>
      </c>
      <c r="T578" t="str">
        <f t="shared" si="46"/>
        <v/>
      </c>
      <c r="V578" t="str">
        <f t="shared" si="48"/>
        <v>MVS</v>
      </c>
      <c r="W578" t="str">
        <f t="shared" si="48"/>
        <v>MVS,AES</v>
      </c>
      <c r="AH578" t="s">
        <v>6224</v>
      </c>
      <c r="AI578" t="s">
        <v>3</v>
      </c>
      <c r="AJ578" t="s">
        <v>15</v>
      </c>
      <c r="AK578" t="s">
        <v>6223</v>
      </c>
      <c r="AL578" t="s">
        <v>6222</v>
      </c>
    </row>
    <row r="579" spans="5:44" x14ac:dyDescent="0.25">
      <c r="I579" t="str">
        <f t="shared" ref="I579:I642" si="50">IF(E579="",I578,E579)</f>
        <v>kotm2a</v>
      </c>
      <c r="J579" t="str">
        <f t="shared" ref="J579:J642" si="51">IF(K579="","",I579&amp;K579)</f>
        <v/>
      </c>
      <c r="L579" t="str">
        <f t="shared" si="49"/>
        <v/>
      </c>
      <c r="M579" t="str">
        <f t="shared" si="49"/>
        <v/>
      </c>
      <c r="N579" t="str">
        <f t="shared" si="49"/>
        <v>キング・オブ・ザ・モンスターズ2 ―ネクストシング―</v>
      </c>
      <c r="O579" t="str">
        <f t="shared" si="49"/>
        <v/>
      </c>
      <c r="P579" t="str">
        <f t="shared" si="49"/>
        <v/>
      </c>
      <c r="T579" t="str">
        <f t="shared" ref="T579:T642" si="52">IF(S579="","",I579&amp;S579)</f>
        <v/>
      </c>
      <c r="V579" t="str">
        <f t="shared" si="48"/>
        <v>MVS</v>
      </c>
      <c r="W579" t="str">
        <f t="shared" si="48"/>
        <v>MVS,AES</v>
      </c>
      <c r="AB579" t="s">
        <v>12</v>
      </c>
      <c r="AE579" t="s">
        <v>75</v>
      </c>
      <c r="AG579" t="s">
        <v>6</v>
      </c>
      <c r="AH579" t="s">
        <v>6221</v>
      </c>
      <c r="AI579" t="s">
        <v>9</v>
      </c>
      <c r="AJ579" t="s">
        <v>15</v>
      </c>
      <c r="AK579" t="s">
        <v>6220</v>
      </c>
      <c r="AL579" t="s">
        <v>6219</v>
      </c>
    </row>
    <row r="580" spans="5:44" x14ac:dyDescent="0.25">
      <c r="I580" t="str">
        <f t="shared" si="50"/>
        <v>kotm2a</v>
      </c>
      <c r="J580" t="str">
        <f t="shared" si="51"/>
        <v/>
      </c>
      <c r="L580" t="str">
        <f t="shared" si="49"/>
        <v/>
      </c>
      <c r="M580" t="str">
        <f t="shared" si="49"/>
        <v/>
      </c>
      <c r="N580" t="str">
        <f t="shared" si="49"/>
        <v>キング・オブ・ザ・モンスターズ2 ―ネクストシング―</v>
      </c>
      <c r="O580" t="str">
        <f t="shared" si="49"/>
        <v/>
      </c>
      <c r="P580" t="str">
        <f t="shared" si="49"/>
        <v/>
      </c>
      <c r="T580" t="str">
        <f t="shared" si="52"/>
        <v/>
      </c>
      <c r="V580" t="str">
        <f t="shared" si="48"/>
        <v>MVS</v>
      </c>
      <c r="W580" t="str">
        <f t="shared" si="48"/>
        <v>MVS,AES</v>
      </c>
      <c r="AG580" t="s">
        <v>224</v>
      </c>
      <c r="AI580" t="s">
        <v>11</v>
      </c>
      <c r="AJ580" t="s">
        <v>15</v>
      </c>
    </row>
    <row r="581" spans="5:44" x14ac:dyDescent="0.25">
      <c r="I581" t="str">
        <f t="shared" si="50"/>
        <v>kotm2a</v>
      </c>
      <c r="J581" t="str">
        <f t="shared" si="51"/>
        <v/>
      </c>
      <c r="L581" t="str">
        <f t="shared" si="49"/>
        <v/>
      </c>
      <c r="M581" t="str">
        <f t="shared" si="49"/>
        <v/>
      </c>
      <c r="N581" t="str">
        <f t="shared" si="49"/>
        <v>キング・オブ・ザ・モンスターズ2 ―ネクストシング―</v>
      </c>
      <c r="O581" t="str">
        <f t="shared" si="49"/>
        <v/>
      </c>
      <c r="P581" t="str">
        <f t="shared" si="49"/>
        <v/>
      </c>
      <c r="T581" t="str">
        <f t="shared" si="52"/>
        <v/>
      </c>
      <c r="V581" t="str">
        <f t="shared" si="48"/>
        <v>MVS</v>
      </c>
      <c r="W581" t="str">
        <f t="shared" si="48"/>
        <v>MVS,AES</v>
      </c>
      <c r="AG581" t="s">
        <v>6</v>
      </c>
      <c r="AH581" t="s">
        <v>6218</v>
      </c>
      <c r="AI581" t="s">
        <v>4</v>
      </c>
      <c r="AJ581" t="s">
        <v>15</v>
      </c>
      <c r="AK581" t="s">
        <v>6217</v>
      </c>
      <c r="AL581" t="s">
        <v>6216</v>
      </c>
    </row>
    <row r="582" spans="5:44" x14ac:dyDescent="0.25">
      <c r="I582" t="str">
        <f t="shared" si="50"/>
        <v>kotm2a</v>
      </c>
      <c r="J582" t="str">
        <f t="shared" si="51"/>
        <v/>
      </c>
      <c r="L582" t="str">
        <f t="shared" si="49"/>
        <v/>
      </c>
      <c r="M582" t="str">
        <f t="shared" si="49"/>
        <v/>
      </c>
      <c r="N582" t="str">
        <f t="shared" si="49"/>
        <v>キング・オブ・ザ・モンスターズ2 ―ネクストシング―</v>
      </c>
      <c r="O582" t="str">
        <f t="shared" si="49"/>
        <v/>
      </c>
      <c r="P582" t="str">
        <f t="shared" si="49"/>
        <v/>
      </c>
      <c r="T582" t="str">
        <f t="shared" si="52"/>
        <v/>
      </c>
      <c r="V582" t="str">
        <f t="shared" si="48"/>
        <v>MVS</v>
      </c>
      <c r="W582" t="str">
        <f t="shared" si="48"/>
        <v>MVS,AES</v>
      </c>
      <c r="AG582" t="s">
        <v>224</v>
      </c>
      <c r="AI582" t="s">
        <v>932</v>
      </c>
      <c r="AJ582" t="s">
        <v>15</v>
      </c>
    </row>
    <row r="583" spans="5:44" x14ac:dyDescent="0.25">
      <c r="I583" t="str">
        <f t="shared" si="50"/>
        <v>kotm2a</v>
      </c>
      <c r="J583" t="str">
        <f t="shared" si="51"/>
        <v/>
      </c>
      <c r="L583" t="str">
        <f t="shared" si="49"/>
        <v/>
      </c>
      <c r="M583" t="str">
        <f t="shared" si="49"/>
        <v/>
      </c>
      <c r="N583" t="str">
        <f t="shared" si="49"/>
        <v>キング・オブ・ザ・モンスターズ2 ―ネクストシング―</v>
      </c>
      <c r="O583" t="str">
        <f t="shared" si="49"/>
        <v/>
      </c>
      <c r="P583" t="str">
        <f t="shared" si="49"/>
        <v/>
      </c>
      <c r="T583" t="str">
        <f t="shared" si="52"/>
        <v/>
      </c>
      <c r="V583" t="str">
        <f t="shared" si="48"/>
        <v>MVS</v>
      </c>
      <c r="W583" t="str">
        <f t="shared" si="48"/>
        <v>MVS,AES</v>
      </c>
      <c r="AG583" t="s">
        <v>6</v>
      </c>
      <c r="AH583" t="s">
        <v>6215</v>
      </c>
      <c r="AI583" t="s">
        <v>3</v>
      </c>
      <c r="AJ583" t="s">
        <v>92</v>
      </c>
      <c r="AK583" t="s">
        <v>6214</v>
      </c>
      <c r="AL583" t="s">
        <v>6213</v>
      </c>
    </row>
    <row r="584" spans="5:44" x14ac:dyDescent="0.25">
      <c r="I584" t="str">
        <f t="shared" si="50"/>
        <v>kotm2a</v>
      </c>
      <c r="J584" t="str">
        <f t="shared" si="51"/>
        <v/>
      </c>
      <c r="L584" t="str">
        <f t="shared" si="49"/>
        <v/>
      </c>
      <c r="M584" t="str">
        <f t="shared" si="49"/>
        <v/>
      </c>
      <c r="N584" t="str">
        <f t="shared" si="49"/>
        <v>キング・オブ・ザ・モンスターズ2 ―ネクストシング―</v>
      </c>
      <c r="O584" t="str">
        <f t="shared" si="49"/>
        <v/>
      </c>
      <c r="P584" t="str">
        <f t="shared" si="49"/>
        <v/>
      </c>
      <c r="T584" t="str">
        <f t="shared" si="52"/>
        <v/>
      </c>
      <c r="V584" t="str">
        <f t="shared" si="48"/>
        <v>MVS</v>
      </c>
      <c r="W584" t="str">
        <f t="shared" si="48"/>
        <v>MVS,AES</v>
      </c>
      <c r="AG584" t="s">
        <v>6</v>
      </c>
      <c r="AH584" t="s">
        <v>6212</v>
      </c>
      <c r="AI584" t="s">
        <v>4371</v>
      </c>
      <c r="AJ584" t="s">
        <v>92</v>
      </c>
      <c r="AK584" t="s">
        <v>6211</v>
      </c>
      <c r="AL584" t="s">
        <v>6210</v>
      </c>
    </row>
    <row r="585" spans="5:44" x14ac:dyDescent="0.25">
      <c r="E585" t="s">
        <v>6209</v>
      </c>
      <c r="F585" t="s">
        <v>6208</v>
      </c>
      <c r="G585" t="s">
        <v>5639</v>
      </c>
      <c r="H585" t="s">
        <v>1912</v>
      </c>
      <c r="I585" t="str">
        <f t="shared" si="50"/>
        <v>kotm2p</v>
      </c>
      <c r="J585" t="str">
        <f t="shared" si="51"/>
        <v/>
      </c>
      <c r="L585" t="str">
        <f t="shared" si="49"/>
        <v/>
      </c>
      <c r="M585" t="str">
        <f t="shared" si="49"/>
        <v/>
      </c>
      <c r="N585" t="str">
        <f t="shared" si="49"/>
        <v/>
      </c>
      <c r="O585" t="str">
        <f t="shared" si="49"/>
        <v/>
      </c>
      <c r="P585" t="str">
        <f t="shared" si="49"/>
        <v/>
      </c>
      <c r="S585" t="s">
        <v>46</v>
      </c>
      <c r="T585" t="str">
        <f t="shared" si="52"/>
        <v>kotm2prelease</v>
      </c>
      <c r="U585" t="s">
        <v>106</v>
      </c>
      <c r="V585" t="str">
        <f t="shared" si="48"/>
        <v>MVS</v>
      </c>
      <c r="W585" t="str">
        <f t="shared" si="48"/>
        <v>MVS,AES</v>
      </c>
      <c r="Y585" t="s">
        <v>45</v>
      </c>
      <c r="Z585" t="s">
        <v>44</v>
      </c>
      <c r="AB585" t="s">
        <v>43</v>
      </c>
      <c r="AC585" t="s">
        <v>42</v>
      </c>
      <c r="AD585" t="s">
        <v>41</v>
      </c>
      <c r="AE585" t="s">
        <v>15</v>
      </c>
      <c r="AG585" t="s">
        <v>6</v>
      </c>
      <c r="AH585" t="s">
        <v>6207</v>
      </c>
      <c r="AI585" t="s">
        <v>4</v>
      </c>
      <c r="AJ585" t="s">
        <v>92</v>
      </c>
      <c r="AK585" t="s">
        <v>6206</v>
      </c>
      <c r="AL585" t="s">
        <v>6205</v>
      </c>
      <c r="AR585" t="s">
        <v>6204</v>
      </c>
    </row>
    <row r="586" spans="5:44" x14ac:dyDescent="0.25">
      <c r="I586" t="str">
        <f t="shared" si="50"/>
        <v>kotm2p</v>
      </c>
      <c r="J586" t="str">
        <f t="shared" si="51"/>
        <v/>
      </c>
      <c r="L586" t="str">
        <f t="shared" si="49"/>
        <v/>
      </c>
      <c r="M586" t="str">
        <f t="shared" si="49"/>
        <v/>
      </c>
      <c r="N586" t="str">
        <f t="shared" si="49"/>
        <v/>
      </c>
      <c r="O586" t="str">
        <f t="shared" si="49"/>
        <v/>
      </c>
      <c r="P586" t="str">
        <f t="shared" si="49"/>
        <v/>
      </c>
      <c r="S586" t="s">
        <v>36</v>
      </c>
      <c r="T586" t="str">
        <f t="shared" si="52"/>
        <v>kotm2pcompatibility</v>
      </c>
      <c r="U586" t="s">
        <v>218</v>
      </c>
      <c r="V586" t="str">
        <f t="shared" si="48"/>
        <v>MVS</v>
      </c>
      <c r="W586" t="str">
        <f t="shared" si="48"/>
        <v>MVS,AES</v>
      </c>
      <c r="AG586" t="s">
        <v>6</v>
      </c>
      <c r="AH586" t="s">
        <v>6203</v>
      </c>
      <c r="AI586" t="s">
        <v>9</v>
      </c>
      <c r="AJ586" t="s">
        <v>92</v>
      </c>
      <c r="AK586" t="s">
        <v>6202</v>
      </c>
      <c r="AL586" t="s">
        <v>6201</v>
      </c>
    </row>
    <row r="587" spans="5:44" x14ac:dyDescent="0.25">
      <c r="I587" t="str">
        <f t="shared" si="50"/>
        <v>kotm2p</v>
      </c>
      <c r="J587" t="str">
        <f t="shared" si="51"/>
        <v/>
      </c>
      <c r="L587" t="str">
        <f t="shared" si="49"/>
        <v/>
      </c>
      <c r="M587" t="str">
        <f t="shared" si="49"/>
        <v/>
      </c>
      <c r="N587" t="str">
        <f t="shared" si="49"/>
        <v/>
      </c>
      <c r="O587" t="str">
        <f t="shared" si="49"/>
        <v/>
      </c>
      <c r="P587" t="str">
        <f t="shared" si="49"/>
        <v/>
      </c>
      <c r="T587" t="str">
        <f t="shared" si="52"/>
        <v/>
      </c>
      <c r="V587" t="str">
        <f t="shared" si="48"/>
        <v>MVS</v>
      </c>
      <c r="W587" t="str">
        <f t="shared" si="48"/>
        <v>MVS,AES</v>
      </c>
      <c r="AB587" t="s">
        <v>34</v>
      </c>
      <c r="AE587" t="s">
        <v>33</v>
      </c>
      <c r="AH587" t="s">
        <v>6200</v>
      </c>
      <c r="AI587" t="s">
        <v>9</v>
      </c>
      <c r="AJ587" t="s">
        <v>27</v>
      </c>
      <c r="AK587" t="s">
        <v>6199</v>
      </c>
      <c r="AL587" t="s">
        <v>6198</v>
      </c>
    </row>
    <row r="588" spans="5:44" x14ac:dyDescent="0.25">
      <c r="I588" t="str">
        <f t="shared" si="50"/>
        <v>kotm2p</v>
      </c>
      <c r="J588" t="str">
        <f t="shared" si="51"/>
        <v/>
      </c>
      <c r="L588" t="str">
        <f t="shared" si="49"/>
        <v/>
      </c>
      <c r="M588" t="str">
        <f t="shared" si="49"/>
        <v/>
      </c>
      <c r="N588" t="str">
        <f t="shared" si="49"/>
        <v/>
      </c>
      <c r="O588" t="str">
        <f t="shared" si="49"/>
        <v/>
      </c>
      <c r="P588" t="str">
        <f t="shared" si="49"/>
        <v/>
      </c>
      <c r="T588" t="str">
        <f t="shared" si="52"/>
        <v/>
      </c>
      <c r="V588" t="str">
        <f t="shared" si="48"/>
        <v>MVS</v>
      </c>
      <c r="W588" t="str">
        <f t="shared" si="48"/>
        <v>MVS,AES</v>
      </c>
      <c r="AB588" t="s">
        <v>29</v>
      </c>
      <c r="AE588" t="s">
        <v>27</v>
      </c>
      <c r="AH588" t="s">
        <v>6197</v>
      </c>
      <c r="AI588" t="s">
        <v>9</v>
      </c>
      <c r="AJ588" t="s">
        <v>27</v>
      </c>
      <c r="AK588" t="s">
        <v>6196</v>
      </c>
      <c r="AL588" t="s">
        <v>6195</v>
      </c>
    </row>
    <row r="589" spans="5:44" x14ac:dyDescent="0.25">
      <c r="I589" t="str">
        <f t="shared" si="50"/>
        <v>kotm2p</v>
      </c>
      <c r="J589" t="str">
        <f t="shared" si="51"/>
        <v/>
      </c>
      <c r="L589" t="str">
        <f t="shared" si="49"/>
        <v/>
      </c>
      <c r="M589" t="str">
        <f t="shared" si="49"/>
        <v/>
      </c>
      <c r="N589" t="str">
        <f t="shared" si="49"/>
        <v/>
      </c>
      <c r="O589" t="str">
        <f t="shared" si="49"/>
        <v/>
      </c>
      <c r="P589" t="str">
        <f t="shared" si="49"/>
        <v/>
      </c>
      <c r="T589" t="str">
        <f t="shared" si="52"/>
        <v/>
      </c>
      <c r="V589" t="str">
        <f t="shared" si="48"/>
        <v>MVS</v>
      </c>
      <c r="W589" t="str">
        <f t="shared" si="48"/>
        <v>MVS,AES</v>
      </c>
      <c r="AB589" t="s">
        <v>24</v>
      </c>
      <c r="AE589" t="s">
        <v>377</v>
      </c>
      <c r="AH589" t="s">
        <v>6194</v>
      </c>
      <c r="AI589" t="s">
        <v>9</v>
      </c>
      <c r="AJ589" t="s">
        <v>92</v>
      </c>
      <c r="AK589" t="s">
        <v>6193</v>
      </c>
      <c r="AL589" t="s">
        <v>6192</v>
      </c>
    </row>
    <row r="590" spans="5:44" x14ac:dyDescent="0.25">
      <c r="I590" t="str">
        <f t="shared" si="50"/>
        <v>kotm2p</v>
      </c>
      <c r="J590" t="str">
        <f t="shared" si="51"/>
        <v/>
      </c>
      <c r="L590" t="str">
        <f t="shared" si="49"/>
        <v/>
      </c>
      <c r="M590" t="str">
        <f t="shared" si="49"/>
        <v/>
      </c>
      <c r="N590" t="str">
        <f t="shared" si="49"/>
        <v/>
      </c>
      <c r="O590" t="str">
        <f t="shared" si="49"/>
        <v/>
      </c>
      <c r="P590" t="str">
        <f t="shared" si="49"/>
        <v/>
      </c>
      <c r="T590" t="str">
        <f t="shared" si="52"/>
        <v/>
      </c>
      <c r="V590" t="str">
        <f t="shared" si="48"/>
        <v>MVS</v>
      </c>
      <c r="W590" t="str">
        <f t="shared" si="48"/>
        <v>MVS,AES</v>
      </c>
      <c r="AH590" t="s">
        <v>6191</v>
      </c>
      <c r="AI590" t="s">
        <v>92</v>
      </c>
      <c r="AJ590" t="s">
        <v>92</v>
      </c>
      <c r="AK590" t="s">
        <v>6190</v>
      </c>
      <c r="AL590" t="s">
        <v>6189</v>
      </c>
    </row>
    <row r="591" spans="5:44" x14ac:dyDescent="0.25">
      <c r="I591" t="str">
        <f t="shared" si="50"/>
        <v>kotm2p</v>
      </c>
      <c r="J591" t="str">
        <f t="shared" si="51"/>
        <v/>
      </c>
      <c r="L591" t="str">
        <f t="shared" si="49"/>
        <v/>
      </c>
      <c r="M591" t="str">
        <f t="shared" si="49"/>
        <v/>
      </c>
      <c r="N591" t="str">
        <f t="shared" si="49"/>
        <v/>
      </c>
      <c r="O591" t="str">
        <f t="shared" si="49"/>
        <v/>
      </c>
      <c r="P591" t="str">
        <f t="shared" si="49"/>
        <v/>
      </c>
      <c r="T591" t="str">
        <f t="shared" si="52"/>
        <v/>
      </c>
      <c r="V591" t="str">
        <f t="shared" si="48"/>
        <v>MVS</v>
      </c>
      <c r="W591" t="str">
        <f t="shared" si="48"/>
        <v>MVS,AES</v>
      </c>
      <c r="AH591" t="s">
        <v>6188</v>
      </c>
      <c r="AI591" t="s">
        <v>15</v>
      </c>
      <c r="AJ591" t="s">
        <v>92</v>
      </c>
      <c r="AK591" t="s">
        <v>6187</v>
      </c>
      <c r="AL591" t="s">
        <v>6186</v>
      </c>
    </row>
    <row r="592" spans="5:44" x14ac:dyDescent="0.25">
      <c r="I592" t="str">
        <f t="shared" si="50"/>
        <v>kotm2p</v>
      </c>
      <c r="J592" t="str">
        <f t="shared" si="51"/>
        <v/>
      </c>
      <c r="L592" t="str">
        <f t="shared" si="49"/>
        <v/>
      </c>
      <c r="M592" t="str">
        <f t="shared" si="49"/>
        <v/>
      </c>
      <c r="N592" t="str">
        <f t="shared" si="49"/>
        <v/>
      </c>
      <c r="O592" t="str">
        <f t="shared" si="49"/>
        <v/>
      </c>
      <c r="P592" t="str">
        <f t="shared" si="49"/>
        <v/>
      </c>
      <c r="T592" t="str">
        <f t="shared" si="52"/>
        <v/>
      </c>
      <c r="V592" t="str">
        <f t="shared" si="48"/>
        <v>MVS</v>
      </c>
      <c r="W592" t="str">
        <f t="shared" si="48"/>
        <v>MVS,AES</v>
      </c>
      <c r="AH592" t="s">
        <v>6185</v>
      </c>
      <c r="AI592" t="s">
        <v>4502</v>
      </c>
      <c r="AJ592" t="s">
        <v>92</v>
      </c>
      <c r="AK592" t="s">
        <v>6184</v>
      </c>
      <c r="AL592" t="s">
        <v>6183</v>
      </c>
    </row>
    <row r="593" spans="5:38" x14ac:dyDescent="0.25">
      <c r="I593" t="str">
        <f t="shared" si="50"/>
        <v>kotm2p</v>
      </c>
      <c r="J593" t="str">
        <f t="shared" si="51"/>
        <v/>
      </c>
      <c r="L593" t="str">
        <f t="shared" si="49"/>
        <v/>
      </c>
      <c r="M593" t="str">
        <f t="shared" si="49"/>
        <v/>
      </c>
      <c r="N593" t="str">
        <f t="shared" si="49"/>
        <v/>
      </c>
      <c r="O593" t="str">
        <f t="shared" si="49"/>
        <v/>
      </c>
      <c r="P593" t="str">
        <f t="shared" si="49"/>
        <v/>
      </c>
      <c r="T593" t="str">
        <f t="shared" si="52"/>
        <v/>
      </c>
      <c r="V593" t="str">
        <f t="shared" si="48"/>
        <v>MVS</v>
      </c>
      <c r="W593" t="str">
        <f t="shared" si="48"/>
        <v>MVS,AES</v>
      </c>
      <c r="AH593" t="s">
        <v>6182</v>
      </c>
      <c r="AI593" t="s">
        <v>3</v>
      </c>
      <c r="AJ593" t="s">
        <v>92</v>
      </c>
      <c r="AK593" t="s">
        <v>6181</v>
      </c>
      <c r="AL593" t="s">
        <v>6180</v>
      </c>
    </row>
    <row r="594" spans="5:38" x14ac:dyDescent="0.25">
      <c r="I594" t="str">
        <f t="shared" si="50"/>
        <v>kotm2p</v>
      </c>
      <c r="J594" t="str">
        <f t="shared" si="51"/>
        <v/>
      </c>
      <c r="L594" t="str">
        <f t="shared" si="49"/>
        <v/>
      </c>
      <c r="M594" t="str">
        <f t="shared" si="49"/>
        <v/>
      </c>
      <c r="N594" t="str">
        <f t="shared" si="49"/>
        <v/>
      </c>
      <c r="O594" t="str">
        <f t="shared" si="49"/>
        <v/>
      </c>
      <c r="P594" t="str">
        <f t="shared" si="49"/>
        <v/>
      </c>
      <c r="T594" t="str">
        <f t="shared" si="52"/>
        <v/>
      </c>
      <c r="V594" t="str">
        <f t="shared" si="48"/>
        <v>MVS</v>
      </c>
      <c r="W594" t="str">
        <f t="shared" si="48"/>
        <v>MVS,AES</v>
      </c>
      <c r="AH594" t="s">
        <v>6179</v>
      </c>
      <c r="AI594" t="s">
        <v>6106</v>
      </c>
      <c r="AJ594" t="s">
        <v>92</v>
      </c>
      <c r="AK594" t="s">
        <v>6178</v>
      </c>
      <c r="AL594" t="s">
        <v>6177</v>
      </c>
    </row>
    <row r="595" spans="5:38" x14ac:dyDescent="0.25">
      <c r="I595" t="str">
        <f t="shared" si="50"/>
        <v>kotm2p</v>
      </c>
      <c r="J595" t="str">
        <f t="shared" si="51"/>
        <v/>
      </c>
      <c r="L595" t="str">
        <f t="shared" si="49"/>
        <v/>
      </c>
      <c r="M595" t="str">
        <f t="shared" si="49"/>
        <v/>
      </c>
      <c r="N595" t="str">
        <f t="shared" si="49"/>
        <v/>
      </c>
      <c r="O595" t="str">
        <f t="shared" si="49"/>
        <v/>
      </c>
      <c r="P595" t="str">
        <f t="shared" si="49"/>
        <v/>
      </c>
      <c r="T595" t="str">
        <f t="shared" si="52"/>
        <v/>
      </c>
      <c r="V595" t="str">
        <f t="shared" si="48"/>
        <v>MVS</v>
      </c>
      <c r="W595" t="str">
        <f t="shared" si="48"/>
        <v>MVS,AES</v>
      </c>
      <c r="AB595" t="s">
        <v>12</v>
      </c>
      <c r="AE595" t="s">
        <v>75</v>
      </c>
      <c r="AG595" t="s">
        <v>4354</v>
      </c>
      <c r="AH595" t="s">
        <v>6176</v>
      </c>
      <c r="AI595" t="s">
        <v>9</v>
      </c>
      <c r="AJ595" t="s">
        <v>15</v>
      </c>
      <c r="AK595" t="s">
        <v>6175</v>
      </c>
      <c r="AL595" t="s">
        <v>6174</v>
      </c>
    </row>
    <row r="596" spans="5:38" x14ac:dyDescent="0.25">
      <c r="I596" t="str">
        <f t="shared" si="50"/>
        <v>kotm2p</v>
      </c>
      <c r="J596" t="str">
        <f t="shared" si="51"/>
        <v/>
      </c>
      <c r="L596" t="str">
        <f t="shared" si="49"/>
        <v/>
      </c>
      <c r="M596" t="str">
        <f t="shared" si="49"/>
        <v/>
      </c>
      <c r="N596" t="str">
        <f t="shared" si="49"/>
        <v/>
      </c>
      <c r="O596" t="str">
        <f t="shared" si="49"/>
        <v/>
      </c>
      <c r="P596" t="str">
        <f t="shared" si="49"/>
        <v/>
      </c>
      <c r="T596" t="str">
        <f t="shared" si="52"/>
        <v/>
      </c>
      <c r="V596" t="str">
        <f t="shared" si="48"/>
        <v>MVS</v>
      </c>
      <c r="W596" t="str">
        <f t="shared" si="48"/>
        <v>MVS,AES</v>
      </c>
      <c r="AG596" t="s">
        <v>4354</v>
      </c>
      <c r="AH596" t="s">
        <v>6173</v>
      </c>
      <c r="AI596" t="s">
        <v>1427</v>
      </c>
      <c r="AJ596" t="s">
        <v>15</v>
      </c>
      <c r="AK596" t="s">
        <v>6172</v>
      </c>
      <c r="AL596" t="s">
        <v>6171</v>
      </c>
    </row>
    <row r="597" spans="5:38" x14ac:dyDescent="0.25">
      <c r="I597" t="str">
        <f t="shared" si="50"/>
        <v>kotm2p</v>
      </c>
      <c r="J597" t="str">
        <f t="shared" si="51"/>
        <v/>
      </c>
      <c r="L597" t="str">
        <f t="shared" si="49"/>
        <v/>
      </c>
      <c r="M597" t="str">
        <f t="shared" si="49"/>
        <v/>
      </c>
      <c r="N597" t="str">
        <f t="shared" si="49"/>
        <v/>
      </c>
      <c r="O597" t="str">
        <f t="shared" si="49"/>
        <v/>
      </c>
      <c r="P597" t="str">
        <f t="shared" si="49"/>
        <v/>
      </c>
      <c r="T597" t="str">
        <f t="shared" si="52"/>
        <v/>
      </c>
      <c r="V597" t="str">
        <f t="shared" si="48"/>
        <v>MVS</v>
      </c>
      <c r="W597" t="str">
        <f t="shared" si="48"/>
        <v>MVS,AES</v>
      </c>
      <c r="AG597" t="s">
        <v>4354</v>
      </c>
      <c r="AH597" t="s">
        <v>6170</v>
      </c>
      <c r="AI597" t="s">
        <v>4</v>
      </c>
      <c r="AJ597" t="s">
        <v>15</v>
      </c>
      <c r="AK597" t="s">
        <v>6169</v>
      </c>
      <c r="AL597" t="s">
        <v>6168</v>
      </c>
    </row>
    <row r="598" spans="5:38" x14ac:dyDescent="0.25">
      <c r="I598" t="str">
        <f t="shared" si="50"/>
        <v>kotm2p</v>
      </c>
      <c r="J598" t="str">
        <f t="shared" si="51"/>
        <v/>
      </c>
      <c r="L598" t="str">
        <f t="shared" si="49"/>
        <v/>
      </c>
      <c r="M598" t="str">
        <f t="shared" si="49"/>
        <v/>
      </c>
      <c r="N598" t="str">
        <f t="shared" si="49"/>
        <v/>
      </c>
      <c r="O598" t="str">
        <f t="shared" si="49"/>
        <v/>
      </c>
      <c r="P598" t="str">
        <f t="shared" si="49"/>
        <v/>
      </c>
      <c r="T598" t="str">
        <f t="shared" si="52"/>
        <v/>
      </c>
      <c r="V598" t="str">
        <f t="shared" si="48"/>
        <v>MVS</v>
      </c>
      <c r="W598" t="str">
        <f t="shared" si="48"/>
        <v>MVS,AES</v>
      </c>
      <c r="AG598" t="s">
        <v>4354</v>
      </c>
      <c r="AH598" t="s">
        <v>6167</v>
      </c>
      <c r="AI598" t="s">
        <v>4382</v>
      </c>
      <c r="AJ598" t="s">
        <v>15</v>
      </c>
      <c r="AK598" t="s">
        <v>6166</v>
      </c>
      <c r="AL598" t="s">
        <v>6165</v>
      </c>
    </row>
    <row r="599" spans="5:38" x14ac:dyDescent="0.25">
      <c r="I599" t="str">
        <f t="shared" si="50"/>
        <v>kotm2p</v>
      </c>
      <c r="J599" t="str">
        <f t="shared" si="51"/>
        <v/>
      </c>
      <c r="L599" t="str">
        <f t="shared" si="49"/>
        <v/>
      </c>
      <c r="M599" t="str">
        <f t="shared" si="49"/>
        <v/>
      </c>
      <c r="N599" t="str">
        <f t="shared" si="49"/>
        <v/>
      </c>
      <c r="O599" t="str">
        <f t="shared" si="49"/>
        <v/>
      </c>
      <c r="P599" t="str">
        <f t="shared" si="49"/>
        <v/>
      </c>
      <c r="T599" t="str">
        <f t="shared" si="52"/>
        <v/>
      </c>
      <c r="V599" t="str">
        <f t="shared" ref="V599:W662" si="53">IFERROR(VLOOKUP($I599&amp;V$1,$T:$AA,2,0),"")</f>
        <v>MVS</v>
      </c>
      <c r="W599" t="str">
        <f t="shared" si="53"/>
        <v>MVS,AES</v>
      </c>
      <c r="AG599" t="s">
        <v>4354</v>
      </c>
      <c r="AH599" t="s">
        <v>6164</v>
      </c>
      <c r="AI599" t="s">
        <v>11</v>
      </c>
      <c r="AJ599" t="s">
        <v>92</v>
      </c>
      <c r="AK599" t="s">
        <v>6163</v>
      </c>
      <c r="AL599" t="s">
        <v>6162</v>
      </c>
    </row>
    <row r="600" spans="5:38" x14ac:dyDescent="0.25">
      <c r="I600" t="str">
        <f t="shared" si="50"/>
        <v>kotm2p</v>
      </c>
      <c r="J600" t="str">
        <f t="shared" si="51"/>
        <v/>
      </c>
      <c r="L600" t="str">
        <f t="shared" si="49"/>
        <v/>
      </c>
      <c r="M600" t="str">
        <f t="shared" si="49"/>
        <v/>
      </c>
      <c r="N600" t="str">
        <f t="shared" si="49"/>
        <v/>
      </c>
      <c r="O600" t="str">
        <f t="shared" si="49"/>
        <v/>
      </c>
      <c r="P600" t="str">
        <f t="shared" si="49"/>
        <v/>
      </c>
      <c r="T600" t="str">
        <f t="shared" si="52"/>
        <v/>
      </c>
      <c r="V600" t="str">
        <f t="shared" si="53"/>
        <v>MVS</v>
      </c>
      <c r="W600" t="str">
        <f t="shared" si="53"/>
        <v>MVS,AES</v>
      </c>
      <c r="AG600" t="s">
        <v>4354</v>
      </c>
      <c r="AH600" t="s">
        <v>6161</v>
      </c>
      <c r="AI600" t="s">
        <v>4360</v>
      </c>
      <c r="AJ600" t="s">
        <v>92</v>
      </c>
      <c r="AK600" t="s">
        <v>6160</v>
      </c>
      <c r="AL600" t="s">
        <v>6159</v>
      </c>
    </row>
    <row r="601" spans="5:38" x14ac:dyDescent="0.25">
      <c r="I601" t="str">
        <f t="shared" si="50"/>
        <v>kotm2p</v>
      </c>
      <c r="J601" t="str">
        <f t="shared" si="51"/>
        <v/>
      </c>
      <c r="L601" t="str">
        <f t="shared" si="49"/>
        <v/>
      </c>
      <c r="M601" t="str">
        <f t="shared" si="49"/>
        <v/>
      </c>
      <c r="N601" t="str">
        <f t="shared" si="49"/>
        <v/>
      </c>
      <c r="O601" t="str">
        <f t="shared" si="49"/>
        <v/>
      </c>
      <c r="P601" t="str">
        <f t="shared" si="49"/>
        <v/>
      </c>
      <c r="T601" t="str">
        <f t="shared" si="52"/>
        <v/>
      </c>
      <c r="V601" t="str">
        <f t="shared" si="53"/>
        <v>MVS</v>
      </c>
      <c r="W601" t="str">
        <f t="shared" si="53"/>
        <v>MVS,AES</v>
      </c>
      <c r="AG601" t="s">
        <v>4354</v>
      </c>
      <c r="AH601" t="s">
        <v>6158</v>
      </c>
      <c r="AI601" t="s">
        <v>932</v>
      </c>
      <c r="AJ601" t="s">
        <v>92</v>
      </c>
      <c r="AK601" t="s">
        <v>6157</v>
      </c>
      <c r="AL601" t="s">
        <v>6156</v>
      </c>
    </row>
    <row r="602" spans="5:38" x14ac:dyDescent="0.25">
      <c r="I602" t="str">
        <f t="shared" si="50"/>
        <v>kotm2p</v>
      </c>
      <c r="J602" t="str">
        <f t="shared" si="51"/>
        <v/>
      </c>
      <c r="L602" t="str">
        <f t="shared" si="49"/>
        <v/>
      </c>
      <c r="M602" t="str">
        <f t="shared" si="49"/>
        <v/>
      </c>
      <c r="N602" t="str">
        <f t="shared" si="49"/>
        <v/>
      </c>
      <c r="O602" t="str">
        <f t="shared" si="49"/>
        <v/>
      </c>
      <c r="P602" t="str">
        <f t="shared" si="49"/>
        <v/>
      </c>
      <c r="T602" t="str">
        <f t="shared" si="52"/>
        <v/>
      </c>
      <c r="V602" t="str">
        <f t="shared" si="53"/>
        <v>MVS</v>
      </c>
      <c r="W602" t="str">
        <f t="shared" si="53"/>
        <v>MVS,AES</v>
      </c>
      <c r="AG602" t="s">
        <v>4354</v>
      </c>
      <c r="AH602" t="s">
        <v>6155</v>
      </c>
      <c r="AI602" t="s">
        <v>4352</v>
      </c>
      <c r="AJ602" t="s">
        <v>92</v>
      </c>
      <c r="AK602" t="s">
        <v>6154</v>
      </c>
      <c r="AL602" t="s">
        <v>6153</v>
      </c>
    </row>
    <row r="603" spans="5:38" x14ac:dyDescent="0.25">
      <c r="E603" t="s">
        <v>6152</v>
      </c>
      <c r="F603" t="s">
        <v>6151</v>
      </c>
      <c r="G603" t="s">
        <v>5315</v>
      </c>
      <c r="H603" t="s">
        <v>1912</v>
      </c>
      <c r="I603" t="str">
        <f t="shared" si="50"/>
        <v>sengoku2</v>
      </c>
      <c r="J603" t="str">
        <f t="shared" si="51"/>
        <v>sengoku2serial</v>
      </c>
      <c r="K603" t="s">
        <v>1373</v>
      </c>
      <c r="L603" t="str">
        <f t="shared" si="49"/>
        <v>NGM-040 (MVS), NGH-040 (AES)</v>
      </c>
      <c r="M603" t="str">
        <f t="shared" si="49"/>
        <v>19930218 (MVS), 19930409 (AES)</v>
      </c>
      <c r="N603" t="str">
        <f t="shared" si="49"/>
        <v>戦国伝承2</v>
      </c>
      <c r="O603" t="str">
        <f t="shared" si="49"/>
        <v/>
      </c>
      <c r="P603" t="str">
        <f t="shared" si="49"/>
        <v/>
      </c>
      <c r="Q603" t="s">
        <v>6150</v>
      </c>
      <c r="S603" t="s">
        <v>46</v>
      </c>
      <c r="T603" t="str">
        <f t="shared" si="52"/>
        <v>sengoku2release</v>
      </c>
      <c r="U603" t="s">
        <v>218</v>
      </c>
      <c r="V603" t="str">
        <f t="shared" si="53"/>
        <v>MVS,AES</v>
      </c>
      <c r="W603" t="str">
        <f t="shared" si="53"/>
        <v>MVS,AES</v>
      </c>
      <c r="Y603" t="s">
        <v>45</v>
      </c>
      <c r="Z603" t="s">
        <v>44</v>
      </c>
      <c r="AB603" t="s">
        <v>43</v>
      </c>
      <c r="AC603" t="s">
        <v>42</v>
      </c>
      <c r="AD603" t="s">
        <v>41</v>
      </c>
      <c r="AE603" t="s">
        <v>15</v>
      </c>
      <c r="AG603" t="s">
        <v>40</v>
      </c>
      <c r="AH603" t="s">
        <v>6149</v>
      </c>
      <c r="AI603" t="s">
        <v>9</v>
      </c>
      <c r="AJ603" t="s">
        <v>15</v>
      </c>
      <c r="AK603" t="s">
        <v>6148</v>
      </c>
      <c r="AL603" t="s">
        <v>6147</v>
      </c>
    </row>
    <row r="604" spans="5:38" x14ac:dyDescent="0.25">
      <c r="I604" t="str">
        <f t="shared" si="50"/>
        <v>sengoku2</v>
      </c>
      <c r="J604" t="str">
        <f t="shared" si="51"/>
        <v>sengoku2release</v>
      </c>
      <c r="K604" t="s">
        <v>46</v>
      </c>
      <c r="L604" t="str">
        <f t="shared" si="49"/>
        <v>NGM-040 (MVS), NGH-040 (AES)</v>
      </c>
      <c r="M604" t="str">
        <f t="shared" si="49"/>
        <v>19930218 (MVS), 19930409 (AES)</v>
      </c>
      <c r="N604" t="str">
        <f t="shared" si="49"/>
        <v>戦国伝承2</v>
      </c>
      <c r="O604" t="str">
        <f t="shared" si="49"/>
        <v/>
      </c>
      <c r="P604" t="str">
        <f t="shared" si="49"/>
        <v/>
      </c>
      <c r="Q604" t="s">
        <v>6146</v>
      </c>
      <c r="T604" t="str">
        <f t="shared" si="52"/>
        <v/>
      </c>
      <c r="V604" t="str">
        <f t="shared" si="53"/>
        <v>MVS,AES</v>
      </c>
      <c r="W604" t="str">
        <f t="shared" si="53"/>
        <v>MVS,AES</v>
      </c>
      <c r="AB604" t="s">
        <v>34</v>
      </c>
      <c r="AE604" t="s">
        <v>33</v>
      </c>
      <c r="AH604" t="s">
        <v>6145</v>
      </c>
      <c r="AI604" t="s">
        <v>9</v>
      </c>
      <c r="AJ604" t="s">
        <v>27</v>
      </c>
      <c r="AK604" t="s">
        <v>6144</v>
      </c>
      <c r="AL604" t="s">
        <v>6143</v>
      </c>
    </row>
    <row r="605" spans="5:38" x14ac:dyDescent="0.25">
      <c r="I605" t="str">
        <f t="shared" si="50"/>
        <v>sengoku2</v>
      </c>
      <c r="J605" t="str">
        <f t="shared" si="51"/>
        <v>sengoku2alt_title</v>
      </c>
      <c r="K605" t="s">
        <v>1218</v>
      </c>
      <c r="L605" t="str">
        <f t="shared" si="49"/>
        <v>NGM-040 (MVS), NGH-040 (AES)</v>
      </c>
      <c r="M605" t="str">
        <f t="shared" si="49"/>
        <v>19930218 (MVS), 19930409 (AES)</v>
      </c>
      <c r="N605" t="str">
        <f t="shared" si="49"/>
        <v>戦国伝承2</v>
      </c>
      <c r="O605" t="str">
        <f t="shared" si="49"/>
        <v/>
      </c>
      <c r="P605" t="str">
        <f t="shared" si="49"/>
        <v/>
      </c>
      <c r="Q605" t="s">
        <v>6142</v>
      </c>
      <c r="T605" t="str">
        <f t="shared" si="52"/>
        <v/>
      </c>
      <c r="V605" t="str">
        <f t="shared" si="53"/>
        <v>MVS,AES</v>
      </c>
      <c r="W605" t="str">
        <f t="shared" si="53"/>
        <v>MVS,AES</v>
      </c>
      <c r="AB605" t="s">
        <v>29</v>
      </c>
      <c r="AE605" t="s">
        <v>27</v>
      </c>
      <c r="AH605" t="s">
        <v>6141</v>
      </c>
      <c r="AI605" t="s">
        <v>9</v>
      </c>
      <c r="AJ605" t="s">
        <v>27</v>
      </c>
      <c r="AK605" t="s">
        <v>6140</v>
      </c>
      <c r="AL605" t="s">
        <v>6139</v>
      </c>
    </row>
    <row r="606" spans="5:38" x14ac:dyDescent="0.25">
      <c r="I606" t="str">
        <f t="shared" si="50"/>
        <v>sengoku2</v>
      </c>
      <c r="J606" t="str">
        <f t="shared" si="51"/>
        <v/>
      </c>
      <c r="L606" t="str">
        <f t="shared" si="49"/>
        <v>NGM-040 (MVS), NGH-040 (AES)</v>
      </c>
      <c r="M606" t="str">
        <f t="shared" si="49"/>
        <v>19930218 (MVS), 19930409 (AES)</v>
      </c>
      <c r="N606" t="str">
        <f t="shared" si="49"/>
        <v>戦国伝承2</v>
      </c>
      <c r="O606" t="str">
        <f t="shared" si="49"/>
        <v/>
      </c>
      <c r="P606" t="str">
        <f t="shared" si="49"/>
        <v/>
      </c>
      <c r="S606" t="s">
        <v>36</v>
      </c>
      <c r="T606" t="str">
        <f t="shared" si="52"/>
        <v>sengoku2compatibility</v>
      </c>
      <c r="U606" t="s">
        <v>218</v>
      </c>
      <c r="V606" t="str">
        <f t="shared" si="53"/>
        <v>MVS,AES</v>
      </c>
      <c r="W606" t="str">
        <f t="shared" si="53"/>
        <v>MVS,AES</v>
      </c>
      <c r="AB606" t="s">
        <v>24</v>
      </c>
      <c r="AE606" t="s">
        <v>377</v>
      </c>
      <c r="AH606" t="s">
        <v>6138</v>
      </c>
      <c r="AI606" t="s">
        <v>9</v>
      </c>
      <c r="AJ606" t="s">
        <v>3</v>
      </c>
      <c r="AK606" t="s">
        <v>6137</v>
      </c>
      <c r="AL606" t="s">
        <v>6136</v>
      </c>
    </row>
    <row r="607" spans="5:38" x14ac:dyDescent="0.25">
      <c r="I607" t="str">
        <f t="shared" si="50"/>
        <v>sengoku2</v>
      </c>
      <c r="J607" t="str">
        <f t="shared" si="51"/>
        <v/>
      </c>
      <c r="L607" t="str">
        <f t="shared" si="49"/>
        <v>NGM-040 (MVS), NGH-040 (AES)</v>
      </c>
      <c r="M607" t="str">
        <f t="shared" si="49"/>
        <v>19930218 (MVS), 19930409 (AES)</v>
      </c>
      <c r="N607" t="str">
        <f t="shared" si="49"/>
        <v>戦国伝承2</v>
      </c>
      <c r="O607" t="str">
        <f t="shared" si="49"/>
        <v/>
      </c>
      <c r="P607" t="str">
        <f t="shared" si="49"/>
        <v/>
      </c>
      <c r="T607" t="str">
        <f t="shared" si="52"/>
        <v/>
      </c>
      <c r="V607" t="str">
        <f t="shared" si="53"/>
        <v>MVS,AES</v>
      </c>
      <c r="W607" t="str">
        <f t="shared" si="53"/>
        <v>MVS,AES</v>
      </c>
      <c r="AH607" t="s">
        <v>6135</v>
      </c>
      <c r="AI607" t="s">
        <v>3</v>
      </c>
      <c r="AJ607" t="s">
        <v>15</v>
      </c>
      <c r="AK607" t="s">
        <v>6134</v>
      </c>
      <c r="AL607" t="s">
        <v>6133</v>
      </c>
    </row>
    <row r="608" spans="5:38" x14ac:dyDescent="0.25">
      <c r="I608" t="str">
        <f t="shared" si="50"/>
        <v>sengoku2</v>
      </c>
      <c r="J608" t="str">
        <f t="shared" si="51"/>
        <v/>
      </c>
      <c r="L608" t="str">
        <f t="shared" si="49"/>
        <v>NGM-040 (MVS), NGH-040 (AES)</v>
      </c>
      <c r="M608" t="str">
        <f t="shared" si="49"/>
        <v>19930218 (MVS), 19930409 (AES)</v>
      </c>
      <c r="N608" t="str">
        <f t="shared" si="49"/>
        <v>戦国伝承2</v>
      </c>
      <c r="O608" t="str">
        <f t="shared" si="49"/>
        <v/>
      </c>
      <c r="P608" t="str">
        <f t="shared" si="49"/>
        <v/>
      </c>
      <c r="T608" t="str">
        <f t="shared" si="52"/>
        <v/>
      </c>
      <c r="V608" t="str">
        <f t="shared" si="53"/>
        <v>MVS,AES</v>
      </c>
      <c r="W608" t="str">
        <f t="shared" si="53"/>
        <v>MVS,AES</v>
      </c>
      <c r="AB608" t="s">
        <v>12</v>
      </c>
      <c r="AE608" t="s">
        <v>75</v>
      </c>
      <c r="AG608" t="s">
        <v>6</v>
      </c>
      <c r="AH608" t="s">
        <v>6132</v>
      </c>
      <c r="AI608" t="s">
        <v>9</v>
      </c>
      <c r="AJ608" t="s">
        <v>15</v>
      </c>
      <c r="AK608" t="s">
        <v>6131</v>
      </c>
      <c r="AL608" t="s">
        <v>6130</v>
      </c>
    </row>
    <row r="609" spans="5:38" x14ac:dyDescent="0.25">
      <c r="I609" t="str">
        <f t="shared" si="50"/>
        <v>sengoku2</v>
      </c>
      <c r="J609" t="str">
        <f t="shared" si="51"/>
        <v/>
      </c>
      <c r="L609" t="str">
        <f t="shared" si="49"/>
        <v>NGM-040 (MVS), NGH-040 (AES)</v>
      </c>
      <c r="M609" t="str">
        <f t="shared" si="49"/>
        <v>19930218 (MVS), 19930409 (AES)</v>
      </c>
      <c r="N609" t="str">
        <f t="shared" si="49"/>
        <v>戦国伝承2</v>
      </c>
      <c r="O609" t="str">
        <f t="shared" si="49"/>
        <v/>
      </c>
      <c r="P609" t="str">
        <f t="shared" si="49"/>
        <v/>
      </c>
      <c r="T609" t="str">
        <f t="shared" si="52"/>
        <v/>
      </c>
      <c r="V609" t="str">
        <f t="shared" si="53"/>
        <v>MVS,AES</v>
      </c>
      <c r="W609" t="str">
        <f t="shared" si="53"/>
        <v>MVS,AES</v>
      </c>
      <c r="AG609" t="s">
        <v>224</v>
      </c>
      <c r="AI609" t="s">
        <v>11</v>
      </c>
      <c r="AJ609" t="s">
        <v>15</v>
      </c>
    </row>
    <row r="610" spans="5:38" x14ac:dyDescent="0.25">
      <c r="I610" t="str">
        <f t="shared" si="50"/>
        <v>sengoku2</v>
      </c>
      <c r="J610" t="str">
        <f t="shared" si="51"/>
        <v/>
      </c>
      <c r="L610" t="str">
        <f t="shared" si="49"/>
        <v>NGM-040 (MVS), NGH-040 (AES)</v>
      </c>
      <c r="M610" t="str">
        <f t="shared" si="49"/>
        <v>19930218 (MVS), 19930409 (AES)</v>
      </c>
      <c r="N610" t="str">
        <f t="shared" si="49"/>
        <v>戦国伝承2</v>
      </c>
      <c r="O610" t="str">
        <f t="shared" si="49"/>
        <v/>
      </c>
      <c r="P610" t="str">
        <f t="shared" si="49"/>
        <v/>
      </c>
      <c r="T610" t="str">
        <f t="shared" si="52"/>
        <v/>
      </c>
      <c r="V610" t="str">
        <f t="shared" si="53"/>
        <v>MVS,AES</v>
      </c>
      <c r="W610" t="str">
        <f t="shared" si="53"/>
        <v>MVS,AES</v>
      </c>
      <c r="AG610" t="s">
        <v>6</v>
      </c>
      <c r="AH610" t="s">
        <v>6129</v>
      </c>
      <c r="AI610" t="s">
        <v>4</v>
      </c>
      <c r="AJ610" t="s">
        <v>15</v>
      </c>
      <c r="AK610" t="s">
        <v>6128</v>
      </c>
      <c r="AL610" t="s">
        <v>6127</v>
      </c>
    </row>
    <row r="611" spans="5:38" x14ac:dyDescent="0.25">
      <c r="I611" t="str">
        <f t="shared" si="50"/>
        <v>sengoku2</v>
      </c>
      <c r="J611" t="str">
        <f t="shared" si="51"/>
        <v/>
      </c>
      <c r="L611" t="str">
        <f t="shared" si="49"/>
        <v>NGM-040 (MVS), NGH-040 (AES)</v>
      </c>
      <c r="M611" t="str">
        <f t="shared" si="49"/>
        <v>19930218 (MVS), 19930409 (AES)</v>
      </c>
      <c r="N611" t="str">
        <f t="shared" si="49"/>
        <v>戦国伝承2</v>
      </c>
      <c r="O611" t="str">
        <f t="shared" si="49"/>
        <v/>
      </c>
      <c r="P611" t="str">
        <f t="shared" si="49"/>
        <v/>
      </c>
      <c r="T611" t="str">
        <f t="shared" si="52"/>
        <v/>
      </c>
      <c r="V611" t="str">
        <f t="shared" si="53"/>
        <v>MVS,AES</v>
      </c>
      <c r="W611" t="str">
        <f t="shared" si="53"/>
        <v>MVS,AES</v>
      </c>
      <c r="AG611" t="s">
        <v>224</v>
      </c>
      <c r="AI611" t="s">
        <v>932</v>
      </c>
      <c r="AJ611" t="s">
        <v>15</v>
      </c>
    </row>
    <row r="612" spans="5:38" x14ac:dyDescent="0.25">
      <c r="I612" t="str">
        <f t="shared" si="50"/>
        <v>sengoku2</v>
      </c>
      <c r="J612" t="str">
        <f t="shared" si="51"/>
        <v/>
      </c>
      <c r="L612" t="str">
        <f t="shared" si="49"/>
        <v>NGM-040 (MVS), NGH-040 (AES)</v>
      </c>
      <c r="M612" t="str">
        <f t="shared" si="49"/>
        <v>19930218 (MVS), 19930409 (AES)</v>
      </c>
      <c r="N612" t="str">
        <f t="shared" si="49"/>
        <v>戦国伝承2</v>
      </c>
      <c r="O612" t="str">
        <f t="shared" si="49"/>
        <v/>
      </c>
      <c r="P612" t="str">
        <f t="shared" si="49"/>
        <v/>
      </c>
      <c r="T612" t="str">
        <f t="shared" si="52"/>
        <v/>
      </c>
      <c r="V612" t="str">
        <f t="shared" si="53"/>
        <v>MVS,AES</v>
      </c>
      <c r="W612" t="str">
        <f t="shared" si="53"/>
        <v>MVS,AES</v>
      </c>
      <c r="AG612" t="s">
        <v>6</v>
      </c>
      <c r="AH612" t="s">
        <v>6126</v>
      </c>
      <c r="AI612" t="s">
        <v>3</v>
      </c>
      <c r="AJ612" t="s">
        <v>92</v>
      </c>
      <c r="AK612" t="s">
        <v>6125</v>
      </c>
      <c r="AL612" t="s">
        <v>6124</v>
      </c>
    </row>
    <row r="613" spans="5:38" x14ac:dyDescent="0.25">
      <c r="I613" t="str">
        <f t="shared" si="50"/>
        <v>sengoku2</v>
      </c>
      <c r="J613" t="str">
        <f t="shared" si="51"/>
        <v/>
      </c>
      <c r="L613" t="str">
        <f t="shared" si="49"/>
        <v>NGM-040 (MVS), NGH-040 (AES)</v>
      </c>
      <c r="M613" t="str">
        <f t="shared" si="49"/>
        <v>19930218 (MVS), 19930409 (AES)</v>
      </c>
      <c r="N613" t="str">
        <f t="shared" si="49"/>
        <v>戦国伝承2</v>
      </c>
      <c r="O613" t="str">
        <f t="shared" si="49"/>
        <v/>
      </c>
      <c r="P613" t="str">
        <f t="shared" si="49"/>
        <v/>
      </c>
      <c r="T613" t="str">
        <f t="shared" si="52"/>
        <v/>
      </c>
      <c r="V613" t="str">
        <f t="shared" si="53"/>
        <v>MVS,AES</v>
      </c>
      <c r="W613" t="str">
        <f t="shared" si="53"/>
        <v>MVS,AES</v>
      </c>
      <c r="AG613" t="s">
        <v>6</v>
      </c>
      <c r="AH613" t="s">
        <v>6123</v>
      </c>
      <c r="AI613" t="s">
        <v>4371</v>
      </c>
      <c r="AJ613" t="s">
        <v>92</v>
      </c>
      <c r="AK613" t="s">
        <v>6122</v>
      </c>
      <c r="AL613" t="s">
        <v>6121</v>
      </c>
    </row>
    <row r="614" spans="5:38" x14ac:dyDescent="0.25">
      <c r="E614" t="s">
        <v>6120</v>
      </c>
      <c r="F614" t="s">
        <v>6119</v>
      </c>
      <c r="G614" t="s">
        <v>5639</v>
      </c>
      <c r="H614" t="s">
        <v>1912</v>
      </c>
      <c r="I614" t="str">
        <f t="shared" si="50"/>
        <v>bstars2</v>
      </c>
      <c r="J614" t="str">
        <f t="shared" si="51"/>
        <v>bstars2serial</v>
      </c>
      <c r="K614" t="s">
        <v>1373</v>
      </c>
      <c r="L614" t="str">
        <f t="shared" si="49"/>
        <v>NGM-041 (MVS), NGH-041 (AES)</v>
      </c>
      <c r="M614" t="str">
        <f t="shared" si="49"/>
        <v>19920415 (MVS), 19920428 (AES)</v>
      </c>
      <c r="N614" t="str">
        <f t="shared" si="49"/>
        <v>ベースボールスターズ2</v>
      </c>
      <c r="O614" t="str">
        <f t="shared" si="49"/>
        <v/>
      </c>
      <c r="P614" t="str">
        <f t="shared" si="49"/>
        <v/>
      </c>
      <c r="Q614" t="s">
        <v>6118</v>
      </c>
      <c r="S614" t="s">
        <v>46</v>
      </c>
      <c r="T614" t="str">
        <f t="shared" si="52"/>
        <v>bstars2release</v>
      </c>
      <c r="U614" t="s">
        <v>218</v>
      </c>
      <c r="V614" t="str">
        <f t="shared" si="53"/>
        <v>MVS,AES</v>
      </c>
      <c r="W614" t="str">
        <f t="shared" si="53"/>
        <v>MVS,AES</v>
      </c>
      <c r="Y614" t="s">
        <v>45</v>
      </c>
      <c r="Z614" t="s">
        <v>44</v>
      </c>
      <c r="AB614" t="s">
        <v>43</v>
      </c>
      <c r="AC614" t="s">
        <v>42</v>
      </c>
      <c r="AD614" t="s">
        <v>41</v>
      </c>
      <c r="AE614" t="s">
        <v>15</v>
      </c>
      <c r="AG614" t="s">
        <v>40</v>
      </c>
      <c r="AH614" t="s">
        <v>6117</v>
      </c>
      <c r="AI614" t="s">
        <v>9</v>
      </c>
      <c r="AJ614" t="s">
        <v>92</v>
      </c>
      <c r="AK614" t="s">
        <v>6116</v>
      </c>
      <c r="AL614" t="s">
        <v>6115</v>
      </c>
    </row>
    <row r="615" spans="5:38" x14ac:dyDescent="0.25">
      <c r="I615" t="str">
        <f t="shared" si="50"/>
        <v>bstars2</v>
      </c>
      <c r="J615" t="str">
        <f t="shared" si="51"/>
        <v>bstars2release</v>
      </c>
      <c r="K615" t="s">
        <v>46</v>
      </c>
      <c r="L615" t="str">
        <f t="shared" si="49"/>
        <v>NGM-041 (MVS), NGH-041 (AES)</v>
      </c>
      <c r="M615" t="str">
        <f t="shared" si="49"/>
        <v>19920415 (MVS), 19920428 (AES)</v>
      </c>
      <c r="N615" t="str">
        <f t="shared" si="49"/>
        <v>ベースボールスターズ2</v>
      </c>
      <c r="O615" t="str">
        <f t="shared" si="49"/>
        <v/>
      </c>
      <c r="P615" t="str">
        <f t="shared" si="49"/>
        <v/>
      </c>
      <c r="Q615" t="s">
        <v>6114</v>
      </c>
      <c r="T615" t="str">
        <f t="shared" si="52"/>
        <v/>
      </c>
      <c r="V615" t="str">
        <f t="shared" si="53"/>
        <v>MVS,AES</v>
      </c>
      <c r="W615" t="str">
        <f t="shared" si="53"/>
        <v>MVS,AES</v>
      </c>
      <c r="AB615" t="s">
        <v>34</v>
      </c>
      <c r="AE615" t="s">
        <v>33</v>
      </c>
      <c r="AH615" t="s">
        <v>6113</v>
      </c>
      <c r="AI615" t="s">
        <v>9</v>
      </c>
      <c r="AJ615" t="s">
        <v>27</v>
      </c>
      <c r="AK615" t="s">
        <v>6112</v>
      </c>
      <c r="AL615" t="s">
        <v>6111</v>
      </c>
    </row>
    <row r="616" spans="5:38" x14ac:dyDescent="0.25">
      <c r="I616" t="str">
        <f t="shared" si="50"/>
        <v>bstars2</v>
      </c>
      <c r="J616" t="str">
        <f t="shared" si="51"/>
        <v>bstars2alt_title</v>
      </c>
      <c r="K616" t="s">
        <v>1218</v>
      </c>
      <c r="L616" t="str">
        <f t="shared" si="49"/>
        <v>NGM-041 (MVS), NGH-041 (AES)</v>
      </c>
      <c r="M616" t="str">
        <f t="shared" si="49"/>
        <v>19920415 (MVS), 19920428 (AES)</v>
      </c>
      <c r="N616" t="str">
        <f t="shared" si="49"/>
        <v>ベースボールスターズ2</v>
      </c>
      <c r="O616" t="str">
        <f t="shared" si="49"/>
        <v/>
      </c>
      <c r="P616" t="str">
        <f t="shared" si="49"/>
        <v/>
      </c>
      <c r="Q616" t="s">
        <v>6110</v>
      </c>
      <c r="T616" t="str">
        <f t="shared" si="52"/>
        <v/>
      </c>
      <c r="V616" t="str">
        <f t="shared" si="53"/>
        <v>MVS,AES</v>
      </c>
      <c r="W616" t="str">
        <f t="shared" si="53"/>
        <v>MVS,AES</v>
      </c>
      <c r="AB616" t="s">
        <v>29</v>
      </c>
      <c r="AE616" t="s">
        <v>27</v>
      </c>
      <c r="AH616" t="s">
        <v>6109</v>
      </c>
      <c r="AI616" t="s">
        <v>9</v>
      </c>
      <c r="AJ616" t="s">
        <v>27</v>
      </c>
      <c r="AK616" t="s">
        <v>6108</v>
      </c>
      <c r="AL616" t="s">
        <v>6107</v>
      </c>
    </row>
    <row r="617" spans="5:38" x14ac:dyDescent="0.25">
      <c r="I617" t="str">
        <f t="shared" si="50"/>
        <v>bstars2</v>
      </c>
      <c r="J617" t="str">
        <f t="shared" si="51"/>
        <v/>
      </c>
      <c r="L617" t="str">
        <f t="shared" si="49"/>
        <v>NGM-041 (MVS), NGH-041 (AES)</v>
      </c>
      <c r="M617" t="str">
        <f t="shared" si="49"/>
        <v>19920415 (MVS), 19920428 (AES)</v>
      </c>
      <c r="N617" t="str">
        <f t="shared" si="49"/>
        <v>ベースボールスターズ2</v>
      </c>
      <c r="O617" t="str">
        <f t="shared" si="49"/>
        <v/>
      </c>
      <c r="P617" t="str">
        <f t="shared" si="49"/>
        <v/>
      </c>
      <c r="S617" t="s">
        <v>36</v>
      </c>
      <c r="T617" t="str">
        <f t="shared" si="52"/>
        <v>bstars2compatibility</v>
      </c>
      <c r="U617" t="s">
        <v>218</v>
      </c>
      <c r="V617" t="str">
        <f t="shared" si="53"/>
        <v>MVS,AES</v>
      </c>
      <c r="W617" t="str">
        <f t="shared" si="53"/>
        <v>MVS,AES</v>
      </c>
      <c r="AB617" t="s">
        <v>24</v>
      </c>
      <c r="AE617" t="s">
        <v>6106</v>
      </c>
      <c r="AH617" t="s">
        <v>6105</v>
      </c>
      <c r="AI617" t="s">
        <v>9</v>
      </c>
      <c r="AJ617" t="s">
        <v>15</v>
      </c>
      <c r="AK617" t="s">
        <v>6104</v>
      </c>
      <c r="AL617" t="s">
        <v>6103</v>
      </c>
    </row>
    <row r="618" spans="5:38" x14ac:dyDescent="0.25">
      <c r="I618" t="str">
        <f t="shared" si="50"/>
        <v>bstars2</v>
      </c>
      <c r="J618" t="str">
        <f t="shared" si="51"/>
        <v/>
      </c>
      <c r="L618" t="str">
        <f t="shared" si="49"/>
        <v>NGM-041 (MVS), NGH-041 (AES)</v>
      </c>
      <c r="M618" t="str">
        <f t="shared" si="49"/>
        <v>19920415 (MVS), 19920428 (AES)</v>
      </c>
      <c r="N618" t="str">
        <f t="shared" si="49"/>
        <v>ベースボールスターズ2</v>
      </c>
      <c r="O618" t="str">
        <f t="shared" si="49"/>
        <v/>
      </c>
      <c r="P618" t="str">
        <f t="shared" si="49"/>
        <v/>
      </c>
      <c r="T618" t="str">
        <f t="shared" si="52"/>
        <v/>
      </c>
      <c r="V618" t="str">
        <f t="shared" si="53"/>
        <v>MVS,AES</v>
      </c>
      <c r="W618" t="str">
        <f t="shared" si="53"/>
        <v>MVS,AES</v>
      </c>
      <c r="AH618" t="s">
        <v>6102</v>
      </c>
      <c r="AI618" t="s">
        <v>15</v>
      </c>
      <c r="AJ618" t="s">
        <v>15</v>
      </c>
      <c r="AK618" t="s">
        <v>6101</v>
      </c>
      <c r="AL618" t="s">
        <v>6100</v>
      </c>
    </row>
    <row r="619" spans="5:38" x14ac:dyDescent="0.25">
      <c r="I619" t="str">
        <f t="shared" si="50"/>
        <v>bstars2</v>
      </c>
      <c r="J619" t="str">
        <f t="shared" si="51"/>
        <v/>
      </c>
      <c r="L619" t="str">
        <f t="shared" si="49"/>
        <v>NGM-041 (MVS), NGH-041 (AES)</v>
      </c>
      <c r="M619" t="str">
        <f t="shared" si="49"/>
        <v>19920415 (MVS), 19920428 (AES)</v>
      </c>
      <c r="N619" t="str">
        <f t="shared" si="49"/>
        <v>ベースボールスターズ2</v>
      </c>
      <c r="O619" t="str">
        <f t="shared" si="49"/>
        <v/>
      </c>
      <c r="P619" t="str">
        <f t="shared" si="49"/>
        <v/>
      </c>
      <c r="T619" t="str">
        <f t="shared" si="52"/>
        <v/>
      </c>
      <c r="V619" t="str">
        <f t="shared" si="53"/>
        <v>MVS,AES</v>
      </c>
      <c r="W619" t="str">
        <f t="shared" si="53"/>
        <v>MVS,AES</v>
      </c>
      <c r="AH619" t="s">
        <v>6099</v>
      </c>
      <c r="AI619" t="s">
        <v>3</v>
      </c>
      <c r="AJ619" t="s">
        <v>92</v>
      </c>
      <c r="AK619" t="s">
        <v>6098</v>
      </c>
      <c r="AL619" t="s">
        <v>6097</v>
      </c>
    </row>
    <row r="620" spans="5:38" x14ac:dyDescent="0.25">
      <c r="I620" t="str">
        <f t="shared" si="50"/>
        <v>bstars2</v>
      </c>
      <c r="J620" t="str">
        <f t="shared" si="51"/>
        <v/>
      </c>
      <c r="L620" t="str">
        <f t="shared" si="49"/>
        <v>NGM-041 (MVS), NGH-041 (AES)</v>
      </c>
      <c r="M620" t="str">
        <f t="shared" si="49"/>
        <v>19920415 (MVS), 19920428 (AES)</v>
      </c>
      <c r="N620" t="str">
        <f t="shared" si="49"/>
        <v>ベースボールスターズ2</v>
      </c>
      <c r="O620" t="str">
        <f t="shared" si="49"/>
        <v/>
      </c>
      <c r="P620" t="str">
        <f t="shared" si="49"/>
        <v/>
      </c>
      <c r="T620" t="str">
        <f t="shared" si="52"/>
        <v/>
      </c>
      <c r="V620" t="str">
        <f t="shared" si="53"/>
        <v>MVS,AES</v>
      </c>
      <c r="W620" t="str">
        <f t="shared" si="53"/>
        <v>MVS,AES</v>
      </c>
      <c r="AB620" t="s">
        <v>12</v>
      </c>
      <c r="AE620" t="s">
        <v>11</v>
      </c>
      <c r="AG620" t="s">
        <v>6</v>
      </c>
      <c r="AH620" t="s">
        <v>6096</v>
      </c>
      <c r="AI620" t="s">
        <v>9</v>
      </c>
      <c r="AJ620" t="s">
        <v>15</v>
      </c>
      <c r="AK620" t="s">
        <v>6095</v>
      </c>
      <c r="AL620" t="s">
        <v>6094</v>
      </c>
    </row>
    <row r="621" spans="5:38" x14ac:dyDescent="0.25">
      <c r="I621" t="str">
        <f t="shared" si="50"/>
        <v>bstars2</v>
      </c>
      <c r="J621" t="str">
        <f t="shared" si="51"/>
        <v/>
      </c>
      <c r="L621" t="str">
        <f t="shared" si="49"/>
        <v>NGM-041 (MVS), NGH-041 (AES)</v>
      </c>
      <c r="M621" t="str">
        <f t="shared" si="49"/>
        <v>19920415 (MVS), 19920428 (AES)</v>
      </c>
      <c r="N621" t="str">
        <f t="shared" si="49"/>
        <v>ベースボールスターズ2</v>
      </c>
      <c r="O621" t="str">
        <f t="shared" si="49"/>
        <v/>
      </c>
      <c r="P621" t="str">
        <f t="shared" si="49"/>
        <v/>
      </c>
      <c r="T621" t="str">
        <f t="shared" si="52"/>
        <v/>
      </c>
      <c r="V621" t="str">
        <f t="shared" si="53"/>
        <v>MVS,AES</v>
      </c>
      <c r="W621" t="str">
        <f t="shared" si="53"/>
        <v>MVS,AES</v>
      </c>
      <c r="AG621" t="s">
        <v>6</v>
      </c>
      <c r="AH621" t="s">
        <v>6093</v>
      </c>
      <c r="AI621" t="s">
        <v>4</v>
      </c>
      <c r="AJ621" t="s">
        <v>15</v>
      </c>
      <c r="AK621" t="s">
        <v>6092</v>
      </c>
      <c r="AL621" t="s">
        <v>6091</v>
      </c>
    </row>
    <row r="622" spans="5:38" x14ac:dyDescent="0.25">
      <c r="I622" t="str">
        <f t="shared" si="50"/>
        <v>bstars2</v>
      </c>
      <c r="J622" t="str">
        <f t="shared" si="51"/>
        <v/>
      </c>
      <c r="L622" t="str">
        <f t="shared" si="49"/>
        <v>NGM-041 (MVS), NGH-041 (AES)</v>
      </c>
      <c r="M622" t="str">
        <f t="shared" si="49"/>
        <v>19920415 (MVS), 19920428 (AES)</v>
      </c>
      <c r="N622" t="str">
        <f t="shared" si="49"/>
        <v>ベースボールスターズ2</v>
      </c>
      <c r="O622" t="str">
        <f t="shared" si="49"/>
        <v/>
      </c>
      <c r="P622" t="str">
        <f t="shared" si="49"/>
        <v/>
      </c>
      <c r="T622" t="str">
        <f t="shared" si="52"/>
        <v/>
      </c>
      <c r="V622" t="str">
        <f t="shared" si="53"/>
        <v>MVS,AES</v>
      </c>
      <c r="W622" t="str">
        <f t="shared" si="53"/>
        <v>MVS,AES</v>
      </c>
      <c r="AG622" t="s">
        <v>6</v>
      </c>
      <c r="AH622" t="s">
        <v>6090</v>
      </c>
      <c r="AI622" t="s">
        <v>3</v>
      </c>
      <c r="AJ622" t="s">
        <v>15</v>
      </c>
      <c r="AK622" t="s">
        <v>6089</v>
      </c>
      <c r="AL622" t="s">
        <v>6088</v>
      </c>
    </row>
    <row r="623" spans="5:38" x14ac:dyDescent="0.25">
      <c r="I623" t="str">
        <f t="shared" si="50"/>
        <v>bstars2</v>
      </c>
      <c r="J623" t="str">
        <f t="shared" si="51"/>
        <v/>
      </c>
      <c r="L623" t="str">
        <f t="shared" si="49"/>
        <v>NGM-041 (MVS), NGH-041 (AES)</v>
      </c>
      <c r="M623" t="str">
        <f t="shared" si="49"/>
        <v>19920415 (MVS), 19920428 (AES)</v>
      </c>
      <c r="N623" t="str">
        <f t="shared" si="49"/>
        <v>ベースボールスターズ2</v>
      </c>
      <c r="O623" t="str">
        <f t="shared" si="49"/>
        <v/>
      </c>
      <c r="P623" t="str">
        <f t="shared" si="49"/>
        <v/>
      </c>
      <c r="T623" t="str">
        <f t="shared" si="52"/>
        <v/>
      </c>
      <c r="V623" t="str">
        <f t="shared" si="53"/>
        <v>MVS,AES</v>
      </c>
      <c r="W623" t="str">
        <f t="shared" si="53"/>
        <v>MVS,AES</v>
      </c>
      <c r="AG623" t="s">
        <v>6</v>
      </c>
      <c r="AH623" t="s">
        <v>6087</v>
      </c>
      <c r="AI623" t="s">
        <v>4371</v>
      </c>
      <c r="AJ623" t="s">
        <v>15</v>
      </c>
      <c r="AK623" t="s">
        <v>6086</v>
      </c>
      <c r="AL623" t="s">
        <v>6085</v>
      </c>
    </row>
    <row r="624" spans="5:38" x14ac:dyDescent="0.25">
      <c r="E624" t="s">
        <v>6084</v>
      </c>
      <c r="F624" t="s">
        <v>6083</v>
      </c>
      <c r="G624" t="s">
        <v>5639</v>
      </c>
      <c r="H624" t="s">
        <v>1912</v>
      </c>
      <c r="I624" t="str">
        <f t="shared" si="50"/>
        <v>quizdai2</v>
      </c>
      <c r="J624" t="str">
        <f t="shared" si="51"/>
        <v>quizdai2serial</v>
      </c>
      <c r="K624" t="s">
        <v>1373</v>
      </c>
      <c r="L624" t="str">
        <f t="shared" si="49"/>
        <v>NGM-042 (MVS), NGH-042 (AES)</v>
      </c>
      <c r="M624" t="str">
        <f t="shared" si="49"/>
        <v>199203xx (MVS), 19920424 (AES)</v>
      </c>
      <c r="N624" t="str">
        <f t="shared" si="49"/>
        <v>クイズ迷探偵ネオ＆ジオ ―クイズ大走査線PART2―</v>
      </c>
      <c r="O624" t="str">
        <f t="shared" si="49"/>
        <v/>
      </c>
      <c r="P624" t="str">
        <f t="shared" si="49"/>
        <v/>
      </c>
      <c r="Q624" t="s">
        <v>6082</v>
      </c>
      <c r="S624" t="s">
        <v>46</v>
      </c>
      <c r="T624" t="str">
        <f t="shared" si="52"/>
        <v>quizdai2release</v>
      </c>
      <c r="U624" t="s">
        <v>218</v>
      </c>
      <c r="V624" t="str">
        <f t="shared" si="53"/>
        <v>MVS,AES</v>
      </c>
      <c r="W624" t="str">
        <f t="shared" si="53"/>
        <v>MVS,AES</v>
      </c>
      <c r="Y624" t="s">
        <v>45</v>
      </c>
      <c r="Z624" t="s">
        <v>44</v>
      </c>
      <c r="AB624" t="s">
        <v>43</v>
      </c>
      <c r="AC624" t="s">
        <v>42</v>
      </c>
      <c r="AD624" t="s">
        <v>41</v>
      </c>
      <c r="AE624" t="s">
        <v>15</v>
      </c>
      <c r="AG624" t="s">
        <v>40</v>
      </c>
      <c r="AH624" t="s">
        <v>6081</v>
      </c>
      <c r="AI624" t="s">
        <v>9</v>
      </c>
      <c r="AJ624" t="s">
        <v>15</v>
      </c>
      <c r="AK624" t="s">
        <v>6080</v>
      </c>
      <c r="AL624" t="s">
        <v>6079</v>
      </c>
    </row>
    <row r="625" spans="5:38" x14ac:dyDescent="0.25">
      <c r="I625" t="str">
        <f t="shared" si="50"/>
        <v>quizdai2</v>
      </c>
      <c r="J625" t="str">
        <f t="shared" si="51"/>
        <v>quizdai2release</v>
      </c>
      <c r="K625" t="s">
        <v>46</v>
      </c>
      <c r="L625" t="str">
        <f t="shared" si="49"/>
        <v>NGM-042 (MVS), NGH-042 (AES)</v>
      </c>
      <c r="M625" t="str">
        <f t="shared" si="49"/>
        <v>199203xx (MVS), 19920424 (AES)</v>
      </c>
      <c r="N625" t="str">
        <f t="shared" si="49"/>
        <v>クイズ迷探偵ネオ＆ジオ ―クイズ大走査線PART2―</v>
      </c>
      <c r="O625" t="str">
        <f t="shared" si="49"/>
        <v/>
      </c>
      <c r="P625" t="str">
        <f t="shared" si="49"/>
        <v/>
      </c>
      <c r="Q625" t="s">
        <v>6078</v>
      </c>
      <c r="T625" t="str">
        <f t="shared" si="52"/>
        <v/>
      </c>
      <c r="V625" t="str">
        <f t="shared" si="53"/>
        <v>MVS,AES</v>
      </c>
      <c r="W625" t="str">
        <f t="shared" si="53"/>
        <v>MVS,AES</v>
      </c>
      <c r="AB625" t="s">
        <v>34</v>
      </c>
      <c r="AE625" t="s">
        <v>33</v>
      </c>
      <c r="AH625" t="s">
        <v>6077</v>
      </c>
      <c r="AI625" t="s">
        <v>9</v>
      </c>
      <c r="AJ625" t="s">
        <v>27</v>
      </c>
      <c r="AK625" t="s">
        <v>6076</v>
      </c>
      <c r="AL625" t="s">
        <v>6075</v>
      </c>
    </row>
    <row r="626" spans="5:38" x14ac:dyDescent="0.25">
      <c r="I626" t="str">
        <f t="shared" si="50"/>
        <v>quizdai2</v>
      </c>
      <c r="J626" t="str">
        <f t="shared" si="51"/>
        <v>quizdai2alt_title</v>
      </c>
      <c r="K626" t="s">
        <v>1218</v>
      </c>
      <c r="L626" t="str">
        <f t="shared" si="49"/>
        <v>NGM-042 (MVS), NGH-042 (AES)</v>
      </c>
      <c r="M626" t="str">
        <f t="shared" si="49"/>
        <v>199203xx (MVS), 19920424 (AES)</v>
      </c>
      <c r="N626" t="str">
        <f t="shared" si="49"/>
        <v>クイズ迷探偵ネオ＆ジオ ―クイズ大走査線PART2―</v>
      </c>
      <c r="O626" t="str">
        <f t="shared" si="49"/>
        <v/>
      </c>
      <c r="P626" t="str">
        <f t="shared" si="49"/>
        <v/>
      </c>
      <c r="Q626" t="s">
        <v>6074</v>
      </c>
      <c r="T626" t="str">
        <f t="shared" si="52"/>
        <v/>
      </c>
      <c r="V626" t="str">
        <f t="shared" si="53"/>
        <v>MVS,AES</v>
      </c>
      <c r="W626" t="str">
        <f t="shared" si="53"/>
        <v>MVS,AES</v>
      </c>
      <c r="AB626" t="s">
        <v>29</v>
      </c>
      <c r="AE626" t="s">
        <v>27</v>
      </c>
      <c r="AH626" t="s">
        <v>6073</v>
      </c>
      <c r="AI626" t="s">
        <v>9</v>
      </c>
      <c r="AJ626" t="s">
        <v>27</v>
      </c>
      <c r="AK626" t="s">
        <v>6072</v>
      </c>
      <c r="AL626" t="s">
        <v>6071</v>
      </c>
    </row>
    <row r="627" spans="5:38" x14ac:dyDescent="0.25">
      <c r="I627" t="str">
        <f t="shared" si="50"/>
        <v>quizdai2</v>
      </c>
      <c r="J627" t="str">
        <f t="shared" si="51"/>
        <v/>
      </c>
      <c r="L627" t="str">
        <f t="shared" ref="L627:P677" si="54">IFERROR(VLOOKUP($I627&amp;L$1,$J:$Q,8,0),"")</f>
        <v>NGM-042 (MVS), NGH-042 (AES)</v>
      </c>
      <c r="M627" t="str">
        <f t="shared" si="54"/>
        <v>199203xx (MVS), 19920424 (AES)</v>
      </c>
      <c r="N627" t="str">
        <f t="shared" si="54"/>
        <v>クイズ迷探偵ネオ＆ジオ ―クイズ大走査線PART2―</v>
      </c>
      <c r="O627" t="str">
        <f t="shared" si="54"/>
        <v/>
      </c>
      <c r="P627" t="str">
        <f t="shared" si="54"/>
        <v/>
      </c>
      <c r="S627" t="s">
        <v>36</v>
      </c>
      <c r="T627" t="str">
        <f t="shared" si="52"/>
        <v>quizdai2compatibility</v>
      </c>
      <c r="U627" t="s">
        <v>218</v>
      </c>
      <c r="V627" t="str">
        <f t="shared" si="53"/>
        <v>MVS,AES</v>
      </c>
      <c r="W627" t="str">
        <f t="shared" si="53"/>
        <v>MVS,AES</v>
      </c>
      <c r="AB627" t="s">
        <v>24</v>
      </c>
      <c r="AE627" t="s">
        <v>3</v>
      </c>
      <c r="AH627" t="s">
        <v>6070</v>
      </c>
      <c r="AI627" t="s">
        <v>9</v>
      </c>
      <c r="AJ627" t="s">
        <v>15</v>
      </c>
      <c r="AK627" t="s">
        <v>6069</v>
      </c>
      <c r="AL627" t="s">
        <v>6068</v>
      </c>
    </row>
    <row r="628" spans="5:38" x14ac:dyDescent="0.25">
      <c r="I628" t="str">
        <f t="shared" si="50"/>
        <v>quizdai2</v>
      </c>
      <c r="J628" t="str">
        <f t="shared" si="51"/>
        <v/>
      </c>
      <c r="L628" t="str">
        <f t="shared" si="54"/>
        <v>NGM-042 (MVS), NGH-042 (AES)</v>
      </c>
      <c r="M628" t="str">
        <f t="shared" si="54"/>
        <v>199203xx (MVS), 19920424 (AES)</v>
      </c>
      <c r="N628" t="str">
        <f t="shared" si="54"/>
        <v>クイズ迷探偵ネオ＆ジオ ―クイズ大走査線PART2―</v>
      </c>
      <c r="O628" t="str">
        <f t="shared" si="54"/>
        <v/>
      </c>
      <c r="P628" t="str">
        <f t="shared" si="54"/>
        <v/>
      </c>
      <c r="T628" t="str">
        <f t="shared" si="52"/>
        <v/>
      </c>
      <c r="V628" t="str">
        <f t="shared" si="53"/>
        <v>MVS,AES</v>
      </c>
      <c r="W628" t="str">
        <f t="shared" si="53"/>
        <v>MVS,AES</v>
      </c>
      <c r="AH628" t="s">
        <v>6067</v>
      </c>
      <c r="AI628" t="s">
        <v>15</v>
      </c>
      <c r="AJ628" t="s">
        <v>15</v>
      </c>
      <c r="AK628" t="s">
        <v>6066</v>
      </c>
      <c r="AL628" t="s">
        <v>6065</v>
      </c>
    </row>
    <row r="629" spans="5:38" x14ac:dyDescent="0.25">
      <c r="I629" t="str">
        <f t="shared" si="50"/>
        <v>quizdai2</v>
      </c>
      <c r="J629" t="str">
        <f t="shared" si="51"/>
        <v/>
      </c>
      <c r="L629" t="str">
        <f t="shared" si="54"/>
        <v>NGM-042 (MVS), NGH-042 (AES)</v>
      </c>
      <c r="M629" t="str">
        <f t="shared" si="54"/>
        <v>199203xx (MVS), 19920424 (AES)</v>
      </c>
      <c r="N629" t="str">
        <f t="shared" si="54"/>
        <v>クイズ迷探偵ネオ＆ジオ ―クイズ大走査線PART2―</v>
      </c>
      <c r="O629" t="str">
        <f t="shared" si="54"/>
        <v/>
      </c>
      <c r="P629" t="str">
        <f t="shared" si="54"/>
        <v/>
      </c>
      <c r="T629" t="str">
        <f t="shared" si="52"/>
        <v/>
      </c>
      <c r="V629" t="str">
        <f t="shared" si="53"/>
        <v>MVS,AES</v>
      </c>
      <c r="W629" t="str">
        <f t="shared" si="53"/>
        <v>MVS,AES</v>
      </c>
      <c r="AB629" t="s">
        <v>12</v>
      </c>
      <c r="AE629" t="s">
        <v>377</v>
      </c>
      <c r="AG629" t="s">
        <v>6</v>
      </c>
      <c r="AH629" t="s">
        <v>6064</v>
      </c>
      <c r="AI629" t="s">
        <v>9</v>
      </c>
      <c r="AJ629" t="s">
        <v>15</v>
      </c>
      <c r="AK629" t="s">
        <v>6063</v>
      </c>
      <c r="AL629" t="s">
        <v>6062</v>
      </c>
    </row>
    <row r="630" spans="5:38" x14ac:dyDescent="0.25">
      <c r="I630" t="str">
        <f t="shared" si="50"/>
        <v>quizdai2</v>
      </c>
      <c r="J630" t="str">
        <f t="shared" si="51"/>
        <v/>
      </c>
      <c r="L630" t="str">
        <f t="shared" si="54"/>
        <v>NGM-042 (MVS), NGH-042 (AES)</v>
      </c>
      <c r="M630" t="str">
        <f t="shared" si="54"/>
        <v>199203xx (MVS), 19920424 (AES)</v>
      </c>
      <c r="N630" t="str">
        <f t="shared" si="54"/>
        <v>クイズ迷探偵ネオ＆ジオ ―クイズ大走査線PART2―</v>
      </c>
      <c r="O630" t="str">
        <f t="shared" si="54"/>
        <v/>
      </c>
      <c r="P630" t="str">
        <f t="shared" si="54"/>
        <v/>
      </c>
      <c r="T630" t="str">
        <f t="shared" si="52"/>
        <v/>
      </c>
      <c r="V630" t="str">
        <f t="shared" si="53"/>
        <v>MVS,AES</v>
      </c>
      <c r="W630" t="str">
        <f t="shared" si="53"/>
        <v>MVS,AES</v>
      </c>
      <c r="AG630" t="s">
        <v>6</v>
      </c>
      <c r="AH630" t="s">
        <v>6061</v>
      </c>
      <c r="AI630" t="s">
        <v>4</v>
      </c>
      <c r="AJ630" t="s">
        <v>15</v>
      </c>
      <c r="AK630" t="s">
        <v>6060</v>
      </c>
      <c r="AL630" t="s">
        <v>6059</v>
      </c>
    </row>
    <row r="631" spans="5:38" x14ac:dyDescent="0.25">
      <c r="I631" t="str">
        <f t="shared" si="50"/>
        <v>quizdai2</v>
      </c>
      <c r="J631" t="str">
        <f t="shared" si="51"/>
        <v/>
      </c>
      <c r="L631" t="str">
        <f t="shared" si="54"/>
        <v>NGM-042 (MVS), NGH-042 (AES)</v>
      </c>
      <c r="M631" t="str">
        <f t="shared" si="54"/>
        <v>199203xx (MVS), 19920424 (AES)</v>
      </c>
      <c r="N631" t="str">
        <f t="shared" si="54"/>
        <v>クイズ迷探偵ネオ＆ジオ ―クイズ大走査線PART2―</v>
      </c>
      <c r="O631" t="str">
        <f t="shared" si="54"/>
        <v/>
      </c>
      <c r="P631" t="str">
        <f t="shared" si="54"/>
        <v/>
      </c>
      <c r="T631" t="str">
        <f t="shared" si="52"/>
        <v/>
      </c>
      <c r="V631" t="str">
        <f t="shared" si="53"/>
        <v>MVS,AES</v>
      </c>
      <c r="W631" t="str">
        <f t="shared" si="53"/>
        <v>MVS,AES</v>
      </c>
      <c r="AG631" t="s">
        <v>6</v>
      </c>
      <c r="AH631" t="s">
        <v>6058</v>
      </c>
      <c r="AI631" t="s">
        <v>3</v>
      </c>
      <c r="AJ631" t="s">
        <v>92</v>
      </c>
      <c r="AK631" t="s">
        <v>6057</v>
      </c>
      <c r="AL631" t="s">
        <v>6056</v>
      </c>
    </row>
    <row r="632" spans="5:38" x14ac:dyDescent="0.25">
      <c r="I632" t="str">
        <f t="shared" si="50"/>
        <v>quizdai2</v>
      </c>
      <c r="J632" t="str">
        <f t="shared" si="51"/>
        <v/>
      </c>
      <c r="L632" t="str">
        <f t="shared" si="54"/>
        <v>NGM-042 (MVS), NGH-042 (AES)</v>
      </c>
      <c r="M632" t="str">
        <f t="shared" si="54"/>
        <v>199203xx (MVS), 19920424 (AES)</v>
      </c>
      <c r="N632" t="str">
        <f t="shared" si="54"/>
        <v>クイズ迷探偵ネオ＆ジオ ―クイズ大走査線PART2―</v>
      </c>
      <c r="O632" t="str">
        <f t="shared" si="54"/>
        <v/>
      </c>
      <c r="P632" t="str">
        <f t="shared" si="54"/>
        <v/>
      </c>
      <c r="T632" t="str">
        <f t="shared" si="52"/>
        <v/>
      </c>
      <c r="V632" t="str">
        <f t="shared" si="53"/>
        <v>MVS,AES</v>
      </c>
      <c r="W632" t="str">
        <f t="shared" si="53"/>
        <v>MVS,AES</v>
      </c>
      <c r="AG632" t="s">
        <v>6</v>
      </c>
      <c r="AH632" t="s">
        <v>6055</v>
      </c>
      <c r="AI632" t="s">
        <v>4371</v>
      </c>
      <c r="AJ632" t="s">
        <v>92</v>
      </c>
      <c r="AK632" t="s">
        <v>6054</v>
      </c>
      <c r="AL632" t="s">
        <v>6053</v>
      </c>
    </row>
    <row r="633" spans="5:38" x14ac:dyDescent="0.25">
      <c r="E633" t="s">
        <v>6052</v>
      </c>
      <c r="F633" t="s">
        <v>6051</v>
      </c>
      <c r="G633" t="s">
        <v>5315</v>
      </c>
      <c r="H633" t="s">
        <v>1912</v>
      </c>
      <c r="I633" t="str">
        <f t="shared" si="50"/>
        <v>3countb</v>
      </c>
      <c r="J633" t="str">
        <f t="shared" si="51"/>
        <v>3countbserial</v>
      </c>
      <c r="K633" t="s">
        <v>1373</v>
      </c>
      <c r="L633" t="str">
        <f t="shared" si="54"/>
        <v>NGM-043 (MVS), NGH-043 (AES)</v>
      </c>
      <c r="M633" t="str">
        <f t="shared" si="54"/>
        <v>19930325 (MVS), 19930423 (AES)</v>
      </c>
      <c r="N633" t="str">
        <f t="shared" si="54"/>
        <v>ファイヤー・スープレックス</v>
      </c>
      <c r="O633" t="str">
        <f t="shared" si="54"/>
        <v/>
      </c>
      <c r="P633" t="str">
        <f t="shared" si="54"/>
        <v/>
      </c>
      <c r="Q633" t="s">
        <v>6050</v>
      </c>
      <c r="S633" t="s">
        <v>46</v>
      </c>
      <c r="T633" t="str">
        <f t="shared" si="52"/>
        <v>3countbrelease</v>
      </c>
      <c r="U633" t="s">
        <v>218</v>
      </c>
      <c r="V633" t="str">
        <f t="shared" si="53"/>
        <v>MVS,AES</v>
      </c>
      <c r="W633" t="str">
        <f t="shared" si="53"/>
        <v>MVS,AES</v>
      </c>
      <c r="Y633" t="s">
        <v>45</v>
      </c>
      <c r="Z633" t="s">
        <v>44</v>
      </c>
      <c r="AB633" t="s">
        <v>43</v>
      </c>
      <c r="AC633" t="s">
        <v>42</v>
      </c>
      <c r="AD633" t="s">
        <v>41</v>
      </c>
      <c r="AE633" t="s">
        <v>15</v>
      </c>
      <c r="AG633" t="s">
        <v>40</v>
      </c>
      <c r="AH633" t="s">
        <v>6049</v>
      </c>
      <c r="AI633" t="s">
        <v>9</v>
      </c>
      <c r="AJ633" t="s">
        <v>15</v>
      </c>
      <c r="AK633" t="s">
        <v>6048</v>
      </c>
      <c r="AL633" t="s">
        <v>6047</v>
      </c>
    </row>
    <row r="634" spans="5:38" x14ac:dyDescent="0.25">
      <c r="I634" t="str">
        <f t="shared" si="50"/>
        <v>3countb</v>
      </c>
      <c r="J634" t="str">
        <f t="shared" si="51"/>
        <v>3countbrelease</v>
      </c>
      <c r="K634" t="s">
        <v>46</v>
      </c>
      <c r="L634" t="str">
        <f t="shared" si="54"/>
        <v>NGM-043 (MVS), NGH-043 (AES)</v>
      </c>
      <c r="M634" t="str">
        <f t="shared" si="54"/>
        <v>19930325 (MVS), 19930423 (AES)</v>
      </c>
      <c r="N634" t="str">
        <f t="shared" si="54"/>
        <v>ファイヤー・スープレックス</v>
      </c>
      <c r="O634" t="str">
        <f t="shared" si="54"/>
        <v/>
      </c>
      <c r="P634" t="str">
        <f t="shared" si="54"/>
        <v/>
      </c>
      <c r="Q634" t="s">
        <v>6046</v>
      </c>
      <c r="T634" t="str">
        <f t="shared" si="52"/>
        <v/>
      </c>
      <c r="V634" t="str">
        <f t="shared" si="53"/>
        <v>MVS,AES</v>
      </c>
      <c r="W634" t="str">
        <f t="shared" si="53"/>
        <v>MVS,AES</v>
      </c>
      <c r="AB634" t="s">
        <v>34</v>
      </c>
      <c r="AE634" t="s">
        <v>33</v>
      </c>
      <c r="AH634" t="s">
        <v>6045</v>
      </c>
      <c r="AI634" t="s">
        <v>9</v>
      </c>
      <c r="AJ634" t="s">
        <v>27</v>
      </c>
      <c r="AK634" t="s">
        <v>6044</v>
      </c>
      <c r="AL634" t="s">
        <v>6043</v>
      </c>
    </row>
    <row r="635" spans="5:38" x14ac:dyDescent="0.25">
      <c r="I635" t="str">
        <f t="shared" si="50"/>
        <v>3countb</v>
      </c>
      <c r="J635" t="str">
        <f t="shared" si="51"/>
        <v>3countbalt_title</v>
      </c>
      <c r="K635" t="s">
        <v>1218</v>
      </c>
      <c r="L635" t="str">
        <f t="shared" si="54"/>
        <v>NGM-043 (MVS), NGH-043 (AES)</v>
      </c>
      <c r="M635" t="str">
        <f t="shared" si="54"/>
        <v>19930325 (MVS), 19930423 (AES)</v>
      </c>
      <c r="N635" t="str">
        <f t="shared" si="54"/>
        <v>ファイヤー・スープレックス</v>
      </c>
      <c r="O635" t="str">
        <f t="shared" si="54"/>
        <v/>
      </c>
      <c r="P635" t="str">
        <f t="shared" si="54"/>
        <v/>
      </c>
      <c r="Q635" t="s">
        <v>6042</v>
      </c>
      <c r="T635" t="str">
        <f t="shared" si="52"/>
        <v/>
      </c>
      <c r="V635" t="str">
        <f t="shared" si="53"/>
        <v>MVS,AES</v>
      </c>
      <c r="W635" t="str">
        <f t="shared" si="53"/>
        <v>MVS,AES</v>
      </c>
      <c r="AB635" t="s">
        <v>29</v>
      </c>
      <c r="AE635" t="s">
        <v>27</v>
      </c>
      <c r="AH635" t="s">
        <v>6041</v>
      </c>
      <c r="AI635" t="s">
        <v>9</v>
      </c>
      <c r="AJ635" t="s">
        <v>27</v>
      </c>
      <c r="AK635" t="s">
        <v>6040</v>
      </c>
      <c r="AL635" t="s">
        <v>6039</v>
      </c>
    </row>
    <row r="636" spans="5:38" x14ac:dyDescent="0.25">
      <c r="I636" t="str">
        <f t="shared" si="50"/>
        <v>3countb</v>
      </c>
      <c r="J636" t="str">
        <f t="shared" si="51"/>
        <v/>
      </c>
      <c r="L636" t="str">
        <f t="shared" si="54"/>
        <v>NGM-043 (MVS), NGH-043 (AES)</v>
      </c>
      <c r="M636" t="str">
        <f t="shared" si="54"/>
        <v>19930325 (MVS), 19930423 (AES)</v>
      </c>
      <c r="N636" t="str">
        <f t="shared" si="54"/>
        <v>ファイヤー・スープレックス</v>
      </c>
      <c r="O636" t="str">
        <f t="shared" si="54"/>
        <v/>
      </c>
      <c r="P636" t="str">
        <f t="shared" si="54"/>
        <v/>
      </c>
      <c r="S636" t="s">
        <v>36</v>
      </c>
      <c r="T636" t="str">
        <f t="shared" si="52"/>
        <v>3countbcompatibility</v>
      </c>
      <c r="U636" t="s">
        <v>218</v>
      </c>
      <c r="V636" t="str">
        <f t="shared" si="53"/>
        <v>MVS,AES</v>
      </c>
      <c r="W636" t="str">
        <f t="shared" si="53"/>
        <v>MVS,AES</v>
      </c>
      <c r="AB636" t="s">
        <v>24</v>
      </c>
      <c r="AE636" t="s">
        <v>11</v>
      </c>
      <c r="AH636" t="s">
        <v>6038</v>
      </c>
      <c r="AI636" t="s">
        <v>9</v>
      </c>
      <c r="AJ636" t="s">
        <v>3</v>
      </c>
      <c r="AK636" t="s">
        <v>6037</v>
      </c>
      <c r="AL636" t="s">
        <v>6036</v>
      </c>
    </row>
    <row r="637" spans="5:38" x14ac:dyDescent="0.25">
      <c r="I637" t="str">
        <f t="shared" si="50"/>
        <v>3countb</v>
      </c>
      <c r="J637" t="str">
        <f t="shared" si="51"/>
        <v/>
      </c>
      <c r="L637" t="str">
        <f t="shared" si="54"/>
        <v>NGM-043 (MVS), NGH-043 (AES)</v>
      </c>
      <c r="M637" t="str">
        <f t="shared" si="54"/>
        <v>19930325 (MVS), 19930423 (AES)</v>
      </c>
      <c r="N637" t="str">
        <f t="shared" si="54"/>
        <v>ファイヤー・スープレックス</v>
      </c>
      <c r="O637" t="str">
        <f t="shared" si="54"/>
        <v/>
      </c>
      <c r="P637" t="str">
        <f t="shared" si="54"/>
        <v/>
      </c>
      <c r="T637" t="str">
        <f t="shared" si="52"/>
        <v/>
      </c>
      <c r="V637" t="str">
        <f t="shared" si="53"/>
        <v>MVS,AES</v>
      </c>
      <c r="W637" t="str">
        <f t="shared" si="53"/>
        <v>MVS,AES</v>
      </c>
      <c r="AH637" t="s">
        <v>6035</v>
      </c>
      <c r="AI637" t="s">
        <v>3</v>
      </c>
      <c r="AJ637" t="s">
        <v>3</v>
      </c>
      <c r="AK637" t="s">
        <v>6034</v>
      </c>
      <c r="AL637" t="s">
        <v>6033</v>
      </c>
    </row>
    <row r="638" spans="5:38" x14ac:dyDescent="0.25">
      <c r="I638" t="str">
        <f t="shared" si="50"/>
        <v>3countb</v>
      </c>
      <c r="J638" t="str">
        <f t="shared" si="51"/>
        <v/>
      </c>
      <c r="L638" t="str">
        <f t="shared" si="54"/>
        <v>NGM-043 (MVS), NGH-043 (AES)</v>
      </c>
      <c r="M638" t="str">
        <f t="shared" si="54"/>
        <v>19930325 (MVS), 19930423 (AES)</v>
      </c>
      <c r="N638" t="str">
        <f t="shared" si="54"/>
        <v>ファイヤー・スープレックス</v>
      </c>
      <c r="O638" t="str">
        <f t="shared" si="54"/>
        <v/>
      </c>
      <c r="P638" t="str">
        <f t="shared" si="54"/>
        <v/>
      </c>
      <c r="T638" t="str">
        <f t="shared" si="52"/>
        <v/>
      </c>
      <c r="V638" t="str">
        <f t="shared" si="53"/>
        <v>MVS,AES</v>
      </c>
      <c r="W638" t="str">
        <f t="shared" si="53"/>
        <v>MVS,AES</v>
      </c>
      <c r="AB638" t="s">
        <v>12</v>
      </c>
      <c r="AE638" t="s">
        <v>57</v>
      </c>
      <c r="AG638" t="s">
        <v>6</v>
      </c>
      <c r="AH638" t="s">
        <v>6032</v>
      </c>
      <c r="AI638" t="s">
        <v>9</v>
      </c>
      <c r="AJ638" t="s">
        <v>15</v>
      </c>
      <c r="AK638" t="s">
        <v>6031</v>
      </c>
      <c r="AL638" t="s">
        <v>6030</v>
      </c>
    </row>
    <row r="639" spans="5:38" x14ac:dyDescent="0.25">
      <c r="I639" t="str">
        <f t="shared" si="50"/>
        <v>3countb</v>
      </c>
      <c r="J639" t="str">
        <f t="shared" si="51"/>
        <v/>
      </c>
      <c r="L639" t="str">
        <f t="shared" si="54"/>
        <v>NGM-043 (MVS), NGH-043 (AES)</v>
      </c>
      <c r="M639" t="str">
        <f t="shared" si="54"/>
        <v>19930325 (MVS), 19930423 (AES)</v>
      </c>
      <c r="N639" t="str">
        <f t="shared" si="54"/>
        <v>ファイヤー・スープレックス</v>
      </c>
      <c r="O639" t="str">
        <f t="shared" si="54"/>
        <v/>
      </c>
      <c r="P639" t="str">
        <f t="shared" si="54"/>
        <v/>
      </c>
      <c r="T639" t="str">
        <f t="shared" si="52"/>
        <v/>
      </c>
      <c r="V639" t="str">
        <f t="shared" si="53"/>
        <v>MVS,AES</v>
      </c>
      <c r="W639" t="str">
        <f t="shared" si="53"/>
        <v>MVS,AES</v>
      </c>
      <c r="AG639" t="s">
        <v>224</v>
      </c>
      <c r="AI639" t="s">
        <v>11</v>
      </c>
      <c r="AJ639" t="s">
        <v>15</v>
      </c>
    </row>
    <row r="640" spans="5:38" x14ac:dyDescent="0.25">
      <c r="I640" t="str">
        <f t="shared" si="50"/>
        <v>3countb</v>
      </c>
      <c r="J640" t="str">
        <f t="shared" si="51"/>
        <v/>
      </c>
      <c r="L640" t="str">
        <f t="shared" si="54"/>
        <v>NGM-043 (MVS), NGH-043 (AES)</v>
      </c>
      <c r="M640" t="str">
        <f t="shared" si="54"/>
        <v>19930325 (MVS), 19930423 (AES)</v>
      </c>
      <c r="N640" t="str">
        <f t="shared" si="54"/>
        <v>ファイヤー・スープレックス</v>
      </c>
      <c r="O640" t="str">
        <f t="shared" si="54"/>
        <v/>
      </c>
      <c r="P640" t="str">
        <f t="shared" si="54"/>
        <v/>
      </c>
      <c r="T640" t="str">
        <f t="shared" si="52"/>
        <v/>
      </c>
      <c r="V640" t="str">
        <f t="shared" si="53"/>
        <v>MVS,AES</v>
      </c>
      <c r="W640" t="str">
        <f t="shared" si="53"/>
        <v>MVS,AES</v>
      </c>
      <c r="AG640" t="s">
        <v>6</v>
      </c>
      <c r="AH640" t="s">
        <v>6029</v>
      </c>
      <c r="AI640" t="s">
        <v>4</v>
      </c>
      <c r="AJ640" t="s">
        <v>15</v>
      </c>
      <c r="AK640" t="s">
        <v>6028</v>
      </c>
      <c r="AL640" t="s">
        <v>6027</v>
      </c>
    </row>
    <row r="641" spans="5:38" x14ac:dyDescent="0.25">
      <c r="I641" t="str">
        <f t="shared" si="50"/>
        <v>3countb</v>
      </c>
      <c r="J641" t="str">
        <f t="shared" si="51"/>
        <v/>
      </c>
      <c r="L641" t="str">
        <f t="shared" si="54"/>
        <v>NGM-043 (MVS), NGH-043 (AES)</v>
      </c>
      <c r="M641" t="str">
        <f t="shared" si="54"/>
        <v>19930325 (MVS), 19930423 (AES)</v>
      </c>
      <c r="N641" t="str">
        <f t="shared" si="54"/>
        <v>ファイヤー・スープレックス</v>
      </c>
      <c r="O641" t="str">
        <f t="shared" si="54"/>
        <v/>
      </c>
      <c r="P641" t="str">
        <f t="shared" si="54"/>
        <v/>
      </c>
      <c r="T641" t="str">
        <f t="shared" si="52"/>
        <v/>
      </c>
      <c r="V641" t="str">
        <f t="shared" si="53"/>
        <v>MVS,AES</v>
      </c>
      <c r="W641" t="str">
        <f t="shared" si="53"/>
        <v>MVS,AES</v>
      </c>
      <c r="AG641" t="s">
        <v>224</v>
      </c>
      <c r="AI641" t="s">
        <v>932</v>
      </c>
      <c r="AJ641" t="s">
        <v>15</v>
      </c>
    </row>
    <row r="642" spans="5:38" x14ac:dyDescent="0.25">
      <c r="I642" t="str">
        <f t="shared" si="50"/>
        <v>3countb</v>
      </c>
      <c r="J642" t="str">
        <f t="shared" si="51"/>
        <v/>
      </c>
      <c r="L642" t="str">
        <f t="shared" si="54"/>
        <v>NGM-043 (MVS), NGH-043 (AES)</v>
      </c>
      <c r="M642" t="str">
        <f t="shared" si="54"/>
        <v>19930325 (MVS), 19930423 (AES)</v>
      </c>
      <c r="N642" t="str">
        <f t="shared" si="54"/>
        <v>ファイヤー・スープレックス</v>
      </c>
      <c r="O642" t="str">
        <f t="shared" si="54"/>
        <v/>
      </c>
      <c r="P642" t="str">
        <f t="shared" si="54"/>
        <v/>
      </c>
      <c r="T642" t="str">
        <f t="shared" si="52"/>
        <v/>
      </c>
      <c r="V642" t="str">
        <f t="shared" si="53"/>
        <v>MVS,AES</v>
      </c>
      <c r="W642" t="str">
        <f t="shared" si="53"/>
        <v>MVS,AES</v>
      </c>
      <c r="AG642" t="s">
        <v>6</v>
      </c>
      <c r="AH642" t="s">
        <v>6026</v>
      </c>
      <c r="AI642" t="s">
        <v>3</v>
      </c>
      <c r="AJ642" t="s">
        <v>15</v>
      </c>
      <c r="AK642" t="s">
        <v>6025</v>
      </c>
      <c r="AL642" t="s">
        <v>6024</v>
      </c>
    </row>
    <row r="643" spans="5:38" x14ac:dyDescent="0.25">
      <c r="I643" t="str">
        <f t="shared" ref="I643:I706" si="55">IF(E643="",I642,E643)</f>
        <v>3countb</v>
      </c>
      <c r="J643" t="str">
        <f t="shared" ref="J643:J706" si="56">IF(K643="","",I643&amp;K643)</f>
        <v/>
      </c>
      <c r="L643" t="str">
        <f t="shared" si="54"/>
        <v>NGM-043 (MVS), NGH-043 (AES)</v>
      </c>
      <c r="M643" t="str">
        <f t="shared" si="54"/>
        <v>19930325 (MVS), 19930423 (AES)</v>
      </c>
      <c r="N643" t="str">
        <f t="shared" si="54"/>
        <v>ファイヤー・スープレックス</v>
      </c>
      <c r="O643" t="str">
        <f t="shared" si="54"/>
        <v/>
      </c>
      <c r="P643" t="str">
        <f t="shared" si="54"/>
        <v/>
      </c>
      <c r="T643" t="str">
        <f t="shared" ref="T643:T706" si="57">IF(S643="","",I643&amp;S643)</f>
        <v/>
      </c>
      <c r="V643" t="str">
        <f t="shared" si="53"/>
        <v>MVS,AES</v>
      </c>
      <c r="W643" t="str">
        <f t="shared" si="53"/>
        <v>MVS,AES</v>
      </c>
      <c r="AG643" t="s">
        <v>224</v>
      </c>
      <c r="AI643" t="s">
        <v>75</v>
      </c>
      <c r="AJ643" t="s">
        <v>15</v>
      </c>
    </row>
    <row r="644" spans="5:38" x14ac:dyDescent="0.25">
      <c r="I644" t="str">
        <f t="shared" si="55"/>
        <v>3countb</v>
      </c>
      <c r="J644" t="str">
        <f t="shared" si="56"/>
        <v/>
      </c>
      <c r="L644" t="str">
        <f t="shared" si="54"/>
        <v>NGM-043 (MVS), NGH-043 (AES)</v>
      </c>
      <c r="M644" t="str">
        <f t="shared" si="54"/>
        <v>19930325 (MVS), 19930423 (AES)</v>
      </c>
      <c r="N644" t="str">
        <f t="shared" si="54"/>
        <v>ファイヤー・スープレックス</v>
      </c>
      <c r="O644" t="str">
        <f t="shared" si="54"/>
        <v/>
      </c>
      <c r="P644" t="str">
        <f t="shared" si="54"/>
        <v/>
      </c>
      <c r="T644" t="str">
        <f t="shared" si="57"/>
        <v/>
      </c>
      <c r="V644" t="str">
        <f t="shared" si="53"/>
        <v>MVS,AES</v>
      </c>
      <c r="W644" t="str">
        <f t="shared" si="53"/>
        <v>MVS,AES</v>
      </c>
      <c r="AG644" t="s">
        <v>6</v>
      </c>
      <c r="AH644" t="s">
        <v>6023</v>
      </c>
      <c r="AI644" t="s">
        <v>4371</v>
      </c>
      <c r="AJ644" t="s">
        <v>15</v>
      </c>
      <c r="AK644" t="s">
        <v>6022</v>
      </c>
      <c r="AL644" t="s">
        <v>6021</v>
      </c>
    </row>
    <row r="645" spans="5:38" x14ac:dyDescent="0.25">
      <c r="I645" t="str">
        <f t="shared" si="55"/>
        <v>3countb</v>
      </c>
      <c r="J645" t="str">
        <f t="shared" si="56"/>
        <v/>
      </c>
      <c r="L645" t="str">
        <f t="shared" si="54"/>
        <v>NGM-043 (MVS), NGH-043 (AES)</v>
      </c>
      <c r="M645" t="str">
        <f t="shared" si="54"/>
        <v>19930325 (MVS), 19930423 (AES)</v>
      </c>
      <c r="N645" t="str">
        <f t="shared" si="54"/>
        <v>ファイヤー・スープレックス</v>
      </c>
      <c r="O645" t="str">
        <f t="shared" si="54"/>
        <v/>
      </c>
      <c r="P645" t="str">
        <f t="shared" si="54"/>
        <v/>
      </c>
      <c r="T645" t="str">
        <f t="shared" si="57"/>
        <v/>
      </c>
      <c r="V645" t="str">
        <f t="shared" si="53"/>
        <v>MVS,AES</v>
      </c>
      <c r="W645" t="str">
        <f t="shared" si="53"/>
        <v>MVS,AES</v>
      </c>
      <c r="AG645" t="s">
        <v>224</v>
      </c>
      <c r="AI645" t="s">
        <v>5274</v>
      </c>
      <c r="AJ645" t="s">
        <v>15</v>
      </c>
    </row>
    <row r="646" spans="5:38" x14ac:dyDescent="0.25">
      <c r="E646" t="s">
        <v>6020</v>
      </c>
      <c r="F646" t="s">
        <v>6019</v>
      </c>
      <c r="G646" t="s">
        <v>5639</v>
      </c>
      <c r="H646" t="s">
        <v>1912</v>
      </c>
      <c r="I646" t="str">
        <f t="shared" si="55"/>
        <v>aof</v>
      </c>
      <c r="J646" t="str">
        <f t="shared" si="56"/>
        <v>aofserial</v>
      </c>
      <c r="K646" t="s">
        <v>1373</v>
      </c>
      <c r="L646" t="str">
        <f t="shared" si="54"/>
        <v>NGM-044 (MVS), NGH-044 (AES)</v>
      </c>
      <c r="M646" t="str">
        <f t="shared" si="54"/>
        <v>19920924 (MVS), 19921211 (AES)</v>
      </c>
      <c r="N646" t="str">
        <f t="shared" si="54"/>
        <v>龍虎の拳</v>
      </c>
      <c r="O646" t="str">
        <f t="shared" si="54"/>
        <v/>
      </c>
      <c r="P646" t="str">
        <f t="shared" si="54"/>
        <v/>
      </c>
      <c r="Q646" t="s">
        <v>6018</v>
      </c>
      <c r="S646" t="s">
        <v>46</v>
      </c>
      <c r="T646" t="str">
        <f t="shared" si="57"/>
        <v>aofrelease</v>
      </c>
      <c r="U646" t="s">
        <v>218</v>
      </c>
      <c r="V646" t="str">
        <f t="shared" si="53"/>
        <v>MVS,AES</v>
      </c>
      <c r="W646" t="str">
        <f t="shared" si="53"/>
        <v>MVS,AES</v>
      </c>
      <c r="Y646" t="s">
        <v>45</v>
      </c>
      <c r="Z646" t="s">
        <v>44</v>
      </c>
      <c r="AB646" t="s">
        <v>43</v>
      </c>
      <c r="AC646" t="s">
        <v>42</v>
      </c>
      <c r="AD646" t="s">
        <v>41</v>
      </c>
      <c r="AE646" t="s">
        <v>15</v>
      </c>
      <c r="AG646" t="s">
        <v>40</v>
      </c>
      <c r="AH646" t="s">
        <v>6017</v>
      </c>
      <c r="AI646" t="s">
        <v>9</v>
      </c>
      <c r="AJ646" t="s">
        <v>92</v>
      </c>
      <c r="AK646" t="s">
        <v>6016</v>
      </c>
      <c r="AL646" t="s">
        <v>6015</v>
      </c>
    </row>
    <row r="647" spans="5:38" x14ac:dyDescent="0.25">
      <c r="I647" t="str">
        <f t="shared" si="55"/>
        <v>aof</v>
      </c>
      <c r="J647" t="str">
        <f t="shared" si="56"/>
        <v>aofrelease</v>
      </c>
      <c r="K647" t="s">
        <v>46</v>
      </c>
      <c r="L647" t="str">
        <f t="shared" si="54"/>
        <v>NGM-044 (MVS), NGH-044 (AES)</v>
      </c>
      <c r="M647" t="str">
        <f t="shared" si="54"/>
        <v>19920924 (MVS), 19921211 (AES)</v>
      </c>
      <c r="N647" t="str">
        <f t="shared" si="54"/>
        <v>龍虎の拳</v>
      </c>
      <c r="O647" t="str">
        <f t="shared" si="54"/>
        <v/>
      </c>
      <c r="P647" t="str">
        <f t="shared" si="54"/>
        <v/>
      </c>
      <c r="Q647" t="s">
        <v>6014</v>
      </c>
      <c r="T647" t="str">
        <f t="shared" si="57"/>
        <v/>
      </c>
      <c r="V647" t="str">
        <f t="shared" si="53"/>
        <v>MVS,AES</v>
      </c>
      <c r="W647" t="str">
        <f t="shared" si="53"/>
        <v>MVS,AES</v>
      </c>
      <c r="AB647" t="s">
        <v>34</v>
      </c>
      <c r="AE647" t="s">
        <v>33</v>
      </c>
      <c r="AH647" t="s">
        <v>6013</v>
      </c>
      <c r="AI647" t="s">
        <v>9</v>
      </c>
      <c r="AJ647" t="s">
        <v>27</v>
      </c>
      <c r="AK647" t="s">
        <v>6012</v>
      </c>
      <c r="AL647" t="s">
        <v>6011</v>
      </c>
    </row>
    <row r="648" spans="5:38" x14ac:dyDescent="0.25">
      <c r="I648" t="str">
        <f t="shared" si="55"/>
        <v>aof</v>
      </c>
      <c r="J648" t="str">
        <f t="shared" si="56"/>
        <v>aofalt_title</v>
      </c>
      <c r="K648" t="s">
        <v>1218</v>
      </c>
      <c r="L648" t="str">
        <f t="shared" si="54"/>
        <v>NGM-044 (MVS), NGH-044 (AES)</v>
      </c>
      <c r="M648" t="str">
        <f t="shared" si="54"/>
        <v>19920924 (MVS), 19921211 (AES)</v>
      </c>
      <c r="N648" t="str">
        <f t="shared" si="54"/>
        <v>龍虎の拳</v>
      </c>
      <c r="O648" t="str">
        <f t="shared" si="54"/>
        <v/>
      </c>
      <c r="P648" t="str">
        <f t="shared" si="54"/>
        <v/>
      </c>
      <c r="Q648" t="s">
        <v>6010</v>
      </c>
      <c r="T648" t="str">
        <f t="shared" si="57"/>
        <v/>
      </c>
      <c r="V648" t="str">
        <f t="shared" si="53"/>
        <v>MVS,AES</v>
      </c>
      <c r="W648" t="str">
        <f t="shared" si="53"/>
        <v>MVS,AES</v>
      </c>
      <c r="AB648" t="s">
        <v>29</v>
      </c>
      <c r="AE648" t="s">
        <v>27</v>
      </c>
      <c r="AH648" t="s">
        <v>6009</v>
      </c>
      <c r="AI648" t="s">
        <v>9</v>
      </c>
      <c r="AJ648" t="s">
        <v>27</v>
      </c>
      <c r="AK648" t="s">
        <v>6008</v>
      </c>
      <c r="AL648" t="s">
        <v>6007</v>
      </c>
    </row>
    <row r="649" spans="5:38" x14ac:dyDescent="0.25">
      <c r="I649" t="str">
        <f t="shared" si="55"/>
        <v>aof</v>
      </c>
      <c r="J649" t="str">
        <f t="shared" si="56"/>
        <v/>
      </c>
      <c r="L649" t="str">
        <f t="shared" si="54"/>
        <v>NGM-044 (MVS), NGH-044 (AES)</v>
      </c>
      <c r="M649" t="str">
        <f t="shared" si="54"/>
        <v>19920924 (MVS), 19921211 (AES)</v>
      </c>
      <c r="N649" t="str">
        <f t="shared" si="54"/>
        <v>龍虎の拳</v>
      </c>
      <c r="O649" t="str">
        <f t="shared" si="54"/>
        <v/>
      </c>
      <c r="P649" t="str">
        <f t="shared" si="54"/>
        <v/>
      </c>
      <c r="S649" t="s">
        <v>36</v>
      </c>
      <c r="T649" t="str">
        <f t="shared" si="57"/>
        <v>aofcompatibility</v>
      </c>
      <c r="U649" t="s">
        <v>218</v>
      </c>
      <c r="V649" t="str">
        <f t="shared" si="53"/>
        <v>MVS,AES</v>
      </c>
      <c r="W649" t="str">
        <f t="shared" si="53"/>
        <v>MVS,AES</v>
      </c>
      <c r="AB649" t="s">
        <v>24</v>
      </c>
      <c r="AE649" t="s">
        <v>11</v>
      </c>
      <c r="AH649" t="s">
        <v>6006</v>
      </c>
      <c r="AI649" t="s">
        <v>9</v>
      </c>
      <c r="AJ649" t="s">
        <v>3</v>
      </c>
      <c r="AK649" t="s">
        <v>6005</v>
      </c>
      <c r="AL649" t="s">
        <v>6004</v>
      </c>
    </row>
    <row r="650" spans="5:38" x14ac:dyDescent="0.25">
      <c r="I650" t="str">
        <f t="shared" si="55"/>
        <v>aof</v>
      </c>
      <c r="J650" t="str">
        <f t="shared" si="56"/>
        <v/>
      </c>
      <c r="L650" t="str">
        <f t="shared" si="54"/>
        <v>NGM-044 (MVS), NGH-044 (AES)</v>
      </c>
      <c r="M650" t="str">
        <f t="shared" si="54"/>
        <v>19920924 (MVS), 19921211 (AES)</v>
      </c>
      <c r="N650" t="str">
        <f t="shared" si="54"/>
        <v>龍虎の拳</v>
      </c>
      <c r="O650" t="str">
        <f t="shared" si="54"/>
        <v/>
      </c>
      <c r="P650" t="str">
        <f t="shared" si="54"/>
        <v/>
      </c>
      <c r="T650" t="str">
        <f t="shared" si="57"/>
        <v/>
      </c>
      <c r="V650" t="str">
        <f t="shared" si="53"/>
        <v>MVS,AES</v>
      </c>
      <c r="W650" t="str">
        <f t="shared" si="53"/>
        <v>MVS,AES</v>
      </c>
      <c r="AH650" t="s">
        <v>6003</v>
      </c>
      <c r="AI650" t="s">
        <v>3</v>
      </c>
      <c r="AJ650" t="s">
        <v>3</v>
      </c>
      <c r="AK650" t="s">
        <v>6002</v>
      </c>
      <c r="AL650" t="s">
        <v>6001</v>
      </c>
    </row>
    <row r="651" spans="5:38" x14ac:dyDescent="0.25">
      <c r="I651" t="str">
        <f t="shared" si="55"/>
        <v>aof</v>
      </c>
      <c r="J651" t="str">
        <f t="shared" si="56"/>
        <v/>
      </c>
      <c r="L651" t="str">
        <f t="shared" si="54"/>
        <v>NGM-044 (MVS), NGH-044 (AES)</v>
      </c>
      <c r="M651" t="str">
        <f t="shared" si="54"/>
        <v>19920924 (MVS), 19921211 (AES)</v>
      </c>
      <c r="N651" t="str">
        <f t="shared" si="54"/>
        <v>龍虎の拳</v>
      </c>
      <c r="O651" t="str">
        <f t="shared" si="54"/>
        <v/>
      </c>
      <c r="P651" t="str">
        <f t="shared" si="54"/>
        <v/>
      </c>
      <c r="T651" t="str">
        <f t="shared" si="57"/>
        <v/>
      </c>
      <c r="V651" t="str">
        <f t="shared" si="53"/>
        <v>MVS,AES</v>
      </c>
      <c r="W651" t="str">
        <f t="shared" si="53"/>
        <v>MVS,AES</v>
      </c>
      <c r="AB651" t="s">
        <v>12</v>
      </c>
      <c r="AE651" t="s">
        <v>57</v>
      </c>
      <c r="AG651" t="s">
        <v>6</v>
      </c>
      <c r="AH651" t="s">
        <v>6000</v>
      </c>
      <c r="AI651" t="s">
        <v>9</v>
      </c>
      <c r="AJ651" t="s">
        <v>15</v>
      </c>
      <c r="AK651" t="s">
        <v>5999</v>
      </c>
      <c r="AL651" t="s">
        <v>5998</v>
      </c>
    </row>
    <row r="652" spans="5:38" x14ac:dyDescent="0.25">
      <c r="I652" t="str">
        <f t="shared" si="55"/>
        <v>aof</v>
      </c>
      <c r="J652" t="str">
        <f t="shared" si="56"/>
        <v/>
      </c>
      <c r="L652" t="str">
        <f t="shared" si="54"/>
        <v>NGM-044 (MVS), NGH-044 (AES)</v>
      </c>
      <c r="M652" t="str">
        <f t="shared" si="54"/>
        <v>19920924 (MVS), 19921211 (AES)</v>
      </c>
      <c r="N652" t="str">
        <f t="shared" si="54"/>
        <v>龍虎の拳</v>
      </c>
      <c r="O652" t="str">
        <f t="shared" si="54"/>
        <v/>
      </c>
      <c r="P652" t="str">
        <f t="shared" si="54"/>
        <v/>
      </c>
      <c r="T652" t="str">
        <f t="shared" si="57"/>
        <v/>
      </c>
      <c r="V652" t="str">
        <f t="shared" si="53"/>
        <v>MVS,AES</v>
      </c>
      <c r="W652" t="str">
        <f t="shared" si="53"/>
        <v>MVS,AES</v>
      </c>
      <c r="AG652" t="s">
        <v>224</v>
      </c>
      <c r="AI652" t="s">
        <v>11</v>
      </c>
      <c r="AJ652" t="s">
        <v>15</v>
      </c>
    </row>
    <row r="653" spans="5:38" x14ac:dyDescent="0.25">
      <c r="I653" t="str">
        <f t="shared" si="55"/>
        <v>aof</v>
      </c>
      <c r="J653" t="str">
        <f t="shared" si="56"/>
        <v/>
      </c>
      <c r="L653" t="str">
        <f t="shared" si="54"/>
        <v>NGM-044 (MVS), NGH-044 (AES)</v>
      </c>
      <c r="M653" t="str">
        <f t="shared" si="54"/>
        <v>19920924 (MVS), 19921211 (AES)</v>
      </c>
      <c r="N653" t="str">
        <f t="shared" si="54"/>
        <v>龍虎の拳</v>
      </c>
      <c r="O653" t="str">
        <f t="shared" si="54"/>
        <v/>
      </c>
      <c r="P653" t="str">
        <f t="shared" si="54"/>
        <v/>
      </c>
      <c r="T653" t="str">
        <f t="shared" si="57"/>
        <v/>
      </c>
      <c r="V653" t="str">
        <f t="shared" si="53"/>
        <v>MVS,AES</v>
      </c>
      <c r="W653" t="str">
        <f t="shared" si="53"/>
        <v>MVS,AES</v>
      </c>
      <c r="AG653" t="s">
        <v>6</v>
      </c>
      <c r="AH653" t="s">
        <v>5997</v>
      </c>
      <c r="AI653" t="s">
        <v>4</v>
      </c>
      <c r="AJ653" t="s">
        <v>15</v>
      </c>
      <c r="AK653" t="s">
        <v>5996</v>
      </c>
      <c r="AL653" t="s">
        <v>5995</v>
      </c>
    </row>
    <row r="654" spans="5:38" x14ac:dyDescent="0.25">
      <c r="I654" t="str">
        <f t="shared" si="55"/>
        <v>aof</v>
      </c>
      <c r="J654" t="str">
        <f t="shared" si="56"/>
        <v/>
      </c>
      <c r="L654" t="str">
        <f t="shared" si="54"/>
        <v>NGM-044 (MVS), NGH-044 (AES)</v>
      </c>
      <c r="M654" t="str">
        <f t="shared" si="54"/>
        <v>19920924 (MVS), 19921211 (AES)</v>
      </c>
      <c r="N654" t="str">
        <f t="shared" si="54"/>
        <v>龍虎の拳</v>
      </c>
      <c r="O654" t="str">
        <f t="shared" si="54"/>
        <v/>
      </c>
      <c r="P654" t="str">
        <f t="shared" si="54"/>
        <v/>
      </c>
      <c r="T654" t="str">
        <f t="shared" si="57"/>
        <v/>
      </c>
      <c r="V654" t="str">
        <f t="shared" si="53"/>
        <v>MVS,AES</v>
      </c>
      <c r="W654" t="str">
        <f t="shared" si="53"/>
        <v>MVS,AES</v>
      </c>
      <c r="AG654" t="s">
        <v>224</v>
      </c>
      <c r="AI654" t="s">
        <v>932</v>
      </c>
      <c r="AJ654" t="s">
        <v>15</v>
      </c>
    </row>
    <row r="655" spans="5:38" x14ac:dyDescent="0.25">
      <c r="I655" t="str">
        <f t="shared" si="55"/>
        <v>aof</v>
      </c>
      <c r="J655" t="str">
        <f t="shared" si="56"/>
        <v/>
      </c>
      <c r="L655" t="str">
        <f t="shared" si="54"/>
        <v>NGM-044 (MVS), NGH-044 (AES)</v>
      </c>
      <c r="M655" t="str">
        <f t="shared" si="54"/>
        <v>19920924 (MVS), 19921211 (AES)</v>
      </c>
      <c r="N655" t="str">
        <f t="shared" si="54"/>
        <v>龍虎の拳</v>
      </c>
      <c r="O655" t="str">
        <f t="shared" si="54"/>
        <v/>
      </c>
      <c r="P655" t="str">
        <f t="shared" si="54"/>
        <v/>
      </c>
      <c r="T655" t="str">
        <f t="shared" si="57"/>
        <v/>
      </c>
      <c r="V655" t="str">
        <f t="shared" si="53"/>
        <v>MVS,AES</v>
      </c>
      <c r="W655" t="str">
        <f t="shared" si="53"/>
        <v>MVS,AES</v>
      </c>
      <c r="AG655" t="s">
        <v>6</v>
      </c>
      <c r="AH655" t="s">
        <v>5994</v>
      </c>
      <c r="AI655" t="s">
        <v>3</v>
      </c>
      <c r="AJ655" t="s">
        <v>15</v>
      </c>
      <c r="AK655" t="s">
        <v>5993</v>
      </c>
      <c r="AL655" t="s">
        <v>5992</v>
      </c>
    </row>
    <row r="656" spans="5:38" x14ac:dyDescent="0.25">
      <c r="I656" t="str">
        <f t="shared" si="55"/>
        <v>aof</v>
      </c>
      <c r="J656" t="str">
        <f t="shared" si="56"/>
        <v/>
      </c>
      <c r="L656" t="str">
        <f t="shared" si="54"/>
        <v>NGM-044 (MVS), NGH-044 (AES)</v>
      </c>
      <c r="M656" t="str">
        <f t="shared" si="54"/>
        <v>19920924 (MVS), 19921211 (AES)</v>
      </c>
      <c r="N656" t="str">
        <f t="shared" si="54"/>
        <v>龍虎の拳</v>
      </c>
      <c r="O656" t="str">
        <f t="shared" si="54"/>
        <v/>
      </c>
      <c r="P656" t="str">
        <f t="shared" si="54"/>
        <v/>
      </c>
      <c r="T656" t="str">
        <f t="shared" si="57"/>
        <v/>
      </c>
      <c r="V656" t="str">
        <f t="shared" si="53"/>
        <v>MVS,AES</v>
      </c>
      <c r="W656" t="str">
        <f t="shared" si="53"/>
        <v>MVS,AES</v>
      </c>
      <c r="AG656" t="s">
        <v>224</v>
      </c>
      <c r="AI656" t="s">
        <v>75</v>
      </c>
      <c r="AJ656" t="s">
        <v>15</v>
      </c>
    </row>
    <row r="657" spans="5:44" x14ac:dyDescent="0.25">
      <c r="I657" t="str">
        <f t="shared" si="55"/>
        <v>aof</v>
      </c>
      <c r="J657" t="str">
        <f t="shared" si="56"/>
        <v/>
      </c>
      <c r="L657" t="str">
        <f t="shared" si="54"/>
        <v>NGM-044 (MVS), NGH-044 (AES)</v>
      </c>
      <c r="M657" t="str">
        <f t="shared" si="54"/>
        <v>19920924 (MVS), 19921211 (AES)</v>
      </c>
      <c r="N657" t="str">
        <f t="shared" si="54"/>
        <v>龍虎の拳</v>
      </c>
      <c r="O657" t="str">
        <f t="shared" si="54"/>
        <v/>
      </c>
      <c r="P657" t="str">
        <f t="shared" si="54"/>
        <v/>
      </c>
      <c r="T657" t="str">
        <f t="shared" si="57"/>
        <v/>
      </c>
      <c r="V657" t="str">
        <f t="shared" si="53"/>
        <v>MVS,AES</v>
      </c>
      <c r="W657" t="str">
        <f t="shared" si="53"/>
        <v>MVS,AES</v>
      </c>
      <c r="AG657" t="s">
        <v>6</v>
      </c>
      <c r="AH657" t="s">
        <v>5991</v>
      </c>
      <c r="AI657" t="s">
        <v>4371</v>
      </c>
      <c r="AJ657" t="s">
        <v>15</v>
      </c>
      <c r="AK657" t="s">
        <v>5990</v>
      </c>
      <c r="AL657" t="s">
        <v>5989</v>
      </c>
    </row>
    <row r="658" spans="5:44" x14ac:dyDescent="0.25">
      <c r="I658" t="str">
        <f t="shared" si="55"/>
        <v>aof</v>
      </c>
      <c r="J658" t="str">
        <f t="shared" si="56"/>
        <v/>
      </c>
      <c r="L658" t="str">
        <f t="shared" si="54"/>
        <v>NGM-044 (MVS), NGH-044 (AES)</v>
      </c>
      <c r="M658" t="str">
        <f t="shared" si="54"/>
        <v>19920924 (MVS), 19921211 (AES)</v>
      </c>
      <c r="N658" t="str">
        <f t="shared" si="54"/>
        <v>龍虎の拳</v>
      </c>
      <c r="O658" t="str">
        <f t="shared" si="54"/>
        <v/>
      </c>
      <c r="P658" t="str">
        <f t="shared" si="54"/>
        <v/>
      </c>
      <c r="T658" t="str">
        <f t="shared" si="57"/>
        <v/>
      </c>
      <c r="V658" t="str">
        <f t="shared" si="53"/>
        <v>MVS,AES</v>
      </c>
      <c r="W658" t="str">
        <f t="shared" si="53"/>
        <v>MVS,AES</v>
      </c>
      <c r="AG658" t="s">
        <v>224</v>
      </c>
      <c r="AI658" t="s">
        <v>5274</v>
      </c>
      <c r="AJ658" t="s">
        <v>15</v>
      </c>
    </row>
    <row r="659" spans="5:44" x14ac:dyDescent="0.25">
      <c r="E659" t="s">
        <v>5970</v>
      </c>
      <c r="F659" t="s">
        <v>5988</v>
      </c>
      <c r="G659" t="s">
        <v>5315</v>
      </c>
      <c r="H659" t="s">
        <v>1912</v>
      </c>
      <c r="I659" t="str">
        <f t="shared" si="55"/>
        <v>samsho</v>
      </c>
      <c r="J659" t="str">
        <f t="shared" si="56"/>
        <v>samshoserial</v>
      </c>
      <c r="K659" t="s">
        <v>1373</v>
      </c>
      <c r="L659" t="str">
        <f t="shared" si="54"/>
        <v>NGM-045</v>
      </c>
      <c r="M659" t="str">
        <f t="shared" si="54"/>
        <v>19930707</v>
      </c>
      <c r="N659" t="str">
        <f t="shared" si="54"/>
        <v>サムライスピリッツ</v>
      </c>
      <c r="O659" t="str">
        <f t="shared" si="54"/>
        <v/>
      </c>
      <c r="P659" t="str">
        <f t="shared" si="54"/>
        <v/>
      </c>
      <c r="Q659" t="s">
        <v>5987</v>
      </c>
      <c r="S659" t="s">
        <v>46</v>
      </c>
      <c r="T659" t="str">
        <f t="shared" si="57"/>
        <v>samshorelease</v>
      </c>
      <c r="U659" t="s">
        <v>106</v>
      </c>
      <c r="V659" t="str">
        <f t="shared" si="53"/>
        <v>MVS</v>
      </c>
      <c r="W659" t="str">
        <f t="shared" si="53"/>
        <v>MVS,AES</v>
      </c>
      <c r="Y659" t="s">
        <v>45</v>
      </c>
      <c r="Z659" t="s">
        <v>44</v>
      </c>
      <c r="AB659" t="s">
        <v>43</v>
      </c>
      <c r="AC659" t="s">
        <v>42</v>
      </c>
      <c r="AD659" t="s">
        <v>41</v>
      </c>
      <c r="AE659" t="s">
        <v>3</v>
      </c>
      <c r="AG659" t="s">
        <v>40</v>
      </c>
      <c r="AH659" t="s">
        <v>5973</v>
      </c>
      <c r="AI659" t="s">
        <v>9</v>
      </c>
      <c r="AJ659" t="s">
        <v>15</v>
      </c>
      <c r="AK659" t="s">
        <v>5972</v>
      </c>
      <c r="AL659" t="s">
        <v>5971</v>
      </c>
    </row>
    <row r="660" spans="5:44" x14ac:dyDescent="0.25">
      <c r="I660" t="str">
        <f t="shared" si="55"/>
        <v>samsho</v>
      </c>
      <c r="J660" t="str">
        <f t="shared" si="56"/>
        <v>samshorelease</v>
      </c>
      <c r="K660" t="s">
        <v>46</v>
      </c>
      <c r="L660" t="str">
        <f t="shared" si="54"/>
        <v>NGM-045</v>
      </c>
      <c r="M660" t="str">
        <f t="shared" si="54"/>
        <v>19930707</v>
      </c>
      <c r="N660" t="str">
        <f t="shared" si="54"/>
        <v>サムライスピリッツ</v>
      </c>
      <c r="O660" t="str">
        <f t="shared" si="54"/>
        <v/>
      </c>
      <c r="P660" t="str">
        <f t="shared" si="54"/>
        <v/>
      </c>
      <c r="Q660" t="s">
        <v>5986</v>
      </c>
      <c r="T660" t="str">
        <f t="shared" si="57"/>
        <v/>
      </c>
      <c r="V660" t="str">
        <f t="shared" si="53"/>
        <v>MVS</v>
      </c>
      <c r="W660" t="str">
        <f t="shared" si="53"/>
        <v>MVS,AES</v>
      </c>
      <c r="AG660" t="s">
        <v>40</v>
      </c>
      <c r="AH660" t="s">
        <v>5985</v>
      </c>
      <c r="AI660" t="s">
        <v>15</v>
      </c>
      <c r="AJ660" t="s">
        <v>15</v>
      </c>
      <c r="AK660" t="s">
        <v>5984</v>
      </c>
      <c r="AL660" t="s">
        <v>5983</v>
      </c>
    </row>
    <row r="661" spans="5:44" x14ac:dyDescent="0.25">
      <c r="I661" t="str">
        <f t="shared" si="55"/>
        <v>samsho</v>
      </c>
      <c r="J661" t="str">
        <f t="shared" si="56"/>
        <v>samshoalt_title</v>
      </c>
      <c r="K661" t="s">
        <v>1218</v>
      </c>
      <c r="L661" t="str">
        <f t="shared" si="54"/>
        <v>NGM-045</v>
      </c>
      <c r="M661" t="str">
        <f t="shared" si="54"/>
        <v>19930707</v>
      </c>
      <c r="N661" t="str">
        <f t="shared" si="54"/>
        <v>サムライスピリッツ</v>
      </c>
      <c r="O661" t="str">
        <f t="shared" si="54"/>
        <v/>
      </c>
      <c r="P661" t="str">
        <f t="shared" si="54"/>
        <v/>
      </c>
      <c r="Q661" t="s">
        <v>5965</v>
      </c>
      <c r="T661" t="str">
        <f t="shared" si="57"/>
        <v/>
      </c>
      <c r="V661" t="str">
        <f t="shared" si="53"/>
        <v>MVS</v>
      </c>
      <c r="W661" t="str">
        <f t="shared" si="53"/>
        <v>MVS,AES</v>
      </c>
      <c r="AB661" t="s">
        <v>34</v>
      </c>
      <c r="AE661" t="s">
        <v>33</v>
      </c>
      <c r="AH661" t="s">
        <v>5964</v>
      </c>
      <c r="AI661" t="s">
        <v>9</v>
      </c>
      <c r="AJ661" t="s">
        <v>27</v>
      </c>
      <c r="AK661" t="s">
        <v>5963</v>
      </c>
      <c r="AL661" t="s">
        <v>5962</v>
      </c>
    </row>
    <row r="662" spans="5:44" x14ac:dyDescent="0.25">
      <c r="I662" t="str">
        <f t="shared" si="55"/>
        <v>samsho</v>
      </c>
      <c r="J662" t="str">
        <f t="shared" si="56"/>
        <v/>
      </c>
      <c r="L662" t="str">
        <f t="shared" si="54"/>
        <v>NGM-045</v>
      </c>
      <c r="M662" t="str">
        <f t="shared" si="54"/>
        <v>19930707</v>
      </c>
      <c r="N662" t="str">
        <f t="shared" si="54"/>
        <v>サムライスピリッツ</v>
      </c>
      <c r="O662" t="str">
        <f t="shared" si="54"/>
        <v/>
      </c>
      <c r="P662" t="str">
        <f t="shared" si="54"/>
        <v/>
      </c>
      <c r="S662" t="s">
        <v>36</v>
      </c>
      <c r="T662" t="str">
        <f t="shared" si="57"/>
        <v>samshocompatibility</v>
      </c>
      <c r="U662" t="s">
        <v>218</v>
      </c>
      <c r="V662" t="str">
        <f t="shared" si="53"/>
        <v>MVS</v>
      </c>
      <c r="W662" t="str">
        <f t="shared" si="53"/>
        <v>MVS,AES</v>
      </c>
      <c r="AB662" t="s">
        <v>29</v>
      </c>
      <c r="AE662" t="s">
        <v>27</v>
      </c>
      <c r="AH662" t="s">
        <v>5961</v>
      </c>
      <c r="AI662" t="s">
        <v>9</v>
      </c>
      <c r="AJ662" t="s">
        <v>27</v>
      </c>
      <c r="AK662" t="s">
        <v>5960</v>
      </c>
      <c r="AL662" t="s">
        <v>5959</v>
      </c>
    </row>
    <row r="663" spans="5:44" x14ac:dyDescent="0.25">
      <c r="I663" t="str">
        <f t="shared" si="55"/>
        <v>samsho</v>
      </c>
      <c r="J663" t="str">
        <f t="shared" si="56"/>
        <v/>
      </c>
      <c r="L663" t="str">
        <f t="shared" si="54"/>
        <v>NGM-045</v>
      </c>
      <c r="M663" t="str">
        <f t="shared" si="54"/>
        <v>19930707</v>
      </c>
      <c r="N663" t="str">
        <f t="shared" si="54"/>
        <v>サムライスピリッツ</v>
      </c>
      <c r="O663" t="str">
        <f t="shared" si="54"/>
        <v/>
      </c>
      <c r="P663" t="str">
        <f t="shared" si="54"/>
        <v/>
      </c>
      <c r="T663" t="str">
        <f t="shared" si="57"/>
        <v/>
      </c>
      <c r="V663" t="str">
        <f t="shared" ref="V663:W726" si="58">IFERROR(VLOOKUP($I663&amp;V$1,$T:$AA,2,0),"")</f>
        <v>MVS</v>
      </c>
      <c r="W663" t="str">
        <f t="shared" si="58"/>
        <v>MVS,AES</v>
      </c>
      <c r="AB663" t="s">
        <v>24</v>
      </c>
      <c r="AE663" t="s">
        <v>11</v>
      </c>
      <c r="AH663" t="s">
        <v>5958</v>
      </c>
      <c r="AI663" t="s">
        <v>9</v>
      </c>
      <c r="AJ663" t="s">
        <v>3</v>
      </c>
      <c r="AK663" t="s">
        <v>5957</v>
      </c>
      <c r="AL663" t="s">
        <v>5956</v>
      </c>
    </row>
    <row r="664" spans="5:44" x14ac:dyDescent="0.25">
      <c r="I664" t="str">
        <f t="shared" si="55"/>
        <v>samsho</v>
      </c>
      <c r="J664" t="str">
        <f t="shared" si="56"/>
        <v/>
      </c>
      <c r="L664" t="str">
        <f t="shared" si="54"/>
        <v>NGM-045</v>
      </c>
      <c r="M664" t="str">
        <f t="shared" si="54"/>
        <v>19930707</v>
      </c>
      <c r="N664" t="str">
        <f t="shared" si="54"/>
        <v>サムライスピリッツ</v>
      </c>
      <c r="O664" t="str">
        <f t="shared" si="54"/>
        <v/>
      </c>
      <c r="P664" t="str">
        <f t="shared" si="54"/>
        <v/>
      </c>
      <c r="T664" t="str">
        <f t="shared" si="57"/>
        <v/>
      </c>
      <c r="V664" t="str">
        <f t="shared" si="58"/>
        <v>MVS</v>
      </c>
      <c r="W664" t="str">
        <f t="shared" si="58"/>
        <v>MVS,AES</v>
      </c>
      <c r="AH664" t="s">
        <v>5955</v>
      </c>
      <c r="AI664" t="s">
        <v>3</v>
      </c>
      <c r="AJ664" t="s">
        <v>3</v>
      </c>
      <c r="AK664" t="s">
        <v>5954</v>
      </c>
      <c r="AL664" t="s">
        <v>5953</v>
      </c>
    </row>
    <row r="665" spans="5:44" x14ac:dyDescent="0.25">
      <c r="I665" t="str">
        <f t="shared" si="55"/>
        <v>samsho</v>
      </c>
      <c r="J665" t="str">
        <f t="shared" si="56"/>
        <v/>
      </c>
      <c r="L665" t="str">
        <f t="shared" si="54"/>
        <v>NGM-045</v>
      </c>
      <c r="M665" t="str">
        <f t="shared" si="54"/>
        <v>19930707</v>
      </c>
      <c r="N665" t="str">
        <f t="shared" si="54"/>
        <v>サムライスピリッツ</v>
      </c>
      <c r="O665" t="str">
        <f t="shared" si="54"/>
        <v/>
      </c>
      <c r="P665" t="str">
        <f t="shared" si="54"/>
        <v/>
      </c>
      <c r="T665" t="str">
        <f t="shared" si="57"/>
        <v/>
      </c>
      <c r="V665" t="str">
        <f t="shared" si="58"/>
        <v>MVS</v>
      </c>
      <c r="W665" t="str">
        <f t="shared" si="58"/>
        <v>MVS,AES</v>
      </c>
      <c r="AB665" t="s">
        <v>12</v>
      </c>
      <c r="AE665" t="s">
        <v>1083</v>
      </c>
      <c r="AG665" t="s">
        <v>6</v>
      </c>
      <c r="AH665" t="s">
        <v>5952</v>
      </c>
      <c r="AI665" t="s">
        <v>9</v>
      </c>
      <c r="AJ665" t="s">
        <v>3</v>
      </c>
      <c r="AK665" t="s">
        <v>5951</v>
      </c>
      <c r="AL665" t="s">
        <v>5950</v>
      </c>
    </row>
    <row r="666" spans="5:44" x14ac:dyDescent="0.25">
      <c r="I666" t="str">
        <f t="shared" si="55"/>
        <v>samsho</v>
      </c>
      <c r="J666" t="str">
        <f t="shared" si="56"/>
        <v/>
      </c>
      <c r="L666" t="str">
        <f t="shared" si="54"/>
        <v>NGM-045</v>
      </c>
      <c r="M666" t="str">
        <f t="shared" si="54"/>
        <v>19930707</v>
      </c>
      <c r="N666" t="str">
        <f t="shared" si="54"/>
        <v>サムライスピリッツ</v>
      </c>
      <c r="O666" t="str">
        <f t="shared" si="54"/>
        <v/>
      </c>
      <c r="P666" t="str">
        <f t="shared" si="54"/>
        <v/>
      </c>
      <c r="T666" t="str">
        <f t="shared" si="57"/>
        <v/>
      </c>
      <c r="V666" t="str">
        <f t="shared" si="58"/>
        <v>MVS</v>
      </c>
      <c r="W666" t="str">
        <f t="shared" si="58"/>
        <v>MVS,AES</v>
      </c>
      <c r="AG666" t="s">
        <v>6</v>
      </c>
      <c r="AH666" t="s">
        <v>5949</v>
      </c>
      <c r="AI666" t="s">
        <v>4</v>
      </c>
      <c r="AJ666" t="s">
        <v>3</v>
      </c>
      <c r="AK666" t="s">
        <v>5948</v>
      </c>
      <c r="AL666" t="s">
        <v>5947</v>
      </c>
    </row>
    <row r="667" spans="5:44" x14ac:dyDescent="0.25">
      <c r="I667" t="str">
        <f t="shared" si="55"/>
        <v>samsho</v>
      </c>
      <c r="J667" t="str">
        <f t="shared" si="56"/>
        <v/>
      </c>
      <c r="L667" t="str">
        <f t="shared" si="54"/>
        <v>NGM-045</v>
      </c>
      <c r="M667" t="str">
        <f t="shared" si="54"/>
        <v>19930707</v>
      </c>
      <c r="N667" t="str">
        <f t="shared" si="54"/>
        <v>サムライスピリッツ</v>
      </c>
      <c r="O667" t="str">
        <f t="shared" si="54"/>
        <v/>
      </c>
      <c r="P667" t="str">
        <f t="shared" si="54"/>
        <v/>
      </c>
      <c r="T667" t="str">
        <f t="shared" si="57"/>
        <v/>
      </c>
      <c r="V667" t="str">
        <f t="shared" si="58"/>
        <v>MVS</v>
      </c>
      <c r="W667" t="str">
        <f t="shared" si="58"/>
        <v>MVS,AES</v>
      </c>
      <c r="AG667" t="s">
        <v>6</v>
      </c>
      <c r="AH667" t="s">
        <v>5946</v>
      </c>
      <c r="AI667" t="s">
        <v>11</v>
      </c>
      <c r="AJ667" t="s">
        <v>3</v>
      </c>
      <c r="AK667" t="s">
        <v>5945</v>
      </c>
      <c r="AL667" t="s">
        <v>5944</v>
      </c>
    </row>
    <row r="668" spans="5:44" x14ac:dyDescent="0.25">
      <c r="I668" t="str">
        <f t="shared" si="55"/>
        <v>samsho</v>
      </c>
      <c r="J668" t="str">
        <f t="shared" si="56"/>
        <v/>
      </c>
      <c r="L668" t="str">
        <f t="shared" si="54"/>
        <v>NGM-045</v>
      </c>
      <c r="M668" t="str">
        <f t="shared" si="54"/>
        <v>19930707</v>
      </c>
      <c r="N668" t="str">
        <f t="shared" si="54"/>
        <v>サムライスピリッツ</v>
      </c>
      <c r="O668" t="str">
        <f t="shared" si="54"/>
        <v/>
      </c>
      <c r="P668" t="str">
        <f t="shared" si="54"/>
        <v/>
      </c>
      <c r="T668" t="str">
        <f t="shared" si="57"/>
        <v/>
      </c>
      <c r="V668" t="str">
        <f t="shared" si="58"/>
        <v>MVS</v>
      </c>
      <c r="W668" t="str">
        <f t="shared" si="58"/>
        <v>MVS,AES</v>
      </c>
      <c r="AG668" t="s">
        <v>6</v>
      </c>
      <c r="AH668" t="s">
        <v>5943</v>
      </c>
      <c r="AI668" t="s">
        <v>932</v>
      </c>
      <c r="AJ668" t="s">
        <v>3</v>
      </c>
      <c r="AK668" t="s">
        <v>5942</v>
      </c>
      <c r="AL668" t="s">
        <v>5941</v>
      </c>
    </row>
    <row r="669" spans="5:44" x14ac:dyDescent="0.25">
      <c r="I669" t="str">
        <f t="shared" si="55"/>
        <v>samsho</v>
      </c>
      <c r="J669" t="str">
        <f t="shared" si="56"/>
        <v/>
      </c>
      <c r="L669" t="str">
        <f t="shared" si="54"/>
        <v>NGM-045</v>
      </c>
      <c r="M669" t="str">
        <f t="shared" si="54"/>
        <v>19930707</v>
      </c>
      <c r="N669" t="str">
        <f t="shared" si="54"/>
        <v>サムライスピリッツ</v>
      </c>
      <c r="O669" t="str">
        <f t="shared" si="54"/>
        <v/>
      </c>
      <c r="P669" t="str">
        <f t="shared" si="54"/>
        <v/>
      </c>
      <c r="T669" t="str">
        <f t="shared" si="57"/>
        <v/>
      </c>
      <c r="V669" t="str">
        <f t="shared" si="58"/>
        <v>MVS</v>
      </c>
      <c r="W669" t="str">
        <f t="shared" si="58"/>
        <v>MVS,AES</v>
      </c>
      <c r="AG669" t="s">
        <v>6</v>
      </c>
      <c r="AH669" t="s">
        <v>5982</v>
      </c>
      <c r="AI669" t="s">
        <v>57</v>
      </c>
      <c r="AJ669" t="s">
        <v>15</v>
      </c>
      <c r="AK669" t="s">
        <v>5981</v>
      </c>
      <c r="AL669" t="s">
        <v>5980</v>
      </c>
    </row>
    <row r="670" spans="5:44" x14ac:dyDescent="0.25">
      <c r="I670" t="str">
        <f t="shared" si="55"/>
        <v>samsho</v>
      </c>
      <c r="J670" t="str">
        <f t="shared" si="56"/>
        <v/>
      </c>
      <c r="L670" t="str">
        <f t="shared" si="54"/>
        <v>NGM-045</v>
      </c>
      <c r="M670" t="str">
        <f t="shared" si="54"/>
        <v>19930707</v>
      </c>
      <c r="N670" t="str">
        <f t="shared" si="54"/>
        <v>サムライスピリッツ</v>
      </c>
      <c r="O670" t="str">
        <f t="shared" si="54"/>
        <v/>
      </c>
      <c r="P670" t="str">
        <f t="shared" si="54"/>
        <v/>
      </c>
      <c r="T670" t="str">
        <f t="shared" si="57"/>
        <v/>
      </c>
      <c r="V670" t="str">
        <f t="shared" si="58"/>
        <v>MVS</v>
      </c>
      <c r="W670" t="str">
        <f t="shared" si="58"/>
        <v>MVS,AES</v>
      </c>
      <c r="AG670" t="s">
        <v>6</v>
      </c>
      <c r="AH670" t="s">
        <v>5979</v>
      </c>
      <c r="AI670" t="s">
        <v>53</v>
      </c>
      <c r="AJ670" t="s">
        <v>15</v>
      </c>
      <c r="AK670" t="s">
        <v>5978</v>
      </c>
      <c r="AL670" t="s">
        <v>5977</v>
      </c>
    </row>
    <row r="671" spans="5:44" x14ac:dyDescent="0.25">
      <c r="E671" t="s">
        <v>5976</v>
      </c>
      <c r="F671" t="s">
        <v>5975</v>
      </c>
      <c r="G671" t="s">
        <v>5315</v>
      </c>
      <c r="H671" t="s">
        <v>1912</v>
      </c>
      <c r="I671" t="str">
        <f t="shared" si="55"/>
        <v>samshoh</v>
      </c>
      <c r="J671" t="str">
        <f t="shared" si="56"/>
        <v>samshohserial</v>
      </c>
      <c r="K671" t="s">
        <v>1373</v>
      </c>
      <c r="L671" t="str">
        <f t="shared" si="54"/>
        <v>NGH-045</v>
      </c>
      <c r="M671" t="str">
        <f t="shared" si="54"/>
        <v>19930811</v>
      </c>
      <c r="N671" t="str">
        <f t="shared" si="54"/>
        <v>サムライスピリッツ</v>
      </c>
      <c r="O671" t="str">
        <f t="shared" si="54"/>
        <v/>
      </c>
      <c r="P671" t="str">
        <f t="shared" si="54"/>
        <v/>
      </c>
      <c r="Q671" t="s">
        <v>5974</v>
      </c>
      <c r="S671" t="s">
        <v>46</v>
      </c>
      <c r="T671" t="str">
        <f t="shared" si="57"/>
        <v>samshohrelease</v>
      </c>
      <c r="U671" t="s">
        <v>35</v>
      </c>
      <c r="V671" t="str">
        <f t="shared" si="58"/>
        <v>AES</v>
      </c>
      <c r="W671" t="str">
        <f t="shared" si="58"/>
        <v>MVS,AES</v>
      </c>
      <c r="Y671" t="s">
        <v>45</v>
      </c>
      <c r="Z671" t="s">
        <v>44</v>
      </c>
      <c r="AB671" t="s">
        <v>43</v>
      </c>
      <c r="AC671" t="s">
        <v>42</v>
      </c>
      <c r="AD671" t="s">
        <v>41</v>
      </c>
      <c r="AE671" t="s">
        <v>4502</v>
      </c>
      <c r="AG671" t="s">
        <v>40</v>
      </c>
      <c r="AH671" t="s">
        <v>5973</v>
      </c>
      <c r="AI671" t="s">
        <v>9</v>
      </c>
      <c r="AJ671" t="s">
        <v>15</v>
      </c>
      <c r="AK671" t="s">
        <v>5972</v>
      </c>
      <c r="AL671" t="s">
        <v>5971</v>
      </c>
      <c r="AR671" t="s">
        <v>5970</v>
      </c>
    </row>
    <row r="672" spans="5:44" x14ac:dyDescent="0.25">
      <c r="I672" t="str">
        <f t="shared" si="55"/>
        <v>samshoh</v>
      </c>
      <c r="J672" t="str">
        <f t="shared" si="56"/>
        <v>samshohrelease</v>
      </c>
      <c r="K672" t="s">
        <v>46</v>
      </c>
      <c r="L672" t="str">
        <f t="shared" si="54"/>
        <v>NGH-045</v>
      </c>
      <c r="M672" t="str">
        <f t="shared" si="54"/>
        <v>19930811</v>
      </c>
      <c r="N672" t="str">
        <f t="shared" si="54"/>
        <v>サムライスピリッツ</v>
      </c>
      <c r="O672" t="str">
        <f t="shared" si="54"/>
        <v/>
      </c>
      <c r="P672" t="str">
        <f t="shared" si="54"/>
        <v/>
      </c>
      <c r="Q672" t="s">
        <v>5969</v>
      </c>
      <c r="T672" t="str">
        <f t="shared" si="57"/>
        <v/>
      </c>
      <c r="V672" t="str">
        <f t="shared" si="58"/>
        <v>AES</v>
      </c>
      <c r="W672" t="str">
        <f t="shared" si="58"/>
        <v>MVS,AES</v>
      </c>
      <c r="AG672" t="s">
        <v>40</v>
      </c>
      <c r="AH672" t="s">
        <v>5968</v>
      </c>
      <c r="AI672" t="s">
        <v>15</v>
      </c>
      <c r="AJ672" t="s">
        <v>92</v>
      </c>
      <c r="AK672" t="s">
        <v>5967</v>
      </c>
      <c r="AL672" t="s">
        <v>5966</v>
      </c>
    </row>
    <row r="673" spans="5:38" x14ac:dyDescent="0.25">
      <c r="I673" t="str">
        <f t="shared" si="55"/>
        <v>samshoh</v>
      </c>
      <c r="J673" t="str">
        <f t="shared" si="56"/>
        <v>samshohalt_title</v>
      </c>
      <c r="K673" t="s">
        <v>1218</v>
      </c>
      <c r="L673" t="str">
        <f t="shared" si="54"/>
        <v>NGH-045</v>
      </c>
      <c r="M673" t="str">
        <f t="shared" si="54"/>
        <v>19930811</v>
      </c>
      <c r="N673" t="str">
        <f t="shared" si="54"/>
        <v>サムライスピリッツ</v>
      </c>
      <c r="O673" t="str">
        <f t="shared" si="54"/>
        <v/>
      </c>
      <c r="P673" t="str">
        <f t="shared" si="54"/>
        <v/>
      </c>
      <c r="Q673" t="s">
        <v>5965</v>
      </c>
      <c r="T673" t="str">
        <f t="shared" si="57"/>
        <v/>
      </c>
      <c r="V673" t="str">
        <f t="shared" si="58"/>
        <v>AES</v>
      </c>
      <c r="W673" t="str">
        <f t="shared" si="58"/>
        <v>MVS,AES</v>
      </c>
      <c r="AB673" t="s">
        <v>34</v>
      </c>
      <c r="AE673" t="s">
        <v>33</v>
      </c>
      <c r="AH673" t="s">
        <v>5964</v>
      </c>
      <c r="AI673" t="s">
        <v>9</v>
      </c>
      <c r="AJ673" t="s">
        <v>27</v>
      </c>
      <c r="AK673" t="s">
        <v>5963</v>
      </c>
      <c r="AL673" t="s">
        <v>5962</v>
      </c>
    </row>
    <row r="674" spans="5:38" x14ac:dyDescent="0.25">
      <c r="I674" t="str">
        <f t="shared" si="55"/>
        <v>samshoh</v>
      </c>
      <c r="J674" t="str">
        <f t="shared" si="56"/>
        <v/>
      </c>
      <c r="L674" t="str">
        <f t="shared" si="54"/>
        <v>NGH-045</v>
      </c>
      <c r="M674" t="str">
        <f t="shared" si="54"/>
        <v>19930811</v>
      </c>
      <c r="N674" t="str">
        <f t="shared" si="54"/>
        <v>サムライスピリッツ</v>
      </c>
      <c r="O674" t="str">
        <f t="shared" si="54"/>
        <v/>
      </c>
      <c r="P674" t="str">
        <f t="shared" si="54"/>
        <v/>
      </c>
      <c r="S674" t="s">
        <v>36</v>
      </c>
      <c r="T674" t="str">
        <f t="shared" si="57"/>
        <v>samshohcompatibility</v>
      </c>
      <c r="U674" t="s">
        <v>218</v>
      </c>
      <c r="V674" t="str">
        <f t="shared" si="58"/>
        <v>AES</v>
      </c>
      <c r="W674" t="str">
        <f t="shared" si="58"/>
        <v>MVS,AES</v>
      </c>
      <c r="AB674" t="s">
        <v>29</v>
      </c>
      <c r="AE674" t="s">
        <v>27</v>
      </c>
      <c r="AH674" t="s">
        <v>5961</v>
      </c>
      <c r="AI674" t="s">
        <v>9</v>
      </c>
      <c r="AJ674" t="s">
        <v>27</v>
      </c>
      <c r="AK674" t="s">
        <v>5960</v>
      </c>
      <c r="AL674" t="s">
        <v>5959</v>
      </c>
    </row>
    <row r="675" spans="5:38" x14ac:dyDescent="0.25">
      <c r="I675" t="str">
        <f t="shared" si="55"/>
        <v>samshoh</v>
      </c>
      <c r="J675" t="str">
        <f t="shared" si="56"/>
        <v/>
      </c>
      <c r="L675" t="str">
        <f t="shared" si="54"/>
        <v>NGH-045</v>
      </c>
      <c r="M675" t="str">
        <f t="shared" si="54"/>
        <v>19930811</v>
      </c>
      <c r="N675" t="str">
        <f t="shared" si="54"/>
        <v>サムライスピリッツ</v>
      </c>
      <c r="O675" t="str">
        <f t="shared" si="54"/>
        <v/>
      </c>
      <c r="P675" t="str">
        <f t="shared" si="54"/>
        <v/>
      </c>
      <c r="T675" t="str">
        <f t="shared" si="57"/>
        <v/>
      </c>
      <c r="V675" t="str">
        <f t="shared" si="58"/>
        <v>AES</v>
      </c>
      <c r="W675" t="str">
        <f t="shared" si="58"/>
        <v>MVS,AES</v>
      </c>
      <c r="AB675" t="s">
        <v>24</v>
      </c>
      <c r="AE675" t="s">
        <v>11</v>
      </c>
      <c r="AH675" t="s">
        <v>5958</v>
      </c>
      <c r="AI675" t="s">
        <v>9</v>
      </c>
      <c r="AJ675" t="s">
        <v>3</v>
      </c>
      <c r="AK675" t="s">
        <v>5957</v>
      </c>
      <c r="AL675" t="s">
        <v>5956</v>
      </c>
    </row>
    <row r="676" spans="5:38" x14ac:dyDescent="0.25">
      <c r="I676" t="str">
        <f t="shared" si="55"/>
        <v>samshoh</v>
      </c>
      <c r="J676" t="str">
        <f t="shared" si="56"/>
        <v/>
      </c>
      <c r="L676" t="str">
        <f t="shared" si="54"/>
        <v>NGH-045</v>
      </c>
      <c r="M676" t="str">
        <f t="shared" si="54"/>
        <v>19930811</v>
      </c>
      <c r="N676" t="str">
        <f t="shared" si="54"/>
        <v>サムライスピリッツ</v>
      </c>
      <c r="O676" t="str">
        <f t="shared" si="54"/>
        <v/>
      </c>
      <c r="P676" t="str">
        <f t="shared" si="54"/>
        <v/>
      </c>
      <c r="T676" t="str">
        <f t="shared" si="57"/>
        <v/>
      </c>
      <c r="V676" t="str">
        <f t="shared" si="58"/>
        <v>AES</v>
      </c>
      <c r="W676" t="str">
        <f t="shared" si="58"/>
        <v>MVS,AES</v>
      </c>
      <c r="AH676" t="s">
        <v>5955</v>
      </c>
      <c r="AI676" t="s">
        <v>3</v>
      </c>
      <c r="AJ676" t="s">
        <v>3</v>
      </c>
      <c r="AK676" t="s">
        <v>5954</v>
      </c>
      <c r="AL676" t="s">
        <v>5953</v>
      </c>
    </row>
    <row r="677" spans="5:38" x14ac:dyDescent="0.25">
      <c r="I677" t="str">
        <f t="shared" si="55"/>
        <v>samshoh</v>
      </c>
      <c r="J677" t="str">
        <f t="shared" si="56"/>
        <v/>
      </c>
      <c r="L677" t="str">
        <f t="shared" si="54"/>
        <v>NGH-045</v>
      </c>
      <c r="M677" t="str">
        <f t="shared" si="54"/>
        <v>19930811</v>
      </c>
      <c r="N677" t="str">
        <f t="shared" si="54"/>
        <v>サムライスピリッツ</v>
      </c>
      <c r="O677" t="str">
        <f t="shared" si="54"/>
        <v/>
      </c>
      <c r="P677" t="str">
        <f t="shared" si="54"/>
        <v/>
      </c>
      <c r="T677" t="str">
        <f t="shared" si="57"/>
        <v/>
      </c>
      <c r="V677" t="str">
        <f t="shared" si="58"/>
        <v>AES</v>
      </c>
      <c r="W677" t="str">
        <f t="shared" si="58"/>
        <v>MVS,AES</v>
      </c>
      <c r="AB677" t="s">
        <v>12</v>
      </c>
      <c r="AE677" t="s">
        <v>704</v>
      </c>
      <c r="AG677" t="s">
        <v>6</v>
      </c>
      <c r="AH677" t="s">
        <v>5952</v>
      </c>
      <c r="AI677" t="s">
        <v>9</v>
      </c>
      <c r="AJ677" t="s">
        <v>3</v>
      </c>
      <c r="AK677" t="s">
        <v>5951</v>
      </c>
      <c r="AL677" t="s">
        <v>5950</v>
      </c>
    </row>
    <row r="678" spans="5:38" x14ac:dyDescent="0.25">
      <c r="I678" t="str">
        <f t="shared" si="55"/>
        <v>samshoh</v>
      </c>
      <c r="J678" t="str">
        <f t="shared" si="56"/>
        <v/>
      </c>
      <c r="L678" t="str">
        <f t="shared" ref="L678:P728" si="59">IFERROR(VLOOKUP($I678&amp;L$1,$J:$Q,8,0),"")</f>
        <v>NGH-045</v>
      </c>
      <c r="M678" t="str">
        <f t="shared" si="59"/>
        <v>19930811</v>
      </c>
      <c r="N678" t="str">
        <f t="shared" si="59"/>
        <v>サムライスピリッツ</v>
      </c>
      <c r="O678" t="str">
        <f t="shared" si="59"/>
        <v/>
      </c>
      <c r="P678" t="str">
        <f t="shared" si="59"/>
        <v/>
      </c>
      <c r="T678" t="str">
        <f t="shared" si="57"/>
        <v/>
      </c>
      <c r="V678" t="str">
        <f t="shared" si="58"/>
        <v>AES</v>
      </c>
      <c r="W678" t="str">
        <f t="shared" si="58"/>
        <v>MVS,AES</v>
      </c>
      <c r="AG678" t="s">
        <v>6</v>
      </c>
      <c r="AH678" t="s">
        <v>5949</v>
      </c>
      <c r="AI678" t="s">
        <v>4</v>
      </c>
      <c r="AJ678" t="s">
        <v>3</v>
      </c>
      <c r="AK678" t="s">
        <v>5948</v>
      </c>
      <c r="AL678" t="s">
        <v>5947</v>
      </c>
    </row>
    <row r="679" spans="5:38" x14ac:dyDescent="0.25">
      <c r="I679" t="str">
        <f t="shared" si="55"/>
        <v>samshoh</v>
      </c>
      <c r="J679" t="str">
        <f t="shared" si="56"/>
        <v/>
      </c>
      <c r="L679" t="str">
        <f t="shared" si="59"/>
        <v>NGH-045</v>
      </c>
      <c r="M679" t="str">
        <f t="shared" si="59"/>
        <v>19930811</v>
      </c>
      <c r="N679" t="str">
        <f t="shared" si="59"/>
        <v>サムライスピリッツ</v>
      </c>
      <c r="O679" t="str">
        <f t="shared" si="59"/>
        <v/>
      </c>
      <c r="P679" t="str">
        <f t="shared" si="59"/>
        <v/>
      </c>
      <c r="T679" t="str">
        <f t="shared" si="57"/>
        <v/>
      </c>
      <c r="V679" t="str">
        <f t="shared" si="58"/>
        <v>AES</v>
      </c>
      <c r="W679" t="str">
        <f t="shared" si="58"/>
        <v>MVS,AES</v>
      </c>
      <c r="AG679" t="s">
        <v>6</v>
      </c>
      <c r="AH679" t="s">
        <v>5946</v>
      </c>
      <c r="AI679" t="s">
        <v>11</v>
      </c>
      <c r="AJ679" t="s">
        <v>3</v>
      </c>
      <c r="AK679" t="s">
        <v>5945</v>
      </c>
      <c r="AL679" t="s">
        <v>5944</v>
      </c>
    </row>
    <row r="680" spans="5:38" x14ac:dyDescent="0.25">
      <c r="I680" t="str">
        <f t="shared" si="55"/>
        <v>samshoh</v>
      </c>
      <c r="J680" t="str">
        <f t="shared" si="56"/>
        <v/>
      </c>
      <c r="L680" t="str">
        <f t="shared" si="59"/>
        <v>NGH-045</v>
      </c>
      <c r="M680" t="str">
        <f t="shared" si="59"/>
        <v>19930811</v>
      </c>
      <c r="N680" t="str">
        <f t="shared" si="59"/>
        <v>サムライスピリッツ</v>
      </c>
      <c r="O680" t="str">
        <f t="shared" si="59"/>
        <v/>
      </c>
      <c r="P680" t="str">
        <f t="shared" si="59"/>
        <v/>
      </c>
      <c r="T680" t="str">
        <f t="shared" si="57"/>
        <v/>
      </c>
      <c r="V680" t="str">
        <f t="shared" si="58"/>
        <v>AES</v>
      </c>
      <c r="W680" t="str">
        <f t="shared" si="58"/>
        <v>MVS,AES</v>
      </c>
      <c r="AG680" t="s">
        <v>6</v>
      </c>
      <c r="AH680" t="s">
        <v>5943</v>
      </c>
      <c r="AI680" t="s">
        <v>932</v>
      </c>
      <c r="AJ680" t="s">
        <v>3</v>
      </c>
      <c r="AK680" t="s">
        <v>5942</v>
      </c>
      <c r="AL680" t="s">
        <v>5941</v>
      </c>
    </row>
    <row r="681" spans="5:38" x14ac:dyDescent="0.25">
      <c r="I681" t="str">
        <f t="shared" si="55"/>
        <v>samshoh</v>
      </c>
      <c r="J681" t="str">
        <f t="shared" si="56"/>
        <v/>
      </c>
      <c r="L681" t="str">
        <f t="shared" si="59"/>
        <v>NGH-045</v>
      </c>
      <c r="M681" t="str">
        <f t="shared" si="59"/>
        <v>19930811</v>
      </c>
      <c r="N681" t="str">
        <f t="shared" si="59"/>
        <v>サムライスピリッツ</v>
      </c>
      <c r="O681" t="str">
        <f t="shared" si="59"/>
        <v/>
      </c>
      <c r="P681" t="str">
        <f t="shared" si="59"/>
        <v/>
      </c>
      <c r="T681" t="str">
        <f t="shared" si="57"/>
        <v/>
      </c>
      <c r="V681" t="str">
        <f t="shared" si="58"/>
        <v>AES</v>
      </c>
      <c r="W681" t="str">
        <f t="shared" si="58"/>
        <v>MVS,AES</v>
      </c>
      <c r="AG681" t="s">
        <v>6</v>
      </c>
      <c r="AH681" t="s">
        <v>5940</v>
      </c>
      <c r="AI681" t="s">
        <v>57</v>
      </c>
      <c r="AJ681" t="s">
        <v>92</v>
      </c>
      <c r="AK681" t="s">
        <v>5939</v>
      </c>
      <c r="AL681" t="s">
        <v>5938</v>
      </c>
    </row>
    <row r="682" spans="5:38" x14ac:dyDescent="0.25">
      <c r="I682" t="str">
        <f t="shared" si="55"/>
        <v>samshoh</v>
      </c>
      <c r="J682" t="str">
        <f t="shared" si="56"/>
        <v/>
      </c>
      <c r="L682" t="str">
        <f t="shared" si="59"/>
        <v>NGH-045</v>
      </c>
      <c r="M682" t="str">
        <f t="shared" si="59"/>
        <v>19930811</v>
      </c>
      <c r="N682" t="str">
        <f t="shared" si="59"/>
        <v>サムライスピリッツ</v>
      </c>
      <c r="O682" t="str">
        <f t="shared" si="59"/>
        <v/>
      </c>
      <c r="P682" t="str">
        <f t="shared" si="59"/>
        <v/>
      </c>
      <c r="T682" t="str">
        <f t="shared" si="57"/>
        <v/>
      </c>
      <c r="V682" t="str">
        <f t="shared" si="58"/>
        <v>AES</v>
      </c>
      <c r="W682" t="str">
        <f t="shared" si="58"/>
        <v>MVS,AES</v>
      </c>
      <c r="AG682" t="s">
        <v>6</v>
      </c>
      <c r="AH682" t="s">
        <v>5937</v>
      </c>
      <c r="AI682" t="s">
        <v>53</v>
      </c>
      <c r="AJ682" t="s">
        <v>92</v>
      </c>
      <c r="AK682" t="s">
        <v>5936</v>
      </c>
      <c r="AL682" t="s">
        <v>5935</v>
      </c>
    </row>
    <row r="683" spans="5:38" x14ac:dyDescent="0.25">
      <c r="E683" t="s">
        <v>5919</v>
      </c>
      <c r="F683" t="s">
        <v>5934</v>
      </c>
      <c r="G683" t="s">
        <v>393</v>
      </c>
      <c r="H683" t="s">
        <v>1912</v>
      </c>
      <c r="I683" t="str">
        <f t="shared" si="55"/>
        <v>tophuntr</v>
      </c>
      <c r="J683" t="str">
        <f t="shared" si="56"/>
        <v>tophuntrserial</v>
      </c>
      <c r="K683" t="s">
        <v>1373</v>
      </c>
      <c r="L683" t="str">
        <f t="shared" si="59"/>
        <v>NGM-046</v>
      </c>
      <c r="M683" t="str">
        <f t="shared" si="59"/>
        <v>19940518</v>
      </c>
      <c r="N683" t="str">
        <f t="shared" si="59"/>
        <v>トップハンター</v>
      </c>
      <c r="O683" t="str">
        <f t="shared" si="59"/>
        <v/>
      </c>
      <c r="P683" t="str">
        <f t="shared" si="59"/>
        <v/>
      </c>
      <c r="Q683" t="s">
        <v>5933</v>
      </c>
      <c r="S683" t="s">
        <v>46</v>
      </c>
      <c r="T683" t="str">
        <f t="shared" si="57"/>
        <v>tophuntrrelease</v>
      </c>
      <c r="U683" t="s">
        <v>106</v>
      </c>
      <c r="V683" t="str">
        <f t="shared" si="58"/>
        <v>MVS</v>
      </c>
      <c r="W683" t="str">
        <f t="shared" si="58"/>
        <v>MVS,AES</v>
      </c>
      <c r="Y683" t="s">
        <v>45</v>
      </c>
      <c r="Z683" t="s">
        <v>44</v>
      </c>
      <c r="AB683" t="s">
        <v>43</v>
      </c>
      <c r="AC683" t="s">
        <v>42</v>
      </c>
      <c r="AD683" t="s">
        <v>41</v>
      </c>
      <c r="AE683" t="s">
        <v>3</v>
      </c>
      <c r="AG683" t="s">
        <v>40</v>
      </c>
      <c r="AH683" t="s">
        <v>5932</v>
      </c>
      <c r="AI683" t="s">
        <v>9</v>
      </c>
      <c r="AJ683" t="s">
        <v>15</v>
      </c>
      <c r="AK683" t="s">
        <v>5931</v>
      </c>
      <c r="AL683" t="s">
        <v>5930</v>
      </c>
    </row>
    <row r="684" spans="5:38" x14ac:dyDescent="0.25">
      <c r="I684" t="str">
        <f t="shared" si="55"/>
        <v>tophuntr</v>
      </c>
      <c r="J684" t="str">
        <f t="shared" si="56"/>
        <v>tophuntrrelease</v>
      </c>
      <c r="K684" t="s">
        <v>46</v>
      </c>
      <c r="L684" t="str">
        <f t="shared" si="59"/>
        <v>NGM-046</v>
      </c>
      <c r="M684" t="str">
        <f t="shared" si="59"/>
        <v>19940518</v>
      </c>
      <c r="N684" t="str">
        <f t="shared" si="59"/>
        <v>トップハンター</v>
      </c>
      <c r="O684" t="str">
        <f t="shared" si="59"/>
        <v/>
      </c>
      <c r="P684" t="str">
        <f t="shared" si="59"/>
        <v/>
      </c>
      <c r="Q684" t="s">
        <v>5929</v>
      </c>
      <c r="T684" t="str">
        <f t="shared" si="57"/>
        <v/>
      </c>
      <c r="V684" t="str">
        <f t="shared" si="58"/>
        <v>MVS</v>
      </c>
      <c r="W684" t="str">
        <f t="shared" si="58"/>
        <v>MVS,AES</v>
      </c>
      <c r="AG684" t="s">
        <v>40</v>
      </c>
      <c r="AH684" t="s">
        <v>5917</v>
      </c>
      <c r="AI684" t="s">
        <v>15</v>
      </c>
      <c r="AJ684" t="s">
        <v>15</v>
      </c>
      <c r="AK684" t="s">
        <v>5916</v>
      </c>
      <c r="AL684" t="s">
        <v>5915</v>
      </c>
    </row>
    <row r="685" spans="5:38" x14ac:dyDescent="0.25">
      <c r="I685" t="str">
        <f t="shared" si="55"/>
        <v>tophuntr</v>
      </c>
      <c r="J685" t="str">
        <f t="shared" si="56"/>
        <v>tophuntralt_title</v>
      </c>
      <c r="K685" t="s">
        <v>1218</v>
      </c>
      <c r="L685" t="str">
        <f t="shared" si="59"/>
        <v>NGM-046</v>
      </c>
      <c r="M685" t="str">
        <f t="shared" si="59"/>
        <v>19940518</v>
      </c>
      <c r="N685" t="str">
        <f t="shared" si="59"/>
        <v>トップハンター</v>
      </c>
      <c r="O685" t="str">
        <f t="shared" si="59"/>
        <v/>
      </c>
      <c r="P685" t="str">
        <f t="shared" si="59"/>
        <v/>
      </c>
      <c r="Q685" t="s">
        <v>5914</v>
      </c>
      <c r="T685" t="str">
        <f t="shared" si="57"/>
        <v/>
      </c>
      <c r="V685" t="str">
        <f t="shared" si="58"/>
        <v>MVS</v>
      </c>
      <c r="W685" t="str">
        <f t="shared" si="58"/>
        <v>MVS,AES</v>
      </c>
      <c r="AB685" t="s">
        <v>34</v>
      </c>
      <c r="AE685" t="s">
        <v>33</v>
      </c>
      <c r="AH685" t="s">
        <v>5928</v>
      </c>
      <c r="AI685" t="s">
        <v>9</v>
      </c>
      <c r="AJ685" t="s">
        <v>27</v>
      </c>
      <c r="AK685" t="s">
        <v>5927</v>
      </c>
      <c r="AL685" t="s">
        <v>5926</v>
      </c>
    </row>
    <row r="686" spans="5:38" x14ac:dyDescent="0.25">
      <c r="I686" t="str">
        <f t="shared" si="55"/>
        <v>tophuntr</v>
      </c>
      <c r="J686" t="str">
        <f t="shared" si="56"/>
        <v/>
      </c>
      <c r="L686" t="str">
        <f t="shared" si="59"/>
        <v>NGM-046</v>
      </c>
      <c r="M686" t="str">
        <f t="shared" si="59"/>
        <v>19940518</v>
      </c>
      <c r="N686" t="str">
        <f t="shared" si="59"/>
        <v>トップハンター</v>
      </c>
      <c r="O686" t="str">
        <f t="shared" si="59"/>
        <v/>
      </c>
      <c r="P686" t="str">
        <f t="shared" si="59"/>
        <v/>
      </c>
      <c r="S686" t="s">
        <v>36</v>
      </c>
      <c r="T686" t="str">
        <f t="shared" si="57"/>
        <v>tophuntrcompatibility</v>
      </c>
      <c r="U686" t="s">
        <v>218</v>
      </c>
      <c r="V686" t="str">
        <f t="shared" si="58"/>
        <v>MVS</v>
      </c>
      <c r="W686" t="str">
        <f t="shared" si="58"/>
        <v>MVS,AES</v>
      </c>
      <c r="AB686" t="s">
        <v>29</v>
      </c>
      <c r="AE686" t="s">
        <v>27</v>
      </c>
      <c r="AH686" t="s">
        <v>5910</v>
      </c>
      <c r="AI686" t="s">
        <v>9</v>
      </c>
      <c r="AJ686" t="s">
        <v>27</v>
      </c>
      <c r="AK686" t="s">
        <v>5909</v>
      </c>
      <c r="AL686" t="s">
        <v>5908</v>
      </c>
    </row>
    <row r="687" spans="5:38" x14ac:dyDescent="0.25">
      <c r="I687" t="str">
        <f t="shared" si="55"/>
        <v>tophuntr</v>
      </c>
      <c r="J687" t="str">
        <f t="shared" si="56"/>
        <v/>
      </c>
      <c r="L687" t="str">
        <f t="shared" si="59"/>
        <v>NGM-046</v>
      </c>
      <c r="M687" t="str">
        <f t="shared" si="59"/>
        <v>19940518</v>
      </c>
      <c r="N687" t="str">
        <f t="shared" si="59"/>
        <v>トップハンター</v>
      </c>
      <c r="O687" t="str">
        <f t="shared" si="59"/>
        <v/>
      </c>
      <c r="P687" t="str">
        <f t="shared" si="59"/>
        <v/>
      </c>
      <c r="T687" t="str">
        <f t="shared" si="57"/>
        <v/>
      </c>
      <c r="V687" t="str">
        <f t="shared" si="58"/>
        <v>MVS</v>
      </c>
      <c r="W687" t="str">
        <f t="shared" si="58"/>
        <v>MVS,AES</v>
      </c>
      <c r="AB687" t="s">
        <v>24</v>
      </c>
      <c r="AE687" t="s">
        <v>11</v>
      </c>
      <c r="AH687" t="s">
        <v>5907</v>
      </c>
      <c r="AI687" t="s">
        <v>9</v>
      </c>
      <c r="AJ687" t="s">
        <v>15</v>
      </c>
      <c r="AK687" t="s">
        <v>5906</v>
      </c>
      <c r="AL687" t="s">
        <v>5905</v>
      </c>
    </row>
    <row r="688" spans="5:38" x14ac:dyDescent="0.25">
      <c r="I688" t="str">
        <f t="shared" si="55"/>
        <v>tophuntr</v>
      </c>
      <c r="J688" t="str">
        <f t="shared" si="56"/>
        <v/>
      </c>
      <c r="L688" t="str">
        <f t="shared" si="59"/>
        <v>NGM-046</v>
      </c>
      <c r="M688" t="str">
        <f t="shared" si="59"/>
        <v>19940518</v>
      </c>
      <c r="N688" t="str">
        <f t="shared" si="59"/>
        <v>トップハンター</v>
      </c>
      <c r="O688" t="str">
        <f t="shared" si="59"/>
        <v/>
      </c>
      <c r="P688" t="str">
        <f t="shared" si="59"/>
        <v/>
      </c>
      <c r="T688" t="str">
        <f t="shared" si="57"/>
        <v/>
      </c>
      <c r="V688" t="str">
        <f t="shared" si="58"/>
        <v>MVS</v>
      </c>
      <c r="W688" t="str">
        <f t="shared" si="58"/>
        <v>MVS,AES</v>
      </c>
      <c r="AH688" t="s">
        <v>5904</v>
      </c>
      <c r="AI688" t="s">
        <v>15</v>
      </c>
      <c r="AJ688" t="s">
        <v>15</v>
      </c>
      <c r="AK688" t="s">
        <v>5903</v>
      </c>
      <c r="AL688" t="s">
        <v>5902</v>
      </c>
    </row>
    <row r="689" spans="5:44" x14ac:dyDescent="0.25">
      <c r="I689" t="str">
        <f t="shared" si="55"/>
        <v>tophuntr</v>
      </c>
      <c r="J689" t="str">
        <f t="shared" si="56"/>
        <v/>
      </c>
      <c r="L689" t="str">
        <f t="shared" si="59"/>
        <v>NGM-046</v>
      </c>
      <c r="M689" t="str">
        <f t="shared" si="59"/>
        <v>19940518</v>
      </c>
      <c r="N689" t="str">
        <f t="shared" si="59"/>
        <v>トップハンター</v>
      </c>
      <c r="O689" t="str">
        <f t="shared" si="59"/>
        <v/>
      </c>
      <c r="P689" t="str">
        <f t="shared" si="59"/>
        <v/>
      </c>
      <c r="T689" t="str">
        <f t="shared" si="57"/>
        <v/>
      </c>
      <c r="V689" t="str">
        <f t="shared" si="58"/>
        <v>MVS</v>
      </c>
      <c r="W689" t="str">
        <f t="shared" si="58"/>
        <v>MVS,AES</v>
      </c>
      <c r="AH689" t="s">
        <v>5901</v>
      </c>
      <c r="AI689" t="s">
        <v>3</v>
      </c>
      <c r="AJ689" t="s">
        <v>15</v>
      </c>
      <c r="AK689" t="s">
        <v>5900</v>
      </c>
      <c r="AL689" t="s">
        <v>5899</v>
      </c>
    </row>
    <row r="690" spans="5:44" x14ac:dyDescent="0.25">
      <c r="I690" t="str">
        <f t="shared" si="55"/>
        <v>tophuntr</v>
      </c>
      <c r="J690" t="str">
        <f t="shared" si="56"/>
        <v/>
      </c>
      <c r="L690" t="str">
        <f t="shared" si="59"/>
        <v>NGM-046</v>
      </c>
      <c r="M690" t="str">
        <f t="shared" si="59"/>
        <v>19940518</v>
      </c>
      <c r="N690" t="str">
        <f t="shared" si="59"/>
        <v>トップハンター</v>
      </c>
      <c r="O690" t="str">
        <f t="shared" si="59"/>
        <v/>
      </c>
      <c r="P690" t="str">
        <f t="shared" si="59"/>
        <v/>
      </c>
      <c r="T690" t="str">
        <f t="shared" si="57"/>
        <v/>
      </c>
      <c r="V690" t="str">
        <f t="shared" si="58"/>
        <v>MVS</v>
      </c>
      <c r="W690" t="str">
        <f t="shared" si="58"/>
        <v>MVS,AES</v>
      </c>
      <c r="AH690" t="s">
        <v>5898</v>
      </c>
      <c r="AI690" t="s">
        <v>377</v>
      </c>
      <c r="AJ690" t="s">
        <v>15</v>
      </c>
      <c r="AK690" t="s">
        <v>5897</v>
      </c>
      <c r="AL690" t="s">
        <v>5896</v>
      </c>
    </row>
    <row r="691" spans="5:44" x14ac:dyDescent="0.25">
      <c r="I691" t="str">
        <f t="shared" si="55"/>
        <v>tophuntr</v>
      </c>
      <c r="J691" t="str">
        <f t="shared" si="56"/>
        <v/>
      </c>
      <c r="L691" t="str">
        <f t="shared" si="59"/>
        <v>NGM-046</v>
      </c>
      <c r="M691" t="str">
        <f t="shared" si="59"/>
        <v>19940518</v>
      </c>
      <c r="N691" t="str">
        <f t="shared" si="59"/>
        <v>トップハンター</v>
      </c>
      <c r="O691" t="str">
        <f t="shared" si="59"/>
        <v/>
      </c>
      <c r="P691" t="str">
        <f t="shared" si="59"/>
        <v/>
      </c>
      <c r="T691" t="str">
        <f t="shared" si="57"/>
        <v/>
      </c>
      <c r="V691" t="str">
        <f t="shared" si="58"/>
        <v>MVS</v>
      </c>
      <c r="W691" t="str">
        <f t="shared" si="58"/>
        <v>MVS,AES</v>
      </c>
      <c r="AB691" t="s">
        <v>12</v>
      </c>
      <c r="AE691" t="s">
        <v>57</v>
      </c>
      <c r="AG691" t="s">
        <v>6</v>
      </c>
      <c r="AH691" t="s">
        <v>5895</v>
      </c>
      <c r="AI691" t="s">
        <v>9</v>
      </c>
      <c r="AJ691" t="s">
        <v>15</v>
      </c>
      <c r="AK691" t="s">
        <v>5894</v>
      </c>
      <c r="AL691" t="s">
        <v>5893</v>
      </c>
    </row>
    <row r="692" spans="5:44" x14ac:dyDescent="0.25">
      <c r="I692" t="str">
        <f t="shared" si="55"/>
        <v>tophuntr</v>
      </c>
      <c r="J692" t="str">
        <f t="shared" si="56"/>
        <v/>
      </c>
      <c r="L692" t="str">
        <f t="shared" si="59"/>
        <v>NGM-046</v>
      </c>
      <c r="M692" t="str">
        <f t="shared" si="59"/>
        <v>19940518</v>
      </c>
      <c r="N692" t="str">
        <f t="shared" si="59"/>
        <v>トップハンター</v>
      </c>
      <c r="O692" t="str">
        <f t="shared" si="59"/>
        <v/>
      </c>
      <c r="P692" t="str">
        <f t="shared" si="59"/>
        <v/>
      </c>
      <c r="T692" t="str">
        <f t="shared" si="57"/>
        <v/>
      </c>
      <c r="V692" t="str">
        <f t="shared" si="58"/>
        <v>MVS</v>
      </c>
      <c r="W692" t="str">
        <f t="shared" si="58"/>
        <v>MVS,AES</v>
      </c>
      <c r="AG692" t="s">
        <v>6</v>
      </c>
      <c r="AH692" t="s">
        <v>5892</v>
      </c>
      <c r="AI692" t="s">
        <v>4</v>
      </c>
      <c r="AJ692" t="s">
        <v>15</v>
      </c>
      <c r="AK692" t="s">
        <v>5891</v>
      </c>
      <c r="AL692" t="s">
        <v>5890</v>
      </c>
    </row>
    <row r="693" spans="5:44" x14ac:dyDescent="0.25">
      <c r="I693" t="str">
        <f t="shared" si="55"/>
        <v>tophuntr</v>
      </c>
      <c r="J693" t="str">
        <f t="shared" si="56"/>
        <v/>
      </c>
      <c r="L693" t="str">
        <f t="shared" si="59"/>
        <v>NGM-046</v>
      </c>
      <c r="M693" t="str">
        <f t="shared" si="59"/>
        <v>19940518</v>
      </c>
      <c r="N693" t="str">
        <f t="shared" si="59"/>
        <v>トップハンター</v>
      </c>
      <c r="O693" t="str">
        <f t="shared" si="59"/>
        <v/>
      </c>
      <c r="P693" t="str">
        <f t="shared" si="59"/>
        <v/>
      </c>
      <c r="T693" t="str">
        <f t="shared" si="57"/>
        <v/>
      </c>
      <c r="V693" t="str">
        <f t="shared" si="58"/>
        <v>MVS</v>
      </c>
      <c r="W693" t="str">
        <f t="shared" si="58"/>
        <v>MVS,AES</v>
      </c>
      <c r="AG693" t="s">
        <v>6</v>
      </c>
      <c r="AH693" t="s">
        <v>5889</v>
      </c>
      <c r="AI693" t="s">
        <v>3</v>
      </c>
      <c r="AJ693" t="s">
        <v>15</v>
      </c>
      <c r="AK693" t="s">
        <v>5888</v>
      </c>
      <c r="AL693" t="s">
        <v>5887</v>
      </c>
    </row>
    <row r="694" spans="5:44" x14ac:dyDescent="0.25">
      <c r="I694" t="str">
        <f t="shared" si="55"/>
        <v>tophuntr</v>
      </c>
      <c r="J694" t="str">
        <f t="shared" si="56"/>
        <v/>
      </c>
      <c r="L694" t="str">
        <f t="shared" si="59"/>
        <v>NGM-046</v>
      </c>
      <c r="M694" t="str">
        <f t="shared" si="59"/>
        <v>19940518</v>
      </c>
      <c r="N694" t="str">
        <f t="shared" si="59"/>
        <v>トップハンター</v>
      </c>
      <c r="O694" t="str">
        <f t="shared" si="59"/>
        <v/>
      </c>
      <c r="P694" t="str">
        <f t="shared" si="59"/>
        <v/>
      </c>
      <c r="T694" t="str">
        <f t="shared" si="57"/>
        <v/>
      </c>
      <c r="V694" t="str">
        <f t="shared" si="58"/>
        <v>MVS</v>
      </c>
      <c r="W694" t="str">
        <f t="shared" si="58"/>
        <v>MVS,AES</v>
      </c>
      <c r="AG694" t="s">
        <v>6</v>
      </c>
      <c r="AH694" t="s">
        <v>5886</v>
      </c>
      <c r="AI694" t="s">
        <v>4371</v>
      </c>
      <c r="AJ694" t="s">
        <v>15</v>
      </c>
      <c r="AK694" t="s">
        <v>5885</v>
      </c>
      <c r="AL694" t="s">
        <v>5884</v>
      </c>
    </row>
    <row r="695" spans="5:44" x14ac:dyDescent="0.25">
      <c r="I695" t="str">
        <f t="shared" si="55"/>
        <v>tophuntr</v>
      </c>
      <c r="J695" t="str">
        <f t="shared" si="56"/>
        <v/>
      </c>
      <c r="L695" t="str">
        <f t="shared" si="59"/>
        <v>NGM-046</v>
      </c>
      <c r="M695" t="str">
        <f t="shared" si="59"/>
        <v>19940518</v>
      </c>
      <c r="N695" t="str">
        <f t="shared" si="59"/>
        <v>トップハンター</v>
      </c>
      <c r="O695" t="str">
        <f t="shared" si="59"/>
        <v/>
      </c>
      <c r="P695" t="str">
        <f t="shared" si="59"/>
        <v/>
      </c>
      <c r="T695" t="str">
        <f t="shared" si="57"/>
        <v/>
      </c>
      <c r="V695" t="str">
        <f t="shared" si="58"/>
        <v>MVS</v>
      </c>
      <c r="W695" t="str">
        <f t="shared" si="58"/>
        <v>MVS,AES</v>
      </c>
      <c r="AG695" t="s">
        <v>6</v>
      </c>
      <c r="AH695" t="s">
        <v>5883</v>
      </c>
      <c r="AI695" t="s">
        <v>11</v>
      </c>
      <c r="AJ695" t="s">
        <v>15</v>
      </c>
      <c r="AK695" t="s">
        <v>5882</v>
      </c>
      <c r="AL695" t="s">
        <v>5881</v>
      </c>
    </row>
    <row r="696" spans="5:44" x14ac:dyDescent="0.25">
      <c r="I696" t="str">
        <f t="shared" si="55"/>
        <v>tophuntr</v>
      </c>
      <c r="J696" t="str">
        <f t="shared" si="56"/>
        <v/>
      </c>
      <c r="L696" t="str">
        <f t="shared" si="59"/>
        <v>NGM-046</v>
      </c>
      <c r="M696" t="str">
        <f t="shared" si="59"/>
        <v>19940518</v>
      </c>
      <c r="N696" t="str">
        <f t="shared" si="59"/>
        <v>トップハンター</v>
      </c>
      <c r="O696" t="str">
        <f t="shared" si="59"/>
        <v/>
      </c>
      <c r="P696" t="str">
        <f t="shared" si="59"/>
        <v/>
      </c>
      <c r="T696" t="str">
        <f t="shared" si="57"/>
        <v/>
      </c>
      <c r="V696" t="str">
        <f t="shared" si="58"/>
        <v>MVS</v>
      </c>
      <c r="W696" t="str">
        <f t="shared" si="58"/>
        <v>MVS,AES</v>
      </c>
      <c r="AG696" t="s">
        <v>6</v>
      </c>
      <c r="AH696" t="s">
        <v>5880</v>
      </c>
      <c r="AI696" t="s">
        <v>932</v>
      </c>
      <c r="AJ696" t="s">
        <v>15</v>
      </c>
      <c r="AK696" t="s">
        <v>5879</v>
      </c>
      <c r="AL696" t="s">
        <v>5878</v>
      </c>
    </row>
    <row r="697" spans="5:44" x14ac:dyDescent="0.25">
      <c r="I697" t="str">
        <f t="shared" si="55"/>
        <v>tophuntr</v>
      </c>
      <c r="J697" t="str">
        <f t="shared" si="56"/>
        <v/>
      </c>
      <c r="L697" t="str">
        <f t="shared" si="59"/>
        <v>NGM-046</v>
      </c>
      <c r="M697" t="str">
        <f t="shared" si="59"/>
        <v>19940518</v>
      </c>
      <c r="N697" t="str">
        <f t="shared" si="59"/>
        <v>トップハンター</v>
      </c>
      <c r="O697" t="str">
        <f t="shared" si="59"/>
        <v/>
      </c>
      <c r="P697" t="str">
        <f t="shared" si="59"/>
        <v/>
      </c>
      <c r="T697" t="str">
        <f t="shared" si="57"/>
        <v/>
      </c>
      <c r="V697" t="str">
        <f t="shared" si="58"/>
        <v>MVS</v>
      </c>
      <c r="W697" t="str">
        <f t="shared" si="58"/>
        <v>MVS,AES</v>
      </c>
      <c r="AG697" t="s">
        <v>6</v>
      </c>
      <c r="AH697" t="s">
        <v>5877</v>
      </c>
      <c r="AI697" t="s">
        <v>75</v>
      </c>
      <c r="AJ697" t="s">
        <v>15</v>
      </c>
      <c r="AK697" t="s">
        <v>5876</v>
      </c>
      <c r="AL697" t="s">
        <v>5875</v>
      </c>
    </row>
    <row r="698" spans="5:44" x14ac:dyDescent="0.25">
      <c r="I698" t="str">
        <f t="shared" si="55"/>
        <v>tophuntr</v>
      </c>
      <c r="J698" t="str">
        <f t="shared" si="56"/>
        <v/>
      </c>
      <c r="L698" t="str">
        <f t="shared" si="59"/>
        <v>NGM-046</v>
      </c>
      <c r="M698" t="str">
        <f t="shared" si="59"/>
        <v>19940518</v>
      </c>
      <c r="N698" t="str">
        <f t="shared" si="59"/>
        <v>トップハンター</v>
      </c>
      <c r="O698" t="str">
        <f t="shared" si="59"/>
        <v/>
      </c>
      <c r="P698" t="str">
        <f t="shared" si="59"/>
        <v/>
      </c>
      <c r="T698" t="str">
        <f t="shared" si="57"/>
        <v/>
      </c>
      <c r="V698" t="str">
        <f t="shared" si="58"/>
        <v>MVS</v>
      </c>
      <c r="W698" t="str">
        <f t="shared" si="58"/>
        <v>MVS,AES</v>
      </c>
      <c r="AG698" t="s">
        <v>6</v>
      </c>
      <c r="AH698" t="s">
        <v>5874</v>
      </c>
      <c r="AI698" t="s">
        <v>5274</v>
      </c>
      <c r="AJ698" t="s">
        <v>15</v>
      </c>
      <c r="AK698" t="s">
        <v>5873</v>
      </c>
      <c r="AL698" t="s">
        <v>5872</v>
      </c>
    </row>
    <row r="699" spans="5:44" x14ac:dyDescent="0.25">
      <c r="E699" t="s">
        <v>5925</v>
      </c>
      <c r="F699" t="s">
        <v>5924</v>
      </c>
      <c r="G699" t="s">
        <v>393</v>
      </c>
      <c r="H699" t="s">
        <v>1912</v>
      </c>
      <c r="I699" t="str">
        <f t="shared" si="55"/>
        <v>tophuntrh</v>
      </c>
      <c r="J699" t="str">
        <f t="shared" si="56"/>
        <v>tophuntrhserial</v>
      </c>
      <c r="K699" t="s">
        <v>1373</v>
      </c>
      <c r="L699" t="str">
        <f t="shared" si="59"/>
        <v>NGH-046</v>
      </c>
      <c r="M699" t="str">
        <f t="shared" si="59"/>
        <v>19940624</v>
      </c>
      <c r="N699" t="str">
        <f t="shared" si="59"/>
        <v>トップハンター</v>
      </c>
      <c r="O699" t="str">
        <f t="shared" si="59"/>
        <v/>
      </c>
      <c r="P699" t="str">
        <f t="shared" si="59"/>
        <v/>
      </c>
      <c r="Q699" t="s">
        <v>5923</v>
      </c>
      <c r="S699" t="s">
        <v>46</v>
      </c>
      <c r="T699" t="str">
        <f t="shared" si="57"/>
        <v>tophuntrhrelease</v>
      </c>
      <c r="U699" t="s">
        <v>35</v>
      </c>
      <c r="V699" t="str">
        <f t="shared" si="58"/>
        <v>AES</v>
      </c>
      <c r="W699" t="str">
        <f t="shared" si="58"/>
        <v>MVS,AES</v>
      </c>
      <c r="Y699" t="s">
        <v>45</v>
      </c>
      <c r="Z699" t="s">
        <v>44</v>
      </c>
      <c r="AB699" t="s">
        <v>43</v>
      </c>
      <c r="AC699" t="s">
        <v>42</v>
      </c>
      <c r="AD699" t="s">
        <v>41</v>
      </c>
      <c r="AE699" t="s">
        <v>3</v>
      </c>
      <c r="AG699" t="s">
        <v>40</v>
      </c>
      <c r="AH699" t="s">
        <v>5922</v>
      </c>
      <c r="AI699" t="s">
        <v>9</v>
      </c>
      <c r="AJ699" t="s">
        <v>15</v>
      </c>
      <c r="AK699" t="s">
        <v>5921</v>
      </c>
      <c r="AL699" t="s">
        <v>5920</v>
      </c>
      <c r="AR699" t="s">
        <v>5919</v>
      </c>
    </row>
    <row r="700" spans="5:44" x14ac:dyDescent="0.25">
      <c r="I700" t="str">
        <f t="shared" si="55"/>
        <v>tophuntrh</v>
      </c>
      <c r="J700" t="str">
        <f t="shared" si="56"/>
        <v>tophuntrhrelease</v>
      </c>
      <c r="K700" t="s">
        <v>46</v>
      </c>
      <c r="L700" t="str">
        <f t="shared" si="59"/>
        <v>NGH-046</v>
      </c>
      <c r="M700" t="str">
        <f t="shared" si="59"/>
        <v>19940624</v>
      </c>
      <c r="N700" t="str">
        <f t="shared" si="59"/>
        <v>トップハンター</v>
      </c>
      <c r="O700" t="str">
        <f t="shared" si="59"/>
        <v/>
      </c>
      <c r="P700" t="str">
        <f t="shared" si="59"/>
        <v/>
      </c>
      <c r="Q700" t="s">
        <v>5918</v>
      </c>
      <c r="T700" t="str">
        <f t="shared" si="57"/>
        <v/>
      </c>
      <c r="V700" t="str">
        <f t="shared" si="58"/>
        <v>AES</v>
      </c>
      <c r="W700" t="str">
        <f t="shared" si="58"/>
        <v>MVS,AES</v>
      </c>
      <c r="AG700" t="s">
        <v>40</v>
      </c>
      <c r="AH700" t="s">
        <v>5917</v>
      </c>
      <c r="AI700" t="s">
        <v>15</v>
      </c>
      <c r="AJ700" t="s">
        <v>15</v>
      </c>
      <c r="AK700" t="s">
        <v>5916</v>
      </c>
      <c r="AL700" t="s">
        <v>5915</v>
      </c>
    </row>
    <row r="701" spans="5:44" x14ac:dyDescent="0.25">
      <c r="I701" t="str">
        <f t="shared" si="55"/>
        <v>tophuntrh</v>
      </c>
      <c r="J701" t="str">
        <f t="shared" si="56"/>
        <v>tophuntrhalt_title</v>
      </c>
      <c r="K701" t="s">
        <v>1218</v>
      </c>
      <c r="L701" t="str">
        <f t="shared" si="59"/>
        <v>NGH-046</v>
      </c>
      <c r="M701" t="str">
        <f t="shared" si="59"/>
        <v>19940624</v>
      </c>
      <c r="N701" t="str">
        <f t="shared" si="59"/>
        <v>トップハンター</v>
      </c>
      <c r="O701" t="str">
        <f t="shared" si="59"/>
        <v/>
      </c>
      <c r="P701" t="str">
        <f t="shared" si="59"/>
        <v/>
      </c>
      <c r="Q701" t="s">
        <v>5914</v>
      </c>
      <c r="T701" t="str">
        <f t="shared" si="57"/>
        <v/>
      </c>
      <c r="V701" t="str">
        <f t="shared" si="58"/>
        <v>AES</v>
      </c>
      <c r="W701" t="str">
        <f t="shared" si="58"/>
        <v>MVS,AES</v>
      </c>
      <c r="AB701" t="s">
        <v>34</v>
      </c>
      <c r="AE701" t="s">
        <v>33</v>
      </c>
      <c r="AH701" t="s">
        <v>5913</v>
      </c>
      <c r="AI701" t="s">
        <v>9</v>
      </c>
      <c r="AJ701" t="s">
        <v>27</v>
      </c>
      <c r="AK701" t="s">
        <v>5912</v>
      </c>
      <c r="AL701" t="s">
        <v>5911</v>
      </c>
    </row>
    <row r="702" spans="5:44" x14ac:dyDescent="0.25">
      <c r="I702" t="str">
        <f t="shared" si="55"/>
        <v>tophuntrh</v>
      </c>
      <c r="J702" t="str">
        <f t="shared" si="56"/>
        <v/>
      </c>
      <c r="L702" t="str">
        <f t="shared" si="59"/>
        <v>NGH-046</v>
      </c>
      <c r="M702" t="str">
        <f t="shared" si="59"/>
        <v>19940624</v>
      </c>
      <c r="N702" t="str">
        <f t="shared" si="59"/>
        <v>トップハンター</v>
      </c>
      <c r="O702" t="str">
        <f t="shared" si="59"/>
        <v/>
      </c>
      <c r="P702" t="str">
        <f t="shared" si="59"/>
        <v/>
      </c>
      <c r="S702" t="s">
        <v>36</v>
      </c>
      <c r="T702" t="str">
        <f t="shared" si="57"/>
        <v>tophuntrhcompatibility</v>
      </c>
      <c r="U702" t="s">
        <v>218</v>
      </c>
      <c r="V702" t="str">
        <f t="shared" si="58"/>
        <v>AES</v>
      </c>
      <c r="W702" t="str">
        <f t="shared" si="58"/>
        <v>MVS,AES</v>
      </c>
      <c r="AB702" t="s">
        <v>29</v>
      </c>
      <c r="AE702" t="s">
        <v>27</v>
      </c>
      <c r="AH702" t="s">
        <v>5910</v>
      </c>
      <c r="AI702" t="s">
        <v>9</v>
      </c>
      <c r="AJ702" t="s">
        <v>27</v>
      </c>
      <c r="AK702" t="s">
        <v>5909</v>
      </c>
      <c r="AL702" t="s">
        <v>5908</v>
      </c>
    </row>
    <row r="703" spans="5:44" x14ac:dyDescent="0.25">
      <c r="I703" t="str">
        <f t="shared" si="55"/>
        <v>tophuntrh</v>
      </c>
      <c r="J703" t="str">
        <f t="shared" si="56"/>
        <v/>
      </c>
      <c r="L703" t="str">
        <f t="shared" si="59"/>
        <v>NGH-046</v>
      </c>
      <c r="M703" t="str">
        <f t="shared" si="59"/>
        <v>19940624</v>
      </c>
      <c r="N703" t="str">
        <f t="shared" si="59"/>
        <v>トップハンター</v>
      </c>
      <c r="O703" t="str">
        <f t="shared" si="59"/>
        <v/>
      </c>
      <c r="P703" t="str">
        <f t="shared" si="59"/>
        <v/>
      </c>
      <c r="T703" t="str">
        <f t="shared" si="57"/>
        <v/>
      </c>
      <c r="V703" t="str">
        <f t="shared" si="58"/>
        <v>AES</v>
      </c>
      <c r="W703" t="str">
        <f t="shared" si="58"/>
        <v>MVS,AES</v>
      </c>
      <c r="AB703" t="s">
        <v>24</v>
      </c>
      <c r="AE703" t="s">
        <v>11</v>
      </c>
      <c r="AH703" t="s">
        <v>5907</v>
      </c>
      <c r="AI703" t="s">
        <v>9</v>
      </c>
      <c r="AJ703" t="s">
        <v>15</v>
      </c>
      <c r="AK703" t="s">
        <v>5906</v>
      </c>
      <c r="AL703" t="s">
        <v>5905</v>
      </c>
    </row>
    <row r="704" spans="5:44" x14ac:dyDescent="0.25">
      <c r="I704" t="str">
        <f t="shared" si="55"/>
        <v>tophuntrh</v>
      </c>
      <c r="J704" t="str">
        <f t="shared" si="56"/>
        <v/>
      </c>
      <c r="L704" t="str">
        <f t="shared" si="59"/>
        <v>NGH-046</v>
      </c>
      <c r="M704" t="str">
        <f t="shared" si="59"/>
        <v>19940624</v>
      </c>
      <c r="N704" t="str">
        <f t="shared" si="59"/>
        <v>トップハンター</v>
      </c>
      <c r="O704" t="str">
        <f t="shared" si="59"/>
        <v/>
      </c>
      <c r="P704" t="str">
        <f t="shared" si="59"/>
        <v/>
      </c>
      <c r="T704" t="str">
        <f t="shared" si="57"/>
        <v/>
      </c>
      <c r="V704" t="str">
        <f t="shared" si="58"/>
        <v>AES</v>
      </c>
      <c r="W704" t="str">
        <f t="shared" si="58"/>
        <v>MVS,AES</v>
      </c>
      <c r="AH704" t="s">
        <v>5904</v>
      </c>
      <c r="AI704" t="s">
        <v>15</v>
      </c>
      <c r="AJ704" t="s">
        <v>15</v>
      </c>
      <c r="AK704" t="s">
        <v>5903</v>
      </c>
      <c r="AL704" t="s">
        <v>5902</v>
      </c>
    </row>
    <row r="705" spans="5:43" x14ac:dyDescent="0.25">
      <c r="I705" t="str">
        <f t="shared" si="55"/>
        <v>tophuntrh</v>
      </c>
      <c r="J705" t="str">
        <f t="shared" si="56"/>
        <v/>
      </c>
      <c r="L705" t="str">
        <f t="shared" si="59"/>
        <v>NGH-046</v>
      </c>
      <c r="M705" t="str">
        <f t="shared" si="59"/>
        <v>19940624</v>
      </c>
      <c r="N705" t="str">
        <f t="shared" si="59"/>
        <v>トップハンター</v>
      </c>
      <c r="O705" t="str">
        <f t="shared" si="59"/>
        <v/>
      </c>
      <c r="P705" t="str">
        <f t="shared" si="59"/>
        <v/>
      </c>
      <c r="T705" t="str">
        <f t="shared" si="57"/>
        <v/>
      </c>
      <c r="V705" t="str">
        <f t="shared" si="58"/>
        <v>AES</v>
      </c>
      <c r="W705" t="str">
        <f t="shared" si="58"/>
        <v>MVS,AES</v>
      </c>
      <c r="AH705" t="s">
        <v>5901</v>
      </c>
      <c r="AI705" t="s">
        <v>3</v>
      </c>
      <c r="AJ705" t="s">
        <v>15</v>
      </c>
      <c r="AK705" t="s">
        <v>5900</v>
      </c>
      <c r="AL705" t="s">
        <v>5899</v>
      </c>
    </row>
    <row r="706" spans="5:43" x14ac:dyDescent="0.25">
      <c r="I706" t="str">
        <f t="shared" si="55"/>
        <v>tophuntrh</v>
      </c>
      <c r="J706" t="str">
        <f t="shared" si="56"/>
        <v/>
      </c>
      <c r="L706" t="str">
        <f t="shared" si="59"/>
        <v>NGH-046</v>
      </c>
      <c r="M706" t="str">
        <f t="shared" si="59"/>
        <v>19940624</v>
      </c>
      <c r="N706" t="str">
        <f t="shared" si="59"/>
        <v>トップハンター</v>
      </c>
      <c r="O706" t="str">
        <f t="shared" si="59"/>
        <v/>
      </c>
      <c r="P706" t="str">
        <f t="shared" si="59"/>
        <v/>
      </c>
      <c r="T706" t="str">
        <f t="shared" si="57"/>
        <v/>
      </c>
      <c r="V706" t="str">
        <f t="shared" si="58"/>
        <v>AES</v>
      </c>
      <c r="W706" t="str">
        <f t="shared" si="58"/>
        <v>MVS,AES</v>
      </c>
      <c r="AH706" t="s">
        <v>5898</v>
      </c>
      <c r="AI706" t="s">
        <v>377</v>
      </c>
      <c r="AJ706" t="s">
        <v>15</v>
      </c>
      <c r="AK706" t="s">
        <v>5897</v>
      </c>
      <c r="AL706" t="s">
        <v>5896</v>
      </c>
    </row>
    <row r="707" spans="5:43" x14ac:dyDescent="0.25">
      <c r="I707" t="str">
        <f t="shared" ref="I707:I770" si="60">IF(E707="",I706,E707)</f>
        <v>tophuntrh</v>
      </c>
      <c r="J707" t="str">
        <f t="shared" ref="J707:J770" si="61">IF(K707="","",I707&amp;K707)</f>
        <v/>
      </c>
      <c r="L707" t="str">
        <f t="shared" si="59"/>
        <v>NGH-046</v>
      </c>
      <c r="M707" t="str">
        <f t="shared" si="59"/>
        <v>19940624</v>
      </c>
      <c r="N707" t="str">
        <f t="shared" si="59"/>
        <v>トップハンター</v>
      </c>
      <c r="O707" t="str">
        <f t="shared" si="59"/>
        <v/>
      </c>
      <c r="P707" t="str">
        <f t="shared" si="59"/>
        <v/>
      </c>
      <c r="T707" t="str">
        <f t="shared" ref="T707:T770" si="62">IF(S707="","",I707&amp;S707)</f>
        <v/>
      </c>
      <c r="V707" t="str">
        <f t="shared" si="58"/>
        <v>AES</v>
      </c>
      <c r="W707" t="str">
        <f t="shared" si="58"/>
        <v>MVS,AES</v>
      </c>
      <c r="AB707" t="s">
        <v>12</v>
      </c>
      <c r="AE707" t="s">
        <v>57</v>
      </c>
      <c r="AG707" t="s">
        <v>6</v>
      </c>
      <c r="AH707" t="s">
        <v>5895</v>
      </c>
      <c r="AI707" t="s">
        <v>9</v>
      </c>
      <c r="AJ707" t="s">
        <v>15</v>
      </c>
      <c r="AK707" t="s">
        <v>5894</v>
      </c>
      <c r="AL707" t="s">
        <v>5893</v>
      </c>
    </row>
    <row r="708" spans="5:43" x14ac:dyDescent="0.25">
      <c r="I708" t="str">
        <f t="shared" si="60"/>
        <v>tophuntrh</v>
      </c>
      <c r="J708" t="str">
        <f t="shared" si="61"/>
        <v/>
      </c>
      <c r="L708" t="str">
        <f t="shared" si="59"/>
        <v>NGH-046</v>
      </c>
      <c r="M708" t="str">
        <f t="shared" si="59"/>
        <v>19940624</v>
      </c>
      <c r="N708" t="str">
        <f t="shared" si="59"/>
        <v>トップハンター</v>
      </c>
      <c r="O708" t="str">
        <f t="shared" si="59"/>
        <v/>
      </c>
      <c r="P708" t="str">
        <f t="shared" si="59"/>
        <v/>
      </c>
      <c r="T708" t="str">
        <f t="shared" si="62"/>
        <v/>
      </c>
      <c r="V708" t="str">
        <f t="shared" si="58"/>
        <v>AES</v>
      </c>
      <c r="W708" t="str">
        <f t="shared" si="58"/>
        <v>MVS,AES</v>
      </c>
      <c r="AG708" t="s">
        <v>6</v>
      </c>
      <c r="AH708" t="s">
        <v>5892</v>
      </c>
      <c r="AI708" t="s">
        <v>4</v>
      </c>
      <c r="AJ708" t="s">
        <v>15</v>
      </c>
      <c r="AK708" t="s">
        <v>5891</v>
      </c>
      <c r="AL708" t="s">
        <v>5890</v>
      </c>
    </row>
    <row r="709" spans="5:43" x14ac:dyDescent="0.25">
      <c r="I709" t="str">
        <f t="shared" si="60"/>
        <v>tophuntrh</v>
      </c>
      <c r="J709" t="str">
        <f t="shared" si="61"/>
        <v/>
      </c>
      <c r="L709" t="str">
        <f t="shared" si="59"/>
        <v>NGH-046</v>
      </c>
      <c r="M709" t="str">
        <f t="shared" si="59"/>
        <v>19940624</v>
      </c>
      <c r="N709" t="str">
        <f t="shared" si="59"/>
        <v>トップハンター</v>
      </c>
      <c r="O709" t="str">
        <f t="shared" si="59"/>
        <v/>
      </c>
      <c r="P709" t="str">
        <f t="shared" si="59"/>
        <v/>
      </c>
      <c r="T709" t="str">
        <f t="shared" si="62"/>
        <v/>
      </c>
      <c r="V709" t="str">
        <f t="shared" si="58"/>
        <v>AES</v>
      </c>
      <c r="W709" t="str">
        <f t="shared" si="58"/>
        <v>MVS,AES</v>
      </c>
      <c r="AG709" t="s">
        <v>6</v>
      </c>
      <c r="AH709" t="s">
        <v>5889</v>
      </c>
      <c r="AI709" t="s">
        <v>3</v>
      </c>
      <c r="AJ709" t="s">
        <v>15</v>
      </c>
      <c r="AK709" t="s">
        <v>5888</v>
      </c>
      <c r="AL709" t="s">
        <v>5887</v>
      </c>
    </row>
    <row r="710" spans="5:43" x14ac:dyDescent="0.25">
      <c r="I710" t="str">
        <f t="shared" si="60"/>
        <v>tophuntrh</v>
      </c>
      <c r="J710" t="str">
        <f t="shared" si="61"/>
        <v/>
      </c>
      <c r="L710" t="str">
        <f t="shared" si="59"/>
        <v>NGH-046</v>
      </c>
      <c r="M710" t="str">
        <f t="shared" si="59"/>
        <v>19940624</v>
      </c>
      <c r="N710" t="str">
        <f t="shared" si="59"/>
        <v>トップハンター</v>
      </c>
      <c r="O710" t="str">
        <f t="shared" si="59"/>
        <v/>
      </c>
      <c r="P710" t="str">
        <f t="shared" si="59"/>
        <v/>
      </c>
      <c r="T710" t="str">
        <f t="shared" si="62"/>
        <v/>
      </c>
      <c r="V710" t="str">
        <f t="shared" si="58"/>
        <v>AES</v>
      </c>
      <c r="W710" t="str">
        <f t="shared" si="58"/>
        <v>MVS,AES</v>
      </c>
      <c r="AG710" t="s">
        <v>6</v>
      </c>
      <c r="AH710" t="s">
        <v>5886</v>
      </c>
      <c r="AI710" t="s">
        <v>4371</v>
      </c>
      <c r="AJ710" t="s">
        <v>15</v>
      </c>
      <c r="AK710" t="s">
        <v>5885</v>
      </c>
      <c r="AL710" t="s">
        <v>5884</v>
      </c>
    </row>
    <row r="711" spans="5:43" x14ac:dyDescent="0.25">
      <c r="I711" t="str">
        <f t="shared" si="60"/>
        <v>tophuntrh</v>
      </c>
      <c r="J711" t="str">
        <f t="shared" si="61"/>
        <v/>
      </c>
      <c r="L711" t="str">
        <f t="shared" si="59"/>
        <v>NGH-046</v>
      </c>
      <c r="M711" t="str">
        <f t="shared" si="59"/>
        <v>19940624</v>
      </c>
      <c r="N711" t="str">
        <f t="shared" si="59"/>
        <v>トップハンター</v>
      </c>
      <c r="O711" t="str">
        <f t="shared" si="59"/>
        <v/>
      </c>
      <c r="P711" t="str">
        <f t="shared" si="59"/>
        <v/>
      </c>
      <c r="T711" t="str">
        <f t="shared" si="62"/>
        <v/>
      </c>
      <c r="V711" t="str">
        <f t="shared" si="58"/>
        <v>AES</v>
      </c>
      <c r="W711" t="str">
        <f t="shared" si="58"/>
        <v>MVS,AES</v>
      </c>
      <c r="AG711" t="s">
        <v>6</v>
      </c>
      <c r="AH711" t="s">
        <v>5883</v>
      </c>
      <c r="AI711" t="s">
        <v>11</v>
      </c>
      <c r="AJ711" t="s">
        <v>15</v>
      </c>
      <c r="AK711" t="s">
        <v>5882</v>
      </c>
      <c r="AL711" t="s">
        <v>5881</v>
      </c>
    </row>
    <row r="712" spans="5:43" x14ac:dyDescent="0.25">
      <c r="I712" t="str">
        <f t="shared" si="60"/>
        <v>tophuntrh</v>
      </c>
      <c r="J712" t="str">
        <f t="shared" si="61"/>
        <v/>
      </c>
      <c r="L712" t="str">
        <f t="shared" si="59"/>
        <v>NGH-046</v>
      </c>
      <c r="M712" t="str">
        <f t="shared" si="59"/>
        <v>19940624</v>
      </c>
      <c r="N712" t="str">
        <f t="shared" si="59"/>
        <v>トップハンター</v>
      </c>
      <c r="O712" t="str">
        <f t="shared" si="59"/>
        <v/>
      </c>
      <c r="P712" t="str">
        <f t="shared" si="59"/>
        <v/>
      </c>
      <c r="T712" t="str">
        <f t="shared" si="62"/>
        <v/>
      </c>
      <c r="V712" t="str">
        <f t="shared" si="58"/>
        <v>AES</v>
      </c>
      <c r="W712" t="str">
        <f t="shared" si="58"/>
        <v>MVS,AES</v>
      </c>
      <c r="AG712" t="s">
        <v>6</v>
      </c>
      <c r="AH712" t="s">
        <v>5880</v>
      </c>
      <c r="AI712" t="s">
        <v>932</v>
      </c>
      <c r="AJ712" t="s">
        <v>15</v>
      </c>
      <c r="AK712" t="s">
        <v>5879</v>
      </c>
      <c r="AL712" t="s">
        <v>5878</v>
      </c>
    </row>
    <row r="713" spans="5:43" x14ac:dyDescent="0.25">
      <c r="I713" t="str">
        <f t="shared" si="60"/>
        <v>tophuntrh</v>
      </c>
      <c r="J713" t="str">
        <f t="shared" si="61"/>
        <v/>
      </c>
      <c r="L713" t="str">
        <f t="shared" si="59"/>
        <v>NGH-046</v>
      </c>
      <c r="M713" t="str">
        <f t="shared" si="59"/>
        <v>19940624</v>
      </c>
      <c r="N713" t="str">
        <f t="shared" si="59"/>
        <v>トップハンター</v>
      </c>
      <c r="O713" t="str">
        <f t="shared" si="59"/>
        <v/>
      </c>
      <c r="P713" t="str">
        <f t="shared" si="59"/>
        <v/>
      </c>
      <c r="T713" t="str">
        <f t="shared" si="62"/>
        <v/>
      </c>
      <c r="V713" t="str">
        <f t="shared" si="58"/>
        <v>AES</v>
      </c>
      <c r="W713" t="str">
        <f t="shared" si="58"/>
        <v>MVS,AES</v>
      </c>
      <c r="AG713" t="s">
        <v>6</v>
      </c>
      <c r="AH713" t="s">
        <v>5877</v>
      </c>
      <c r="AI713" t="s">
        <v>75</v>
      </c>
      <c r="AJ713" t="s">
        <v>15</v>
      </c>
      <c r="AK713" t="s">
        <v>5876</v>
      </c>
      <c r="AL713" t="s">
        <v>5875</v>
      </c>
    </row>
    <row r="714" spans="5:43" x14ac:dyDescent="0.25">
      <c r="I714" t="str">
        <f t="shared" si="60"/>
        <v>tophuntrh</v>
      </c>
      <c r="J714" t="str">
        <f t="shared" si="61"/>
        <v/>
      </c>
      <c r="L714" t="str">
        <f t="shared" si="59"/>
        <v>NGH-046</v>
      </c>
      <c r="M714" t="str">
        <f t="shared" si="59"/>
        <v>19940624</v>
      </c>
      <c r="N714" t="str">
        <f t="shared" si="59"/>
        <v>トップハンター</v>
      </c>
      <c r="O714" t="str">
        <f t="shared" si="59"/>
        <v/>
      </c>
      <c r="P714" t="str">
        <f t="shared" si="59"/>
        <v/>
      </c>
      <c r="T714" t="str">
        <f t="shared" si="62"/>
        <v/>
      </c>
      <c r="V714" t="str">
        <f t="shared" si="58"/>
        <v>AES</v>
      </c>
      <c r="W714" t="str">
        <f t="shared" si="58"/>
        <v>MVS,AES</v>
      </c>
      <c r="AG714" t="s">
        <v>6</v>
      </c>
      <c r="AH714" t="s">
        <v>5874</v>
      </c>
      <c r="AI714" t="s">
        <v>5274</v>
      </c>
      <c r="AJ714" t="s">
        <v>15</v>
      </c>
      <c r="AK714" t="s">
        <v>5873</v>
      </c>
      <c r="AL714" t="s">
        <v>5872</v>
      </c>
    </row>
    <row r="715" spans="5:43" x14ac:dyDescent="0.25">
      <c r="E715" t="s">
        <v>5871</v>
      </c>
      <c r="F715" t="s">
        <v>5870</v>
      </c>
      <c r="G715" t="s">
        <v>5639</v>
      </c>
      <c r="H715" t="s">
        <v>1912</v>
      </c>
      <c r="I715" t="str">
        <f t="shared" si="60"/>
        <v>fatfury2</v>
      </c>
      <c r="J715" t="str">
        <f t="shared" si="61"/>
        <v>fatfury2serial</v>
      </c>
      <c r="K715" t="s">
        <v>1373</v>
      </c>
      <c r="L715" t="str">
        <f t="shared" si="59"/>
        <v>NGM-047 (MVS), NGH-047 (AES)</v>
      </c>
      <c r="M715" t="str">
        <f t="shared" si="59"/>
        <v>19921210 (MVS), 19930305 (AES)</v>
      </c>
      <c r="N715" t="str">
        <f t="shared" si="59"/>
        <v>餓狼伝説2 ―新たなる闘い―</v>
      </c>
      <c r="O715" t="str">
        <f t="shared" si="59"/>
        <v/>
      </c>
      <c r="P715" t="str">
        <f t="shared" si="59"/>
        <v/>
      </c>
      <c r="Q715" t="s">
        <v>5869</v>
      </c>
      <c r="S715" t="s">
        <v>46</v>
      </c>
      <c r="T715" t="str">
        <f t="shared" si="62"/>
        <v>fatfury2release</v>
      </c>
      <c r="U715" t="s">
        <v>218</v>
      </c>
      <c r="V715" t="str">
        <f t="shared" si="58"/>
        <v>MVS,AES</v>
      </c>
      <c r="W715" t="str">
        <f t="shared" si="58"/>
        <v>MVS,AES</v>
      </c>
      <c r="Y715" t="s">
        <v>45</v>
      </c>
      <c r="Z715" t="s">
        <v>44</v>
      </c>
      <c r="AB715" t="s">
        <v>43</v>
      </c>
      <c r="AC715" t="s">
        <v>42</v>
      </c>
      <c r="AD715" t="s">
        <v>41</v>
      </c>
      <c r="AE715" t="s">
        <v>15</v>
      </c>
      <c r="AG715" t="s">
        <v>40</v>
      </c>
      <c r="AH715" t="s">
        <v>5868</v>
      </c>
      <c r="AI715" t="s">
        <v>9</v>
      </c>
      <c r="AJ715" t="s">
        <v>15</v>
      </c>
      <c r="AK715" t="s">
        <v>5867</v>
      </c>
      <c r="AL715" t="s">
        <v>5866</v>
      </c>
      <c r="AP715" t="s">
        <v>138</v>
      </c>
      <c r="AQ715" t="s">
        <v>5679</v>
      </c>
    </row>
    <row r="716" spans="5:43" x14ac:dyDescent="0.25">
      <c r="I716" t="str">
        <f t="shared" si="60"/>
        <v>fatfury2</v>
      </c>
      <c r="J716" t="str">
        <f t="shared" si="61"/>
        <v>fatfury2release</v>
      </c>
      <c r="K716" t="s">
        <v>46</v>
      </c>
      <c r="L716" t="str">
        <f t="shared" si="59"/>
        <v>NGM-047 (MVS), NGH-047 (AES)</v>
      </c>
      <c r="M716" t="str">
        <f t="shared" si="59"/>
        <v>19921210 (MVS), 19930305 (AES)</v>
      </c>
      <c r="N716" t="str">
        <f t="shared" si="59"/>
        <v>餓狼伝説2 ―新たなる闘い―</v>
      </c>
      <c r="O716" t="str">
        <f t="shared" si="59"/>
        <v/>
      </c>
      <c r="P716" t="str">
        <f t="shared" si="59"/>
        <v/>
      </c>
      <c r="Q716" t="s">
        <v>5865</v>
      </c>
      <c r="T716" t="str">
        <f t="shared" si="62"/>
        <v/>
      </c>
      <c r="V716" t="str">
        <f t="shared" si="58"/>
        <v>MVS,AES</v>
      </c>
      <c r="W716" t="str">
        <f t="shared" si="58"/>
        <v>MVS,AES</v>
      </c>
      <c r="AB716" t="s">
        <v>34</v>
      </c>
      <c r="AE716" t="s">
        <v>33</v>
      </c>
      <c r="AH716" t="s">
        <v>5864</v>
      </c>
      <c r="AI716" t="s">
        <v>9</v>
      </c>
      <c r="AJ716" t="s">
        <v>27</v>
      </c>
      <c r="AK716" t="s">
        <v>5863</v>
      </c>
      <c r="AL716" t="s">
        <v>5862</v>
      </c>
    </row>
    <row r="717" spans="5:43" x14ac:dyDescent="0.25">
      <c r="I717" t="str">
        <f t="shared" si="60"/>
        <v>fatfury2</v>
      </c>
      <c r="J717" t="str">
        <f t="shared" si="61"/>
        <v>fatfury2alt_title</v>
      </c>
      <c r="K717" t="s">
        <v>1218</v>
      </c>
      <c r="L717" t="str">
        <f t="shared" si="59"/>
        <v>NGM-047 (MVS), NGH-047 (AES)</v>
      </c>
      <c r="M717" t="str">
        <f t="shared" si="59"/>
        <v>19921210 (MVS), 19930305 (AES)</v>
      </c>
      <c r="N717" t="str">
        <f t="shared" si="59"/>
        <v>餓狼伝説2 ―新たなる闘い―</v>
      </c>
      <c r="O717" t="str">
        <f t="shared" si="59"/>
        <v/>
      </c>
      <c r="P717" t="str">
        <f t="shared" si="59"/>
        <v/>
      </c>
      <c r="Q717" t="s">
        <v>5861</v>
      </c>
      <c r="T717" t="str">
        <f t="shared" si="62"/>
        <v/>
      </c>
      <c r="V717" t="str">
        <f t="shared" si="58"/>
        <v>MVS,AES</v>
      </c>
      <c r="W717" t="str">
        <f t="shared" si="58"/>
        <v>MVS,AES</v>
      </c>
      <c r="AB717" t="s">
        <v>29</v>
      </c>
      <c r="AE717" t="s">
        <v>27</v>
      </c>
      <c r="AH717" t="s">
        <v>5860</v>
      </c>
      <c r="AI717" t="s">
        <v>9</v>
      </c>
      <c r="AJ717" t="s">
        <v>27</v>
      </c>
      <c r="AK717" t="s">
        <v>5859</v>
      </c>
      <c r="AL717" t="s">
        <v>5858</v>
      </c>
    </row>
    <row r="718" spans="5:43" x14ac:dyDescent="0.25">
      <c r="I718" t="str">
        <f t="shared" si="60"/>
        <v>fatfury2</v>
      </c>
      <c r="J718" t="str">
        <f t="shared" si="61"/>
        <v/>
      </c>
      <c r="L718" t="str">
        <f t="shared" si="59"/>
        <v>NGM-047 (MVS), NGH-047 (AES)</v>
      </c>
      <c r="M718" t="str">
        <f t="shared" si="59"/>
        <v>19921210 (MVS), 19930305 (AES)</v>
      </c>
      <c r="N718" t="str">
        <f t="shared" si="59"/>
        <v>餓狼伝説2 ―新たなる闘い―</v>
      </c>
      <c r="O718" t="str">
        <f t="shared" si="59"/>
        <v/>
      </c>
      <c r="P718" t="str">
        <f t="shared" si="59"/>
        <v/>
      </c>
      <c r="S718" t="s">
        <v>36</v>
      </c>
      <c r="T718" t="str">
        <f t="shared" si="62"/>
        <v>fatfury2compatibility</v>
      </c>
      <c r="U718" t="s">
        <v>218</v>
      </c>
      <c r="V718" t="str">
        <f t="shared" si="58"/>
        <v>MVS,AES</v>
      </c>
      <c r="W718" t="str">
        <f t="shared" si="58"/>
        <v>MVS,AES</v>
      </c>
      <c r="AB718" t="s">
        <v>24</v>
      </c>
      <c r="AE718" t="s">
        <v>11</v>
      </c>
      <c r="AH718" t="s">
        <v>5857</v>
      </c>
      <c r="AI718" t="s">
        <v>9</v>
      </c>
      <c r="AJ718" t="s">
        <v>3</v>
      </c>
      <c r="AK718" t="s">
        <v>5856</v>
      </c>
      <c r="AL718" t="s">
        <v>5855</v>
      </c>
    </row>
    <row r="719" spans="5:43" x14ac:dyDescent="0.25">
      <c r="I719" t="str">
        <f t="shared" si="60"/>
        <v>fatfury2</v>
      </c>
      <c r="J719" t="str">
        <f t="shared" si="61"/>
        <v/>
      </c>
      <c r="L719" t="str">
        <f t="shared" si="59"/>
        <v>NGM-047 (MVS), NGH-047 (AES)</v>
      </c>
      <c r="M719" t="str">
        <f t="shared" si="59"/>
        <v>19921210 (MVS), 19930305 (AES)</v>
      </c>
      <c r="N719" t="str">
        <f t="shared" si="59"/>
        <v>餓狼伝説2 ―新たなる闘い―</v>
      </c>
      <c r="O719" t="str">
        <f t="shared" si="59"/>
        <v/>
      </c>
      <c r="P719" t="str">
        <f t="shared" si="59"/>
        <v/>
      </c>
      <c r="T719" t="str">
        <f t="shared" si="62"/>
        <v/>
      </c>
      <c r="V719" t="str">
        <f t="shared" si="58"/>
        <v>MVS,AES</v>
      </c>
      <c r="W719" t="str">
        <f t="shared" si="58"/>
        <v>MVS,AES</v>
      </c>
      <c r="AH719" t="s">
        <v>5854</v>
      </c>
      <c r="AI719" t="s">
        <v>3</v>
      </c>
      <c r="AJ719" t="s">
        <v>3</v>
      </c>
      <c r="AK719" t="s">
        <v>5853</v>
      </c>
      <c r="AL719" t="s">
        <v>5852</v>
      </c>
    </row>
    <row r="720" spans="5:43" x14ac:dyDescent="0.25">
      <c r="I720" t="str">
        <f t="shared" si="60"/>
        <v>fatfury2</v>
      </c>
      <c r="J720" t="str">
        <f t="shared" si="61"/>
        <v/>
      </c>
      <c r="L720" t="str">
        <f t="shared" si="59"/>
        <v>NGM-047 (MVS), NGH-047 (AES)</v>
      </c>
      <c r="M720" t="str">
        <f t="shared" si="59"/>
        <v>19921210 (MVS), 19930305 (AES)</v>
      </c>
      <c r="N720" t="str">
        <f t="shared" si="59"/>
        <v>餓狼伝説2 ―新たなる闘い―</v>
      </c>
      <c r="O720" t="str">
        <f t="shared" si="59"/>
        <v/>
      </c>
      <c r="P720" t="str">
        <f t="shared" si="59"/>
        <v/>
      </c>
      <c r="T720" t="str">
        <f t="shared" si="62"/>
        <v/>
      </c>
      <c r="V720" t="str">
        <f t="shared" si="58"/>
        <v>MVS,AES</v>
      </c>
      <c r="W720" t="str">
        <f t="shared" si="58"/>
        <v>MVS,AES</v>
      </c>
      <c r="AB720" t="s">
        <v>12</v>
      </c>
      <c r="AE720" t="s">
        <v>57</v>
      </c>
      <c r="AG720" t="s">
        <v>6</v>
      </c>
      <c r="AH720" t="s">
        <v>5851</v>
      </c>
      <c r="AI720" t="s">
        <v>9</v>
      </c>
      <c r="AJ720" t="s">
        <v>15</v>
      </c>
      <c r="AK720" t="s">
        <v>5850</v>
      </c>
      <c r="AL720" t="s">
        <v>5849</v>
      </c>
    </row>
    <row r="721" spans="5:38" x14ac:dyDescent="0.25">
      <c r="I721" t="str">
        <f t="shared" si="60"/>
        <v>fatfury2</v>
      </c>
      <c r="J721" t="str">
        <f t="shared" si="61"/>
        <v/>
      </c>
      <c r="L721" t="str">
        <f t="shared" si="59"/>
        <v>NGM-047 (MVS), NGH-047 (AES)</v>
      </c>
      <c r="M721" t="str">
        <f t="shared" si="59"/>
        <v>19921210 (MVS), 19930305 (AES)</v>
      </c>
      <c r="N721" t="str">
        <f t="shared" si="59"/>
        <v>餓狼伝説2 ―新たなる闘い―</v>
      </c>
      <c r="O721" t="str">
        <f t="shared" si="59"/>
        <v/>
      </c>
      <c r="P721" t="str">
        <f t="shared" si="59"/>
        <v/>
      </c>
      <c r="T721" t="str">
        <f t="shared" si="62"/>
        <v/>
      </c>
      <c r="V721" t="str">
        <f t="shared" si="58"/>
        <v>MVS,AES</v>
      </c>
      <c r="W721" t="str">
        <f t="shared" si="58"/>
        <v>MVS,AES</v>
      </c>
      <c r="AG721" t="s">
        <v>224</v>
      </c>
      <c r="AI721" t="s">
        <v>11</v>
      </c>
      <c r="AJ721" t="s">
        <v>15</v>
      </c>
    </row>
    <row r="722" spans="5:38" x14ac:dyDescent="0.25">
      <c r="I722" t="str">
        <f t="shared" si="60"/>
        <v>fatfury2</v>
      </c>
      <c r="J722" t="str">
        <f t="shared" si="61"/>
        <v/>
      </c>
      <c r="L722" t="str">
        <f t="shared" si="59"/>
        <v>NGM-047 (MVS), NGH-047 (AES)</v>
      </c>
      <c r="M722" t="str">
        <f t="shared" si="59"/>
        <v>19921210 (MVS), 19930305 (AES)</v>
      </c>
      <c r="N722" t="str">
        <f t="shared" si="59"/>
        <v>餓狼伝説2 ―新たなる闘い―</v>
      </c>
      <c r="O722" t="str">
        <f t="shared" si="59"/>
        <v/>
      </c>
      <c r="P722" t="str">
        <f t="shared" si="59"/>
        <v/>
      </c>
      <c r="T722" t="str">
        <f t="shared" si="62"/>
        <v/>
      </c>
      <c r="V722" t="str">
        <f t="shared" si="58"/>
        <v>MVS,AES</v>
      </c>
      <c r="W722" t="str">
        <f t="shared" si="58"/>
        <v>MVS,AES</v>
      </c>
      <c r="AG722" t="s">
        <v>6</v>
      </c>
      <c r="AH722" t="s">
        <v>5848</v>
      </c>
      <c r="AI722" t="s">
        <v>4</v>
      </c>
      <c r="AJ722" t="s">
        <v>15</v>
      </c>
      <c r="AK722" t="s">
        <v>5847</v>
      </c>
      <c r="AL722" t="s">
        <v>5846</v>
      </c>
    </row>
    <row r="723" spans="5:38" x14ac:dyDescent="0.25">
      <c r="I723" t="str">
        <f t="shared" si="60"/>
        <v>fatfury2</v>
      </c>
      <c r="J723" t="str">
        <f t="shared" si="61"/>
        <v/>
      </c>
      <c r="L723" t="str">
        <f t="shared" si="59"/>
        <v>NGM-047 (MVS), NGH-047 (AES)</v>
      </c>
      <c r="M723" t="str">
        <f t="shared" si="59"/>
        <v>19921210 (MVS), 19930305 (AES)</v>
      </c>
      <c r="N723" t="str">
        <f t="shared" si="59"/>
        <v>餓狼伝説2 ―新たなる闘い―</v>
      </c>
      <c r="O723" t="str">
        <f t="shared" si="59"/>
        <v/>
      </c>
      <c r="P723" t="str">
        <f t="shared" si="59"/>
        <v/>
      </c>
      <c r="T723" t="str">
        <f t="shared" si="62"/>
        <v/>
      </c>
      <c r="V723" t="str">
        <f t="shared" si="58"/>
        <v>MVS,AES</v>
      </c>
      <c r="W723" t="str">
        <f t="shared" si="58"/>
        <v>MVS,AES</v>
      </c>
      <c r="AG723" t="s">
        <v>224</v>
      </c>
      <c r="AI723" t="s">
        <v>932</v>
      </c>
      <c r="AJ723" t="s">
        <v>15</v>
      </c>
    </row>
    <row r="724" spans="5:38" x14ac:dyDescent="0.25">
      <c r="I724" t="str">
        <f t="shared" si="60"/>
        <v>fatfury2</v>
      </c>
      <c r="J724" t="str">
        <f t="shared" si="61"/>
        <v/>
      </c>
      <c r="L724" t="str">
        <f t="shared" si="59"/>
        <v>NGM-047 (MVS), NGH-047 (AES)</v>
      </c>
      <c r="M724" t="str">
        <f t="shared" si="59"/>
        <v>19921210 (MVS), 19930305 (AES)</v>
      </c>
      <c r="N724" t="str">
        <f t="shared" si="59"/>
        <v>餓狼伝説2 ―新たなる闘い―</v>
      </c>
      <c r="O724" t="str">
        <f t="shared" si="59"/>
        <v/>
      </c>
      <c r="P724" t="str">
        <f t="shared" si="59"/>
        <v/>
      </c>
      <c r="T724" t="str">
        <f t="shared" si="62"/>
        <v/>
      </c>
      <c r="V724" t="str">
        <f t="shared" si="58"/>
        <v>MVS,AES</v>
      </c>
      <c r="W724" t="str">
        <f t="shared" si="58"/>
        <v>MVS,AES</v>
      </c>
      <c r="AG724" t="s">
        <v>6</v>
      </c>
      <c r="AH724" t="s">
        <v>5845</v>
      </c>
      <c r="AI724" t="s">
        <v>3</v>
      </c>
      <c r="AJ724" t="s">
        <v>15</v>
      </c>
      <c r="AK724" t="s">
        <v>5844</v>
      </c>
      <c r="AL724" t="s">
        <v>5843</v>
      </c>
    </row>
    <row r="725" spans="5:38" x14ac:dyDescent="0.25">
      <c r="I725" t="str">
        <f t="shared" si="60"/>
        <v>fatfury2</v>
      </c>
      <c r="J725" t="str">
        <f t="shared" si="61"/>
        <v/>
      </c>
      <c r="L725" t="str">
        <f t="shared" si="59"/>
        <v>NGM-047 (MVS), NGH-047 (AES)</v>
      </c>
      <c r="M725" t="str">
        <f t="shared" si="59"/>
        <v>19921210 (MVS), 19930305 (AES)</v>
      </c>
      <c r="N725" t="str">
        <f t="shared" si="59"/>
        <v>餓狼伝説2 ―新たなる闘い―</v>
      </c>
      <c r="O725" t="str">
        <f t="shared" si="59"/>
        <v/>
      </c>
      <c r="P725" t="str">
        <f t="shared" si="59"/>
        <v/>
      </c>
      <c r="T725" t="str">
        <f t="shared" si="62"/>
        <v/>
      </c>
      <c r="V725" t="str">
        <f t="shared" si="58"/>
        <v>MVS,AES</v>
      </c>
      <c r="W725" t="str">
        <f t="shared" si="58"/>
        <v>MVS,AES</v>
      </c>
      <c r="AG725" t="s">
        <v>224</v>
      </c>
      <c r="AI725" t="s">
        <v>75</v>
      </c>
      <c r="AJ725" t="s">
        <v>15</v>
      </c>
    </row>
    <row r="726" spans="5:38" x14ac:dyDescent="0.25">
      <c r="I726" t="str">
        <f t="shared" si="60"/>
        <v>fatfury2</v>
      </c>
      <c r="J726" t="str">
        <f t="shared" si="61"/>
        <v/>
      </c>
      <c r="L726" t="str">
        <f t="shared" si="59"/>
        <v>NGM-047 (MVS), NGH-047 (AES)</v>
      </c>
      <c r="M726" t="str">
        <f t="shared" si="59"/>
        <v>19921210 (MVS), 19930305 (AES)</v>
      </c>
      <c r="N726" t="str">
        <f t="shared" si="59"/>
        <v>餓狼伝説2 ―新たなる闘い―</v>
      </c>
      <c r="O726" t="str">
        <f t="shared" si="59"/>
        <v/>
      </c>
      <c r="P726" t="str">
        <f t="shared" si="59"/>
        <v/>
      </c>
      <c r="T726" t="str">
        <f t="shared" si="62"/>
        <v/>
      </c>
      <c r="V726" t="str">
        <f t="shared" si="58"/>
        <v>MVS,AES</v>
      </c>
      <c r="W726" t="str">
        <f t="shared" si="58"/>
        <v>MVS,AES</v>
      </c>
      <c r="AG726" t="s">
        <v>6</v>
      </c>
      <c r="AH726" t="s">
        <v>5842</v>
      </c>
      <c r="AI726" t="s">
        <v>4371</v>
      </c>
      <c r="AJ726" t="s">
        <v>15</v>
      </c>
      <c r="AK726" t="s">
        <v>5841</v>
      </c>
      <c r="AL726" t="s">
        <v>5840</v>
      </c>
    </row>
    <row r="727" spans="5:38" x14ac:dyDescent="0.25">
      <c r="I727" t="str">
        <f t="shared" si="60"/>
        <v>fatfury2</v>
      </c>
      <c r="J727" t="str">
        <f t="shared" si="61"/>
        <v/>
      </c>
      <c r="L727" t="str">
        <f t="shared" si="59"/>
        <v>NGM-047 (MVS), NGH-047 (AES)</v>
      </c>
      <c r="M727" t="str">
        <f t="shared" si="59"/>
        <v>19921210 (MVS), 19930305 (AES)</v>
      </c>
      <c r="N727" t="str">
        <f t="shared" si="59"/>
        <v>餓狼伝説2 ―新たなる闘い―</v>
      </c>
      <c r="O727" t="str">
        <f t="shared" si="59"/>
        <v/>
      </c>
      <c r="P727" t="str">
        <f t="shared" si="59"/>
        <v/>
      </c>
      <c r="T727" t="str">
        <f t="shared" si="62"/>
        <v/>
      </c>
      <c r="V727" t="str">
        <f t="shared" ref="V727:W790" si="63">IFERROR(VLOOKUP($I727&amp;V$1,$T:$AA,2,0),"")</f>
        <v>MVS,AES</v>
      </c>
      <c r="W727" t="str">
        <f t="shared" si="63"/>
        <v>MVS,AES</v>
      </c>
      <c r="AG727" t="s">
        <v>224</v>
      </c>
      <c r="AI727" t="s">
        <v>5274</v>
      </c>
      <c r="AJ727" t="s">
        <v>15</v>
      </c>
    </row>
    <row r="728" spans="5:38" x14ac:dyDescent="0.25">
      <c r="E728" t="s">
        <v>5839</v>
      </c>
      <c r="F728" t="s">
        <v>5838</v>
      </c>
      <c r="G728" t="s">
        <v>393</v>
      </c>
      <c r="H728" t="s">
        <v>4347</v>
      </c>
      <c r="I728" t="str">
        <f t="shared" si="60"/>
        <v>janshin</v>
      </c>
      <c r="J728" t="str">
        <f t="shared" si="61"/>
        <v>janshinserial</v>
      </c>
      <c r="K728" t="s">
        <v>1373</v>
      </c>
      <c r="L728" t="str">
        <f t="shared" si="59"/>
        <v>NGM-0048?</v>
      </c>
      <c r="M728" t="str">
        <f t="shared" si="59"/>
        <v>19940629</v>
      </c>
      <c r="N728" t="str">
        <f t="shared" si="59"/>
        <v>雀神伝説</v>
      </c>
      <c r="O728" t="str">
        <f t="shared" si="59"/>
        <v/>
      </c>
      <c r="P728" t="str">
        <f t="shared" si="59"/>
        <v/>
      </c>
      <c r="Q728" t="s">
        <v>5837</v>
      </c>
      <c r="S728" t="s">
        <v>46</v>
      </c>
      <c r="T728" t="str">
        <f t="shared" si="62"/>
        <v>janshinrelease</v>
      </c>
      <c r="U728" t="s">
        <v>106</v>
      </c>
      <c r="V728" t="str">
        <f t="shared" si="63"/>
        <v>MVS</v>
      </c>
      <c r="W728" t="str">
        <f t="shared" si="63"/>
        <v>MVS,AES</v>
      </c>
      <c r="Y728" t="s">
        <v>45</v>
      </c>
      <c r="Z728" t="s">
        <v>44</v>
      </c>
      <c r="AB728" t="s">
        <v>43</v>
      </c>
      <c r="AC728" t="s">
        <v>42</v>
      </c>
      <c r="AD728" t="s">
        <v>41</v>
      </c>
      <c r="AE728" t="s">
        <v>15</v>
      </c>
      <c r="AG728" t="s">
        <v>40</v>
      </c>
      <c r="AH728" t="s">
        <v>5836</v>
      </c>
      <c r="AI728" t="s">
        <v>9</v>
      </c>
      <c r="AJ728" t="s">
        <v>15</v>
      </c>
      <c r="AK728" t="s">
        <v>5835</v>
      </c>
      <c r="AL728" t="s">
        <v>5834</v>
      </c>
    </row>
    <row r="729" spans="5:38" x14ac:dyDescent="0.25">
      <c r="I729" t="str">
        <f t="shared" si="60"/>
        <v>janshin</v>
      </c>
      <c r="J729" t="str">
        <f t="shared" si="61"/>
        <v>janshinrelease</v>
      </c>
      <c r="K729" t="s">
        <v>46</v>
      </c>
      <c r="L729" t="str">
        <f t="shared" ref="L729:P779" si="64">IFERROR(VLOOKUP($I729&amp;L$1,$J:$Q,8,0),"")</f>
        <v>NGM-0048?</v>
      </c>
      <c r="M729" t="str">
        <f t="shared" si="64"/>
        <v>19940629</v>
      </c>
      <c r="N729" t="str">
        <f t="shared" si="64"/>
        <v>雀神伝説</v>
      </c>
      <c r="O729" t="str">
        <f t="shared" si="64"/>
        <v/>
      </c>
      <c r="P729" t="str">
        <f t="shared" si="64"/>
        <v/>
      </c>
      <c r="Q729" t="s">
        <v>5833</v>
      </c>
      <c r="T729" t="str">
        <f t="shared" si="62"/>
        <v/>
      </c>
      <c r="V729" t="str">
        <f t="shared" si="63"/>
        <v>MVS</v>
      </c>
      <c r="W729" t="str">
        <f t="shared" si="63"/>
        <v>MVS,AES</v>
      </c>
      <c r="AB729" t="s">
        <v>34</v>
      </c>
      <c r="AE729" t="s">
        <v>33</v>
      </c>
      <c r="AH729" t="s">
        <v>5832</v>
      </c>
      <c r="AI729" t="s">
        <v>9</v>
      </c>
      <c r="AJ729" t="s">
        <v>27</v>
      </c>
      <c r="AK729" t="s">
        <v>5831</v>
      </c>
      <c r="AL729" t="s">
        <v>5830</v>
      </c>
    </row>
    <row r="730" spans="5:38" x14ac:dyDescent="0.25">
      <c r="I730" t="str">
        <f t="shared" si="60"/>
        <v>janshin</v>
      </c>
      <c r="J730" t="str">
        <f t="shared" si="61"/>
        <v>janshinalt_title</v>
      </c>
      <c r="K730" t="s">
        <v>1218</v>
      </c>
      <c r="L730" t="str">
        <f t="shared" si="64"/>
        <v>NGM-0048?</v>
      </c>
      <c r="M730" t="str">
        <f t="shared" si="64"/>
        <v>19940629</v>
      </c>
      <c r="N730" t="str">
        <f t="shared" si="64"/>
        <v>雀神伝説</v>
      </c>
      <c r="O730" t="str">
        <f t="shared" si="64"/>
        <v/>
      </c>
      <c r="P730" t="str">
        <f t="shared" si="64"/>
        <v/>
      </c>
      <c r="Q730" t="s">
        <v>5829</v>
      </c>
      <c r="T730" t="str">
        <f t="shared" si="62"/>
        <v/>
      </c>
      <c r="V730" t="str">
        <f t="shared" si="63"/>
        <v>MVS</v>
      </c>
      <c r="W730" t="str">
        <f t="shared" si="63"/>
        <v>MVS,AES</v>
      </c>
      <c r="AB730" t="s">
        <v>29</v>
      </c>
      <c r="AE730" t="s">
        <v>27</v>
      </c>
      <c r="AH730" t="s">
        <v>5828</v>
      </c>
      <c r="AI730" t="s">
        <v>9</v>
      </c>
      <c r="AJ730" t="s">
        <v>27</v>
      </c>
      <c r="AK730" t="s">
        <v>5827</v>
      </c>
      <c r="AL730" t="s">
        <v>5826</v>
      </c>
    </row>
    <row r="731" spans="5:38" x14ac:dyDescent="0.25">
      <c r="I731" t="str">
        <f t="shared" si="60"/>
        <v>janshin</v>
      </c>
      <c r="J731" t="str">
        <f t="shared" si="61"/>
        <v/>
      </c>
      <c r="L731" t="str">
        <f t="shared" si="64"/>
        <v>NGM-0048?</v>
      </c>
      <c r="M731" t="str">
        <f t="shared" si="64"/>
        <v>19940629</v>
      </c>
      <c r="N731" t="str">
        <f t="shared" si="64"/>
        <v>雀神伝説</v>
      </c>
      <c r="O731" t="str">
        <f t="shared" si="64"/>
        <v/>
      </c>
      <c r="P731" t="str">
        <f t="shared" si="64"/>
        <v/>
      </c>
      <c r="S731" t="s">
        <v>36</v>
      </c>
      <c r="T731" t="str">
        <f t="shared" si="62"/>
        <v>janshincompatibility</v>
      </c>
      <c r="U731" t="s">
        <v>218</v>
      </c>
      <c r="V731" t="str">
        <f t="shared" si="63"/>
        <v>MVS</v>
      </c>
      <c r="W731" t="str">
        <f t="shared" si="63"/>
        <v>MVS,AES</v>
      </c>
      <c r="AB731" t="s">
        <v>24</v>
      </c>
      <c r="AE731" t="s">
        <v>3</v>
      </c>
      <c r="AH731" t="s">
        <v>5825</v>
      </c>
      <c r="AI731" t="s">
        <v>9</v>
      </c>
      <c r="AJ731" t="s">
        <v>3</v>
      </c>
      <c r="AK731" t="s">
        <v>5824</v>
      </c>
      <c r="AL731" t="s">
        <v>5823</v>
      </c>
    </row>
    <row r="732" spans="5:38" x14ac:dyDescent="0.25">
      <c r="I732" t="str">
        <f t="shared" si="60"/>
        <v>janshin</v>
      </c>
      <c r="J732" t="str">
        <f t="shared" si="61"/>
        <v/>
      </c>
      <c r="L732" t="str">
        <f t="shared" si="64"/>
        <v>NGM-0048?</v>
      </c>
      <c r="M732" t="str">
        <f t="shared" si="64"/>
        <v>19940629</v>
      </c>
      <c r="N732" t="str">
        <f t="shared" si="64"/>
        <v>雀神伝説</v>
      </c>
      <c r="O732" t="str">
        <f t="shared" si="64"/>
        <v/>
      </c>
      <c r="P732" t="str">
        <f t="shared" si="64"/>
        <v/>
      </c>
      <c r="T732" t="str">
        <f t="shared" si="62"/>
        <v/>
      </c>
      <c r="V732" t="str">
        <f t="shared" si="63"/>
        <v>MVS</v>
      </c>
      <c r="W732" t="str">
        <f t="shared" si="63"/>
        <v>MVS,AES</v>
      </c>
      <c r="AB732" t="s">
        <v>12</v>
      </c>
      <c r="AE732" t="s">
        <v>11</v>
      </c>
      <c r="AG732" t="s">
        <v>6</v>
      </c>
      <c r="AH732" t="s">
        <v>5822</v>
      </c>
      <c r="AI732" t="s">
        <v>9</v>
      </c>
      <c r="AJ732" t="s">
        <v>3</v>
      </c>
      <c r="AK732" t="s">
        <v>5821</v>
      </c>
      <c r="AL732" t="s">
        <v>5820</v>
      </c>
    </row>
    <row r="733" spans="5:38" x14ac:dyDescent="0.25">
      <c r="I733" t="str">
        <f t="shared" si="60"/>
        <v>janshin</v>
      </c>
      <c r="J733" t="str">
        <f t="shared" si="61"/>
        <v/>
      </c>
      <c r="L733" t="str">
        <f t="shared" si="64"/>
        <v>NGM-0048?</v>
      </c>
      <c r="M733" t="str">
        <f t="shared" si="64"/>
        <v>19940629</v>
      </c>
      <c r="N733" t="str">
        <f t="shared" si="64"/>
        <v>雀神伝説</v>
      </c>
      <c r="O733" t="str">
        <f t="shared" si="64"/>
        <v/>
      </c>
      <c r="P733" t="str">
        <f t="shared" si="64"/>
        <v/>
      </c>
      <c r="T733" t="str">
        <f t="shared" si="62"/>
        <v/>
      </c>
      <c r="V733" t="str">
        <f t="shared" si="63"/>
        <v>MVS</v>
      </c>
      <c r="W733" t="str">
        <f t="shared" si="63"/>
        <v>MVS,AES</v>
      </c>
      <c r="AG733" t="s">
        <v>6</v>
      </c>
      <c r="AH733" t="s">
        <v>5819</v>
      </c>
      <c r="AI733" t="s">
        <v>4</v>
      </c>
      <c r="AJ733" t="s">
        <v>3</v>
      </c>
      <c r="AK733" t="s">
        <v>5818</v>
      </c>
      <c r="AL733" t="s">
        <v>5817</v>
      </c>
    </row>
    <row r="734" spans="5:38" x14ac:dyDescent="0.25">
      <c r="E734" t="s">
        <v>5816</v>
      </c>
      <c r="F734" t="s">
        <v>5815</v>
      </c>
      <c r="G734" t="s">
        <v>5639</v>
      </c>
      <c r="H734" t="s">
        <v>1912</v>
      </c>
      <c r="I734" t="str">
        <f t="shared" si="60"/>
        <v>androdun</v>
      </c>
      <c r="J734" t="str">
        <f t="shared" si="61"/>
        <v>androdunserial</v>
      </c>
      <c r="K734" t="s">
        <v>1373</v>
      </c>
      <c r="L734" t="str">
        <f t="shared" si="64"/>
        <v>NGM-049 (MVS), NGH-049 (AES)</v>
      </c>
      <c r="M734" t="str">
        <f t="shared" si="64"/>
        <v>19920615 (MVS), 19920717 (AES)</v>
      </c>
      <c r="N734" t="str">
        <f t="shared" si="64"/>
        <v>アンドロデュノス</v>
      </c>
      <c r="O734" t="str">
        <f t="shared" si="64"/>
        <v/>
      </c>
      <c r="P734" t="str">
        <f t="shared" si="64"/>
        <v/>
      </c>
      <c r="Q734" t="s">
        <v>5814</v>
      </c>
      <c r="S734" t="s">
        <v>46</v>
      </c>
      <c r="T734" t="str">
        <f t="shared" si="62"/>
        <v>androdunrelease</v>
      </c>
      <c r="U734" t="s">
        <v>218</v>
      </c>
      <c r="V734" t="str">
        <f t="shared" si="63"/>
        <v>MVS,AES</v>
      </c>
      <c r="W734" t="str">
        <f t="shared" si="63"/>
        <v>MVS,AES</v>
      </c>
      <c r="Y734" t="s">
        <v>45</v>
      </c>
      <c r="Z734" t="s">
        <v>44</v>
      </c>
      <c r="AB734" t="s">
        <v>43</v>
      </c>
      <c r="AC734" t="s">
        <v>42</v>
      </c>
      <c r="AD734" t="s">
        <v>41</v>
      </c>
      <c r="AE734" t="s">
        <v>15</v>
      </c>
      <c r="AG734" t="s">
        <v>40</v>
      </c>
      <c r="AH734" t="s">
        <v>5813</v>
      </c>
      <c r="AI734" t="s">
        <v>9</v>
      </c>
      <c r="AJ734" t="s">
        <v>92</v>
      </c>
      <c r="AK734" t="s">
        <v>5812</v>
      </c>
      <c r="AL734" t="s">
        <v>5811</v>
      </c>
    </row>
    <row r="735" spans="5:38" x14ac:dyDescent="0.25">
      <c r="I735" t="str">
        <f t="shared" si="60"/>
        <v>androdun</v>
      </c>
      <c r="J735" t="str">
        <f t="shared" si="61"/>
        <v>androdunrelease</v>
      </c>
      <c r="K735" t="s">
        <v>46</v>
      </c>
      <c r="L735" t="str">
        <f t="shared" si="64"/>
        <v>NGM-049 (MVS), NGH-049 (AES)</v>
      </c>
      <c r="M735" t="str">
        <f t="shared" si="64"/>
        <v>19920615 (MVS), 19920717 (AES)</v>
      </c>
      <c r="N735" t="str">
        <f t="shared" si="64"/>
        <v>アンドロデュノス</v>
      </c>
      <c r="O735" t="str">
        <f t="shared" si="64"/>
        <v/>
      </c>
      <c r="P735" t="str">
        <f t="shared" si="64"/>
        <v/>
      </c>
      <c r="Q735" t="s">
        <v>5810</v>
      </c>
      <c r="T735" t="str">
        <f t="shared" si="62"/>
        <v/>
      </c>
      <c r="V735" t="str">
        <f t="shared" si="63"/>
        <v>MVS,AES</v>
      </c>
      <c r="W735" t="str">
        <f t="shared" si="63"/>
        <v>MVS,AES</v>
      </c>
      <c r="AG735" t="s">
        <v>40</v>
      </c>
      <c r="AH735" t="s">
        <v>5809</v>
      </c>
      <c r="AI735" t="s">
        <v>92</v>
      </c>
      <c r="AJ735" t="s">
        <v>92</v>
      </c>
      <c r="AK735" t="s">
        <v>5808</v>
      </c>
      <c r="AL735" t="s">
        <v>5807</v>
      </c>
    </row>
    <row r="736" spans="5:38" x14ac:dyDescent="0.25">
      <c r="I736" t="str">
        <f t="shared" si="60"/>
        <v>androdun</v>
      </c>
      <c r="J736" t="str">
        <f t="shared" si="61"/>
        <v>androdunalt_title</v>
      </c>
      <c r="K736" t="s">
        <v>1218</v>
      </c>
      <c r="L736" t="str">
        <f t="shared" si="64"/>
        <v>NGM-049 (MVS), NGH-049 (AES)</v>
      </c>
      <c r="M736" t="str">
        <f t="shared" si="64"/>
        <v>19920615 (MVS), 19920717 (AES)</v>
      </c>
      <c r="N736" t="str">
        <f t="shared" si="64"/>
        <v>アンドロデュノス</v>
      </c>
      <c r="O736" t="str">
        <f t="shared" si="64"/>
        <v/>
      </c>
      <c r="P736" t="str">
        <f t="shared" si="64"/>
        <v/>
      </c>
      <c r="Q736" t="s">
        <v>5806</v>
      </c>
      <c r="T736" t="str">
        <f t="shared" si="62"/>
        <v/>
      </c>
      <c r="V736" t="str">
        <f t="shared" si="63"/>
        <v>MVS,AES</v>
      </c>
      <c r="W736" t="str">
        <f t="shared" si="63"/>
        <v>MVS,AES</v>
      </c>
      <c r="AB736" t="s">
        <v>34</v>
      </c>
      <c r="AE736" t="s">
        <v>33</v>
      </c>
      <c r="AH736" t="s">
        <v>5805</v>
      </c>
      <c r="AI736" t="s">
        <v>9</v>
      </c>
      <c r="AJ736" t="s">
        <v>27</v>
      </c>
      <c r="AK736" t="s">
        <v>5804</v>
      </c>
      <c r="AL736" t="s">
        <v>5803</v>
      </c>
    </row>
    <row r="737" spans="5:38" x14ac:dyDescent="0.25">
      <c r="I737" t="str">
        <f t="shared" si="60"/>
        <v>androdun</v>
      </c>
      <c r="J737" t="str">
        <f t="shared" si="61"/>
        <v/>
      </c>
      <c r="L737" t="str">
        <f t="shared" si="64"/>
        <v>NGM-049 (MVS), NGH-049 (AES)</v>
      </c>
      <c r="M737" t="str">
        <f t="shared" si="64"/>
        <v>19920615 (MVS), 19920717 (AES)</v>
      </c>
      <c r="N737" t="str">
        <f t="shared" si="64"/>
        <v>アンドロデュノス</v>
      </c>
      <c r="O737" t="str">
        <f t="shared" si="64"/>
        <v/>
      </c>
      <c r="P737" t="str">
        <f t="shared" si="64"/>
        <v/>
      </c>
      <c r="S737" t="s">
        <v>36</v>
      </c>
      <c r="T737" t="str">
        <f t="shared" si="62"/>
        <v>androduncompatibility</v>
      </c>
      <c r="U737" t="s">
        <v>218</v>
      </c>
      <c r="V737" t="str">
        <f t="shared" si="63"/>
        <v>MVS,AES</v>
      </c>
      <c r="W737" t="str">
        <f t="shared" si="63"/>
        <v>MVS,AES</v>
      </c>
      <c r="AB737" t="s">
        <v>29</v>
      </c>
      <c r="AE737" t="s">
        <v>27</v>
      </c>
      <c r="AH737" t="s">
        <v>5802</v>
      </c>
      <c r="AI737" t="s">
        <v>9</v>
      </c>
      <c r="AJ737" t="s">
        <v>27</v>
      </c>
      <c r="AK737" t="s">
        <v>5801</v>
      </c>
      <c r="AL737" t="s">
        <v>5800</v>
      </c>
    </row>
    <row r="738" spans="5:38" x14ac:dyDescent="0.25">
      <c r="I738" t="str">
        <f t="shared" si="60"/>
        <v>androdun</v>
      </c>
      <c r="J738" t="str">
        <f t="shared" si="61"/>
        <v/>
      </c>
      <c r="L738" t="str">
        <f t="shared" si="64"/>
        <v>NGM-049 (MVS), NGH-049 (AES)</v>
      </c>
      <c r="M738" t="str">
        <f t="shared" si="64"/>
        <v>19920615 (MVS), 19920717 (AES)</v>
      </c>
      <c r="N738" t="str">
        <f t="shared" si="64"/>
        <v>アンドロデュノス</v>
      </c>
      <c r="O738" t="str">
        <f t="shared" si="64"/>
        <v/>
      </c>
      <c r="P738" t="str">
        <f t="shared" si="64"/>
        <v/>
      </c>
      <c r="T738" t="str">
        <f t="shared" si="62"/>
        <v/>
      </c>
      <c r="V738" t="str">
        <f t="shared" si="63"/>
        <v>MVS,AES</v>
      </c>
      <c r="W738" t="str">
        <f t="shared" si="63"/>
        <v>MVS,AES</v>
      </c>
      <c r="AB738" t="s">
        <v>24</v>
      </c>
      <c r="AE738" t="s">
        <v>15</v>
      </c>
      <c r="AH738" t="s">
        <v>5799</v>
      </c>
      <c r="AI738" t="s">
        <v>9</v>
      </c>
      <c r="AJ738" t="s">
        <v>15</v>
      </c>
      <c r="AK738" t="s">
        <v>5798</v>
      </c>
      <c r="AL738" t="s">
        <v>5797</v>
      </c>
    </row>
    <row r="739" spans="5:38" x14ac:dyDescent="0.25">
      <c r="I739" t="str">
        <f t="shared" si="60"/>
        <v>androdun</v>
      </c>
      <c r="J739" t="str">
        <f t="shared" si="61"/>
        <v/>
      </c>
      <c r="L739" t="str">
        <f t="shared" si="64"/>
        <v>NGM-049 (MVS), NGH-049 (AES)</v>
      </c>
      <c r="M739" t="str">
        <f t="shared" si="64"/>
        <v>19920615 (MVS), 19920717 (AES)</v>
      </c>
      <c r="N739" t="str">
        <f t="shared" si="64"/>
        <v>アンドロデュノス</v>
      </c>
      <c r="O739" t="str">
        <f t="shared" si="64"/>
        <v/>
      </c>
      <c r="P739" t="str">
        <f t="shared" si="64"/>
        <v/>
      </c>
      <c r="T739" t="str">
        <f t="shared" si="62"/>
        <v/>
      </c>
      <c r="V739" t="str">
        <f t="shared" si="63"/>
        <v>MVS,AES</v>
      </c>
      <c r="W739" t="str">
        <f t="shared" si="63"/>
        <v>MVS,AES</v>
      </c>
      <c r="AB739" t="s">
        <v>12</v>
      </c>
      <c r="AE739" t="s">
        <v>3</v>
      </c>
      <c r="AG739" t="s">
        <v>6</v>
      </c>
      <c r="AH739" t="s">
        <v>5796</v>
      </c>
      <c r="AI739" t="s">
        <v>9</v>
      </c>
      <c r="AJ739" t="s">
        <v>15</v>
      </c>
      <c r="AK739" t="s">
        <v>5795</v>
      </c>
      <c r="AL739" t="s">
        <v>5794</v>
      </c>
    </row>
    <row r="740" spans="5:38" x14ac:dyDescent="0.25">
      <c r="I740" t="str">
        <f t="shared" si="60"/>
        <v>androdun</v>
      </c>
      <c r="J740" t="str">
        <f t="shared" si="61"/>
        <v/>
      </c>
      <c r="L740" t="str">
        <f t="shared" si="64"/>
        <v>NGM-049 (MVS), NGH-049 (AES)</v>
      </c>
      <c r="M740" t="str">
        <f t="shared" si="64"/>
        <v>19920615 (MVS), 19920717 (AES)</v>
      </c>
      <c r="N740" t="str">
        <f t="shared" si="64"/>
        <v>アンドロデュノス</v>
      </c>
      <c r="O740" t="str">
        <f t="shared" si="64"/>
        <v/>
      </c>
      <c r="P740" t="str">
        <f t="shared" si="64"/>
        <v/>
      </c>
      <c r="T740" t="str">
        <f t="shared" si="62"/>
        <v/>
      </c>
      <c r="V740" t="str">
        <f t="shared" si="63"/>
        <v>MVS,AES</v>
      </c>
      <c r="W740" t="str">
        <f t="shared" si="63"/>
        <v>MVS,AES</v>
      </c>
      <c r="AG740" t="s">
        <v>6</v>
      </c>
      <c r="AH740" t="s">
        <v>5793</v>
      </c>
      <c r="AI740" t="s">
        <v>4</v>
      </c>
      <c r="AJ740" t="s">
        <v>15</v>
      </c>
      <c r="AK740" t="s">
        <v>5792</v>
      </c>
      <c r="AL740" t="s">
        <v>5791</v>
      </c>
    </row>
    <row r="741" spans="5:38" x14ac:dyDescent="0.25">
      <c r="E741" t="s">
        <v>5790</v>
      </c>
      <c r="F741" t="s">
        <v>5789</v>
      </c>
      <c r="G741" t="s">
        <v>5639</v>
      </c>
      <c r="H741" t="s">
        <v>5638</v>
      </c>
      <c r="I741" t="str">
        <f t="shared" si="60"/>
        <v>ncommand</v>
      </c>
      <c r="J741" t="str">
        <f t="shared" si="61"/>
        <v>ncommandserial</v>
      </c>
      <c r="K741" t="s">
        <v>1373</v>
      </c>
      <c r="L741" t="str">
        <f t="shared" si="64"/>
        <v>NGM-050 / ALM-004 (MVS), NGH-050 / ALH-004 (AES)</v>
      </c>
      <c r="M741" t="str">
        <f t="shared" si="64"/>
        <v>19920430 (MVS), 19920529 (AES)</v>
      </c>
      <c r="N741" t="str">
        <f t="shared" si="64"/>
        <v>ニンジャコマンドー</v>
      </c>
      <c r="O741" t="str">
        <f t="shared" si="64"/>
        <v/>
      </c>
      <c r="P741" t="str">
        <f t="shared" si="64"/>
        <v/>
      </c>
      <c r="Q741" t="s">
        <v>5788</v>
      </c>
      <c r="S741" t="s">
        <v>46</v>
      </c>
      <c r="T741" t="str">
        <f t="shared" si="62"/>
        <v>ncommandrelease</v>
      </c>
      <c r="U741" t="s">
        <v>218</v>
      </c>
      <c r="V741" t="str">
        <f t="shared" si="63"/>
        <v>MVS,AES</v>
      </c>
      <c r="W741" t="str">
        <f t="shared" si="63"/>
        <v>MVS,AES</v>
      </c>
      <c r="Y741" t="s">
        <v>45</v>
      </c>
      <c r="Z741" t="s">
        <v>44</v>
      </c>
      <c r="AB741" t="s">
        <v>43</v>
      </c>
      <c r="AC741" t="s">
        <v>42</v>
      </c>
      <c r="AD741" t="s">
        <v>41</v>
      </c>
      <c r="AE741" t="s">
        <v>15</v>
      </c>
      <c r="AG741" t="s">
        <v>40</v>
      </c>
      <c r="AH741" t="s">
        <v>5787</v>
      </c>
      <c r="AI741" t="s">
        <v>9</v>
      </c>
      <c r="AJ741" t="s">
        <v>15</v>
      </c>
      <c r="AK741" t="s">
        <v>5786</v>
      </c>
      <c r="AL741" t="s">
        <v>5785</v>
      </c>
    </row>
    <row r="742" spans="5:38" x14ac:dyDescent="0.25">
      <c r="I742" t="str">
        <f t="shared" si="60"/>
        <v>ncommand</v>
      </c>
      <c r="J742" t="str">
        <f t="shared" si="61"/>
        <v>ncommandrelease</v>
      </c>
      <c r="K742" t="s">
        <v>46</v>
      </c>
      <c r="L742" t="str">
        <f t="shared" si="64"/>
        <v>NGM-050 / ALM-004 (MVS), NGH-050 / ALH-004 (AES)</v>
      </c>
      <c r="M742" t="str">
        <f t="shared" si="64"/>
        <v>19920430 (MVS), 19920529 (AES)</v>
      </c>
      <c r="N742" t="str">
        <f t="shared" si="64"/>
        <v>ニンジャコマンドー</v>
      </c>
      <c r="O742" t="str">
        <f t="shared" si="64"/>
        <v/>
      </c>
      <c r="P742" t="str">
        <f t="shared" si="64"/>
        <v/>
      </c>
      <c r="Q742" t="s">
        <v>5784</v>
      </c>
      <c r="T742" t="str">
        <f t="shared" si="62"/>
        <v/>
      </c>
      <c r="V742" t="str">
        <f t="shared" si="63"/>
        <v>MVS,AES</v>
      </c>
      <c r="W742" t="str">
        <f t="shared" si="63"/>
        <v>MVS,AES</v>
      </c>
      <c r="AB742" t="s">
        <v>34</v>
      </c>
      <c r="AE742" t="s">
        <v>33</v>
      </c>
      <c r="AH742" t="s">
        <v>5783</v>
      </c>
      <c r="AI742" t="s">
        <v>9</v>
      </c>
      <c r="AJ742" t="s">
        <v>27</v>
      </c>
      <c r="AK742" t="s">
        <v>5782</v>
      </c>
      <c r="AL742" t="s">
        <v>5781</v>
      </c>
    </row>
    <row r="743" spans="5:38" x14ac:dyDescent="0.25">
      <c r="I743" t="str">
        <f t="shared" si="60"/>
        <v>ncommand</v>
      </c>
      <c r="J743" t="str">
        <f t="shared" si="61"/>
        <v>ncommandalt_title</v>
      </c>
      <c r="K743" t="s">
        <v>1218</v>
      </c>
      <c r="L743" t="str">
        <f t="shared" si="64"/>
        <v>NGM-050 / ALM-004 (MVS), NGH-050 / ALH-004 (AES)</v>
      </c>
      <c r="M743" t="str">
        <f t="shared" si="64"/>
        <v>19920430 (MVS), 19920529 (AES)</v>
      </c>
      <c r="N743" t="str">
        <f t="shared" si="64"/>
        <v>ニンジャコマンドー</v>
      </c>
      <c r="O743" t="str">
        <f t="shared" si="64"/>
        <v/>
      </c>
      <c r="P743" t="str">
        <f t="shared" si="64"/>
        <v/>
      </c>
      <c r="Q743" t="s">
        <v>5780</v>
      </c>
      <c r="T743" t="str">
        <f t="shared" si="62"/>
        <v/>
      </c>
      <c r="V743" t="str">
        <f t="shared" si="63"/>
        <v>MVS,AES</v>
      </c>
      <c r="W743" t="str">
        <f t="shared" si="63"/>
        <v>MVS,AES</v>
      </c>
      <c r="AB743" t="s">
        <v>29</v>
      </c>
      <c r="AE743" t="s">
        <v>27</v>
      </c>
      <c r="AH743" t="s">
        <v>5779</v>
      </c>
      <c r="AI743" t="s">
        <v>9</v>
      </c>
      <c r="AJ743" t="s">
        <v>27</v>
      </c>
      <c r="AK743" t="s">
        <v>5778</v>
      </c>
      <c r="AL743" t="s">
        <v>5777</v>
      </c>
    </row>
    <row r="744" spans="5:38" x14ac:dyDescent="0.25">
      <c r="I744" t="str">
        <f t="shared" si="60"/>
        <v>ncommand</v>
      </c>
      <c r="J744" t="str">
        <f t="shared" si="61"/>
        <v/>
      </c>
      <c r="L744" t="str">
        <f t="shared" si="64"/>
        <v>NGM-050 / ALM-004 (MVS), NGH-050 / ALH-004 (AES)</v>
      </c>
      <c r="M744" t="str">
        <f t="shared" si="64"/>
        <v>19920430 (MVS), 19920529 (AES)</v>
      </c>
      <c r="N744" t="str">
        <f t="shared" si="64"/>
        <v>ニンジャコマンドー</v>
      </c>
      <c r="O744" t="str">
        <f t="shared" si="64"/>
        <v/>
      </c>
      <c r="P744" t="str">
        <f t="shared" si="64"/>
        <v/>
      </c>
      <c r="S744" t="s">
        <v>36</v>
      </c>
      <c r="T744" t="str">
        <f t="shared" si="62"/>
        <v>ncommandcompatibility</v>
      </c>
      <c r="U744" t="s">
        <v>218</v>
      </c>
      <c r="V744" t="str">
        <f t="shared" si="63"/>
        <v>MVS,AES</v>
      </c>
      <c r="W744" t="str">
        <f t="shared" si="63"/>
        <v>MVS,AES</v>
      </c>
      <c r="AB744" t="s">
        <v>24</v>
      </c>
      <c r="AE744" t="s">
        <v>4502</v>
      </c>
      <c r="AH744" t="s">
        <v>5776</v>
      </c>
      <c r="AI744" t="s">
        <v>9</v>
      </c>
      <c r="AJ744" t="s">
        <v>15</v>
      </c>
      <c r="AK744" t="s">
        <v>5775</v>
      </c>
      <c r="AL744" t="s">
        <v>5774</v>
      </c>
    </row>
    <row r="745" spans="5:38" x14ac:dyDescent="0.25">
      <c r="I745" t="str">
        <f t="shared" si="60"/>
        <v>ncommand</v>
      </c>
      <c r="J745" t="str">
        <f t="shared" si="61"/>
        <v/>
      </c>
      <c r="L745" t="str">
        <f t="shared" si="64"/>
        <v>NGM-050 / ALM-004 (MVS), NGH-050 / ALH-004 (AES)</v>
      </c>
      <c r="M745" t="str">
        <f t="shared" si="64"/>
        <v>19920430 (MVS), 19920529 (AES)</v>
      </c>
      <c r="N745" t="str">
        <f t="shared" si="64"/>
        <v>ニンジャコマンドー</v>
      </c>
      <c r="O745" t="str">
        <f t="shared" si="64"/>
        <v/>
      </c>
      <c r="P745" t="str">
        <f t="shared" si="64"/>
        <v/>
      </c>
      <c r="T745" t="str">
        <f t="shared" si="62"/>
        <v/>
      </c>
      <c r="V745" t="str">
        <f t="shared" si="63"/>
        <v>MVS,AES</v>
      </c>
      <c r="W745" t="str">
        <f t="shared" si="63"/>
        <v>MVS,AES</v>
      </c>
      <c r="AH745" t="s">
        <v>5773</v>
      </c>
      <c r="AI745" t="s">
        <v>15</v>
      </c>
      <c r="AJ745" t="s">
        <v>92</v>
      </c>
      <c r="AK745" t="s">
        <v>5772</v>
      </c>
      <c r="AL745" t="s">
        <v>5771</v>
      </c>
    </row>
    <row r="746" spans="5:38" x14ac:dyDescent="0.25">
      <c r="I746" t="str">
        <f t="shared" si="60"/>
        <v>ncommand</v>
      </c>
      <c r="J746" t="str">
        <f t="shared" si="61"/>
        <v/>
      </c>
      <c r="L746" t="str">
        <f t="shared" si="64"/>
        <v>NGM-050 / ALM-004 (MVS), NGH-050 / ALH-004 (AES)</v>
      </c>
      <c r="M746" t="str">
        <f t="shared" si="64"/>
        <v>19920430 (MVS), 19920529 (AES)</v>
      </c>
      <c r="N746" t="str">
        <f t="shared" si="64"/>
        <v>ニンジャコマンドー</v>
      </c>
      <c r="O746" t="str">
        <f t="shared" si="64"/>
        <v/>
      </c>
      <c r="P746" t="str">
        <f t="shared" si="64"/>
        <v/>
      </c>
      <c r="T746" t="str">
        <f t="shared" si="62"/>
        <v/>
      </c>
      <c r="V746" t="str">
        <f t="shared" si="63"/>
        <v>MVS,AES</v>
      </c>
      <c r="W746" t="str">
        <f t="shared" si="63"/>
        <v>MVS,AES</v>
      </c>
      <c r="AB746" t="s">
        <v>12</v>
      </c>
      <c r="AE746" t="s">
        <v>11</v>
      </c>
      <c r="AG746" t="s">
        <v>6</v>
      </c>
      <c r="AH746" t="s">
        <v>5770</v>
      </c>
      <c r="AI746" t="s">
        <v>9</v>
      </c>
      <c r="AJ746" t="s">
        <v>15</v>
      </c>
      <c r="AK746" t="s">
        <v>5769</v>
      </c>
      <c r="AL746" t="s">
        <v>5768</v>
      </c>
    </row>
    <row r="747" spans="5:38" x14ac:dyDescent="0.25">
      <c r="I747" t="str">
        <f t="shared" si="60"/>
        <v>ncommand</v>
      </c>
      <c r="J747" t="str">
        <f t="shared" si="61"/>
        <v/>
      </c>
      <c r="L747" t="str">
        <f t="shared" si="64"/>
        <v>NGM-050 / ALM-004 (MVS), NGH-050 / ALH-004 (AES)</v>
      </c>
      <c r="M747" t="str">
        <f t="shared" si="64"/>
        <v>19920430 (MVS), 19920529 (AES)</v>
      </c>
      <c r="N747" t="str">
        <f t="shared" si="64"/>
        <v>ニンジャコマンドー</v>
      </c>
      <c r="O747" t="str">
        <f t="shared" si="64"/>
        <v/>
      </c>
      <c r="P747" t="str">
        <f t="shared" si="64"/>
        <v/>
      </c>
      <c r="T747" t="str">
        <f t="shared" si="62"/>
        <v/>
      </c>
      <c r="V747" t="str">
        <f t="shared" si="63"/>
        <v>MVS,AES</v>
      </c>
      <c r="W747" t="str">
        <f t="shared" si="63"/>
        <v>MVS,AES</v>
      </c>
      <c r="AG747" t="s">
        <v>6</v>
      </c>
      <c r="AH747" t="s">
        <v>5767</v>
      </c>
      <c r="AI747" t="s">
        <v>4</v>
      </c>
      <c r="AJ747" t="s">
        <v>15</v>
      </c>
      <c r="AK747" t="s">
        <v>5766</v>
      </c>
      <c r="AL747" t="s">
        <v>5765</v>
      </c>
    </row>
    <row r="748" spans="5:38" x14ac:dyDescent="0.25">
      <c r="I748" t="str">
        <f t="shared" si="60"/>
        <v>ncommand</v>
      </c>
      <c r="J748" t="str">
        <f t="shared" si="61"/>
        <v/>
      </c>
      <c r="L748" t="str">
        <f t="shared" si="64"/>
        <v>NGM-050 / ALM-004 (MVS), NGH-050 / ALH-004 (AES)</v>
      </c>
      <c r="M748" t="str">
        <f t="shared" si="64"/>
        <v>19920430 (MVS), 19920529 (AES)</v>
      </c>
      <c r="N748" t="str">
        <f t="shared" si="64"/>
        <v>ニンジャコマンドー</v>
      </c>
      <c r="O748" t="str">
        <f t="shared" si="64"/>
        <v/>
      </c>
      <c r="P748" t="str">
        <f t="shared" si="64"/>
        <v/>
      </c>
      <c r="T748" t="str">
        <f t="shared" si="62"/>
        <v/>
      </c>
      <c r="V748" t="str">
        <f t="shared" si="63"/>
        <v>MVS,AES</v>
      </c>
      <c r="W748" t="str">
        <f t="shared" si="63"/>
        <v>MVS,AES</v>
      </c>
      <c r="AG748" t="s">
        <v>6</v>
      </c>
      <c r="AH748" t="s">
        <v>5764</v>
      </c>
      <c r="AI748" t="s">
        <v>3</v>
      </c>
      <c r="AJ748" t="s">
        <v>15</v>
      </c>
      <c r="AK748" t="s">
        <v>5763</v>
      </c>
      <c r="AL748" t="s">
        <v>5762</v>
      </c>
    </row>
    <row r="749" spans="5:38" x14ac:dyDescent="0.25">
      <c r="I749" t="str">
        <f t="shared" si="60"/>
        <v>ncommand</v>
      </c>
      <c r="J749" t="str">
        <f t="shared" si="61"/>
        <v/>
      </c>
      <c r="L749" t="str">
        <f t="shared" si="64"/>
        <v>NGM-050 / ALM-004 (MVS), NGH-050 / ALH-004 (AES)</v>
      </c>
      <c r="M749" t="str">
        <f t="shared" si="64"/>
        <v>19920430 (MVS), 19920529 (AES)</v>
      </c>
      <c r="N749" t="str">
        <f t="shared" si="64"/>
        <v>ニンジャコマンドー</v>
      </c>
      <c r="O749" t="str">
        <f t="shared" si="64"/>
        <v/>
      </c>
      <c r="P749" t="str">
        <f t="shared" si="64"/>
        <v/>
      </c>
      <c r="T749" t="str">
        <f t="shared" si="62"/>
        <v/>
      </c>
      <c r="V749" t="str">
        <f t="shared" si="63"/>
        <v>MVS,AES</v>
      </c>
      <c r="W749" t="str">
        <f t="shared" si="63"/>
        <v>MVS,AES</v>
      </c>
      <c r="AG749" t="s">
        <v>6</v>
      </c>
      <c r="AH749" t="s">
        <v>5761</v>
      </c>
      <c r="AI749" t="s">
        <v>4371</v>
      </c>
      <c r="AJ749" t="s">
        <v>15</v>
      </c>
      <c r="AK749" t="s">
        <v>5760</v>
      </c>
      <c r="AL749" t="s">
        <v>5759</v>
      </c>
    </row>
    <row r="750" spans="5:38" x14ac:dyDescent="0.25">
      <c r="E750" t="s">
        <v>5731</v>
      </c>
      <c r="F750" t="s">
        <v>5758</v>
      </c>
      <c r="G750" t="s">
        <v>5639</v>
      </c>
      <c r="H750" t="s">
        <v>5736</v>
      </c>
      <c r="I750" t="str">
        <f t="shared" si="60"/>
        <v>viewpoin</v>
      </c>
      <c r="J750" t="str">
        <f t="shared" si="61"/>
        <v>viewpoinserial</v>
      </c>
      <c r="K750" t="s">
        <v>1373</v>
      </c>
      <c r="L750" t="str">
        <f t="shared" si="64"/>
        <v>NGM-051 (MVS), NGH-051 (AES)</v>
      </c>
      <c r="M750" t="str">
        <f t="shared" si="64"/>
        <v>19921120 (MVS), 19921211 (AES)</v>
      </c>
      <c r="N750" t="str">
        <f t="shared" si="64"/>
        <v>ビューポイント</v>
      </c>
      <c r="O750" t="str">
        <f t="shared" si="64"/>
        <v/>
      </c>
      <c r="P750" t="str">
        <f t="shared" si="64"/>
        <v/>
      </c>
      <c r="Q750" t="s">
        <v>5757</v>
      </c>
      <c r="S750" t="s">
        <v>46</v>
      </c>
      <c r="T750" t="str">
        <f t="shared" si="62"/>
        <v>viewpoinrelease</v>
      </c>
      <c r="U750" t="s">
        <v>218</v>
      </c>
      <c r="V750" t="str">
        <f t="shared" si="63"/>
        <v>MVS,AES</v>
      </c>
      <c r="W750" t="str">
        <f t="shared" si="63"/>
        <v>MVS,AES</v>
      </c>
      <c r="Y750" t="s">
        <v>45</v>
      </c>
      <c r="Z750" t="s">
        <v>44</v>
      </c>
      <c r="AB750" t="s">
        <v>43</v>
      </c>
      <c r="AC750" t="s">
        <v>42</v>
      </c>
      <c r="AD750" t="s">
        <v>41</v>
      </c>
      <c r="AE750" t="s">
        <v>15</v>
      </c>
      <c r="AG750" t="s">
        <v>40</v>
      </c>
      <c r="AH750" t="s">
        <v>5756</v>
      </c>
      <c r="AI750" t="s">
        <v>9</v>
      </c>
      <c r="AJ750" t="s">
        <v>15</v>
      </c>
      <c r="AK750" t="s">
        <v>5755</v>
      </c>
      <c r="AL750" t="s">
        <v>5754</v>
      </c>
    </row>
    <row r="751" spans="5:38" x14ac:dyDescent="0.25">
      <c r="I751" t="str">
        <f t="shared" si="60"/>
        <v>viewpoin</v>
      </c>
      <c r="J751" t="str">
        <f t="shared" si="61"/>
        <v>viewpoinrelease</v>
      </c>
      <c r="K751" t="s">
        <v>46</v>
      </c>
      <c r="L751" t="str">
        <f t="shared" si="64"/>
        <v>NGM-051 (MVS), NGH-051 (AES)</v>
      </c>
      <c r="M751" t="str">
        <f t="shared" si="64"/>
        <v>19921120 (MVS), 19921211 (AES)</v>
      </c>
      <c r="N751" t="str">
        <f t="shared" si="64"/>
        <v>ビューポイント</v>
      </c>
      <c r="O751" t="str">
        <f t="shared" si="64"/>
        <v/>
      </c>
      <c r="P751" t="str">
        <f t="shared" si="64"/>
        <v/>
      </c>
      <c r="Q751" t="s">
        <v>5753</v>
      </c>
      <c r="T751" t="str">
        <f t="shared" si="62"/>
        <v/>
      </c>
      <c r="V751" t="str">
        <f t="shared" si="63"/>
        <v>MVS,AES</v>
      </c>
      <c r="W751" t="str">
        <f t="shared" si="63"/>
        <v>MVS,AES</v>
      </c>
      <c r="AB751" t="s">
        <v>34</v>
      </c>
      <c r="AE751" t="s">
        <v>33</v>
      </c>
      <c r="AH751" t="s">
        <v>5752</v>
      </c>
      <c r="AI751" t="s">
        <v>9</v>
      </c>
      <c r="AJ751" t="s">
        <v>27</v>
      </c>
      <c r="AK751" t="s">
        <v>5726</v>
      </c>
      <c r="AL751" t="s">
        <v>5725</v>
      </c>
    </row>
    <row r="752" spans="5:38" x14ac:dyDescent="0.25">
      <c r="I752" t="str">
        <f t="shared" si="60"/>
        <v>viewpoin</v>
      </c>
      <c r="J752" t="str">
        <f t="shared" si="61"/>
        <v>viewpoinalt_title</v>
      </c>
      <c r="K752" t="s">
        <v>1218</v>
      </c>
      <c r="L752" t="str">
        <f t="shared" si="64"/>
        <v>NGM-051 (MVS), NGH-051 (AES)</v>
      </c>
      <c r="M752" t="str">
        <f t="shared" si="64"/>
        <v>19921120 (MVS), 19921211 (AES)</v>
      </c>
      <c r="N752" t="str">
        <f t="shared" si="64"/>
        <v>ビューポイント</v>
      </c>
      <c r="O752" t="str">
        <f t="shared" si="64"/>
        <v/>
      </c>
      <c r="P752" t="str">
        <f t="shared" si="64"/>
        <v/>
      </c>
      <c r="Q752" t="s">
        <v>5735</v>
      </c>
      <c r="T752" t="str">
        <f t="shared" si="62"/>
        <v/>
      </c>
      <c r="V752" t="str">
        <f t="shared" si="63"/>
        <v>MVS,AES</v>
      </c>
      <c r="W752" t="str">
        <f t="shared" si="63"/>
        <v>MVS,AES</v>
      </c>
      <c r="AB752" t="s">
        <v>29</v>
      </c>
      <c r="AE752" t="s">
        <v>27</v>
      </c>
      <c r="AH752" t="s">
        <v>5751</v>
      </c>
      <c r="AI752" t="s">
        <v>9</v>
      </c>
      <c r="AJ752" t="s">
        <v>27</v>
      </c>
      <c r="AK752" t="s">
        <v>5723</v>
      </c>
      <c r="AL752" t="s">
        <v>5722</v>
      </c>
    </row>
    <row r="753" spans="5:44" x14ac:dyDescent="0.25">
      <c r="I753" t="str">
        <f t="shared" si="60"/>
        <v>viewpoin</v>
      </c>
      <c r="J753" t="str">
        <f t="shared" si="61"/>
        <v/>
      </c>
      <c r="L753" t="str">
        <f t="shared" si="64"/>
        <v>NGM-051 (MVS), NGH-051 (AES)</v>
      </c>
      <c r="M753" t="str">
        <f t="shared" si="64"/>
        <v>19921120 (MVS), 19921211 (AES)</v>
      </c>
      <c r="N753" t="str">
        <f t="shared" si="64"/>
        <v>ビューポイント</v>
      </c>
      <c r="O753" t="str">
        <f t="shared" si="64"/>
        <v/>
      </c>
      <c r="P753" t="str">
        <f t="shared" si="64"/>
        <v/>
      </c>
      <c r="S753" t="s">
        <v>36</v>
      </c>
      <c r="T753" t="str">
        <f t="shared" si="62"/>
        <v>viewpoincompatibility</v>
      </c>
      <c r="U753" t="s">
        <v>218</v>
      </c>
      <c r="V753" t="str">
        <f t="shared" si="63"/>
        <v>MVS,AES</v>
      </c>
      <c r="W753" t="str">
        <f t="shared" si="63"/>
        <v>MVS,AES</v>
      </c>
      <c r="AB753" t="s">
        <v>24</v>
      </c>
      <c r="AE753" t="s">
        <v>11</v>
      </c>
      <c r="AH753" t="s">
        <v>5750</v>
      </c>
      <c r="AI753" t="s">
        <v>9</v>
      </c>
      <c r="AJ753" t="s">
        <v>3</v>
      </c>
      <c r="AK753" t="s">
        <v>5749</v>
      </c>
      <c r="AL753" t="s">
        <v>5748</v>
      </c>
    </row>
    <row r="754" spans="5:44" x14ac:dyDescent="0.25">
      <c r="I754" t="str">
        <f t="shared" si="60"/>
        <v>viewpoin</v>
      </c>
      <c r="J754" t="str">
        <f t="shared" si="61"/>
        <v/>
      </c>
      <c r="L754" t="str">
        <f t="shared" si="64"/>
        <v>NGM-051 (MVS), NGH-051 (AES)</v>
      </c>
      <c r="M754" t="str">
        <f t="shared" si="64"/>
        <v>19921120 (MVS), 19921211 (AES)</v>
      </c>
      <c r="N754" t="str">
        <f t="shared" si="64"/>
        <v>ビューポイント</v>
      </c>
      <c r="O754" t="str">
        <f t="shared" si="64"/>
        <v/>
      </c>
      <c r="P754" t="str">
        <f t="shared" si="64"/>
        <v/>
      </c>
      <c r="T754" t="str">
        <f t="shared" si="62"/>
        <v/>
      </c>
      <c r="V754" t="str">
        <f t="shared" si="63"/>
        <v>MVS,AES</v>
      </c>
      <c r="W754" t="str">
        <f t="shared" si="63"/>
        <v>MVS,AES</v>
      </c>
      <c r="AH754" t="s">
        <v>5747</v>
      </c>
      <c r="AI754" t="s">
        <v>3</v>
      </c>
      <c r="AJ754" t="s">
        <v>3</v>
      </c>
      <c r="AK754" t="s">
        <v>5746</v>
      </c>
      <c r="AL754" t="s">
        <v>5745</v>
      </c>
    </row>
    <row r="755" spans="5:44" x14ac:dyDescent="0.25">
      <c r="I755" t="str">
        <f t="shared" si="60"/>
        <v>viewpoin</v>
      </c>
      <c r="J755" t="str">
        <f t="shared" si="61"/>
        <v/>
      </c>
      <c r="L755" t="str">
        <f t="shared" si="64"/>
        <v>NGM-051 (MVS), NGH-051 (AES)</v>
      </c>
      <c r="M755" t="str">
        <f t="shared" si="64"/>
        <v>19921120 (MVS), 19921211 (AES)</v>
      </c>
      <c r="N755" t="str">
        <f t="shared" si="64"/>
        <v>ビューポイント</v>
      </c>
      <c r="O755" t="str">
        <f t="shared" si="64"/>
        <v/>
      </c>
      <c r="P755" t="str">
        <f t="shared" si="64"/>
        <v/>
      </c>
      <c r="T755" t="str">
        <f t="shared" si="62"/>
        <v/>
      </c>
      <c r="V755" t="str">
        <f t="shared" si="63"/>
        <v>MVS,AES</v>
      </c>
      <c r="W755" t="str">
        <f t="shared" si="63"/>
        <v>MVS,AES</v>
      </c>
      <c r="AB755" t="s">
        <v>12</v>
      </c>
      <c r="AE755" t="s">
        <v>75</v>
      </c>
      <c r="AG755" t="s">
        <v>6</v>
      </c>
      <c r="AH755" t="s">
        <v>5744</v>
      </c>
      <c r="AI755" t="s">
        <v>9</v>
      </c>
      <c r="AJ755" t="s">
        <v>15</v>
      </c>
      <c r="AK755" t="s">
        <v>5743</v>
      </c>
      <c r="AL755" t="s">
        <v>5742</v>
      </c>
    </row>
    <row r="756" spans="5:44" x14ac:dyDescent="0.25">
      <c r="I756" t="str">
        <f t="shared" si="60"/>
        <v>viewpoin</v>
      </c>
      <c r="J756" t="str">
        <f t="shared" si="61"/>
        <v/>
      </c>
      <c r="L756" t="str">
        <f t="shared" si="64"/>
        <v>NGM-051 (MVS), NGH-051 (AES)</v>
      </c>
      <c r="M756" t="str">
        <f t="shared" si="64"/>
        <v>19921120 (MVS), 19921211 (AES)</v>
      </c>
      <c r="N756" t="str">
        <f t="shared" si="64"/>
        <v>ビューポイント</v>
      </c>
      <c r="O756" t="str">
        <f t="shared" si="64"/>
        <v/>
      </c>
      <c r="P756" t="str">
        <f t="shared" si="64"/>
        <v/>
      </c>
      <c r="T756" t="str">
        <f t="shared" si="62"/>
        <v/>
      </c>
      <c r="V756" t="str">
        <f t="shared" si="63"/>
        <v>MVS,AES</v>
      </c>
      <c r="W756" t="str">
        <f t="shared" si="63"/>
        <v>MVS,AES</v>
      </c>
      <c r="AG756" t="s">
        <v>224</v>
      </c>
      <c r="AI756" t="s">
        <v>11</v>
      </c>
      <c r="AJ756" t="s">
        <v>15</v>
      </c>
    </row>
    <row r="757" spans="5:44" x14ac:dyDescent="0.25">
      <c r="I757" t="str">
        <f t="shared" si="60"/>
        <v>viewpoin</v>
      </c>
      <c r="J757" t="str">
        <f t="shared" si="61"/>
        <v/>
      </c>
      <c r="L757" t="str">
        <f t="shared" si="64"/>
        <v>NGM-051 (MVS), NGH-051 (AES)</v>
      </c>
      <c r="M757" t="str">
        <f t="shared" si="64"/>
        <v>19921120 (MVS), 19921211 (AES)</v>
      </c>
      <c r="N757" t="str">
        <f t="shared" si="64"/>
        <v>ビューポイント</v>
      </c>
      <c r="O757" t="str">
        <f t="shared" si="64"/>
        <v/>
      </c>
      <c r="P757" t="str">
        <f t="shared" si="64"/>
        <v/>
      </c>
      <c r="T757" t="str">
        <f t="shared" si="62"/>
        <v/>
      </c>
      <c r="V757" t="str">
        <f t="shared" si="63"/>
        <v>MVS,AES</v>
      </c>
      <c r="W757" t="str">
        <f t="shared" si="63"/>
        <v>MVS,AES</v>
      </c>
      <c r="AG757" t="s">
        <v>6</v>
      </c>
      <c r="AH757" t="s">
        <v>5741</v>
      </c>
      <c r="AI757" t="s">
        <v>4</v>
      </c>
      <c r="AJ757" t="s">
        <v>15</v>
      </c>
      <c r="AK757" t="s">
        <v>5740</v>
      </c>
      <c r="AL757" t="s">
        <v>5739</v>
      </c>
    </row>
    <row r="758" spans="5:44" x14ac:dyDescent="0.25">
      <c r="I758" t="str">
        <f t="shared" si="60"/>
        <v>viewpoin</v>
      </c>
      <c r="J758" t="str">
        <f t="shared" si="61"/>
        <v/>
      </c>
      <c r="L758" t="str">
        <f t="shared" si="64"/>
        <v>NGM-051 (MVS), NGH-051 (AES)</v>
      </c>
      <c r="M758" t="str">
        <f t="shared" si="64"/>
        <v>19921120 (MVS), 19921211 (AES)</v>
      </c>
      <c r="N758" t="str">
        <f t="shared" si="64"/>
        <v>ビューポイント</v>
      </c>
      <c r="O758" t="str">
        <f t="shared" si="64"/>
        <v/>
      </c>
      <c r="P758" t="str">
        <f t="shared" si="64"/>
        <v/>
      </c>
      <c r="T758" t="str">
        <f t="shared" si="62"/>
        <v/>
      </c>
      <c r="V758" t="str">
        <f t="shared" si="63"/>
        <v>MVS,AES</v>
      </c>
      <c r="W758" t="str">
        <f t="shared" si="63"/>
        <v>MVS,AES</v>
      </c>
      <c r="AG758" t="s">
        <v>224</v>
      </c>
      <c r="AI758" t="s">
        <v>932</v>
      </c>
      <c r="AJ758" t="s">
        <v>15</v>
      </c>
    </row>
    <row r="759" spans="5:44" x14ac:dyDescent="0.25">
      <c r="E759" t="s">
        <v>5738</v>
      </c>
      <c r="F759" t="s">
        <v>5737</v>
      </c>
      <c r="G759" t="s">
        <v>5639</v>
      </c>
      <c r="H759" t="s">
        <v>5736</v>
      </c>
      <c r="I759" t="str">
        <f t="shared" si="60"/>
        <v>viewpoinp</v>
      </c>
      <c r="J759" t="str">
        <f t="shared" si="61"/>
        <v>viewpoinpalt_title</v>
      </c>
      <c r="K759" t="s">
        <v>1218</v>
      </c>
      <c r="L759" t="str">
        <f t="shared" si="64"/>
        <v/>
      </c>
      <c r="M759" t="str">
        <f t="shared" si="64"/>
        <v/>
      </c>
      <c r="N759" t="str">
        <f t="shared" si="64"/>
        <v>ビューポイント</v>
      </c>
      <c r="O759" t="str">
        <f t="shared" si="64"/>
        <v/>
      </c>
      <c r="P759" t="str">
        <f t="shared" si="64"/>
        <v/>
      </c>
      <c r="Q759" t="s">
        <v>5735</v>
      </c>
      <c r="S759" t="s">
        <v>46</v>
      </c>
      <c r="T759" t="str">
        <f t="shared" si="62"/>
        <v>viewpoinprelease</v>
      </c>
      <c r="U759" t="s">
        <v>218</v>
      </c>
      <c r="V759" t="str">
        <f t="shared" si="63"/>
        <v>MVS,AES</v>
      </c>
      <c r="W759" t="str">
        <f t="shared" si="63"/>
        <v>MVS,AES</v>
      </c>
      <c r="Y759" t="s">
        <v>45</v>
      </c>
      <c r="Z759" t="s">
        <v>44</v>
      </c>
      <c r="AB759" t="s">
        <v>43</v>
      </c>
      <c r="AC759" t="s">
        <v>42</v>
      </c>
      <c r="AD759" t="s">
        <v>41</v>
      </c>
      <c r="AE759" t="s">
        <v>15</v>
      </c>
      <c r="AG759" t="s">
        <v>6</v>
      </c>
      <c r="AH759" t="s">
        <v>5734</v>
      </c>
      <c r="AI759" t="s">
        <v>4</v>
      </c>
      <c r="AJ759" t="s">
        <v>92</v>
      </c>
      <c r="AK759" t="s">
        <v>5733</v>
      </c>
      <c r="AL759" t="s">
        <v>5732</v>
      </c>
      <c r="AR759" t="s">
        <v>5731</v>
      </c>
    </row>
    <row r="760" spans="5:44" x14ac:dyDescent="0.25">
      <c r="I760" t="str">
        <f t="shared" si="60"/>
        <v>viewpoinp</v>
      </c>
      <c r="J760" t="str">
        <f t="shared" si="61"/>
        <v/>
      </c>
      <c r="L760" t="str">
        <f t="shared" si="64"/>
        <v/>
      </c>
      <c r="M760" t="str">
        <f t="shared" si="64"/>
        <v/>
      </c>
      <c r="N760" t="str">
        <f t="shared" si="64"/>
        <v>ビューポイント</v>
      </c>
      <c r="O760" t="str">
        <f t="shared" si="64"/>
        <v/>
      </c>
      <c r="P760" t="str">
        <f t="shared" si="64"/>
        <v/>
      </c>
      <c r="S760" t="s">
        <v>36</v>
      </c>
      <c r="T760" t="str">
        <f t="shared" si="62"/>
        <v>viewpoinpcompatibility</v>
      </c>
      <c r="U760" t="s">
        <v>218</v>
      </c>
      <c r="V760" t="str">
        <f t="shared" si="63"/>
        <v>MVS,AES</v>
      </c>
      <c r="W760" t="str">
        <f t="shared" si="63"/>
        <v>MVS,AES</v>
      </c>
      <c r="AG760" t="s">
        <v>6</v>
      </c>
      <c r="AH760" t="s">
        <v>5730</v>
      </c>
      <c r="AI760" t="s">
        <v>9</v>
      </c>
      <c r="AJ760" t="s">
        <v>92</v>
      </c>
      <c r="AK760" t="s">
        <v>5729</v>
      </c>
      <c r="AL760" t="s">
        <v>5728</v>
      </c>
    </row>
    <row r="761" spans="5:44" x14ac:dyDescent="0.25">
      <c r="I761" t="str">
        <f t="shared" si="60"/>
        <v>viewpoinp</v>
      </c>
      <c r="J761" t="str">
        <f t="shared" si="61"/>
        <v/>
      </c>
      <c r="L761" t="str">
        <f t="shared" si="64"/>
        <v/>
      </c>
      <c r="M761" t="str">
        <f t="shared" si="64"/>
        <v/>
      </c>
      <c r="N761" t="str">
        <f t="shared" si="64"/>
        <v>ビューポイント</v>
      </c>
      <c r="O761" t="str">
        <f t="shared" si="64"/>
        <v/>
      </c>
      <c r="P761" t="str">
        <f t="shared" si="64"/>
        <v/>
      </c>
      <c r="T761" t="str">
        <f t="shared" si="62"/>
        <v/>
      </c>
      <c r="V761" t="str">
        <f t="shared" si="63"/>
        <v>MVS,AES</v>
      </c>
      <c r="W761" t="str">
        <f t="shared" si="63"/>
        <v>MVS,AES</v>
      </c>
      <c r="AB761" t="s">
        <v>34</v>
      </c>
      <c r="AE761" t="s">
        <v>33</v>
      </c>
      <c r="AH761" t="s">
        <v>5727</v>
      </c>
      <c r="AI761" t="s">
        <v>9</v>
      </c>
      <c r="AJ761" t="s">
        <v>27</v>
      </c>
      <c r="AK761" t="s">
        <v>5726</v>
      </c>
      <c r="AL761" t="s">
        <v>5725</v>
      </c>
    </row>
    <row r="762" spans="5:44" x14ac:dyDescent="0.25">
      <c r="I762" t="str">
        <f t="shared" si="60"/>
        <v>viewpoinp</v>
      </c>
      <c r="J762" t="str">
        <f t="shared" si="61"/>
        <v/>
      </c>
      <c r="L762" t="str">
        <f t="shared" si="64"/>
        <v/>
      </c>
      <c r="M762" t="str">
        <f t="shared" si="64"/>
        <v/>
      </c>
      <c r="N762" t="str">
        <f t="shared" si="64"/>
        <v>ビューポイント</v>
      </c>
      <c r="O762" t="str">
        <f t="shared" si="64"/>
        <v/>
      </c>
      <c r="P762" t="str">
        <f t="shared" si="64"/>
        <v/>
      </c>
      <c r="T762" t="str">
        <f t="shared" si="62"/>
        <v/>
      </c>
      <c r="V762" t="str">
        <f t="shared" si="63"/>
        <v>MVS,AES</v>
      </c>
      <c r="W762" t="str">
        <f t="shared" si="63"/>
        <v>MVS,AES</v>
      </c>
      <c r="AB762" t="s">
        <v>29</v>
      </c>
      <c r="AE762" t="s">
        <v>27</v>
      </c>
      <c r="AH762" t="s">
        <v>5724</v>
      </c>
      <c r="AI762" t="s">
        <v>9</v>
      </c>
      <c r="AJ762" t="s">
        <v>27</v>
      </c>
      <c r="AK762" t="s">
        <v>5723</v>
      </c>
      <c r="AL762" t="s">
        <v>5722</v>
      </c>
    </row>
    <row r="763" spans="5:44" x14ac:dyDescent="0.25">
      <c r="I763" t="str">
        <f t="shared" si="60"/>
        <v>viewpoinp</v>
      </c>
      <c r="J763" t="str">
        <f t="shared" si="61"/>
        <v/>
      </c>
      <c r="L763" t="str">
        <f t="shared" si="64"/>
        <v/>
      </c>
      <c r="M763" t="str">
        <f t="shared" si="64"/>
        <v/>
      </c>
      <c r="N763" t="str">
        <f t="shared" si="64"/>
        <v>ビューポイント</v>
      </c>
      <c r="O763" t="str">
        <f t="shared" si="64"/>
        <v/>
      </c>
      <c r="P763" t="str">
        <f t="shared" si="64"/>
        <v/>
      </c>
      <c r="T763" t="str">
        <f t="shared" si="62"/>
        <v/>
      </c>
      <c r="V763" t="str">
        <f t="shared" si="63"/>
        <v>MVS,AES</v>
      </c>
      <c r="W763" t="str">
        <f t="shared" si="63"/>
        <v>MVS,AES</v>
      </c>
      <c r="AB763" t="s">
        <v>24</v>
      </c>
      <c r="AE763" t="s">
        <v>11</v>
      </c>
      <c r="AH763" t="s">
        <v>5721</v>
      </c>
      <c r="AI763" t="s">
        <v>9</v>
      </c>
      <c r="AJ763" t="s">
        <v>15</v>
      </c>
      <c r="AK763" t="s">
        <v>5720</v>
      </c>
      <c r="AL763" t="s">
        <v>5719</v>
      </c>
    </row>
    <row r="764" spans="5:44" x14ac:dyDescent="0.25">
      <c r="I764" t="str">
        <f t="shared" si="60"/>
        <v>viewpoinp</v>
      </c>
      <c r="J764" t="str">
        <f t="shared" si="61"/>
        <v/>
      </c>
      <c r="L764" t="str">
        <f t="shared" si="64"/>
        <v/>
      </c>
      <c r="M764" t="str">
        <f t="shared" si="64"/>
        <v/>
      </c>
      <c r="N764" t="str">
        <f t="shared" si="64"/>
        <v>ビューポイント</v>
      </c>
      <c r="O764" t="str">
        <f t="shared" si="64"/>
        <v/>
      </c>
      <c r="P764" t="str">
        <f t="shared" si="64"/>
        <v/>
      </c>
      <c r="T764" t="str">
        <f t="shared" si="62"/>
        <v/>
      </c>
      <c r="V764" t="str">
        <f t="shared" si="63"/>
        <v>MVS,AES</v>
      </c>
      <c r="W764" t="str">
        <f t="shared" si="63"/>
        <v>MVS,AES</v>
      </c>
      <c r="AH764" t="s">
        <v>5718</v>
      </c>
      <c r="AI764" t="s">
        <v>15</v>
      </c>
      <c r="AJ764" t="s">
        <v>15</v>
      </c>
      <c r="AK764" t="s">
        <v>5717</v>
      </c>
      <c r="AL764" t="s">
        <v>5716</v>
      </c>
    </row>
    <row r="765" spans="5:44" x14ac:dyDescent="0.25">
      <c r="I765" t="str">
        <f t="shared" si="60"/>
        <v>viewpoinp</v>
      </c>
      <c r="J765" t="str">
        <f t="shared" si="61"/>
        <v/>
      </c>
      <c r="L765" t="str">
        <f t="shared" si="64"/>
        <v/>
      </c>
      <c r="M765" t="str">
        <f t="shared" si="64"/>
        <v/>
      </c>
      <c r="N765" t="str">
        <f t="shared" si="64"/>
        <v>ビューポイント</v>
      </c>
      <c r="O765" t="str">
        <f t="shared" si="64"/>
        <v/>
      </c>
      <c r="P765" t="str">
        <f t="shared" si="64"/>
        <v/>
      </c>
      <c r="T765" t="str">
        <f t="shared" si="62"/>
        <v/>
      </c>
      <c r="V765" t="str">
        <f t="shared" si="63"/>
        <v>MVS,AES</v>
      </c>
      <c r="W765" t="str">
        <f t="shared" si="63"/>
        <v>MVS,AES</v>
      </c>
      <c r="AH765" t="s">
        <v>5715</v>
      </c>
      <c r="AI765" t="s">
        <v>3</v>
      </c>
      <c r="AJ765" t="s">
        <v>15</v>
      </c>
      <c r="AK765" t="s">
        <v>5714</v>
      </c>
      <c r="AL765" t="s">
        <v>5713</v>
      </c>
    </row>
    <row r="766" spans="5:44" x14ac:dyDescent="0.25">
      <c r="I766" t="str">
        <f t="shared" si="60"/>
        <v>viewpoinp</v>
      </c>
      <c r="J766" t="str">
        <f t="shared" si="61"/>
        <v/>
      </c>
      <c r="L766" t="str">
        <f t="shared" si="64"/>
        <v/>
      </c>
      <c r="M766" t="str">
        <f t="shared" si="64"/>
        <v/>
      </c>
      <c r="N766" t="str">
        <f t="shared" si="64"/>
        <v>ビューポイント</v>
      </c>
      <c r="O766" t="str">
        <f t="shared" si="64"/>
        <v/>
      </c>
      <c r="P766" t="str">
        <f t="shared" si="64"/>
        <v/>
      </c>
      <c r="T766" t="str">
        <f t="shared" si="62"/>
        <v/>
      </c>
      <c r="V766" t="str">
        <f t="shared" si="63"/>
        <v>MVS,AES</v>
      </c>
      <c r="W766" t="str">
        <f t="shared" si="63"/>
        <v>MVS,AES</v>
      </c>
      <c r="AH766" t="s">
        <v>5712</v>
      </c>
      <c r="AI766" t="s">
        <v>377</v>
      </c>
      <c r="AJ766" t="s">
        <v>15</v>
      </c>
      <c r="AK766" t="s">
        <v>5711</v>
      </c>
      <c r="AL766" t="s">
        <v>5710</v>
      </c>
    </row>
    <row r="767" spans="5:44" x14ac:dyDescent="0.25">
      <c r="I767" t="str">
        <f t="shared" si="60"/>
        <v>viewpoinp</v>
      </c>
      <c r="J767" t="str">
        <f t="shared" si="61"/>
        <v/>
      </c>
      <c r="L767" t="str">
        <f t="shared" si="64"/>
        <v/>
      </c>
      <c r="M767" t="str">
        <f t="shared" si="64"/>
        <v/>
      </c>
      <c r="N767" t="str">
        <f t="shared" si="64"/>
        <v>ビューポイント</v>
      </c>
      <c r="O767" t="str">
        <f t="shared" si="64"/>
        <v/>
      </c>
      <c r="P767" t="str">
        <f t="shared" si="64"/>
        <v/>
      </c>
      <c r="T767" t="str">
        <f t="shared" si="62"/>
        <v/>
      </c>
      <c r="V767" t="str">
        <f t="shared" si="63"/>
        <v>MVS,AES</v>
      </c>
      <c r="W767" t="str">
        <f t="shared" si="63"/>
        <v>MVS,AES</v>
      </c>
      <c r="AB767" t="s">
        <v>12</v>
      </c>
      <c r="AE767" t="s">
        <v>11</v>
      </c>
      <c r="AG767" t="s">
        <v>4354</v>
      </c>
      <c r="AH767" t="s">
        <v>5709</v>
      </c>
      <c r="AI767" t="s">
        <v>9</v>
      </c>
      <c r="AJ767" t="s">
        <v>92</v>
      </c>
      <c r="AK767" t="s">
        <v>5708</v>
      </c>
      <c r="AL767" t="s">
        <v>5707</v>
      </c>
    </row>
    <row r="768" spans="5:44" x14ac:dyDescent="0.25">
      <c r="I768" t="str">
        <f t="shared" si="60"/>
        <v>viewpoinp</v>
      </c>
      <c r="J768" t="str">
        <f t="shared" si="61"/>
        <v/>
      </c>
      <c r="L768" t="str">
        <f t="shared" si="64"/>
        <v/>
      </c>
      <c r="M768" t="str">
        <f t="shared" si="64"/>
        <v/>
      </c>
      <c r="N768" t="str">
        <f t="shared" si="64"/>
        <v>ビューポイント</v>
      </c>
      <c r="O768" t="str">
        <f t="shared" si="64"/>
        <v/>
      </c>
      <c r="P768" t="str">
        <f t="shared" si="64"/>
        <v/>
      </c>
      <c r="T768" t="str">
        <f t="shared" si="62"/>
        <v/>
      </c>
      <c r="V768" t="str">
        <f t="shared" si="63"/>
        <v>MVS,AES</v>
      </c>
      <c r="W768" t="str">
        <f t="shared" si="63"/>
        <v>MVS,AES</v>
      </c>
      <c r="AG768" t="s">
        <v>4354</v>
      </c>
      <c r="AH768" t="s">
        <v>5706</v>
      </c>
      <c r="AI768" t="s">
        <v>1427</v>
      </c>
      <c r="AJ768" t="s">
        <v>92</v>
      </c>
      <c r="AK768" t="s">
        <v>5705</v>
      </c>
      <c r="AL768" t="s">
        <v>5704</v>
      </c>
    </row>
    <row r="769" spans="5:43" x14ac:dyDescent="0.25">
      <c r="I769" t="str">
        <f t="shared" si="60"/>
        <v>viewpoinp</v>
      </c>
      <c r="J769" t="str">
        <f t="shared" si="61"/>
        <v/>
      </c>
      <c r="L769" t="str">
        <f t="shared" si="64"/>
        <v/>
      </c>
      <c r="M769" t="str">
        <f t="shared" si="64"/>
        <v/>
      </c>
      <c r="N769" t="str">
        <f t="shared" si="64"/>
        <v>ビューポイント</v>
      </c>
      <c r="O769" t="str">
        <f t="shared" si="64"/>
        <v/>
      </c>
      <c r="P769" t="str">
        <f t="shared" si="64"/>
        <v/>
      </c>
      <c r="T769" t="str">
        <f t="shared" si="62"/>
        <v/>
      </c>
      <c r="V769" t="str">
        <f t="shared" si="63"/>
        <v>MVS,AES</v>
      </c>
      <c r="W769" t="str">
        <f t="shared" si="63"/>
        <v>MVS,AES</v>
      </c>
      <c r="AG769" t="s">
        <v>4354</v>
      </c>
      <c r="AH769" t="s">
        <v>5703</v>
      </c>
      <c r="AI769" t="s">
        <v>4</v>
      </c>
      <c r="AJ769" t="s">
        <v>92</v>
      </c>
      <c r="AK769" t="s">
        <v>5702</v>
      </c>
      <c r="AL769" t="s">
        <v>5701</v>
      </c>
    </row>
    <row r="770" spans="5:43" x14ac:dyDescent="0.25">
      <c r="I770" t="str">
        <f t="shared" si="60"/>
        <v>viewpoinp</v>
      </c>
      <c r="J770" t="str">
        <f t="shared" si="61"/>
        <v/>
      </c>
      <c r="L770" t="str">
        <f t="shared" si="64"/>
        <v/>
      </c>
      <c r="M770" t="str">
        <f t="shared" si="64"/>
        <v/>
      </c>
      <c r="N770" t="str">
        <f t="shared" si="64"/>
        <v>ビューポイント</v>
      </c>
      <c r="O770" t="str">
        <f t="shared" si="64"/>
        <v/>
      </c>
      <c r="P770" t="str">
        <f t="shared" si="64"/>
        <v/>
      </c>
      <c r="T770" t="str">
        <f t="shared" si="62"/>
        <v/>
      </c>
      <c r="V770" t="str">
        <f t="shared" si="63"/>
        <v>MVS,AES</v>
      </c>
      <c r="W770" t="str">
        <f t="shared" si="63"/>
        <v>MVS,AES</v>
      </c>
      <c r="AG770" t="s">
        <v>4354</v>
      </c>
      <c r="AH770" t="s">
        <v>5700</v>
      </c>
      <c r="AI770" t="s">
        <v>4382</v>
      </c>
      <c r="AJ770" t="s">
        <v>92</v>
      </c>
      <c r="AK770" t="s">
        <v>5699</v>
      </c>
      <c r="AL770" t="s">
        <v>5698</v>
      </c>
    </row>
    <row r="771" spans="5:43" x14ac:dyDescent="0.25">
      <c r="I771" t="str">
        <f t="shared" ref="I771:I834" si="65">IF(E771="",I770,E771)</f>
        <v>viewpoinp</v>
      </c>
      <c r="J771" t="str">
        <f t="shared" ref="J771:J834" si="66">IF(K771="","",I771&amp;K771)</f>
        <v/>
      </c>
      <c r="L771" t="str">
        <f t="shared" si="64"/>
        <v/>
      </c>
      <c r="M771" t="str">
        <f t="shared" si="64"/>
        <v/>
      </c>
      <c r="N771" t="str">
        <f t="shared" si="64"/>
        <v>ビューポイント</v>
      </c>
      <c r="O771" t="str">
        <f t="shared" si="64"/>
        <v/>
      </c>
      <c r="P771" t="str">
        <f t="shared" si="64"/>
        <v/>
      </c>
      <c r="T771" t="str">
        <f t="shared" ref="T771:T834" si="67">IF(S771="","",I771&amp;S771)</f>
        <v/>
      </c>
      <c r="V771" t="str">
        <f t="shared" si="63"/>
        <v>MVS,AES</v>
      </c>
      <c r="W771" t="str">
        <f t="shared" si="63"/>
        <v>MVS,AES</v>
      </c>
      <c r="AG771" t="s">
        <v>4354</v>
      </c>
      <c r="AH771" t="s">
        <v>5697</v>
      </c>
      <c r="AI771" t="s">
        <v>3</v>
      </c>
      <c r="AJ771" t="s">
        <v>92</v>
      </c>
      <c r="AK771" t="s">
        <v>5696</v>
      </c>
      <c r="AL771" t="s">
        <v>5695</v>
      </c>
    </row>
    <row r="772" spans="5:43" x14ac:dyDescent="0.25">
      <c r="I772" t="str">
        <f t="shared" si="65"/>
        <v>viewpoinp</v>
      </c>
      <c r="J772" t="str">
        <f t="shared" si="66"/>
        <v/>
      </c>
      <c r="L772" t="str">
        <f t="shared" si="64"/>
        <v/>
      </c>
      <c r="M772" t="str">
        <f t="shared" si="64"/>
        <v/>
      </c>
      <c r="N772" t="str">
        <f t="shared" si="64"/>
        <v>ビューポイント</v>
      </c>
      <c r="O772" t="str">
        <f t="shared" si="64"/>
        <v/>
      </c>
      <c r="P772" t="str">
        <f t="shared" si="64"/>
        <v/>
      </c>
      <c r="T772" t="str">
        <f t="shared" si="67"/>
        <v/>
      </c>
      <c r="V772" t="str">
        <f t="shared" si="63"/>
        <v>MVS,AES</v>
      </c>
      <c r="W772" t="str">
        <f t="shared" si="63"/>
        <v>MVS,AES</v>
      </c>
      <c r="AG772" t="s">
        <v>4354</v>
      </c>
      <c r="AH772" t="s">
        <v>5694</v>
      </c>
      <c r="AI772" t="s">
        <v>4375</v>
      </c>
      <c r="AJ772" t="s">
        <v>92</v>
      </c>
      <c r="AK772" t="s">
        <v>5693</v>
      </c>
      <c r="AL772" t="s">
        <v>5692</v>
      </c>
    </row>
    <row r="773" spans="5:43" x14ac:dyDescent="0.25">
      <c r="I773" t="str">
        <f t="shared" si="65"/>
        <v>viewpoinp</v>
      </c>
      <c r="J773" t="str">
        <f t="shared" si="66"/>
        <v/>
      </c>
      <c r="L773" t="str">
        <f t="shared" si="64"/>
        <v/>
      </c>
      <c r="M773" t="str">
        <f t="shared" si="64"/>
        <v/>
      </c>
      <c r="N773" t="str">
        <f t="shared" si="64"/>
        <v>ビューポイント</v>
      </c>
      <c r="O773" t="str">
        <f t="shared" si="64"/>
        <v/>
      </c>
      <c r="P773" t="str">
        <f t="shared" si="64"/>
        <v/>
      </c>
      <c r="T773" t="str">
        <f t="shared" si="67"/>
        <v/>
      </c>
      <c r="V773" t="str">
        <f t="shared" si="63"/>
        <v>MVS,AES</v>
      </c>
      <c r="W773" t="str">
        <f t="shared" si="63"/>
        <v>MVS,AES</v>
      </c>
      <c r="AG773" t="s">
        <v>4354</v>
      </c>
      <c r="AH773" t="s">
        <v>5691</v>
      </c>
      <c r="AI773" t="s">
        <v>4371</v>
      </c>
      <c r="AJ773" t="s">
        <v>92</v>
      </c>
      <c r="AK773" t="s">
        <v>5690</v>
      </c>
      <c r="AL773" t="s">
        <v>5689</v>
      </c>
    </row>
    <row r="774" spans="5:43" x14ac:dyDescent="0.25">
      <c r="I774" t="str">
        <f t="shared" si="65"/>
        <v>viewpoinp</v>
      </c>
      <c r="J774" t="str">
        <f t="shared" si="66"/>
        <v/>
      </c>
      <c r="L774" t="str">
        <f t="shared" si="64"/>
        <v/>
      </c>
      <c r="M774" t="str">
        <f t="shared" si="64"/>
        <v/>
      </c>
      <c r="N774" t="str">
        <f t="shared" si="64"/>
        <v>ビューポイント</v>
      </c>
      <c r="O774" t="str">
        <f t="shared" si="64"/>
        <v/>
      </c>
      <c r="P774" t="str">
        <f t="shared" si="64"/>
        <v/>
      </c>
      <c r="T774" t="str">
        <f t="shared" si="67"/>
        <v/>
      </c>
      <c r="V774" t="str">
        <f t="shared" si="63"/>
        <v>MVS,AES</v>
      </c>
      <c r="W774" t="str">
        <f t="shared" si="63"/>
        <v>MVS,AES</v>
      </c>
      <c r="AG774" t="s">
        <v>4354</v>
      </c>
      <c r="AH774" t="s">
        <v>5688</v>
      </c>
      <c r="AI774" t="s">
        <v>4367</v>
      </c>
      <c r="AJ774" t="s">
        <v>92</v>
      </c>
      <c r="AK774" t="s">
        <v>5687</v>
      </c>
      <c r="AL774" t="s">
        <v>5686</v>
      </c>
    </row>
    <row r="775" spans="5:43" x14ac:dyDescent="0.25">
      <c r="E775" t="s">
        <v>5685</v>
      </c>
      <c r="F775" t="s">
        <v>5684</v>
      </c>
      <c r="G775" t="s">
        <v>5639</v>
      </c>
      <c r="H775" t="s">
        <v>1912</v>
      </c>
      <c r="I775" t="str">
        <f t="shared" si="65"/>
        <v>ssideki</v>
      </c>
      <c r="J775" t="str">
        <f t="shared" si="66"/>
        <v>ssidekiserial</v>
      </c>
      <c r="K775" t="s">
        <v>1373</v>
      </c>
      <c r="L775" t="str">
        <f t="shared" si="64"/>
        <v>NGM-052 (MVS), NGH-052 (AES)</v>
      </c>
      <c r="M775" t="str">
        <f t="shared" si="64"/>
        <v>19921214 (MVS), 19930219 (AES)</v>
      </c>
      <c r="N775" t="str">
        <f t="shared" si="64"/>
        <v>得点王</v>
      </c>
      <c r="O775" t="str">
        <f t="shared" si="64"/>
        <v/>
      </c>
      <c r="P775" t="str">
        <f t="shared" si="64"/>
        <v/>
      </c>
      <c r="Q775" t="s">
        <v>5683</v>
      </c>
      <c r="S775" t="s">
        <v>46</v>
      </c>
      <c r="T775" t="str">
        <f t="shared" si="67"/>
        <v>ssidekirelease</v>
      </c>
      <c r="U775" t="s">
        <v>218</v>
      </c>
      <c r="V775" t="str">
        <f t="shared" si="63"/>
        <v>MVS,AES</v>
      </c>
      <c r="W775" t="str">
        <f t="shared" si="63"/>
        <v>MVS,AES</v>
      </c>
      <c r="Y775" t="s">
        <v>45</v>
      </c>
      <c r="Z775" t="s">
        <v>44</v>
      </c>
      <c r="AB775" t="s">
        <v>43</v>
      </c>
      <c r="AC775" t="s">
        <v>42</v>
      </c>
      <c r="AD775" t="s">
        <v>41</v>
      </c>
      <c r="AE775" t="s">
        <v>15</v>
      </c>
      <c r="AG775" t="s">
        <v>40</v>
      </c>
      <c r="AH775" t="s">
        <v>5682</v>
      </c>
      <c r="AI775" t="s">
        <v>9</v>
      </c>
      <c r="AJ775" t="s">
        <v>92</v>
      </c>
      <c r="AK775" t="s">
        <v>5681</v>
      </c>
      <c r="AL775" t="s">
        <v>5680</v>
      </c>
      <c r="AP775" t="s">
        <v>138</v>
      </c>
      <c r="AQ775" t="s">
        <v>5679</v>
      </c>
    </row>
    <row r="776" spans="5:43" x14ac:dyDescent="0.25">
      <c r="I776" t="str">
        <f t="shared" si="65"/>
        <v>ssideki</v>
      </c>
      <c r="J776" t="str">
        <f t="shared" si="66"/>
        <v>ssidekirelease</v>
      </c>
      <c r="K776" t="s">
        <v>46</v>
      </c>
      <c r="L776" t="str">
        <f t="shared" si="64"/>
        <v>NGM-052 (MVS), NGH-052 (AES)</v>
      </c>
      <c r="M776" t="str">
        <f t="shared" si="64"/>
        <v>19921214 (MVS), 19930219 (AES)</v>
      </c>
      <c r="N776" t="str">
        <f t="shared" si="64"/>
        <v>得点王</v>
      </c>
      <c r="O776" t="str">
        <f t="shared" si="64"/>
        <v/>
      </c>
      <c r="P776" t="str">
        <f t="shared" si="64"/>
        <v/>
      </c>
      <c r="Q776" t="s">
        <v>5678</v>
      </c>
      <c r="T776" t="str">
        <f t="shared" si="67"/>
        <v/>
      </c>
      <c r="V776" t="str">
        <f t="shared" si="63"/>
        <v>MVS,AES</v>
      </c>
      <c r="W776" t="str">
        <f t="shared" si="63"/>
        <v>MVS,AES</v>
      </c>
      <c r="AB776" t="s">
        <v>34</v>
      </c>
      <c r="AE776" t="s">
        <v>33</v>
      </c>
      <c r="AH776" t="s">
        <v>5677</v>
      </c>
      <c r="AI776" t="s">
        <v>9</v>
      </c>
      <c r="AJ776" t="s">
        <v>27</v>
      </c>
      <c r="AK776" t="s">
        <v>5676</v>
      </c>
      <c r="AL776" t="s">
        <v>5675</v>
      </c>
    </row>
    <row r="777" spans="5:43" x14ac:dyDescent="0.25">
      <c r="I777" t="str">
        <f t="shared" si="65"/>
        <v>ssideki</v>
      </c>
      <c r="J777" t="str">
        <f t="shared" si="66"/>
        <v>ssidekialt_title</v>
      </c>
      <c r="K777" t="s">
        <v>1218</v>
      </c>
      <c r="L777" t="str">
        <f t="shared" si="64"/>
        <v>NGM-052 (MVS), NGH-052 (AES)</v>
      </c>
      <c r="M777" t="str">
        <f t="shared" si="64"/>
        <v>19921214 (MVS), 19930219 (AES)</v>
      </c>
      <c r="N777" t="str">
        <f t="shared" si="64"/>
        <v>得点王</v>
      </c>
      <c r="O777" t="str">
        <f t="shared" si="64"/>
        <v/>
      </c>
      <c r="P777" t="str">
        <f t="shared" si="64"/>
        <v/>
      </c>
      <c r="Q777" t="s">
        <v>5674</v>
      </c>
      <c r="T777" t="str">
        <f t="shared" si="67"/>
        <v/>
      </c>
      <c r="V777" t="str">
        <f t="shared" si="63"/>
        <v>MVS,AES</v>
      </c>
      <c r="W777" t="str">
        <f t="shared" si="63"/>
        <v>MVS,AES</v>
      </c>
      <c r="AB777" t="s">
        <v>29</v>
      </c>
      <c r="AE777" t="s">
        <v>27</v>
      </c>
      <c r="AH777" t="s">
        <v>5673</v>
      </c>
      <c r="AI777" t="s">
        <v>9</v>
      </c>
      <c r="AJ777" t="s">
        <v>27</v>
      </c>
      <c r="AK777" t="s">
        <v>5672</v>
      </c>
      <c r="AL777" t="s">
        <v>5671</v>
      </c>
    </row>
    <row r="778" spans="5:43" x14ac:dyDescent="0.25">
      <c r="I778" t="str">
        <f t="shared" si="65"/>
        <v>ssideki</v>
      </c>
      <c r="J778" t="str">
        <f t="shared" si="66"/>
        <v/>
      </c>
      <c r="L778" t="str">
        <f t="shared" si="64"/>
        <v>NGM-052 (MVS), NGH-052 (AES)</v>
      </c>
      <c r="M778" t="str">
        <f t="shared" si="64"/>
        <v>19921214 (MVS), 19930219 (AES)</v>
      </c>
      <c r="N778" t="str">
        <f t="shared" si="64"/>
        <v>得点王</v>
      </c>
      <c r="O778" t="str">
        <f t="shared" si="64"/>
        <v/>
      </c>
      <c r="P778" t="str">
        <f t="shared" si="64"/>
        <v/>
      </c>
      <c r="S778" t="s">
        <v>36</v>
      </c>
      <c r="T778" t="str">
        <f t="shared" si="67"/>
        <v>ssidekicompatibility</v>
      </c>
      <c r="U778" t="s">
        <v>218</v>
      </c>
      <c r="V778" t="str">
        <f t="shared" si="63"/>
        <v>MVS,AES</v>
      </c>
      <c r="W778" t="str">
        <f t="shared" si="63"/>
        <v>MVS,AES</v>
      </c>
      <c r="AB778" t="s">
        <v>24</v>
      </c>
      <c r="AE778" t="s">
        <v>3</v>
      </c>
      <c r="AH778" t="s">
        <v>5670</v>
      </c>
      <c r="AI778" t="s">
        <v>9</v>
      </c>
      <c r="AJ778" t="s">
        <v>3</v>
      </c>
      <c r="AK778" t="s">
        <v>5669</v>
      </c>
      <c r="AL778" t="s">
        <v>5668</v>
      </c>
    </row>
    <row r="779" spans="5:43" x14ac:dyDescent="0.25">
      <c r="I779" t="str">
        <f t="shared" si="65"/>
        <v>ssideki</v>
      </c>
      <c r="J779" t="str">
        <f t="shared" si="66"/>
        <v/>
      </c>
      <c r="L779" t="str">
        <f t="shared" si="64"/>
        <v>NGM-052 (MVS), NGH-052 (AES)</v>
      </c>
      <c r="M779" t="str">
        <f t="shared" si="64"/>
        <v>19921214 (MVS), 19930219 (AES)</v>
      </c>
      <c r="N779" t="str">
        <f t="shared" si="64"/>
        <v>得点王</v>
      </c>
      <c r="O779" t="str">
        <f t="shared" si="64"/>
        <v/>
      </c>
      <c r="P779" t="str">
        <f t="shared" si="64"/>
        <v/>
      </c>
      <c r="T779" t="str">
        <f t="shared" si="67"/>
        <v/>
      </c>
      <c r="V779" t="str">
        <f t="shared" si="63"/>
        <v>MVS,AES</v>
      </c>
      <c r="W779" t="str">
        <f t="shared" si="63"/>
        <v>MVS,AES</v>
      </c>
      <c r="AB779" t="s">
        <v>12</v>
      </c>
      <c r="AE779" t="s">
        <v>75</v>
      </c>
      <c r="AG779" t="s">
        <v>6</v>
      </c>
      <c r="AH779" t="s">
        <v>5667</v>
      </c>
      <c r="AI779" t="s">
        <v>9</v>
      </c>
      <c r="AJ779" t="s">
        <v>15</v>
      </c>
      <c r="AK779" t="s">
        <v>5666</v>
      </c>
      <c r="AL779" t="s">
        <v>5665</v>
      </c>
    </row>
    <row r="780" spans="5:43" x14ac:dyDescent="0.25">
      <c r="I780" t="str">
        <f t="shared" si="65"/>
        <v>ssideki</v>
      </c>
      <c r="J780" t="str">
        <f t="shared" si="66"/>
        <v/>
      </c>
      <c r="L780" t="str">
        <f t="shared" ref="L780:P830" si="68">IFERROR(VLOOKUP($I780&amp;L$1,$J:$Q,8,0),"")</f>
        <v>NGM-052 (MVS), NGH-052 (AES)</v>
      </c>
      <c r="M780" t="str">
        <f t="shared" si="68"/>
        <v>19921214 (MVS), 19930219 (AES)</v>
      </c>
      <c r="N780" t="str">
        <f t="shared" si="68"/>
        <v>得点王</v>
      </c>
      <c r="O780" t="str">
        <f t="shared" si="68"/>
        <v/>
      </c>
      <c r="P780" t="str">
        <f t="shared" si="68"/>
        <v/>
      </c>
      <c r="T780" t="str">
        <f t="shared" si="67"/>
        <v/>
      </c>
      <c r="V780" t="str">
        <f t="shared" si="63"/>
        <v>MVS,AES</v>
      </c>
      <c r="W780" t="str">
        <f t="shared" si="63"/>
        <v>MVS,AES</v>
      </c>
      <c r="AG780" t="s">
        <v>224</v>
      </c>
      <c r="AI780" t="s">
        <v>11</v>
      </c>
      <c r="AJ780" t="s">
        <v>15</v>
      </c>
    </row>
    <row r="781" spans="5:43" x14ac:dyDescent="0.25">
      <c r="I781" t="str">
        <f t="shared" si="65"/>
        <v>ssideki</v>
      </c>
      <c r="J781" t="str">
        <f t="shared" si="66"/>
        <v/>
      </c>
      <c r="L781" t="str">
        <f t="shared" si="68"/>
        <v>NGM-052 (MVS), NGH-052 (AES)</v>
      </c>
      <c r="M781" t="str">
        <f t="shared" si="68"/>
        <v>19921214 (MVS), 19930219 (AES)</v>
      </c>
      <c r="N781" t="str">
        <f t="shared" si="68"/>
        <v>得点王</v>
      </c>
      <c r="O781" t="str">
        <f t="shared" si="68"/>
        <v/>
      </c>
      <c r="P781" t="str">
        <f t="shared" si="68"/>
        <v/>
      </c>
      <c r="T781" t="str">
        <f t="shared" si="67"/>
        <v/>
      </c>
      <c r="V781" t="str">
        <f t="shared" si="63"/>
        <v>MVS,AES</v>
      </c>
      <c r="W781" t="str">
        <f t="shared" si="63"/>
        <v>MVS,AES</v>
      </c>
      <c r="AG781" t="s">
        <v>6</v>
      </c>
      <c r="AH781" t="s">
        <v>5664</v>
      </c>
      <c r="AI781" t="s">
        <v>4</v>
      </c>
      <c r="AJ781" t="s">
        <v>15</v>
      </c>
      <c r="AK781" t="s">
        <v>5663</v>
      </c>
      <c r="AL781" t="s">
        <v>5662</v>
      </c>
    </row>
    <row r="782" spans="5:43" x14ac:dyDescent="0.25">
      <c r="I782" t="str">
        <f t="shared" si="65"/>
        <v>ssideki</v>
      </c>
      <c r="J782" t="str">
        <f t="shared" si="66"/>
        <v/>
      </c>
      <c r="L782" t="str">
        <f t="shared" si="68"/>
        <v>NGM-052 (MVS), NGH-052 (AES)</v>
      </c>
      <c r="M782" t="str">
        <f t="shared" si="68"/>
        <v>19921214 (MVS), 19930219 (AES)</v>
      </c>
      <c r="N782" t="str">
        <f t="shared" si="68"/>
        <v>得点王</v>
      </c>
      <c r="O782" t="str">
        <f t="shared" si="68"/>
        <v/>
      </c>
      <c r="P782" t="str">
        <f t="shared" si="68"/>
        <v/>
      </c>
      <c r="T782" t="str">
        <f t="shared" si="67"/>
        <v/>
      </c>
      <c r="V782" t="str">
        <f t="shared" si="63"/>
        <v>MVS,AES</v>
      </c>
      <c r="W782" t="str">
        <f t="shared" si="63"/>
        <v>MVS,AES</v>
      </c>
      <c r="AG782" t="s">
        <v>224</v>
      </c>
      <c r="AI782" t="s">
        <v>932</v>
      </c>
      <c r="AJ782" t="s">
        <v>15</v>
      </c>
    </row>
    <row r="783" spans="5:43" x14ac:dyDescent="0.25">
      <c r="E783" t="s">
        <v>5633</v>
      </c>
      <c r="F783" t="s">
        <v>5661</v>
      </c>
      <c r="G783" t="s">
        <v>5639</v>
      </c>
      <c r="H783" t="s">
        <v>5638</v>
      </c>
      <c r="I783" t="str">
        <f t="shared" si="65"/>
        <v>wh1</v>
      </c>
      <c r="J783" t="str">
        <f t="shared" si="66"/>
        <v>wh1serial</v>
      </c>
      <c r="K783" t="s">
        <v>1373</v>
      </c>
      <c r="L783" t="str">
        <f t="shared" si="68"/>
        <v>NGM-053 / ALM-005</v>
      </c>
      <c r="M783" t="str">
        <f t="shared" si="68"/>
        <v>19920728 (MVS)</v>
      </c>
      <c r="N783" t="str">
        <f t="shared" si="68"/>
        <v>ワールドヒーローズ</v>
      </c>
      <c r="O783" t="str">
        <f t="shared" si="68"/>
        <v/>
      </c>
      <c r="P783" t="str">
        <f t="shared" si="68"/>
        <v/>
      </c>
      <c r="Q783" t="s">
        <v>5660</v>
      </c>
      <c r="S783" t="s">
        <v>46</v>
      </c>
      <c r="T783" t="str">
        <f t="shared" si="67"/>
        <v>wh1release</v>
      </c>
      <c r="U783" t="s">
        <v>106</v>
      </c>
      <c r="V783" t="str">
        <f t="shared" si="63"/>
        <v>MVS</v>
      </c>
      <c r="W783" t="str">
        <f t="shared" si="63"/>
        <v>MVS,AES</v>
      </c>
      <c r="Y783" t="s">
        <v>45</v>
      </c>
      <c r="Z783" t="s">
        <v>44</v>
      </c>
      <c r="AB783" t="s">
        <v>43</v>
      </c>
      <c r="AC783" t="s">
        <v>42</v>
      </c>
      <c r="AD783" t="s">
        <v>41</v>
      </c>
      <c r="AE783" t="s">
        <v>15</v>
      </c>
      <c r="AG783" t="s">
        <v>40</v>
      </c>
      <c r="AH783" t="s">
        <v>5659</v>
      </c>
      <c r="AI783" t="s">
        <v>9</v>
      </c>
      <c r="AJ783" t="s">
        <v>92</v>
      </c>
      <c r="AK783" t="s">
        <v>5658</v>
      </c>
      <c r="AL783" t="s">
        <v>5657</v>
      </c>
    </row>
    <row r="784" spans="5:43" x14ac:dyDescent="0.25">
      <c r="I784" t="str">
        <f t="shared" si="65"/>
        <v>wh1</v>
      </c>
      <c r="J784" t="str">
        <f t="shared" si="66"/>
        <v>wh1release</v>
      </c>
      <c r="K784" t="s">
        <v>46</v>
      </c>
      <c r="L784" t="str">
        <f t="shared" si="68"/>
        <v>NGM-053 / ALM-005</v>
      </c>
      <c r="M784" t="str">
        <f t="shared" si="68"/>
        <v>19920728 (MVS)</v>
      </c>
      <c r="N784" t="str">
        <f t="shared" si="68"/>
        <v>ワールドヒーローズ</v>
      </c>
      <c r="O784" t="str">
        <f t="shared" si="68"/>
        <v/>
      </c>
      <c r="P784" t="str">
        <f t="shared" si="68"/>
        <v/>
      </c>
      <c r="Q784" t="s">
        <v>5656</v>
      </c>
      <c r="T784" t="str">
        <f t="shared" si="67"/>
        <v/>
      </c>
      <c r="V784" t="str">
        <f t="shared" si="63"/>
        <v>MVS</v>
      </c>
      <c r="W784" t="str">
        <f t="shared" si="63"/>
        <v>MVS,AES</v>
      </c>
      <c r="AG784" t="s">
        <v>40</v>
      </c>
      <c r="AH784" t="s">
        <v>5655</v>
      </c>
      <c r="AI784" t="s">
        <v>92</v>
      </c>
      <c r="AJ784" t="s">
        <v>92</v>
      </c>
      <c r="AK784" t="s">
        <v>5654</v>
      </c>
      <c r="AL784" t="s">
        <v>5653</v>
      </c>
    </row>
    <row r="785" spans="5:44" x14ac:dyDescent="0.25">
      <c r="I785" t="str">
        <f t="shared" si="65"/>
        <v>wh1</v>
      </c>
      <c r="J785" t="str">
        <f t="shared" si="66"/>
        <v>wh1alt_title</v>
      </c>
      <c r="K785" t="s">
        <v>1218</v>
      </c>
      <c r="L785" t="str">
        <f t="shared" si="68"/>
        <v>NGM-053 / ALM-005</v>
      </c>
      <c r="M785" t="str">
        <f t="shared" si="68"/>
        <v>19920728 (MVS)</v>
      </c>
      <c r="N785" t="str">
        <f t="shared" si="68"/>
        <v>ワールドヒーローズ</v>
      </c>
      <c r="O785" t="str">
        <f t="shared" si="68"/>
        <v/>
      </c>
      <c r="P785" t="str">
        <f t="shared" si="68"/>
        <v/>
      </c>
      <c r="Q785" t="s">
        <v>5642</v>
      </c>
      <c r="T785" t="str">
        <f t="shared" si="67"/>
        <v/>
      </c>
      <c r="V785" t="str">
        <f t="shared" si="63"/>
        <v>MVS</v>
      </c>
      <c r="W785" t="str">
        <f t="shared" si="63"/>
        <v>MVS,AES</v>
      </c>
      <c r="AB785" t="s">
        <v>34</v>
      </c>
      <c r="AE785" t="s">
        <v>33</v>
      </c>
      <c r="AH785" t="s">
        <v>5629</v>
      </c>
      <c r="AI785" t="s">
        <v>9</v>
      </c>
      <c r="AJ785" t="s">
        <v>27</v>
      </c>
      <c r="AK785" t="s">
        <v>5628</v>
      </c>
      <c r="AL785" t="s">
        <v>5627</v>
      </c>
    </row>
    <row r="786" spans="5:44" x14ac:dyDescent="0.25">
      <c r="I786" t="str">
        <f t="shared" si="65"/>
        <v>wh1</v>
      </c>
      <c r="J786" t="str">
        <f t="shared" si="66"/>
        <v/>
      </c>
      <c r="L786" t="str">
        <f t="shared" si="68"/>
        <v>NGM-053 / ALM-005</v>
      </c>
      <c r="M786" t="str">
        <f t="shared" si="68"/>
        <v>19920728 (MVS)</v>
      </c>
      <c r="N786" t="str">
        <f t="shared" si="68"/>
        <v>ワールドヒーローズ</v>
      </c>
      <c r="O786" t="str">
        <f t="shared" si="68"/>
        <v/>
      </c>
      <c r="P786" t="str">
        <f t="shared" si="68"/>
        <v/>
      </c>
      <c r="S786" t="s">
        <v>36</v>
      </c>
      <c r="T786" t="str">
        <f t="shared" si="67"/>
        <v>wh1compatibility</v>
      </c>
      <c r="U786" t="s">
        <v>218</v>
      </c>
      <c r="V786" t="str">
        <f t="shared" si="63"/>
        <v>MVS</v>
      </c>
      <c r="W786" t="str">
        <f t="shared" si="63"/>
        <v>MVS,AES</v>
      </c>
      <c r="AB786" t="s">
        <v>29</v>
      </c>
      <c r="AE786" t="s">
        <v>27</v>
      </c>
      <c r="AH786" t="s">
        <v>5626</v>
      </c>
      <c r="AI786" t="s">
        <v>9</v>
      </c>
      <c r="AJ786" t="s">
        <v>27</v>
      </c>
      <c r="AK786" t="s">
        <v>5625</v>
      </c>
      <c r="AL786" t="s">
        <v>5624</v>
      </c>
    </row>
    <row r="787" spans="5:44" x14ac:dyDescent="0.25">
      <c r="I787" t="str">
        <f t="shared" si="65"/>
        <v>wh1</v>
      </c>
      <c r="J787" t="str">
        <f t="shared" si="66"/>
        <v/>
      </c>
      <c r="L787" t="str">
        <f t="shared" si="68"/>
        <v>NGM-053 / ALM-005</v>
      </c>
      <c r="M787" t="str">
        <f t="shared" si="68"/>
        <v>19920728 (MVS)</v>
      </c>
      <c r="N787" t="str">
        <f t="shared" si="68"/>
        <v>ワールドヒーローズ</v>
      </c>
      <c r="O787" t="str">
        <f t="shared" si="68"/>
        <v/>
      </c>
      <c r="P787" t="str">
        <f t="shared" si="68"/>
        <v/>
      </c>
      <c r="T787" t="str">
        <f t="shared" si="67"/>
        <v/>
      </c>
      <c r="V787" t="str">
        <f t="shared" si="63"/>
        <v>MVS</v>
      </c>
      <c r="W787" t="str">
        <f t="shared" si="63"/>
        <v>MVS,AES</v>
      </c>
      <c r="AB787" t="s">
        <v>24</v>
      </c>
      <c r="AE787" t="s">
        <v>377</v>
      </c>
      <c r="AH787" t="s">
        <v>5623</v>
      </c>
      <c r="AI787" t="s">
        <v>9</v>
      </c>
      <c r="AJ787" t="s">
        <v>3</v>
      </c>
      <c r="AK787" t="s">
        <v>5622</v>
      </c>
      <c r="AL787" t="s">
        <v>5621</v>
      </c>
    </row>
    <row r="788" spans="5:44" x14ac:dyDescent="0.25">
      <c r="I788" t="str">
        <f t="shared" si="65"/>
        <v>wh1</v>
      </c>
      <c r="J788" t="str">
        <f t="shared" si="66"/>
        <v/>
      </c>
      <c r="L788" t="str">
        <f t="shared" si="68"/>
        <v>NGM-053 / ALM-005</v>
      </c>
      <c r="M788" t="str">
        <f t="shared" si="68"/>
        <v>19920728 (MVS)</v>
      </c>
      <c r="N788" t="str">
        <f t="shared" si="68"/>
        <v>ワールドヒーローズ</v>
      </c>
      <c r="O788" t="str">
        <f t="shared" si="68"/>
        <v/>
      </c>
      <c r="P788" t="str">
        <f t="shared" si="68"/>
        <v/>
      </c>
      <c r="T788" t="str">
        <f t="shared" si="67"/>
        <v/>
      </c>
      <c r="V788" t="str">
        <f t="shared" si="63"/>
        <v>MVS</v>
      </c>
      <c r="W788" t="str">
        <f t="shared" si="63"/>
        <v>MVS,AES</v>
      </c>
      <c r="AH788" t="s">
        <v>5620</v>
      </c>
      <c r="AI788" t="s">
        <v>3</v>
      </c>
      <c r="AJ788" t="s">
        <v>15</v>
      </c>
      <c r="AK788" t="s">
        <v>5619</v>
      </c>
      <c r="AL788" t="s">
        <v>5618</v>
      </c>
    </row>
    <row r="789" spans="5:44" x14ac:dyDescent="0.25">
      <c r="I789" t="str">
        <f t="shared" si="65"/>
        <v>wh1</v>
      </c>
      <c r="J789" t="str">
        <f t="shared" si="66"/>
        <v/>
      </c>
      <c r="L789" t="str">
        <f t="shared" si="68"/>
        <v>NGM-053 / ALM-005</v>
      </c>
      <c r="M789" t="str">
        <f t="shared" si="68"/>
        <v>19920728 (MVS)</v>
      </c>
      <c r="N789" t="str">
        <f t="shared" si="68"/>
        <v>ワールドヒーローズ</v>
      </c>
      <c r="O789" t="str">
        <f t="shared" si="68"/>
        <v/>
      </c>
      <c r="P789" t="str">
        <f t="shared" si="68"/>
        <v/>
      </c>
      <c r="T789" t="str">
        <f t="shared" si="67"/>
        <v/>
      </c>
      <c r="V789" t="str">
        <f t="shared" si="63"/>
        <v>MVS</v>
      </c>
      <c r="W789" t="str">
        <f t="shared" si="63"/>
        <v>MVS,AES</v>
      </c>
      <c r="AB789" t="s">
        <v>12</v>
      </c>
      <c r="AE789" t="s">
        <v>75</v>
      </c>
      <c r="AG789" t="s">
        <v>6</v>
      </c>
      <c r="AH789" t="s">
        <v>5617</v>
      </c>
      <c r="AI789" t="s">
        <v>9</v>
      </c>
      <c r="AJ789" t="s">
        <v>15</v>
      </c>
      <c r="AK789" t="s">
        <v>5616</v>
      </c>
      <c r="AL789" t="s">
        <v>5615</v>
      </c>
    </row>
    <row r="790" spans="5:44" x14ac:dyDescent="0.25">
      <c r="I790" t="str">
        <f t="shared" si="65"/>
        <v>wh1</v>
      </c>
      <c r="J790" t="str">
        <f t="shared" si="66"/>
        <v/>
      </c>
      <c r="L790" t="str">
        <f t="shared" si="68"/>
        <v>NGM-053 / ALM-005</v>
      </c>
      <c r="M790" t="str">
        <f t="shared" si="68"/>
        <v>19920728 (MVS)</v>
      </c>
      <c r="N790" t="str">
        <f t="shared" si="68"/>
        <v>ワールドヒーローズ</v>
      </c>
      <c r="O790" t="str">
        <f t="shared" si="68"/>
        <v/>
      </c>
      <c r="P790" t="str">
        <f t="shared" si="68"/>
        <v/>
      </c>
      <c r="T790" t="str">
        <f t="shared" si="67"/>
        <v/>
      </c>
      <c r="V790" t="str">
        <f t="shared" si="63"/>
        <v>MVS</v>
      </c>
      <c r="W790" t="str">
        <f t="shared" si="63"/>
        <v>MVS,AES</v>
      </c>
      <c r="AG790" t="s">
        <v>224</v>
      </c>
      <c r="AI790" t="s">
        <v>11</v>
      </c>
      <c r="AJ790" t="s">
        <v>15</v>
      </c>
    </row>
    <row r="791" spans="5:44" x14ac:dyDescent="0.25">
      <c r="I791" t="str">
        <f t="shared" si="65"/>
        <v>wh1</v>
      </c>
      <c r="J791" t="str">
        <f t="shared" si="66"/>
        <v/>
      </c>
      <c r="L791" t="str">
        <f t="shared" si="68"/>
        <v>NGM-053 / ALM-005</v>
      </c>
      <c r="M791" t="str">
        <f t="shared" si="68"/>
        <v>19920728 (MVS)</v>
      </c>
      <c r="N791" t="str">
        <f t="shared" si="68"/>
        <v>ワールドヒーローズ</v>
      </c>
      <c r="O791" t="str">
        <f t="shared" si="68"/>
        <v/>
      </c>
      <c r="P791" t="str">
        <f t="shared" si="68"/>
        <v/>
      </c>
      <c r="T791" t="str">
        <f t="shared" si="67"/>
        <v/>
      </c>
      <c r="V791" t="str">
        <f t="shared" ref="V791:W854" si="69">IFERROR(VLOOKUP($I791&amp;V$1,$T:$AA,2,0),"")</f>
        <v>MVS</v>
      </c>
      <c r="W791" t="str">
        <f t="shared" si="69"/>
        <v>MVS,AES</v>
      </c>
      <c r="AG791" t="s">
        <v>6</v>
      </c>
      <c r="AH791" t="s">
        <v>5614</v>
      </c>
      <c r="AI791" t="s">
        <v>4</v>
      </c>
      <c r="AJ791" t="s">
        <v>15</v>
      </c>
      <c r="AK791" t="s">
        <v>5613</v>
      </c>
      <c r="AL791" t="s">
        <v>5612</v>
      </c>
    </row>
    <row r="792" spans="5:44" x14ac:dyDescent="0.25">
      <c r="I792" t="str">
        <f t="shared" si="65"/>
        <v>wh1</v>
      </c>
      <c r="J792" t="str">
        <f t="shared" si="66"/>
        <v/>
      </c>
      <c r="L792" t="str">
        <f t="shared" si="68"/>
        <v>NGM-053 / ALM-005</v>
      </c>
      <c r="M792" t="str">
        <f t="shared" si="68"/>
        <v>19920728 (MVS)</v>
      </c>
      <c r="N792" t="str">
        <f t="shared" si="68"/>
        <v>ワールドヒーローズ</v>
      </c>
      <c r="O792" t="str">
        <f t="shared" si="68"/>
        <v/>
      </c>
      <c r="P792" t="str">
        <f t="shared" si="68"/>
        <v/>
      </c>
      <c r="T792" t="str">
        <f t="shared" si="67"/>
        <v/>
      </c>
      <c r="V792" t="str">
        <f t="shared" si="69"/>
        <v>MVS</v>
      </c>
      <c r="W792" t="str">
        <f t="shared" si="69"/>
        <v>MVS,AES</v>
      </c>
      <c r="AG792" t="s">
        <v>224</v>
      </c>
      <c r="AI792" t="s">
        <v>932</v>
      </c>
      <c r="AJ792" t="s">
        <v>15</v>
      </c>
    </row>
    <row r="793" spans="5:44" x14ac:dyDescent="0.25">
      <c r="I793" t="str">
        <f t="shared" si="65"/>
        <v>wh1</v>
      </c>
      <c r="J793" t="str">
        <f t="shared" si="66"/>
        <v/>
      </c>
      <c r="L793" t="str">
        <f t="shared" si="68"/>
        <v>NGM-053 / ALM-005</v>
      </c>
      <c r="M793" t="str">
        <f t="shared" si="68"/>
        <v>19920728 (MVS)</v>
      </c>
      <c r="N793" t="str">
        <f t="shared" si="68"/>
        <v>ワールドヒーローズ</v>
      </c>
      <c r="O793" t="str">
        <f t="shared" si="68"/>
        <v/>
      </c>
      <c r="P793" t="str">
        <f t="shared" si="68"/>
        <v/>
      </c>
      <c r="T793" t="str">
        <f t="shared" si="67"/>
        <v/>
      </c>
      <c r="V793" t="str">
        <f t="shared" si="69"/>
        <v>MVS</v>
      </c>
      <c r="W793" t="str">
        <f t="shared" si="69"/>
        <v>MVS,AES</v>
      </c>
      <c r="AG793" t="s">
        <v>6</v>
      </c>
      <c r="AH793" t="s">
        <v>5611</v>
      </c>
      <c r="AI793" t="s">
        <v>3</v>
      </c>
      <c r="AJ793" t="s">
        <v>15</v>
      </c>
      <c r="AK793" t="s">
        <v>5610</v>
      </c>
      <c r="AL793" t="s">
        <v>5609</v>
      </c>
    </row>
    <row r="794" spans="5:44" x14ac:dyDescent="0.25">
      <c r="I794" t="str">
        <f t="shared" si="65"/>
        <v>wh1</v>
      </c>
      <c r="J794" t="str">
        <f t="shared" si="66"/>
        <v/>
      </c>
      <c r="L794" t="str">
        <f t="shared" si="68"/>
        <v>NGM-053 / ALM-005</v>
      </c>
      <c r="M794" t="str">
        <f t="shared" si="68"/>
        <v>19920728 (MVS)</v>
      </c>
      <c r="N794" t="str">
        <f t="shared" si="68"/>
        <v>ワールドヒーローズ</v>
      </c>
      <c r="O794" t="str">
        <f t="shared" si="68"/>
        <v/>
      </c>
      <c r="P794" t="str">
        <f t="shared" si="68"/>
        <v/>
      </c>
      <c r="T794" t="str">
        <f t="shared" si="67"/>
        <v/>
      </c>
      <c r="V794" t="str">
        <f t="shared" si="69"/>
        <v>MVS</v>
      </c>
      <c r="W794" t="str">
        <f t="shared" si="69"/>
        <v>MVS,AES</v>
      </c>
      <c r="AG794" t="s">
        <v>6</v>
      </c>
      <c r="AH794" t="s">
        <v>5608</v>
      </c>
      <c r="AI794" t="s">
        <v>4371</v>
      </c>
      <c r="AJ794" t="s">
        <v>15</v>
      </c>
      <c r="AK794" t="s">
        <v>5607</v>
      </c>
      <c r="AL794" t="s">
        <v>5606</v>
      </c>
    </row>
    <row r="795" spans="5:44" x14ac:dyDescent="0.25">
      <c r="E795" t="s">
        <v>5652</v>
      </c>
      <c r="F795" t="s">
        <v>5651</v>
      </c>
      <c r="G795" t="s">
        <v>5639</v>
      </c>
      <c r="H795" t="s">
        <v>5638</v>
      </c>
      <c r="I795" t="str">
        <f t="shared" si="65"/>
        <v>wh1h</v>
      </c>
      <c r="J795" t="str">
        <f t="shared" si="66"/>
        <v>wh1hserial</v>
      </c>
      <c r="K795" t="s">
        <v>1373</v>
      </c>
      <c r="L795" t="str">
        <f t="shared" si="68"/>
        <v>NGH-053 / ALH-005</v>
      </c>
      <c r="M795" t="str">
        <f t="shared" si="68"/>
        <v>19920911 (AES)</v>
      </c>
      <c r="N795" t="str">
        <f t="shared" si="68"/>
        <v>ワールドヒーローズ</v>
      </c>
      <c r="O795" t="str">
        <f t="shared" si="68"/>
        <v/>
      </c>
      <c r="P795" t="str">
        <f t="shared" si="68"/>
        <v/>
      </c>
      <c r="Q795" t="s">
        <v>5650</v>
      </c>
      <c r="S795" t="s">
        <v>46</v>
      </c>
      <c r="T795" t="str">
        <f t="shared" si="67"/>
        <v>wh1hrelease</v>
      </c>
      <c r="U795" t="s">
        <v>35</v>
      </c>
      <c r="V795" t="str">
        <f t="shared" si="69"/>
        <v>AES</v>
      </c>
      <c r="W795" t="str">
        <f t="shared" si="69"/>
        <v>MVS,AES</v>
      </c>
      <c r="Y795" t="s">
        <v>45</v>
      </c>
      <c r="Z795" t="s">
        <v>44</v>
      </c>
      <c r="AB795" t="s">
        <v>43</v>
      </c>
      <c r="AC795" t="s">
        <v>42</v>
      </c>
      <c r="AD795" t="s">
        <v>41</v>
      </c>
      <c r="AE795" t="s">
        <v>15</v>
      </c>
      <c r="AG795" t="s">
        <v>40</v>
      </c>
      <c r="AH795" t="s">
        <v>5649</v>
      </c>
      <c r="AI795" t="s">
        <v>9</v>
      </c>
      <c r="AJ795" t="s">
        <v>92</v>
      </c>
      <c r="AK795" t="s">
        <v>5648</v>
      </c>
      <c r="AL795" t="s">
        <v>5647</v>
      </c>
      <c r="AR795" t="s">
        <v>5633</v>
      </c>
    </row>
    <row r="796" spans="5:44" x14ac:dyDescent="0.25">
      <c r="I796" t="str">
        <f t="shared" si="65"/>
        <v>wh1h</v>
      </c>
      <c r="J796" t="str">
        <f t="shared" si="66"/>
        <v>wh1hrelease</v>
      </c>
      <c r="K796" t="s">
        <v>46</v>
      </c>
      <c r="L796" t="str">
        <f t="shared" si="68"/>
        <v>NGH-053 / ALH-005</v>
      </c>
      <c r="M796" t="str">
        <f t="shared" si="68"/>
        <v>19920911 (AES)</v>
      </c>
      <c r="N796" t="str">
        <f t="shared" si="68"/>
        <v>ワールドヒーローズ</v>
      </c>
      <c r="O796" t="str">
        <f t="shared" si="68"/>
        <v/>
      </c>
      <c r="P796" t="str">
        <f t="shared" si="68"/>
        <v/>
      </c>
      <c r="Q796" t="s">
        <v>5646</v>
      </c>
      <c r="T796" t="str">
        <f t="shared" si="67"/>
        <v/>
      </c>
      <c r="V796" t="str">
        <f t="shared" si="69"/>
        <v>AES</v>
      </c>
      <c r="W796" t="str">
        <f t="shared" si="69"/>
        <v>MVS,AES</v>
      </c>
      <c r="AG796" t="s">
        <v>40</v>
      </c>
      <c r="AH796" t="s">
        <v>5645</v>
      </c>
      <c r="AI796" t="s">
        <v>92</v>
      </c>
      <c r="AJ796" t="s">
        <v>92</v>
      </c>
      <c r="AK796" t="s">
        <v>5644</v>
      </c>
      <c r="AL796" t="s">
        <v>5643</v>
      </c>
    </row>
    <row r="797" spans="5:44" x14ac:dyDescent="0.25">
      <c r="I797" t="str">
        <f t="shared" si="65"/>
        <v>wh1h</v>
      </c>
      <c r="J797" t="str">
        <f t="shared" si="66"/>
        <v>wh1halt_title</v>
      </c>
      <c r="K797" t="s">
        <v>1218</v>
      </c>
      <c r="L797" t="str">
        <f t="shared" si="68"/>
        <v>NGH-053 / ALH-005</v>
      </c>
      <c r="M797" t="str">
        <f t="shared" si="68"/>
        <v>19920911 (AES)</v>
      </c>
      <c r="N797" t="str">
        <f t="shared" si="68"/>
        <v>ワールドヒーローズ</v>
      </c>
      <c r="O797" t="str">
        <f t="shared" si="68"/>
        <v/>
      </c>
      <c r="P797" t="str">
        <f t="shared" si="68"/>
        <v/>
      </c>
      <c r="Q797" t="s">
        <v>5642</v>
      </c>
      <c r="T797" t="str">
        <f t="shared" si="67"/>
        <v/>
      </c>
      <c r="V797" t="str">
        <f t="shared" si="69"/>
        <v>AES</v>
      </c>
      <c r="W797" t="str">
        <f t="shared" si="69"/>
        <v>MVS,AES</v>
      </c>
      <c r="AB797" t="s">
        <v>34</v>
      </c>
      <c r="AE797" t="s">
        <v>33</v>
      </c>
      <c r="AH797" t="s">
        <v>5629</v>
      </c>
      <c r="AI797" t="s">
        <v>9</v>
      </c>
      <c r="AJ797" t="s">
        <v>27</v>
      </c>
      <c r="AK797" t="s">
        <v>5628</v>
      </c>
      <c r="AL797" t="s">
        <v>5627</v>
      </c>
    </row>
    <row r="798" spans="5:44" x14ac:dyDescent="0.25">
      <c r="I798" t="str">
        <f t="shared" si="65"/>
        <v>wh1h</v>
      </c>
      <c r="J798" t="str">
        <f t="shared" si="66"/>
        <v/>
      </c>
      <c r="L798" t="str">
        <f t="shared" si="68"/>
        <v>NGH-053 / ALH-005</v>
      </c>
      <c r="M798" t="str">
        <f t="shared" si="68"/>
        <v>19920911 (AES)</v>
      </c>
      <c r="N798" t="str">
        <f t="shared" si="68"/>
        <v>ワールドヒーローズ</v>
      </c>
      <c r="O798" t="str">
        <f t="shared" si="68"/>
        <v/>
      </c>
      <c r="P798" t="str">
        <f t="shared" si="68"/>
        <v/>
      </c>
      <c r="S798" t="s">
        <v>36</v>
      </c>
      <c r="T798" t="str">
        <f t="shared" si="67"/>
        <v>wh1hcompatibility</v>
      </c>
      <c r="U798" t="s">
        <v>218</v>
      </c>
      <c r="V798" t="str">
        <f t="shared" si="69"/>
        <v>AES</v>
      </c>
      <c r="W798" t="str">
        <f t="shared" si="69"/>
        <v>MVS,AES</v>
      </c>
      <c r="AB798" t="s">
        <v>29</v>
      </c>
      <c r="AE798" t="s">
        <v>27</v>
      </c>
      <c r="AH798" t="s">
        <v>5626</v>
      </c>
      <c r="AI798" t="s">
        <v>9</v>
      </c>
      <c r="AJ798" t="s">
        <v>27</v>
      </c>
      <c r="AK798" t="s">
        <v>5625</v>
      </c>
      <c r="AL798" t="s">
        <v>5624</v>
      </c>
    </row>
    <row r="799" spans="5:44" x14ac:dyDescent="0.25">
      <c r="I799" t="str">
        <f t="shared" si="65"/>
        <v>wh1h</v>
      </c>
      <c r="J799" t="str">
        <f t="shared" si="66"/>
        <v/>
      </c>
      <c r="L799" t="str">
        <f t="shared" si="68"/>
        <v>NGH-053 / ALH-005</v>
      </c>
      <c r="M799" t="str">
        <f t="shared" si="68"/>
        <v>19920911 (AES)</v>
      </c>
      <c r="N799" t="str">
        <f t="shared" si="68"/>
        <v>ワールドヒーローズ</v>
      </c>
      <c r="O799" t="str">
        <f t="shared" si="68"/>
        <v/>
      </c>
      <c r="P799" t="str">
        <f t="shared" si="68"/>
        <v/>
      </c>
      <c r="T799" t="str">
        <f t="shared" si="67"/>
        <v/>
      </c>
      <c r="V799" t="str">
        <f t="shared" si="69"/>
        <v>AES</v>
      </c>
      <c r="W799" t="str">
        <f t="shared" si="69"/>
        <v>MVS,AES</v>
      </c>
      <c r="AB799" t="s">
        <v>24</v>
      </c>
      <c r="AE799" t="s">
        <v>377</v>
      </c>
      <c r="AH799" t="s">
        <v>5623</v>
      </c>
      <c r="AI799" t="s">
        <v>9</v>
      </c>
      <c r="AJ799" t="s">
        <v>3</v>
      </c>
      <c r="AK799" t="s">
        <v>5622</v>
      </c>
      <c r="AL799" t="s">
        <v>5621</v>
      </c>
    </row>
    <row r="800" spans="5:44" x14ac:dyDescent="0.25">
      <c r="I800" t="str">
        <f t="shared" si="65"/>
        <v>wh1h</v>
      </c>
      <c r="J800" t="str">
        <f t="shared" si="66"/>
        <v/>
      </c>
      <c r="L800" t="str">
        <f t="shared" si="68"/>
        <v>NGH-053 / ALH-005</v>
      </c>
      <c r="M800" t="str">
        <f t="shared" si="68"/>
        <v>19920911 (AES)</v>
      </c>
      <c r="N800" t="str">
        <f t="shared" si="68"/>
        <v>ワールドヒーローズ</v>
      </c>
      <c r="O800" t="str">
        <f t="shared" si="68"/>
        <v/>
      </c>
      <c r="P800" t="str">
        <f t="shared" si="68"/>
        <v/>
      </c>
      <c r="T800" t="str">
        <f t="shared" si="67"/>
        <v/>
      </c>
      <c r="V800" t="str">
        <f t="shared" si="69"/>
        <v>AES</v>
      </c>
      <c r="W800" t="str">
        <f t="shared" si="69"/>
        <v>MVS,AES</v>
      </c>
      <c r="AH800" t="s">
        <v>5620</v>
      </c>
      <c r="AI800" t="s">
        <v>3</v>
      </c>
      <c r="AJ800" t="s">
        <v>15</v>
      </c>
      <c r="AK800" t="s">
        <v>5619</v>
      </c>
      <c r="AL800" t="s">
        <v>5618</v>
      </c>
    </row>
    <row r="801" spans="5:44" x14ac:dyDescent="0.25">
      <c r="I801" t="str">
        <f t="shared" si="65"/>
        <v>wh1h</v>
      </c>
      <c r="J801" t="str">
        <f t="shared" si="66"/>
        <v/>
      </c>
      <c r="L801" t="str">
        <f t="shared" si="68"/>
        <v>NGH-053 / ALH-005</v>
      </c>
      <c r="M801" t="str">
        <f t="shared" si="68"/>
        <v>19920911 (AES)</v>
      </c>
      <c r="N801" t="str">
        <f t="shared" si="68"/>
        <v>ワールドヒーローズ</v>
      </c>
      <c r="O801" t="str">
        <f t="shared" si="68"/>
        <v/>
      </c>
      <c r="P801" t="str">
        <f t="shared" si="68"/>
        <v/>
      </c>
      <c r="T801" t="str">
        <f t="shared" si="67"/>
        <v/>
      </c>
      <c r="V801" t="str">
        <f t="shared" si="69"/>
        <v>AES</v>
      </c>
      <c r="W801" t="str">
        <f t="shared" si="69"/>
        <v>MVS,AES</v>
      </c>
      <c r="AB801" t="s">
        <v>12</v>
      </c>
      <c r="AE801" t="s">
        <v>75</v>
      </c>
      <c r="AG801" t="s">
        <v>6</v>
      </c>
      <c r="AH801" t="s">
        <v>5617</v>
      </c>
      <c r="AI801" t="s">
        <v>9</v>
      </c>
      <c r="AJ801" t="s">
        <v>15</v>
      </c>
      <c r="AK801" t="s">
        <v>5616</v>
      </c>
      <c r="AL801" t="s">
        <v>5615</v>
      </c>
    </row>
    <row r="802" spans="5:44" x14ac:dyDescent="0.25">
      <c r="I802" t="str">
        <f t="shared" si="65"/>
        <v>wh1h</v>
      </c>
      <c r="J802" t="str">
        <f t="shared" si="66"/>
        <v/>
      </c>
      <c r="L802" t="str">
        <f t="shared" si="68"/>
        <v>NGH-053 / ALH-005</v>
      </c>
      <c r="M802" t="str">
        <f t="shared" si="68"/>
        <v>19920911 (AES)</v>
      </c>
      <c r="N802" t="str">
        <f t="shared" si="68"/>
        <v>ワールドヒーローズ</v>
      </c>
      <c r="O802" t="str">
        <f t="shared" si="68"/>
        <v/>
      </c>
      <c r="P802" t="str">
        <f t="shared" si="68"/>
        <v/>
      </c>
      <c r="T802" t="str">
        <f t="shared" si="67"/>
        <v/>
      </c>
      <c r="V802" t="str">
        <f t="shared" si="69"/>
        <v>AES</v>
      </c>
      <c r="W802" t="str">
        <f t="shared" si="69"/>
        <v>MVS,AES</v>
      </c>
      <c r="AG802" t="s">
        <v>224</v>
      </c>
      <c r="AI802" t="s">
        <v>11</v>
      </c>
      <c r="AJ802" t="s">
        <v>15</v>
      </c>
    </row>
    <row r="803" spans="5:44" x14ac:dyDescent="0.25">
      <c r="I803" t="str">
        <f t="shared" si="65"/>
        <v>wh1h</v>
      </c>
      <c r="J803" t="str">
        <f t="shared" si="66"/>
        <v/>
      </c>
      <c r="L803" t="str">
        <f t="shared" si="68"/>
        <v>NGH-053 / ALH-005</v>
      </c>
      <c r="M803" t="str">
        <f t="shared" si="68"/>
        <v>19920911 (AES)</v>
      </c>
      <c r="N803" t="str">
        <f t="shared" si="68"/>
        <v>ワールドヒーローズ</v>
      </c>
      <c r="O803" t="str">
        <f t="shared" si="68"/>
        <v/>
      </c>
      <c r="P803" t="str">
        <f t="shared" si="68"/>
        <v/>
      </c>
      <c r="T803" t="str">
        <f t="shared" si="67"/>
        <v/>
      </c>
      <c r="V803" t="str">
        <f t="shared" si="69"/>
        <v>AES</v>
      </c>
      <c r="W803" t="str">
        <f t="shared" si="69"/>
        <v>MVS,AES</v>
      </c>
      <c r="AG803" t="s">
        <v>6</v>
      </c>
      <c r="AH803" t="s">
        <v>5614</v>
      </c>
      <c r="AI803" t="s">
        <v>4</v>
      </c>
      <c r="AJ803" t="s">
        <v>15</v>
      </c>
      <c r="AK803" t="s">
        <v>5613</v>
      </c>
      <c r="AL803" t="s">
        <v>5612</v>
      </c>
    </row>
    <row r="804" spans="5:44" x14ac:dyDescent="0.25">
      <c r="I804" t="str">
        <f t="shared" si="65"/>
        <v>wh1h</v>
      </c>
      <c r="J804" t="str">
        <f t="shared" si="66"/>
        <v/>
      </c>
      <c r="L804" t="str">
        <f t="shared" si="68"/>
        <v>NGH-053 / ALH-005</v>
      </c>
      <c r="M804" t="str">
        <f t="shared" si="68"/>
        <v>19920911 (AES)</v>
      </c>
      <c r="N804" t="str">
        <f t="shared" si="68"/>
        <v>ワールドヒーローズ</v>
      </c>
      <c r="O804" t="str">
        <f t="shared" si="68"/>
        <v/>
      </c>
      <c r="P804" t="str">
        <f t="shared" si="68"/>
        <v/>
      </c>
      <c r="T804" t="str">
        <f t="shared" si="67"/>
        <v/>
      </c>
      <c r="V804" t="str">
        <f t="shared" si="69"/>
        <v>AES</v>
      </c>
      <c r="W804" t="str">
        <f t="shared" si="69"/>
        <v>MVS,AES</v>
      </c>
      <c r="AG804" t="s">
        <v>224</v>
      </c>
      <c r="AI804" t="s">
        <v>932</v>
      </c>
      <c r="AJ804" t="s">
        <v>15</v>
      </c>
    </row>
    <row r="805" spans="5:44" x14ac:dyDescent="0.25">
      <c r="I805" t="str">
        <f t="shared" si="65"/>
        <v>wh1h</v>
      </c>
      <c r="J805" t="str">
        <f t="shared" si="66"/>
        <v/>
      </c>
      <c r="L805" t="str">
        <f t="shared" si="68"/>
        <v>NGH-053 / ALH-005</v>
      </c>
      <c r="M805" t="str">
        <f t="shared" si="68"/>
        <v>19920911 (AES)</v>
      </c>
      <c r="N805" t="str">
        <f t="shared" si="68"/>
        <v>ワールドヒーローズ</v>
      </c>
      <c r="O805" t="str">
        <f t="shared" si="68"/>
        <v/>
      </c>
      <c r="P805" t="str">
        <f t="shared" si="68"/>
        <v/>
      </c>
      <c r="T805" t="str">
        <f t="shared" si="67"/>
        <v/>
      </c>
      <c r="V805" t="str">
        <f t="shared" si="69"/>
        <v>AES</v>
      </c>
      <c r="W805" t="str">
        <f t="shared" si="69"/>
        <v>MVS,AES</v>
      </c>
      <c r="AG805" t="s">
        <v>6</v>
      </c>
      <c r="AH805" t="s">
        <v>5611</v>
      </c>
      <c r="AI805" t="s">
        <v>3</v>
      </c>
      <c r="AJ805" t="s">
        <v>15</v>
      </c>
      <c r="AK805" t="s">
        <v>5610</v>
      </c>
      <c r="AL805" t="s">
        <v>5609</v>
      </c>
    </row>
    <row r="806" spans="5:44" x14ac:dyDescent="0.25">
      <c r="I806" t="str">
        <f t="shared" si="65"/>
        <v>wh1h</v>
      </c>
      <c r="J806" t="str">
        <f t="shared" si="66"/>
        <v/>
      </c>
      <c r="L806" t="str">
        <f t="shared" si="68"/>
        <v>NGH-053 / ALH-005</v>
      </c>
      <c r="M806" t="str">
        <f t="shared" si="68"/>
        <v>19920911 (AES)</v>
      </c>
      <c r="N806" t="str">
        <f t="shared" si="68"/>
        <v>ワールドヒーローズ</v>
      </c>
      <c r="O806" t="str">
        <f t="shared" si="68"/>
        <v/>
      </c>
      <c r="P806" t="str">
        <f t="shared" si="68"/>
        <v/>
      </c>
      <c r="T806" t="str">
        <f t="shared" si="67"/>
        <v/>
      </c>
      <c r="V806" t="str">
        <f t="shared" si="69"/>
        <v>AES</v>
      </c>
      <c r="W806" t="str">
        <f t="shared" si="69"/>
        <v>MVS,AES</v>
      </c>
      <c r="AG806" t="s">
        <v>6</v>
      </c>
      <c r="AH806" t="s">
        <v>5608</v>
      </c>
      <c r="AI806" t="s">
        <v>4371</v>
      </c>
      <c r="AJ806" t="s">
        <v>15</v>
      </c>
      <c r="AK806" t="s">
        <v>5607</v>
      </c>
      <c r="AL806" t="s">
        <v>5606</v>
      </c>
    </row>
    <row r="807" spans="5:44" x14ac:dyDescent="0.25">
      <c r="E807" t="s">
        <v>5641</v>
      </c>
      <c r="F807" t="s">
        <v>5640</v>
      </c>
      <c r="G807" t="s">
        <v>5639</v>
      </c>
      <c r="H807" t="s">
        <v>5638</v>
      </c>
      <c r="I807" t="str">
        <f t="shared" si="65"/>
        <v>wh1ha</v>
      </c>
      <c r="J807" t="str">
        <f t="shared" si="66"/>
        <v/>
      </c>
      <c r="L807" t="str">
        <f t="shared" si="68"/>
        <v/>
      </c>
      <c r="M807" t="str">
        <f t="shared" si="68"/>
        <v/>
      </c>
      <c r="N807" t="str">
        <f t="shared" si="68"/>
        <v/>
      </c>
      <c r="O807" t="str">
        <f t="shared" si="68"/>
        <v/>
      </c>
      <c r="P807" t="str">
        <f t="shared" si="68"/>
        <v/>
      </c>
      <c r="S807" t="s">
        <v>46</v>
      </c>
      <c r="T807" t="str">
        <f t="shared" si="67"/>
        <v>wh1harelease</v>
      </c>
      <c r="U807" t="s">
        <v>5637</v>
      </c>
      <c r="V807" t="str">
        <f t="shared" si="69"/>
        <v>unknown</v>
      </c>
      <c r="W807" t="str">
        <f t="shared" si="69"/>
        <v>MVS,AES</v>
      </c>
      <c r="Y807" t="s">
        <v>45</v>
      </c>
      <c r="Z807" t="s">
        <v>44</v>
      </c>
      <c r="AB807" t="s">
        <v>43</v>
      </c>
      <c r="AC807" t="s">
        <v>42</v>
      </c>
      <c r="AD807" t="s">
        <v>41</v>
      </c>
      <c r="AE807" t="s">
        <v>15</v>
      </c>
      <c r="AG807" t="s">
        <v>40</v>
      </c>
      <c r="AH807" t="s">
        <v>5636</v>
      </c>
      <c r="AI807" t="s">
        <v>9</v>
      </c>
      <c r="AJ807" t="s">
        <v>92</v>
      </c>
      <c r="AK807" t="s">
        <v>5635</v>
      </c>
      <c r="AL807" t="s">
        <v>5634</v>
      </c>
      <c r="AR807" t="s">
        <v>5633</v>
      </c>
    </row>
    <row r="808" spans="5:44" x14ac:dyDescent="0.25">
      <c r="I808" t="str">
        <f t="shared" si="65"/>
        <v>wh1ha</v>
      </c>
      <c r="J808" t="str">
        <f t="shared" si="66"/>
        <v/>
      </c>
      <c r="L808" t="str">
        <f t="shared" si="68"/>
        <v/>
      </c>
      <c r="M808" t="str">
        <f t="shared" si="68"/>
        <v/>
      </c>
      <c r="N808" t="str">
        <f t="shared" si="68"/>
        <v/>
      </c>
      <c r="O808" t="str">
        <f t="shared" si="68"/>
        <v/>
      </c>
      <c r="P808" t="str">
        <f t="shared" si="68"/>
        <v/>
      </c>
      <c r="S808" t="s">
        <v>36</v>
      </c>
      <c r="T808" t="str">
        <f t="shared" si="67"/>
        <v>wh1hacompatibility</v>
      </c>
      <c r="U808" t="s">
        <v>218</v>
      </c>
      <c r="V808" t="str">
        <f t="shared" si="69"/>
        <v>unknown</v>
      </c>
      <c r="W808" t="str">
        <f t="shared" si="69"/>
        <v>MVS,AES</v>
      </c>
      <c r="AG808" t="s">
        <v>40</v>
      </c>
      <c r="AH808" t="s">
        <v>5632</v>
      </c>
      <c r="AI808" t="s">
        <v>92</v>
      </c>
      <c r="AJ808" t="s">
        <v>92</v>
      </c>
      <c r="AK808" t="s">
        <v>5631</v>
      </c>
      <c r="AL808" t="s">
        <v>5630</v>
      </c>
    </row>
    <row r="809" spans="5:44" x14ac:dyDescent="0.25">
      <c r="I809" t="str">
        <f t="shared" si="65"/>
        <v>wh1ha</v>
      </c>
      <c r="J809" t="str">
        <f t="shared" si="66"/>
        <v/>
      </c>
      <c r="L809" t="str">
        <f t="shared" si="68"/>
        <v/>
      </c>
      <c r="M809" t="str">
        <f t="shared" si="68"/>
        <v/>
      </c>
      <c r="N809" t="str">
        <f t="shared" si="68"/>
        <v/>
      </c>
      <c r="O809" t="str">
        <f t="shared" si="68"/>
        <v/>
      </c>
      <c r="P809" t="str">
        <f t="shared" si="68"/>
        <v/>
      </c>
      <c r="T809" t="str">
        <f t="shared" si="67"/>
        <v/>
      </c>
      <c r="V809" t="str">
        <f t="shared" si="69"/>
        <v>unknown</v>
      </c>
      <c r="W809" t="str">
        <f t="shared" si="69"/>
        <v>MVS,AES</v>
      </c>
      <c r="AB809" t="s">
        <v>34</v>
      </c>
      <c r="AE809" t="s">
        <v>33</v>
      </c>
      <c r="AH809" t="s">
        <v>5629</v>
      </c>
      <c r="AI809" t="s">
        <v>9</v>
      </c>
      <c r="AJ809" t="s">
        <v>27</v>
      </c>
      <c r="AK809" t="s">
        <v>5628</v>
      </c>
      <c r="AL809" t="s">
        <v>5627</v>
      </c>
    </row>
    <row r="810" spans="5:44" x14ac:dyDescent="0.25">
      <c r="I810" t="str">
        <f t="shared" si="65"/>
        <v>wh1ha</v>
      </c>
      <c r="J810" t="str">
        <f t="shared" si="66"/>
        <v/>
      </c>
      <c r="L810" t="str">
        <f t="shared" si="68"/>
        <v/>
      </c>
      <c r="M810" t="str">
        <f t="shared" si="68"/>
        <v/>
      </c>
      <c r="N810" t="str">
        <f t="shared" si="68"/>
        <v/>
      </c>
      <c r="O810" t="str">
        <f t="shared" si="68"/>
        <v/>
      </c>
      <c r="P810" t="str">
        <f t="shared" si="68"/>
        <v/>
      </c>
      <c r="T810" t="str">
        <f t="shared" si="67"/>
        <v/>
      </c>
      <c r="V810" t="str">
        <f t="shared" si="69"/>
        <v>unknown</v>
      </c>
      <c r="W810" t="str">
        <f t="shared" si="69"/>
        <v>MVS,AES</v>
      </c>
      <c r="AB810" t="s">
        <v>29</v>
      </c>
      <c r="AE810" t="s">
        <v>27</v>
      </c>
      <c r="AH810" t="s">
        <v>5626</v>
      </c>
      <c r="AI810" t="s">
        <v>9</v>
      </c>
      <c r="AJ810" t="s">
        <v>27</v>
      </c>
      <c r="AK810" t="s">
        <v>5625</v>
      </c>
      <c r="AL810" t="s">
        <v>5624</v>
      </c>
    </row>
    <row r="811" spans="5:44" x14ac:dyDescent="0.25">
      <c r="I811" t="str">
        <f t="shared" si="65"/>
        <v>wh1ha</v>
      </c>
      <c r="J811" t="str">
        <f t="shared" si="66"/>
        <v/>
      </c>
      <c r="L811" t="str">
        <f t="shared" si="68"/>
        <v/>
      </c>
      <c r="M811" t="str">
        <f t="shared" si="68"/>
        <v/>
      </c>
      <c r="N811" t="str">
        <f t="shared" si="68"/>
        <v/>
      </c>
      <c r="O811" t="str">
        <f t="shared" si="68"/>
        <v/>
      </c>
      <c r="P811" t="str">
        <f t="shared" si="68"/>
        <v/>
      </c>
      <c r="T811" t="str">
        <f t="shared" si="67"/>
        <v/>
      </c>
      <c r="V811" t="str">
        <f t="shared" si="69"/>
        <v>unknown</v>
      </c>
      <c r="W811" t="str">
        <f t="shared" si="69"/>
        <v>MVS,AES</v>
      </c>
      <c r="AB811" t="s">
        <v>24</v>
      </c>
      <c r="AE811" t="s">
        <v>377</v>
      </c>
      <c r="AH811" t="s">
        <v>5623</v>
      </c>
      <c r="AI811" t="s">
        <v>9</v>
      </c>
      <c r="AJ811" t="s">
        <v>3</v>
      </c>
      <c r="AK811" t="s">
        <v>5622</v>
      </c>
      <c r="AL811" t="s">
        <v>5621</v>
      </c>
    </row>
    <row r="812" spans="5:44" x14ac:dyDescent="0.25">
      <c r="I812" t="str">
        <f t="shared" si="65"/>
        <v>wh1ha</v>
      </c>
      <c r="J812" t="str">
        <f t="shared" si="66"/>
        <v/>
      </c>
      <c r="L812" t="str">
        <f t="shared" si="68"/>
        <v/>
      </c>
      <c r="M812" t="str">
        <f t="shared" si="68"/>
        <v/>
      </c>
      <c r="N812" t="str">
        <f t="shared" si="68"/>
        <v/>
      </c>
      <c r="O812" t="str">
        <f t="shared" si="68"/>
        <v/>
      </c>
      <c r="P812" t="str">
        <f t="shared" si="68"/>
        <v/>
      </c>
      <c r="T812" t="str">
        <f t="shared" si="67"/>
        <v/>
      </c>
      <c r="V812" t="str">
        <f t="shared" si="69"/>
        <v>unknown</v>
      </c>
      <c r="W812" t="str">
        <f t="shared" si="69"/>
        <v>MVS,AES</v>
      </c>
      <c r="AH812" t="s">
        <v>5620</v>
      </c>
      <c r="AI812" t="s">
        <v>3</v>
      </c>
      <c r="AJ812" t="s">
        <v>15</v>
      </c>
      <c r="AK812" t="s">
        <v>5619</v>
      </c>
      <c r="AL812" t="s">
        <v>5618</v>
      </c>
    </row>
    <row r="813" spans="5:44" x14ac:dyDescent="0.25">
      <c r="I813" t="str">
        <f t="shared" si="65"/>
        <v>wh1ha</v>
      </c>
      <c r="J813" t="str">
        <f t="shared" si="66"/>
        <v/>
      </c>
      <c r="L813" t="str">
        <f t="shared" si="68"/>
        <v/>
      </c>
      <c r="M813" t="str">
        <f t="shared" si="68"/>
        <v/>
      </c>
      <c r="N813" t="str">
        <f t="shared" si="68"/>
        <v/>
      </c>
      <c r="O813" t="str">
        <f t="shared" si="68"/>
        <v/>
      </c>
      <c r="P813" t="str">
        <f t="shared" si="68"/>
        <v/>
      </c>
      <c r="T813" t="str">
        <f t="shared" si="67"/>
        <v/>
      </c>
      <c r="V813" t="str">
        <f t="shared" si="69"/>
        <v>unknown</v>
      </c>
      <c r="W813" t="str">
        <f t="shared" si="69"/>
        <v>MVS,AES</v>
      </c>
      <c r="AB813" t="s">
        <v>12</v>
      </c>
      <c r="AE813" t="s">
        <v>75</v>
      </c>
      <c r="AG813" t="s">
        <v>6</v>
      </c>
      <c r="AH813" t="s">
        <v>5617</v>
      </c>
      <c r="AI813" t="s">
        <v>9</v>
      </c>
      <c r="AJ813" t="s">
        <v>15</v>
      </c>
      <c r="AK813" t="s">
        <v>5616</v>
      </c>
      <c r="AL813" t="s">
        <v>5615</v>
      </c>
    </row>
    <row r="814" spans="5:44" x14ac:dyDescent="0.25">
      <c r="I814" t="str">
        <f t="shared" si="65"/>
        <v>wh1ha</v>
      </c>
      <c r="J814" t="str">
        <f t="shared" si="66"/>
        <v/>
      </c>
      <c r="L814" t="str">
        <f t="shared" si="68"/>
        <v/>
      </c>
      <c r="M814" t="str">
        <f t="shared" si="68"/>
        <v/>
      </c>
      <c r="N814" t="str">
        <f t="shared" si="68"/>
        <v/>
      </c>
      <c r="O814" t="str">
        <f t="shared" si="68"/>
        <v/>
      </c>
      <c r="P814" t="str">
        <f t="shared" si="68"/>
        <v/>
      </c>
      <c r="T814" t="str">
        <f t="shared" si="67"/>
        <v/>
      </c>
      <c r="V814" t="str">
        <f t="shared" si="69"/>
        <v>unknown</v>
      </c>
      <c r="W814" t="str">
        <f t="shared" si="69"/>
        <v>MVS,AES</v>
      </c>
      <c r="AG814" t="s">
        <v>224</v>
      </c>
      <c r="AI814" t="s">
        <v>11</v>
      </c>
      <c r="AJ814" t="s">
        <v>15</v>
      </c>
    </row>
    <row r="815" spans="5:44" x14ac:dyDescent="0.25">
      <c r="I815" t="str">
        <f t="shared" si="65"/>
        <v>wh1ha</v>
      </c>
      <c r="J815" t="str">
        <f t="shared" si="66"/>
        <v/>
      </c>
      <c r="L815" t="str">
        <f t="shared" si="68"/>
        <v/>
      </c>
      <c r="M815" t="str">
        <f t="shared" si="68"/>
        <v/>
      </c>
      <c r="N815" t="str">
        <f t="shared" si="68"/>
        <v/>
      </c>
      <c r="O815" t="str">
        <f t="shared" si="68"/>
        <v/>
      </c>
      <c r="P815" t="str">
        <f t="shared" si="68"/>
        <v/>
      </c>
      <c r="T815" t="str">
        <f t="shared" si="67"/>
        <v/>
      </c>
      <c r="V815" t="str">
        <f t="shared" si="69"/>
        <v>unknown</v>
      </c>
      <c r="W815" t="str">
        <f t="shared" si="69"/>
        <v>MVS,AES</v>
      </c>
      <c r="AG815" t="s">
        <v>6</v>
      </c>
      <c r="AH815" t="s">
        <v>5614</v>
      </c>
      <c r="AI815" t="s">
        <v>4</v>
      </c>
      <c r="AJ815" t="s">
        <v>15</v>
      </c>
      <c r="AK815" t="s">
        <v>5613</v>
      </c>
      <c r="AL815" t="s">
        <v>5612</v>
      </c>
    </row>
    <row r="816" spans="5:44" x14ac:dyDescent="0.25">
      <c r="I816" t="str">
        <f t="shared" si="65"/>
        <v>wh1ha</v>
      </c>
      <c r="J816" t="str">
        <f t="shared" si="66"/>
        <v/>
      </c>
      <c r="L816" t="str">
        <f t="shared" si="68"/>
        <v/>
      </c>
      <c r="M816" t="str">
        <f t="shared" si="68"/>
        <v/>
      </c>
      <c r="N816" t="str">
        <f t="shared" si="68"/>
        <v/>
      </c>
      <c r="O816" t="str">
        <f t="shared" si="68"/>
        <v/>
      </c>
      <c r="P816" t="str">
        <f t="shared" si="68"/>
        <v/>
      </c>
      <c r="T816" t="str">
        <f t="shared" si="67"/>
        <v/>
      </c>
      <c r="V816" t="str">
        <f t="shared" si="69"/>
        <v>unknown</v>
      </c>
      <c r="W816" t="str">
        <f t="shared" si="69"/>
        <v>MVS,AES</v>
      </c>
      <c r="AG816" t="s">
        <v>224</v>
      </c>
      <c r="AI816" t="s">
        <v>932</v>
      </c>
      <c r="AJ816" t="s">
        <v>15</v>
      </c>
    </row>
    <row r="817" spans="5:38" x14ac:dyDescent="0.25">
      <c r="I817" t="str">
        <f t="shared" si="65"/>
        <v>wh1ha</v>
      </c>
      <c r="J817" t="str">
        <f t="shared" si="66"/>
        <v/>
      </c>
      <c r="L817" t="str">
        <f t="shared" si="68"/>
        <v/>
      </c>
      <c r="M817" t="str">
        <f t="shared" si="68"/>
        <v/>
      </c>
      <c r="N817" t="str">
        <f t="shared" si="68"/>
        <v/>
      </c>
      <c r="O817" t="str">
        <f t="shared" si="68"/>
        <v/>
      </c>
      <c r="P817" t="str">
        <f t="shared" si="68"/>
        <v/>
      </c>
      <c r="T817" t="str">
        <f t="shared" si="67"/>
        <v/>
      </c>
      <c r="V817" t="str">
        <f t="shared" si="69"/>
        <v>unknown</v>
      </c>
      <c r="W817" t="str">
        <f t="shared" si="69"/>
        <v>MVS,AES</v>
      </c>
      <c r="AG817" t="s">
        <v>6</v>
      </c>
      <c r="AH817" t="s">
        <v>5611</v>
      </c>
      <c r="AI817" t="s">
        <v>3</v>
      </c>
      <c r="AJ817" t="s">
        <v>15</v>
      </c>
      <c r="AK817" t="s">
        <v>5610</v>
      </c>
      <c r="AL817" t="s">
        <v>5609</v>
      </c>
    </row>
    <row r="818" spans="5:38" x14ac:dyDescent="0.25">
      <c r="I818" t="str">
        <f t="shared" si="65"/>
        <v>wh1ha</v>
      </c>
      <c r="J818" t="str">
        <f t="shared" si="66"/>
        <v/>
      </c>
      <c r="L818" t="str">
        <f t="shared" si="68"/>
        <v/>
      </c>
      <c r="M818" t="str">
        <f t="shared" si="68"/>
        <v/>
      </c>
      <c r="N818" t="str">
        <f t="shared" si="68"/>
        <v/>
      </c>
      <c r="O818" t="str">
        <f t="shared" si="68"/>
        <v/>
      </c>
      <c r="P818" t="str">
        <f t="shared" si="68"/>
        <v/>
      </c>
      <c r="T818" t="str">
        <f t="shared" si="67"/>
        <v/>
      </c>
      <c r="V818" t="str">
        <f t="shared" si="69"/>
        <v>unknown</v>
      </c>
      <c r="W818" t="str">
        <f t="shared" si="69"/>
        <v>MVS,AES</v>
      </c>
      <c r="AG818" t="s">
        <v>6</v>
      </c>
      <c r="AH818" t="s">
        <v>5608</v>
      </c>
      <c r="AI818" t="s">
        <v>4371</v>
      </c>
      <c r="AJ818" t="s">
        <v>15</v>
      </c>
      <c r="AK818" t="s">
        <v>5607</v>
      </c>
      <c r="AL818" t="s">
        <v>5606</v>
      </c>
    </row>
    <row r="819" spans="5:38" x14ac:dyDescent="0.25">
      <c r="E819" t="s">
        <v>5605</v>
      </c>
      <c r="F819" t="s">
        <v>5604</v>
      </c>
      <c r="G819" t="s">
        <v>393</v>
      </c>
      <c r="H819" t="s">
        <v>1912</v>
      </c>
      <c r="I819" t="str">
        <f t="shared" si="65"/>
        <v>kof94</v>
      </c>
      <c r="J819" t="str">
        <f t="shared" si="66"/>
        <v>kof94serial</v>
      </c>
      <c r="K819" t="s">
        <v>1373</v>
      </c>
      <c r="L819" t="str">
        <f t="shared" si="68"/>
        <v>NGM-055 (MVS), NGH-055 (AES)</v>
      </c>
      <c r="M819" t="str">
        <f t="shared" si="68"/>
        <v>19940825 (MVS), 19941001 (AES)</v>
      </c>
      <c r="N819" t="str">
        <f t="shared" si="68"/>
        <v>ザ・キング・オブ・ファイターズ '94</v>
      </c>
      <c r="O819" t="str">
        <f t="shared" si="68"/>
        <v/>
      </c>
      <c r="P819" t="str">
        <f t="shared" si="68"/>
        <v/>
      </c>
      <c r="Q819" t="s">
        <v>5603</v>
      </c>
      <c r="S819" t="s">
        <v>46</v>
      </c>
      <c r="T819" t="str">
        <f t="shared" si="67"/>
        <v>kof94release</v>
      </c>
      <c r="U819" t="s">
        <v>218</v>
      </c>
      <c r="V819" t="str">
        <f t="shared" si="69"/>
        <v>MVS,AES</v>
      </c>
      <c r="W819" t="str">
        <f t="shared" si="69"/>
        <v>MVS,AES</v>
      </c>
      <c r="Y819" t="s">
        <v>45</v>
      </c>
      <c r="Z819" t="s">
        <v>44</v>
      </c>
      <c r="AB819" t="s">
        <v>43</v>
      </c>
      <c r="AC819" t="s">
        <v>42</v>
      </c>
      <c r="AD819" t="s">
        <v>41</v>
      </c>
      <c r="AE819" t="s">
        <v>3</v>
      </c>
      <c r="AG819" t="s">
        <v>40</v>
      </c>
      <c r="AH819" t="s">
        <v>5602</v>
      </c>
      <c r="AI819" t="s">
        <v>15</v>
      </c>
      <c r="AJ819" t="s">
        <v>15</v>
      </c>
      <c r="AK819" t="s">
        <v>5601</v>
      </c>
      <c r="AL819" t="s">
        <v>5600</v>
      </c>
    </row>
    <row r="820" spans="5:38" x14ac:dyDescent="0.25">
      <c r="I820" t="str">
        <f t="shared" si="65"/>
        <v>kof94</v>
      </c>
      <c r="J820" t="str">
        <f t="shared" si="66"/>
        <v>kof94release</v>
      </c>
      <c r="K820" t="s">
        <v>46</v>
      </c>
      <c r="L820" t="str">
        <f t="shared" si="68"/>
        <v>NGM-055 (MVS), NGH-055 (AES)</v>
      </c>
      <c r="M820" t="str">
        <f t="shared" si="68"/>
        <v>19940825 (MVS), 19941001 (AES)</v>
      </c>
      <c r="N820" t="str">
        <f t="shared" si="68"/>
        <v>ザ・キング・オブ・ファイターズ '94</v>
      </c>
      <c r="O820" t="str">
        <f t="shared" si="68"/>
        <v/>
      </c>
      <c r="P820" t="str">
        <f t="shared" si="68"/>
        <v/>
      </c>
      <c r="Q820" t="s">
        <v>5599</v>
      </c>
      <c r="T820" t="str">
        <f t="shared" si="67"/>
        <v/>
      </c>
      <c r="V820" t="str">
        <f t="shared" si="69"/>
        <v>MVS,AES</v>
      </c>
      <c r="W820" t="str">
        <f t="shared" si="69"/>
        <v>MVS,AES</v>
      </c>
      <c r="AG820" t="s">
        <v>224</v>
      </c>
      <c r="AI820" t="s">
        <v>9</v>
      </c>
      <c r="AJ820" t="s">
        <v>15</v>
      </c>
    </row>
    <row r="821" spans="5:38" x14ac:dyDescent="0.25">
      <c r="I821" t="str">
        <f t="shared" si="65"/>
        <v>kof94</v>
      </c>
      <c r="J821" t="str">
        <f t="shared" si="66"/>
        <v>kof94alt_title</v>
      </c>
      <c r="K821" t="s">
        <v>1218</v>
      </c>
      <c r="L821" t="str">
        <f t="shared" si="68"/>
        <v>NGM-055 (MVS), NGH-055 (AES)</v>
      </c>
      <c r="M821" t="str">
        <f t="shared" si="68"/>
        <v>19940825 (MVS), 19941001 (AES)</v>
      </c>
      <c r="N821" t="str">
        <f t="shared" si="68"/>
        <v>ザ・キング・オブ・ファイターズ '94</v>
      </c>
      <c r="O821" t="str">
        <f t="shared" si="68"/>
        <v/>
      </c>
      <c r="P821" t="str">
        <f t="shared" si="68"/>
        <v/>
      </c>
      <c r="Q821" t="s">
        <v>5598</v>
      </c>
      <c r="T821" t="str">
        <f t="shared" si="67"/>
        <v/>
      </c>
      <c r="V821" t="str">
        <f t="shared" si="69"/>
        <v>MVS,AES</v>
      </c>
      <c r="W821" t="str">
        <f t="shared" si="69"/>
        <v>MVS,AES</v>
      </c>
      <c r="AB821" t="s">
        <v>34</v>
      </c>
      <c r="AE821" t="s">
        <v>33</v>
      </c>
      <c r="AH821" t="s">
        <v>5597</v>
      </c>
      <c r="AI821" t="s">
        <v>9</v>
      </c>
      <c r="AJ821" t="s">
        <v>27</v>
      </c>
      <c r="AK821" t="s">
        <v>5596</v>
      </c>
      <c r="AL821" t="s">
        <v>5595</v>
      </c>
    </row>
    <row r="822" spans="5:38" x14ac:dyDescent="0.25">
      <c r="I822" t="str">
        <f t="shared" si="65"/>
        <v>kof94</v>
      </c>
      <c r="J822" t="str">
        <f t="shared" si="66"/>
        <v/>
      </c>
      <c r="L822" t="str">
        <f t="shared" si="68"/>
        <v>NGM-055 (MVS), NGH-055 (AES)</v>
      </c>
      <c r="M822" t="str">
        <f t="shared" si="68"/>
        <v>19940825 (MVS), 19941001 (AES)</v>
      </c>
      <c r="N822" t="str">
        <f t="shared" si="68"/>
        <v>ザ・キング・オブ・ファイターズ '94</v>
      </c>
      <c r="O822" t="str">
        <f t="shared" si="68"/>
        <v/>
      </c>
      <c r="P822" t="str">
        <f t="shared" si="68"/>
        <v/>
      </c>
      <c r="S822" t="s">
        <v>36</v>
      </c>
      <c r="T822" t="str">
        <f t="shared" si="67"/>
        <v>kof94compatibility</v>
      </c>
      <c r="U822" t="s">
        <v>218</v>
      </c>
      <c r="V822" t="str">
        <f t="shared" si="69"/>
        <v>MVS,AES</v>
      </c>
      <c r="W822" t="str">
        <f t="shared" si="69"/>
        <v>MVS,AES</v>
      </c>
      <c r="AB822" t="s">
        <v>29</v>
      </c>
      <c r="AE822" t="s">
        <v>27</v>
      </c>
      <c r="AH822" t="s">
        <v>5594</v>
      </c>
      <c r="AI822" t="s">
        <v>9</v>
      </c>
      <c r="AJ822" t="s">
        <v>27</v>
      </c>
      <c r="AK822" t="s">
        <v>5593</v>
      </c>
      <c r="AL822" t="s">
        <v>5592</v>
      </c>
    </row>
    <row r="823" spans="5:38" x14ac:dyDescent="0.25">
      <c r="I823" t="str">
        <f t="shared" si="65"/>
        <v>kof94</v>
      </c>
      <c r="J823" t="str">
        <f t="shared" si="66"/>
        <v/>
      </c>
      <c r="L823" t="str">
        <f t="shared" si="68"/>
        <v>NGM-055 (MVS), NGH-055 (AES)</v>
      </c>
      <c r="M823" t="str">
        <f t="shared" si="68"/>
        <v>19940825 (MVS), 19941001 (AES)</v>
      </c>
      <c r="N823" t="str">
        <f t="shared" si="68"/>
        <v>ザ・キング・オブ・ファイターズ '94</v>
      </c>
      <c r="O823" t="str">
        <f t="shared" si="68"/>
        <v/>
      </c>
      <c r="P823" t="str">
        <f t="shared" si="68"/>
        <v/>
      </c>
      <c r="T823" t="str">
        <f t="shared" si="67"/>
        <v/>
      </c>
      <c r="V823" t="str">
        <f t="shared" si="69"/>
        <v>MVS,AES</v>
      </c>
      <c r="W823" t="str">
        <f t="shared" si="69"/>
        <v>MVS,AES</v>
      </c>
      <c r="AB823" t="s">
        <v>24</v>
      </c>
      <c r="AE823" t="s">
        <v>75</v>
      </c>
      <c r="AH823" t="s">
        <v>5591</v>
      </c>
      <c r="AI823" t="s">
        <v>9</v>
      </c>
      <c r="AJ823" t="s">
        <v>3</v>
      </c>
      <c r="AK823" t="s">
        <v>5590</v>
      </c>
      <c r="AL823" t="s">
        <v>5589</v>
      </c>
    </row>
    <row r="824" spans="5:38" x14ac:dyDescent="0.25">
      <c r="I824" t="str">
        <f t="shared" si="65"/>
        <v>kof94</v>
      </c>
      <c r="J824" t="str">
        <f t="shared" si="66"/>
        <v/>
      </c>
      <c r="L824" t="str">
        <f t="shared" si="68"/>
        <v>NGM-055 (MVS), NGH-055 (AES)</v>
      </c>
      <c r="M824" t="str">
        <f t="shared" si="68"/>
        <v>19940825 (MVS), 19941001 (AES)</v>
      </c>
      <c r="N824" t="str">
        <f t="shared" si="68"/>
        <v>ザ・キング・オブ・ファイターズ '94</v>
      </c>
      <c r="O824" t="str">
        <f t="shared" si="68"/>
        <v/>
      </c>
      <c r="P824" t="str">
        <f t="shared" si="68"/>
        <v/>
      </c>
      <c r="T824" t="str">
        <f t="shared" si="67"/>
        <v/>
      </c>
      <c r="V824" t="str">
        <f t="shared" si="69"/>
        <v>MVS,AES</v>
      </c>
      <c r="W824" t="str">
        <f t="shared" si="69"/>
        <v>MVS,AES</v>
      </c>
      <c r="AH824" t="s">
        <v>5588</v>
      </c>
      <c r="AI824" t="s">
        <v>3</v>
      </c>
      <c r="AJ824" t="s">
        <v>3</v>
      </c>
      <c r="AK824" t="s">
        <v>5587</v>
      </c>
      <c r="AL824" t="s">
        <v>5586</v>
      </c>
    </row>
    <row r="825" spans="5:38" x14ac:dyDescent="0.25">
      <c r="I825" t="str">
        <f t="shared" si="65"/>
        <v>kof94</v>
      </c>
      <c r="J825" t="str">
        <f t="shared" si="66"/>
        <v/>
      </c>
      <c r="L825" t="str">
        <f t="shared" si="68"/>
        <v>NGM-055 (MVS), NGH-055 (AES)</v>
      </c>
      <c r="M825" t="str">
        <f t="shared" si="68"/>
        <v>19940825 (MVS), 19941001 (AES)</v>
      </c>
      <c r="N825" t="str">
        <f t="shared" si="68"/>
        <v>ザ・キング・オブ・ファイターズ '94</v>
      </c>
      <c r="O825" t="str">
        <f t="shared" si="68"/>
        <v/>
      </c>
      <c r="P825" t="str">
        <f t="shared" si="68"/>
        <v/>
      </c>
      <c r="T825" t="str">
        <f t="shared" si="67"/>
        <v/>
      </c>
      <c r="V825" t="str">
        <f t="shared" si="69"/>
        <v>MVS,AES</v>
      </c>
      <c r="W825" t="str">
        <f t="shared" si="69"/>
        <v>MVS,AES</v>
      </c>
      <c r="AH825" t="s">
        <v>5585</v>
      </c>
      <c r="AI825" t="s">
        <v>11</v>
      </c>
      <c r="AJ825" t="s">
        <v>3</v>
      </c>
      <c r="AK825" t="s">
        <v>5584</v>
      </c>
      <c r="AL825" t="s">
        <v>5583</v>
      </c>
    </row>
    <row r="826" spans="5:38" x14ac:dyDescent="0.25">
      <c r="I826" t="str">
        <f t="shared" si="65"/>
        <v>kof94</v>
      </c>
      <c r="J826" t="str">
        <f t="shared" si="66"/>
        <v/>
      </c>
      <c r="L826" t="str">
        <f t="shared" si="68"/>
        <v>NGM-055 (MVS), NGH-055 (AES)</v>
      </c>
      <c r="M826" t="str">
        <f t="shared" si="68"/>
        <v>19940825 (MVS), 19941001 (AES)</v>
      </c>
      <c r="N826" t="str">
        <f t="shared" si="68"/>
        <v>ザ・キング・オブ・ファイターズ '94</v>
      </c>
      <c r="O826" t="str">
        <f t="shared" si="68"/>
        <v/>
      </c>
      <c r="P826" t="str">
        <f t="shared" si="68"/>
        <v/>
      </c>
      <c r="T826" t="str">
        <f t="shared" si="67"/>
        <v/>
      </c>
      <c r="V826" t="str">
        <f t="shared" si="69"/>
        <v>MVS,AES</v>
      </c>
      <c r="W826" t="str">
        <f t="shared" si="69"/>
        <v>MVS,AES</v>
      </c>
      <c r="AB826" t="s">
        <v>12</v>
      </c>
      <c r="AE826" t="s">
        <v>65</v>
      </c>
      <c r="AG826" t="s">
        <v>6</v>
      </c>
      <c r="AH826" t="s">
        <v>5582</v>
      </c>
      <c r="AI826" t="s">
        <v>9</v>
      </c>
      <c r="AJ826" t="s">
        <v>3</v>
      </c>
      <c r="AK826" t="s">
        <v>5581</v>
      </c>
      <c r="AL826" t="s">
        <v>5580</v>
      </c>
    </row>
    <row r="827" spans="5:38" x14ac:dyDescent="0.25">
      <c r="I827" t="str">
        <f t="shared" si="65"/>
        <v>kof94</v>
      </c>
      <c r="J827" t="str">
        <f t="shared" si="66"/>
        <v/>
      </c>
      <c r="L827" t="str">
        <f t="shared" si="68"/>
        <v>NGM-055 (MVS), NGH-055 (AES)</v>
      </c>
      <c r="M827" t="str">
        <f t="shared" si="68"/>
        <v>19940825 (MVS), 19941001 (AES)</v>
      </c>
      <c r="N827" t="str">
        <f t="shared" si="68"/>
        <v>ザ・キング・オブ・ファイターズ '94</v>
      </c>
      <c r="O827" t="str">
        <f t="shared" si="68"/>
        <v/>
      </c>
      <c r="P827" t="str">
        <f t="shared" si="68"/>
        <v/>
      </c>
      <c r="T827" t="str">
        <f t="shared" si="67"/>
        <v/>
      </c>
      <c r="V827" t="str">
        <f t="shared" si="69"/>
        <v>MVS,AES</v>
      </c>
      <c r="W827" t="str">
        <f t="shared" si="69"/>
        <v>MVS,AES</v>
      </c>
      <c r="AG827" t="s">
        <v>6</v>
      </c>
      <c r="AH827" t="s">
        <v>5579</v>
      </c>
      <c r="AI827" t="s">
        <v>4</v>
      </c>
      <c r="AJ827" t="s">
        <v>3</v>
      </c>
      <c r="AK827" t="s">
        <v>5578</v>
      </c>
      <c r="AL827" t="s">
        <v>5577</v>
      </c>
    </row>
    <row r="828" spans="5:38" x14ac:dyDescent="0.25">
      <c r="I828" t="str">
        <f t="shared" si="65"/>
        <v>kof94</v>
      </c>
      <c r="J828" t="str">
        <f t="shared" si="66"/>
        <v/>
      </c>
      <c r="L828" t="str">
        <f t="shared" si="68"/>
        <v>NGM-055 (MVS), NGH-055 (AES)</v>
      </c>
      <c r="M828" t="str">
        <f t="shared" si="68"/>
        <v>19940825 (MVS), 19941001 (AES)</v>
      </c>
      <c r="N828" t="str">
        <f t="shared" si="68"/>
        <v>ザ・キング・オブ・ファイターズ '94</v>
      </c>
      <c r="O828" t="str">
        <f t="shared" si="68"/>
        <v/>
      </c>
      <c r="P828" t="str">
        <f t="shared" si="68"/>
        <v/>
      </c>
      <c r="T828" t="str">
        <f t="shared" si="67"/>
        <v/>
      </c>
      <c r="V828" t="str">
        <f t="shared" si="69"/>
        <v>MVS,AES</v>
      </c>
      <c r="W828" t="str">
        <f t="shared" si="69"/>
        <v>MVS,AES</v>
      </c>
      <c r="AG828" t="s">
        <v>6</v>
      </c>
      <c r="AH828" t="s">
        <v>5576</v>
      </c>
      <c r="AI828" t="s">
        <v>11</v>
      </c>
      <c r="AJ828" t="s">
        <v>3</v>
      </c>
      <c r="AK828" t="s">
        <v>5575</v>
      </c>
      <c r="AL828" t="s">
        <v>5574</v>
      </c>
    </row>
    <row r="829" spans="5:38" x14ac:dyDescent="0.25">
      <c r="I829" t="str">
        <f t="shared" si="65"/>
        <v>kof94</v>
      </c>
      <c r="J829" t="str">
        <f t="shared" si="66"/>
        <v/>
      </c>
      <c r="L829" t="str">
        <f t="shared" si="68"/>
        <v>NGM-055 (MVS), NGH-055 (AES)</v>
      </c>
      <c r="M829" t="str">
        <f t="shared" si="68"/>
        <v>19940825 (MVS), 19941001 (AES)</v>
      </c>
      <c r="N829" t="str">
        <f t="shared" si="68"/>
        <v>ザ・キング・オブ・ファイターズ '94</v>
      </c>
      <c r="O829" t="str">
        <f t="shared" si="68"/>
        <v/>
      </c>
      <c r="P829" t="str">
        <f t="shared" si="68"/>
        <v/>
      </c>
      <c r="T829" t="str">
        <f t="shared" si="67"/>
        <v/>
      </c>
      <c r="V829" t="str">
        <f t="shared" si="69"/>
        <v>MVS,AES</v>
      </c>
      <c r="W829" t="str">
        <f t="shared" si="69"/>
        <v>MVS,AES</v>
      </c>
      <c r="AG829" t="s">
        <v>6</v>
      </c>
      <c r="AH829" t="s">
        <v>5573</v>
      </c>
      <c r="AI829" t="s">
        <v>932</v>
      </c>
      <c r="AJ829" t="s">
        <v>3</v>
      </c>
      <c r="AK829" t="s">
        <v>5572</v>
      </c>
      <c r="AL829" t="s">
        <v>5571</v>
      </c>
    </row>
    <row r="830" spans="5:38" x14ac:dyDescent="0.25">
      <c r="I830" t="str">
        <f t="shared" si="65"/>
        <v>kof94</v>
      </c>
      <c r="J830" t="str">
        <f t="shared" si="66"/>
        <v/>
      </c>
      <c r="L830" t="str">
        <f t="shared" si="68"/>
        <v>NGM-055 (MVS), NGH-055 (AES)</v>
      </c>
      <c r="M830" t="str">
        <f t="shared" si="68"/>
        <v>19940825 (MVS), 19941001 (AES)</v>
      </c>
      <c r="N830" t="str">
        <f t="shared" si="68"/>
        <v>ザ・キング・オブ・ファイターズ '94</v>
      </c>
      <c r="O830" t="str">
        <f t="shared" si="68"/>
        <v/>
      </c>
      <c r="P830" t="str">
        <f t="shared" si="68"/>
        <v/>
      </c>
      <c r="T830" t="str">
        <f t="shared" si="67"/>
        <v/>
      </c>
      <c r="V830" t="str">
        <f t="shared" si="69"/>
        <v>MVS,AES</v>
      </c>
      <c r="W830" t="str">
        <f t="shared" si="69"/>
        <v>MVS,AES</v>
      </c>
      <c r="AG830" t="s">
        <v>6</v>
      </c>
      <c r="AH830" t="s">
        <v>5570</v>
      </c>
      <c r="AI830" t="s">
        <v>57</v>
      </c>
      <c r="AJ830" t="s">
        <v>3</v>
      </c>
      <c r="AK830" t="s">
        <v>5569</v>
      </c>
      <c r="AL830" t="s">
        <v>5568</v>
      </c>
    </row>
    <row r="831" spans="5:38" x14ac:dyDescent="0.25">
      <c r="I831" t="str">
        <f t="shared" si="65"/>
        <v>kof94</v>
      </c>
      <c r="J831" t="str">
        <f t="shared" si="66"/>
        <v/>
      </c>
      <c r="L831" t="str">
        <f t="shared" ref="L831:P881" si="70">IFERROR(VLOOKUP($I831&amp;L$1,$J:$Q,8,0),"")</f>
        <v>NGM-055 (MVS), NGH-055 (AES)</v>
      </c>
      <c r="M831" t="str">
        <f t="shared" si="70"/>
        <v>19940825 (MVS), 19941001 (AES)</v>
      </c>
      <c r="N831" t="str">
        <f t="shared" si="70"/>
        <v>ザ・キング・オブ・ファイターズ '94</v>
      </c>
      <c r="O831" t="str">
        <f t="shared" si="70"/>
        <v/>
      </c>
      <c r="P831" t="str">
        <f t="shared" si="70"/>
        <v/>
      </c>
      <c r="T831" t="str">
        <f t="shared" si="67"/>
        <v/>
      </c>
      <c r="V831" t="str">
        <f t="shared" si="69"/>
        <v>MVS,AES</v>
      </c>
      <c r="W831" t="str">
        <f t="shared" si="69"/>
        <v>MVS,AES</v>
      </c>
      <c r="AG831" t="s">
        <v>6</v>
      </c>
      <c r="AH831" t="s">
        <v>5567</v>
      </c>
      <c r="AI831" t="s">
        <v>53</v>
      </c>
      <c r="AJ831" t="s">
        <v>3</v>
      </c>
      <c r="AK831" t="s">
        <v>5566</v>
      </c>
      <c r="AL831" t="s">
        <v>5565</v>
      </c>
    </row>
    <row r="832" spans="5:38" x14ac:dyDescent="0.25">
      <c r="I832" t="str">
        <f t="shared" si="65"/>
        <v>kof94</v>
      </c>
      <c r="J832" t="str">
        <f t="shared" si="66"/>
        <v/>
      </c>
      <c r="L832" t="str">
        <f t="shared" si="70"/>
        <v>NGM-055 (MVS), NGH-055 (AES)</v>
      </c>
      <c r="M832" t="str">
        <f t="shared" si="70"/>
        <v>19940825 (MVS), 19941001 (AES)</v>
      </c>
      <c r="N832" t="str">
        <f t="shared" si="70"/>
        <v>ザ・キング・オブ・ファイターズ '94</v>
      </c>
      <c r="O832" t="str">
        <f t="shared" si="70"/>
        <v/>
      </c>
      <c r="P832" t="str">
        <f t="shared" si="70"/>
        <v/>
      </c>
      <c r="T832" t="str">
        <f t="shared" si="67"/>
        <v/>
      </c>
      <c r="V832" t="str">
        <f t="shared" si="69"/>
        <v>MVS,AES</v>
      </c>
      <c r="W832" t="str">
        <f t="shared" si="69"/>
        <v>MVS,AES</v>
      </c>
      <c r="AG832" t="s">
        <v>6</v>
      </c>
      <c r="AH832" t="s">
        <v>5564</v>
      </c>
      <c r="AI832" t="s">
        <v>250</v>
      </c>
      <c r="AJ832" t="s">
        <v>3</v>
      </c>
      <c r="AK832" t="s">
        <v>5563</v>
      </c>
      <c r="AL832" t="s">
        <v>5562</v>
      </c>
    </row>
    <row r="833" spans="5:44" x14ac:dyDescent="0.25">
      <c r="I833" t="str">
        <f t="shared" si="65"/>
        <v>kof94</v>
      </c>
      <c r="J833" t="str">
        <f t="shared" si="66"/>
        <v/>
      </c>
      <c r="L833" t="str">
        <f t="shared" si="70"/>
        <v>NGM-055 (MVS), NGH-055 (AES)</v>
      </c>
      <c r="M833" t="str">
        <f t="shared" si="70"/>
        <v>19940825 (MVS), 19941001 (AES)</v>
      </c>
      <c r="N833" t="str">
        <f t="shared" si="70"/>
        <v>ザ・キング・オブ・ファイターズ '94</v>
      </c>
      <c r="O833" t="str">
        <f t="shared" si="70"/>
        <v/>
      </c>
      <c r="P833" t="str">
        <f t="shared" si="70"/>
        <v/>
      </c>
      <c r="T833" t="str">
        <f t="shared" si="67"/>
        <v/>
      </c>
      <c r="V833" t="str">
        <f t="shared" si="69"/>
        <v>MVS,AES</v>
      </c>
      <c r="W833" t="str">
        <f t="shared" si="69"/>
        <v>MVS,AES</v>
      </c>
      <c r="AG833" t="s">
        <v>6</v>
      </c>
      <c r="AH833" t="s">
        <v>5561</v>
      </c>
      <c r="AI833" t="s">
        <v>4138</v>
      </c>
      <c r="AJ833" t="s">
        <v>3</v>
      </c>
      <c r="AK833" t="s">
        <v>5560</v>
      </c>
      <c r="AL833" t="s">
        <v>5559</v>
      </c>
    </row>
    <row r="834" spans="5:44" x14ac:dyDescent="0.25">
      <c r="E834" t="s">
        <v>5549</v>
      </c>
      <c r="F834" t="s">
        <v>5558</v>
      </c>
      <c r="G834" t="s">
        <v>393</v>
      </c>
      <c r="H834" t="s">
        <v>1912</v>
      </c>
      <c r="I834" t="str">
        <f t="shared" si="65"/>
        <v>aof2</v>
      </c>
      <c r="J834" t="str">
        <f t="shared" si="66"/>
        <v>aof2serial</v>
      </c>
      <c r="K834" t="s">
        <v>1373</v>
      </c>
      <c r="L834" t="str">
        <f t="shared" si="70"/>
        <v>NGM-056</v>
      </c>
      <c r="M834" t="str">
        <f t="shared" si="70"/>
        <v>19940203</v>
      </c>
      <c r="N834" t="str">
        <f t="shared" si="70"/>
        <v>龍虎の拳2</v>
      </c>
      <c r="O834" t="str">
        <f t="shared" si="70"/>
        <v/>
      </c>
      <c r="P834" t="str">
        <f t="shared" si="70"/>
        <v/>
      </c>
      <c r="Q834" t="s">
        <v>5557</v>
      </c>
      <c r="S834" t="s">
        <v>46</v>
      </c>
      <c r="T834" t="str">
        <f t="shared" si="67"/>
        <v>aof2release</v>
      </c>
      <c r="U834" t="s">
        <v>106</v>
      </c>
      <c r="V834" t="str">
        <f t="shared" si="69"/>
        <v>MVS</v>
      </c>
      <c r="W834" t="str">
        <f t="shared" si="69"/>
        <v>MVS,AES</v>
      </c>
      <c r="Y834" t="s">
        <v>45</v>
      </c>
      <c r="Z834" t="s">
        <v>44</v>
      </c>
      <c r="AB834" t="s">
        <v>43</v>
      </c>
      <c r="AC834" t="s">
        <v>42</v>
      </c>
      <c r="AD834" t="s">
        <v>41</v>
      </c>
      <c r="AE834" t="s">
        <v>15</v>
      </c>
      <c r="AG834" t="s">
        <v>40</v>
      </c>
      <c r="AH834" t="s">
        <v>5552</v>
      </c>
      <c r="AI834" t="s">
        <v>9</v>
      </c>
      <c r="AJ834" t="s">
        <v>15</v>
      </c>
      <c r="AK834" t="s">
        <v>5551</v>
      </c>
      <c r="AL834" t="s">
        <v>5550</v>
      </c>
    </row>
    <row r="835" spans="5:44" x14ac:dyDescent="0.25">
      <c r="I835" t="str">
        <f t="shared" ref="I835:I898" si="71">IF(E835="",I834,E835)</f>
        <v>aof2</v>
      </c>
      <c r="J835" t="str">
        <f t="shared" ref="J835:J898" si="72">IF(K835="","",I835&amp;K835)</f>
        <v>aof2release</v>
      </c>
      <c r="K835" t="s">
        <v>46</v>
      </c>
      <c r="L835" t="str">
        <f t="shared" si="70"/>
        <v>NGM-056</v>
      </c>
      <c r="M835" t="str">
        <f t="shared" si="70"/>
        <v>19940203</v>
      </c>
      <c r="N835" t="str">
        <f t="shared" si="70"/>
        <v>龍虎の拳2</v>
      </c>
      <c r="O835" t="str">
        <f t="shared" si="70"/>
        <v/>
      </c>
      <c r="P835" t="str">
        <f t="shared" si="70"/>
        <v/>
      </c>
      <c r="Q835" t="s">
        <v>5556</v>
      </c>
      <c r="T835" t="str">
        <f t="shared" ref="T835:T898" si="73">IF(S835="","",I835&amp;S835)</f>
        <v/>
      </c>
      <c r="V835" t="str">
        <f t="shared" si="69"/>
        <v>MVS</v>
      </c>
      <c r="W835" t="str">
        <f t="shared" si="69"/>
        <v>MVS,AES</v>
      </c>
      <c r="AB835" t="s">
        <v>34</v>
      </c>
      <c r="AE835" t="s">
        <v>33</v>
      </c>
      <c r="AH835" t="s">
        <v>5543</v>
      </c>
      <c r="AI835" t="s">
        <v>9</v>
      </c>
      <c r="AJ835" t="s">
        <v>27</v>
      </c>
      <c r="AK835" t="s">
        <v>5542</v>
      </c>
      <c r="AL835" t="s">
        <v>5541</v>
      </c>
    </row>
    <row r="836" spans="5:44" x14ac:dyDescent="0.25">
      <c r="I836" t="str">
        <f t="shared" si="71"/>
        <v>aof2</v>
      </c>
      <c r="J836" t="str">
        <f t="shared" si="72"/>
        <v>aof2alt_title</v>
      </c>
      <c r="K836" t="s">
        <v>1218</v>
      </c>
      <c r="L836" t="str">
        <f t="shared" si="70"/>
        <v>NGM-056</v>
      </c>
      <c r="M836" t="str">
        <f t="shared" si="70"/>
        <v>19940203</v>
      </c>
      <c r="N836" t="str">
        <f t="shared" si="70"/>
        <v>龍虎の拳2</v>
      </c>
      <c r="O836" t="str">
        <f t="shared" si="70"/>
        <v/>
      </c>
      <c r="P836" t="str">
        <f t="shared" si="70"/>
        <v/>
      </c>
      <c r="Q836" t="s">
        <v>5544</v>
      </c>
      <c r="T836" t="str">
        <f t="shared" si="73"/>
        <v/>
      </c>
      <c r="V836" t="str">
        <f t="shared" si="69"/>
        <v>MVS</v>
      </c>
      <c r="W836" t="str">
        <f t="shared" si="69"/>
        <v>MVS,AES</v>
      </c>
      <c r="AB836" t="s">
        <v>29</v>
      </c>
      <c r="AE836" t="s">
        <v>27</v>
      </c>
      <c r="AH836" t="s">
        <v>5540</v>
      </c>
      <c r="AI836" t="s">
        <v>9</v>
      </c>
      <c r="AJ836" t="s">
        <v>27</v>
      </c>
      <c r="AK836" t="s">
        <v>5539</v>
      </c>
      <c r="AL836" t="s">
        <v>5538</v>
      </c>
    </row>
    <row r="837" spans="5:44" x14ac:dyDescent="0.25">
      <c r="I837" t="str">
        <f t="shared" si="71"/>
        <v>aof2</v>
      </c>
      <c r="J837" t="str">
        <f t="shared" si="72"/>
        <v/>
      </c>
      <c r="L837" t="str">
        <f t="shared" si="70"/>
        <v>NGM-056</v>
      </c>
      <c r="M837" t="str">
        <f t="shared" si="70"/>
        <v>19940203</v>
      </c>
      <c r="N837" t="str">
        <f t="shared" si="70"/>
        <v>龍虎の拳2</v>
      </c>
      <c r="O837" t="str">
        <f t="shared" si="70"/>
        <v/>
      </c>
      <c r="P837" t="str">
        <f t="shared" si="70"/>
        <v/>
      </c>
      <c r="S837" t="s">
        <v>36</v>
      </c>
      <c r="T837" t="str">
        <f t="shared" si="73"/>
        <v>aof2compatibility</v>
      </c>
      <c r="U837" t="s">
        <v>218</v>
      </c>
      <c r="V837" t="str">
        <f t="shared" si="69"/>
        <v>MVS</v>
      </c>
      <c r="W837" t="str">
        <f t="shared" si="69"/>
        <v>MVS,AES</v>
      </c>
      <c r="AB837" t="s">
        <v>24</v>
      </c>
      <c r="AE837" t="s">
        <v>23</v>
      </c>
      <c r="AH837" t="s">
        <v>5537</v>
      </c>
      <c r="AI837" t="s">
        <v>9</v>
      </c>
      <c r="AJ837" t="s">
        <v>3</v>
      </c>
      <c r="AK837" t="s">
        <v>5536</v>
      </c>
      <c r="AL837" t="s">
        <v>5535</v>
      </c>
    </row>
    <row r="838" spans="5:44" x14ac:dyDescent="0.25">
      <c r="I838" t="str">
        <f t="shared" si="71"/>
        <v>aof2</v>
      </c>
      <c r="J838" t="str">
        <f t="shared" si="72"/>
        <v/>
      </c>
      <c r="L838" t="str">
        <f t="shared" si="70"/>
        <v>NGM-056</v>
      </c>
      <c r="M838" t="str">
        <f t="shared" si="70"/>
        <v>19940203</v>
      </c>
      <c r="N838" t="str">
        <f t="shared" si="70"/>
        <v>龍虎の拳2</v>
      </c>
      <c r="O838" t="str">
        <f t="shared" si="70"/>
        <v/>
      </c>
      <c r="P838" t="str">
        <f t="shared" si="70"/>
        <v/>
      </c>
      <c r="T838" t="str">
        <f t="shared" si="73"/>
        <v/>
      </c>
      <c r="V838" t="str">
        <f t="shared" si="69"/>
        <v>MVS</v>
      </c>
      <c r="W838" t="str">
        <f t="shared" si="69"/>
        <v>MVS,AES</v>
      </c>
      <c r="AH838" t="s">
        <v>5534</v>
      </c>
      <c r="AI838" t="s">
        <v>3</v>
      </c>
      <c r="AJ838" t="s">
        <v>3</v>
      </c>
      <c r="AK838" t="s">
        <v>5533</v>
      </c>
      <c r="AL838" t="s">
        <v>5532</v>
      </c>
    </row>
    <row r="839" spans="5:44" x14ac:dyDescent="0.25">
      <c r="I839" t="str">
        <f t="shared" si="71"/>
        <v>aof2</v>
      </c>
      <c r="J839" t="str">
        <f t="shared" si="72"/>
        <v/>
      </c>
      <c r="L839" t="str">
        <f t="shared" si="70"/>
        <v>NGM-056</v>
      </c>
      <c r="M839" t="str">
        <f t="shared" si="70"/>
        <v>19940203</v>
      </c>
      <c r="N839" t="str">
        <f t="shared" si="70"/>
        <v>龍虎の拳2</v>
      </c>
      <c r="O839" t="str">
        <f t="shared" si="70"/>
        <v/>
      </c>
      <c r="P839" t="str">
        <f t="shared" si="70"/>
        <v/>
      </c>
      <c r="T839" t="str">
        <f t="shared" si="73"/>
        <v/>
      </c>
      <c r="V839" t="str">
        <f t="shared" si="69"/>
        <v>MVS</v>
      </c>
      <c r="W839" t="str">
        <f t="shared" si="69"/>
        <v>MVS,AES</v>
      </c>
      <c r="AH839" t="s">
        <v>5531</v>
      </c>
      <c r="AI839" t="s">
        <v>11</v>
      </c>
      <c r="AJ839" t="s">
        <v>15</v>
      </c>
      <c r="AK839" t="s">
        <v>5530</v>
      </c>
      <c r="AL839" t="s">
        <v>5529</v>
      </c>
    </row>
    <row r="840" spans="5:44" x14ac:dyDescent="0.25">
      <c r="I840" t="str">
        <f t="shared" si="71"/>
        <v>aof2</v>
      </c>
      <c r="J840" t="str">
        <f t="shared" si="72"/>
        <v/>
      </c>
      <c r="L840" t="str">
        <f t="shared" si="70"/>
        <v>NGM-056</v>
      </c>
      <c r="M840" t="str">
        <f t="shared" si="70"/>
        <v>19940203</v>
      </c>
      <c r="N840" t="str">
        <f t="shared" si="70"/>
        <v>龍虎の拳2</v>
      </c>
      <c r="O840" t="str">
        <f t="shared" si="70"/>
        <v/>
      </c>
      <c r="P840" t="str">
        <f t="shared" si="70"/>
        <v/>
      </c>
      <c r="T840" t="str">
        <f t="shared" si="73"/>
        <v/>
      </c>
      <c r="V840" t="str">
        <f t="shared" si="69"/>
        <v>MVS</v>
      </c>
      <c r="W840" t="str">
        <f t="shared" si="69"/>
        <v>MVS,AES</v>
      </c>
      <c r="AB840" t="s">
        <v>12</v>
      </c>
      <c r="AE840" t="s">
        <v>65</v>
      </c>
      <c r="AG840" t="s">
        <v>6</v>
      </c>
      <c r="AH840" t="s">
        <v>5528</v>
      </c>
      <c r="AI840" t="s">
        <v>9</v>
      </c>
      <c r="AJ840" t="s">
        <v>3</v>
      </c>
      <c r="AK840" t="s">
        <v>5527</v>
      </c>
      <c r="AL840" t="s">
        <v>5526</v>
      </c>
    </row>
    <row r="841" spans="5:44" x14ac:dyDescent="0.25">
      <c r="I841" t="str">
        <f t="shared" si="71"/>
        <v>aof2</v>
      </c>
      <c r="J841" t="str">
        <f t="shared" si="72"/>
        <v/>
      </c>
      <c r="L841" t="str">
        <f t="shared" si="70"/>
        <v>NGM-056</v>
      </c>
      <c r="M841" t="str">
        <f t="shared" si="70"/>
        <v>19940203</v>
      </c>
      <c r="N841" t="str">
        <f t="shared" si="70"/>
        <v>龍虎の拳2</v>
      </c>
      <c r="O841" t="str">
        <f t="shared" si="70"/>
        <v/>
      </c>
      <c r="P841" t="str">
        <f t="shared" si="70"/>
        <v/>
      </c>
      <c r="T841" t="str">
        <f t="shared" si="73"/>
        <v/>
      </c>
      <c r="V841" t="str">
        <f t="shared" si="69"/>
        <v>MVS</v>
      </c>
      <c r="W841" t="str">
        <f t="shared" si="69"/>
        <v>MVS,AES</v>
      </c>
      <c r="AG841" t="s">
        <v>6</v>
      </c>
      <c r="AH841" t="s">
        <v>5525</v>
      </c>
      <c r="AI841" t="s">
        <v>4</v>
      </c>
      <c r="AJ841" t="s">
        <v>3</v>
      </c>
      <c r="AK841" t="s">
        <v>5524</v>
      </c>
      <c r="AL841" t="s">
        <v>5523</v>
      </c>
    </row>
    <row r="842" spans="5:44" x14ac:dyDescent="0.25">
      <c r="I842" t="str">
        <f t="shared" si="71"/>
        <v>aof2</v>
      </c>
      <c r="J842" t="str">
        <f t="shared" si="72"/>
        <v/>
      </c>
      <c r="L842" t="str">
        <f t="shared" si="70"/>
        <v>NGM-056</v>
      </c>
      <c r="M842" t="str">
        <f t="shared" si="70"/>
        <v>19940203</v>
      </c>
      <c r="N842" t="str">
        <f t="shared" si="70"/>
        <v>龍虎の拳2</v>
      </c>
      <c r="O842" t="str">
        <f t="shared" si="70"/>
        <v/>
      </c>
      <c r="P842" t="str">
        <f t="shared" si="70"/>
        <v/>
      </c>
      <c r="T842" t="str">
        <f t="shared" si="73"/>
        <v/>
      </c>
      <c r="V842" t="str">
        <f t="shared" si="69"/>
        <v>MVS</v>
      </c>
      <c r="W842" t="str">
        <f t="shared" si="69"/>
        <v>MVS,AES</v>
      </c>
      <c r="AG842" t="s">
        <v>6</v>
      </c>
      <c r="AH842" t="s">
        <v>5522</v>
      </c>
      <c r="AI842" t="s">
        <v>11</v>
      </c>
      <c r="AJ842" t="s">
        <v>3</v>
      </c>
      <c r="AK842" t="s">
        <v>5521</v>
      </c>
      <c r="AL842" t="s">
        <v>5520</v>
      </c>
    </row>
    <row r="843" spans="5:44" x14ac:dyDescent="0.25">
      <c r="I843" t="str">
        <f t="shared" si="71"/>
        <v>aof2</v>
      </c>
      <c r="J843" t="str">
        <f t="shared" si="72"/>
        <v/>
      </c>
      <c r="L843" t="str">
        <f t="shared" si="70"/>
        <v>NGM-056</v>
      </c>
      <c r="M843" t="str">
        <f t="shared" si="70"/>
        <v>19940203</v>
      </c>
      <c r="N843" t="str">
        <f t="shared" si="70"/>
        <v>龍虎の拳2</v>
      </c>
      <c r="O843" t="str">
        <f t="shared" si="70"/>
        <v/>
      </c>
      <c r="P843" t="str">
        <f t="shared" si="70"/>
        <v/>
      </c>
      <c r="T843" t="str">
        <f t="shared" si="73"/>
        <v/>
      </c>
      <c r="V843" t="str">
        <f t="shared" si="69"/>
        <v>MVS</v>
      </c>
      <c r="W843" t="str">
        <f t="shared" si="69"/>
        <v>MVS,AES</v>
      </c>
      <c r="AG843" t="s">
        <v>6</v>
      </c>
      <c r="AH843" t="s">
        <v>5519</v>
      </c>
      <c r="AI843" t="s">
        <v>932</v>
      </c>
      <c r="AJ843" t="s">
        <v>3</v>
      </c>
      <c r="AK843" t="s">
        <v>5518</v>
      </c>
      <c r="AL843" t="s">
        <v>5517</v>
      </c>
    </row>
    <row r="844" spans="5:44" x14ac:dyDescent="0.25">
      <c r="I844" t="str">
        <f t="shared" si="71"/>
        <v>aof2</v>
      </c>
      <c r="J844" t="str">
        <f t="shared" si="72"/>
        <v/>
      </c>
      <c r="L844" t="str">
        <f t="shared" si="70"/>
        <v>NGM-056</v>
      </c>
      <c r="M844" t="str">
        <f t="shared" si="70"/>
        <v>19940203</v>
      </c>
      <c r="N844" t="str">
        <f t="shared" si="70"/>
        <v>龍虎の拳2</v>
      </c>
      <c r="O844" t="str">
        <f t="shared" si="70"/>
        <v/>
      </c>
      <c r="P844" t="str">
        <f t="shared" si="70"/>
        <v/>
      </c>
      <c r="T844" t="str">
        <f t="shared" si="73"/>
        <v/>
      </c>
      <c r="V844" t="str">
        <f t="shared" si="69"/>
        <v>MVS</v>
      </c>
      <c r="W844" t="str">
        <f t="shared" si="69"/>
        <v>MVS,AES</v>
      </c>
      <c r="AG844" t="s">
        <v>6</v>
      </c>
      <c r="AH844" t="s">
        <v>5516</v>
      </c>
      <c r="AI844" t="s">
        <v>57</v>
      </c>
      <c r="AJ844" t="s">
        <v>3</v>
      </c>
      <c r="AK844" t="s">
        <v>5515</v>
      </c>
      <c r="AL844" t="s">
        <v>5514</v>
      </c>
    </row>
    <row r="845" spans="5:44" x14ac:dyDescent="0.25">
      <c r="I845" t="str">
        <f t="shared" si="71"/>
        <v>aof2</v>
      </c>
      <c r="J845" t="str">
        <f t="shared" si="72"/>
        <v/>
      </c>
      <c r="L845" t="str">
        <f t="shared" si="70"/>
        <v>NGM-056</v>
      </c>
      <c r="M845" t="str">
        <f t="shared" si="70"/>
        <v>19940203</v>
      </c>
      <c r="N845" t="str">
        <f t="shared" si="70"/>
        <v>龍虎の拳2</v>
      </c>
      <c r="O845" t="str">
        <f t="shared" si="70"/>
        <v/>
      </c>
      <c r="P845" t="str">
        <f t="shared" si="70"/>
        <v/>
      </c>
      <c r="T845" t="str">
        <f t="shared" si="73"/>
        <v/>
      </c>
      <c r="V845" t="str">
        <f t="shared" si="69"/>
        <v>MVS</v>
      </c>
      <c r="W845" t="str">
        <f t="shared" si="69"/>
        <v>MVS,AES</v>
      </c>
      <c r="AG845" t="s">
        <v>6</v>
      </c>
      <c r="AH845" t="s">
        <v>5513</v>
      </c>
      <c r="AI845" t="s">
        <v>53</v>
      </c>
      <c r="AJ845" t="s">
        <v>3</v>
      </c>
      <c r="AK845" t="s">
        <v>5512</v>
      </c>
      <c r="AL845" t="s">
        <v>5511</v>
      </c>
    </row>
    <row r="846" spans="5:44" x14ac:dyDescent="0.25">
      <c r="I846" t="str">
        <f t="shared" si="71"/>
        <v>aof2</v>
      </c>
      <c r="J846" t="str">
        <f t="shared" si="72"/>
        <v/>
      </c>
      <c r="L846" t="str">
        <f t="shared" si="70"/>
        <v>NGM-056</v>
      </c>
      <c r="M846" t="str">
        <f t="shared" si="70"/>
        <v>19940203</v>
      </c>
      <c r="N846" t="str">
        <f t="shared" si="70"/>
        <v>龍虎の拳2</v>
      </c>
      <c r="O846" t="str">
        <f t="shared" si="70"/>
        <v/>
      </c>
      <c r="P846" t="str">
        <f t="shared" si="70"/>
        <v/>
      </c>
      <c r="T846" t="str">
        <f t="shared" si="73"/>
        <v/>
      </c>
      <c r="V846" t="str">
        <f t="shared" si="69"/>
        <v>MVS</v>
      </c>
      <c r="W846" t="str">
        <f t="shared" si="69"/>
        <v>MVS,AES</v>
      </c>
      <c r="AG846" t="s">
        <v>6</v>
      </c>
      <c r="AH846" t="s">
        <v>5510</v>
      </c>
      <c r="AI846" t="s">
        <v>250</v>
      </c>
      <c r="AJ846" t="s">
        <v>3</v>
      </c>
      <c r="AK846" t="s">
        <v>5509</v>
      </c>
      <c r="AL846" t="s">
        <v>5508</v>
      </c>
    </row>
    <row r="847" spans="5:44" x14ac:dyDescent="0.25">
      <c r="I847" t="str">
        <f t="shared" si="71"/>
        <v>aof2</v>
      </c>
      <c r="J847" t="str">
        <f t="shared" si="72"/>
        <v/>
      </c>
      <c r="L847" t="str">
        <f t="shared" si="70"/>
        <v>NGM-056</v>
      </c>
      <c r="M847" t="str">
        <f t="shared" si="70"/>
        <v>19940203</v>
      </c>
      <c r="N847" t="str">
        <f t="shared" si="70"/>
        <v>龍虎の拳2</v>
      </c>
      <c r="O847" t="str">
        <f t="shared" si="70"/>
        <v/>
      </c>
      <c r="P847" t="str">
        <f t="shared" si="70"/>
        <v/>
      </c>
      <c r="T847" t="str">
        <f t="shared" si="73"/>
        <v/>
      </c>
      <c r="V847" t="str">
        <f t="shared" si="69"/>
        <v>MVS</v>
      </c>
      <c r="W847" t="str">
        <f t="shared" si="69"/>
        <v>MVS,AES</v>
      </c>
      <c r="AG847" t="s">
        <v>6</v>
      </c>
      <c r="AH847" t="s">
        <v>5507</v>
      </c>
      <c r="AI847" t="s">
        <v>4138</v>
      </c>
      <c r="AJ847" t="s">
        <v>3</v>
      </c>
      <c r="AK847" t="s">
        <v>5506</v>
      </c>
      <c r="AL847" t="s">
        <v>5505</v>
      </c>
    </row>
    <row r="848" spans="5:44" x14ac:dyDescent="0.25">
      <c r="E848" t="s">
        <v>5555</v>
      </c>
      <c r="F848" t="s">
        <v>5554</v>
      </c>
      <c r="G848" t="s">
        <v>393</v>
      </c>
      <c r="H848" t="s">
        <v>1912</v>
      </c>
      <c r="I848" t="str">
        <f t="shared" si="71"/>
        <v>aof2a</v>
      </c>
      <c r="J848" t="str">
        <f t="shared" si="72"/>
        <v>aof2aserial</v>
      </c>
      <c r="K848" t="s">
        <v>1373</v>
      </c>
      <c r="L848" t="str">
        <f t="shared" si="70"/>
        <v>NGH-056</v>
      </c>
      <c r="M848" t="str">
        <f t="shared" si="70"/>
        <v>19940311</v>
      </c>
      <c r="N848" t="str">
        <f t="shared" si="70"/>
        <v>龍虎の拳2</v>
      </c>
      <c r="O848" t="str">
        <f t="shared" si="70"/>
        <v/>
      </c>
      <c r="P848" t="str">
        <f t="shared" si="70"/>
        <v/>
      </c>
      <c r="Q848" t="s">
        <v>5553</v>
      </c>
      <c r="S848" t="s">
        <v>46</v>
      </c>
      <c r="T848" t="str">
        <f t="shared" si="73"/>
        <v>aof2arelease</v>
      </c>
      <c r="U848" t="s">
        <v>35</v>
      </c>
      <c r="V848" t="str">
        <f t="shared" si="69"/>
        <v>AES</v>
      </c>
      <c r="W848" t="str">
        <f t="shared" si="69"/>
        <v>MVS,AES</v>
      </c>
      <c r="Y848" t="s">
        <v>45</v>
      </c>
      <c r="Z848" t="s">
        <v>44</v>
      </c>
      <c r="AB848" t="s">
        <v>43</v>
      </c>
      <c r="AC848" t="s">
        <v>42</v>
      </c>
      <c r="AD848" t="s">
        <v>41</v>
      </c>
      <c r="AE848" t="s">
        <v>15</v>
      </c>
      <c r="AG848" t="s">
        <v>40</v>
      </c>
      <c r="AH848" t="s">
        <v>5552</v>
      </c>
      <c r="AI848" t="s">
        <v>9</v>
      </c>
      <c r="AJ848" t="s">
        <v>15</v>
      </c>
      <c r="AK848" t="s">
        <v>5551</v>
      </c>
      <c r="AL848" t="s">
        <v>5550</v>
      </c>
      <c r="AR848" t="s">
        <v>5549</v>
      </c>
    </row>
    <row r="849" spans="5:38" x14ac:dyDescent="0.25">
      <c r="I849" t="str">
        <f t="shared" si="71"/>
        <v>aof2a</v>
      </c>
      <c r="J849" t="str">
        <f t="shared" si="72"/>
        <v>aof2arelease</v>
      </c>
      <c r="K849" t="s">
        <v>46</v>
      </c>
      <c r="L849" t="str">
        <f t="shared" si="70"/>
        <v>NGH-056</v>
      </c>
      <c r="M849" t="str">
        <f t="shared" si="70"/>
        <v>19940311</v>
      </c>
      <c r="N849" t="str">
        <f t="shared" si="70"/>
        <v>龍虎の拳2</v>
      </c>
      <c r="O849" t="str">
        <f t="shared" si="70"/>
        <v/>
      </c>
      <c r="P849" t="str">
        <f t="shared" si="70"/>
        <v/>
      </c>
      <c r="Q849" t="s">
        <v>5548</v>
      </c>
      <c r="T849" t="str">
        <f t="shared" si="73"/>
        <v/>
      </c>
      <c r="V849" t="str">
        <f t="shared" si="69"/>
        <v>AES</v>
      </c>
      <c r="W849" t="str">
        <f t="shared" si="69"/>
        <v>MVS,AES</v>
      </c>
      <c r="AG849" t="s">
        <v>40</v>
      </c>
      <c r="AH849" t="s">
        <v>5547</v>
      </c>
      <c r="AI849" t="s">
        <v>9</v>
      </c>
      <c r="AJ849" t="s">
        <v>92</v>
      </c>
      <c r="AK849" t="s">
        <v>5546</v>
      </c>
      <c r="AL849" t="s">
        <v>5545</v>
      </c>
    </row>
    <row r="850" spans="5:38" x14ac:dyDescent="0.25">
      <c r="I850" t="str">
        <f t="shared" si="71"/>
        <v>aof2a</v>
      </c>
      <c r="J850" t="str">
        <f t="shared" si="72"/>
        <v>aof2aalt_title</v>
      </c>
      <c r="K850" t="s">
        <v>1218</v>
      </c>
      <c r="L850" t="str">
        <f t="shared" si="70"/>
        <v>NGH-056</v>
      </c>
      <c r="M850" t="str">
        <f t="shared" si="70"/>
        <v>19940311</v>
      </c>
      <c r="N850" t="str">
        <f t="shared" si="70"/>
        <v>龍虎の拳2</v>
      </c>
      <c r="O850" t="str">
        <f t="shared" si="70"/>
        <v/>
      </c>
      <c r="P850" t="str">
        <f t="shared" si="70"/>
        <v/>
      </c>
      <c r="Q850" t="s">
        <v>5544</v>
      </c>
      <c r="T850" t="str">
        <f t="shared" si="73"/>
        <v/>
      </c>
      <c r="V850" t="str">
        <f t="shared" si="69"/>
        <v>AES</v>
      </c>
      <c r="W850" t="str">
        <f t="shared" si="69"/>
        <v>MVS,AES</v>
      </c>
      <c r="AB850" t="s">
        <v>34</v>
      </c>
      <c r="AE850" t="s">
        <v>33</v>
      </c>
      <c r="AH850" t="s">
        <v>5543</v>
      </c>
      <c r="AI850" t="s">
        <v>9</v>
      </c>
      <c r="AJ850" t="s">
        <v>27</v>
      </c>
      <c r="AK850" t="s">
        <v>5542</v>
      </c>
      <c r="AL850" t="s">
        <v>5541</v>
      </c>
    </row>
    <row r="851" spans="5:38" x14ac:dyDescent="0.25">
      <c r="I851" t="str">
        <f t="shared" si="71"/>
        <v>aof2a</v>
      </c>
      <c r="J851" t="str">
        <f t="shared" si="72"/>
        <v/>
      </c>
      <c r="L851" t="str">
        <f t="shared" si="70"/>
        <v>NGH-056</v>
      </c>
      <c r="M851" t="str">
        <f t="shared" si="70"/>
        <v>19940311</v>
      </c>
      <c r="N851" t="str">
        <f t="shared" si="70"/>
        <v>龍虎の拳2</v>
      </c>
      <c r="O851" t="str">
        <f t="shared" si="70"/>
        <v/>
      </c>
      <c r="P851" t="str">
        <f t="shared" si="70"/>
        <v/>
      </c>
      <c r="S851" t="s">
        <v>36</v>
      </c>
      <c r="T851" t="str">
        <f t="shared" si="73"/>
        <v>aof2acompatibility</v>
      </c>
      <c r="U851" t="s">
        <v>218</v>
      </c>
      <c r="V851" t="str">
        <f t="shared" si="69"/>
        <v>AES</v>
      </c>
      <c r="W851" t="str">
        <f t="shared" si="69"/>
        <v>MVS,AES</v>
      </c>
      <c r="AB851" t="s">
        <v>29</v>
      </c>
      <c r="AE851" t="s">
        <v>27</v>
      </c>
      <c r="AH851" t="s">
        <v>5540</v>
      </c>
      <c r="AI851" t="s">
        <v>9</v>
      </c>
      <c r="AJ851" t="s">
        <v>27</v>
      </c>
      <c r="AK851" t="s">
        <v>5539</v>
      </c>
      <c r="AL851" t="s">
        <v>5538</v>
      </c>
    </row>
    <row r="852" spans="5:38" x14ac:dyDescent="0.25">
      <c r="I852" t="str">
        <f t="shared" si="71"/>
        <v>aof2a</v>
      </c>
      <c r="J852" t="str">
        <f t="shared" si="72"/>
        <v/>
      </c>
      <c r="L852" t="str">
        <f t="shared" si="70"/>
        <v>NGH-056</v>
      </c>
      <c r="M852" t="str">
        <f t="shared" si="70"/>
        <v>19940311</v>
      </c>
      <c r="N852" t="str">
        <f t="shared" si="70"/>
        <v>龍虎の拳2</v>
      </c>
      <c r="O852" t="str">
        <f t="shared" si="70"/>
        <v/>
      </c>
      <c r="P852" t="str">
        <f t="shared" si="70"/>
        <v/>
      </c>
      <c r="T852" t="str">
        <f t="shared" si="73"/>
        <v/>
      </c>
      <c r="V852" t="str">
        <f t="shared" si="69"/>
        <v>AES</v>
      </c>
      <c r="W852" t="str">
        <f t="shared" si="69"/>
        <v>MVS,AES</v>
      </c>
      <c r="AB852" t="s">
        <v>24</v>
      </c>
      <c r="AE852" t="s">
        <v>23</v>
      </c>
      <c r="AH852" t="s">
        <v>5537</v>
      </c>
      <c r="AI852" t="s">
        <v>9</v>
      </c>
      <c r="AJ852" t="s">
        <v>3</v>
      </c>
      <c r="AK852" t="s">
        <v>5536</v>
      </c>
      <c r="AL852" t="s">
        <v>5535</v>
      </c>
    </row>
    <row r="853" spans="5:38" x14ac:dyDescent="0.25">
      <c r="I853" t="str">
        <f t="shared" si="71"/>
        <v>aof2a</v>
      </c>
      <c r="J853" t="str">
        <f t="shared" si="72"/>
        <v/>
      </c>
      <c r="L853" t="str">
        <f t="shared" si="70"/>
        <v>NGH-056</v>
      </c>
      <c r="M853" t="str">
        <f t="shared" si="70"/>
        <v>19940311</v>
      </c>
      <c r="N853" t="str">
        <f t="shared" si="70"/>
        <v>龍虎の拳2</v>
      </c>
      <c r="O853" t="str">
        <f t="shared" si="70"/>
        <v/>
      </c>
      <c r="P853" t="str">
        <f t="shared" si="70"/>
        <v/>
      </c>
      <c r="T853" t="str">
        <f t="shared" si="73"/>
        <v/>
      </c>
      <c r="V853" t="str">
        <f t="shared" si="69"/>
        <v>AES</v>
      </c>
      <c r="W853" t="str">
        <f t="shared" si="69"/>
        <v>MVS,AES</v>
      </c>
      <c r="AH853" t="s">
        <v>5534</v>
      </c>
      <c r="AI853" t="s">
        <v>3</v>
      </c>
      <c r="AJ853" t="s">
        <v>3</v>
      </c>
      <c r="AK853" t="s">
        <v>5533</v>
      </c>
      <c r="AL853" t="s">
        <v>5532</v>
      </c>
    </row>
    <row r="854" spans="5:38" x14ac:dyDescent="0.25">
      <c r="I854" t="str">
        <f t="shared" si="71"/>
        <v>aof2a</v>
      </c>
      <c r="J854" t="str">
        <f t="shared" si="72"/>
        <v/>
      </c>
      <c r="L854" t="str">
        <f t="shared" si="70"/>
        <v>NGH-056</v>
      </c>
      <c r="M854" t="str">
        <f t="shared" si="70"/>
        <v>19940311</v>
      </c>
      <c r="N854" t="str">
        <f t="shared" si="70"/>
        <v>龍虎の拳2</v>
      </c>
      <c r="O854" t="str">
        <f t="shared" si="70"/>
        <v/>
      </c>
      <c r="P854" t="str">
        <f t="shared" si="70"/>
        <v/>
      </c>
      <c r="T854" t="str">
        <f t="shared" si="73"/>
        <v/>
      </c>
      <c r="V854" t="str">
        <f t="shared" si="69"/>
        <v>AES</v>
      </c>
      <c r="W854" t="str">
        <f t="shared" si="69"/>
        <v>MVS,AES</v>
      </c>
      <c r="AH854" t="s">
        <v>5531</v>
      </c>
      <c r="AI854" t="s">
        <v>11</v>
      </c>
      <c r="AJ854" t="s">
        <v>15</v>
      </c>
      <c r="AK854" t="s">
        <v>5530</v>
      </c>
      <c r="AL854" t="s">
        <v>5529</v>
      </c>
    </row>
    <row r="855" spans="5:38" x14ac:dyDescent="0.25">
      <c r="I855" t="str">
        <f t="shared" si="71"/>
        <v>aof2a</v>
      </c>
      <c r="J855" t="str">
        <f t="shared" si="72"/>
        <v/>
      </c>
      <c r="L855" t="str">
        <f t="shared" si="70"/>
        <v>NGH-056</v>
      </c>
      <c r="M855" t="str">
        <f t="shared" si="70"/>
        <v>19940311</v>
      </c>
      <c r="N855" t="str">
        <f t="shared" si="70"/>
        <v>龍虎の拳2</v>
      </c>
      <c r="O855" t="str">
        <f t="shared" si="70"/>
        <v/>
      </c>
      <c r="P855" t="str">
        <f t="shared" si="70"/>
        <v/>
      </c>
      <c r="T855" t="str">
        <f t="shared" si="73"/>
        <v/>
      </c>
      <c r="V855" t="str">
        <f t="shared" ref="V855:W918" si="74">IFERROR(VLOOKUP($I855&amp;V$1,$T:$AA,2,0),"")</f>
        <v>AES</v>
      </c>
      <c r="W855" t="str">
        <f t="shared" si="74"/>
        <v>MVS,AES</v>
      </c>
      <c r="AB855" t="s">
        <v>12</v>
      </c>
      <c r="AE855" t="s">
        <v>65</v>
      </c>
      <c r="AG855" t="s">
        <v>6</v>
      </c>
      <c r="AH855" t="s">
        <v>5528</v>
      </c>
      <c r="AI855" t="s">
        <v>9</v>
      </c>
      <c r="AJ855" t="s">
        <v>3</v>
      </c>
      <c r="AK855" t="s">
        <v>5527</v>
      </c>
      <c r="AL855" t="s">
        <v>5526</v>
      </c>
    </row>
    <row r="856" spans="5:38" x14ac:dyDescent="0.25">
      <c r="I856" t="str">
        <f t="shared" si="71"/>
        <v>aof2a</v>
      </c>
      <c r="J856" t="str">
        <f t="shared" si="72"/>
        <v/>
      </c>
      <c r="L856" t="str">
        <f t="shared" si="70"/>
        <v>NGH-056</v>
      </c>
      <c r="M856" t="str">
        <f t="shared" si="70"/>
        <v>19940311</v>
      </c>
      <c r="N856" t="str">
        <f t="shared" si="70"/>
        <v>龍虎の拳2</v>
      </c>
      <c r="O856" t="str">
        <f t="shared" si="70"/>
        <v/>
      </c>
      <c r="P856" t="str">
        <f t="shared" si="70"/>
        <v/>
      </c>
      <c r="T856" t="str">
        <f t="shared" si="73"/>
        <v/>
      </c>
      <c r="V856" t="str">
        <f t="shared" si="74"/>
        <v>AES</v>
      </c>
      <c r="W856" t="str">
        <f t="shared" si="74"/>
        <v>MVS,AES</v>
      </c>
      <c r="AG856" t="s">
        <v>6</v>
      </c>
      <c r="AH856" t="s">
        <v>5525</v>
      </c>
      <c r="AI856" t="s">
        <v>4</v>
      </c>
      <c r="AJ856" t="s">
        <v>3</v>
      </c>
      <c r="AK856" t="s">
        <v>5524</v>
      </c>
      <c r="AL856" t="s">
        <v>5523</v>
      </c>
    </row>
    <row r="857" spans="5:38" x14ac:dyDescent="0.25">
      <c r="I857" t="str">
        <f t="shared" si="71"/>
        <v>aof2a</v>
      </c>
      <c r="J857" t="str">
        <f t="shared" si="72"/>
        <v/>
      </c>
      <c r="L857" t="str">
        <f t="shared" si="70"/>
        <v>NGH-056</v>
      </c>
      <c r="M857" t="str">
        <f t="shared" si="70"/>
        <v>19940311</v>
      </c>
      <c r="N857" t="str">
        <f t="shared" si="70"/>
        <v>龍虎の拳2</v>
      </c>
      <c r="O857" t="str">
        <f t="shared" si="70"/>
        <v/>
      </c>
      <c r="P857" t="str">
        <f t="shared" si="70"/>
        <v/>
      </c>
      <c r="T857" t="str">
        <f t="shared" si="73"/>
        <v/>
      </c>
      <c r="V857" t="str">
        <f t="shared" si="74"/>
        <v>AES</v>
      </c>
      <c r="W857" t="str">
        <f t="shared" si="74"/>
        <v>MVS,AES</v>
      </c>
      <c r="AG857" t="s">
        <v>6</v>
      </c>
      <c r="AH857" t="s">
        <v>5522</v>
      </c>
      <c r="AI857" t="s">
        <v>11</v>
      </c>
      <c r="AJ857" t="s">
        <v>3</v>
      </c>
      <c r="AK857" t="s">
        <v>5521</v>
      </c>
      <c r="AL857" t="s">
        <v>5520</v>
      </c>
    </row>
    <row r="858" spans="5:38" x14ac:dyDescent="0.25">
      <c r="I858" t="str">
        <f t="shared" si="71"/>
        <v>aof2a</v>
      </c>
      <c r="J858" t="str">
        <f t="shared" si="72"/>
        <v/>
      </c>
      <c r="L858" t="str">
        <f t="shared" si="70"/>
        <v>NGH-056</v>
      </c>
      <c r="M858" t="str">
        <f t="shared" si="70"/>
        <v>19940311</v>
      </c>
      <c r="N858" t="str">
        <f t="shared" si="70"/>
        <v>龍虎の拳2</v>
      </c>
      <c r="O858" t="str">
        <f t="shared" si="70"/>
        <v/>
      </c>
      <c r="P858" t="str">
        <f t="shared" si="70"/>
        <v/>
      </c>
      <c r="T858" t="str">
        <f t="shared" si="73"/>
        <v/>
      </c>
      <c r="V858" t="str">
        <f t="shared" si="74"/>
        <v>AES</v>
      </c>
      <c r="W858" t="str">
        <f t="shared" si="74"/>
        <v>MVS,AES</v>
      </c>
      <c r="AG858" t="s">
        <v>6</v>
      </c>
      <c r="AH858" t="s">
        <v>5519</v>
      </c>
      <c r="AI858" t="s">
        <v>932</v>
      </c>
      <c r="AJ858" t="s">
        <v>3</v>
      </c>
      <c r="AK858" t="s">
        <v>5518</v>
      </c>
      <c r="AL858" t="s">
        <v>5517</v>
      </c>
    </row>
    <row r="859" spans="5:38" x14ac:dyDescent="0.25">
      <c r="I859" t="str">
        <f t="shared" si="71"/>
        <v>aof2a</v>
      </c>
      <c r="J859" t="str">
        <f t="shared" si="72"/>
        <v/>
      </c>
      <c r="L859" t="str">
        <f t="shared" si="70"/>
        <v>NGH-056</v>
      </c>
      <c r="M859" t="str">
        <f t="shared" si="70"/>
        <v>19940311</v>
      </c>
      <c r="N859" t="str">
        <f t="shared" si="70"/>
        <v>龍虎の拳2</v>
      </c>
      <c r="O859" t="str">
        <f t="shared" si="70"/>
        <v/>
      </c>
      <c r="P859" t="str">
        <f t="shared" si="70"/>
        <v/>
      </c>
      <c r="T859" t="str">
        <f t="shared" si="73"/>
        <v/>
      </c>
      <c r="V859" t="str">
        <f t="shared" si="74"/>
        <v>AES</v>
      </c>
      <c r="W859" t="str">
        <f t="shared" si="74"/>
        <v>MVS,AES</v>
      </c>
      <c r="AG859" t="s">
        <v>6</v>
      </c>
      <c r="AH859" t="s">
        <v>5516</v>
      </c>
      <c r="AI859" t="s">
        <v>57</v>
      </c>
      <c r="AJ859" t="s">
        <v>3</v>
      </c>
      <c r="AK859" t="s">
        <v>5515</v>
      </c>
      <c r="AL859" t="s">
        <v>5514</v>
      </c>
    </row>
    <row r="860" spans="5:38" x14ac:dyDescent="0.25">
      <c r="I860" t="str">
        <f t="shared" si="71"/>
        <v>aof2a</v>
      </c>
      <c r="J860" t="str">
        <f t="shared" si="72"/>
        <v/>
      </c>
      <c r="L860" t="str">
        <f t="shared" si="70"/>
        <v>NGH-056</v>
      </c>
      <c r="M860" t="str">
        <f t="shared" si="70"/>
        <v>19940311</v>
      </c>
      <c r="N860" t="str">
        <f t="shared" si="70"/>
        <v>龍虎の拳2</v>
      </c>
      <c r="O860" t="str">
        <f t="shared" si="70"/>
        <v/>
      </c>
      <c r="P860" t="str">
        <f t="shared" si="70"/>
        <v/>
      </c>
      <c r="T860" t="str">
        <f t="shared" si="73"/>
        <v/>
      </c>
      <c r="V860" t="str">
        <f t="shared" si="74"/>
        <v>AES</v>
      </c>
      <c r="W860" t="str">
        <f t="shared" si="74"/>
        <v>MVS,AES</v>
      </c>
      <c r="AG860" t="s">
        <v>6</v>
      </c>
      <c r="AH860" t="s">
        <v>5513</v>
      </c>
      <c r="AI860" t="s">
        <v>53</v>
      </c>
      <c r="AJ860" t="s">
        <v>3</v>
      </c>
      <c r="AK860" t="s">
        <v>5512</v>
      </c>
      <c r="AL860" t="s">
        <v>5511</v>
      </c>
    </row>
    <row r="861" spans="5:38" x14ac:dyDescent="0.25">
      <c r="I861" t="str">
        <f t="shared" si="71"/>
        <v>aof2a</v>
      </c>
      <c r="J861" t="str">
        <f t="shared" si="72"/>
        <v/>
      </c>
      <c r="L861" t="str">
        <f t="shared" si="70"/>
        <v>NGH-056</v>
      </c>
      <c r="M861" t="str">
        <f t="shared" si="70"/>
        <v>19940311</v>
      </c>
      <c r="N861" t="str">
        <f t="shared" si="70"/>
        <v>龍虎の拳2</v>
      </c>
      <c r="O861" t="str">
        <f t="shared" si="70"/>
        <v/>
      </c>
      <c r="P861" t="str">
        <f t="shared" si="70"/>
        <v/>
      </c>
      <c r="T861" t="str">
        <f t="shared" si="73"/>
        <v/>
      </c>
      <c r="V861" t="str">
        <f t="shared" si="74"/>
        <v>AES</v>
      </c>
      <c r="W861" t="str">
        <f t="shared" si="74"/>
        <v>MVS,AES</v>
      </c>
      <c r="AG861" t="s">
        <v>6</v>
      </c>
      <c r="AH861" t="s">
        <v>5510</v>
      </c>
      <c r="AI861" t="s">
        <v>250</v>
      </c>
      <c r="AJ861" t="s">
        <v>3</v>
      </c>
      <c r="AK861" t="s">
        <v>5509</v>
      </c>
      <c r="AL861" t="s">
        <v>5508</v>
      </c>
    </row>
    <row r="862" spans="5:38" x14ac:dyDescent="0.25">
      <c r="I862" t="str">
        <f t="shared" si="71"/>
        <v>aof2a</v>
      </c>
      <c r="J862" t="str">
        <f t="shared" si="72"/>
        <v/>
      </c>
      <c r="L862" t="str">
        <f t="shared" si="70"/>
        <v>NGH-056</v>
      </c>
      <c r="M862" t="str">
        <f t="shared" si="70"/>
        <v>19940311</v>
      </c>
      <c r="N862" t="str">
        <f t="shared" si="70"/>
        <v>龍虎の拳2</v>
      </c>
      <c r="O862" t="str">
        <f t="shared" si="70"/>
        <v/>
      </c>
      <c r="P862" t="str">
        <f t="shared" si="70"/>
        <v/>
      </c>
      <c r="T862" t="str">
        <f t="shared" si="73"/>
        <v/>
      </c>
      <c r="V862" t="str">
        <f t="shared" si="74"/>
        <v>AES</v>
      </c>
      <c r="W862" t="str">
        <f t="shared" si="74"/>
        <v>MVS,AES</v>
      </c>
      <c r="AG862" t="s">
        <v>6</v>
      </c>
      <c r="AH862" t="s">
        <v>5507</v>
      </c>
      <c r="AI862" t="s">
        <v>4138</v>
      </c>
      <c r="AJ862" t="s">
        <v>3</v>
      </c>
      <c r="AK862" t="s">
        <v>5506</v>
      </c>
      <c r="AL862" t="s">
        <v>5505</v>
      </c>
    </row>
    <row r="863" spans="5:38" x14ac:dyDescent="0.25">
      <c r="E863" t="s">
        <v>5492</v>
      </c>
      <c r="F863" t="s">
        <v>5504</v>
      </c>
      <c r="G863" t="s">
        <v>5315</v>
      </c>
      <c r="H863" t="s">
        <v>3770</v>
      </c>
      <c r="I863" t="str">
        <f t="shared" si="71"/>
        <v>wh2</v>
      </c>
      <c r="J863" t="str">
        <f t="shared" si="72"/>
        <v>wh2serial</v>
      </c>
      <c r="K863" t="s">
        <v>1373</v>
      </c>
      <c r="L863" t="str">
        <f t="shared" si="70"/>
        <v>NGM-057 / ALM-006 (MVS), NGH-057 / ALH-006 (AES)</v>
      </c>
      <c r="M863" t="str">
        <f t="shared" si="70"/>
        <v>19930426 (MVS), 19930604 (AES)</v>
      </c>
      <c r="N863" t="str">
        <f t="shared" si="70"/>
        <v>ワールドヒーローズ2</v>
      </c>
      <c r="O863" t="str">
        <f t="shared" si="70"/>
        <v/>
      </c>
      <c r="P863" t="str">
        <f t="shared" si="70"/>
        <v/>
      </c>
      <c r="Q863" t="s">
        <v>5503</v>
      </c>
      <c r="S863" t="s">
        <v>46</v>
      </c>
      <c r="T863" t="str">
        <f t="shared" si="73"/>
        <v>wh2release</v>
      </c>
      <c r="U863" t="s">
        <v>218</v>
      </c>
      <c r="V863" t="str">
        <f t="shared" si="74"/>
        <v>MVS,AES</v>
      </c>
      <c r="W863" t="str">
        <f t="shared" si="74"/>
        <v>MVS,AES</v>
      </c>
      <c r="Y863" t="s">
        <v>45</v>
      </c>
      <c r="Z863" t="s">
        <v>44</v>
      </c>
      <c r="AB863" t="s">
        <v>43</v>
      </c>
      <c r="AC863" t="s">
        <v>42</v>
      </c>
      <c r="AD863" t="s">
        <v>41</v>
      </c>
      <c r="AE863" t="s">
        <v>3</v>
      </c>
      <c r="AG863" t="s">
        <v>40</v>
      </c>
      <c r="AH863" t="s">
        <v>5502</v>
      </c>
      <c r="AI863" t="s">
        <v>15</v>
      </c>
      <c r="AJ863" t="s">
        <v>15</v>
      </c>
      <c r="AK863" t="s">
        <v>5501</v>
      </c>
      <c r="AL863" t="s">
        <v>5500</v>
      </c>
    </row>
    <row r="864" spans="5:38" x14ac:dyDescent="0.25">
      <c r="I864" t="str">
        <f t="shared" si="71"/>
        <v>wh2</v>
      </c>
      <c r="J864" t="str">
        <f t="shared" si="72"/>
        <v>wh2release</v>
      </c>
      <c r="K864" t="s">
        <v>46</v>
      </c>
      <c r="L864" t="str">
        <f t="shared" si="70"/>
        <v>NGM-057 / ALM-006 (MVS), NGH-057 / ALH-006 (AES)</v>
      </c>
      <c r="M864" t="str">
        <f t="shared" si="70"/>
        <v>19930426 (MVS), 19930604 (AES)</v>
      </c>
      <c r="N864" t="str">
        <f t="shared" si="70"/>
        <v>ワールドヒーローズ2</v>
      </c>
      <c r="O864" t="str">
        <f t="shared" si="70"/>
        <v/>
      </c>
      <c r="P864" t="str">
        <f t="shared" si="70"/>
        <v/>
      </c>
      <c r="Q864" t="s">
        <v>5499</v>
      </c>
      <c r="T864" t="str">
        <f t="shared" si="73"/>
        <v/>
      </c>
      <c r="V864" t="str">
        <f t="shared" si="74"/>
        <v>MVS,AES</v>
      </c>
      <c r="W864" t="str">
        <f t="shared" si="74"/>
        <v>MVS,AES</v>
      </c>
      <c r="AG864" t="s">
        <v>224</v>
      </c>
      <c r="AI864" t="s">
        <v>9</v>
      </c>
      <c r="AJ864" t="s">
        <v>15</v>
      </c>
    </row>
    <row r="865" spans="5:44" x14ac:dyDescent="0.25">
      <c r="I865" t="str">
        <f t="shared" si="71"/>
        <v>wh2</v>
      </c>
      <c r="J865" t="str">
        <f t="shared" si="72"/>
        <v>wh2alt_title</v>
      </c>
      <c r="K865" t="s">
        <v>1218</v>
      </c>
      <c r="L865" t="str">
        <f t="shared" si="70"/>
        <v>NGM-057 / ALM-006 (MVS), NGH-057 / ALH-006 (AES)</v>
      </c>
      <c r="M865" t="str">
        <f t="shared" si="70"/>
        <v>19930426 (MVS), 19930604 (AES)</v>
      </c>
      <c r="N865" t="str">
        <f t="shared" si="70"/>
        <v>ワールドヒーローズ2</v>
      </c>
      <c r="O865" t="str">
        <f t="shared" si="70"/>
        <v/>
      </c>
      <c r="P865" t="str">
        <f t="shared" si="70"/>
        <v/>
      </c>
      <c r="Q865" t="s">
        <v>5490</v>
      </c>
      <c r="T865" t="str">
        <f t="shared" si="73"/>
        <v/>
      </c>
      <c r="V865" t="str">
        <f t="shared" si="74"/>
        <v>MVS,AES</v>
      </c>
      <c r="W865" t="str">
        <f t="shared" si="74"/>
        <v>MVS,AES</v>
      </c>
      <c r="AB865" t="s">
        <v>34</v>
      </c>
      <c r="AE865" t="s">
        <v>33</v>
      </c>
      <c r="AH865" t="s">
        <v>5489</v>
      </c>
      <c r="AI865" t="s">
        <v>9</v>
      </c>
      <c r="AJ865" t="s">
        <v>27</v>
      </c>
      <c r="AK865" t="s">
        <v>5488</v>
      </c>
      <c r="AL865" t="s">
        <v>5487</v>
      </c>
    </row>
    <row r="866" spans="5:44" x14ac:dyDescent="0.25">
      <c r="I866" t="str">
        <f t="shared" si="71"/>
        <v>wh2</v>
      </c>
      <c r="J866" t="str">
        <f t="shared" si="72"/>
        <v/>
      </c>
      <c r="L866" t="str">
        <f t="shared" si="70"/>
        <v>NGM-057 / ALM-006 (MVS), NGH-057 / ALH-006 (AES)</v>
      </c>
      <c r="M866" t="str">
        <f t="shared" si="70"/>
        <v>19930426 (MVS), 19930604 (AES)</v>
      </c>
      <c r="N866" t="str">
        <f t="shared" si="70"/>
        <v>ワールドヒーローズ2</v>
      </c>
      <c r="O866" t="str">
        <f t="shared" si="70"/>
        <v/>
      </c>
      <c r="P866" t="str">
        <f t="shared" si="70"/>
        <v/>
      </c>
      <c r="S866" t="s">
        <v>36</v>
      </c>
      <c r="T866" t="str">
        <f t="shared" si="73"/>
        <v>wh2compatibility</v>
      </c>
      <c r="U866" t="s">
        <v>218</v>
      </c>
      <c r="V866" t="str">
        <f t="shared" si="74"/>
        <v>MVS,AES</v>
      </c>
      <c r="W866" t="str">
        <f t="shared" si="74"/>
        <v>MVS,AES</v>
      </c>
      <c r="AB866" t="s">
        <v>29</v>
      </c>
      <c r="AE866" t="s">
        <v>27</v>
      </c>
      <c r="AH866" t="s">
        <v>5486</v>
      </c>
      <c r="AI866" t="s">
        <v>9</v>
      </c>
      <c r="AJ866" t="s">
        <v>27</v>
      </c>
      <c r="AK866" t="s">
        <v>5485</v>
      </c>
      <c r="AL866" t="s">
        <v>5484</v>
      </c>
    </row>
    <row r="867" spans="5:44" x14ac:dyDescent="0.25">
      <c r="I867" t="str">
        <f t="shared" si="71"/>
        <v>wh2</v>
      </c>
      <c r="J867" t="str">
        <f t="shared" si="72"/>
        <v/>
      </c>
      <c r="L867" t="str">
        <f t="shared" si="70"/>
        <v>NGM-057 / ALM-006 (MVS), NGH-057 / ALH-006 (AES)</v>
      </c>
      <c r="M867" t="str">
        <f t="shared" si="70"/>
        <v>19930426 (MVS), 19930604 (AES)</v>
      </c>
      <c r="N867" t="str">
        <f t="shared" si="70"/>
        <v>ワールドヒーローズ2</v>
      </c>
      <c r="O867" t="str">
        <f t="shared" si="70"/>
        <v/>
      </c>
      <c r="P867" t="str">
        <f t="shared" si="70"/>
        <v/>
      </c>
      <c r="T867" t="str">
        <f t="shared" si="73"/>
        <v/>
      </c>
      <c r="V867" t="str">
        <f t="shared" si="74"/>
        <v>MVS,AES</v>
      </c>
      <c r="W867" t="str">
        <f t="shared" si="74"/>
        <v>MVS,AES</v>
      </c>
      <c r="AB867" t="s">
        <v>24</v>
      </c>
      <c r="AE867" t="s">
        <v>11</v>
      </c>
      <c r="AH867" t="s">
        <v>5483</v>
      </c>
      <c r="AI867" t="s">
        <v>9</v>
      </c>
      <c r="AJ867" t="s">
        <v>3</v>
      </c>
      <c r="AK867" t="s">
        <v>5482</v>
      </c>
      <c r="AL867" t="s">
        <v>5481</v>
      </c>
    </row>
    <row r="868" spans="5:44" x14ac:dyDescent="0.25">
      <c r="I868" t="str">
        <f t="shared" si="71"/>
        <v>wh2</v>
      </c>
      <c r="J868" t="str">
        <f t="shared" si="72"/>
        <v/>
      </c>
      <c r="L868" t="str">
        <f t="shared" si="70"/>
        <v>NGM-057 / ALM-006 (MVS), NGH-057 / ALH-006 (AES)</v>
      </c>
      <c r="M868" t="str">
        <f t="shared" si="70"/>
        <v>19930426 (MVS), 19930604 (AES)</v>
      </c>
      <c r="N868" t="str">
        <f t="shared" si="70"/>
        <v>ワールドヒーローズ2</v>
      </c>
      <c r="O868" t="str">
        <f t="shared" si="70"/>
        <v/>
      </c>
      <c r="P868" t="str">
        <f t="shared" si="70"/>
        <v/>
      </c>
      <c r="T868" t="str">
        <f t="shared" si="73"/>
        <v/>
      </c>
      <c r="V868" t="str">
        <f t="shared" si="74"/>
        <v>MVS,AES</v>
      </c>
      <c r="W868" t="str">
        <f t="shared" si="74"/>
        <v>MVS,AES</v>
      </c>
      <c r="AH868" t="s">
        <v>5480</v>
      </c>
      <c r="AI868" t="s">
        <v>3</v>
      </c>
      <c r="AJ868" t="s">
        <v>3</v>
      </c>
      <c r="AK868" t="s">
        <v>5479</v>
      </c>
      <c r="AL868" t="s">
        <v>5478</v>
      </c>
    </row>
    <row r="869" spans="5:44" x14ac:dyDescent="0.25">
      <c r="I869" t="str">
        <f t="shared" si="71"/>
        <v>wh2</v>
      </c>
      <c r="J869" t="str">
        <f t="shared" si="72"/>
        <v/>
      </c>
      <c r="L869" t="str">
        <f t="shared" si="70"/>
        <v>NGM-057 / ALM-006 (MVS), NGH-057 / ALH-006 (AES)</v>
      </c>
      <c r="M869" t="str">
        <f t="shared" si="70"/>
        <v>19930426 (MVS), 19930604 (AES)</v>
      </c>
      <c r="N869" t="str">
        <f t="shared" si="70"/>
        <v>ワールドヒーローズ2</v>
      </c>
      <c r="O869" t="str">
        <f t="shared" si="70"/>
        <v/>
      </c>
      <c r="P869" t="str">
        <f t="shared" si="70"/>
        <v/>
      </c>
      <c r="T869" t="str">
        <f t="shared" si="73"/>
        <v/>
      </c>
      <c r="V869" t="str">
        <f t="shared" si="74"/>
        <v>MVS,AES</v>
      </c>
      <c r="W869" t="str">
        <f t="shared" si="74"/>
        <v>MVS,AES</v>
      </c>
      <c r="AB869" t="s">
        <v>12</v>
      </c>
      <c r="AE869" t="s">
        <v>250</v>
      </c>
      <c r="AG869" t="s">
        <v>6</v>
      </c>
      <c r="AH869" t="s">
        <v>5477</v>
      </c>
      <c r="AI869" t="s">
        <v>9</v>
      </c>
      <c r="AJ869" t="s">
        <v>3</v>
      </c>
      <c r="AK869" t="s">
        <v>5476</v>
      </c>
      <c r="AL869" t="s">
        <v>5475</v>
      </c>
    </row>
    <row r="870" spans="5:44" x14ac:dyDescent="0.25">
      <c r="I870" t="str">
        <f t="shared" si="71"/>
        <v>wh2</v>
      </c>
      <c r="J870" t="str">
        <f t="shared" si="72"/>
        <v/>
      </c>
      <c r="L870" t="str">
        <f t="shared" si="70"/>
        <v>NGM-057 / ALM-006 (MVS), NGH-057 / ALH-006 (AES)</v>
      </c>
      <c r="M870" t="str">
        <f t="shared" si="70"/>
        <v>19930426 (MVS), 19930604 (AES)</v>
      </c>
      <c r="N870" t="str">
        <f t="shared" si="70"/>
        <v>ワールドヒーローズ2</v>
      </c>
      <c r="O870" t="str">
        <f t="shared" si="70"/>
        <v/>
      </c>
      <c r="P870" t="str">
        <f t="shared" si="70"/>
        <v/>
      </c>
      <c r="T870" t="str">
        <f t="shared" si="73"/>
        <v/>
      </c>
      <c r="V870" t="str">
        <f t="shared" si="74"/>
        <v>MVS,AES</v>
      </c>
      <c r="W870" t="str">
        <f t="shared" si="74"/>
        <v>MVS,AES</v>
      </c>
      <c r="AG870" t="s">
        <v>6</v>
      </c>
      <c r="AH870" t="s">
        <v>5474</v>
      </c>
      <c r="AI870" t="s">
        <v>4</v>
      </c>
      <c r="AJ870" t="s">
        <v>3</v>
      </c>
      <c r="AK870" t="s">
        <v>5473</v>
      </c>
      <c r="AL870" t="s">
        <v>5472</v>
      </c>
    </row>
    <row r="871" spans="5:44" x14ac:dyDescent="0.25">
      <c r="I871" t="str">
        <f t="shared" si="71"/>
        <v>wh2</v>
      </c>
      <c r="J871" t="str">
        <f t="shared" si="72"/>
        <v/>
      </c>
      <c r="L871" t="str">
        <f t="shared" si="70"/>
        <v>NGM-057 / ALM-006 (MVS), NGH-057 / ALH-006 (AES)</v>
      </c>
      <c r="M871" t="str">
        <f t="shared" si="70"/>
        <v>19930426 (MVS), 19930604 (AES)</v>
      </c>
      <c r="N871" t="str">
        <f t="shared" si="70"/>
        <v>ワールドヒーローズ2</v>
      </c>
      <c r="O871" t="str">
        <f t="shared" si="70"/>
        <v/>
      </c>
      <c r="P871" t="str">
        <f t="shared" si="70"/>
        <v/>
      </c>
      <c r="T871" t="str">
        <f t="shared" si="73"/>
        <v/>
      </c>
      <c r="V871" t="str">
        <f t="shared" si="74"/>
        <v>MVS,AES</v>
      </c>
      <c r="W871" t="str">
        <f t="shared" si="74"/>
        <v>MVS,AES</v>
      </c>
      <c r="AG871" t="s">
        <v>6</v>
      </c>
      <c r="AH871" t="s">
        <v>5471</v>
      </c>
      <c r="AI871" t="s">
        <v>11</v>
      </c>
      <c r="AJ871" t="s">
        <v>3</v>
      </c>
      <c r="AK871" t="s">
        <v>5470</v>
      </c>
      <c r="AL871" t="s">
        <v>5469</v>
      </c>
    </row>
    <row r="872" spans="5:44" x14ac:dyDescent="0.25">
      <c r="I872" t="str">
        <f t="shared" si="71"/>
        <v>wh2</v>
      </c>
      <c r="J872" t="str">
        <f t="shared" si="72"/>
        <v/>
      </c>
      <c r="L872" t="str">
        <f t="shared" si="70"/>
        <v>NGM-057 / ALM-006 (MVS), NGH-057 / ALH-006 (AES)</v>
      </c>
      <c r="M872" t="str">
        <f t="shared" si="70"/>
        <v>19930426 (MVS), 19930604 (AES)</v>
      </c>
      <c r="N872" t="str">
        <f t="shared" si="70"/>
        <v>ワールドヒーローズ2</v>
      </c>
      <c r="O872" t="str">
        <f t="shared" si="70"/>
        <v/>
      </c>
      <c r="P872" t="str">
        <f t="shared" si="70"/>
        <v/>
      </c>
      <c r="T872" t="str">
        <f t="shared" si="73"/>
        <v/>
      </c>
      <c r="V872" t="str">
        <f t="shared" si="74"/>
        <v>MVS,AES</v>
      </c>
      <c r="W872" t="str">
        <f t="shared" si="74"/>
        <v>MVS,AES</v>
      </c>
      <c r="AG872" t="s">
        <v>6</v>
      </c>
      <c r="AH872" t="s">
        <v>5468</v>
      </c>
      <c r="AI872" t="s">
        <v>932</v>
      </c>
      <c r="AJ872" t="s">
        <v>3</v>
      </c>
      <c r="AK872" t="s">
        <v>5467</v>
      </c>
      <c r="AL872" t="s">
        <v>5466</v>
      </c>
    </row>
    <row r="873" spans="5:44" x14ac:dyDescent="0.25">
      <c r="I873" t="str">
        <f t="shared" si="71"/>
        <v>wh2</v>
      </c>
      <c r="J873" t="str">
        <f t="shared" si="72"/>
        <v/>
      </c>
      <c r="L873" t="str">
        <f t="shared" si="70"/>
        <v>NGM-057 / ALM-006 (MVS), NGH-057 / ALH-006 (AES)</v>
      </c>
      <c r="M873" t="str">
        <f t="shared" si="70"/>
        <v>19930426 (MVS), 19930604 (AES)</v>
      </c>
      <c r="N873" t="str">
        <f t="shared" si="70"/>
        <v>ワールドヒーローズ2</v>
      </c>
      <c r="O873" t="str">
        <f t="shared" si="70"/>
        <v/>
      </c>
      <c r="P873" t="str">
        <f t="shared" si="70"/>
        <v/>
      </c>
      <c r="T873" t="str">
        <f t="shared" si="73"/>
        <v/>
      </c>
      <c r="V873" t="str">
        <f t="shared" si="74"/>
        <v>MVS,AES</v>
      </c>
      <c r="W873" t="str">
        <f t="shared" si="74"/>
        <v>MVS,AES</v>
      </c>
      <c r="AG873" t="s">
        <v>6</v>
      </c>
      <c r="AH873" t="s">
        <v>5465</v>
      </c>
      <c r="AI873" t="s">
        <v>57</v>
      </c>
      <c r="AJ873" t="s">
        <v>3</v>
      </c>
      <c r="AK873" t="s">
        <v>5464</v>
      </c>
      <c r="AL873" t="s">
        <v>5463</v>
      </c>
    </row>
    <row r="874" spans="5:44" x14ac:dyDescent="0.25">
      <c r="I874" t="str">
        <f t="shared" si="71"/>
        <v>wh2</v>
      </c>
      <c r="J874" t="str">
        <f t="shared" si="72"/>
        <v/>
      </c>
      <c r="L874" t="str">
        <f t="shared" si="70"/>
        <v>NGM-057 / ALM-006 (MVS), NGH-057 / ALH-006 (AES)</v>
      </c>
      <c r="M874" t="str">
        <f t="shared" si="70"/>
        <v>19930426 (MVS), 19930604 (AES)</v>
      </c>
      <c r="N874" t="str">
        <f t="shared" si="70"/>
        <v>ワールドヒーローズ2</v>
      </c>
      <c r="O874" t="str">
        <f t="shared" si="70"/>
        <v/>
      </c>
      <c r="P874" t="str">
        <f t="shared" si="70"/>
        <v/>
      </c>
      <c r="T874" t="str">
        <f t="shared" si="73"/>
        <v/>
      </c>
      <c r="V874" t="str">
        <f t="shared" si="74"/>
        <v>MVS,AES</v>
      </c>
      <c r="W874" t="str">
        <f t="shared" si="74"/>
        <v>MVS,AES</v>
      </c>
      <c r="AG874" t="s">
        <v>6</v>
      </c>
      <c r="AH874" t="s">
        <v>5462</v>
      </c>
      <c r="AI874" t="s">
        <v>53</v>
      </c>
      <c r="AJ874" t="s">
        <v>3</v>
      </c>
      <c r="AK874" t="s">
        <v>5461</v>
      </c>
      <c r="AL874" t="s">
        <v>5460</v>
      </c>
    </row>
    <row r="875" spans="5:44" x14ac:dyDescent="0.25">
      <c r="E875" t="s">
        <v>5498</v>
      </c>
      <c r="F875" t="s">
        <v>5497</v>
      </c>
      <c r="G875" t="s">
        <v>5315</v>
      </c>
      <c r="H875" t="s">
        <v>3770</v>
      </c>
      <c r="I875" t="str">
        <f t="shared" si="71"/>
        <v>wh2h</v>
      </c>
      <c r="J875" t="str">
        <f t="shared" si="72"/>
        <v>wh2hserial</v>
      </c>
      <c r="K875" t="s">
        <v>1373</v>
      </c>
      <c r="L875" t="str">
        <f t="shared" si="70"/>
        <v>ALH-006, ALH-006</v>
      </c>
      <c r="M875" t="str">
        <f t="shared" si="70"/>
        <v>19930604</v>
      </c>
      <c r="N875" t="str">
        <f t="shared" si="70"/>
        <v>ワールドヒーローズ2</v>
      </c>
      <c r="O875" t="str">
        <f t="shared" si="70"/>
        <v/>
      </c>
      <c r="P875" t="str">
        <f t="shared" si="70"/>
        <v/>
      </c>
      <c r="Q875" t="s">
        <v>5496</v>
      </c>
      <c r="S875" t="s">
        <v>46</v>
      </c>
      <c r="T875" t="str">
        <f t="shared" si="73"/>
        <v>wh2hrelease</v>
      </c>
      <c r="U875" t="s">
        <v>35</v>
      </c>
      <c r="V875" t="str">
        <f t="shared" si="74"/>
        <v>AES</v>
      </c>
      <c r="W875" t="str">
        <f t="shared" si="74"/>
        <v>MVS,AES</v>
      </c>
      <c r="Y875" t="s">
        <v>45</v>
      </c>
      <c r="Z875" t="s">
        <v>44</v>
      </c>
      <c r="AB875" t="s">
        <v>43</v>
      </c>
      <c r="AC875" t="s">
        <v>42</v>
      </c>
      <c r="AD875" t="s">
        <v>41</v>
      </c>
      <c r="AE875" t="s">
        <v>3</v>
      </c>
      <c r="AG875" t="s">
        <v>40</v>
      </c>
      <c r="AH875" t="s">
        <v>5495</v>
      </c>
      <c r="AI875" t="s">
        <v>15</v>
      </c>
      <c r="AJ875" t="s">
        <v>15</v>
      </c>
      <c r="AK875" t="s">
        <v>5494</v>
      </c>
      <c r="AL875" t="s">
        <v>5493</v>
      </c>
      <c r="AR875" t="s">
        <v>5492</v>
      </c>
    </row>
    <row r="876" spans="5:44" x14ac:dyDescent="0.25">
      <c r="I876" t="str">
        <f t="shared" si="71"/>
        <v>wh2h</v>
      </c>
      <c r="J876" t="str">
        <f t="shared" si="72"/>
        <v>wh2hrelease</v>
      </c>
      <c r="K876" t="s">
        <v>46</v>
      </c>
      <c r="L876" t="str">
        <f t="shared" si="70"/>
        <v>ALH-006, ALH-006</v>
      </c>
      <c r="M876" t="str">
        <f t="shared" si="70"/>
        <v>19930604</v>
      </c>
      <c r="N876" t="str">
        <f t="shared" si="70"/>
        <v>ワールドヒーローズ2</v>
      </c>
      <c r="O876" t="str">
        <f t="shared" si="70"/>
        <v/>
      </c>
      <c r="P876" t="str">
        <f t="shared" si="70"/>
        <v/>
      </c>
      <c r="Q876" t="s">
        <v>5491</v>
      </c>
      <c r="T876" t="str">
        <f t="shared" si="73"/>
        <v/>
      </c>
      <c r="V876" t="str">
        <f t="shared" si="74"/>
        <v>AES</v>
      </c>
      <c r="W876" t="str">
        <f t="shared" si="74"/>
        <v>MVS,AES</v>
      </c>
      <c r="AG876" t="s">
        <v>224</v>
      </c>
      <c r="AI876" t="s">
        <v>9</v>
      </c>
      <c r="AJ876" t="s">
        <v>15</v>
      </c>
    </row>
    <row r="877" spans="5:44" x14ac:dyDescent="0.25">
      <c r="I877" t="str">
        <f t="shared" si="71"/>
        <v>wh2h</v>
      </c>
      <c r="J877" t="str">
        <f t="shared" si="72"/>
        <v>wh2halt_title</v>
      </c>
      <c r="K877" t="s">
        <v>1218</v>
      </c>
      <c r="L877" t="str">
        <f t="shared" si="70"/>
        <v>ALH-006, ALH-006</v>
      </c>
      <c r="M877" t="str">
        <f t="shared" si="70"/>
        <v>19930604</v>
      </c>
      <c r="N877" t="str">
        <f t="shared" si="70"/>
        <v>ワールドヒーローズ2</v>
      </c>
      <c r="O877" t="str">
        <f t="shared" si="70"/>
        <v/>
      </c>
      <c r="P877" t="str">
        <f t="shared" si="70"/>
        <v/>
      </c>
      <c r="Q877" t="s">
        <v>5490</v>
      </c>
      <c r="T877" t="str">
        <f t="shared" si="73"/>
        <v/>
      </c>
      <c r="V877" t="str">
        <f t="shared" si="74"/>
        <v>AES</v>
      </c>
      <c r="W877" t="str">
        <f t="shared" si="74"/>
        <v>MVS,AES</v>
      </c>
      <c r="AB877" t="s">
        <v>34</v>
      </c>
      <c r="AE877" t="s">
        <v>33</v>
      </c>
      <c r="AH877" t="s">
        <v>5489</v>
      </c>
      <c r="AI877" t="s">
        <v>9</v>
      </c>
      <c r="AJ877" t="s">
        <v>27</v>
      </c>
      <c r="AK877" t="s">
        <v>5488</v>
      </c>
      <c r="AL877" t="s">
        <v>5487</v>
      </c>
    </row>
    <row r="878" spans="5:44" x14ac:dyDescent="0.25">
      <c r="I878" t="str">
        <f t="shared" si="71"/>
        <v>wh2h</v>
      </c>
      <c r="J878" t="str">
        <f t="shared" si="72"/>
        <v/>
      </c>
      <c r="L878" t="str">
        <f t="shared" si="70"/>
        <v>ALH-006, ALH-006</v>
      </c>
      <c r="M878" t="str">
        <f t="shared" si="70"/>
        <v>19930604</v>
      </c>
      <c r="N878" t="str">
        <f t="shared" si="70"/>
        <v>ワールドヒーローズ2</v>
      </c>
      <c r="O878" t="str">
        <f t="shared" si="70"/>
        <v/>
      </c>
      <c r="P878" t="str">
        <f t="shared" si="70"/>
        <v/>
      </c>
      <c r="S878" t="s">
        <v>36</v>
      </c>
      <c r="T878" t="str">
        <f t="shared" si="73"/>
        <v>wh2hcompatibility</v>
      </c>
      <c r="U878" t="s">
        <v>218</v>
      </c>
      <c r="V878" t="str">
        <f t="shared" si="74"/>
        <v>AES</v>
      </c>
      <c r="W878" t="str">
        <f t="shared" si="74"/>
        <v>MVS,AES</v>
      </c>
      <c r="AB878" t="s">
        <v>29</v>
      </c>
      <c r="AE878" t="s">
        <v>27</v>
      </c>
      <c r="AH878" t="s">
        <v>5486</v>
      </c>
      <c r="AI878" t="s">
        <v>9</v>
      </c>
      <c r="AJ878" t="s">
        <v>27</v>
      </c>
      <c r="AK878" t="s">
        <v>5485</v>
      </c>
      <c r="AL878" t="s">
        <v>5484</v>
      </c>
    </row>
    <row r="879" spans="5:44" x14ac:dyDescent="0.25">
      <c r="I879" t="str">
        <f t="shared" si="71"/>
        <v>wh2h</v>
      </c>
      <c r="J879" t="str">
        <f t="shared" si="72"/>
        <v/>
      </c>
      <c r="L879" t="str">
        <f t="shared" si="70"/>
        <v>ALH-006, ALH-006</v>
      </c>
      <c r="M879" t="str">
        <f t="shared" si="70"/>
        <v>19930604</v>
      </c>
      <c r="N879" t="str">
        <f t="shared" si="70"/>
        <v>ワールドヒーローズ2</v>
      </c>
      <c r="O879" t="str">
        <f t="shared" si="70"/>
        <v/>
      </c>
      <c r="P879" t="str">
        <f t="shared" si="70"/>
        <v/>
      </c>
      <c r="T879" t="str">
        <f t="shared" si="73"/>
        <v/>
      </c>
      <c r="V879" t="str">
        <f t="shared" si="74"/>
        <v>AES</v>
      </c>
      <c r="W879" t="str">
        <f t="shared" si="74"/>
        <v>MVS,AES</v>
      </c>
      <c r="AB879" t="s">
        <v>24</v>
      </c>
      <c r="AE879" t="s">
        <v>11</v>
      </c>
      <c r="AH879" t="s">
        <v>5483</v>
      </c>
      <c r="AI879" t="s">
        <v>9</v>
      </c>
      <c r="AJ879" t="s">
        <v>3</v>
      </c>
      <c r="AK879" t="s">
        <v>5482</v>
      </c>
      <c r="AL879" t="s">
        <v>5481</v>
      </c>
    </row>
    <row r="880" spans="5:44" x14ac:dyDescent="0.25">
      <c r="I880" t="str">
        <f t="shared" si="71"/>
        <v>wh2h</v>
      </c>
      <c r="J880" t="str">
        <f t="shared" si="72"/>
        <v/>
      </c>
      <c r="L880" t="str">
        <f t="shared" si="70"/>
        <v>ALH-006, ALH-006</v>
      </c>
      <c r="M880" t="str">
        <f t="shared" si="70"/>
        <v>19930604</v>
      </c>
      <c r="N880" t="str">
        <f t="shared" si="70"/>
        <v>ワールドヒーローズ2</v>
      </c>
      <c r="O880" t="str">
        <f t="shared" si="70"/>
        <v/>
      </c>
      <c r="P880" t="str">
        <f t="shared" si="70"/>
        <v/>
      </c>
      <c r="T880" t="str">
        <f t="shared" si="73"/>
        <v/>
      </c>
      <c r="V880" t="str">
        <f t="shared" si="74"/>
        <v>AES</v>
      </c>
      <c r="W880" t="str">
        <f t="shared" si="74"/>
        <v>MVS,AES</v>
      </c>
      <c r="AH880" t="s">
        <v>5480</v>
      </c>
      <c r="AI880" t="s">
        <v>3</v>
      </c>
      <c r="AJ880" t="s">
        <v>3</v>
      </c>
      <c r="AK880" t="s">
        <v>5479</v>
      </c>
      <c r="AL880" t="s">
        <v>5478</v>
      </c>
    </row>
    <row r="881" spans="5:38" x14ac:dyDescent="0.25">
      <c r="I881" t="str">
        <f t="shared" si="71"/>
        <v>wh2h</v>
      </c>
      <c r="J881" t="str">
        <f t="shared" si="72"/>
        <v/>
      </c>
      <c r="L881" t="str">
        <f t="shared" si="70"/>
        <v>ALH-006, ALH-006</v>
      </c>
      <c r="M881" t="str">
        <f t="shared" si="70"/>
        <v>19930604</v>
      </c>
      <c r="N881" t="str">
        <f t="shared" si="70"/>
        <v>ワールドヒーローズ2</v>
      </c>
      <c r="O881" t="str">
        <f t="shared" si="70"/>
        <v/>
      </c>
      <c r="P881" t="str">
        <f t="shared" si="70"/>
        <v/>
      </c>
      <c r="T881" t="str">
        <f t="shared" si="73"/>
        <v/>
      </c>
      <c r="V881" t="str">
        <f t="shared" si="74"/>
        <v>AES</v>
      </c>
      <c r="W881" t="str">
        <f t="shared" si="74"/>
        <v>MVS,AES</v>
      </c>
      <c r="AB881" t="s">
        <v>12</v>
      </c>
      <c r="AE881" t="s">
        <v>250</v>
      </c>
      <c r="AG881" t="s">
        <v>6</v>
      </c>
      <c r="AH881" t="s">
        <v>5477</v>
      </c>
      <c r="AI881" t="s">
        <v>9</v>
      </c>
      <c r="AJ881" t="s">
        <v>3</v>
      </c>
      <c r="AK881" t="s">
        <v>5476</v>
      </c>
      <c r="AL881" t="s">
        <v>5475</v>
      </c>
    </row>
    <row r="882" spans="5:38" x14ac:dyDescent="0.25">
      <c r="I882" t="str">
        <f t="shared" si="71"/>
        <v>wh2h</v>
      </c>
      <c r="J882" t="str">
        <f t="shared" si="72"/>
        <v/>
      </c>
      <c r="L882" t="str">
        <f t="shared" ref="L882:P932" si="75">IFERROR(VLOOKUP($I882&amp;L$1,$J:$Q,8,0),"")</f>
        <v>ALH-006, ALH-006</v>
      </c>
      <c r="M882" t="str">
        <f t="shared" si="75"/>
        <v>19930604</v>
      </c>
      <c r="N882" t="str">
        <f t="shared" si="75"/>
        <v>ワールドヒーローズ2</v>
      </c>
      <c r="O882" t="str">
        <f t="shared" si="75"/>
        <v/>
      </c>
      <c r="P882" t="str">
        <f t="shared" si="75"/>
        <v/>
      </c>
      <c r="T882" t="str">
        <f t="shared" si="73"/>
        <v/>
      </c>
      <c r="V882" t="str">
        <f t="shared" si="74"/>
        <v>AES</v>
      </c>
      <c r="W882" t="str">
        <f t="shared" si="74"/>
        <v>MVS,AES</v>
      </c>
      <c r="AG882" t="s">
        <v>6</v>
      </c>
      <c r="AH882" t="s">
        <v>5474</v>
      </c>
      <c r="AI882" t="s">
        <v>4</v>
      </c>
      <c r="AJ882" t="s">
        <v>3</v>
      </c>
      <c r="AK882" t="s">
        <v>5473</v>
      </c>
      <c r="AL882" t="s">
        <v>5472</v>
      </c>
    </row>
    <row r="883" spans="5:38" x14ac:dyDescent="0.25">
      <c r="I883" t="str">
        <f t="shared" si="71"/>
        <v>wh2h</v>
      </c>
      <c r="J883" t="str">
        <f t="shared" si="72"/>
        <v/>
      </c>
      <c r="L883" t="str">
        <f t="shared" si="75"/>
        <v>ALH-006, ALH-006</v>
      </c>
      <c r="M883" t="str">
        <f t="shared" si="75"/>
        <v>19930604</v>
      </c>
      <c r="N883" t="str">
        <f t="shared" si="75"/>
        <v>ワールドヒーローズ2</v>
      </c>
      <c r="O883" t="str">
        <f t="shared" si="75"/>
        <v/>
      </c>
      <c r="P883" t="str">
        <f t="shared" si="75"/>
        <v/>
      </c>
      <c r="T883" t="str">
        <f t="shared" si="73"/>
        <v/>
      </c>
      <c r="V883" t="str">
        <f t="shared" si="74"/>
        <v>AES</v>
      </c>
      <c r="W883" t="str">
        <f t="shared" si="74"/>
        <v>MVS,AES</v>
      </c>
      <c r="AG883" t="s">
        <v>6</v>
      </c>
      <c r="AH883" t="s">
        <v>5471</v>
      </c>
      <c r="AI883" t="s">
        <v>11</v>
      </c>
      <c r="AJ883" t="s">
        <v>3</v>
      </c>
      <c r="AK883" t="s">
        <v>5470</v>
      </c>
      <c r="AL883" t="s">
        <v>5469</v>
      </c>
    </row>
    <row r="884" spans="5:38" x14ac:dyDescent="0.25">
      <c r="I884" t="str">
        <f t="shared" si="71"/>
        <v>wh2h</v>
      </c>
      <c r="J884" t="str">
        <f t="shared" si="72"/>
        <v/>
      </c>
      <c r="L884" t="str">
        <f t="shared" si="75"/>
        <v>ALH-006, ALH-006</v>
      </c>
      <c r="M884" t="str">
        <f t="shared" si="75"/>
        <v>19930604</v>
      </c>
      <c r="N884" t="str">
        <f t="shared" si="75"/>
        <v>ワールドヒーローズ2</v>
      </c>
      <c r="O884" t="str">
        <f t="shared" si="75"/>
        <v/>
      </c>
      <c r="P884" t="str">
        <f t="shared" si="75"/>
        <v/>
      </c>
      <c r="T884" t="str">
        <f t="shared" si="73"/>
        <v/>
      </c>
      <c r="V884" t="str">
        <f t="shared" si="74"/>
        <v>AES</v>
      </c>
      <c r="W884" t="str">
        <f t="shared" si="74"/>
        <v>MVS,AES</v>
      </c>
      <c r="AG884" t="s">
        <v>6</v>
      </c>
      <c r="AH884" t="s">
        <v>5468</v>
      </c>
      <c r="AI884" t="s">
        <v>932</v>
      </c>
      <c r="AJ884" t="s">
        <v>3</v>
      </c>
      <c r="AK884" t="s">
        <v>5467</v>
      </c>
      <c r="AL884" t="s">
        <v>5466</v>
      </c>
    </row>
    <row r="885" spans="5:38" x14ac:dyDescent="0.25">
      <c r="I885" t="str">
        <f t="shared" si="71"/>
        <v>wh2h</v>
      </c>
      <c r="J885" t="str">
        <f t="shared" si="72"/>
        <v/>
      </c>
      <c r="L885" t="str">
        <f t="shared" si="75"/>
        <v>ALH-006, ALH-006</v>
      </c>
      <c r="M885" t="str">
        <f t="shared" si="75"/>
        <v>19930604</v>
      </c>
      <c r="N885" t="str">
        <f t="shared" si="75"/>
        <v>ワールドヒーローズ2</v>
      </c>
      <c r="O885" t="str">
        <f t="shared" si="75"/>
        <v/>
      </c>
      <c r="P885" t="str">
        <f t="shared" si="75"/>
        <v/>
      </c>
      <c r="T885" t="str">
        <f t="shared" si="73"/>
        <v/>
      </c>
      <c r="V885" t="str">
        <f t="shared" si="74"/>
        <v>AES</v>
      </c>
      <c r="W885" t="str">
        <f t="shared" si="74"/>
        <v>MVS,AES</v>
      </c>
      <c r="AG885" t="s">
        <v>6</v>
      </c>
      <c r="AH885" t="s">
        <v>5465</v>
      </c>
      <c r="AI885" t="s">
        <v>57</v>
      </c>
      <c r="AJ885" t="s">
        <v>3</v>
      </c>
      <c r="AK885" t="s">
        <v>5464</v>
      </c>
      <c r="AL885" t="s">
        <v>5463</v>
      </c>
    </row>
    <row r="886" spans="5:38" x14ac:dyDescent="0.25">
      <c r="I886" t="str">
        <f t="shared" si="71"/>
        <v>wh2h</v>
      </c>
      <c r="J886" t="str">
        <f t="shared" si="72"/>
        <v/>
      </c>
      <c r="L886" t="str">
        <f t="shared" si="75"/>
        <v>ALH-006, ALH-006</v>
      </c>
      <c r="M886" t="str">
        <f t="shared" si="75"/>
        <v>19930604</v>
      </c>
      <c r="N886" t="str">
        <f t="shared" si="75"/>
        <v>ワールドヒーローズ2</v>
      </c>
      <c r="O886" t="str">
        <f t="shared" si="75"/>
        <v/>
      </c>
      <c r="P886" t="str">
        <f t="shared" si="75"/>
        <v/>
      </c>
      <c r="T886" t="str">
        <f t="shared" si="73"/>
        <v/>
      </c>
      <c r="V886" t="str">
        <f t="shared" si="74"/>
        <v>AES</v>
      </c>
      <c r="W886" t="str">
        <f t="shared" si="74"/>
        <v>MVS,AES</v>
      </c>
      <c r="AG886" t="s">
        <v>6</v>
      </c>
      <c r="AH886" t="s">
        <v>5462</v>
      </c>
      <c r="AI886" t="s">
        <v>53</v>
      </c>
      <c r="AJ886" t="s">
        <v>3</v>
      </c>
      <c r="AK886" t="s">
        <v>5461</v>
      </c>
      <c r="AL886" t="s">
        <v>5460</v>
      </c>
    </row>
    <row r="887" spans="5:38" x14ac:dyDescent="0.25">
      <c r="E887" t="s">
        <v>5452</v>
      </c>
      <c r="F887" t="s">
        <v>5459</v>
      </c>
      <c r="G887" t="s">
        <v>5315</v>
      </c>
      <c r="H887" t="s">
        <v>1912</v>
      </c>
      <c r="I887" t="str">
        <f t="shared" si="71"/>
        <v>fatfursp</v>
      </c>
      <c r="J887" t="str">
        <f t="shared" si="72"/>
        <v>fatfurspserial</v>
      </c>
      <c r="K887" t="s">
        <v>1373</v>
      </c>
      <c r="L887" t="str">
        <f t="shared" si="75"/>
        <v>NGM-058 (MVS), NGH-058 (AES)</v>
      </c>
      <c r="M887" t="str">
        <f t="shared" si="75"/>
        <v>19930916 (MVS), 19931222 (AES)</v>
      </c>
      <c r="N887" t="str">
        <f t="shared" si="75"/>
        <v>餓狼伝説 スペシャル</v>
      </c>
      <c r="O887" t="str">
        <f t="shared" si="75"/>
        <v/>
      </c>
      <c r="P887" t="str">
        <f t="shared" si="75"/>
        <v/>
      </c>
      <c r="Q887" t="s">
        <v>5456</v>
      </c>
      <c r="S887" t="s">
        <v>46</v>
      </c>
      <c r="T887" t="str">
        <f t="shared" si="73"/>
        <v>fatfursprelease</v>
      </c>
      <c r="U887" t="s">
        <v>218</v>
      </c>
      <c r="V887" t="str">
        <f t="shared" si="74"/>
        <v>MVS,AES</v>
      </c>
      <c r="W887" t="str">
        <f t="shared" si="74"/>
        <v>MVS,AES</v>
      </c>
      <c r="Y887" t="s">
        <v>45</v>
      </c>
      <c r="Z887" t="s">
        <v>44</v>
      </c>
      <c r="AB887" t="s">
        <v>43</v>
      </c>
      <c r="AC887" t="s">
        <v>42</v>
      </c>
      <c r="AD887" t="s">
        <v>41</v>
      </c>
      <c r="AE887" t="s">
        <v>4502</v>
      </c>
      <c r="AG887" t="s">
        <v>40</v>
      </c>
      <c r="AH887" t="s">
        <v>5455</v>
      </c>
      <c r="AI887" t="s">
        <v>9</v>
      </c>
      <c r="AJ887" t="s">
        <v>15</v>
      </c>
      <c r="AK887" t="s">
        <v>5454</v>
      </c>
      <c r="AL887" t="s">
        <v>5453</v>
      </c>
    </row>
    <row r="888" spans="5:38" x14ac:dyDescent="0.25">
      <c r="I888" t="str">
        <f t="shared" si="71"/>
        <v>fatfursp</v>
      </c>
      <c r="J888" t="str">
        <f t="shared" si="72"/>
        <v>fatfursprelease</v>
      </c>
      <c r="K888" t="s">
        <v>46</v>
      </c>
      <c r="L888" t="str">
        <f t="shared" si="75"/>
        <v>NGM-058 (MVS), NGH-058 (AES)</v>
      </c>
      <c r="M888" t="str">
        <f t="shared" si="75"/>
        <v>19930916 (MVS), 19931222 (AES)</v>
      </c>
      <c r="N888" t="str">
        <f t="shared" si="75"/>
        <v>餓狼伝説 スペシャル</v>
      </c>
      <c r="O888" t="str">
        <f t="shared" si="75"/>
        <v/>
      </c>
      <c r="P888" t="str">
        <f t="shared" si="75"/>
        <v/>
      </c>
      <c r="Q888" t="s">
        <v>5451</v>
      </c>
      <c r="T888" t="str">
        <f t="shared" si="73"/>
        <v/>
      </c>
      <c r="V888" t="str">
        <f t="shared" si="74"/>
        <v>MVS,AES</v>
      </c>
      <c r="W888" t="str">
        <f t="shared" si="74"/>
        <v>MVS,AES</v>
      </c>
      <c r="AG888" t="s">
        <v>40</v>
      </c>
      <c r="AH888" t="s">
        <v>5450</v>
      </c>
      <c r="AI888" t="s">
        <v>15</v>
      </c>
      <c r="AJ888" t="s">
        <v>92</v>
      </c>
      <c r="AK888" t="s">
        <v>5449</v>
      </c>
      <c r="AL888" t="s">
        <v>5448</v>
      </c>
    </row>
    <row r="889" spans="5:38" x14ac:dyDescent="0.25">
      <c r="I889" t="str">
        <f t="shared" si="71"/>
        <v>fatfursp</v>
      </c>
      <c r="J889" t="str">
        <f t="shared" si="72"/>
        <v>fatfurspalt_title</v>
      </c>
      <c r="K889" t="s">
        <v>1218</v>
      </c>
      <c r="L889" t="str">
        <f t="shared" si="75"/>
        <v>NGM-058 (MVS), NGH-058 (AES)</v>
      </c>
      <c r="M889" t="str">
        <f t="shared" si="75"/>
        <v>19930916 (MVS), 19931222 (AES)</v>
      </c>
      <c r="N889" t="str">
        <f t="shared" si="75"/>
        <v>餓狼伝説 スペシャル</v>
      </c>
      <c r="O889" t="str">
        <f t="shared" si="75"/>
        <v/>
      </c>
      <c r="P889" t="str">
        <f t="shared" si="75"/>
        <v/>
      </c>
      <c r="Q889" t="s">
        <v>5447</v>
      </c>
      <c r="T889" t="str">
        <f t="shared" si="73"/>
        <v/>
      </c>
      <c r="V889" t="str">
        <f t="shared" si="74"/>
        <v>MVS,AES</v>
      </c>
      <c r="W889" t="str">
        <f t="shared" si="74"/>
        <v>MVS,AES</v>
      </c>
      <c r="AB889" t="s">
        <v>34</v>
      </c>
      <c r="AE889" t="s">
        <v>33</v>
      </c>
      <c r="AH889" t="s">
        <v>5443</v>
      </c>
      <c r="AI889" t="s">
        <v>9</v>
      </c>
      <c r="AJ889" t="s">
        <v>27</v>
      </c>
      <c r="AK889" t="s">
        <v>5442</v>
      </c>
      <c r="AL889" t="s">
        <v>5441</v>
      </c>
    </row>
    <row r="890" spans="5:38" x14ac:dyDescent="0.25">
      <c r="I890" t="str">
        <f t="shared" si="71"/>
        <v>fatfursp</v>
      </c>
      <c r="J890" t="str">
        <f t="shared" si="72"/>
        <v/>
      </c>
      <c r="L890" t="str">
        <f t="shared" si="75"/>
        <v>NGM-058 (MVS), NGH-058 (AES)</v>
      </c>
      <c r="M890" t="str">
        <f t="shared" si="75"/>
        <v>19930916 (MVS), 19931222 (AES)</v>
      </c>
      <c r="N890" t="str">
        <f t="shared" si="75"/>
        <v>餓狼伝説 スペシャル</v>
      </c>
      <c r="O890" t="str">
        <f t="shared" si="75"/>
        <v/>
      </c>
      <c r="P890" t="str">
        <f t="shared" si="75"/>
        <v/>
      </c>
      <c r="S890" t="s">
        <v>36</v>
      </c>
      <c r="T890" t="str">
        <f t="shared" si="73"/>
        <v>fatfurspcompatibility</v>
      </c>
      <c r="U890" t="s">
        <v>218</v>
      </c>
      <c r="V890" t="str">
        <f t="shared" si="74"/>
        <v>MVS,AES</v>
      </c>
      <c r="W890" t="str">
        <f t="shared" si="74"/>
        <v>MVS,AES</v>
      </c>
      <c r="AB890" t="s">
        <v>29</v>
      </c>
      <c r="AE890" t="s">
        <v>27</v>
      </c>
      <c r="AH890" t="s">
        <v>5440</v>
      </c>
      <c r="AI890" t="s">
        <v>9</v>
      </c>
      <c r="AJ890" t="s">
        <v>27</v>
      </c>
      <c r="AK890" t="s">
        <v>5439</v>
      </c>
      <c r="AL890" t="s">
        <v>5438</v>
      </c>
    </row>
    <row r="891" spans="5:38" x14ac:dyDescent="0.25">
      <c r="I891" t="str">
        <f t="shared" si="71"/>
        <v>fatfursp</v>
      </c>
      <c r="J891" t="str">
        <f t="shared" si="72"/>
        <v/>
      </c>
      <c r="L891" t="str">
        <f t="shared" si="75"/>
        <v>NGM-058 (MVS), NGH-058 (AES)</v>
      </c>
      <c r="M891" t="str">
        <f t="shared" si="75"/>
        <v>19930916 (MVS), 19931222 (AES)</v>
      </c>
      <c r="N891" t="str">
        <f t="shared" si="75"/>
        <v>餓狼伝説 スペシャル</v>
      </c>
      <c r="O891" t="str">
        <f t="shared" si="75"/>
        <v/>
      </c>
      <c r="P891" t="str">
        <f t="shared" si="75"/>
        <v/>
      </c>
      <c r="T891" t="str">
        <f t="shared" si="73"/>
        <v/>
      </c>
      <c r="V891" t="str">
        <f t="shared" si="74"/>
        <v>MVS,AES</v>
      </c>
      <c r="W891" t="str">
        <f t="shared" si="74"/>
        <v>MVS,AES</v>
      </c>
      <c r="AB891" t="s">
        <v>24</v>
      </c>
      <c r="AE891" t="s">
        <v>23</v>
      </c>
      <c r="AH891" t="s">
        <v>5437</v>
      </c>
      <c r="AI891" t="s">
        <v>9</v>
      </c>
      <c r="AJ891" t="s">
        <v>3</v>
      </c>
      <c r="AK891" t="s">
        <v>5436</v>
      </c>
      <c r="AL891" t="s">
        <v>5435</v>
      </c>
    </row>
    <row r="892" spans="5:38" x14ac:dyDescent="0.25">
      <c r="I892" t="str">
        <f t="shared" si="71"/>
        <v>fatfursp</v>
      </c>
      <c r="J892" t="str">
        <f t="shared" si="72"/>
        <v/>
      </c>
      <c r="L892" t="str">
        <f t="shared" si="75"/>
        <v>NGM-058 (MVS), NGH-058 (AES)</v>
      </c>
      <c r="M892" t="str">
        <f t="shared" si="75"/>
        <v>19930916 (MVS), 19931222 (AES)</v>
      </c>
      <c r="N892" t="str">
        <f t="shared" si="75"/>
        <v>餓狼伝説 スペシャル</v>
      </c>
      <c r="O892" t="str">
        <f t="shared" si="75"/>
        <v/>
      </c>
      <c r="P892" t="str">
        <f t="shared" si="75"/>
        <v/>
      </c>
      <c r="T892" t="str">
        <f t="shared" si="73"/>
        <v/>
      </c>
      <c r="V892" t="str">
        <f t="shared" si="74"/>
        <v>MVS,AES</v>
      </c>
      <c r="W892" t="str">
        <f t="shared" si="74"/>
        <v>MVS,AES</v>
      </c>
      <c r="AH892" t="s">
        <v>5434</v>
      </c>
      <c r="AI892" t="s">
        <v>3</v>
      </c>
      <c r="AJ892" t="s">
        <v>3</v>
      </c>
      <c r="AK892" t="s">
        <v>5433</v>
      </c>
      <c r="AL892" t="s">
        <v>5432</v>
      </c>
    </row>
    <row r="893" spans="5:38" x14ac:dyDescent="0.25">
      <c r="I893" t="str">
        <f t="shared" si="71"/>
        <v>fatfursp</v>
      </c>
      <c r="J893" t="str">
        <f t="shared" si="72"/>
        <v/>
      </c>
      <c r="L893" t="str">
        <f t="shared" si="75"/>
        <v>NGM-058 (MVS), NGH-058 (AES)</v>
      </c>
      <c r="M893" t="str">
        <f t="shared" si="75"/>
        <v>19930916 (MVS), 19931222 (AES)</v>
      </c>
      <c r="N893" t="str">
        <f t="shared" si="75"/>
        <v>餓狼伝説 スペシャル</v>
      </c>
      <c r="O893" t="str">
        <f t="shared" si="75"/>
        <v/>
      </c>
      <c r="P893" t="str">
        <f t="shared" si="75"/>
        <v/>
      </c>
      <c r="T893" t="str">
        <f t="shared" si="73"/>
        <v/>
      </c>
      <c r="V893" t="str">
        <f t="shared" si="74"/>
        <v>MVS,AES</v>
      </c>
      <c r="W893" t="str">
        <f t="shared" si="74"/>
        <v>MVS,AES</v>
      </c>
      <c r="AH893" t="s">
        <v>5431</v>
      </c>
      <c r="AI893" t="s">
        <v>11</v>
      </c>
      <c r="AJ893" t="s">
        <v>15</v>
      </c>
      <c r="AK893" t="s">
        <v>5430</v>
      </c>
      <c r="AL893" t="s">
        <v>5429</v>
      </c>
    </row>
    <row r="894" spans="5:38" x14ac:dyDescent="0.25">
      <c r="I894" t="str">
        <f t="shared" si="71"/>
        <v>fatfursp</v>
      </c>
      <c r="J894" t="str">
        <f t="shared" si="72"/>
        <v/>
      </c>
      <c r="L894" t="str">
        <f t="shared" si="75"/>
        <v>NGM-058 (MVS), NGH-058 (AES)</v>
      </c>
      <c r="M894" t="str">
        <f t="shared" si="75"/>
        <v>19930916 (MVS), 19931222 (AES)</v>
      </c>
      <c r="N894" t="str">
        <f t="shared" si="75"/>
        <v>餓狼伝説 スペシャル</v>
      </c>
      <c r="O894" t="str">
        <f t="shared" si="75"/>
        <v/>
      </c>
      <c r="P894" t="str">
        <f t="shared" si="75"/>
        <v/>
      </c>
      <c r="T894" t="str">
        <f t="shared" si="73"/>
        <v/>
      </c>
      <c r="V894" t="str">
        <f t="shared" si="74"/>
        <v>MVS,AES</v>
      </c>
      <c r="W894" t="str">
        <f t="shared" si="74"/>
        <v>MVS,AES</v>
      </c>
      <c r="AB894" t="s">
        <v>12</v>
      </c>
      <c r="AE894" t="s">
        <v>250</v>
      </c>
      <c r="AG894" t="s">
        <v>6</v>
      </c>
      <c r="AH894" t="s">
        <v>5428</v>
      </c>
      <c r="AI894" t="s">
        <v>9</v>
      </c>
      <c r="AJ894" t="s">
        <v>3</v>
      </c>
      <c r="AK894" t="s">
        <v>5427</v>
      </c>
      <c r="AL894" t="s">
        <v>5426</v>
      </c>
    </row>
    <row r="895" spans="5:38" x14ac:dyDescent="0.25">
      <c r="I895" t="str">
        <f t="shared" si="71"/>
        <v>fatfursp</v>
      </c>
      <c r="J895" t="str">
        <f t="shared" si="72"/>
        <v/>
      </c>
      <c r="L895" t="str">
        <f t="shared" si="75"/>
        <v>NGM-058 (MVS), NGH-058 (AES)</v>
      </c>
      <c r="M895" t="str">
        <f t="shared" si="75"/>
        <v>19930916 (MVS), 19931222 (AES)</v>
      </c>
      <c r="N895" t="str">
        <f t="shared" si="75"/>
        <v>餓狼伝説 スペシャル</v>
      </c>
      <c r="O895" t="str">
        <f t="shared" si="75"/>
        <v/>
      </c>
      <c r="P895" t="str">
        <f t="shared" si="75"/>
        <v/>
      </c>
      <c r="T895" t="str">
        <f t="shared" si="73"/>
        <v/>
      </c>
      <c r="V895" t="str">
        <f t="shared" si="74"/>
        <v>MVS,AES</v>
      </c>
      <c r="W895" t="str">
        <f t="shared" si="74"/>
        <v>MVS,AES</v>
      </c>
      <c r="AG895" t="s">
        <v>6</v>
      </c>
      <c r="AH895" t="s">
        <v>5425</v>
      </c>
      <c r="AI895" t="s">
        <v>4</v>
      </c>
      <c r="AJ895" t="s">
        <v>3</v>
      </c>
      <c r="AK895" t="s">
        <v>5424</v>
      </c>
      <c r="AL895" t="s">
        <v>5423</v>
      </c>
    </row>
    <row r="896" spans="5:38" x14ac:dyDescent="0.25">
      <c r="I896" t="str">
        <f t="shared" si="71"/>
        <v>fatfursp</v>
      </c>
      <c r="J896" t="str">
        <f t="shared" si="72"/>
        <v/>
      </c>
      <c r="L896" t="str">
        <f t="shared" si="75"/>
        <v>NGM-058 (MVS), NGH-058 (AES)</v>
      </c>
      <c r="M896" t="str">
        <f t="shared" si="75"/>
        <v>19930916 (MVS), 19931222 (AES)</v>
      </c>
      <c r="N896" t="str">
        <f t="shared" si="75"/>
        <v>餓狼伝説 スペシャル</v>
      </c>
      <c r="O896" t="str">
        <f t="shared" si="75"/>
        <v/>
      </c>
      <c r="P896" t="str">
        <f t="shared" si="75"/>
        <v/>
      </c>
      <c r="T896" t="str">
        <f t="shared" si="73"/>
        <v/>
      </c>
      <c r="V896" t="str">
        <f t="shared" si="74"/>
        <v>MVS,AES</v>
      </c>
      <c r="W896" t="str">
        <f t="shared" si="74"/>
        <v>MVS,AES</v>
      </c>
      <c r="AG896" t="s">
        <v>6</v>
      </c>
      <c r="AH896" t="s">
        <v>5422</v>
      </c>
      <c r="AI896" t="s">
        <v>11</v>
      </c>
      <c r="AJ896" t="s">
        <v>3</v>
      </c>
      <c r="AK896" t="s">
        <v>5421</v>
      </c>
      <c r="AL896" t="s">
        <v>5420</v>
      </c>
    </row>
    <row r="897" spans="5:44" x14ac:dyDescent="0.25">
      <c r="I897" t="str">
        <f t="shared" si="71"/>
        <v>fatfursp</v>
      </c>
      <c r="J897" t="str">
        <f t="shared" si="72"/>
        <v/>
      </c>
      <c r="L897" t="str">
        <f t="shared" si="75"/>
        <v>NGM-058 (MVS), NGH-058 (AES)</v>
      </c>
      <c r="M897" t="str">
        <f t="shared" si="75"/>
        <v>19930916 (MVS), 19931222 (AES)</v>
      </c>
      <c r="N897" t="str">
        <f t="shared" si="75"/>
        <v>餓狼伝説 スペシャル</v>
      </c>
      <c r="O897" t="str">
        <f t="shared" si="75"/>
        <v/>
      </c>
      <c r="P897" t="str">
        <f t="shared" si="75"/>
        <v/>
      </c>
      <c r="T897" t="str">
        <f t="shared" si="73"/>
        <v/>
      </c>
      <c r="V897" t="str">
        <f t="shared" si="74"/>
        <v>MVS,AES</v>
      </c>
      <c r="W897" t="str">
        <f t="shared" si="74"/>
        <v>MVS,AES</v>
      </c>
      <c r="AG897" t="s">
        <v>6</v>
      </c>
      <c r="AH897" t="s">
        <v>5419</v>
      </c>
      <c r="AI897" t="s">
        <v>932</v>
      </c>
      <c r="AJ897" t="s">
        <v>3</v>
      </c>
      <c r="AK897" t="s">
        <v>5418</v>
      </c>
      <c r="AL897" t="s">
        <v>5417</v>
      </c>
    </row>
    <row r="898" spans="5:44" x14ac:dyDescent="0.25">
      <c r="I898" t="str">
        <f t="shared" si="71"/>
        <v>fatfursp</v>
      </c>
      <c r="J898" t="str">
        <f t="shared" si="72"/>
        <v/>
      </c>
      <c r="L898" t="str">
        <f t="shared" si="75"/>
        <v>NGM-058 (MVS), NGH-058 (AES)</v>
      </c>
      <c r="M898" t="str">
        <f t="shared" si="75"/>
        <v>19930916 (MVS), 19931222 (AES)</v>
      </c>
      <c r="N898" t="str">
        <f t="shared" si="75"/>
        <v>餓狼伝説 スペシャル</v>
      </c>
      <c r="O898" t="str">
        <f t="shared" si="75"/>
        <v/>
      </c>
      <c r="P898" t="str">
        <f t="shared" si="75"/>
        <v/>
      </c>
      <c r="T898" t="str">
        <f t="shared" si="73"/>
        <v/>
      </c>
      <c r="V898" t="str">
        <f t="shared" si="74"/>
        <v>MVS,AES</v>
      </c>
      <c r="W898" t="str">
        <f t="shared" si="74"/>
        <v>MVS,AES</v>
      </c>
      <c r="AG898" t="s">
        <v>6</v>
      </c>
      <c r="AH898" t="s">
        <v>5416</v>
      </c>
      <c r="AI898" t="s">
        <v>57</v>
      </c>
      <c r="AJ898" t="s">
        <v>3</v>
      </c>
      <c r="AK898" t="s">
        <v>5415</v>
      </c>
      <c r="AL898" t="s">
        <v>5414</v>
      </c>
    </row>
    <row r="899" spans="5:44" x14ac:dyDescent="0.25">
      <c r="I899" t="str">
        <f t="shared" ref="I899:I962" si="76">IF(E899="",I898,E899)</f>
        <v>fatfursp</v>
      </c>
      <c r="J899" t="str">
        <f t="shared" ref="J899:J962" si="77">IF(K899="","",I899&amp;K899)</f>
        <v/>
      </c>
      <c r="L899" t="str">
        <f t="shared" si="75"/>
        <v>NGM-058 (MVS), NGH-058 (AES)</v>
      </c>
      <c r="M899" t="str">
        <f t="shared" si="75"/>
        <v>19930916 (MVS), 19931222 (AES)</v>
      </c>
      <c r="N899" t="str">
        <f t="shared" si="75"/>
        <v>餓狼伝説 スペシャル</v>
      </c>
      <c r="O899" t="str">
        <f t="shared" si="75"/>
        <v/>
      </c>
      <c r="P899" t="str">
        <f t="shared" si="75"/>
        <v/>
      </c>
      <c r="T899" t="str">
        <f t="shared" ref="T899:T962" si="78">IF(S899="","",I899&amp;S899)</f>
        <v/>
      </c>
      <c r="V899" t="str">
        <f t="shared" si="74"/>
        <v>MVS,AES</v>
      </c>
      <c r="W899" t="str">
        <f t="shared" si="74"/>
        <v>MVS,AES</v>
      </c>
      <c r="AG899" t="s">
        <v>6</v>
      </c>
      <c r="AH899" t="s">
        <v>5413</v>
      </c>
      <c r="AI899" t="s">
        <v>53</v>
      </c>
      <c r="AJ899" t="s">
        <v>3</v>
      </c>
      <c r="AK899" t="s">
        <v>5412</v>
      </c>
      <c r="AL899" t="s">
        <v>5411</v>
      </c>
    </row>
    <row r="900" spans="5:44" x14ac:dyDescent="0.25">
      <c r="E900" t="s">
        <v>5458</v>
      </c>
      <c r="F900" t="s">
        <v>5457</v>
      </c>
      <c r="G900" t="s">
        <v>5315</v>
      </c>
      <c r="H900" t="s">
        <v>1912</v>
      </c>
      <c r="I900" t="str">
        <f t="shared" si="76"/>
        <v>fatfurspa</v>
      </c>
      <c r="J900" t="str">
        <f t="shared" si="77"/>
        <v>fatfurspaserial</v>
      </c>
      <c r="K900" t="s">
        <v>1373</v>
      </c>
      <c r="L900" t="str">
        <f t="shared" si="75"/>
        <v>NGM-058 (MVS), NGH-058 (AES)</v>
      </c>
      <c r="M900" t="str">
        <f t="shared" si="75"/>
        <v>19930916 (MVS), 19931222 (AES)</v>
      </c>
      <c r="N900" t="str">
        <f t="shared" si="75"/>
        <v>餓狼伝説 スペシャル</v>
      </c>
      <c r="O900" t="str">
        <f t="shared" si="75"/>
        <v/>
      </c>
      <c r="P900" t="str">
        <f t="shared" si="75"/>
        <v/>
      </c>
      <c r="Q900" t="s">
        <v>5456</v>
      </c>
      <c r="S900" t="s">
        <v>46</v>
      </c>
      <c r="T900" t="str">
        <f t="shared" si="78"/>
        <v>fatfursparelease</v>
      </c>
      <c r="U900" t="s">
        <v>218</v>
      </c>
      <c r="V900" t="str">
        <f t="shared" si="74"/>
        <v>MVS,AES</v>
      </c>
      <c r="W900" t="str">
        <f t="shared" si="74"/>
        <v>MVS,AES</v>
      </c>
      <c r="Y900" t="s">
        <v>45</v>
      </c>
      <c r="Z900" t="s">
        <v>44</v>
      </c>
      <c r="AB900" t="s">
        <v>43</v>
      </c>
      <c r="AC900" t="s">
        <v>42</v>
      </c>
      <c r="AD900" t="s">
        <v>41</v>
      </c>
      <c r="AE900" t="s">
        <v>4502</v>
      </c>
      <c r="AG900" t="s">
        <v>40</v>
      </c>
      <c r="AH900" t="s">
        <v>5455</v>
      </c>
      <c r="AI900" t="s">
        <v>9</v>
      </c>
      <c r="AJ900" t="s">
        <v>15</v>
      </c>
      <c r="AK900" t="s">
        <v>5454</v>
      </c>
      <c r="AL900" t="s">
        <v>5453</v>
      </c>
      <c r="AR900" t="s">
        <v>5452</v>
      </c>
    </row>
    <row r="901" spans="5:44" x14ac:dyDescent="0.25">
      <c r="I901" t="str">
        <f t="shared" si="76"/>
        <v>fatfurspa</v>
      </c>
      <c r="J901" t="str">
        <f t="shared" si="77"/>
        <v>fatfursparelease</v>
      </c>
      <c r="K901" t="s">
        <v>46</v>
      </c>
      <c r="L901" t="str">
        <f t="shared" si="75"/>
        <v>NGM-058 (MVS), NGH-058 (AES)</v>
      </c>
      <c r="M901" t="str">
        <f t="shared" si="75"/>
        <v>19930916 (MVS), 19931222 (AES)</v>
      </c>
      <c r="N901" t="str">
        <f t="shared" si="75"/>
        <v>餓狼伝説 スペシャル</v>
      </c>
      <c r="O901" t="str">
        <f t="shared" si="75"/>
        <v/>
      </c>
      <c r="P901" t="str">
        <f t="shared" si="75"/>
        <v/>
      </c>
      <c r="Q901" t="s">
        <v>5451</v>
      </c>
      <c r="T901" t="str">
        <f t="shared" si="78"/>
        <v/>
      </c>
      <c r="V901" t="str">
        <f t="shared" si="74"/>
        <v>MVS,AES</v>
      </c>
      <c r="W901" t="str">
        <f t="shared" si="74"/>
        <v>MVS,AES</v>
      </c>
      <c r="AG901" t="s">
        <v>40</v>
      </c>
      <c r="AH901" t="s">
        <v>5450</v>
      </c>
      <c r="AI901" t="s">
        <v>15</v>
      </c>
      <c r="AJ901" t="s">
        <v>92</v>
      </c>
      <c r="AK901" t="s">
        <v>5449</v>
      </c>
      <c r="AL901" t="s">
        <v>5448</v>
      </c>
    </row>
    <row r="902" spans="5:44" x14ac:dyDescent="0.25">
      <c r="I902" t="str">
        <f t="shared" si="76"/>
        <v>fatfurspa</v>
      </c>
      <c r="J902" t="str">
        <f t="shared" si="77"/>
        <v>fatfurspaalt_title</v>
      </c>
      <c r="K902" t="s">
        <v>1218</v>
      </c>
      <c r="L902" t="str">
        <f t="shared" si="75"/>
        <v>NGM-058 (MVS), NGH-058 (AES)</v>
      </c>
      <c r="M902" t="str">
        <f t="shared" si="75"/>
        <v>19930916 (MVS), 19931222 (AES)</v>
      </c>
      <c r="N902" t="str">
        <f t="shared" si="75"/>
        <v>餓狼伝説 スペシャル</v>
      </c>
      <c r="O902" t="str">
        <f t="shared" si="75"/>
        <v/>
      </c>
      <c r="P902" t="str">
        <f t="shared" si="75"/>
        <v/>
      </c>
      <c r="Q902" t="s">
        <v>5447</v>
      </c>
      <c r="T902" t="str">
        <f t="shared" si="78"/>
        <v/>
      </c>
      <c r="V902" t="str">
        <f t="shared" si="74"/>
        <v>MVS,AES</v>
      </c>
      <c r="W902" t="str">
        <f t="shared" si="74"/>
        <v>MVS,AES</v>
      </c>
      <c r="AG902" t="s">
        <v>40</v>
      </c>
      <c r="AH902" t="s">
        <v>5446</v>
      </c>
      <c r="AI902" t="s">
        <v>9</v>
      </c>
      <c r="AJ902" t="s">
        <v>92</v>
      </c>
      <c r="AK902" t="s">
        <v>5445</v>
      </c>
      <c r="AL902" t="s">
        <v>5444</v>
      </c>
    </row>
    <row r="903" spans="5:44" x14ac:dyDescent="0.25">
      <c r="I903" t="str">
        <f t="shared" si="76"/>
        <v>fatfurspa</v>
      </c>
      <c r="J903" t="str">
        <f t="shared" si="77"/>
        <v/>
      </c>
      <c r="L903" t="str">
        <f t="shared" si="75"/>
        <v>NGM-058 (MVS), NGH-058 (AES)</v>
      </c>
      <c r="M903" t="str">
        <f t="shared" si="75"/>
        <v>19930916 (MVS), 19931222 (AES)</v>
      </c>
      <c r="N903" t="str">
        <f t="shared" si="75"/>
        <v>餓狼伝説 スペシャル</v>
      </c>
      <c r="O903" t="str">
        <f t="shared" si="75"/>
        <v/>
      </c>
      <c r="P903" t="str">
        <f t="shared" si="75"/>
        <v/>
      </c>
      <c r="S903" t="s">
        <v>36</v>
      </c>
      <c r="T903" t="str">
        <f t="shared" si="78"/>
        <v>fatfurspacompatibility</v>
      </c>
      <c r="U903" t="s">
        <v>218</v>
      </c>
      <c r="V903" t="str">
        <f t="shared" si="74"/>
        <v>MVS,AES</v>
      </c>
      <c r="W903" t="str">
        <f t="shared" si="74"/>
        <v>MVS,AES</v>
      </c>
      <c r="AB903" t="s">
        <v>34</v>
      </c>
      <c r="AE903" t="s">
        <v>33</v>
      </c>
      <c r="AH903" t="s">
        <v>5443</v>
      </c>
      <c r="AI903" t="s">
        <v>9</v>
      </c>
      <c r="AJ903" t="s">
        <v>27</v>
      </c>
      <c r="AK903" t="s">
        <v>5442</v>
      </c>
      <c r="AL903" t="s">
        <v>5441</v>
      </c>
    </row>
    <row r="904" spans="5:44" x14ac:dyDescent="0.25">
      <c r="I904" t="str">
        <f t="shared" si="76"/>
        <v>fatfurspa</v>
      </c>
      <c r="J904" t="str">
        <f t="shared" si="77"/>
        <v/>
      </c>
      <c r="L904" t="str">
        <f t="shared" si="75"/>
        <v>NGM-058 (MVS), NGH-058 (AES)</v>
      </c>
      <c r="M904" t="str">
        <f t="shared" si="75"/>
        <v>19930916 (MVS), 19931222 (AES)</v>
      </c>
      <c r="N904" t="str">
        <f t="shared" si="75"/>
        <v>餓狼伝説 スペシャル</v>
      </c>
      <c r="O904" t="str">
        <f t="shared" si="75"/>
        <v/>
      </c>
      <c r="P904" t="str">
        <f t="shared" si="75"/>
        <v/>
      </c>
      <c r="T904" t="str">
        <f t="shared" si="78"/>
        <v/>
      </c>
      <c r="V904" t="str">
        <f t="shared" si="74"/>
        <v>MVS,AES</v>
      </c>
      <c r="W904" t="str">
        <f t="shared" si="74"/>
        <v>MVS,AES</v>
      </c>
      <c r="AB904" t="s">
        <v>29</v>
      </c>
      <c r="AE904" t="s">
        <v>27</v>
      </c>
      <c r="AH904" t="s">
        <v>5440</v>
      </c>
      <c r="AI904" t="s">
        <v>9</v>
      </c>
      <c r="AJ904" t="s">
        <v>27</v>
      </c>
      <c r="AK904" t="s">
        <v>5439</v>
      </c>
      <c r="AL904" t="s">
        <v>5438</v>
      </c>
    </row>
    <row r="905" spans="5:44" x14ac:dyDescent="0.25">
      <c r="I905" t="str">
        <f t="shared" si="76"/>
        <v>fatfurspa</v>
      </c>
      <c r="J905" t="str">
        <f t="shared" si="77"/>
        <v/>
      </c>
      <c r="L905" t="str">
        <f t="shared" si="75"/>
        <v>NGM-058 (MVS), NGH-058 (AES)</v>
      </c>
      <c r="M905" t="str">
        <f t="shared" si="75"/>
        <v>19930916 (MVS), 19931222 (AES)</v>
      </c>
      <c r="N905" t="str">
        <f t="shared" si="75"/>
        <v>餓狼伝説 スペシャル</v>
      </c>
      <c r="O905" t="str">
        <f t="shared" si="75"/>
        <v/>
      </c>
      <c r="P905" t="str">
        <f t="shared" si="75"/>
        <v/>
      </c>
      <c r="T905" t="str">
        <f t="shared" si="78"/>
        <v/>
      </c>
      <c r="V905" t="str">
        <f t="shared" si="74"/>
        <v>MVS,AES</v>
      </c>
      <c r="W905" t="str">
        <f t="shared" si="74"/>
        <v>MVS,AES</v>
      </c>
      <c r="AB905" t="s">
        <v>24</v>
      </c>
      <c r="AE905" t="s">
        <v>23</v>
      </c>
      <c r="AH905" t="s">
        <v>5437</v>
      </c>
      <c r="AI905" t="s">
        <v>9</v>
      </c>
      <c r="AJ905" t="s">
        <v>3</v>
      </c>
      <c r="AK905" t="s">
        <v>5436</v>
      </c>
      <c r="AL905" t="s">
        <v>5435</v>
      </c>
    </row>
    <row r="906" spans="5:44" x14ac:dyDescent="0.25">
      <c r="I906" t="str">
        <f t="shared" si="76"/>
        <v>fatfurspa</v>
      </c>
      <c r="J906" t="str">
        <f t="shared" si="77"/>
        <v/>
      </c>
      <c r="L906" t="str">
        <f t="shared" si="75"/>
        <v>NGM-058 (MVS), NGH-058 (AES)</v>
      </c>
      <c r="M906" t="str">
        <f t="shared" si="75"/>
        <v>19930916 (MVS), 19931222 (AES)</v>
      </c>
      <c r="N906" t="str">
        <f t="shared" si="75"/>
        <v>餓狼伝説 スペシャル</v>
      </c>
      <c r="O906" t="str">
        <f t="shared" si="75"/>
        <v/>
      </c>
      <c r="P906" t="str">
        <f t="shared" si="75"/>
        <v/>
      </c>
      <c r="T906" t="str">
        <f t="shared" si="78"/>
        <v/>
      </c>
      <c r="V906" t="str">
        <f t="shared" si="74"/>
        <v>MVS,AES</v>
      </c>
      <c r="W906" t="str">
        <f t="shared" si="74"/>
        <v>MVS,AES</v>
      </c>
      <c r="AH906" t="s">
        <v>5434</v>
      </c>
      <c r="AI906" t="s">
        <v>3</v>
      </c>
      <c r="AJ906" t="s">
        <v>3</v>
      </c>
      <c r="AK906" t="s">
        <v>5433</v>
      </c>
      <c r="AL906" t="s">
        <v>5432</v>
      </c>
    </row>
    <row r="907" spans="5:44" x14ac:dyDescent="0.25">
      <c r="I907" t="str">
        <f t="shared" si="76"/>
        <v>fatfurspa</v>
      </c>
      <c r="J907" t="str">
        <f t="shared" si="77"/>
        <v/>
      </c>
      <c r="L907" t="str">
        <f t="shared" si="75"/>
        <v>NGM-058 (MVS), NGH-058 (AES)</v>
      </c>
      <c r="M907" t="str">
        <f t="shared" si="75"/>
        <v>19930916 (MVS), 19931222 (AES)</v>
      </c>
      <c r="N907" t="str">
        <f t="shared" si="75"/>
        <v>餓狼伝説 スペシャル</v>
      </c>
      <c r="O907" t="str">
        <f t="shared" si="75"/>
        <v/>
      </c>
      <c r="P907" t="str">
        <f t="shared" si="75"/>
        <v/>
      </c>
      <c r="T907" t="str">
        <f t="shared" si="78"/>
        <v/>
      </c>
      <c r="V907" t="str">
        <f t="shared" si="74"/>
        <v>MVS,AES</v>
      </c>
      <c r="W907" t="str">
        <f t="shared" si="74"/>
        <v>MVS,AES</v>
      </c>
      <c r="AH907" t="s">
        <v>5431</v>
      </c>
      <c r="AI907" t="s">
        <v>11</v>
      </c>
      <c r="AJ907" t="s">
        <v>15</v>
      </c>
      <c r="AK907" t="s">
        <v>5430</v>
      </c>
      <c r="AL907" t="s">
        <v>5429</v>
      </c>
    </row>
    <row r="908" spans="5:44" x14ac:dyDescent="0.25">
      <c r="I908" t="str">
        <f t="shared" si="76"/>
        <v>fatfurspa</v>
      </c>
      <c r="J908" t="str">
        <f t="shared" si="77"/>
        <v/>
      </c>
      <c r="L908" t="str">
        <f t="shared" si="75"/>
        <v>NGM-058 (MVS), NGH-058 (AES)</v>
      </c>
      <c r="M908" t="str">
        <f t="shared" si="75"/>
        <v>19930916 (MVS), 19931222 (AES)</v>
      </c>
      <c r="N908" t="str">
        <f t="shared" si="75"/>
        <v>餓狼伝説 スペシャル</v>
      </c>
      <c r="O908" t="str">
        <f t="shared" si="75"/>
        <v/>
      </c>
      <c r="P908" t="str">
        <f t="shared" si="75"/>
        <v/>
      </c>
      <c r="T908" t="str">
        <f t="shared" si="78"/>
        <v/>
      </c>
      <c r="V908" t="str">
        <f t="shared" si="74"/>
        <v>MVS,AES</v>
      </c>
      <c r="W908" t="str">
        <f t="shared" si="74"/>
        <v>MVS,AES</v>
      </c>
      <c r="AB908" t="s">
        <v>12</v>
      </c>
      <c r="AE908" t="s">
        <v>250</v>
      </c>
      <c r="AG908" t="s">
        <v>6</v>
      </c>
      <c r="AH908" t="s">
        <v>5428</v>
      </c>
      <c r="AI908" t="s">
        <v>9</v>
      </c>
      <c r="AJ908" t="s">
        <v>3</v>
      </c>
      <c r="AK908" t="s">
        <v>5427</v>
      </c>
      <c r="AL908" t="s">
        <v>5426</v>
      </c>
    </row>
    <row r="909" spans="5:44" x14ac:dyDescent="0.25">
      <c r="I909" t="str">
        <f t="shared" si="76"/>
        <v>fatfurspa</v>
      </c>
      <c r="J909" t="str">
        <f t="shared" si="77"/>
        <v/>
      </c>
      <c r="L909" t="str">
        <f t="shared" si="75"/>
        <v>NGM-058 (MVS), NGH-058 (AES)</v>
      </c>
      <c r="M909" t="str">
        <f t="shared" si="75"/>
        <v>19930916 (MVS), 19931222 (AES)</v>
      </c>
      <c r="N909" t="str">
        <f t="shared" si="75"/>
        <v>餓狼伝説 スペシャル</v>
      </c>
      <c r="O909" t="str">
        <f t="shared" si="75"/>
        <v/>
      </c>
      <c r="P909" t="str">
        <f t="shared" si="75"/>
        <v/>
      </c>
      <c r="T909" t="str">
        <f t="shared" si="78"/>
        <v/>
      </c>
      <c r="V909" t="str">
        <f t="shared" si="74"/>
        <v>MVS,AES</v>
      </c>
      <c r="W909" t="str">
        <f t="shared" si="74"/>
        <v>MVS,AES</v>
      </c>
      <c r="AG909" t="s">
        <v>6</v>
      </c>
      <c r="AH909" t="s">
        <v>5425</v>
      </c>
      <c r="AI909" t="s">
        <v>4</v>
      </c>
      <c r="AJ909" t="s">
        <v>3</v>
      </c>
      <c r="AK909" t="s">
        <v>5424</v>
      </c>
      <c r="AL909" t="s">
        <v>5423</v>
      </c>
    </row>
    <row r="910" spans="5:44" x14ac:dyDescent="0.25">
      <c r="I910" t="str">
        <f t="shared" si="76"/>
        <v>fatfurspa</v>
      </c>
      <c r="J910" t="str">
        <f t="shared" si="77"/>
        <v/>
      </c>
      <c r="L910" t="str">
        <f t="shared" si="75"/>
        <v>NGM-058 (MVS), NGH-058 (AES)</v>
      </c>
      <c r="M910" t="str">
        <f t="shared" si="75"/>
        <v>19930916 (MVS), 19931222 (AES)</v>
      </c>
      <c r="N910" t="str">
        <f t="shared" si="75"/>
        <v>餓狼伝説 スペシャル</v>
      </c>
      <c r="O910" t="str">
        <f t="shared" si="75"/>
        <v/>
      </c>
      <c r="P910" t="str">
        <f t="shared" si="75"/>
        <v/>
      </c>
      <c r="T910" t="str">
        <f t="shared" si="78"/>
        <v/>
      </c>
      <c r="V910" t="str">
        <f t="shared" si="74"/>
        <v>MVS,AES</v>
      </c>
      <c r="W910" t="str">
        <f t="shared" si="74"/>
        <v>MVS,AES</v>
      </c>
      <c r="AG910" t="s">
        <v>6</v>
      </c>
      <c r="AH910" t="s">
        <v>5422</v>
      </c>
      <c r="AI910" t="s">
        <v>11</v>
      </c>
      <c r="AJ910" t="s">
        <v>3</v>
      </c>
      <c r="AK910" t="s">
        <v>5421</v>
      </c>
      <c r="AL910" t="s">
        <v>5420</v>
      </c>
    </row>
    <row r="911" spans="5:44" x14ac:dyDescent="0.25">
      <c r="I911" t="str">
        <f t="shared" si="76"/>
        <v>fatfurspa</v>
      </c>
      <c r="J911" t="str">
        <f t="shared" si="77"/>
        <v/>
      </c>
      <c r="L911" t="str">
        <f t="shared" si="75"/>
        <v>NGM-058 (MVS), NGH-058 (AES)</v>
      </c>
      <c r="M911" t="str">
        <f t="shared" si="75"/>
        <v>19930916 (MVS), 19931222 (AES)</v>
      </c>
      <c r="N911" t="str">
        <f t="shared" si="75"/>
        <v>餓狼伝説 スペシャル</v>
      </c>
      <c r="O911" t="str">
        <f t="shared" si="75"/>
        <v/>
      </c>
      <c r="P911" t="str">
        <f t="shared" si="75"/>
        <v/>
      </c>
      <c r="T911" t="str">
        <f t="shared" si="78"/>
        <v/>
      </c>
      <c r="V911" t="str">
        <f t="shared" si="74"/>
        <v>MVS,AES</v>
      </c>
      <c r="W911" t="str">
        <f t="shared" si="74"/>
        <v>MVS,AES</v>
      </c>
      <c r="AG911" t="s">
        <v>6</v>
      </c>
      <c r="AH911" t="s">
        <v>5419</v>
      </c>
      <c r="AI911" t="s">
        <v>932</v>
      </c>
      <c r="AJ911" t="s">
        <v>3</v>
      </c>
      <c r="AK911" t="s">
        <v>5418</v>
      </c>
      <c r="AL911" t="s">
        <v>5417</v>
      </c>
    </row>
    <row r="912" spans="5:44" x14ac:dyDescent="0.25">
      <c r="I912" t="str">
        <f t="shared" si="76"/>
        <v>fatfurspa</v>
      </c>
      <c r="J912" t="str">
        <f t="shared" si="77"/>
        <v/>
      </c>
      <c r="L912" t="str">
        <f t="shared" si="75"/>
        <v>NGM-058 (MVS), NGH-058 (AES)</v>
      </c>
      <c r="M912" t="str">
        <f t="shared" si="75"/>
        <v>19930916 (MVS), 19931222 (AES)</v>
      </c>
      <c r="N912" t="str">
        <f t="shared" si="75"/>
        <v>餓狼伝説 スペシャル</v>
      </c>
      <c r="O912" t="str">
        <f t="shared" si="75"/>
        <v/>
      </c>
      <c r="P912" t="str">
        <f t="shared" si="75"/>
        <v/>
      </c>
      <c r="T912" t="str">
        <f t="shared" si="78"/>
        <v/>
      </c>
      <c r="V912" t="str">
        <f t="shared" si="74"/>
        <v>MVS,AES</v>
      </c>
      <c r="W912" t="str">
        <f t="shared" si="74"/>
        <v>MVS,AES</v>
      </c>
      <c r="AG912" t="s">
        <v>6</v>
      </c>
      <c r="AH912" t="s">
        <v>5416</v>
      </c>
      <c r="AI912" t="s">
        <v>57</v>
      </c>
      <c r="AJ912" t="s">
        <v>3</v>
      </c>
      <c r="AK912" t="s">
        <v>5415</v>
      </c>
      <c r="AL912" t="s">
        <v>5414</v>
      </c>
    </row>
    <row r="913" spans="5:38" x14ac:dyDescent="0.25">
      <c r="I913" t="str">
        <f t="shared" si="76"/>
        <v>fatfurspa</v>
      </c>
      <c r="J913" t="str">
        <f t="shared" si="77"/>
        <v/>
      </c>
      <c r="L913" t="str">
        <f t="shared" si="75"/>
        <v>NGM-058 (MVS), NGH-058 (AES)</v>
      </c>
      <c r="M913" t="str">
        <f t="shared" si="75"/>
        <v>19930916 (MVS), 19931222 (AES)</v>
      </c>
      <c r="N913" t="str">
        <f t="shared" si="75"/>
        <v>餓狼伝説 スペシャル</v>
      </c>
      <c r="O913" t="str">
        <f t="shared" si="75"/>
        <v/>
      </c>
      <c r="P913" t="str">
        <f t="shared" si="75"/>
        <v/>
      </c>
      <c r="T913" t="str">
        <f t="shared" si="78"/>
        <v/>
      </c>
      <c r="V913" t="str">
        <f t="shared" si="74"/>
        <v>MVS,AES</v>
      </c>
      <c r="W913" t="str">
        <f t="shared" si="74"/>
        <v>MVS,AES</v>
      </c>
      <c r="AG913" t="s">
        <v>6</v>
      </c>
      <c r="AH913" t="s">
        <v>5413</v>
      </c>
      <c r="AI913" t="s">
        <v>53</v>
      </c>
      <c r="AJ913" t="s">
        <v>3</v>
      </c>
      <c r="AK913" t="s">
        <v>5412</v>
      </c>
      <c r="AL913" t="s">
        <v>5411</v>
      </c>
    </row>
    <row r="914" spans="5:38" x14ac:dyDescent="0.25">
      <c r="E914" t="s">
        <v>5410</v>
      </c>
      <c r="F914" t="s">
        <v>5409</v>
      </c>
      <c r="G914" t="s">
        <v>1239</v>
      </c>
      <c r="H914" t="s">
        <v>1912</v>
      </c>
      <c r="I914" t="str">
        <f t="shared" si="76"/>
        <v>savagere</v>
      </c>
      <c r="J914" t="str">
        <f t="shared" si="77"/>
        <v>savagereserial</v>
      </c>
      <c r="K914" t="s">
        <v>1373</v>
      </c>
      <c r="L914" t="str">
        <f t="shared" si="75"/>
        <v>NGM-059 (MVS), NGH-059 (AES)</v>
      </c>
      <c r="M914" t="str">
        <f t="shared" si="75"/>
        <v>19950425 (MVS), 19950526 (AES)</v>
      </c>
      <c r="N914" t="str">
        <f t="shared" si="75"/>
        <v>風雲黙示録 格闘創世</v>
      </c>
      <c r="O914" t="str">
        <f t="shared" si="75"/>
        <v/>
      </c>
      <c r="P914" t="str">
        <f t="shared" si="75"/>
        <v/>
      </c>
      <c r="Q914" t="s">
        <v>5408</v>
      </c>
      <c r="S914" t="s">
        <v>46</v>
      </c>
      <c r="T914" t="str">
        <f t="shared" si="78"/>
        <v>savagererelease</v>
      </c>
      <c r="U914" t="s">
        <v>218</v>
      </c>
      <c r="V914" t="str">
        <f t="shared" si="74"/>
        <v>MVS,AES</v>
      </c>
      <c r="W914" t="str">
        <f t="shared" si="74"/>
        <v>MVS,AES</v>
      </c>
      <c r="Y914" t="s">
        <v>45</v>
      </c>
      <c r="Z914" t="s">
        <v>44</v>
      </c>
      <c r="AB914" t="s">
        <v>43</v>
      </c>
      <c r="AC914" t="s">
        <v>42</v>
      </c>
      <c r="AD914" t="s">
        <v>41</v>
      </c>
      <c r="AE914" t="s">
        <v>3</v>
      </c>
      <c r="AG914" t="s">
        <v>40</v>
      </c>
      <c r="AH914" t="s">
        <v>5407</v>
      </c>
      <c r="AI914" t="s">
        <v>15</v>
      </c>
      <c r="AJ914" t="s">
        <v>15</v>
      </c>
      <c r="AK914" t="s">
        <v>5406</v>
      </c>
      <c r="AL914" t="s">
        <v>5405</v>
      </c>
    </row>
    <row r="915" spans="5:38" x14ac:dyDescent="0.25">
      <c r="I915" t="str">
        <f t="shared" si="76"/>
        <v>savagere</v>
      </c>
      <c r="J915" t="str">
        <f t="shared" si="77"/>
        <v>savagererelease</v>
      </c>
      <c r="K915" t="s">
        <v>46</v>
      </c>
      <c r="L915" t="str">
        <f t="shared" si="75"/>
        <v>NGM-059 (MVS), NGH-059 (AES)</v>
      </c>
      <c r="M915" t="str">
        <f t="shared" si="75"/>
        <v>19950425 (MVS), 19950526 (AES)</v>
      </c>
      <c r="N915" t="str">
        <f t="shared" si="75"/>
        <v>風雲黙示録 格闘創世</v>
      </c>
      <c r="O915" t="str">
        <f t="shared" si="75"/>
        <v/>
      </c>
      <c r="P915" t="str">
        <f t="shared" si="75"/>
        <v/>
      </c>
      <c r="Q915" t="s">
        <v>5404</v>
      </c>
      <c r="T915" t="str">
        <f t="shared" si="78"/>
        <v/>
      </c>
      <c r="V915" t="str">
        <f t="shared" si="74"/>
        <v>MVS,AES</v>
      </c>
      <c r="W915" t="str">
        <f t="shared" si="74"/>
        <v>MVS,AES</v>
      </c>
      <c r="AG915" t="s">
        <v>224</v>
      </c>
      <c r="AI915" t="s">
        <v>9</v>
      </c>
      <c r="AJ915" t="s">
        <v>15</v>
      </c>
    </row>
    <row r="916" spans="5:38" x14ac:dyDescent="0.25">
      <c r="I916" t="str">
        <f t="shared" si="76"/>
        <v>savagere</v>
      </c>
      <c r="J916" t="str">
        <f t="shared" si="77"/>
        <v>savagerealt_title</v>
      </c>
      <c r="K916" t="s">
        <v>1218</v>
      </c>
      <c r="L916" t="str">
        <f t="shared" si="75"/>
        <v>NGM-059 (MVS), NGH-059 (AES)</v>
      </c>
      <c r="M916" t="str">
        <f t="shared" si="75"/>
        <v>19950425 (MVS), 19950526 (AES)</v>
      </c>
      <c r="N916" t="str">
        <f t="shared" si="75"/>
        <v>風雲黙示録 格闘創世</v>
      </c>
      <c r="O916" t="str">
        <f t="shared" si="75"/>
        <v/>
      </c>
      <c r="P916" t="str">
        <f t="shared" si="75"/>
        <v/>
      </c>
      <c r="Q916" t="s">
        <v>5403</v>
      </c>
      <c r="T916" t="str">
        <f t="shared" si="78"/>
        <v/>
      </c>
      <c r="V916" t="str">
        <f t="shared" si="74"/>
        <v>MVS,AES</v>
      </c>
      <c r="W916" t="str">
        <f t="shared" si="74"/>
        <v>MVS,AES</v>
      </c>
      <c r="AB916" t="s">
        <v>34</v>
      </c>
      <c r="AE916" t="s">
        <v>33</v>
      </c>
      <c r="AH916" t="s">
        <v>5402</v>
      </c>
      <c r="AI916" t="s">
        <v>9</v>
      </c>
      <c r="AJ916" t="s">
        <v>27</v>
      </c>
      <c r="AK916" t="s">
        <v>5401</v>
      </c>
      <c r="AL916" t="s">
        <v>5400</v>
      </c>
    </row>
    <row r="917" spans="5:38" x14ac:dyDescent="0.25">
      <c r="I917" t="str">
        <f t="shared" si="76"/>
        <v>savagere</v>
      </c>
      <c r="J917" t="str">
        <f t="shared" si="77"/>
        <v/>
      </c>
      <c r="L917" t="str">
        <f t="shared" si="75"/>
        <v>NGM-059 (MVS), NGH-059 (AES)</v>
      </c>
      <c r="M917" t="str">
        <f t="shared" si="75"/>
        <v>19950425 (MVS), 19950526 (AES)</v>
      </c>
      <c r="N917" t="str">
        <f t="shared" si="75"/>
        <v>風雲黙示録 格闘創世</v>
      </c>
      <c r="O917" t="str">
        <f t="shared" si="75"/>
        <v/>
      </c>
      <c r="P917" t="str">
        <f t="shared" si="75"/>
        <v/>
      </c>
      <c r="S917" t="s">
        <v>36</v>
      </c>
      <c r="T917" t="str">
        <f t="shared" si="78"/>
        <v>savagerecompatibility</v>
      </c>
      <c r="U917" t="s">
        <v>218</v>
      </c>
      <c r="V917" t="str">
        <f t="shared" si="74"/>
        <v>MVS,AES</v>
      </c>
      <c r="W917" t="str">
        <f t="shared" si="74"/>
        <v>MVS,AES</v>
      </c>
      <c r="AB917" t="s">
        <v>29</v>
      </c>
      <c r="AE917" t="s">
        <v>27</v>
      </c>
      <c r="AH917" t="s">
        <v>5399</v>
      </c>
      <c r="AI917" t="s">
        <v>9</v>
      </c>
      <c r="AJ917" t="s">
        <v>27</v>
      </c>
      <c r="AK917" t="s">
        <v>5398</v>
      </c>
      <c r="AL917" t="s">
        <v>5397</v>
      </c>
    </row>
    <row r="918" spans="5:38" x14ac:dyDescent="0.25">
      <c r="I918" t="str">
        <f t="shared" si="76"/>
        <v>savagere</v>
      </c>
      <c r="J918" t="str">
        <f t="shared" si="77"/>
        <v/>
      </c>
      <c r="L918" t="str">
        <f t="shared" si="75"/>
        <v>NGM-059 (MVS), NGH-059 (AES)</v>
      </c>
      <c r="M918" t="str">
        <f t="shared" si="75"/>
        <v>19950425 (MVS), 19950526 (AES)</v>
      </c>
      <c r="N918" t="str">
        <f t="shared" si="75"/>
        <v>風雲黙示録 格闘創世</v>
      </c>
      <c r="O918" t="str">
        <f t="shared" si="75"/>
        <v/>
      </c>
      <c r="P918" t="str">
        <f t="shared" si="75"/>
        <v/>
      </c>
      <c r="T918" t="str">
        <f t="shared" si="78"/>
        <v/>
      </c>
      <c r="V918" t="str">
        <f t="shared" si="74"/>
        <v>MVS,AES</v>
      </c>
      <c r="W918" t="str">
        <f t="shared" si="74"/>
        <v>MVS,AES</v>
      </c>
      <c r="AB918" t="s">
        <v>24</v>
      </c>
      <c r="AE918" t="s">
        <v>75</v>
      </c>
      <c r="AH918" t="s">
        <v>3600</v>
      </c>
      <c r="AI918" t="s">
        <v>9</v>
      </c>
      <c r="AJ918" t="s">
        <v>3</v>
      </c>
      <c r="AK918" t="s">
        <v>3599</v>
      </c>
      <c r="AL918" t="s">
        <v>3598</v>
      </c>
    </row>
    <row r="919" spans="5:38" x14ac:dyDescent="0.25">
      <c r="I919" t="str">
        <f t="shared" si="76"/>
        <v>savagere</v>
      </c>
      <c r="J919" t="str">
        <f t="shared" si="77"/>
        <v/>
      </c>
      <c r="L919" t="str">
        <f t="shared" si="75"/>
        <v>NGM-059 (MVS), NGH-059 (AES)</v>
      </c>
      <c r="M919" t="str">
        <f t="shared" si="75"/>
        <v>19950425 (MVS), 19950526 (AES)</v>
      </c>
      <c r="N919" t="str">
        <f t="shared" si="75"/>
        <v>風雲黙示録 格闘創世</v>
      </c>
      <c r="O919" t="str">
        <f t="shared" si="75"/>
        <v/>
      </c>
      <c r="P919" t="str">
        <f t="shared" si="75"/>
        <v/>
      </c>
      <c r="T919" t="str">
        <f t="shared" si="78"/>
        <v/>
      </c>
      <c r="V919" t="str">
        <f t="shared" ref="V919:W982" si="79">IFERROR(VLOOKUP($I919&amp;V$1,$T:$AA,2,0),"")</f>
        <v>MVS,AES</v>
      </c>
      <c r="W919" t="str">
        <f t="shared" si="79"/>
        <v>MVS,AES</v>
      </c>
      <c r="AH919" t="s">
        <v>5396</v>
      </c>
      <c r="AI919" t="s">
        <v>3</v>
      </c>
      <c r="AJ919" t="s">
        <v>3</v>
      </c>
      <c r="AK919" t="s">
        <v>5395</v>
      </c>
      <c r="AL919" t="s">
        <v>5394</v>
      </c>
    </row>
    <row r="920" spans="5:38" x14ac:dyDescent="0.25">
      <c r="I920" t="str">
        <f t="shared" si="76"/>
        <v>savagere</v>
      </c>
      <c r="J920" t="str">
        <f t="shared" si="77"/>
        <v/>
      </c>
      <c r="L920" t="str">
        <f t="shared" si="75"/>
        <v>NGM-059 (MVS), NGH-059 (AES)</v>
      </c>
      <c r="M920" t="str">
        <f t="shared" si="75"/>
        <v>19950425 (MVS), 19950526 (AES)</v>
      </c>
      <c r="N920" t="str">
        <f t="shared" si="75"/>
        <v>風雲黙示録 格闘創世</v>
      </c>
      <c r="O920" t="str">
        <f t="shared" si="75"/>
        <v/>
      </c>
      <c r="P920" t="str">
        <f t="shared" si="75"/>
        <v/>
      </c>
      <c r="T920" t="str">
        <f t="shared" si="78"/>
        <v/>
      </c>
      <c r="V920" t="str">
        <f t="shared" si="79"/>
        <v>MVS,AES</v>
      </c>
      <c r="W920" t="str">
        <f t="shared" si="79"/>
        <v>MVS,AES</v>
      </c>
      <c r="AH920" t="s">
        <v>3594</v>
      </c>
      <c r="AI920" t="s">
        <v>11</v>
      </c>
      <c r="AJ920" t="s">
        <v>3</v>
      </c>
      <c r="AK920" t="s">
        <v>3593</v>
      </c>
      <c r="AL920" t="s">
        <v>3592</v>
      </c>
    </row>
    <row r="921" spans="5:38" x14ac:dyDescent="0.25">
      <c r="I921" t="str">
        <f t="shared" si="76"/>
        <v>savagere</v>
      </c>
      <c r="J921" t="str">
        <f t="shared" si="77"/>
        <v/>
      </c>
      <c r="L921" t="str">
        <f t="shared" si="75"/>
        <v>NGM-059 (MVS), NGH-059 (AES)</v>
      </c>
      <c r="M921" t="str">
        <f t="shared" si="75"/>
        <v>19950425 (MVS), 19950526 (AES)</v>
      </c>
      <c r="N921" t="str">
        <f t="shared" si="75"/>
        <v>風雲黙示録 格闘創世</v>
      </c>
      <c r="O921" t="str">
        <f t="shared" si="75"/>
        <v/>
      </c>
      <c r="P921" t="str">
        <f t="shared" si="75"/>
        <v/>
      </c>
      <c r="T921" t="str">
        <f t="shared" si="78"/>
        <v/>
      </c>
      <c r="V921" t="str">
        <f t="shared" si="79"/>
        <v>MVS,AES</v>
      </c>
      <c r="W921" t="str">
        <f t="shared" si="79"/>
        <v>MVS,AES</v>
      </c>
      <c r="AB921" t="s">
        <v>12</v>
      </c>
      <c r="AE921" t="s">
        <v>65</v>
      </c>
      <c r="AG921" t="s">
        <v>6</v>
      </c>
      <c r="AH921" t="s">
        <v>3587</v>
      </c>
      <c r="AI921" t="s">
        <v>9</v>
      </c>
      <c r="AJ921" t="s">
        <v>3</v>
      </c>
      <c r="AK921" t="s">
        <v>3586</v>
      </c>
      <c r="AL921" t="s">
        <v>3585</v>
      </c>
    </row>
    <row r="922" spans="5:38" x14ac:dyDescent="0.25">
      <c r="I922" t="str">
        <f t="shared" si="76"/>
        <v>savagere</v>
      </c>
      <c r="J922" t="str">
        <f t="shared" si="77"/>
        <v/>
      </c>
      <c r="L922" t="str">
        <f t="shared" si="75"/>
        <v>NGM-059 (MVS), NGH-059 (AES)</v>
      </c>
      <c r="M922" t="str">
        <f t="shared" si="75"/>
        <v>19950425 (MVS), 19950526 (AES)</v>
      </c>
      <c r="N922" t="str">
        <f t="shared" si="75"/>
        <v>風雲黙示録 格闘創世</v>
      </c>
      <c r="O922" t="str">
        <f t="shared" si="75"/>
        <v/>
      </c>
      <c r="P922" t="str">
        <f t="shared" si="75"/>
        <v/>
      </c>
      <c r="T922" t="str">
        <f t="shared" si="78"/>
        <v/>
      </c>
      <c r="V922" t="str">
        <f t="shared" si="79"/>
        <v>MVS,AES</v>
      </c>
      <c r="W922" t="str">
        <f t="shared" si="79"/>
        <v>MVS,AES</v>
      </c>
      <c r="AG922" t="s">
        <v>6</v>
      </c>
      <c r="AH922" t="s">
        <v>3584</v>
      </c>
      <c r="AI922" t="s">
        <v>4</v>
      </c>
      <c r="AJ922" t="s">
        <v>3</v>
      </c>
      <c r="AK922" t="s">
        <v>3583</v>
      </c>
      <c r="AL922" t="s">
        <v>3582</v>
      </c>
    </row>
    <row r="923" spans="5:38" x14ac:dyDescent="0.25">
      <c r="I923" t="str">
        <f t="shared" si="76"/>
        <v>savagere</v>
      </c>
      <c r="J923" t="str">
        <f t="shared" si="77"/>
        <v/>
      </c>
      <c r="L923" t="str">
        <f t="shared" si="75"/>
        <v>NGM-059 (MVS), NGH-059 (AES)</v>
      </c>
      <c r="M923" t="str">
        <f t="shared" si="75"/>
        <v>19950425 (MVS), 19950526 (AES)</v>
      </c>
      <c r="N923" t="str">
        <f t="shared" si="75"/>
        <v>風雲黙示録 格闘創世</v>
      </c>
      <c r="O923" t="str">
        <f t="shared" si="75"/>
        <v/>
      </c>
      <c r="P923" t="str">
        <f t="shared" si="75"/>
        <v/>
      </c>
      <c r="T923" t="str">
        <f t="shared" si="78"/>
        <v/>
      </c>
      <c r="V923" t="str">
        <f t="shared" si="79"/>
        <v>MVS,AES</v>
      </c>
      <c r="W923" t="str">
        <f t="shared" si="79"/>
        <v>MVS,AES</v>
      </c>
      <c r="AG923" t="s">
        <v>6</v>
      </c>
      <c r="AH923" t="s">
        <v>5393</v>
      </c>
      <c r="AI923" t="s">
        <v>11</v>
      </c>
      <c r="AJ923" t="s">
        <v>3</v>
      </c>
      <c r="AK923" t="s">
        <v>5392</v>
      </c>
      <c r="AL923" t="s">
        <v>5391</v>
      </c>
    </row>
    <row r="924" spans="5:38" x14ac:dyDescent="0.25">
      <c r="I924" t="str">
        <f t="shared" si="76"/>
        <v>savagere</v>
      </c>
      <c r="J924" t="str">
        <f t="shared" si="77"/>
        <v/>
      </c>
      <c r="L924" t="str">
        <f t="shared" si="75"/>
        <v>NGM-059 (MVS), NGH-059 (AES)</v>
      </c>
      <c r="M924" t="str">
        <f t="shared" si="75"/>
        <v>19950425 (MVS), 19950526 (AES)</v>
      </c>
      <c r="N924" t="str">
        <f t="shared" si="75"/>
        <v>風雲黙示録 格闘創世</v>
      </c>
      <c r="O924" t="str">
        <f t="shared" si="75"/>
        <v/>
      </c>
      <c r="P924" t="str">
        <f t="shared" si="75"/>
        <v/>
      </c>
      <c r="T924" t="str">
        <f t="shared" si="78"/>
        <v/>
      </c>
      <c r="V924" t="str">
        <f t="shared" si="79"/>
        <v>MVS,AES</v>
      </c>
      <c r="W924" t="str">
        <f t="shared" si="79"/>
        <v>MVS,AES</v>
      </c>
      <c r="AG924" t="s">
        <v>6</v>
      </c>
      <c r="AH924" t="s">
        <v>5390</v>
      </c>
      <c r="AI924" t="s">
        <v>932</v>
      </c>
      <c r="AJ924" t="s">
        <v>3</v>
      </c>
      <c r="AK924" t="s">
        <v>5389</v>
      </c>
      <c r="AL924" t="s">
        <v>5388</v>
      </c>
    </row>
    <row r="925" spans="5:38" x14ac:dyDescent="0.25">
      <c r="I925" t="str">
        <f t="shared" si="76"/>
        <v>savagere</v>
      </c>
      <c r="J925" t="str">
        <f t="shared" si="77"/>
        <v/>
      </c>
      <c r="L925" t="str">
        <f t="shared" si="75"/>
        <v>NGM-059 (MVS), NGH-059 (AES)</v>
      </c>
      <c r="M925" t="str">
        <f t="shared" si="75"/>
        <v>19950425 (MVS), 19950526 (AES)</v>
      </c>
      <c r="N925" t="str">
        <f t="shared" si="75"/>
        <v>風雲黙示録 格闘創世</v>
      </c>
      <c r="O925" t="str">
        <f t="shared" si="75"/>
        <v/>
      </c>
      <c r="P925" t="str">
        <f t="shared" si="75"/>
        <v/>
      </c>
      <c r="T925" t="str">
        <f t="shared" si="78"/>
        <v/>
      </c>
      <c r="V925" t="str">
        <f t="shared" si="79"/>
        <v>MVS,AES</v>
      </c>
      <c r="W925" t="str">
        <f t="shared" si="79"/>
        <v>MVS,AES</v>
      </c>
      <c r="AG925" t="s">
        <v>6</v>
      </c>
      <c r="AH925" t="s">
        <v>3575</v>
      </c>
      <c r="AI925" t="s">
        <v>57</v>
      </c>
      <c r="AJ925" t="s">
        <v>3</v>
      </c>
      <c r="AK925" t="s">
        <v>3574</v>
      </c>
      <c r="AL925" t="s">
        <v>3573</v>
      </c>
    </row>
    <row r="926" spans="5:38" x14ac:dyDescent="0.25">
      <c r="I926" t="str">
        <f t="shared" si="76"/>
        <v>savagere</v>
      </c>
      <c r="J926" t="str">
        <f t="shared" si="77"/>
        <v/>
      </c>
      <c r="L926" t="str">
        <f t="shared" si="75"/>
        <v>NGM-059 (MVS), NGH-059 (AES)</v>
      </c>
      <c r="M926" t="str">
        <f t="shared" si="75"/>
        <v>19950425 (MVS), 19950526 (AES)</v>
      </c>
      <c r="N926" t="str">
        <f t="shared" si="75"/>
        <v>風雲黙示録 格闘創世</v>
      </c>
      <c r="O926" t="str">
        <f t="shared" si="75"/>
        <v/>
      </c>
      <c r="P926" t="str">
        <f t="shared" si="75"/>
        <v/>
      </c>
      <c r="T926" t="str">
        <f t="shared" si="78"/>
        <v/>
      </c>
      <c r="V926" t="str">
        <f t="shared" si="79"/>
        <v>MVS,AES</v>
      </c>
      <c r="W926" t="str">
        <f t="shared" si="79"/>
        <v>MVS,AES</v>
      </c>
      <c r="AG926" t="s">
        <v>6</v>
      </c>
      <c r="AH926" t="s">
        <v>3572</v>
      </c>
      <c r="AI926" t="s">
        <v>53</v>
      </c>
      <c r="AJ926" t="s">
        <v>3</v>
      </c>
      <c r="AK926" t="s">
        <v>3571</v>
      </c>
      <c r="AL926" t="s">
        <v>3570</v>
      </c>
    </row>
    <row r="927" spans="5:38" x14ac:dyDescent="0.25">
      <c r="I927" t="str">
        <f t="shared" si="76"/>
        <v>savagere</v>
      </c>
      <c r="J927" t="str">
        <f t="shared" si="77"/>
        <v/>
      </c>
      <c r="L927" t="str">
        <f t="shared" si="75"/>
        <v>NGM-059 (MVS), NGH-059 (AES)</v>
      </c>
      <c r="M927" t="str">
        <f t="shared" si="75"/>
        <v>19950425 (MVS), 19950526 (AES)</v>
      </c>
      <c r="N927" t="str">
        <f t="shared" si="75"/>
        <v>風雲黙示録 格闘創世</v>
      </c>
      <c r="O927" t="str">
        <f t="shared" si="75"/>
        <v/>
      </c>
      <c r="P927" t="str">
        <f t="shared" si="75"/>
        <v/>
      </c>
      <c r="T927" t="str">
        <f t="shared" si="78"/>
        <v/>
      </c>
      <c r="V927" t="str">
        <f t="shared" si="79"/>
        <v>MVS,AES</v>
      </c>
      <c r="W927" t="str">
        <f t="shared" si="79"/>
        <v>MVS,AES</v>
      </c>
      <c r="AG927" t="s">
        <v>6</v>
      </c>
      <c r="AH927" t="s">
        <v>3569</v>
      </c>
      <c r="AI927" t="s">
        <v>250</v>
      </c>
      <c r="AJ927" t="s">
        <v>3</v>
      </c>
      <c r="AK927" t="s">
        <v>3568</v>
      </c>
      <c r="AL927" t="s">
        <v>3567</v>
      </c>
    </row>
    <row r="928" spans="5:38" x14ac:dyDescent="0.25">
      <c r="I928" t="str">
        <f t="shared" si="76"/>
        <v>savagere</v>
      </c>
      <c r="J928" t="str">
        <f t="shared" si="77"/>
        <v/>
      </c>
      <c r="L928" t="str">
        <f t="shared" si="75"/>
        <v>NGM-059 (MVS), NGH-059 (AES)</v>
      </c>
      <c r="M928" t="str">
        <f t="shared" si="75"/>
        <v>19950425 (MVS), 19950526 (AES)</v>
      </c>
      <c r="N928" t="str">
        <f t="shared" si="75"/>
        <v>風雲黙示録 格闘創世</v>
      </c>
      <c r="O928" t="str">
        <f t="shared" si="75"/>
        <v/>
      </c>
      <c r="P928" t="str">
        <f t="shared" si="75"/>
        <v/>
      </c>
      <c r="T928" t="str">
        <f t="shared" si="78"/>
        <v/>
      </c>
      <c r="V928" t="str">
        <f t="shared" si="79"/>
        <v>MVS,AES</v>
      </c>
      <c r="W928" t="str">
        <f t="shared" si="79"/>
        <v>MVS,AES</v>
      </c>
      <c r="AG928" t="s">
        <v>6</v>
      </c>
      <c r="AH928" t="s">
        <v>3566</v>
      </c>
      <c r="AI928" t="s">
        <v>4138</v>
      </c>
      <c r="AJ928" t="s">
        <v>3</v>
      </c>
      <c r="AK928" t="s">
        <v>3565</v>
      </c>
      <c r="AL928" t="s">
        <v>3564</v>
      </c>
    </row>
    <row r="929" spans="5:44" x14ac:dyDescent="0.25">
      <c r="E929" t="s">
        <v>5379</v>
      </c>
      <c r="F929" t="s">
        <v>5387</v>
      </c>
      <c r="G929" t="s">
        <v>393</v>
      </c>
      <c r="H929" t="s">
        <v>5384</v>
      </c>
      <c r="I929" t="str">
        <f t="shared" si="76"/>
        <v>fightfev</v>
      </c>
      <c r="J929" t="str">
        <f t="shared" si="77"/>
        <v>fightfevserial</v>
      </c>
      <c r="K929" t="s">
        <v>1373</v>
      </c>
      <c r="L929" t="str">
        <f t="shared" si="75"/>
        <v>NGM-060</v>
      </c>
      <c r="M929" t="str">
        <f t="shared" si="75"/>
        <v>19940628</v>
      </c>
      <c r="N929" t="str">
        <f t="shared" si="75"/>
        <v>ファイトフィーバー</v>
      </c>
      <c r="O929" t="str">
        <f t="shared" si="75"/>
        <v/>
      </c>
      <c r="P929" t="str">
        <f t="shared" si="75"/>
        <v/>
      </c>
      <c r="Q929" t="s">
        <v>5383</v>
      </c>
      <c r="S929" t="s">
        <v>46</v>
      </c>
      <c r="T929" t="str">
        <f t="shared" si="78"/>
        <v>fightfevrelease</v>
      </c>
      <c r="U929" t="s">
        <v>106</v>
      </c>
      <c r="V929" t="str">
        <f t="shared" si="79"/>
        <v>MVS</v>
      </c>
      <c r="W929" t="str">
        <f t="shared" si="79"/>
        <v>MVS,AES</v>
      </c>
      <c r="Y929" t="s">
        <v>45</v>
      </c>
      <c r="Z929" t="s">
        <v>44</v>
      </c>
      <c r="AB929" t="s">
        <v>43</v>
      </c>
      <c r="AC929" t="s">
        <v>42</v>
      </c>
      <c r="AD929" t="s">
        <v>41</v>
      </c>
      <c r="AE929" t="s">
        <v>15</v>
      </c>
      <c r="AG929" t="s">
        <v>40</v>
      </c>
      <c r="AH929" t="s">
        <v>5382</v>
      </c>
      <c r="AI929" t="s">
        <v>9</v>
      </c>
      <c r="AJ929" t="s">
        <v>15</v>
      </c>
      <c r="AK929" t="s">
        <v>5381</v>
      </c>
      <c r="AL929" t="s">
        <v>5380</v>
      </c>
    </row>
    <row r="930" spans="5:44" x14ac:dyDescent="0.25">
      <c r="I930" t="str">
        <f t="shared" si="76"/>
        <v>fightfev</v>
      </c>
      <c r="J930" t="str">
        <f t="shared" si="77"/>
        <v>fightfevrelease</v>
      </c>
      <c r="K930" t="s">
        <v>46</v>
      </c>
      <c r="L930" t="str">
        <f t="shared" si="75"/>
        <v>NGM-060</v>
      </c>
      <c r="M930" t="str">
        <f t="shared" si="75"/>
        <v>19940628</v>
      </c>
      <c r="N930" t="str">
        <f t="shared" si="75"/>
        <v>ファイトフィーバー</v>
      </c>
      <c r="O930" t="str">
        <f t="shared" si="75"/>
        <v/>
      </c>
      <c r="P930" t="str">
        <f t="shared" si="75"/>
        <v/>
      </c>
      <c r="Q930" t="s">
        <v>5378</v>
      </c>
      <c r="T930" t="str">
        <f t="shared" si="78"/>
        <v/>
      </c>
      <c r="V930" t="str">
        <f t="shared" si="79"/>
        <v>MVS</v>
      </c>
      <c r="W930" t="str">
        <f t="shared" si="79"/>
        <v>MVS,AES</v>
      </c>
      <c r="AB930" t="s">
        <v>34</v>
      </c>
      <c r="AE930" t="s">
        <v>33</v>
      </c>
      <c r="AH930" t="s">
        <v>5373</v>
      </c>
      <c r="AI930" t="s">
        <v>9</v>
      </c>
      <c r="AJ930" t="s">
        <v>27</v>
      </c>
      <c r="AK930" t="s">
        <v>5372</v>
      </c>
      <c r="AL930" t="s">
        <v>5371</v>
      </c>
    </row>
    <row r="931" spans="5:44" x14ac:dyDescent="0.25">
      <c r="I931" t="str">
        <f t="shared" si="76"/>
        <v>fightfev</v>
      </c>
      <c r="J931" t="str">
        <f t="shared" si="77"/>
        <v>fightfevalt_title</v>
      </c>
      <c r="K931" t="s">
        <v>1218</v>
      </c>
      <c r="L931" t="str">
        <f t="shared" si="75"/>
        <v>NGM-060</v>
      </c>
      <c r="M931" t="str">
        <f t="shared" si="75"/>
        <v>19940628</v>
      </c>
      <c r="N931" t="str">
        <f t="shared" si="75"/>
        <v>ファイトフィーバー</v>
      </c>
      <c r="O931" t="str">
        <f t="shared" si="75"/>
        <v/>
      </c>
      <c r="P931" t="str">
        <f t="shared" si="75"/>
        <v/>
      </c>
      <c r="Q931" t="s">
        <v>5374</v>
      </c>
      <c r="T931" t="str">
        <f t="shared" si="78"/>
        <v/>
      </c>
      <c r="V931" t="str">
        <f t="shared" si="79"/>
        <v>MVS</v>
      </c>
      <c r="W931" t="str">
        <f t="shared" si="79"/>
        <v>MVS,AES</v>
      </c>
      <c r="AB931" t="s">
        <v>29</v>
      </c>
      <c r="AE931" t="s">
        <v>27</v>
      </c>
      <c r="AH931" t="s">
        <v>5370</v>
      </c>
      <c r="AI931" t="s">
        <v>9</v>
      </c>
      <c r="AJ931" t="s">
        <v>27</v>
      </c>
      <c r="AK931" t="s">
        <v>5369</v>
      </c>
      <c r="AL931" t="s">
        <v>5368</v>
      </c>
    </row>
    <row r="932" spans="5:44" x14ac:dyDescent="0.25">
      <c r="I932" t="str">
        <f t="shared" si="76"/>
        <v>fightfev</v>
      </c>
      <c r="J932" t="str">
        <f t="shared" si="77"/>
        <v/>
      </c>
      <c r="L932" t="str">
        <f t="shared" si="75"/>
        <v>NGM-060</v>
      </c>
      <c r="M932" t="str">
        <f t="shared" si="75"/>
        <v>19940628</v>
      </c>
      <c r="N932" t="str">
        <f t="shared" si="75"/>
        <v>ファイトフィーバー</v>
      </c>
      <c r="O932" t="str">
        <f t="shared" si="75"/>
        <v/>
      </c>
      <c r="P932" t="str">
        <f t="shared" si="75"/>
        <v/>
      </c>
      <c r="S932" t="s">
        <v>36</v>
      </c>
      <c r="T932" t="str">
        <f t="shared" si="78"/>
        <v>fightfevcompatibility</v>
      </c>
      <c r="U932" t="s">
        <v>218</v>
      </c>
      <c r="V932" t="str">
        <f t="shared" si="79"/>
        <v>MVS</v>
      </c>
      <c r="W932" t="str">
        <f t="shared" si="79"/>
        <v>MVS,AES</v>
      </c>
      <c r="AB932" t="s">
        <v>24</v>
      </c>
      <c r="AE932" t="s">
        <v>377</v>
      </c>
      <c r="AH932" t="s">
        <v>5367</v>
      </c>
      <c r="AI932" t="s">
        <v>9</v>
      </c>
      <c r="AJ932" t="s">
        <v>3</v>
      </c>
      <c r="AK932" t="s">
        <v>5366</v>
      </c>
      <c r="AL932" t="s">
        <v>5365</v>
      </c>
    </row>
    <row r="933" spans="5:44" x14ac:dyDescent="0.25">
      <c r="I933" t="str">
        <f t="shared" si="76"/>
        <v>fightfev</v>
      </c>
      <c r="J933" t="str">
        <f t="shared" si="77"/>
        <v/>
      </c>
      <c r="L933" t="str">
        <f t="shared" ref="L933:P983" si="80">IFERROR(VLOOKUP($I933&amp;L$1,$J:$Q,8,0),"")</f>
        <v>NGM-060</v>
      </c>
      <c r="M933" t="str">
        <f t="shared" si="80"/>
        <v>19940628</v>
      </c>
      <c r="N933" t="str">
        <f t="shared" si="80"/>
        <v>ファイトフィーバー</v>
      </c>
      <c r="O933" t="str">
        <f t="shared" si="80"/>
        <v/>
      </c>
      <c r="P933" t="str">
        <f t="shared" si="80"/>
        <v/>
      </c>
      <c r="T933" t="str">
        <f t="shared" si="78"/>
        <v/>
      </c>
      <c r="V933" t="str">
        <f t="shared" si="79"/>
        <v>MVS</v>
      </c>
      <c r="W933" t="str">
        <f t="shared" si="79"/>
        <v>MVS,AES</v>
      </c>
      <c r="AH933" t="s">
        <v>5364</v>
      </c>
      <c r="AI933" t="s">
        <v>3</v>
      </c>
      <c r="AJ933" t="s">
        <v>15</v>
      </c>
      <c r="AK933" t="s">
        <v>5363</v>
      </c>
      <c r="AL933" t="s">
        <v>5362</v>
      </c>
    </row>
    <row r="934" spans="5:44" x14ac:dyDescent="0.25">
      <c r="I934" t="str">
        <f t="shared" si="76"/>
        <v>fightfev</v>
      </c>
      <c r="J934" t="str">
        <f t="shared" si="77"/>
        <v/>
      </c>
      <c r="L934" t="str">
        <f t="shared" si="80"/>
        <v>NGM-060</v>
      </c>
      <c r="M934" t="str">
        <f t="shared" si="80"/>
        <v>19940628</v>
      </c>
      <c r="N934" t="str">
        <f t="shared" si="80"/>
        <v>ファイトフィーバー</v>
      </c>
      <c r="O934" t="str">
        <f t="shared" si="80"/>
        <v/>
      </c>
      <c r="P934" t="str">
        <f t="shared" si="80"/>
        <v/>
      </c>
      <c r="T934" t="str">
        <f t="shared" si="78"/>
        <v/>
      </c>
      <c r="V934" t="str">
        <f t="shared" si="79"/>
        <v>MVS</v>
      </c>
      <c r="W934" t="str">
        <f t="shared" si="79"/>
        <v>MVS,AES</v>
      </c>
      <c r="AB934" t="s">
        <v>12</v>
      </c>
      <c r="AE934" t="s">
        <v>57</v>
      </c>
      <c r="AG934" t="s">
        <v>6</v>
      </c>
      <c r="AH934" t="s">
        <v>5361</v>
      </c>
      <c r="AI934" t="s">
        <v>9</v>
      </c>
      <c r="AJ934" t="s">
        <v>3</v>
      </c>
      <c r="AK934" t="s">
        <v>5360</v>
      </c>
      <c r="AL934" t="s">
        <v>5359</v>
      </c>
    </row>
    <row r="935" spans="5:44" x14ac:dyDescent="0.25">
      <c r="I935" t="str">
        <f t="shared" si="76"/>
        <v>fightfev</v>
      </c>
      <c r="J935" t="str">
        <f t="shared" si="77"/>
        <v/>
      </c>
      <c r="L935" t="str">
        <f t="shared" si="80"/>
        <v>NGM-060</v>
      </c>
      <c r="M935" t="str">
        <f t="shared" si="80"/>
        <v>19940628</v>
      </c>
      <c r="N935" t="str">
        <f t="shared" si="80"/>
        <v>ファイトフィーバー</v>
      </c>
      <c r="O935" t="str">
        <f t="shared" si="80"/>
        <v/>
      </c>
      <c r="P935" t="str">
        <f t="shared" si="80"/>
        <v/>
      </c>
      <c r="T935" t="str">
        <f t="shared" si="78"/>
        <v/>
      </c>
      <c r="V935" t="str">
        <f t="shared" si="79"/>
        <v>MVS</v>
      </c>
      <c r="W935" t="str">
        <f t="shared" si="79"/>
        <v>MVS,AES</v>
      </c>
      <c r="AG935" t="s">
        <v>6</v>
      </c>
      <c r="AH935" t="s">
        <v>5358</v>
      </c>
      <c r="AI935" t="s">
        <v>4</v>
      </c>
      <c r="AJ935" t="s">
        <v>3</v>
      </c>
      <c r="AK935" t="s">
        <v>5357</v>
      </c>
      <c r="AL935" t="s">
        <v>5356</v>
      </c>
    </row>
    <row r="936" spans="5:44" x14ac:dyDescent="0.25">
      <c r="I936" t="str">
        <f t="shared" si="76"/>
        <v>fightfev</v>
      </c>
      <c r="J936" t="str">
        <f t="shared" si="77"/>
        <v/>
      </c>
      <c r="L936" t="str">
        <f t="shared" si="80"/>
        <v>NGM-060</v>
      </c>
      <c r="M936" t="str">
        <f t="shared" si="80"/>
        <v>19940628</v>
      </c>
      <c r="N936" t="str">
        <f t="shared" si="80"/>
        <v>ファイトフィーバー</v>
      </c>
      <c r="O936" t="str">
        <f t="shared" si="80"/>
        <v/>
      </c>
      <c r="P936" t="str">
        <f t="shared" si="80"/>
        <v/>
      </c>
      <c r="T936" t="str">
        <f t="shared" si="78"/>
        <v/>
      </c>
      <c r="V936" t="str">
        <f t="shared" si="79"/>
        <v>MVS</v>
      </c>
      <c r="W936" t="str">
        <f t="shared" si="79"/>
        <v>MVS,AES</v>
      </c>
      <c r="AG936" t="s">
        <v>6</v>
      </c>
      <c r="AH936" t="s">
        <v>5355</v>
      </c>
      <c r="AI936" t="s">
        <v>11</v>
      </c>
      <c r="AJ936" t="s">
        <v>3</v>
      </c>
      <c r="AK936" t="s">
        <v>5354</v>
      </c>
      <c r="AL936" t="s">
        <v>5353</v>
      </c>
    </row>
    <row r="937" spans="5:44" x14ac:dyDescent="0.25">
      <c r="I937" t="str">
        <f t="shared" si="76"/>
        <v>fightfev</v>
      </c>
      <c r="J937" t="str">
        <f t="shared" si="77"/>
        <v/>
      </c>
      <c r="L937" t="str">
        <f t="shared" si="80"/>
        <v>NGM-060</v>
      </c>
      <c r="M937" t="str">
        <f t="shared" si="80"/>
        <v>19940628</v>
      </c>
      <c r="N937" t="str">
        <f t="shared" si="80"/>
        <v>ファイトフィーバー</v>
      </c>
      <c r="O937" t="str">
        <f t="shared" si="80"/>
        <v/>
      </c>
      <c r="P937" t="str">
        <f t="shared" si="80"/>
        <v/>
      </c>
      <c r="T937" t="str">
        <f t="shared" si="78"/>
        <v/>
      </c>
      <c r="V937" t="str">
        <f t="shared" si="79"/>
        <v>MVS</v>
      </c>
      <c r="W937" t="str">
        <f t="shared" si="79"/>
        <v>MVS,AES</v>
      </c>
      <c r="AG937" t="s">
        <v>6</v>
      </c>
      <c r="AH937" t="s">
        <v>5352</v>
      </c>
      <c r="AI937" t="s">
        <v>932</v>
      </c>
      <c r="AJ937" t="s">
        <v>3</v>
      </c>
      <c r="AK937" t="s">
        <v>5351</v>
      </c>
      <c r="AL937" t="s">
        <v>5350</v>
      </c>
    </row>
    <row r="938" spans="5:44" x14ac:dyDescent="0.25">
      <c r="E938" t="s">
        <v>5386</v>
      </c>
      <c r="F938" t="s">
        <v>5385</v>
      </c>
      <c r="G938" t="s">
        <v>393</v>
      </c>
      <c r="H938" t="s">
        <v>5384</v>
      </c>
      <c r="I938" t="str">
        <f t="shared" si="76"/>
        <v>fightfeva</v>
      </c>
      <c r="J938" t="str">
        <f t="shared" si="77"/>
        <v>fightfevaserial</v>
      </c>
      <c r="K938" t="s">
        <v>1373</v>
      </c>
      <c r="L938" t="str">
        <f t="shared" si="80"/>
        <v>NGM-060</v>
      </c>
      <c r="M938" t="str">
        <f t="shared" si="80"/>
        <v>19940628</v>
      </c>
      <c r="N938" t="str">
        <f t="shared" si="80"/>
        <v>ファイトフィーバー</v>
      </c>
      <c r="O938" t="str">
        <f t="shared" si="80"/>
        <v/>
      </c>
      <c r="P938" t="str">
        <f t="shared" si="80"/>
        <v/>
      </c>
      <c r="Q938" t="s">
        <v>5383</v>
      </c>
      <c r="S938" t="s">
        <v>46</v>
      </c>
      <c r="T938" t="str">
        <f t="shared" si="78"/>
        <v>fightfevarelease</v>
      </c>
      <c r="U938" t="s">
        <v>106</v>
      </c>
      <c r="V938" t="str">
        <f t="shared" si="79"/>
        <v>MVS</v>
      </c>
      <c r="W938" t="str">
        <f t="shared" si="79"/>
        <v>MVS,AES</v>
      </c>
      <c r="Y938" t="s">
        <v>45</v>
      </c>
      <c r="Z938" t="s">
        <v>44</v>
      </c>
      <c r="AB938" t="s">
        <v>43</v>
      </c>
      <c r="AC938" t="s">
        <v>42</v>
      </c>
      <c r="AD938" t="s">
        <v>41</v>
      </c>
      <c r="AE938" t="s">
        <v>15</v>
      </c>
      <c r="AG938" t="s">
        <v>40</v>
      </c>
      <c r="AH938" t="s">
        <v>5382</v>
      </c>
      <c r="AI938" t="s">
        <v>9</v>
      </c>
      <c r="AJ938" t="s">
        <v>15</v>
      </c>
      <c r="AK938" t="s">
        <v>5381</v>
      </c>
      <c r="AL938" t="s">
        <v>5380</v>
      </c>
      <c r="AR938" t="s">
        <v>5379</v>
      </c>
    </row>
    <row r="939" spans="5:44" x14ac:dyDescent="0.25">
      <c r="I939" t="str">
        <f t="shared" si="76"/>
        <v>fightfeva</v>
      </c>
      <c r="J939" t="str">
        <f t="shared" si="77"/>
        <v>fightfevarelease</v>
      </c>
      <c r="K939" t="s">
        <v>46</v>
      </c>
      <c r="L939" t="str">
        <f t="shared" si="80"/>
        <v>NGM-060</v>
      </c>
      <c r="M939" t="str">
        <f t="shared" si="80"/>
        <v>19940628</v>
      </c>
      <c r="N939" t="str">
        <f t="shared" si="80"/>
        <v>ファイトフィーバー</v>
      </c>
      <c r="O939" t="str">
        <f t="shared" si="80"/>
        <v/>
      </c>
      <c r="P939" t="str">
        <f t="shared" si="80"/>
        <v/>
      </c>
      <c r="Q939" t="s">
        <v>5378</v>
      </c>
      <c r="T939" t="str">
        <f t="shared" si="78"/>
        <v/>
      </c>
      <c r="V939" t="str">
        <f t="shared" si="79"/>
        <v>MVS</v>
      </c>
      <c r="W939" t="str">
        <f t="shared" si="79"/>
        <v>MVS,AES</v>
      </c>
      <c r="AG939" t="s">
        <v>40</v>
      </c>
      <c r="AH939" t="s">
        <v>5377</v>
      </c>
      <c r="AI939" t="s">
        <v>9</v>
      </c>
      <c r="AJ939" t="s">
        <v>92</v>
      </c>
      <c r="AK939" t="s">
        <v>5376</v>
      </c>
      <c r="AL939" t="s">
        <v>5375</v>
      </c>
    </row>
    <row r="940" spans="5:44" x14ac:dyDescent="0.25">
      <c r="I940" t="str">
        <f t="shared" si="76"/>
        <v>fightfeva</v>
      </c>
      <c r="J940" t="str">
        <f t="shared" si="77"/>
        <v>fightfevaalt_title</v>
      </c>
      <c r="K940" t="s">
        <v>1218</v>
      </c>
      <c r="L940" t="str">
        <f t="shared" si="80"/>
        <v>NGM-060</v>
      </c>
      <c r="M940" t="str">
        <f t="shared" si="80"/>
        <v>19940628</v>
      </c>
      <c r="N940" t="str">
        <f t="shared" si="80"/>
        <v>ファイトフィーバー</v>
      </c>
      <c r="O940" t="str">
        <f t="shared" si="80"/>
        <v/>
      </c>
      <c r="P940" t="str">
        <f t="shared" si="80"/>
        <v/>
      </c>
      <c r="Q940" t="s">
        <v>5374</v>
      </c>
      <c r="T940" t="str">
        <f t="shared" si="78"/>
        <v/>
      </c>
      <c r="V940" t="str">
        <f t="shared" si="79"/>
        <v>MVS</v>
      </c>
      <c r="W940" t="str">
        <f t="shared" si="79"/>
        <v>MVS,AES</v>
      </c>
      <c r="AB940" t="s">
        <v>34</v>
      </c>
      <c r="AE940" t="s">
        <v>33</v>
      </c>
      <c r="AH940" t="s">
        <v>5373</v>
      </c>
      <c r="AI940" t="s">
        <v>9</v>
      </c>
      <c r="AJ940" t="s">
        <v>27</v>
      </c>
      <c r="AK940" t="s">
        <v>5372</v>
      </c>
      <c r="AL940" t="s">
        <v>5371</v>
      </c>
    </row>
    <row r="941" spans="5:44" x14ac:dyDescent="0.25">
      <c r="I941" t="str">
        <f t="shared" si="76"/>
        <v>fightfeva</v>
      </c>
      <c r="J941" t="str">
        <f t="shared" si="77"/>
        <v/>
      </c>
      <c r="L941" t="str">
        <f t="shared" si="80"/>
        <v>NGM-060</v>
      </c>
      <c r="M941" t="str">
        <f t="shared" si="80"/>
        <v>19940628</v>
      </c>
      <c r="N941" t="str">
        <f t="shared" si="80"/>
        <v>ファイトフィーバー</v>
      </c>
      <c r="O941" t="str">
        <f t="shared" si="80"/>
        <v/>
      </c>
      <c r="P941" t="str">
        <f t="shared" si="80"/>
        <v/>
      </c>
      <c r="S941" t="s">
        <v>36</v>
      </c>
      <c r="T941" t="str">
        <f t="shared" si="78"/>
        <v>fightfevacompatibility</v>
      </c>
      <c r="U941" t="s">
        <v>218</v>
      </c>
      <c r="V941" t="str">
        <f t="shared" si="79"/>
        <v>MVS</v>
      </c>
      <c r="W941" t="str">
        <f t="shared" si="79"/>
        <v>MVS,AES</v>
      </c>
      <c r="AB941" t="s">
        <v>29</v>
      </c>
      <c r="AE941" t="s">
        <v>27</v>
      </c>
      <c r="AH941" t="s">
        <v>5370</v>
      </c>
      <c r="AI941" t="s">
        <v>9</v>
      </c>
      <c r="AJ941" t="s">
        <v>27</v>
      </c>
      <c r="AK941" t="s">
        <v>5369</v>
      </c>
      <c r="AL941" t="s">
        <v>5368</v>
      </c>
    </row>
    <row r="942" spans="5:44" x14ac:dyDescent="0.25">
      <c r="I942" t="str">
        <f t="shared" si="76"/>
        <v>fightfeva</v>
      </c>
      <c r="J942" t="str">
        <f t="shared" si="77"/>
        <v/>
      </c>
      <c r="L942" t="str">
        <f t="shared" si="80"/>
        <v>NGM-060</v>
      </c>
      <c r="M942" t="str">
        <f t="shared" si="80"/>
        <v>19940628</v>
      </c>
      <c r="N942" t="str">
        <f t="shared" si="80"/>
        <v>ファイトフィーバー</v>
      </c>
      <c r="O942" t="str">
        <f t="shared" si="80"/>
        <v/>
      </c>
      <c r="P942" t="str">
        <f t="shared" si="80"/>
        <v/>
      </c>
      <c r="T942" t="str">
        <f t="shared" si="78"/>
        <v/>
      </c>
      <c r="V942" t="str">
        <f t="shared" si="79"/>
        <v>MVS</v>
      </c>
      <c r="W942" t="str">
        <f t="shared" si="79"/>
        <v>MVS,AES</v>
      </c>
      <c r="AB942" t="s">
        <v>24</v>
      </c>
      <c r="AE942" t="s">
        <v>377</v>
      </c>
      <c r="AH942" t="s">
        <v>5367</v>
      </c>
      <c r="AI942" t="s">
        <v>9</v>
      </c>
      <c r="AJ942" t="s">
        <v>3</v>
      </c>
      <c r="AK942" t="s">
        <v>5366</v>
      </c>
      <c r="AL942" t="s">
        <v>5365</v>
      </c>
    </row>
    <row r="943" spans="5:44" x14ac:dyDescent="0.25">
      <c r="I943" t="str">
        <f t="shared" si="76"/>
        <v>fightfeva</v>
      </c>
      <c r="J943" t="str">
        <f t="shared" si="77"/>
        <v/>
      </c>
      <c r="L943" t="str">
        <f t="shared" si="80"/>
        <v>NGM-060</v>
      </c>
      <c r="M943" t="str">
        <f t="shared" si="80"/>
        <v>19940628</v>
      </c>
      <c r="N943" t="str">
        <f t="shared" si="80"/>
        <v>ファイトフィーバー</v>
      </c>
      <c r="O943" t="str">
        <f t="shared" si="80"/>
        <v/>
      </c>
      <c r="P943" t="str">
        <f t="shared" si="80"/>
        <v/>
      </c>
      <c r="T943" t="str">
        <f t="shared" si="78"/>
        <v/>
      </c>
      <c r="V943" t="str">
        <f t="shared" si="79"/>
        <v>MVS</v>
      </c>
      <c r="W943" t="str">
        <f t="shared" si="79"/>
        <v>MVS,AES</v>
      </c>
      <c r="AH943" t="s">
        <v>5364</v>
      </c>
      <c r="AI943" t="s">
        <v>3</v>
      </c>
      <c r="AJ943" t="s">
        <v>15</v>
      </c>
      <c r="AK943" t="s">
        <v>5363</v>
      </c>
      <c r="AL943" t="s">
        <v>5362</v>
      </c>
    </row>
    <row r="944" spans="5:44" x14ac:dyDescent="0.25">
      <c r="I944" t="str">
        <f t="shared" si="76"/>
        <v>fightfeva</v>
      </c>
      <c r="J944" t="str">
        <f t="shared" si="77"/>
        <v/>
      </c>
      <c r="L944" t="str">
        <f t="shared" si="80"/>
        <v>NGM-060</v>
      </c>
      <c r="M944" t="str">
        <f t="shared" si="80"/>
        <v>19940628</v>
      </c>
      <c r="N944" t="str">
        <f t="shared" si="80"/>
        <v>ファイトフィーバー</v>
      </c>
      <c r="O944" t="str">
        <f t="shared" si="80"/>
        <v/>
      </c>
      <c r="P944" t="str">
        <f t="shared" si="80"/>
        <v/>
      </c>
      <c r="T944" t="str">
        <f t="shared" si="78"/>
        <v/>
      </c>
      <c r="V944" t="str">
        <f t="shared" si="79"/>
        <v>MVS</v>
      </c>
      <c r="W944" t="str">
        <f t="shared" si="79"/>
        <v>MVS,AES</v>
      </c>
      <c r="AB944" t="s">
        <v>12</v>
      </c>
      <c r="AE944" t="s">
        <v>57</v>
      </c>
      <c r="AG944" t="s">
        <v>6</v>
      </c>
      <c r="AH944" t="s">
        <v>5361</v>
      </c>
      <c r="AI944" t="s">
        <v>9</v>
      </c>
      <c r="AJ944" t="s">
        <v>3</v>
      </c>
      <c r="AK944" t="s">
        <v>5360</v>
      </c>
      <c r="AL944" t="s">
        <v>5359</v>
      </c>
    </row>
    <row r="945" spans="5:38" x14ac:dyDescent="0.25">
      <c r="I945" t="str">
        <f t="shared" si="76"/>
        <v>fightfeva</v>
      </c>
      <c r="J945" t="str">
        <f t="shared" si="77"/>
        <v/>
      </c>
      <c r="L945" t="str">
        <f t="shared" si="80"/>
        <v>NGM-060</v>
      </c>
      <c r="M945" t="str">
        <f t="shared" si="80"/>
        <v>19940628</v>
      </c>
      <c r="N945" t="str">
        <f t="shared" si="80"/>
        <v>ファイトフィーバー</v>
      </c>
      <c r="O945" t="str">
        <f t="shared" si="80"/>
        <v/>
      </c>
      <c r="P945" t="str">
        <f t="shared" si="80"/>
        <v/>
      </c>
      <c r="T945" t="str">
        <f t="shared" si="78"/>
        <v/>
      </c>
      <c r="V945" t="str">
        <f t="shared" si="79"/>
        <v>MVS</v>
      </c>
      <c r="W945" t="str">
        <f t="shared" si="79"/>
        <v>MVS,AES</v>
      </c>
      <c r="AG945" t="s">
        <v>6</v>
      </c>
      <c r="AH945" t="s">
        <v>5358</v>
      </c>
      <c r="AI945" t="s">
        <v>4</v>
      </c>
      <c r="AJ945" t="s">
        <v>3</v>
      </c>
      <c r="AK945" t="s">
        <v>5357</v>
      </c>
      <c r="AL945" t="s">
        <v>5356</v>
      </c>
    </row>
    <row r="946" spans="5:38" x14ac:dyDescent="0.25">
      <c r="I946" t="str">
        <f t="shared" si="76"/>
        <v>fightfeva</v>
      </c>
      <c r="J946" t="str">
        <f t="shared" si="77"/>
        <v/>
      </c>
      <c r="L946" t="str">
        <f t="shared" si="80"/>
        <v>NGM-060</v>
      </c>
      <c r="M946" t="str">
        <f t="shared" si="80"/>
        <v>19940628</v>
      </c>
      <c r="N946" t="str">
        <f t="shared" si="80"/>
        <v>ファイトフィーバー</v>
      </c>
      <c r="O946" t="str">
        <f t="shared" si="80"/>
        <v/>
      </c>
      <c r="P946" t="str">
        <f t="shared" si="80"/>
        <v/>
      </c>
      <c r="T946" t="str">
        <f t="shared" si="78"/>
        <v/>
      </c>
      <c r="V946" t="str">
        <f t="shared" si="79"/>
        <v>MVS</v>
      </c>
      <c r="W946" t="str">
        <f t="shared" si="79"/>
        <v>MVS,AES</v>
      </c>
      <c r="AG946" t="s">
        <v>6</v>
      </c>
      <c r="AH946" t="s">
        <v>5355</v>
      </c>
      <c r="AI946" t="s">
        <v>11</v>
      </c>
      <c r="AJ946" t="s">
        <v>3</v>
      </c>
      <c r="AK946" t="s">
        <v>5354</v>
      </c>
      <c r="AL946" t="s">
        <v>5353</v>
      </c>
    </row>
    <row r="947" spans="5:38" x14ac:dyDescent="0.25">
      <c r="I947" t="str">
        <f t="shared" si="76"/>
        <v>fightfeva</v>
      </c>
      <c r="J947" t="str">
        <f t="shared" si="77"/>
        <v/>
      </c>
      <c r="L947" t="str">
        <f t="shared" si="80"/>
        <v>NGM-060</v>
      </c>
      <c r="M947" t="str">
        <f t="shared" si="80"/>
        <v>19940628</v>
      </c>
      <c r="N947" t="str">
        <f t="shared" si="80"/>
        <v>ファイトフィーバー</v>
      </c>
      <c r="O947" t="str">
        <f t="shared" si="80"/>
        <v/>
      </c>
      <c r="P947" t="str">
        <f t="shared" si="80"/>
        <v/>
      </c>
      <c r="T947" t="str">
        <f t="shared" si="78"/>
        <v/>
      </c>
      <c r="V947" t="str">
        <f t="shared" si="79"/>
        <v>MVS</v>
      </c>
      <c r="W947" t="str">
        <f t="shared" si="79"/>
        <v>MVS,AES</v>
      </c>
      <c r="AG947" t="s">
        <v>6</v>
      </c>
      <c r="AH947" t="s">
        <v>5352</v>
      </c>
      <c r="AI947" t="s">
        <v>932</v>
      </c>
      <c r="AJ947" t="s">
        <v>3</v>
      </c>
      <c r="AK947" t="s">
        <v>5351</v>
      </c>
      <c r="AL947" t="s">
        <v>5350</v>
      </c>
    </row>
    <row r="948" spans="5:38" x14ac:dyDescent="0.25">
      <c r="E948" t="s">
        <v>5349</v>
      </c>
      <c r="F948" t="s">
        <v>5348</v>
      </c>
      <c r="G948" t="s">
        <v>393</v>
      </c>
      <c r="H948" t="s">
        <v>1912</v>
      </c>
      <c r="I948" t="str">
        <f t="shared" si="76"/>
        <v>ssideki2</v>
      </c>
      <c r="J948" t="str">
        <f t="shared" si="77"/>
        <v>ssideki2serial</v>
      </c>
      <c r="K948" t="s">
        <v>1373</v>
      </c>
      <c r="L948" t="str">
        <f t="shared" si="80"/>
        <v>NGM-061 (MVS), NGH-061 (AES)</v>
      </c>
      <c r="M948" t="str">
        <f t="shared" si="80"/>
        <v>19940419 (MVS), 19940527 (AES)</v>
      </c>
      <c r="N948" t="str">
        <f t="shared" si="80"/>
        <v>得点王2</v>
      </c>
      <c r="O948" t="str">
        <f t="shared" si="80"/>
        <v/>
      </c>
      <c r="P948" t="str">
        <f t="shared" si="80"/>
        <v/>
      </c>
      <c r="Q948" t="s">
        <v>5347</v>
      </c>
      <c r="S948" t="s">
        <v>46</v>
      </c>
      <c r="T948" t="str">
        <f t="shared" si="78"/>
        <v>ssideki2release</v>
      </c>
      <c r="U948" t="s">
        <v>218</v>
      </c>
      <c r="V948" t="str">
        <f t="shared" si="79"/>
        <v>MVS,AES</v>
      </c>
      <c r="W948" t="str">
        <f t="shared" si="79"/>
        <v>MVS,AES</v>
      </c>
      <c r="Y948" t="s">
        <v>45</v>
      </c>
      <c r="Z948" t="s">
        <v>44</v>
      </c>
      <c r="AB948" t="s">
        <v>43</v>
      </c>
      <c r="AC948" t="s">
        <v>42</v>
      </c>
      <c r="AD948" t="s">
        <v>41</v>
      </c>
      <c r="AE948" t="s">
        <v>15</v>
      </c>
      <c r="AG948" t="s">
        <v>40</v>
      </c>
      <c r="AH948" t="s">
        <v>5346</v>
      </c>
      <c r="AI948" t="s">
        <v>9</v>
      </c>
      <c r="AJ948" t="s">
        <v>15</v>
      </c>
      <c r="AK948" t="s">
        <v>5345</v>
      </c>
      <c r="AL948" t="s">
        <v>5344</v>
      </c>
    </row>
    <row r="949" spans="5:38" x14ac:dyDescent="0.25">
      <c r="I949" t="str">
        <f t="shared" si="76"/>
        <v>ssideki2</v>
      </c>
      <c r="J949" t="str">
        <f t="shared" si="77"/>
        <v>ssideki2release</v>
      </c>
      <c r="K949" t="s">
        <v>46</v>
      </c>
      <c r="L949" t="str">
        <f t="shared" si="80"/>
        <v>NGM-061 (MVS), NGH-061 (AES)</v>
      </c>
      <c r="M949" t="str">
        <f t="shared" si="80"/>
        <v>19940419 (MVS), 19940527 (AES)</v>
      </c>
      <c r="N949" t="str">
        <f t="shared" si="80"/>
        <v>得点王2</v>
      </c>
      <c r="O949" t="str">
        <f t="shared" si="80"/>
        <v/>
      </c>
      <c r="P949" t="str">
        <f t="shared" si="80"/>
        <v/>
      </c>
      <c r="Q949" t="s">
        <v>5343</v>
      </c>
      <c r="T949" t="str">
        <f t="shared" si="78"/>
        <v/>
      </c>
      <c r="V949" t="str">
        <f t="shared" si="79"/>
        <v>MVS,AES</v>
      </c>
      <c r="W949" t="str">
        <f t="shared" si="79"/>
        <v>MVS,AES</v>
      </c>
      <c r="AB949" t="s">
        <v>34</v>
      </c>
      <c r="AE949" t="s">
        <v>33</v>
      </c>
      <c r="AH949" t="s">
        <v>5342</v>
      </c>
      <c r="AI949" t="s">
        <v>9</v>
      </c>
      <c r="AJ949" t="s">
        <v>27</v>
      </c>
      <c r="AK949" t="s">
        <v>5341</v>
      </c>
      <c r="AL949" t="s">
        <v>5340</v>
      </c>
    </row>
    <row r="950" spans="5:38" x14ac:dyDescent="0.25">
      <c r="I950" t="str">
        <f t="shared" si="76"/>
        <v>ssideki2</v>
      </c>
      <c r="J950" t="str">
        <f t="shared" si="77"/>
        <v>ssideki2alt_title</v>
      </c>
      <c r="K950" t="s">
        <v>1218</v>
      </c>
      <c r="L950" t="str">
        <f t="shared" si="80"/>
        <v>NGM-061 (MVS), NGH-061 (AES)</v>
      </c>
      <c r="M950" t="str">
        <f t="shared" si="80"/>
        <v>19940419 (MVS), 19940527 (AES)</v>
      </c>
      <c r="N950" t="str">
        <f t="shared" si="80"/>
        <v>得点王2</v>
      </c>
      <c r="O950" t="str">
        <f t="shared" si="80"/>
        <v/>
      </c>
      <c r="P950" t="str">
        <f t="shared" si="80"/>
        <v/>
      </c>
      <c r="Q950" t="s">
        <v>5339</v>
      </c>
      <c r="T950" t="str">
        <f t="shared" si="78"/>
        <v/>
      </c>
      <c r="V950" t="str">
        <f t="shared" si="79"/>
        <v>MVS,AES</v>
      </c>
      <c r="W950" t="str">
        <f t="shared" si="79"/>
        <v>MVS,AES</v>
      </c>
      <c r="AB950" t="s">
        <v>29</v>
      </c>
      <c r="AE950" t="s">
        <v>27</v>
      </c>
      <c r="AH950" t="s">
        <v>5338</v>
      </c>
      <c r="AI950" t="s">
        <v>9</v>
      </c>
      <c r="AJ950" t="s">
        <v>27</v>
      </c>
      <c r="AK950" t="s">
        <v>5337</v>
      </c>
      <c r="AL950" t="s">
        <v>5336</v>
      </c>
    </row>
    <row r="951" spans="5:38" x14ac:dyDescent="0.25">
      <c r="I951" t="str">
        <f t="shared" si="76"/>
        <v>ssideki2</v>
      </c>
      <c r="J951" t="str">
        <f t="shared" si="77"/>
        <v/>
      </c>
      <c r="L951" t="str">
        <f t="shared" si="80"/>
        <v>NGM-061 (MVS), NGH-061 (AES)</v>
      </c>
      <c r="M951" t="str">
        <f t="shared" si="80"/>
        <v>19940419 (MVS), 19940527 (AES)</v>
      </c>
      <c r="N951" t="str">
        <f t="shared" si="80"/>
        <v>得点王2</v>
      </c>
      <c r="O951" t="str">
        <f t="shared" si="80"/>
        <v/>
      </c>
      <c r="P951" t="str">
        <f t="shared" si="80"/>
        <v/>
      </c>
      <c r="S951" t="s">
        <v>36</v>
      </c>
      <c r="T951" t="str">
        <f t="shared" si="78"/>
        <v>ssideki2compatibility</v>
      </c>
      <c r="U951" t="s">
        <v>218</v>
      </c>
      <c r="V951" t="str">
        <f t="shared" si="79"/>
        <v>MVS,AES</v>
      </c>
      <c r="W951" t="str">
        <f t="shared" si="79"/>
        <v>MVS,AES</v>
      </c>
      <c r="AB951" t="s">
        <v>24</v>
      </c>
      <c r="AE951" t="s">
        <v>11</v>
      </c>
      <c r="AH951" t="s">
        <v>5335</v>
      </c>
      <c r="AI951" t="s">
        <v>9</v>
      </c>
      <c r="AJ951" t="s">
        <v>3</v>
      </c>
      <c r="AK951" t="s">
        <v>5334</v>
      </c>
      <c r="AL951" t="s">
        <v>5333</v>
      </c>
    </row>
    <row r="952" spans="5:38" x14ac:dyDescent="0.25">
      <c r="I952" t="str">
        <f t="shared" si="76"/>
        <v>ssideki2</v>
      </c>
      <c r="J952" t="str">
        <f t="shared" si="77"/>
        <v/>
      </c>
      <c r="L952" t="str">
        <f t="shared" si="80"/>
        <v>NGM-061 (MVS), NGH-061 (AES)</v>
      </c>
      <c r="M952" t="str">
        <f t="shared" si="80"/>
        <v>19940419 (MVS), 19940527 (AES)</v>
      </c>
      <c r="N952" t="str">
        <f t="shared" si="80"/>
        <v>得点王2</v>
      </c>
      <c r="O952" t="str">
        <f t="shared" si="80"/>
        <v/>
      </c>
      <c r="P952" t="str">
        <f t="shared" si="80"/>
        <v/>
      </c>
      <c r="T952" t="str">
        <f t="shared" si="78"/>
        <v/>
      </c>
      <c r="V952" t="str">
        <f t="shared" si="79"/>
        <v>MVS,AES</v>
      </c>
      <c r="W952" t="str">
        <f t="shared" si="79"/>
        <v>MVS,AES</v>
      </c>
      <c r="AH952" t="s">
        <v>5332</v>
      </c>
      <c r="AI952" t="s">
        <v>3</v>
      </c>
      <c r="AJ952" t="s">
        <v>3</v>
      </c>
      <c r="AK952" t="s">
        <v>5331</v>
      </c>
      <c r="AL952" t="s">
        <v>5330</v>
      </c>
    </row>
    <row r="953" spans="5:38" x14ac:dyDescent="0.25">
      <c r="I953" t="str">
        <f t="shared" si="76"/>
        <v>ssideki2</v>
      </c>
      <c r="J953" t="str">
        <f t="shared" si="77"/>
        <v/>
      </c>
      <c r="L953" t="str">
        <f t="shared" si="80"/>
        <v>NGM-061 (MVS), NGH-061 (AES)</v>
      </c>
      <c r="M953" t="str">
        <f t="shared" si="80"/>
        <v>19940419 (MVS), 19940527 (AES)</v>
      </c>
      <c r="N953" t="str">
        <f t="shared" si="80"/>
        <v>得点王2</v>
      </c>
      <c r="O953" t="str">
        <f t="shared" si="80"/>
        <v/>
      </c>
      <c r="P953" t="str">
        <f t="shared" si="80"/>
        <v/>
      </c>
      <c r="T953" t="str">
        <f t="shared" si="78"/>
        <v/>
      </c>
      <c r="V953" t="str">
        <f t="shared" si="79"/>
        <v>MVS,AES</v>
      </c>
      <c r="W953" t="str">
        <f t="shared" si="79"/>
        <v>MVS,AES</v>
      </c>
      <c r="AB953" t="s">
        <v>12</v>
      </c>
      <c r="AE953" t="s">
        <v>57</v>
      </c>
      <c r="AG953" t="s">
        <v>6</v>
      </c>
      <c r="AH953" t="s">
        <v>5329</v>
      </c>
      <c r="AI953" t="s">
        <v>9</v>
      </c>
      <c r="AJ953" t="s">
        <v>3</v>
      </c>
      <c r="AK953" t="s">
        <v>5328</v>
      </c>
      <c r="AL953" t="s">
        <v>5327</v>
      </c>
    </row>
    <row r="954" spans="5:38" x14ac:dyDescent="0.25">
      <c r="I954" t="str">
        <f t="shared" si="76"/>
        <v>ssideki2</v>
      </c>
      <c r="J954" t="str">
        <f t="shared" si="77"/>
        <v/>
      </c>
      <c r="L954" t="str">
        <f t="shared" si="80"/>
        <v>NGM-061 (MVS), NGH-061 (AES)</v>
      </c>
      <c r="M954" t="str">
        <f t="shared" si="80"/>
        <v>19940419 (MVS), 19940527 (AES)</v>
      </c>
      <c r="N954" t="str">
        <f t="shared" si="80"/>
        <v>得点王2</v>
      </c>
      <c r="O954" t="str">
        <f t="shared" si="80"/>
        <v/>
      </c>
      <c r="P954" t="str">
        <f t="shared" si="80"/>
        <v/>
      </c>
      <c r="T954" t="str">
        <f t="shared" si="78"/>
        <v/>
      </c>
      <c r="V954" t="str">
        <f t="shared" si="79"/>
        <v>MVS,AES</v>
      </c>
      <c r="W954" t="str">
        <f t="shared" si="79"/>
        <v>MVS,AES</v>
      </c>
      <c r="AG954" t="s">
        <v>6</v>
      </c>
      <c r="AH954" t="s">
        <v>5326</v>
      </c>
      <c r="AI954" t="s">
        <v>4</v>
      </c>
      <c r="AJ954" t="s">
        <v>3</v>
      </c>
      <c r="AK954" t="s">
        <v>5325</v>
      </c>
      <c r="AL954" t="s">
        <v>5324</v>
      </c>
    </row>
    <row r="955" spans="5:38" x14ac:dyDescent="0.25">
      <c r="I955" t="str">
        <f t="shared" si="76"/>
        <v>ssideki2</v>
      </c>
      <c r="J955" t="str">
        <f t="shared" si="77"/>
        <v/>
      </c>
      <c r="L955" t="str">
        <f t="shared" si="80"/>
        <v>NGM-061 (MVS), NGH-061 (AES)</v>
      </c>
      <c r="M955" t="str">
        <f t="shared" si="80"/>
        <v>19940419 (MVS), 19940527 (AES)</v>
      </c>
      <c r="N955" t="str">
        <f t="shared" si="80"/>
        <v>得点王2</v>
      </c>
      <c r="O955" t="str">
        <f t="shared" si="80"/>
        <v/>
      </c>
      <c r="P955" t="str">
        <f t="shared" si="80"/>
        <v/>
      </c>
      <c r="T955" t="str">
        <f t="shared" si="78"/>
        <v/>
      </c>
      <c r="V955" t="str">
        <f t="shared" si="79"/>
        <v>MVS,AES</v>
      </c>
      <c r="W955" t="str">
        <f t="shared" si="79"/>
        <v>MVS,AES</v>
      </c>
      <c r="AG955" t="s">
        <v>6</v>
      </c>
      <c r="AH955" t="s">
        <v>5323</v>
      </c>
      <c r="AI955" t="s">
        <v>11</v>
      </c>
      <c r="AJ955" t="s">
        <v>3</v>
      </c>
      <c r="AK955" t="s">
        <v>5322</v>
      </c>
      <c r="AL955" t="s">
        <v>5321</v>
      </c>
    </row>
    <row r="956" spans="5:38" x14ac:dyDescent="0.25">
      <c r="I956" t="str">
        <f t="shared" si="76"/>
        <v>ssideki2</v>
      </c>
      <c r="J956" t="str">
        <f t="shared" si="77"/>
        <v/>
      </c>
      <c r="L956" t="str">
        <f t="shared" si="80"/>
        <v>NGM-061 (MVS), NGH-061 (AES)</v>
      </c>
      <c r="M956" t="str">
        <f t="shared" si="80"/>
        <v>19940419 (MVS), 19940527 (AES)</v>
      </c>
      <c r="N956" t="str">
        <f t="shared" si="80"/>
        <v>得点王2</v>
      </c>
      <c r="O956" t="str">
        <f t="shared" si="80"/>
        <v/>
      </c>
      <c r="P956" t="str">
        <f t="shared" si="80"/>
        <v/>
      </c>
      <c r="T956" t="str">
        <f t="shared" si="78"/>
        <v/>
      </c>
      <c r="V956" t="str">
        <f t="shared" si="79"/>
        <v>MVS,AES</v>
      </c>
      <c r="W956" t="str">
        <f t="shared" si="79"/>
        <v>MVS,AES</v>
      </c>
      <c r="AG956" t="s">
        <v>6</v>
      </c>
      <c r="AH956" t="s">
        <v>5320</v>
      </c>
      <c r="AI956" t="s">
        <v>932</v>
      </c>
      <c r="AJ956" t="s">
        <v>3</v>
      </c>
      <c r="AK956" t="s">
        <v>5319</v>
      </c>
      <c r="AL956" t="s">
        <v>5318</v>
      </c>
    </row>
    <row r="957" spans="5:38" x14ac:dyDescent="0.25">
      <c r="E957" t="s">
        <v>5317</v>
      </c>
      <c r="F957" t="s">
        <v>5316</v>
      </c>
      <c r="G957" t="s">
        <v>5315</v>
      </c>
      <c r="H957" t="s">
        <v>3073</v>
      </c>
      <c r="I957" t="str">
        <f t="shared" si="76"/>
        <v>spinmast</v>
      </c>
      <c r="J957" t="str">
        <f t="shared" si="77"/>
        <v>spinmastserial</v>
      </c>
      <c r="K957" t="s">
        <v>1373</v>
      </c>
      <c r="L957" t="str">
        <f t="shared" si="80"/>
        <v>NGM-062 (MVS), NGH-062 (AES)</v>
      </c>
      <c r="M957" t="str">
        <f t="shared" si="80"/>
        <v>19931216 (MVS), 19940218 (AES)</v>
      </c>
      <c r="N957" t="str">
        <f t="shared" si="80"/>
        <v>ミラクルアドベンチャー</v>
      </c>
      <c r="O957" t="str">
        <f t="shared" si="80"/>
        <v/>
      </c>
      <c r="P957" t="str">
        <f t="shared" si="80"/>
        <v/>
      </c>
      <c r="Q957" t="s">
        <v>5314</v>
      </c>
      <c r="S957" t="s">
        <v>46</v>
      </c>
      <c r="T957" t="str">
        <f t="shared" si="78"/>
        <v>spinmastrelease</v>
      </c>
      <c r="U957" t="s">
        <v>218</v>
      </c>
      <c r="V957" t="str">
        <f t="shared" si="79"/>
        <v>MVS,AES</v>
      </c>
      <c r="W957" t="str">
        <f t="shared" si="79"/>
        <v>MVS,AES</v>
      </c>
      <c r="Y957" t="s">
        <v>45</v>
      </c>
      <c r="Z957" t="s">
        <v>44</v>
      </c>
      <c r="AB957" t="s">
        <v>43</v>
      </c>
      <c r="AC957" t="s">
        <v>42</v>
      </c>
      <c r="AD957" t="s">
        <v>41</v>
      </c>
      <c r="AE957" t="s">
        <v>3</v>
      </c>
      <c r="AG957" t="s">
        <v>40</v>
      </c>
      <c r="AH957" t="s">
        <v>5313</v>
      </c>
      <c r="AI957" t="s">
        <v>9</v>
      </c>
      <c r="AJ957" t="s">
        <v>15</v>
      </c>
      <c r="AK957" t="s">
        <v>5312</v>
      </c>
      <c r="AL957" t="s">
        <v>5311</v>
      </c>
    </row>
    <row r="958" spans="5:38" x14ac:dyDescent="0.25">
      <c r="I958" t="str">
        <f t="shared" si="76"/>
        <v>spinmast</v>
      </c>
      <c r="J958" t="str">
        <f t="shared" si="77"/>
        <v>spinmastrelease</v>
      </c>
      <c r="K958" t="s">
        <v>46</v>
      </c>
      <c r="L958" t="str">
        <f t="shared" si="80"/>
        <v>NGM-062 (MVS), NGH-062 (AES)</v>
      </c>
      <c r="M958" t="str">
        <f t="shared" si="80"/>
        <v>19931216 (MVS), 19940218 (AES)</v>
      </c>
      <c r="N958" t="str">
        <f t="shared" si="80"/>
        <v>ミラクルアドベンチャー</v>
      </c>
      <c r="O958" t="str">
        <f t="shared" si="80"/>
        <v/>
      </c>
      <c r="P958" t="str">
        <f t="shared" si="80"/>
        <v/>
      </c>
      <c r="Q958" t="s">
        <v>5310</v>
      </c>
      <c r="T958" t="str">
        <f t="shared" si="78"/>
        <v/>
      </c>
      <c r="V958" t="str">
        <f t="shared" si="79"/>
        <v>MVS,AES</v>
      </c>
      <c r="W958" t="str">
        <f t="shared" si="79"/>
        <v>MVS,AES</v>
      </c>
      <c r="AG958" t="s">
        <v>40</v>
      </c>
      <c r="AH958" t="s">
        <v>5309</v>
      </c>
      <c r="AI958" t="s">
        <v>15</v>
      </c>
      <c r="AJ958" t="s">
        <v>15</v>
      </c>
      <c r="AK958" t="s">
        <v>5308</v>
      </c>
      <c r="AL958" t="s">
        <v>5307</v>
      </c>
    </row>
    <row r="959" spans="5:38" x14ac:dyDescent="0.25">
      <c r="I959" t="str">
        <f t="shared" si="76"/>
        <v>spinmast</v>
      </c>
      <c r="J959" t="str">
        <f t="shared" si="77"/>
        <v>spinmastalt_title</v>
      </c>
      <c r="K959" t="s">
        <v>1218</v>
      </c>
      <c r="L959" t="str">
        <f t="shared" si="80"/>
        <v>NGM-062 (MVS), NGH-062 (AES)</v>
      </c>
      <c r="M959" t="str">
        <f t="shared" si="80"/>
        <v>19931216 (MVS), 19940218 (AES)</v>
      </c>
      <c r="N959" t="str">
        <f t="shared" si="80"/>
        <v>ミラクルアドベンチャー</v>
      </c>
      <c r="O959" t="str">
        <f t="shared" si="80"/>
        <v/>
      </c>
      <c r="P959" t="str">
        <f t="shared" si="80"/>
        <v/>
      </c>
      <c r="Q959" t="s">
        <v>5306</v>
      </c>
      <c r="T959" t="str">
        <f t="shared" si="78"/>
        <v/>
      </c>
      <c r="V959" t="str">
        <f t="shared" si="79"/>
        <v>MVS,AES</v>
      </c>
      <c r="W959" t="str">
        <f t="shared" si="79"/>
        <v>MVS,AES</v>
      </c>
      <c r="AB959" t="s">
        <v>34</v>
      </c>
      <c r="AE959" t="s">
        <v>33</v>
      </c>
      <c r="AH959" t="s">
        <v>5305</v>
      </c>
      <c r="AI959" t="s">
        <v>9</v>
      </c>
      <c r="AJ959" t="s">
        <v>27</v>
      </c>
      <c r="AK959" t="s">
        <v>5304</v>
      </c>
      <c r="AL959" t="s">
        <v>5303</v>
      </c>
    </row>
    <row r="960" spans="5:38" x14ac:dyDescent="0.25">
      <c r="I960" t="str">
        <f t="shared" si="76"/>
        <v>spinmast</v>
      </c>
      <c r="J960" t="str">
        <f t="shared" si="77"/>
        <v/>
      </c>
      <c r="L960" t="str">
        <f t="shared" si="80"/>
        <v>NGM-062 (MVS), NGH-062 (AES)</v>
      </c>
      <c r="M960" t="str">
        <f t="shared" si="80"/>
        <v>19931216 (MVS), 19940218 (AES)</v>
      </c>
      <c r="N960" t="str">
        <f t="shared" si="80"/>
        <v>ミラクルアドベンチャー</v>
      </c>
      <c r="O960" t="str">
        <f t="shared" si="80"/>
        <v/>
      </c>
      <c r="P960" t="str">
        <f t="shared" si="80"/>
        <v/>
      </c>
      <c r="S960" t="s">
        <v>36</v>
      </c>
      <c r="T960" t="str">
        <f t="shared" si="78"/>
        <v>spinmastcompatibility</v>
      </c>
      <c r="U960" t="s">
        <v>218</v>
      </c>
      <c r="V960" t="str">
        <f t="shared" si="79"/>
        <v>MVS,AES</v>
      </c>
      <c r="W960" t="str">
        <f t="shared" si="79"/>
        <v>MVS,AES</v>
      </c>
      <c r="AB960" t="s">
        <v>29</v>
      </c>
      <c r="AE960" t="s">
        <v>27</v>
      </c>
      <c r="AH960" t="s">
        <v>5302</v>
      </c>
      <c r="AI960" t="s">
        <v>9</v>
      </c>
      <c r="AJ960" t="s">
        <v>27</v>
      </c>
      <c r="AK960" t="s">
        <v>5301</v>
      </c>
      <c r="AL960" t="s">
        <v>5300</v>
      </c>
    </row>
    <row r="961" spans="5:38" x14ac:dyDescent="0.25">
      <c r="I961" t="str">
        <f t="shared" si="76"/>
        <v>spinmast</v>
      </c>
      <c r="J961" t="str">
        <f t="shared" si="77"/>
        <v/>
      </c>
      <c r="L961" t="str">
        <f t="shared" si="80"/>
        <v>NGM-062 (MVS), NGH-062 (AES)</v>
      </c>
      <c r="M961" t="str">
        <f t="shared" si="80"/>
        <v>19931216 (MVS), 19940218 (AES)</v>
      </c>
      <c r="N961" t="str">
        <f t="shared" si="80"/>
        <v>ミラクルアドベンチャー</v>
      </c>
      <c r="O961" t="str">
        <f t="shared" si="80"/>
        <v/>
      </c>
      <c r="P961" t="str">
        <f t="shared" si="80"/>
        <v/>
      </c>
      <c r="T961" t="str">
        <f t="shared" si="78"/>
        <v/>
      </c>
      <c r="V961" t="str">
        <f t="shared" si="79"/>
        <v>MVS,AES</v>
      </c>
      <c r="W961" t="str">
        <f t="shared" si="79"/>
        <v>MVS,AES</v>
      </c>
      <c r="AB961" t="s">
        <v>24</v>
      </c>
      <c r="AE961" t="s">
        <v>15</v>
      </c>
      <c r="AH961" t="s">
        <v>5299</v>
      </c>
      <c r="AI961" t="s">
        <v>9</v>
      </c>
      <c r="AJ961" t="s">
        <v>15</v>
      </c>
      <c r="AK961" t="s">
        <v>5298</v>
      </c>
      <c r="AL961" t="s">
        <v>5297</v>
      </c>
    </row>
    <row r="962" spans="5:38" x14ac:dyDescent="0.25">
      <c r="I962" t="str">
        <f t="shared" si="76"/>
        <v>spinmast</v>
      </c>
      <c r="J962" t="str">
        <f t="shared" si="77"/>
        <v/>
      </c>
      <c r="L962" t="str">
        <f t="shared" si="80"/>
        <v>NGM-062 (MVS), NGH-062 (AES)</v>
      </c>
      <c r="M962" t="str">
        <f t="shared" si="80"/>
        <v>19931216 (MVS), 19940218 (AES)</v>
      </c>
      <c r="N962" t="str">
        <f t="shared" si="80"/>
        <v>ミラクルアドベンチャー</v>
      </c>
      <c r="O962" t="str">
        <f t="shared" si="80"/>
        <v/>
      </c>
      <c r="P962" t="str">
        <f t="shared" si="80"/>
        <v/>
      </c>
      <c r="T962" t="str">
        <f t="shared" si="78"/>
        <v/>
      </c>
      <c r="V962" t="str">
        <f t="shared" si="79"/>
        <v>MVS,AES</v>
      </c>
      <c r="W962" t="str">
        <f t="shared" si="79"/>
        <v>MVS,AES</v>
      </c>
      <c r="AB962" t="s">
        <v>12</v>
      </c>
      <c r="AE962" t="s">
        <v>57</v>
      </c>
      <c r="AG962" t="s">
        <v>6</v>
      </c>
      <c r="AH962" t="s">
        <v>5296</v>
      </c>
      <c r="AI962" t="s">
        <v>9</v>
      </c>
      <c r="AJ962" t="s">
        <v>15</v>
      </c>
      <c r="AK962" t="s">
        <v>5295</v>
      </c>
      <c r="AL962" t="s">
        <v>5294</v>
      </c>
    </row>
    <row r="963" spans="5:38" x14ac:dyDescent="0.25">
      <c r="I963" t="str">
        <f t="shared" ref="I963:I1026" si="81">IF(E963="",I962,E963)</f>
        <v>spinmast</v>
      </c>
      <c r="J963" t="str">
        <f t="shared" ref="J963:J1026" si="82">IF(K963="","",I963&amp;K963)</f>
        <v/>
      </c>
      <c r="L963" t="str">
        <f t="shared" si="80"/>
        <v>NGM-062 (MVS), NGH-062 (AES)</v>
      </c>
      <c r="M963" t="str">
        <f t="shared" si="80"/>
        <v>19931216 (MVS), 19940218 (AES)</v>
      </c>
      <c r="N963" t="str">
        <f t="shared" si="80"/>
        <v>ミラクルアドベンチャー</v>
      </c>
      <c r="O963" t="str">
        <f t="shared" si="80"/>
        <v/>
      </c>
      <c r="P963" t="str">
        <f t="shared" si="80"/>
        <v/>
      </c>
      <c r="T963" t="str">
        <f t="shared" ref="T963:T1026" si="83">IF(S963="","",I963&amp;S963)</f>
        <v/>
      </c>
      <c r="V963" t="str">
        <f t="shared" si="79"/>
        <v>MVS,AES</v>
      </c>
      <c r="W963" t="str">
        <f t="shared" si="79"/>
        <v>MVS,AES</v>
      </c>
      <c r="AG963" t="s">
        <v>6</v>
      </c>
      <c r="AH963" t="s">
        <v>5293</v>
      </c>
      <c r="AI963" t="s">
        <v>4</v>
      </c>
      <c r="AJ963" t="s">
        <v>15</v>
      </c>
      <c r="AK963" t="s">
        <v>5292</v>
      </c>
      <c r="AL963" t="s">
        <v>5291</v>
      </c>
    </row>
    <row r="964" spans="5:38" x14ac:dyDescent="0.25">
      <c r="I964" t="str">
        <f t="shared" si="81"/>
        <v>spinmast</v>
      </c>
      <c r="J964" t="str">
        <f t="shared" si="82"/>
        <v/>
      </c>
      <c r="L964" t="str">
        <f t="shared" si="80"/>
        <v>NGM-062 (MVS), NGH-062 (AES)</v>
      </c>
      <c r="M964" t="str">
        <f t="shared" si="80"/>
        <v>19931216 (MVS), 19940218 (AES)</v>
      </c>
      <c r="N964" t="str">
        <f t="shared" si="80"/>
        <v>ミラクルアドベンチャー</v>
      </c>
      <c r="O964" t="str">
        <f t="shared" si="80"/>
        <v/>
      </c>
      <c r="P964" t="str">
        <f t="shared" si="80"/>
        <v/>
      </c>
      <c r="T964" t="str">
        <f t="shared" si="83"/>
        <v/>
      </c>
      <c r="V964" t="str">
        <f t="shared" si="79"/>
        <v>MVS,AES</v>
      </c>
      <c r="W964" t="str">
        <f t="shared" si="79"/>
        <v>MVS,AES</v>
      </c>
      <c r="AG964" t="s">
        <v>6</v>
      </c>
      <c r="AH964" t="s">
        <v>5290</v>
      </c>
      <c r="AI964" t="s">
        <v>3</v>
      </c>
      <c r="AJ964" t="s">
        <v>15</v>
      </c>
      <c r="AK964" t="s">
        <v>5289</v>
      </c>
      <c r="AL964" t="s">
        <v>5288</v>
      </c>
    </row>
    <row r="965" spans="5:38" x14ac:dyDescent="0.25">
      <c r="I965" t="str">
        <f t="shared" si="81"/>
        <v>spinmast</v>
      </c>
      <c r="J965" t="str">
        <f t="shared" si="82"/>
        <v/>
      </c>
      <c r="L965" t="str">
        <f t="shared" si="80"/>
        <v>NGM-062 (MVS), NGH-062 (AES)</v>
      </c>
      <c r="M965" t="str">
        <f t="shared" si="80"/>
        <v>19931216 (MVS), 19940218 (AES)</v>
      </c>
      <c r="N965" t="str">
        <f t="shared" si="80"/>
        <v>ミラクルアドベンチャー</v>
      </c>
      <c r="O965" t="str">
        <f t="shared" si="80"/>
        <v/>
      </c>
      <c r="P965" t="str">
        <f t="shared" si="80"/>
        <v/>
      </c>
      <c r="T965" t="str">
        <f t="shared" si="83"/>
        <v/>
      </c>
      <c r="V965" t="str">
        <f t="shared" si="79"/>
        <v>MVS,AES</v>
      </c>
      <c r="W965" t="str">
        <f t="shared" si="79"/>
        <v>MVS,AES</v>
      </c>
      <c r="AG965" t="s">
        <v>6</v>
      </c>
      <c r="AH965" t="s">
        <v>5287</v>
      </c>
      <c r="AI965" t="s">
        <v>4371</v>
      </c>
      <c r="AJ965" t="s">
        <v>15</v>
      </c>
      <c r="AK965" t="s">
        <v>5286</v>
      </c>
      <c r="AL965" t="s">
        <v>5285</v>
      </c>
    </row>
    <row r="966" spans="5:38" x14ac:dyDescent="0.25">
      <c r="I966" t="str">
        <f t="shared" si="81"/>
        <v>spinmast</v>
      </c>
      <c r="J966" t="str">
        <f t="shared" si="82"/>
        <v/>
      </c>
      <c r="L966" t="str">
        <f t="shared" si="80"/>
        <v>NGM-062 (MVS), NGH-062 (AES)</v>
      </c>
      <c r="M966" t="str">
        <f t="shared" si="80"/>
        <v>19931216 (MVS), 19940218 (AES)</v>
      </c>
      <c r="N966" t="str">
        <f t="shared" si="80"/>
        <v>ミラクルアドベンチャー</v>
      </c>
      <c r="O966" t="str">
        <f t="shared" si="80"/>
        <v/>
      </c>
      <c r="P966" t="str">
        <f t="shared" si="80"/>
        <v/>
      </c>
      <c r="T966" t="str">
        <f t="shared" si="83"/>
        <v/>
      </c>
      <c r="V966" t="str">
        <f t="shared" si="79"/>
        <v>MVS,AES</v>
      </c>
      <c r="W966" t="str">
        <f t="shared" si="79"/>
        <v>MVS,AES</v>
      </c>
      <c r="AG966" t="s">
        <v>6</v>
      </c>
      <c r="AH966" t="s">
        <v>5284</v>
      </c>
      <c r="AI966" t="s">
        <v>11</v>
      </c>
      <c r="AJ966" t="s">
        <v>15</v>
      </c>
      <c r="AK966" t="s">
        <v>5283</v>
      </c>
      <c r="AL966" t="s">
        <v>5282</v>
      </c>
    </row>
    <row r="967" spans="5:38" x14ac:dyDescent="0.25">
      <c r="I967" t="str">
        <f t="shared" si="81"/>
        <v>spinmast</v>
      </c>
      <c r="J967" t="str">
        <f t="shared" si="82"/>
        <v/>
      </c>
      <c r="L967" t="str">
        <f t="shared" si="80"/>
        <v>NGM-062 (MVS), NGH-062 (AES)</v>
      </c>
      <c r="M967" t="str">
        <f t="shared" si="80"/>
        <v>19931216 (MVS), 19940218 (AES)</v>
      </c>
      <c r="N967" t="str">
        <f t="shared" si="80"/>
        <v>ミラクルアドベンチャー</v>
      </c>
      <c r="O967" t="str">
        <f t="shared" si="80"/>
        <v/>
      </c>
      <c r="P967" t="str">
        <f t="shared" si="80"/>
        <v/>
      </c>
      <c r="T967" t="str">
        <f t="shared" si="83"/>
        <v/>
      </c>
      <c r="V967" t="str">
        <f t="shared" si="79"/>
        <v>MVS,AES</v>
      </c>
      <c r="W967" t="str">
        <f t="shared" si="79"/>
        <v>MVS,AES</v>
      </c>
      <c r="AG967" t="s">
        <v>6</v>
      </c>
      <c r="AH967" t="s">
        <v>5281</v>
      </c>
      <c r="AI967" t="s">
        <v>932</v>
      </c>
      <c r="AJ967" t="s">
        <v>15</v>
      </c>
      <c r="AK967" t="s">
        <v>5280</v>
      </c>
      <c r="AL967" t="s">
        <v>5279</v>
      </c>
    </row>
    <row r="968" spans="5:38" x14ac:dyDescent="0.25">
      <c r="I968" t="str">
        <f t="shared" si="81"/>
        <v>spinmast</v>
      </c>
      <c r="J968" t="str">
        <f t="shared" si="82"/>
        <v/>
      </c>
      <c r="L968" t="str">
        <f t="shared" si="80"/>
        <v>NGM-062 (MVS), NGH-062 (AES)</v>
      </c>
      <c r="M968" t="str">
        <f t="shared" si="80"/>
        <v>19931216 (MVS), 19940218 (AES)</v>
      </c>
      <c r="N968" t="str">
        <f t="shared" si="80"/>
        <v>ミラクルアドベンチャー</v>
      </c>
      <c r="O968" t="str">
        <f t="shared" si="80"/>
        <v/>
      </c>
      <c r="P968" t="str">
        <f t="shared" si="80"/>
        <v/>
      </c>
      <c r="T968" t="str">
        <f t="shared" si="83"/>
        <v/>
      </c>
      <c r="V968" t="str">
        <f t="shared" si="79"/>
        <v>MVS,AES</v>
      </c>
      <c r="W968" t="str">
        <f t="shared" si="79"/>
        <v>MVS,AES</v>
      </c>
      <c r="AG968" t="s">
        <v>6</v>
      </c>
      <c r="AH968" t="s">
        <v>5278</v>
      </c>
      <c r="AI968" t="s">
        <v>75</v>
      </c>
      <c r="AJ968" t="s">
        <v>15</v>
      </c>
      <c r="AK968" t="s">
        <v>5277</v>
      </c>
      <c r="AL968" t="s">
        <v>5276</v>
      </c>
    </row>
    <row r="969" spans="5:38" x14ac:dyDescent="0.25">
      <c r="I969" t="str">
        <f t="shared" si="81"/>
        <v>spinmast</v>
      </c>
      <c r="J969" t="str">
        <f t="shared" si="82"/>
        <v/>
      </c>
      <c r="L969" t="str">
        <f t="shared" si="80"/>
        <v>NGM-062 (MVS), NGH-062 (AES)</v>
      </c>
      <c r="M969" t="str">
        <f t="shared" si="80"/>
        <v>19931216 (MVS), 19940218 (AES)</v>
      </c>
      <c r="N969" t="str">
        <f t="shared" si="80"/>
        <v>ミラクルアドベンチャー</v>
      </c>
      <c r="O969" t="str">
        <f t="shared" si="80"/>
        <v/>
      </c>
      <c r="P969" t="str">
        <f t="shared" si="80"/>
        <v/>
      </c>
      <c r="T969" t="str">
        <f t="shared" si="83"/>
        <v/>
      </c>
      <c r="V969" t="str">
        <f t="shared" si="79"/>
        <v>MVS,AES</v>
      </c>
      <c r="W969" t="str">
        <f t="shared" si="79"/>
        <v>MVS,AES</v>
      </c>
      <c r="AG969" t="s">
        <v>6</v>
      </c>
      <c r="AH969" t="s">
        <v>5275</v>
      </c>
      <c r="AI969" t="s">
        <v>5274</v>
      </c>
      <c r="AJ969" t="s">
        <v>15</v>
      </c>
      <c r="AK969" t="s">
        <v>5273</v>
      </c>
      <c r="AL969" t="s">
        <v>5272</v>
      </c>
    </row>
    <row r="970" spans="5:38" x14ac:dyDescent="0.25">
      <c r="E970" t="s">
        <v>5248</v>
      </c>
      <c r="F970" t="s">
        <v>5271</v>
      </c>
      <c r="G970" t="s">
        <v>393</v>
      </c>
      <c r="H970" t="s">
        <v>1912</v>
      </c>
      <c r="I970" t="str">
        <f t="shared" si="81"/>
        <v>samsho2</v>
      </c>
      <c r="J970" t="str">
        <f t="shared" si="82"/>
        <v>samsho2serial</v>
      </c>
      <c r="K970" t="s">
        <v>1373</v>
      </c>
      <c r="L970" t="str">
        <f t="shared" si="80"/>
        <v>NGM-063 (MVS), NGH-063 (AES)</v>
      </c>
      <c r="M970" t="str">
        <f t="shared" si="80"/>
        <v>19941028 (MVS), 19941202 (AES)</v>
      </c>
      <c r="N970" t="str">
        <f t="shared" si="80"/>
        <v>真 サムライスピリッツ 覇王丸地獄変</v>
      </c>
      <c r="O970" t="str">
        <f t="shared" si="80"/>
        <v/>
      </c>
      <c r="P970" t="str">
        <f t="shared" si="80"/>
        <v/>
      </c>
      <c r="Q970" t="s">
        <v>5270</v>
      </c>
      <c r="S970" t="s">
        <v>46</v>
      </c>
      <c r="T970" t="str">
        <f t="shared" si="83"/>
        <v>samsho2release</v>
      </c>
      <c r="U970" t="s">
        <v>218</v>
      </c>
      <c r="V970" t="str">
        <f t="shared" si="79"/>
        <v>MVS,AES</v>
      </c>
      <c r="W970" t="str">
        <f t="shared" si="79"/>
        <v>MVS,AES</v>
      </c>
      <c r="Y970" t="s">
        <v>45</v>
      </c>
      <c r="Z970" t="s">
        <v>44</v>
      </c>
      <c r="AB970" t="s">
        <v>43</v>
      </c>
      <c r="AC970" t="s">
        <v>42</v>
      </c>
      <c r="AD970" t="s">
        <v>41</v>
      </c>
      <c r="AE970" t="s">
        <v>3</v>
      </c>
      <c r="AG970" t="s">
        <v>40</v>
      </c>
      <c r="AH970" t="s">
        <v>5269</v>
      </c>
      <c r="AI970" t="s">
        <v>15</v>
      </c>
      <c r="AJ970" t="s">
        <v>15</v>
      </c>
      <c r="AK970" t="s">
        <v>5268</v>
      </c>
      <c r="AL970" t="s">
        <v>5267</v>
      </c>
    </row>
    <row r="971" spans="5:38" x14ac:dyDescent="0.25">
      <c r="I971" t="str">
        <f t="shared" si="81"/>
        <v>samsho2</v>
      </c>
      <c r="J971" t="str">
        <f t="shared" si="82"/>
        <v>samsho2release</v>
      </c>
      <c r="K971" t="s">
        <v>46</v>
      </c>
      <c r="L971" t="str">
        <f t="shared" si="80"/>
        <v>NGM-063 (MVS), NGH-063 (AES)</v>
      </c>
      <c r="M971" t="str">
        <f t="shared" si="80"/>
        <v>19941028 (MVS), 19941202 (AES)</v>
      </c>
      <c r="N971" t="str">
        <f t="shared" si="80"/>
        <v>真 サムライスピリッツ 覇王丸地獄変</v>
      </c>
      <c r="O971" t="str">
        <f t="shared" si="80"/>
        <v/>
      </c>
      <c r="P971" t="str">
        <f t="shared" si="80"/>
        <v/>
      </c>
      <c r="Q971" t="s">
        <v>5266</v>
      </c>
      <c r="T971" t="str">
        <f t="shared" si="83"/>
        <v/>
      </c>
      <c r="V971" t="str">
        <f t="shared" si="79"/>
        <v>MVS,AES</v>
      </c>
      <c r="W971" t="str">
        <f t="shared" si="79"/>
        <v>MVS,AES</v>
      </c>
      <c r="AG971" t="s">
        <v>224</v>
      </c>
      <c r="AI971" t="s">
        <v>9</v>
      </c>
      <c r="AJ971" t="s">
        <v>15</v>
      </c>
    </row>
    <row r="972" spans="5:38" x14ac:dyDescent="0.25">
      <c r="I972" t="str">
        <f t="shared" si="81"/>
        <v>samsho2</v>
      </c>
      <c r="J972" t="str">
        <f t="shared" si="82"/>
        <v>samsho2alt_title</v>
      </c>
      <c r="K972" t="s">
        <v>1218</v>
      </c>
      <c r="L972" t="str">
        <f t="shared" si="80"/>
        <v>NGM-063 (MVS), NGH-063 (AES)</v>
      </c>
      <c r="M972" t="str">
        <f t="shared" si="80"/>
        <v>19941028 (MVS), 19941202 (AES)</v>
      </c>
      <c r="N972" t="str">
        <f t="shared" si="80"/>
        <v>真 サムライスピリッツ 覇王丸地獄変</v>
      </c>
      <c r="O972" t="str">
        <f t="shared" si="80"/>
        <v/>
      </c>
      <c r="P972" t="str">
        <f t="shared" si="80"/>
        <v/>
      </c>
      <c r="Q972" t="s">
        <v>5265</v>
      </c>
      <c r="T972" t="str">
        <f t="shared" si="83"/>
        <v/>
      </c>
      <c r="V972" t="str">
        <f t="shared" si="79"/>
        <v>MVS,AES</v>
      </c>
      <c r="W972" t="str">
        <f t="shared" si="79"/>
        <v>MVS,AES</v>
      </c>
      <c r="AB972" t="s">
        <v>34</v>
      </c>
      <c r="AE972" t="s">
        <v>33</v>
      </c>
      <c r="AH972" t="s">
        <v>5264</v>
      </c>
      <c r="AI972" t="s">
        <v>9</v>
      </c>
      <c r="AJ972" t="s">
        <v>27</v>
      </c>
      <c r="AK972" t="s">
        <v>5263</v>
      </c>
      <c r="AL972" t="s">
        <v>5262</v>
      </c>
    </row>
    <row r="973" spans="5:38" x14ac:dyDescent="0.25">
      <c r="I973" t="str">
        <f t="shared" si="81"/>
        <v>samsho2</v>
      </c>
      <c r="J973" t="str">
        <f t="shared" si="82"/>
        <v/>
      </c>
      <c r="L973" t="str">
        <f t="shared" si="80"/>
        <v>NGM-063 (MVS), NGH-063 (AES)</v>
      </c>
      <c r="M973" t="str">
        <f t="shared" si="80"/>
        <v>19941028 (MVS), 19941202 (AES)</v>
      </c>
      <c r="N973" t="str">
        <f t="shared" si="80"/>
        <v>真 サムライスピリッツ 覇王丸地獄変</v>
      </c>
      <c r="O973" t="str">
        <f t="shared" si="80"/>
        <v/>
      </c>
      <c r="P973" t="str">
        <f t="shared" si="80"/>
        <v/>
      </c>
      <c r="S973" t="s">
        <v>36</v>
      </c>
      <c r="T973" t="str">
        <f t="shared" si="83"/>
        <v>samsho2compatibility</v>
      </c>
      <c r="U973" t="s">
        <v>218</v>
      </c>
      <c r="V973" t="str">
        <f t="shared" si="79"/>
        <v>MVS,AES</v>
      </c>
      <c r="W973" t="str">
        <f t="shared" si="79"/>
        <v>MVS,AES</v>
      </c>
      <c r="AB973" t="s">
        <v>29</v>
      </c>
      <c r="AE973" t="s">
        <v>27</v>
      </c>
      <c r="AH973" t="s">
        <v>5244</v>
      </c>
      <c r="AI973" t="s">
        <v>9</v>
      </c>
      <c r="AJ973" t="s">
        <v>27</v>
      </c>
      <c r="AK973" t="s">
        <v>5243</v>
      </c>
      <c r="AL973" t="s">
        <v>5242</v>
      </c>
    </row>
    <row r="974" spans="5:38" x14ac:dyDescent="0.25">
      <c r="I974" t="str">
        <f t="shared" si="81"/>
        <v>samsho2</v>
      </c>
      <c r="J974" t="str">
        <f t="shared" si="82"/>
        <v/>
      </c>
      <c r="L974" t="str">
        <f t="shared" si="80"/>
        <v>NGM-063 (MVS), NGH-063 (AES)</v>
      </c>
      <c r="M974" t="str">
        <f t="shared" si="80"/>
        <v>19941028 (MVS), 19941202 (AES)</v>
      </c>
      <c r="N974" t="str">
        <f t="shared" si="80"/>
        <v>真 サムライスピリッツ 覇王丸地獄変</v>
      </c>
      <c r="O974" t="str">
        <f t="shared" si="80"/>
        <v/>
      </c>
      <c r="P974" t="str">
        <f t="shared" si="80"/>
        <v/>
      </c>
      <c r="T974" t="str">
        <f t="shared" si="83"/>
        <v/>
      </c>
      <c r="V974" t="str">
        <f t="shared" si="79"/>
        <v>MVS,AES</v>
      </c>
      <c r="W974" t="str">
        <f t="shared" si="79"/>
        <v>MVS,AES</v>
      </c>
      <c r="AB974" t="s">
        <v>24</v>
      </c>
      <c r="AE974" t="s">
        <v>211</v>
      </c>
      <c r="AH974" t="s">
        <v>5241</v>
      </c>
      <c r="AI974" t="s">
        <v>9</v>
      </c>
      <c r="AJ974" t="s">
        <v>3</v>
      </c>
      <c r="AK974" t="s">
        <v>5240</v>
      </c>
      <c r="AL974" t="s">
        <v>5239</v>
      </c>
    </row>
    <row r="975" spans="5:38" x14ac:dyDescent="0.25">
      <c r="I975" t="str">
        <f t="shared" si="81"/>
        <v>samsho2</v>
      </c>
      <c r="J975" t="str">
        <f t="shared" si="82"/>
        <v/>
      </c>
      <c r="L975" t="str">
        <f t="shared" si="80"/>
        <v>NGM-063 (MVS), NGH-063 (AES)</v>
      </c>
      <c r="M975" t="str">
        <f t="shared" si="80"/>
        <v>19941028 (MVS), 19941202 (AES)</v>
      </c>
      <c r="N975" t="str">
        <f t="shared" si="80"/>
        <v>真 サムライスピリッツ 覇王丸地獄変</v>
      </c>
      <c r="O975" t="str">
        <f t="shared" si="80"/>
        <v/>
      </c>
      <c r="P975" t="str">
        <f t="shared" si="80"/>
        <v/>
      </c>
      <c r="T975" t="str">
        <f t="shared" si="83"/>
        <v/>
      </c>
      <c r="V975" t="str">
        <f t="shared" si="79"/>
        <v>MVS,AES</v>
      </c>
      <c r="W975" t="str">
        <f t="shared" si="79"/>
        <v>MVS,AES</v>
      </c>
      <c r="AH975" t="s">
        <v>5238</v>
      </c>
      <c r="AI975" t="s">
        <v>3</v>
      </c>
      <c r="AJ975" t="s">
        <v>3</v>
      </c>
      <c r="AK975" t="s">
        <v>5237</v>
      </c>
      <c r="AL975" t="s">
        <v>5236</v>
      </c>
    </row>
    <row r="976" spans="5:38" x14ac:dyDescent="0.25">
      <c r="I976" t="str">
        <f t="shared" si="81"/>
        <v>samsho2</v>
      </c>
      <c r="J976" t="str">
        <f t="shared" si="82"/>
        <v/>
      </c>
      <c r="L976" t="str">
        <f t="shared" si="80"/>
        <v>NGM-063 (MVS), NGH-063 (AES)</v>
      </c>
      <c r="M976" t="str">
        <f t="shared" si="80"/>
        <v>19941028 (MVS), 19941202 (AES)</v>
      </c>
      <c r="N976" t="str">
        <f t="shared" si="80"/>
        <v>真 サムライスピリッツ 覇王丸地獄変</v>
      </c>
      <c r="O976" t="str">
        <f t="shared" si="80"/>
        <v/>
      </c>
      <c r="P976" t="str">
        <f t="shared" si="80"/>
        <v/>
      </c>
      <c r="T976" t="str">
        <f t="shared" si="83"/>
        <v/>
      </c>
      <c r="V976" t="str">
        <f t="shared" si="79"/>
        <v>MVS,AES</v>
      </c>
      <c r="W976" t="str">
        <f t="shared" si="79"/>
        <v>MVS,AES</v>
      </c>
      <c r="AH976" t="s">
        <v>5235</v>
      </c>
      <c r="AI976" t="s">
        <v>11</v>
      </c>
      <c r="AJ976" t="s">
        <v>3</v>
      </c>
      <c r="AK976" t="s">
        <v>5234</v>
      </c>
      <c r="AL976" t="s">
        <v>5233</v>
      </c>
    </row>
    <row r="977" spans="5:44" x14ac:dyDescent="0.25">
      <c r="I977" t="str">
        <f t="shared" si="81"/>
        <v>samsho2</v>
      </c>
      <c r="J977" t="str">
        <f t="shared" si="82"/>
        <v/>
      </c>
      <c r="L977" t="str">
        <f t="shared" si="80"/>
        <v>NGM-063 (MVS), NGH-063 (AES)</v>
      </c>
      <c r="M977" t="str">
        <f t="shared" si="80"/>
        <v>19941028 (MVS), 19941202 (AES)</v>
      </c>
      <c r="N977" t="str">
        <f t="shared" si="80"/>
        <v>真 サムライスピリッツ 覇王丸地獄変</v>
      </c>
      <c r="O977" t="str">
        <f t="shared" si="80"/>
        <v/>
      </c>
      <c r="P977" t="str">
        <f t="shared" si="80"/>
        <v/>
      </c>
      <c r="T977" t="str">
        <f t="shared" si="83"/>
        <v/>
      </c>
      <c r="V977" t="str">
        <f t="shared" si="79"/>
        <v>MVS,AES</v>
      </c>
      <c r="W977" t="str">
        <f t="shared" si="79"/>
        <v>MVS,AES</v>
      </c>
      <c r="AH977" t="s">
        <v>5232</v>
      </c>
      <c r="AI977" t="s">
        <v>75</v>
      </c>
      <c r="AJ977" t="s">
        <v>15</v>
      </c>
      <c r="AK977" t="s">
        <v>5231</v>
      </c>
      <c r="AL977" t="s">
        <v>5230</v>
      </c>
    </row>
    <row r="978" spans="5:44" x14ac:dyDescent="0.25">
      <c r="I978" t="str">
        <f t="shared" si="81"/>
        <v>samsho2</v>
      </c>
      <c r="J978" t="str">
        <f t="shared" si="82"/>
        <v/>
      </c>
      <c r="L978" t="str">
        <f t="shared" si="80"/>
        <v>NGM-063 (MVS), NGH-063 (AES)</v>
      </c>
      <c r="M978" t="str">
        <f t="shared" si="80"/>
        <v>19941028 (MVS), 19941202 (AES)</v>
      </c>
      <c r="N978" t="str">
        <f t="shared" si="80"/>
        <v>真 サムライスピリッツ 覇王丸地獄変</v>
      </c>
      <c r="O978" t="str">
        <f t="shared" si="80"/>
        <v/>
      </c>
      <c r="P978" t="str">
        <f t="shared" si="80"/>
        <v/>
      </c>
      <c r="T978" t="str">
        <f t="shared" si="83"/>
        <v/>
      </c>
      <c r="V978" t="str">
        <f t="shared" si="79"/>
        <v>MVS,AES</v>
      </c>
      <c r="W978" t="str">
        <f t="shared" si="79"/>
        <v>MVS,AES</v>
      </c>
      <c r="AB978" t="s">
        <v>12</v>
      </c>
      <c r="AE978" t="s">
        <v>65</v>
      </c>
      <c r="AG978" t="s">
        <v>6</v>
      </c>
      <c r="AH978" t="s">
        <v>5229</v>
      </c>
      <c r="AI978" t="s">
        <v>9</v>
      </c>
      <c r="AJ978" t="s">
        <v>3</v>
      </c>
      <c r="AK978" t="s">
        <v>5228</v>
      </c>
      <c r="AL978" t="s">
        <v>5227</v>
      </c>
    </row>
    <row r="979" spans="5:44" x14ac:dyDescent="0.25">
      <c r="I979" t="str">
        <f t="shared" si="81"/>
        <v>samsho2</v>
      </c>
      <c r="J979" t="str">
        <f t="shared" si="82"/>
        <v/>
      </c>
      <c r="L979" t="str">
        <f t="shared" si="80"/>
        <v>NGM-063 (MVS), NGH-063 (AES)</v>
      </c>
      <c r="M979" t="str">
        <f t="shared" si="80"/>
        <v>19941028 (MVS), 19941202 (AES)</v>
      </c>
      <c r="N979" t="str">
        <f t="shared" si="80"/>
        <v>真 サムライスピリッツ 覇王丸地獄変</v>
      </c>
      <c r="O979" t="str">
        <f t="shared" si="80"/>
        <v/>
      </c>
      <c r="P979" t="str">
        <f t="shared" si="80"/>
        <v/>
      </c>
      <c r="T979" t="str">
        <f t="shared" si="83"/>
        <v/>
      </c>
      <c r="V979" t="str">
        <f t="shared" si="79"/>
        <v>MVS,AES</v>
      </c>
      <c r="W979" t="str">
        <f t="shared" si="79"/>
        <v>MVS,AES</v>
      </c>
      <c r="AG979" t="s">
        <v>6</v>
      </c>
      <c r="AH979" t="s">
        <v>5226</v>
      </c>
      <c r="AI979" t="s">
        <v>4</v>
      </c>
      <c r="AJ979" t="s">
        <v>3</v>
      </c>
      <c r="AK979" t="s">
        <v>5225</v>
      </c>
      <c r="AL979" t="s">
        <v>5224</v>
      </c>
    </row>
    <row r="980" spans="5:44" x14ac:dyDescent="0.25">
      <c r="I980" t="str">
        <f t="shared" si="81"/>
        <v>samsho2</v>
      </c>
      <c r="J980" t="str">
        <f t="shared" si="82"/>
        <v/>
      </c>
      <c r="L980" t="str">
        <f t="shared" si="80"/>
        <v>NGM-063 (MVS), NGH-063 (AES)</v>
      </c>
      <c r="M980" t="str">
        <f t="shared" si="80"/>
        <v>19941028 (MVS), 19941202 (AES)</v>
      </c>
      <c r="N980" t="str">
        <f t="shared" si="80"/>
        <v>真 サムライスピリッツ 覇王丸地獄変</v>
      </c>
      <c r="O980" t="str">
        <f t="shared" si="80"/>
        <v/>
      </c>
      <c r="P980" t="str">
        <f t="shared" si="80"/>
        <v/>
      </c>
      <c r="T980" t="str">
        <f t="shared" si="83"/>
        <v/>
      </c>
      <c r="V980" t="str">
        <f t="shared" si="79"/>
        <v>MVS,AES</v>
      </c>
      <c r="W980" t="str">
        <f t="shared" si="79"/>
        <v>MVS,AES</v>
      </c>
      <c r="AG980" t="s">
        <v>6</v>
      </c>
      <c r="AH980" t="s">
        <v>5223</v>
      </c>
      <c r="AI980" t="s">
        <v>11</v>
      </c>
      <c r="AJ980" t="s">
        <v>3</v>
      </c>
      <c r="AK980" t="s">
        <v>5222</v>
      </c>
      <c r="AL980" t="s">
        <v>5221</v>
      </c>
    </row>
    <row r="981" spans="5:44" x14ac:dyDescent="0.25">
      <c r="I981" t="str">
        <f t="shared" si="81"/>
        <v>samsho2</v>
      </c>
      <c r="J981" t="str">
        <f t="shared" si="82"/>
        <v/>
      </c>
      <c r="L981" t="str">
        <f t="shared" si="80"/>
        <v>NGM-063 (MVS), NGH-063 (AES)</v>
      </c>
      <c r="M981" t="str">
        <f t="shared" si="80"/>
        <v>19941028 (MVS), 19941202 (AES)</v>
      </c>
      <c r="N981" t="str">
        <f t="shared" si="80"/>
        <v>真 サムライスピリッツ 覇王丸地獄変</v>
      </c>
      <c r="O981" t="str">
        <f t="shared" si="80"/>
        <v/>
      </c>
      <c r="P981" t="str">
        <f t="shared" si="80"/>
        <v/>
      </c>
      <c r="T981" t="str">
        <f t="shared" si="83"/>
        <v/>
      </c>
      <c r="V981" t="str">
        <f t="shared" si="79"/>
        <v>MVS,AES</v>
      </c>
      <c r="W981" t="str">
        <f t="shared" si="79"/>
        <v>MVS,AES</v>
      </c>
      <c r="AG981" t="s">
        <v>6</v>
      </c>
      <c r="AH981" t="s">
        <v>5220</v>
      </c>
      <c r="AI981" t="s">
        <v>932</v>
      </c>
      <c r="AJ981" t="s">
        <v>3</v>
      </c>
      <c r="AK981" t="s">
        <v>5219</v>
      </c>
      <c r="AL981" t="s">
        <v>5218</v>
      </c>
    </row>
    <row r="982" spans="5:44" x14ac:dyDescent="0.25">
      <c r="I982" t="str">
        <f t="shared" si="81"/>
        <v>samsho2</v>
      </c>
      <c r="J982" t="str">
        <f t="shared" si="82"/>
        <v/>
      </c>
      <c r="L982" t="str">
        <f t="shared" si="80"/>
        <v>NGM-063 (MVS), NGH-063 (AES)</v>
      </c>
      <c r="M982" t="str">
        <f t="shared" si="80"/>
        <v>19941028 (MVS), 19941202 (AES)</v>
      </c>
      <c r="N982" t="str">
        <f t="shared" si="80"/>
        <v>真 サムライスピリッツ 覇王丸地獄変</v>
      </c>
      <c r="O982" t="str">
        <f t="shared" si="80"/>
        <v/>
      </c>
      <c r="P982" t="str">
        <f t="shared" si="80"/>
        <v/>
      </c>
      <c r="T982" t="str">
        <f t="shared" si="83"/>
        <v/>
      </c>
      <c r="V982" t="str">
        <f t="shared" si="79"/>
        <v>MVS,AES</v>
      </c>
      <c r="W982" t="str">
        <f t="shared" si="79"/>
        <v>MVS,AES</v>
      </c>
      <c r="AG982" t="s">
        <v>6</v>
      </c>
      <c r="AH982" t="s">
        <v>5217</v>
      </c>
      <c r="AI982" t="s">
        <v>57</v>
      </c>
      <c r="AJ982" t="s">
        <v>3</v>
      </c>
      <c r="AK982" t="s">
        <v>5216</v>
      </c>
      <c r="AL982" t="s">
        <v>5215</v>
      </c>
    </row>
    <row r="983" spans="5:44" x14ac:dyDescent="0.25">
      <c r="I983" t="str">
        <f t="shared" si="81"/>
        <v>samsho2</v>
      </c>
      <c r="J983" t="str">
        <f t="shared" si="82"/>
        <v/>
      </c>
      <c r="L983" t="str">
        <f t="shared" si="80"/>
        <v>NGM-063 (MVS), NGH-063 (AES)</v>
      </c>
      <c r="M983" t="str">
        <f t="shared" si="80"/>
        <v>19941028 (MVS), 19941202 (AES)</v>
      </c>
      <c r="N983" t="str">
        <f t="shared" si="80"/>
        <v>真 サムライスピリッツ 覇王丸地獄変</v>
      </c>
      <c r="O983" t="str">
        <f t="shared" si="80"/>
        <v/>
      </c>
      <c r="P983" t="str">
        <f t="shared" si="80"/>
        <v/>
      </c>
      <c r="T983" t="str">
        <f t="shared" si="83"/>
        <v/>
      </c>
      <c r="V983" t="str">
        <f t="shared" ref="V983:W1046" si="84">IFERROR(VLOOKUP($I983&amp;V$1,$T:$AA,2,0),"")</f>
        <v>MVS,AES</v>
      </c>
      <c r="W983" t="str">
        <f t="shared" si="84"/>
        <v>MVS,AES</v>
      </c>
      <c r="AG983" t="s">
        <v>6</v>
      </c>
      <c r="AH983" t="s">
        <v>5214</v>
      </c>
      <c r="AI983" t="s">
        <v>53</v>
      </c>
      <c r="AJ983" t="s">
        <v>3</v>
      </c>
      <c r="AK983" t="s">
        <v>5213</v>
      </c>
      <c r="AL983" t="s">
        <v>5212</v>
      </c>
    </row>
    <row r="984" spans="5:44" x14ac:dyDescent="0.25">
      <c r="I984" t="str">
        <f t="shared" si="81"/>
        <v>samsho2</v>
      </c>
      <c r="J984" t="str">
        <f t="shared" si="82"/>
        <v/>
      </c>
      <c r="L984" t="str">
        <f t="shared" ref="L984:P1034" si="85">IFERROR(VLOOKUP($I984&amp;L$1,$J:$Q,8,0),"")</f>
        <v>NGM-063 (MVS), NGH-063 (AES)</v>
      </c>
      <c r="M984" t="str">
        <f t="shared" si="85"/>
        <v>19941028 (MVS), 19941202 (AES)</v>
      </c>
      <c r="N984" t="str">
        <f t="shared" si="85"/>
        <v>真 サムライスピリッツ 覇王丸地獄変</v>
      </c>
      <c r="O984" t="str">
        <f t="shared" si="85"/>
        <v/>
      </c>
      <c r="P984" t="str">
        <f t="shared" si="85"/>
        <v/>
      </c>
      <c r="T984" t="str">
        <f t="shared" si="83"/>
        <v/>
      </c>
      <c r="V984" t="str">
        <f t="shared" si="84"/>
        <v>MVS,AES</v>
      </c>
      <c r="W984" t="str">
        <f t="shared" si="84"/>
        <v>MVS,AES</v>
      </c>
      <c r="AG984" t="s">
        <v>6</v>
      </c>
      <c r="AH984" t="s">
        <v>5211</v>
      </c>
      <c r="AI984" t="s">
        <v>250</v>
      </c>
      <c r="AJ984" t="s">
        <v>3</v>
      </c>
      <c r="AK984" t="s">
        <v>5210</v>
      </c>
      <c r="AL984" t="s">
        <v>5209</v>
      </c>
    </row>
    <row r="985" spans="5:44" x14ac:dyDescent="0.25">
      <c r="I985" t="str">
        <f t="shared" si="81"/>
        <v>samsho2</v>
      </c>
      <c r="J985" t="str">
        <f t="shared" si="82"/>
        <v/>
      </c>
      <c r="L985" t="str">
        <f t="shared" si="85"/>
        <v>NGM-063 (MVS), NGH-063 (AES)</v>
      </c>
      <c r="M985" t="str">
        <f t="shared" si="85"/>
        <v>19941028 (MVS), 19941202 (AES)</v>
      </c>
      <c r="N985" t="str">
        <f t="shared" si="85"/>
        <v>真 サムライスピリッツ 覇王丸地獄変</v>
      </c>
      <c r="O985" t="str">
        <f t="shared" si="85"/>
        <v/>
      </c>
      <c r="P985" t="str">
        <f t="shared" si="85"/>
        <v/>
      </c>
      <c r="T985" t="str">
        <f t="shared" si="83"/>
        <v/>
      </c>
      <c r="V985" t="str">
        <f t="shared" si="84"/>
        <v>MVS,AES</v>
      </c>
      <c r="W985" t="str">
        <f t="shared" si="84"/>
        <v>MVS,AES</v>
      </c>
      <c r="AG985" t="s">
        <v>6</v>
      </c>
      <c r="AH985" t="s">
        <v>5208</v>
      </c>
      <c r="AI985" t="s">
        <v>4138</v>
      </c>
      <c r="AJ985" t="s">
        <v>3</v>
      </c>
      <c r="AK985" t="s">
        <v>5207</v>
      </c>
      <c r="AL985" t="s">
        <v>5206</v>
      </c>
    </row>
    <row r="986" spans="5:44" x14ac:dyDescent="0.25">
      <c r="E986" t="s">
        <v>5261</v>
      </c>
      <c r="F986" t="s">
        <v>5260</v>
      </c>
      <c r="G986" t="s">
        <v>393</v>
      </c>
      <c r="H986" t="s">
        <v>1912</v>
      </c>
      <c r="I986" t="str">
        <f t="shared" si="81"/>
        <v>samsho2k</v>
      </c>
      <c r="J986" t="str">
        <f t="shared" si="82"/>
        <v/>
      </c>
      <c r="L986" t="str">
        <f t="shared" si="85"/>
        <v/>
      </c>
      <c r="M986" t="str">
        <f t="shared" si="85"/>
        <v/>
      </c>
      <c r="N986" t="str">
        <f t="shared" si="85"/>
        <v/>
      </c>
      <c r="O986" t="str">
        <f t="shared" si="85"/>
        <v/>
      </c>
      <c r="P986" t="str">
        <f t="shared" si="85"/>
        <v/>
      </c>
      <c r="S986" t="s">
        <v>46</v>
      </c>
      <c r="T986" t="str">
        <f t="shared" si="83"/>
        <v>samsho2krelease</v>
      </c>
      <c r="U986" t="s">
        <v>106</v>
      </c>
      <c r="V986" t="str">
        <f t="shared" si="84"/>
        <v>MVS</v>
      </c>
      <c r="W986" t="str">
        <f t="shared" si="84"/>
        <v>MVS,AES</v>
      </c>
      <c r="Y986" t="s">
        <v>45</v>
      </c>
      <c r="Z986" t="s">
        <v>44</v>
      </c>
      <c r="AB986" t="s">
        <v>43</v>
      </c>
      <c r="AC986" t="s">
        <v>42</v>
      </c>
      <c r="AD986" t="s">
        <v>41</v>
      </c>
      <c r="AE986" t="s">
        <v>3</v>
      </c>
      <c r="AG986" t="s">
        <v>40</v>
      </c>
      <c r="AH986" t="s">
        <v>5251</v>
      </c>
      <c r="AI986" t="s">
        <v>15</v>
      </c>
      <c r="AJ986" t="s">
        <v>15</v>
      </c>
      <c r="AK986" t="s">
        <v>5250</v>
      </c>
      <c r="AL986" t="s">
        <v>5249</v>
      </c>
      <c r="AR986" t="s">
        <v>5248</v>
      </c>
    </row>
    <row r="987" spans="5:44" x14ac:dyDescent="0.25">
      <c r="I987" t="str">
        <f t="shared" si="81"/>
        <v>samsho2k</v>
      </c>
      <c r="J987" t="str">
        <f t="shared" si="82"/>
        <v/>
      </c>
      <c r="L987" t="str">
        <f t="shared" si="85"/>
        <v/>
      </c>
      <c r="M987" t="str">
        <f t="shared" si="85"/>
        <v/>
      </c>
      <c r="N987" t="str">
        <f t="shared" si="85"/>
        <v/>
      </c>
      <c r="O987" t="str">
        <f t="shared" si="85"/>
        <v/>
      </c>
      <c r="P987" t="str">
        <f t="shared" si="85"/>
        <v/>
      </c>
      <c r="S987" t="s">
        <v>36</v>
      </c>
      <c r="T987" t="str">
        <f t="shared" si="83"/>
        <v>samsho2kcompatibility</v>
      </c>
      <c r="U987" t="s">
        <v>218</v>
      </c>
      <c r="V987" t="str">
        <f t="shared" si="84"/>
        <v>MVS</v>
      </c>
      <c r="W987" t="str">
        <f t="shared" si="84"/>
        <v>MVS,AES</v>
      </c>
      <c r="AG987" t="s">
        <v>224</v>
      </c>
      <c r="AI987" t="s">
        <v>9</v>
      </c>
      <c r="AJ987" t="s">
        <v>15</v>
      </c>
    </row>
    <row r="988" spans="5:44" x14ac:dyDescent="0.25">
      <c r="I988" t="str">
        <f t="shared" si="81"/>
        <v>samsho2k</v>
      </c>
      <c r="J988" t="str">
        <f t="shared" si="82"/>
        <v/>
      </c>
      <c r="L988" t="str">
        <f t="shared" si="85"/>
        <v/>
      </c>
      <c r="M988" t="str">
        <f t="shared" si="85"/>
        <v/>
      </c>
      <c r="N988" t="str">
        <f t="shared" si="85"/>
        <v/>
      </c>
      <c r="O988" t="str">
        <f t="shared" si="85"/>
        <v/>
      </c>
      <c r="P988" t="str">
        <f t="shared" si="85"/>
        <v/>
      </c>
      <c r="T988" t="str">
        <f t="shared" si="83"/>
        <v/>
      </c>
      <c r="V988" t="str">
        <f t="shared" si="84"/>
        <v>MVS</v>
      </c>
      <c r="W988" t="str">
        <f t="shared" si="84"/>
        <v>MVS,AES</v>
      </c>
      <c r="AG988" t="s">
        <v>40</v>
      </c>
      <c r="AH988" t="s">
        <v>5259</v>
      </c>
      <c r="AI988" t="s">
        <v>9</v>
      </c>
      <c r="AJ988" t="s">
        <v>92</v>
      </c>
      <c r="AK988" t="s">
        <v>5258</v>
      </c>
      <c r="AL988" t="s">
        <v>5257</v>
      </c>
    </row>
    <row r="989" spans="5:44" x14ac:dyDescent="0.25">
      <c r="I989" t="str">
        <f t="shared" si="81"/>
        <v>samsho2k</v>
      </c>
      <c r="J989" t="str">
        <f t="shared" si="82"/>
        <v/>
      </c>
      <c r="L989" t="str">
        <f t="shared" si="85"/>
        <v/>
      </c>
      <c r="M989" t="str">
        <f t="shared" si="85"/>
        <v/>
      </c>
      <c r="N989" t="str">
        <f t="shared" si="85"/>
        <v/>
      </c>
      <c r="O989" t="str">
        <f t="shared" si="85"/>
        <v/>
      </c>
      <c r="P989" t="str">
        <f t="shared" si="85"/>
        <v/>
      </c>
      <c r="T989" t="str">
        <f t="shared" si="83"/>
        <v/>
      </c>
      <c r="V989" t="str">
        <f t="shared" si="84"/>
        <v>MVS</v>
      </c>
      <c r="W989" t="str">
        <f t="shared" si="84"/>
        <v>MVS,AES</v>
      </c>
      <c r="AG989" t="s">
        <v>40</v>
      </c>
      <c r="AH989" t="s">
        <v>5256</v>
      </c>
      <c r="AI989" t="s">
        <v>92</v>
      </c>
      <c r="AJ989" t="s">
        <v>92</v>
      </c>
      <c r="AK989" t="s">
        <v>5255</v>
      </c>
      <c r="AL989" t="s">
        <v>5254</v>
      </c>
    </row>
    <row r="990" spans="5:44" x14ac:dyDescent="0.25">
      <c r="I990" t="str">
        <f t="shared" si="81"/>
        <v>samsho2k</v>
      </c>
      <c r="J990" t="str">
        <f t="shared" si="82"/>
        <v/>
      </c>
      <c r="L990" t="str">
        <f t="shared" si="85"/>
        <v/>
      </c>
      <c r="M990" t="str">
        <f t="shared" si="85"/>
        <v/>
      </c>
      <c r="N990" t="str">
        <f t="shared" si="85"/>
        <v/>
      </c>
      <c r="O990" t="str">
        <f t="shared" si="85"/>
        <v/>
      </c>
      <c r="P990" t="str">
        <f t="shared" si="85"/>
        <v/>
      </c>
      <c r="T990" t="str">
        <f t="shared" si="83"/>
        <v/>
      </c>
      <c r="V990" t="str">
        <f t="shared" si="84"/>
        <v>MVS</v>
      </c>
      <c r="W990" t="str">
        <f t="shared" si="84"/>
        <v>MVS,AES</v>
      </c>
      <c r="AB990" t="s">
        <v>34</v>
      </c>
      <c r="AE990" t="s">
        <v>33</v>
      </c>
      <c r="AH990" t="s">
        <v>5247</v>
      </c>
      <c r="AI990" t="s">
        <v>9</v>
      </c>
      <c r="AJ990" t="s">
        <v>27</v>
      </c>
      <c r="AK990" t="s">
        <v>5246</v>
      </c>
      <c r="AL990" t="s">
        <v>5245</v>
      </c>
    </row>
    <row r="991" spans="5:44" x14ac:dyDescent="0.25">
      <c r="I991" t="str">
        <f t="shared" si="81"/>
        <v>samsho2k</v>
      </c>
      <c r="J991" t="str">
        <f t="shared" si="82"/>
        <v/>
      </c>
      <c r="L991" t="str">
        <f t="shared" si="85"/>
        <v/>
      </c>
      <c r="M991" t="str">
        <f t="shared" si="85"/>
        <v/>
      </c>
      <c r="N991" t="str">
        <f t="shared" si="85"/>
        <v/>
      </c>
      <c r="O991" t="str">
        <f t="shared" si="85"/>
        <v/>
      </c>
      <c r="P991" t="str">
        <f t="shared" si="85"/>
        <v/>
      </c>
      <c r="T991" t="str">
        <f t="shared" si="83"/>
        <v/>
      </c>
      <c r="V991" t="str">
        <f t="shared" si="84"/>
        <v>MVS</v>
      </c>
      <c r="W991" t="str">
        <f t="shared" si="84"/>
        <v>MVS,AES</v>
      </c>
      <c r="AB991" t="s">
        <v>29</v>
      </c>
      <c r="AE991" t="s">
        <v>27</v>
      </c>
      <c r="AH991" t="s">
        <v>5244</v>
      </c>
      <c r="AI991" t="s">
        <v>9</v>
      </c>
      <c r="AJ991" t="s">
        <v>27</v>
      </c>
      <c r="AK991" t="s">
        <v>5243</v>
      </c>
      <c r="AL991" t="s">
        <v>5242</v>
      </c>
    </row>
    <row r="992" spans="5:44" x14ac:dyDescent="0.25">
      <c r="I992" t="str">
        <f t="shared" si="81"/>
        <v>samsho2k</v>
      </c>
      <c r="J992" t="str">
        <f t="shared" si="82"/>
        <v/>
      </c>
      <c r="L992" t="str">
        <f t="shared" si="85"/>
        <v/>
      </c>
      <c r="M992" t="str">
        <f t="shared" si="85"/>
        <v/>
      </c>
      <c r="N992" t="str">
        <f t="shared" si="85"/>
        <v/>
      </c>
      <c r="O992" t="str">
        <f t="shared" si="85"/>
        <v/>
      </c>
      <c r="P992" t="str">
        <f t="shared" si="85"/>
        <v/>
      </c>
      <c r="T992" t="str">
        <f t="shared" si="83"/>
        <v/>
      </c>
      <c r="V992" t="str">
        <f t="shared" si="84"/>
        <v>MVS</v>
      </c>
      <c r="W992" t="str">
        <f t="shared" si="84"/>
        <v>MVS,AES</v>
      </c>
      <c r="AB992" t="s">
        <v>24</v>
      </c>
      <c r="AE992" t="s">
        <v>211</v>
      </c>
      <c r="AH992" t="s">
        <v>5241</v>
      </c>
      <c r="AI992" t="s">
        <v>9</v>
      </c>
      <c r="AJ992" t="s">
        <v>3</v>
      </c>
      <c r="AK992" t="s">
        <v>5240</v>
      </c>
      <c r="AL992" t="s">
        <v>5239</v>
      </c>
    </row>
    <row r="993" spans="5:44" x14ac:dyDescent="0.25">
      <c r="I993" t="str">
        <f t="shared" si="81"/>
        <v>samsho2k</v>
      </c>
      <c r="J993" t="str">
        <f t="shared" si="82"/>
        <v/>
      </c>
      <c r="L993" t="str">
        <f t="shared" si="85"/>
        <v/>
      </c>
      <c r="M993" t="str">
        <f t="shared" si="85"/>
        <v/>
      </c>
      <c r="N993" t="str">
        <f t="shared" si="85"/>
        <v/>
      </c>
      <c r="O993" t="str">
        <f t="shared" si="85"/>
        <v/>
      </c>
      <c r="P993" t="str">
        <f t="shared" si="85"/>
        <v/>
      </c>
      <c r="T993" t="str">
        <f t="shared" si="83"/>
        <v/>
      </c>
      <c r="V993" t="str">
        <f t="shared" si="84"/>
        <v>MVS</v>
      </c>
      <c r="W993" t="str">
        <f t="shared" si="84"/>
        <v>MVS,AES</v>
      </c>
      <c r="AH993" t="s">
        <v>5238</v>
      </c>
      <c r="AI993" t="s">
        <v>3</v>
      </c>
      <c r="AJ993" t="s">
        <v>3</v>
      </c>
      <c r="AK993" t="s">
        <v>5237</v>
      </c>
      <c r="AL993" t="s">
        <v>5236</v>
      </c>
    </row>
    <row r="994" spans="5:44" x14ac:dyDescent="0.25">
      <c r="I994" t="str">
        <f t="shared" si="81"/>
        <v>samsho2k</v>
      </c>
      <c r="J994" t="str">
        <f t="shared" si="82"/>
        <v/>
      </c>
      <c r="L994" t="str">
        <f t="shared" si="85"/>
        <v/>
      </c>
      <c r="M994" t="str">
        <f t="shared" si="85"/>
        <v/>
      </c>
      <c r="N994" t="str">
        <f t="shared" si="85"/>
        <v/>
      </c>
      <c r="O994" t="str">
        <f t="shared" si="85"/>
        <v/>
      </c>
      <c r="P994" t="str">
        <f t="shared" si="85"/>
        <v/>
      </c>
      <c r="T994" t="str">
        <f t="shared" si="83"/>
        <v/>
      </c>
      <c r="V994" t="str">
        <f t="shared" si="84"/>
        <v>MVS</v>
      </c>
      <c r="W994" t="str">
        <f t="shared" si="84"/>
        <v>MVS,AES</v>
      </c>
      <c r="AH994" t="s">
        <v>5235</v>
      </c>
      <c r="AI994" t="s">
        <v>11</v>
      </c>
      <c r="AJ994" t="s">
        <v>3</v>
      </c>
      <c r="AK994" t="s">
        <v>5234</v>
      </c>
      <c r="AL994" t="s">
        <v>5233</v>
      </c>
    </row>
    <row r="995" spans="5:44" x14ac:dyDescent="0.25">
      <c r="I995" t="str">
        <f t="shared" si="81"/>
        <v>samsho2k</v>
      </c>
      <c r="J995" t="str">
        <f t="shared" si="82"/>
        <v/>
      </c>
      <c r="L995" t="str">
        <f t="shared" si="85"/>
        <v/>
      </c>
      <c r="M995" t="str">
        <f t="shared" si="85"/>
        <v/>
      </c>
      <c r="N995" t="str">
        <f t="shared" si="85"/>
        <v/>
      </c>
      <c r="O995" t="str">
        <f t="shared" si="85"/>
        <v/>
      </c>
      <c r="P995" t="str">
        <f t="shared" si="85"/>
        <v/>
      </c>
      <c r="T995" t="str">
        <f t="shared" si="83"/>
        <v/>
      </c>
      <c r="V995" t="str">
        <f t="shared" si="84"/>
        <v>MVS</v>
      </c>
      <c r="W995" t="str">
        <f t="shared" si="84"/>
        <v>MVS,AES</v>
      </c>
      <c r="AH995" t="s">
        <v>5232</v>
      </c>
      <c r="AI995" t="s">
        <v>75</v>
      </c>
      <c r="AJ995" t="s">
        <v>15</v>
      </c>
      <c r="AK995" t="s">
        <v>5231</v>
      </c>
      <c r="AL995" t="s">
        <v>5230</v>
      </c>
    </row>
    <row r="996" spans="5:44" x14ac:dyDescent="0.25">
      <c r="I996" t="str">
        <f t="shared" si="81"/>
        <v>samsho2k</v>
      </c>
      <c r="J996" t="str">
        <f t="shared" si="82"/>
        <v/>
      </c>
      <c r="L996" t="str">
        <f t="shared" si="85"/>
        <v/>
      </c>
      <c r="M996" t="str">
        <f t="shared" si="85"/>
        <v/>
      </c>
      <c r="N996" t="str">
        <f t="shared" si="85"/>
        <v/>
      </c>
      <c r="O996" t="str">
        <f t="shared" si="85"/>
        <v/>
      </c>
      <c r="P996" t="str">
        <f t="shared" si="85"/>
        <v/>
      </c>
      <c r="T996" t="str">
        <f t="shared" si="83"/>
        <v/>
      </c>
      <c r="V996" t="str">
        <f t="shared" si="84"/>
        <v>MVS</v>
      </c>
      <c r="W996" t="str">
        <f t="shared" si="84"/>
        <v>MVS,AES</v>
      </c>
      <c r="AB996" t="s">
        <v>12</v>
      </c>
      <c r="AE996" t="s">
        <v>65</v>
      </c>
      <c r="AG996" t="s">
        <v>6</v>
      </c>
      <c r="AH996" t="s">
        <v>5229</v>
      </c>
      <c r="AI996" t="s">
        <v>9</v>
      </c>
      <c r="AJ996" t="s">
        <v>3</v>
      </c>
      <c r="AK996" t="s">
        <v>5228</v>
      </c>
      <c r="AL996" t="s">
        <v>5227</v>
      </c>
    </row>
    <row r="997" spans="5:44" x14ac:dyDescent="0.25">
      <c r="I997" t="str">
        <f t="shared" si="81"/>
        <v>samsho2k</v>
      </c>
      <c r="J997" t="str">
        <f t="shared" si="82"/>
        <v/>
      </c>
      <c r="L997" t="str">
        <f t="shared" si="85"/>
        <v/>
      </c>
      <c r="M997" t="str">
        <f t="shared" si="85"/>
        <v/>
      </c>
      <c r="N997" t="str">
        <f t="shared" si="85"/>
        <v/>
      </c>
      <c r="O997" t="str">
        <f t="shared" si="85"/>
        <v/>
      </c>
      <c r="P997" t="str">
        <f t="shared" si="85"/>
        <v/>
      </c>
      <c r="T997" t="str">
        <f t="shared" si="83"/>
        <v/>
      </c>
      <c r="V997" t="str">
        <f t="shared" si="84"/>
        <v>MVS</v>
      </c>
      <c r="W997" t="str">
        <f t="shared" si="84"/>
        <v>MVS,AES</v>
      </c>
      <c r="AG997" t="s">
        <v>6</v>
      </c>
      <c r="AH997" t="s">
        <v>5226</v>
      </c>
      <c r="AI997" t="s">
        <v>4</v>
      </c>
      <c r="AJ997" t="s">
        <v>3</v>
      </c>
      <c r="AK997" t="s">
        <v>5225</v>
      </c>
      <c r="AL997" t="s">
        <v>5224</v>
      </c>
    </row>
    <row r="998" spans="5:44" x14ac:dyDescent="0.25">
      <c r="I998" t="str">
        <f t="shared" si="81"/>
        <v>samsho2k</v>
      </c>
      <c r="J998" t="str">
        <f t="shared" si="82"/>
        <v/>
      </c>
      <c r="L998" t="str">
        <f t="shared" si="85"/>
        <v/>
      </c>
      <c r="M998" t="str">
        <f t="shared" si="85"/>
        <v/>
      </c>
      <c r="N998" t="str">
        <f t="shared" si="85"/>
        <v/>
      </c>
      <c r="O998" t="str">
        <f t="shared" si="85"/>
        <v/>
      </c>
      <c r="P998" t="str">
        <f t="shared" si="85"/>
        <v/>
      </c>
      <c r="T998" t="str">
        <f t="shared" si="83"/>
        <v/>
      </c>
      <c r="V998" t="str">
        <f t="shared" si="84"/>
        <v>MVS</v>
      </c>
      <c r="W998" t="str">
        <f t="shared" si="84"/>
        <v>MVS,AES</v>
      </c>
      <c r="AG998" t="s">
        <v>6</v>
      </c>
      <c r="AH998" t="s">
        <v>5223</v>
      </c>
      <c r="AI998" t="s">
        <v>11</v>
      </c>
      <c r="AJ998" t="s">
        <v>3</v>
      </c>
      <c r="AK998" t="s">
        <v>5222</v>
      </c>
      <c r="AL998" t="s">
        <v>5221</v>
      </c>
    </row>
    <row r="999" spans="5:44" x14ac:dyDescent="0.25">
      <c r="I999" t="str">
        <f t="shared" si="81"/>
        <v>samsho2k</v>
      </c>
      <c r="J999" t="str">
        <f t="shared" si="82"/>
        <v/>
      </c>
      <c r="L999" t="str">
        <f t="shared" si="85"/>
        <v/>
      </c>
      <c r="M999" t="str">
        <f t="shared" si="85"/>
        <v/>
      </c>
      <c r="N999" t="str">
        <f t="shared" si="85"/>
        <v/>
      </c>
      <c r="O999" t="str">
        <f t="shared" si="85"/>
        <v/>
      </c>
      <c r="P999" t="str">
        <f t="shared" si="85"/>
        <v/>
      </c>
      <c r="T999" t="str">
        <f t="shared" si="83"/>
        <v/>
      </c>
      <c r="V999" t="str">
        <f t="shared" si="84"/>
        <v>MVS</v>
      </c>
      <c r="W999" t="str">
        <f t="shared" si="84"/>
        <v>MVS,AES</v>
      </c>
      <c r="AG999" t="s">
        <v>6</v>
      </c>
      <c r="AH999" t="s">
        <v>5220</v>
      </c>
      <c r="AI999" t="s">
        <v>932</v>
      </c>
      <c r="AJ999" t="s">
        <v>3</v>
      </c>
      <c r="AK999" t="s">
        <v>5219</v>
      </c>
      <c r="AL999" t="s">
        <v>5218</v>
      </c>
    </row>
    <row r="1000" spans="5:44" x14ac:dyDescent="0.25">
      <c r="I1000" t="str">
        <f t="shared" si="81"/>
        <v>samsho2k</v>
      </c>
      <c r="J1000" t="str">
        <f t="shared" si="82"/>
        <v/>
      </c>
      <c r="L1000" t="str">
        <f t="shared" si="85"/>
        <v/>
      </c>
      <c r="M1000" t="str">
        <f t="shared" si="85"/>
        <v/>
      </c>
      <c r="N1000" t="str">
        <f t="shared" si="85"/>
        <v/>
      </c>
      <c r="O1000" t="str">
        <f t="shared" si="85"/>
        <v/>
      </c>
      <c r="P1000" t="str">
        <f t="shared" si="85"/>
        <v/>
      </c>
      <c r="T1000" t="str">
        <f t="shared" si="83"/>
        <v/>
      </c>
      <c r="V1000" t="str">
        <f t="shared" si="84"/>
        <v>MVS</v>
      </c>
      <c r="W1000" t="str">
        <f t="shared" si="84"/>
        <v>MVS,AES</v>
      </c>
      <c r="AG1000" t="s">
        <v>6</v>
      </c>
      <c r="AH1000" t="s">
        <v>5217</v>
      </c>
      <c r="AI1000" t="s">
        <v>57</v>
      </c>
      <c r="AJ1000" t="s">
        <v>3</v>
      </c>
      <c r="AK1000" t="s">
        <v>5216</v>
      </c>
      <c r="AL1000" t="s">
        <v>5215</v>
      </c>
    </row>
    <row r="1001" spans="5:44" x14ac:dyDescent="0.25">
      <c r="I1001" t="str">
        <f t="shared" si="81"/>
        <v>samsho2k</v>
      </c>
      <c r="J1001" t="str">
        <f t="shared" si="82"/>
        <v/>
      </c>
      <c r="L1001" t="str">
        <f t="shared" si="85"/>
        <v/>
      </c>
      <c r="M1001" t="str">
        <f t="shared" si="85"/>
        <v/>
      </c>
      <c r="N1001" t="str">
        <f t="shared" si="85"/>
        <v/>
      </c>
      <c r="O1001" t="str">
        <f t="shared" si="85"/>
        <v/>
      </c>
      <c r="P1001" t="str">
        <f t="shared" si="85"/>
        <v/>
      </c>
      <c r="T1001" t="str">
        <f t="shared" si="83"/>
        <v/>
      </c>
      <c r="V1001" t="str">
        <f t="shared" si="84"/>
        <v>MVS</v>
      </c>
      <c r="W1001" t="str">
        <f t="shared" si="84"/>
        <v>MVS,AES</v>
      </c>
      <c r="AG1001" t="s">
        <v>6</v>
      </c>
      <c r="AH1001" t="s">
        <v>5214</v>
      </c>
      <c r="AI1001" t="s">
        <v>53</v>
      </c>
      <c r="AJ1001" t="s">
        <v>3</v>
      </c>
      <c r="AK1001" t="s">
        <v>5213</v>
      </c>
      <c r="AL1001" t="s">
        <v>5212</v>
      </c>
    </row>
    <row r="1002" spans="5:44" x14ac:dyDescent="0.25">
      <c r="I1002" t="str">
        <f t="shared" si="81"/>
        <v>samsho2k</v>
      </c>
      <c r="J1002" t="str">
        <f t="shared" si="82"/>
        <v/>
      </c>
      <c r="L1002" t="str">
        <f t="shared" si="85"/>
        <v/>
      </c>
      <c r="M1002" t="str">
        <f t="shared" si="85"/>
        <v/>
      </c>
      <c r="N1002" t="str">
        <f t="shared" si="85"/>
        <v/>
      </c>
      <c r="O1002" t="str">
        <f t="shared" si="85"/>
        <v/>
      </c>
      <c r="P1002" t="str">
        <f t="shared" si="85"/>
        <v/>
      </c>
      <c r="T1002" t="str">
        <f t="shared" si="83"/>
        <v/>
      </c>
      <c r="V1002" t="str">
        <f t="shared" si="84"/>
        <v>MVS</v>
      </c>
      <c r="W1002" t="str">
        <f t="shared" si="84"/>
        <v>MVS,AES</v>
      </c>
      <c r="AG1002" t="s">
        <v>6</v>
      </c>
      <c r="AH1002" t="s">
        <v>5211</v>
      </c>
      <c r="AI1002" t="s">
        <v>250</v>
      </c>
      <c r="AJ1002" t="s">
        <v>3</v>
      </c>
      <c r="AK1002" t="s">
        <v>5210</v>
      </c>
      <c r="AL1002" t="s">
        <v>5209</v>
      </c>
    </row>
    <row r="1003" spans="5:44" x14ac:dyDescent="0.25">
      <c r="I1003" t="str">
        <f t="shared" si="81"/>
        <v>samsho2k</v>
      </c>
      <c r="J1003" t="str">
        <f t="shared" si="82"/>
        <v/>
      </c>
      <c r="L1003" t="str">
        <f t="shared" si="85"/>
        <v/>
      </c>
      <c r="M1003" t="str">
        <f t="shared" si="85"/>
        <v/>
      </c>
      <c r="N1003" t="str">
        <f t="shared" si="85"/>
        <v/>
      </c>
      <c r="O1003" t="str">
        <f t="shared" si="85"/>
        <v/>
      </c>
      <c r="P1003" t="str">
        <f t="shared" si="85"/>
        <v/>
      </c>
      <c r="T1003" t="str">
        <f t="shared" si="83"/>
        <v/>
      </c>
      <c r="V1003" t="str">
        <f t="shared" si="84"/>
        <v>MVS</v>
      </c>
      <c r="W1003" t="str">
        <f t="shared" si="84"/>
        <v>MVS,AES</v>
      </c>
      <c r="AG1003" t="s">
        <v>6</v>
      </c>
      <c r="AH1003" t="s">
        <v>5208</v>
      </c>
      <c r="AI1003" t="s">
        <v>4138</v>
      </c>
      <c r="AJ1003" t="s">
        <v>3</v>
      </c>
      <c r="AK1003" t="s">
        <v>5207</v>
      </c>
      <c r="AL1003" t="s">
        <v>5206</v>
      </c>
    </row>
    <row r="1004" spans="5:44" x14ac:dyDescent="0.25">
      <c r="E1004" t="s">
        <v>5253</v>
      </c>
      <c r="F1004" t="s">
        <v>5252</v>
      </c>
      <c r="G1004" t="s">
        <v>393</v>
      </c>
      <c r="H1004" t="s">
        <v>1912</v>
      </c>
      <c r="I1004" t="str">
        <f t="shared" si="81"/>
        <v>samsho2ka</v>
      </c>
      <c r="J1004" t="str">
        <f t="shared" si="82"/>
        <v/>
      </c>
      <c r="L1004" t="str">
        <f t="shared" si="85"/>
        <v/>
      </c>
      <c r="M1004" t="str">
        <f t="shared" si="85"/>
        <v/>
      </c>
      <c r="N1004" t="str">
        <f t="shared" si="85"/>
        <v/>
      </c>
      <c r="O1004" t="str">
        <f t="shared" si="85"/>
        <v/>
      </c>
      <c r="P1004" t="str">
        <f t="shared" si="85"/>
        <v/>
      </c>
      <c r="S1004" t="s">
        <v>46</v>
      </c>
      <c r="T1004" t="str">
        <f t="shared" si="83"/>
        <v>samsho2karelease</v>
      </c>
      <c r="U1004" t="s">
        <v>106</v>
      </c>
      <c r="V1004" t="str">
        <f t="shared" si="84"/>
        <v>MVS</v>
      </c>
      <c r="W1004" t="str">
        <f t="shared" si="84"/>
        <v>MVS,AES</v>
      </c>
      <c r="Y1004" t="s">
        <v>45</v>
      </c>
      <c r="Z1004" t="s">
        <v>44</v>
      </c>
      <c r="AB1004" t="s">
        <v>43</v>
      </c>
      <c r="AC1004" t="s">
        <v>42</v>
      </c>
      <c r="AD1004" t="s">
        <v>41</v>
      </c>
      <c r="AE1004" t="s">
        <v>3</v>
      </c>
      <c r="AG1004" t="s">
        <v>40</v>
      </c>
      <c r="AH1004" t="s">
        <v>5251</v>
      </c>
      <c r="AI1004" t="s">
        <v>15</v>
      </c>
      <c r="AJ1004" t="s">
        <v>15</v>
      </c>
      <c r="AK1004" t="s">
        <v>5250</v>
      </c>
      <c r="AL1004" t="s">
        <v>5249</v>
      </c>
      <c r="AR1004" t="s">
        <v>5248</v>
      </c>
    </row>
    <row r="1005" spans="5:44" x14ac:dyDescent="0.25">
      <c r="I1005" t="str">
        <f t="shared" si="81"/>
        <v>samsho2ka</v>
      </c>
      <c r="J1005" t="str">
        <f t="shared" si="82"/>
        <v/>
      </c>
      <c r="L1005" t="str">
        <f t="shared" si="85"/>
        <v/>
      </c>
      <c r="M1005" t="str">
        <f t="shared" si="85"/>
        <v/>
      </c>
      <c r="N1005" t="str">
        <f t="shared" si="85"/>
        <v/>
      </c>
      <c r="O1005" t="str">
        <f t="shared" si="85"/>
        <v/>
      </c>
      <c r="P1005" t="str">
        <f t="shared" si="85"/>
        <v/>
      </c>
      <c r="S1005" t="s">
        <v>36</v>
      </c>
      <c r="T1005" t="str">
        <f t="shared" si="83"/>
        <v>samsho2kacompatibility</v>
      </c>
      <c r="U1005" t="s">
        <v>218</v>
      </c>
      <c r="V1005" t="str">
        <f t="shared" si="84"/>
        <v>MVS</v>
      </c>
      <c r="W1005" t="str">
        <f t="shared" si="84"/>
        <v>MVS,AES</v>
      </c>
      <c r="AG1005" t="s">
        <v>224</v>
      </c>
      <c r="AI1005" t="s">
        <v>9</v>
      </c>
      <c r="AJ1005" t="s">
        <v>15</v>
      </c>
    </row>
    <row r="1006" spans="5:44" x14ac:dyDescent="0.25">
      <c r="I1006" t="str">
        <f t="shared" si="81"/>
        <v>samsho2ka</v>
      </c>
      <c r="J1006" t="str">
        <f t="shared" si="82"/>
        <v/>
      </c>
      <c r="L1006" t="str">
        <f t="shared" si="85"/>
        <v/>
      </c>
      <c r="M1006" t="str">
        <f t="shared" si="85"/>
        <v/>
      </c>
      <c r="N1006" t="str">
        <f t="shared" si="85"/>
        <v/>
      </c>
      <c r="O1006" t="str">
        <f t="shared" si="85"/>
        <v/>
      </c>
      <c r="P1006" t="str">
        <f t="shared" si="85"/>
        <v/>
      </c>
      <c r="T1006" t="str">
        <f t="shared" si="83"/>
        <v/>
      </c>
      <c r="V1006" t="str">
        <f t="shared" si="84"/>
        <v>MVS</v>
      </c>
      <c r="W1006" t="str">
        <f t="shared" si="84"/>
        <v>MVS,AES</v>
      </c>
      <c r="AB1006" t="s">
        <v>34</v>
      </c>
      <c r="AE1006" t="s">
        <v>33</v>
      </c>
      <c r="AH1006" t="s">
        <v>5247</v>
      </c>
      <c r="AI1006" t="s">
        <v>9</v>
      </c>
      <c r="AJ1006" t="s">
        <v>27</v>
      </c>
      <c r="AK1006" t="s">
        <v>5246</v>
      </c>
      <c r="AL1006" t="s">
        <v>5245</v>
      </c>
    </row>
    <row r="1007" spans="5:44" x14ac:dyDescent="0.25">
      <c r="I1007" t="str">
        <f t="shared" si="81"/>
        <v>samsho2ka</v>
      </c>
      <c r="J1007" t="str">
        <f t="shared" si="82"/>
        <v/>
      </c>
      <c r="L1007" t="str">
        <f t="shared" si="85"/>
        <v/>
      </c>
      <c r="M1007" t="str">
        <f t="shared" si="85"/>
        <v/>
      </c>
      <c r="N1007" t="str">
        <f t="shared" si="85"/>
        <v/>
      </c>
      <c r="O1007" t="str">
        <f t="shared" si="85"/>
        <v/>
      </c>
      <c r="P1007" t="str">
        <f t="shared" si="85"/>
        <v/>
      </c>
      <c r="T1007" t="str">
        <f t="shared" si="83"/>
        <v/>
      </c>
      <c r="V1007" t="str">
        <f t="shared" si="84"/>
        <v>MVS</v>
      </c>
      <c r="W1007" t="str">
        <f t="shared" si="84"/>
        <v>MVS,AES</v>
      </c>
      <c r="AB1007" t="s">
        <v>29</v>
      </c>
      <c r="AE1007" t="s">
        <v>27</v>
      </c>
      <c r="AH1007" t="s">
        <v>5244</v>
      </c>
      <c r="AI1007" t="s">
        <v>9</v>
      </c>
      <c r="AJ1007" t="s">
        <v>27</v>
      </c>
      <c r="AK1007" t="s">
        <v>5243</v>
      </c>
      <c r="AL1007" t="s">
        <v>5242</v>
      </c>
    </row>
    <row r="1008" spans="5:44" x14ac:dyDescent="0.25">
      <c r="I1008" t="str">
        <f t="shared" si="81"/>
        <v>samsho2ka</v>
      </c>
      <c r="J1008" t="str">
        <f t="shared" si="82"/>
        <v/>
      </c>
      <c r="L1008" t="str">
        <f t="shared" si="85"/>
        <v/>
      </c>
      <c r="M1008" t="str">
        <f t="shared" si="85"/>
        <v/>
      </c>
      <c r="N1008" t="str">
        <f t="shared" si="85"/>
        <v/>
      </c>
      <c r="O1008" t="str">
        <f t="shared" si="85"/>
        <v/>
      </c>
      <c r="P1008" t="str">
        <f t="shared" si="85"/>
        <v/>
      </c>
      <c r="T1008" t="str">
        <f t="shared" si="83"/>
        <v/>
      </c>
      <c r="V1008" t="str">
        <f t="shared" si="84"/>
        <v>MVS</v>
      </c>
      <c r="W1008" t="str">
        <f t="shared" si="84"/>
        <v>MVS,AES</v>
      </c>
      <c r="AB1008" t="s">
        <v>24</v>
      </c>
      <c r="AE1008" t="s">
        <v>211</v>
      </c>
      <c r="AH1008" t="s">
        <v>5241</v>
      </c>
      <c r="AI1008" t="s">
        <v>9</v>
      </c>
      <c r="AJ1008" t="s">
        <v>3</v>
      </c>
      <c r="AK1008" t="s">
        <v>5240</v>
      </c>
      <c r="AL1008" t="s">
        <v>5239</v>
      </c>
    </row>
    <row r="1009" spans="5:38" x14ac:dyDescent="0.25">
      <c r="I1009" t="str">
        <f t="shared" si="81"/>
        <v>samsho2ka</v>
      </c>
      <c r="J1009" t="str">
        <f t="shared" si="82"/>
        <v/>
      </c>
      <c r="L1009" t="str">
        <f t="shared" si="85"/>
        <v/>
      </c>
      <c r="M1009" t="str">
        <f t="shared" si="85"/>
        <v/>
      </c>
      <c r="N1009" t="str">
        <f t="shared" si="85"/>
        <v/>
      </c>
      <c r="O1009" t="str">
        <f t="shared" si="85"/>
        <v/>
      </c>
      <c r="P1009" t="str">
        <f t="shared" si="85"/>
        <v/>
      </c>
      <c r="T1009" t="str">
        <f t="shared" si="83"/>
        <v/>
      </c>
      <c r="V1009" t="str">
        <f t="shared" si="84"/>
        <v>MVS</v>
      </c>
      <c r="W1009" t="str">
        <f t="shared" si="84"/>
        <v>MVS,AES</v>
      </c>
      <c r="AH1009" t="s">
        <v>5238</v>
      </c>
      <c r="AI1009" t="s">
        <v>3</v>
      </c>
      <c r="AJ1009" t="s">
        <v>3</v>
      </c>
      <c r="AK1009" t="s">
        <v>5237</v>
      </c>
      <c r="AL1009" t="s">
        <v>5236</v>
      </c>
    </row>
    <row r="1010" spans="5:38" x14ac:dyDescent="0.25">
      <c r="I1010" t="str">
        <f t="shared" si="81"/>
        <v>samsho2ka</v>
      </c>
      <c r="J1010" t="str">
        <f t="shared" si="82"/>
        <v/>
      </c>
      <c r="L1010" t="str">
        <f t="shared" si="85"/>
        <v/>
      </c>
      <c r="M1010" t="str">
        <f t="shared" si="85"/>
        <v/>
      </c>
      <c r="N1010" t="str">
        <f t="shared" si="85"/>
        <v/>
      </c>
      <c r="O1010" t="str">
        <f t="shared" si="85"/>
        <v/>
      </c>
      <c r="P1010" t="str">
        <f t="shared" si="85"/>
        <v/>
      </c>
      <c r="T1010" t="str">
        <f t="shared" si="83"/>
        <v/>
      </c>
      <c r="V1010" t="str">
        <f t="shared" si="84"/>
        <v>MVS</v>
      </c>
      <c r="W1010" t="str">
        <f t="shared" si="84"/>
        <v>MVS,AES</v>
      </c>
      <c r="AH1010" t="s">
        <v>5235</v>
      </c>
      <c r="AI1010" t="s">
        <v>11</v>
      </c>
      <c r="AJ1010" t="s">
        <v>3</v>
      </c>
      <c r="AK1010" t="s">
        <v>5234</v>
      </c>
      <c r="AL1010" t="s">
        <v>5233</v>
      </c>
    </row>
    <row r="1011" spans="5:38" x14ac:dyDescent="0.25">
      <c r="I1011" t="str">
        <f t="shared" si="81"/>
        <v>samsho2ka</v>
      </c>
      <c r="J1011" t="str">
        <f t="shared" si="82"/>
        <v/>
      </c>
      <c r="L1011" t="str">
        <f t="shared" si="85"/>
        <v/>
      </c>
      <c r="M1011" t="str">
        <f t="shared" si="85"/>
        <v/>
      </c>
      <c r="N1011" t="str">
        <f t="shared" si="85"/>
        <v/>
      </c>
      <c r="O1011" t="str">
        <f t="shared" si="85"/>
        <v/>
      </c>
      <c r="P1011" t="str">
        <f t="shared" si="85"/>
        <v/>
      </c>
      <c r="T1011" t="str">
        <f t="shared" si="83"/>
        <v/>
      </c>
      <c r="V1011" t="str">
        <f t="shared" si="84"/>
        <v>MVS</v>
      </c>
      <c r="W1011" t="str">
        <f t="shared" si="84"/>
        <v>MVS,AES</v>
      </c>
      <c r="AH1011" t="s">
        <v>5232</v>
      </c>
      <c r="AI1011" t="s">
        <v>75</v>
      </c>
      <c r="AJ1011" t="s">
        <v>15</v>
      </c>
      <c r="AK1011" t="s">
        <v>5231</v>
      </c>
      <c r="AL1011" t="s">
        <v>5230</v>
      </c>
    </row>
    <row r="1012" spans="5:38" x14ac:dyDescent="0.25">
      <c r="I1012" t="str">
        <f t="shared" si="81"/>
        <v>samsho2ka</v>
      </c>
      <c r="J1012" t="str">
        <f t="shared" si="82"/>
        <v/>
      </c>
      <c r="L1012" t="str">
        <f t="shared" si="85"/>
        <v/>
      </c>
      <c r="M1012" t="str">
        <f t="shared" si="85"/>
        <v/>
      </c>
      <c r="N1012" t="str">
        <f t="shared" si="85"/>
        <v/>
      </c>
      <c r="O1012" t="str">
        <f t="shared" si="85"/>
        <v/>
      </c>
      <c r="P1012" t="str">
        <f t="shared" si="85"/>
        <v/>
      </c>
      <c r="T1012" t="str">
        <f t="shared" si="83"/>
        <v/>
      </c>
      <c r="V1012" t="str">
        <f t="shared" si="84"/>
        <v>MVS</v>
      </c>
      <c r="W1012" t="str">
        <f t="shared" si="84"/>
        <v>MVS,AES</v>
      </c>
      <c r="AB1012" t="s">
        <v>12</v>
      </c>
      <c r="AE1012" t="s">
        <v>65</v>
      </c>
      <c r="AG1012" t="s">
        <v>6</v>
      </c>
      <c r="AH1012" t="s">
        <v>5229</v>
      </c>
      <c r="AI1012" t="s">
        <v>9</v>
      </c>
      <c r="AJ1012" t="s">
        <v>3</v>
      </c>
      <c r="AK1012" t="s">
        <v>5228</v>
      </c>
      <c r="AL1012" t="s">
        <v>5227</v>
      </c>
    </row>
    <row r="1013" spans="5:38" x14ac:dyDescent="0.25">
      <c r="I1013" t="str">
        <f t="shared" si="81"/>
        <v>samsho2ka</v>
      </c>
      <c r="J1013" t="str">
        <f t="shared" si="82"/>
        <v/>
      </c>
      <c r="L1013" t="str">
        <f t="shared" si="85"/>
        <v/>
      </c>
      <c r="M1013" t="str">
        <f t="shared" si="85"/>
        <v/>
      </c>
      <c r="N1013" t="str">
        <f t="shared" si="85"/>
        <v/>
      </c>
      <c r="O1013" t="str">
        <f t="shared" si="85"/>
        <v/>
      </c>
      <c r="P1013" t="str">
        <f t="shared" si="85"/>
        <v/>
      </c>
      <c r="T1013" t="str">
        <f t="shared" si="83"/>
        <v/>
      </c>
      <c r="V1013" t="str">
        <f t="shared" si="84"/>
        <v>MVS</v>
      </c>
      <c r="W1013" t="str">
        <f t="shared" si="84"/>
        <v>MVS,AES</v>
      </c>
      <c r="AG1013" t="s">
        <v>6</v>
      </c>
      <c r="AH1013" t="s">
        <v>5226</v>
      </c>
      <c r="AI1013" t="s">
        <v>4</v>
      </c>
      <c r="AJ1013" t="s">
        <v>3</v>
      </c>
      <c r="AK1013" t="s">
        <v>5225</v>
      </c>
      <c r="AL1013" t="s">
        <v>5224</v>
      </c>
    </row>
    <row r="1014" spans="5:38" x14ac:dyDescent="0.25">
      <c r="I1014" t="str">
        <f t="shared" si="81"/>
        <v>samsho2ka</v>
      </c>
      <c r="J1014" t="str">
        <f t="shared" si="82"/>
        <v/>
      </c>
      <c r="L1014" t="str">
        <f t="shared" si="85"/>
        <v/>
      </c>
      <c r="M1014" t="str">
        <f t="shared" si="85"/>
        <v/>
      </c>
      <c r="N1014" t="str">
        <f t="shared" si="85"/>
        <v/>
      </c>
      <c r="O1014" t="str">
        <f t="shared" si="85"/>
        <v/>
      </c>
      <c r="P1014" t="str">
        <f t="shared" si="85"/>
        <v/>
      </c>
      <c r="T1014" t="str">
        <f t="shared" si="83"/>
        <v/>
      </c>
      <c r="V1014" t="str">
        <f t="shared" si="84"/>
        <v>MVS</v>
      </c>
      <c r="W1014" t="str">
        <f t="shared" si="84"/>
        <v>MVS,AES</v>
      </c>
      <c r="AG1014" t="s">
        <v>6</v>
      </c>
      <c r="AH1014" t="s">
        <v>5223</v>
      </c>
      <c r="AI1014" t="s">
        <v>11</v>
      </c>
      <c r="AJ1014" t="s">
        <v>3</v>
      </c>
      <c r="AK1014" t="s">
        <v>5222</v>
      </c>
      <c r="AL1014" t="s">
        <v>5221</v>
      </c>
    </row>
    <row r="1015" spans="5:38" x14ac:dyDescent="0.25">
      <c r="I1015" t="str">
        <f t="shared" si="81"/>
        <v>samsho2ka</v>
      </c>
      <c r="J1015" t="str">
        <f t="shared" si="82"/>
        <v/>
      </c>
      <c r="L1015" t="str">
        <f t="shared" si="85"/>
        <v/>
      </c>
      <c r="M1015" t="str">
        <f t="shared" si="85"/>
        <v/>
      </c>
      <c r="N1015" t="str">
        <f t="shared" si="85"/>
        <v/>
      </c>
      <c r="O1015" t="str">
        <f t="shared" si="85"/>
        <v/>
      </c>
      <c r="P1015" t="str">
        <f t="shared" si="85"/>
        <v/>
      </c>
      <c r="T1015" t="str">
        <f t="shared" si="83"/>
        <v/>
      </c>
      <c r="V1015" t="str">
        <f t="shared" si="84"/>
        <v>MVS</v>
      </c>
      <c r="W1015" t="str">
        <f t="shared" si="84"/>
        <v>MVS,AES</v>
      </c>
      <c r="AG1015" t="s">
        <v>6</v>
      </c>
      <c r="AH1015" t="s">
        <v>5220</v>
      </c>
      <c r="AI1015" t="s">
        <v>932</v>
      </c>
      <c r="AJ1015" t="s">
        <v>3</v>
      </c>
      <c r="AK1015" t="s">
        <v>5219</v>
      </c>
      <c r="AL1015" t="s">
        <v>5218</v>
      </c>
    </row>
    <row r="1016" spans="5:38" x14ac:dyDescent="0.25">
      <c r="I1016" t="str">
        <f t="shared" si="81"/>
        <v>samsho2ka</v>
      </c>
      <c r="J1016" t="str">
        <f t="shared" si="82"/>
        <v/>
      </c>
      <c r="L1016" t="str">
        <f t="shared" si="85"/>
        <v/>
      </c>
      <c r="M1016" t="str">
        <f t="shared" si="85"/>
        <v/>
      </c>
      <c r="N1016" t="str">
        <f t="shared" si="85"/>
        <v/>
      </c>
      <c r="O1016" t="str">
        <f t="shared" si="85"/>
        <v/>
      </c>
      <c r="P1016" t="str">
        <f t="shared" si="85"/>
        <v/>
      </c>
      <c r="T1016" t="str">
        <f t="shared" si="83"/>
        <v/>
      </c>
      <c r="V1016" t="str">
        <f t="shared" si="84"/>
        <v>MVS</v>
      </c>
      <c r="W1016" t="str">
        <f t="shared" si="84"/>
        <v>MVS,AES</v>
      </c>
      <c r="AG1016" t="s">
        <v>6</v>
      </c>
      <c r="AH1016" t="s">
        <v>5217</v>
      </c>
      <c r="AI1016" t="s">
        <v>57</v>
      </c>
      <c r="AJ1016" t="s">
        <v>3</v>
      </c>
      <c r="AK1016" t="s">
        <v>5216</v>
      </c>
      <c r="AL1016" t="s">
        <v>5215</v>
      </c>
    </row>
    <row r="1017" spans="5:38" x14ac:dyDescent="0.25">
      <c r="I1017" t="str">
        <f t="shared" si="81"/>
        <v>samsho2ka</v>
      </c>
      <c r="J1017" t="str">
        <f t="shared" si="82"/>
        <v/>
      </c>
      <c r="L1017" t="str">
        <f t="shared" si="85"/>
        <v/>
      </c>
      <c r="M1017" t="str">
        <f t="shared" si="85"/>
        <v/>
      </c>
      <c r="N1017" t="str">
        <f t="shared" si="85"/>
        <v/>
      </c>
      <c r="O1017" t="str">
        <f t="shared" si="85"/>
        <v/>
      </c>
      <c r="P1017" t="str">
        <f t="shared" si="85"/>
        <v/>
      </c>
      <c r="T1017" t="str">
        <f t="shared" si="83"/>
        <v/>
      </c>
      <c r="V1017" t="str">
        <f t="shared" si="84"/>
        <v>MVS</v>
      </c>
      <c r="W1017" t="str">
        <f t="shared" si="84"/>
        <v>MVS,AES</v>
      </c>
      <c r="AG1017" t="s">
        <v>6</v>
      </c>
      <c r="AH1017" t="s">
        <v>5214</v>
      </c>
      <c r="AI1017" t="s">
        <v>53</v>
      </c>
      <c r="AJ1017" t="s">
        <v>3</v>
      </c>
      <c r="AK1017" t="s">
        <v>5213</v>
      </c>
      <c r="AL1017" t="s">
        <v>5212</v>
      </c>
    </row>
    <row r="1018" spans="5:38" x14ac:dyDescent="0.25">
      <c r="I1018" t="str">
        <f t="shared" si="81"/>
        <v>samsho2ka</v>
      </c>
      <c r="J1018" t="str">
        <f t="shared" si="82"/>
        <v/>
      </c>
      <c r="L1018" t="str">
        <f t="shared" si="85"/>
        <v/>
      </c>
      <c r="M1018" t="str">
        <f t="shared" si="85"/>
        <v/>
      </c>
      <c r="N1018" t="str">
        <f t="shared" si="85"/>
        <v/>
      </c>
      <c r="O1018" t="str">
        <f t="shared" si="85"/>
        <v/>
      </c>
      <c r="P1018" t="str">
        <f t="shared" si="85"/>
        <v/>
      </c>
      <c r="T1018" t="str">
        <f t="shared" si="83"/>
        <v/>
      </c>
      <c r="V1018" t="str">
        <f t="shared" si="84"/>
        <v>MVS</v>
      </c>
      <c r="W1018" t="str">
        <f t="shared" si="84"/>
        <v>MVS,AES</v>
      </c>
      <c r="AG1018" t="s">
        <v>6</v>
      </c>
      <c r="AH1018" t="s">
        <v>5211</v>
      </c>
      <c r="AI1018" t="s">
        <v>250</v>
      </c>
      <c r="AJ1018" t="s">
        <v>3</v>
      </c>
      <c r="AK1018" t="s">
        <v>5210</v>
      </c>
      <c r="AL1018" t="s">
        <v>5209</v>
      </c>
    </row>
    <row r="1019" spans="5:38" x14ac:dyDescent="0.25">
      <c r="I1019" t="str">
        <f t="shared" si="81"/>
        <v>samsho2ka</v>
      </c>
      <c r="J1019" t="str">
        <f t="shared" si="82"/>
        <v/>
      </c>
      <c r="L1019" t="str">
        <f t="shared" si="85"/>
        <v/>
      </c>
      <c r="M1019" t="str">
        <f t="shared" si="85"/>
        <v/>
      </c>
      <c r="N1019" t="str">
        <f t="shared" si="85"/>
        <v/>
      </c>
      <c r="O1019" t="str">
        <f t="shared" si="85"/>
        <v/>
      </c>
      <c r="P1019" t="str">
        <f t="shared" si="85"/>
        <v/>
      </c>
      <c r="T1019" t="str">
        <f t="shared" si="83"/>
        <v/>
      </c>
      <c r="V1019" t="str">
        <f t="shared" si="84"/>
        <v>MVS</v>
      </c>
      <c r="W1019" t="str">
        <f t="shared" si="84"/>
        <v>MVS,AES</v>
      </c>
      <c r="AG1019" t="s">
        <v>6</v>
      </c>
      <c r="AH1019" t="s">
        <v>5208</v>
      </c>
      <c r="AI1019" t="s">
        <v>4138</v>
      </c>
      <c r="AJ1019" t="s">
        <v>3</v>
      </c>
      <c r="AK1019" t="s">
        <v>5207</v>
      </c>
      <c r="AL1019" t="s">
        <v>5206</v>
      </c>
    </row>
    <row r="1020" spans="5:38" x14ac:dyDescent="0.25">
      <c r="E1020" t="s">
        <v>5205</v>
      </c>
      <c r="F1020" t="s">
        <v>5204</v>
      </c>
      <c r="G1020" t="s">
        <v>393</v>
      </c>
      <c r="H1020" t="s">
        <v>3275</v>
      </c>
      <c r="I1020" t="str">
        <f t="shared" si="81"/>
        <v>wh2j</v>
      </c>
      <c r="J1020" t="str">
        <f t="shared" si="82"/>
        <v>wh2jserial</v>
      </c>
      <c r="K1020" t="s">
        <v>1373</v>
      </c>
      <c r="L1020" t="str">
        <f t="shared" si="85"/>
        <v>NGM-064 / ADM-007 (MVS) ~ NGH-064 / ADH-007 (AES)</v>
      </c>
      <c r="M1020" t="str">
        <f t="shared" si="85"/>
        <v>19940426 (MVS), 19940610 (AES)</v>
      </c>
      <c r="N1020" t="str">
        <f t="shared" si="85"/>
        <v>ワールドヒーローズ2ジェット</v>
      </c>
      <c r="O1020" t="str">
        <f t="shared" si="85"/>
        <v/>
      </c>
      <c r="P1020" t="str">
        <f t="shared" si="85"/>
        <v/>
      </c>
      <c r="Q1020" t="s">
        <v>5203</v>
      </c>
      <c r="S1020" t="s">
        <v>46</v>
      </c>
      <c r="T1020" t="str">
        <f t="shared" si="83"/>
        <v>wh2jrelease</v>
      </c>
      <c r="U1020" t="s">
        <v>218</v>
      </c>
      <c r="V1020" t="str">
        <f t="shared" si="84"/>
        <v>MVS,AES</v>
      </c>
      <c r="W1020" t="str">
        <f t="shared" si="84"/>
        <v>MVS,AES</v>
      </c>
      <c r="Y1020" t="s">
        <v>45</v>
      </c>
      <c r="Z1020" t="s">
        <v>44</v>
      </c>
      <c r="AB1020" t="s">
        <v>43</v>
      </c>
      <c r="AC1020" t="s">
        <v>42</v>
      </c>
      <c r="AD1020" t="s">
        <v>41</v>
      </c>
      <c r="AE1020" t="s">
        <v>3</v>
      </c>
      <c r="AG1020" t="s">
        <v>40</v>
      </c>
      <c r="AH1020" t="s">
        <v>5202</v>
      </c>
      <c r="AI1020" t="s">
        <v>15</v>
      </c>
      <c r="AJ1020" t="s">
        <v>15</v>
      </c>
      <c r="AK1020" t="s">
        <v>5201</v>
      </c>
      <c r="AL1020" t="s">
        <v>5200</v>
      </c>
    </row>
    <row r="1021" spans="5:38" x14ac:dyDescent="0.25">
      <c r="I1021" t="str">
        <f t="shared" si="81"/>
        <v>wh2j</v>
      </c>
      <c r="J1021" t="str">
        <f t="shared" si="82"/>
        <v>wh2jrelease</v>
      </c>
      <c r="K1021" t="s">
        <v>46</v>
      </c>
      <c r="L1021" t="str">
        <f t="shared" si="85"/>
        <v>NGM-064 / ADM-007 (MVS) ~ NGH-064 / ADH-007 (AES)</v>
      </c>
      <c r="M1021" t="str">
        <f t="shared" si="85"/>
        <v>19940426 (MVS), 19940610 (AES)</v>
      </c>
      <c r="N1021" t="str">
        <f t="shared" si="85"/>
        <v>ワールドヒーローズ2ジェット</v>
      </c>
      <c r="O1021" t="str">
        <f t="shared" si="85"/>
        <v/>
      </c>
      <c r="P1021" t="str">
        <f t="shared" si="85"/>
        <v/>
      </c>
      <c r="Q1021" t="s">
        <v>5199</v>
      </c>
      <c r="T1021" t="str">
        <f t="shared" si="83"/>
        <v/>
      </c>
      <c r="V1021" t="str">
        <f t="shared" si="84"/>
        <v>MVS,AES</v>
      </c>
      <c r="W1021" t="str">
        <f t="shared" si="84"/>
        <v>MVS,AES</v>
      </c>
      <c r="AG1021" t="s">
        <v>224</v>
      </c>
      <c r="AI1021" t="s">
        <v>9</v>
      </c>
      <c r="AJ1021" t="s">
        <v>15</v>
      </c>
    </row>
    <row r="1022" spans="5:38" x14ac:dyDescent="0.25">
      <c r="I1022" t="str">
        <f t="shared" si="81"/>
        <v>wh2j</v>
      </c>
      <c r="J1022" t="str">
        <f t="shared" si="82"/>
        <v>wh2jalt_title</v>
      </c>
      <c r="K1022" t="s">
        <v>1218</v>
      </c>
      <c r="L1022" t="str">
        <f t="shared" si="85"/>
        <v>NGM-064 / ADM-007 (MVS) ~ NGH-064 / ADH-007 (AES)</v>
      </c>
      <c r="M1022" t="str">
        <f t="shared" si="85"/>
        <v>19940426 (MVS), 19940610 (AES)</v>
      </c>
      <c r="N1022" t="str">
        <f t="shared" si="85"/>
        <v>ワールドヒーローズ2ジェット</v>
      </c>
      <c r="O1022" t="str">
        <f t="shared" si="85"/>
        <v/>
      </c>
      <c r="P1022" t="str">
        <f t="shared" si="85"/>
        <v/>
      </c>
      <c r="Q1022" t="s">
        <v>5198</v>
      </c>
      <c r="T1022" t="str">
        <f t="shared" si="83"/>
        <v/>
      </c>
      <c r="V1022" t="str">
        <f t="shared" si="84"/>
        <v>MVS,AES</v>
      </c>
      <c r="W1022" t="str">
        <f t="shared" si="84"/>
        <v>MVS,AES</v>
      </c>
      <c r="AB1022" t="s">
        <v>34</v>
      </c>
      <c r="AE1022" t="s">
        <v>33</v>
      </c>
      <c r="AH1022" t="s">
        <v>5197</v>
      </c>
      <c r="AI1022" t="s">
        <v>9</v>
      </c>
      <c r="AJ1022" t="s">
        <v>27</v>
      </c>
      <c r="AK1022" t="s">
        <v>5196</v>
      </c>
      <c r="AL1022" t="s">
        <v>5195</v>
      </c>
    </row>
    <row r="1023" spans="5:38" x14ac:dyDescent="0.25">
      <c r="I1023" t="str">
        <f t="shared" si="81"/>
        <v>wh2j</v>
      </c>
      <c r="J1023" t="str">
        <f t="shared" si="82"/>
        <v/>
      </c>
      <c r="L1023" t="str">
        <f t="shared" si="85"/>
        <v>NGM-064 / ADM-007 (MVS) ~ NGH-064 / ADH-007 (AES)</v>
      </c>
      <c r="M1023" t="str">
        <f t="shared" si="85"/>
        <v>19940426 (MVS), 19940610 (AES)</v>
      </c>
      <c r="N1023" t="str">
        <f t="shared" si="85"/>
        <v>ワールドヒーローズ2ジェット</v>
      </c>
      <c r="O1023" t="str">
        <f t="shared" si="85"/>
        <v/>
      </c>
      <c r="P1023" t="str">
        <f t="shared" si="85"/>
        <v/>
      </c>
      <c r="S1023" t="s">
        <v>36</v>
      </c>
      <c r="T1023" t="str">
        <f t="shared" si="83"/>
        <v>wh2jcompatibility</v>
      </c>
      <c r="U1023" t="s">
        <v>218</v>
      </c>
      <c r="V1023" t="str">
        <f t="shared" si="84"/>
        <v>MVS,AES</v>
      </c>
      <c r="W1023" t="str">
        <f t="shared" si="84"/>
        <v>MVS,AES</v>
      </c>
      <c r="AB1023" t="s">
        <v>29</v>
      </c>
      <c r="AE1023" t="s">
        <v>27</v>
      </c>
      <c r="AH1023" t="s">
        <v>5194</v>
      </c>
      <c r="AI1023" t="s">
        <v>9</v>
      </c>
      <c r="AJ1023" t="s">
        <v>27</v>
      </c>
      <c r="AK1023" t="s">
        <v>5193</v>
      </c>
      <c r="AL1023" t="s">
        <v>5192</v>
      </c>
    </row>
    <row r="1024" spans="5:38" x14ac:dyDescent="0.25">
      <c r="I1024" t="str">
        <f t="shared" si="81"/>
        <v>wh2j</v>
      </c>
      <c r="J1024" t="str">
        <f t="shared" si="82"/>
        <v/>
      </c>
      <c r="L1024" t="str">
        <f t="shared" si="85"/>
        <v>NGM-064 / ADM-007 (MVS) ~ NGH-064 / ADH-007 (AES)</v>
      </c>
      <c r="M1024" t="str">
        <f t="shared" si="85"/>
        <v>19940426 (MVS), 19940610 (AES)</v>
      </c>
      <c r="N1024" t="str">
        <f t="shared" si="85"/>
        <v>ワールドヒーローズ2ジェット</v>
      </c>
      <c r="O1024" t="str">
        <f t="shared" si="85"/>
        <v/>
      </c>
      <c r="P1024" t="str">
        <f t="shared" si="85"/>
        <v/>
      </c>
      <c r="T1024" t="str">
        <f t="shared" si="83"/>
        <v/>
      </c>
      <c r="V1024" t="str">
        <f t="shared" si="84"/>
        <v>MVS,AES</v>
      </c>
      <c r="W1024" t="str">
        <f t="shared" si="84"/>
        <v>MVS,AES</v>
      </c>
      <c r="AB1024" t="s">
        <v>24</v>
      </c>
      <c r="AE1024" t="s">
        <v>11</v>
      </c>
      <c r="AH1024" t="s">
        <v>5191</v>
      </c>
      <c r="AI1024" t="s">
        <v>9</v>
      </c>
      <c r="AJ1024" t="s">
        <v>3</v>
      </c>
      <c r="AK1024" t="s">
        <v>5190</v>
      </c>
      <c r="AL1024" t="s">
        <v>5189</v>
      </c>
    </row>
    <row r="1025" spans="5:38" x14ac:dyDescent="0.25">
      <c r="I1025" t="str">
        <f t="shared" si="81"/>
        <v>wh2j</v>
      </c>
      <c r="J1025" t="str">
        <f t="shared" si="82"/>
        <v/>
      </c>
      <c r="L1025" t="str">
        <f t="shared" si="85"/>
        <v>NGM-064 / ADM-007 (MVS) ~ NGH-064 / ADH-007 (AES)</v>
      </c>
      <c r="M1025" t="str">
        <f t="shared" si="85"/>
        <v>19940426 (MVS), 19940610 (AES)</v>
      </c>
      <c r="N1025" t="str">
        <f t="shared" si="85"/>
        <v>ワールドヒーローズ2ジェット</v>
      </c>
      <c r="O1025" t="str">
        <f t="shared" si="85"/>
        <v/>
      </c>
      <c r="P1025" t="str">
        <f t="shared" si="85"/>
        <v/>
      </c>
      <c r="T1025" t="str">
        <f t="shared" si="83"/>
        <v/>
      </c>
      <c r="V1025" t="str">
        <f t="shared" si="84"/>
        <v>MVS,AES</v>
      </c>
      <c r="W1025" t="str">
        <f t="shared" si="84"/>
        <v>MVS,AES</v>
      </c>
      <c r="AH1025" t="s">
        <v>4284</v>
      </c>
      <c r="AI1025" t="s">
        <v>3</v>
      </c>
      <c r="AJ1025" t="s">
        <v>3</v>
      </c>
      <c r="AK1025" t="s">
        <v>4283</v>
      </c>
      <c r="AL1025" t="s">
        <v>4282</v>
      </c>
    </row>
    <row r="1026" spans="5:38" x14ac:dyDescent="0.25">
      <c r="I1026" t="str">
        <f t="shared" si="81"/>
        <v>wh2j</v>
      </c>
      <c r="J1026" t="str">
        <f t="shared" si="82"/>
        <v/>
      </c>
      <c r="L1026" t="str">
        <f t="shared" si="85"/>
        <v>NGM-064 / ADM-007 (MVS) ~ NGH-064 / ADH-007 (AES)</v>
      </c>
      <c r="M1026" t="str">
        <f t="shared" si="85"/>
        <v>19940426 (MVS), 19940610 (AES)</v>
      </c>
      <c r="N1026" t="str">
        <f t="shared" si="85"/>
        <v>ワールドヒーローズ2ジェット</v>
      </c>
      <c r="O1026" t="str">
        <f t="shared" si="85"/>
        <v/>
      </c>
      <c r="P1026" t="str">
        <f t="shared" si="85"/>
        <v/>
      </c>
      <c r="T1026" t="str">
        <f t="shared" si="83"/>
        <v/>
      </c>
      <c r="V1026" t="str">
        <f t="shared" si="84"/>
        <v>MVS,AES</v>
      </c>
      <c r="W1026" t="str">
        <f t="shared" si="84"/>
        <v>MVS,AES</v>
      </c>
      <c r="AB1026" t="s">
        <v>12</v>
      </c>
      <c r="AE1026" t="s">
        <v>65</v>
      </c>
      <c r="AG1026" t="s">
        <v>6</v>
      </c>
      <c r="AH1026" t="s">
        <v>5188</v>
      </c>
      <c r="AI1026" t="s">
        <v>9</v>
      </c>
      <c r="AJ1026" t="s">
        <v>3</v>
      </c>
      <c r="AK1026" t="s">
        <v>5187</v>
      </c>
      <c r="AL1026" t="s">
        <v>5186</v>
      </c>
    </row>
    <row r="1027" spans="5:38" x14ac:dyDescent="0.25">
      <c r="I1027" t="str">
        <f t="shared" ref="I1027:I1090" si="86">IF(E1027="",I1026,E1027)</f>
        <v>wh2j</v>
      </c>
      <c r="J1027" t="str">
        <f t="shared" ref="J1027:J1090" si="87">IF(K1027="","",I1027&amp;K1027)</f>
        <v/>
      </c>
      <c r="L1027" t="str">
        <f t="shared" si="85"/>
        <v>NGM-064 / ADM-007 (MVS) ~ NGH-064 / ADH-007 (AES)</v>
      </c>
      <c r="M1027" t="str">
        <f t="shared" si="85"/>
        <v>19940426 (MVS), 19940610 (AES)</v>
      </c>
      <c r="N1027" t="str">
        <f t="shared" si="85"/>
        <v>ワールドヒーローズ2ジェット</v>
      </c>
      <c r="O1027" t="str">
        <f t="shared" si="85"/>
        <v/>
      </c>
      <c r="P1027" t="str">
        <f t="shared" si="85"/>
        <v/>
      </c>
      <c r="T1027" t="str">
        <f t="shared" ref="T1027:T1090" si="88">IF(S1027="","",I1027&amp;S1027)</f>
        <v/>
      </c>
      <c r="V1027" t="str">
        <f t="shared" si="84"/>
        <v>MVS,AES</v>
      </c>
      <c r="W1027" t="str">
        <f t="shared" si="84"/>
        <v>MVS,AES</v>
      </c>
      <c r="AG1027" t="s">
        <v>6</v>
      </c>
      <c r="AH1027" t="s">
        <v>5185</v>
      </c>
      <c r="AI1027" t="s">
        <v>4</v>
      </c>
      <c r="AJ1027" t="s">
        <v>3</v>
      </c>
      <c r="AK1027" t="s">
        <v>5184</v>
      </c>
      <c r="AL1027" t="s">
        <v>5183</v>
      </c>
    </row>
    <row r="1028" spans="5:38" x14ac:dyDescent="0.25">
      <c r="I1028" t="str">
        <f t="shared" si="86"/>
        <v>wh2j</v>
      </c>
      <c r="J1028" t="str">
        <f t="shared" si="87"/>
        <v/>
      </c>
      <c r="L1028" t="str">
        <f t="shared" si="85"/>
        <v>NGM-064 / ADM-007 (MVS) ~ NGH-064 / ADH-007 (AES)</v>
      </c>
      <c r="M1028" t="str">
        <f t="shared" si="85"/>
        <v>19940426 (MVS), 19940610 (AES)</v>
      </c>
      <c r="N1028" t="str">
        <f t="shared" si="85"/>
        <v>ワールドヒーローズ2ジェット</v>
      </c>
      <c r="O1028" t="str">
        <f t="shared" si="85"/>
        <v/>
      </c>
      <c r="P1028" t="str">
        <f t="shared" si="85"/>
        <v/>
      </c>
      <c r="T1028" t="str">
        <f t="shared" si="88"/>
        <v/>
      </c>
      <c r="V1028" t="str">
        <f t="shared" si="84"/>
        <v>MVS,AES</v>
      </c>
      <c r="W1028" t="str">
        <f t="shared" si="84"/>
        <v>MVS,AES</v>
      </c>
      <c r="AG1028" t="s">
        <v>6</v>
      </c>
      <c r="AH1028" t="s">
        <v>4272</v>
      </c>
      <c r="AI1028" t="s">
        <v>11</v>
      </c>
      <c r="AJ1028" t="s">
        <v>3</v>
      </c>
      <c r="AK1028" t="s">
        <v>4271</v>
      </c>
      <c r="AL1028" t="s">
        <v>4270</v>
      </c>
    </row>
    <row r="1029" spans="5:38" x14ac:dyDescent="0.25">
      <c r="I1029" t="str">
        <f t="shared" si="86"/>
        <v>wh2j</v>
      </c>
      <c r="J1029" t="str">
        <f t="shared" si="87"/>
        <v/>
      </c>
      <c r="L1029" t="str">
        <f t="shared" si="85"/>
        <v>NGM-064 / ADM-007 (MVS) ~ NGH-064 / ADH-007 (AES)</v>
      </c>
      <c r="M1029" t="str">
        <f t="shared" si="85"/>
        <v>19940426 (MVS), 19940610 (AES)</v>
      </c>
      <c r="N1029" t="str">
        <f t="shared" si="85"/>
        <v>ワールドヒーローズ2ジェット</v>
      </c>
      <c r="O1029" t="str">
        <f t="shared" si="85"/>
        <v/>
      </c>
      <c r="P1029" t="str">
        <f t="shared" si="85"/>
        <v/>
      </c>
      <c r="T1029" t="str">
        <f t="shared" si="88"/>
        <v/>
      </c>
      <c r="V1029" t="str">
        <f t="shared" si="84"/>
        <v>MVS,AES</v>
      </c>
      <c r="W1029" t="str">
        <f t="shared" si="84"/>
        <v>MVS,AES</v>
      </c>
      <c r="AG1029" t="s">
        <v>6</v>
      </c>
      <c r="AH1029" t="s">
        <v>4269</v>
      </c>
      <c r="AI1029" t="s">
        <v>932</v>
      </c>
      <c r="AJ1029" t="s">
        <v>3</v>
      </c>
      <c r="AK1029" t="s">
        <v>4268</v>
      </c>
      <c r="AL1029" t="s">
        <v>4267</v>
      </c>
    </row>
    <row r="1030" spans="5:38" x14ac:dyDescent="0.25">
      <c r="I1030" t="str">
        <f t="shared" si="86"/>
        <v>wh2j</v>
      </c>
      <c r="J1030" t="str">
        <f t="shared" si="87"/>
        <v/>
      </c>
      <c r="L1030" t="str">
        <f t="shared" si="85"/>
        <v>NGM-064 / ADM-007 (MVS) ~ NGH-064 / ADH-007 (AES)</v>
      </c>
      <c r="M1030" t="str">
        <f t="shared" si="85"/>
        <v>19940426 (MVS), 19940610 (AES)</v>
      </c>
      <c r="N1030" t="str">
        <f t="shared" si="85"/>
        <v>ワールドヒーローズ2ジェット</v>
      </c>
      <c r="O1030" t="str">
        <f t="shared" si="85"/>
        <v/>
      </c>
      <c r="P1030" t="str">
        <f t="shared" si="85"/>
        <v/>
      </c>
      <c r="T1030" t="str">
        <f t="shared" si="88"/>
        <v/>
      </c>
      <c r="V1030" t="str">
        <f t="shared" si="84"/>
        <v>MVS,AES</v>
      </c>
      <c r="W1030" t="str">
        <f t="shared" si="84"/>
        <v>MVS,AES</v>
      </c>
      <c r="AG1030" t="s">
        <v>6</v>
      </c>
      <c r="AH1030" t="s">
        <v>4266</v>
      </c>
      <c r="AI1030" t="s">
        <v>57</v>
      </c>
      <c r="AJ1030" t="s">
        <v>3</v>
      </c>
      <c r="AK1030" t="s">
        <v>4265</v>
      </c>
      <c r="AL1030" t="s">
        <v>4264</v>
      </c>
    </row>
    <row r="1031" spans="5:38" x14ac:dyDescent="0.25">
      <c r="I1031" t="str">
        <f t="shared" si="86"/>
        <v>wh2j</v>
      </c>
      <c r="J1031" t="str">
        <f t="shared" si="87"/>
        <v/>
      </c>
      <c r="L1031" t="str">
        <f t="shared" si="85"/>
        <v>NGM-064 / ADM-007 (MVS) ~ NGH-064 / ADH-007 (AES)</v>
      </c>
      <c r="M1031" t="str">
        <f t="shared" si="85"/>
        <v>19940426 (MVS), 19940610 (AES)</v>
      </c>
      <c r="N1031" t="str">
        <f t="shared" si="85"/>
        <v>ワールドヒーローズ2ジェット</v>
      </c>
      <c r="O1031" t="str">
        <f t="shared" si="85"/>
        <v/>
      </c>
      <c r="P1031" t="str">
        <f t="shared" si="85"/>
        <v/>
      </c>
      <c r="T1031" t="str">
        <f t="shared" si="88"/>
        <v/>
      </c>
      <c r="V1031" t="str">
        <f t="shared" si="84"/>
        <v>MVS,AES</v>
      </c>
      <c r="W1031" t="str">
        <f t="shared" si="84"/>
        <v>MVS,AES</v>
      </c>
      <c r="AG1031" t="s">
        <v>6</v>
      </c>
      <c r="AH1031" t="s">
        <v>4263</v>
      </c>
      <c r="AI1031" t="s">
        <v>53</v>
      </c>
      <c r="AJ1031" t="s">
        <v>3</v>
      </c>
      <c r="AK1031" t="s">
        <v>4262</v>
      </c>
      <c r="AL1031" t="s">
        <v>4261</v>
      </c>
    </row>
    <row r="1032" spans="5:38" x14ac:dyDescent="0.25">
      <c r="I1032" t="str">
        <f t="shared" si="86"/>
        <v>wh2j</v>
      </c>
      <c r="J1032" t="str">
        <f t="shared" si="87"/>
        <v/>
      </c>
      <c r="L1032" t="str">
        <f t="shared" si="85"/>
        <v>NGM-064 / ADM-007 (MVS) ~ NGH-064 / ADH-007 (AES)</v>
      </c>
      <c r="M1032" t="str">
        <f t="shared" si="85"/>
        <v>19940426 (MVS), 19940610 (AES)</v>
      </c>
      <c r="N1032" t="str">
        <f t="shared" si="85"/>
        <v>ワールドヒーローズ2ジェット</v>
      </c>
      <c r="O1032" t="str">
        <f t="shared" si="85"/>
        <v/>
      </c>
      <c r="P1032" t="str">
        <f t="shared" si="85"/>
        <v/>
      </c>
      <c r="T1032" t="str">
        <f t="shared" si="88"/>
        <v/>
      </c>
      <c r="V1032" t="str">
        <f t="shared" si="84"/>
        <v>MVS,AES</v>
      </c>
      <c r="W1032" t="str">
        <f t="shared" si="84"/>
        <v>MVS,AES</v>
      </c>
      <c r="AG1032" t="s">
        <v>6</v>
      </c>
      <c r="AH1032" t="s">
        <v>4260</v>
      </c>
      <c r="AI1032" t="s">
        <v>250</v>
      </c>
      <c r="AJ1032" t="s">
        <v>3</v>
      </c>
      <c r="AK1032" t="s">
        <v>4259</v>
      </c>
      <c r="AL1032" t="s">
        <v>4258</v>
      </c>
    </row>
    <row r="1033" spans="5:38" x14ac:dyDescent="0.25">
      <c r="I1033" t="str">
        <f t="shared" si="86"/>
        <v>wh2j</v>
      </c>
      <c r="J1033" t="str">
        <f t="shared" si="87"/>
        <v/>
      </c>
      <c r="L1033" t="str">
        <f t="shared" si="85"/>
        <v>NGM-064 / ADM-007 (MVS) ~ NGH-064 / ADH-007 (AES)</v>
      </c>
      <c r="M1033" t="str">
        <f t="shared" si="85"/>
        <v>19940426 (MVS), 19940610 (AES)</v>
      </c>
      <c r="N1033" t="str">
        <f t="shared" si="85"/>
        <v>ワールドヒーローズ2ジェット</v>
      </c>
      <c r="O1033" t="str">
        <f t="shared" si="85"/>
        <v/>
      </c>
      <c r="P1033" t="str">
        <f t="shared" si="85"/>
        <v/>
      </c>
      <c r="T1033" t="str">
        <f t="shared" si="88"/>
        <v/>
      </c>
      <c r="V1033" t="str">
        <f t="shared" si="84"/>
        <v>MVS,AES</v>
      </c>
      <c r="W1033" t="str">
        <f t="shared" si="84"/>
        <v>MVS,AES</v>
      </c>
      <c r="AG1033" t="s">
        <v>6</v>
      </c>
      <c r="AH1033" t="s">
        <v>4257</v>
      </c>
      <c r="AI1033" t="s">
        <v>4138</v>
      </c>
      <c r="AJ1033" t="s">
        <v>3</v>
      </c>
      <c r="AK1033" t="s">
        <v>4256</v>
      </c>
      <c r="AL1033" t="s">
        <v>4255</v>
      </c>
    </row>
    <row r="1034" spans="5:38" x14ac:dyDescent="0.25">
      <c r="E1034" t="s">
        <v>5182</v>
      </c>
      <c r="F1034" t="s">
        <v>5181</v>
      </c>
      <c r="G1034" t="s">
        <v>393</v>
      </c>
      <c r="H1034" t="s">
        <v>3073</v>
      </c>
      <c r="I1034" t="str">
        <f t="shared" si="86"/>
        <v>wjammers</v>
      </c>
      <c r="J1034" t="str">
        <f t="shared" si="87"/>
        <v>wjammersserial</v>
      </c>
      <c r="K1034" t="s">
        <v>1373</v>
      </c>
      <c r="L1034" t="str">
        <f t="shared" si="85"/>
        <v>NGM-065 (MVS), NGH-065 (AES)</v>
      </c>
      <c r="M1034" t="str">
        <f t="shared" si="85"/>
        <v>19940217 (MVS), 19940408 (AES)</v>
      </c>
      <c r="N1034" t="str">
        <f t="shared" si="85"/>
        <v>フライングパワーディスク</v>
      </c>
      <c r="O1034" t="str">
        <f t="shared" si="85"/>
        <v/>
      </c>
      <c r="P1034" t="str">
        <f t="shared" si="85"/>
        <v/>
      </c>
      <c r="Q1034" t="s">
        <v>5180</v>
      </c>
      <c r="S1034" t="s">
        <v>46</v>
      </c>
      <c r="T1034" t="str">
        <f t="shared" si="88"/>
        <v>wjammersrelease</v>
      </c>
      <c r="U1034" t="s">
        <v>218</v>
      </c>
      <c r="V1034" t="str">
        <f t="shared" si="84"/>
        <v>MVS,AES</v>
      </c>
      <c r="W1034" t="str">
        <f t="shared" si="84"/>
        <v>MVS,AES</v>
      </c>
      <c r="Y1034" t="s">
        <v>45</v>
      </c>
      <c r="Z1034" t="s">
        <v>44</v>
      </c>
      <c r="AB1034" t="s">
        <v>43</v>
      </c>
      <c r="AC1034" t="s">
        <v>42</v>
      </c>
      <c r="AD1034" t="s">
        <v>41</v>
      </c>
      <c r="AE1034" t="s">
        <v>15</v>
      </c>
      <c r="AG1034" t="s">
        <v>40</v>
      </c>
      <c r="AH1034" t="s">
        <v>5179</v>
      </c>
      <c r="AI1034" t="s">
        <v>9</v>
      </c>
      <c r="AJ1034" t="s">
        <v>15</v>
      </c>
      <c r="AK1034" t="s">
        <v>5178</v>
      </c>
      <c r="AL1034" t="s">
        <v>5177</v>
      </c>
    </row>
    <row r="1035" spans="5:38" x14ac:dyDescent="0.25">
      <c r="I1035" t="str">
        <f t="shared" si="86"/>
        <v>wjammers</v>
      </c>
      <c r="J1035" t="str">
        <f t="shared" si="87"/>
        <v>wjammersrelease</v>
      </c>
      <c r="K1035" t="s">
        <v>46</v>
      </c>
      <c r="L1035" t="str">
        <f t="shared" ref="L1035:P1085" si="89">IFERROR(VLOOKUP($I1035&amp;L$1,$J:$Q,8,0),"")</f>
        <v>NGM-065 (MVS), NGH-065 (AES)</v>
      </c>
      <c r="M1035" t="str">
        <f t="shared" si="89"/>
        <v>19940217 (MVS), 19940408 (AES)</v>
      </c>
      <c r="N1035" t="str">
        <f t="shared" si="89"/>
        <v>フライングパワーディスク</v>
      </c>
      <c r="O1035" t="str">
        <f t="shared" si="89"/>
        <v/>
      </c>
      <c r="P1035" t="str">
        <f t="shared" si="89"/>
        <v/>
      </c>
      <c r="Q1035" t="s">
        <v>5176</v>
      </c>
      <c r="T1035" t="str">
        <f t="shared" si="88"/>
        <v/>
      </c>
      <c r="V1035" t="str">
        <f t="shared" si="84"/>
        <v>MVS,AES</v>
      </c>
      <c r="W1035" t="str">
        <f t="shared" si="84"/>
        <v>MVS,AES</v>
      </c>
      <c r="AB1035" t="s">
        <v>34</v>
      </c>
      <c r="AE1035" t="s">
        <v>33</v>
      </c>
      <c r="AH1035" t="s">
        <v>5175</v>
      </c>
      <c r="AI1035" t="s">
        <v>9</v>
      </c>
      <c r="AJ1035" t="s">
        <v>27</v>
      </c>
      <c r="AK1035" t="s">
        <v>5174</v>
      </c>
      <c r="AL1035" t="s">
        <v>5173</v>
      </c>
    </row>
    <row r="1036" spans="5:38" x14ac:dyDescent="0.25">
      <c r="I1036" t="str">
        <f t="shared" si="86"/>
        <v>wjammers</v>
      </c>
      <c r="J1036" t="str">
        <f t="shared" si="87"/>
        <v>wjammersalt_title</v>
      </c>
      <c r="K1036" t="s">
        <v>1218</v>
      </c>
      <c r="L1036" t="str">
        <f t="shared" si="89"/>
        <v>NGM-065 (MVS), NGH-065 (AES)</v>
      </c>
      <c r="M1036" t="str">
        <f t="shared" si="89"/>
        <v>19940217 (MVS), 19940408 (AES)</v>
      </c>
      <c r="N1036" t="str">
        <f t="shared" si="89"/>
        <v>フライングパワーディスク</v>
      </c>
      <c r="O1036" t="str">
        <f t="shared" si="89"/>
        <v/>
      </c>
      <c r="P1036" t="str">
        <f t="shared" si="89"/>
        <v/>
      </c>
      <c r="Q1036" t="s">
        <v>5172</v>
      </c>
      <c r="T1036" t="str">
        <f t="shared" si="88"/>
        <v/>
      </c>
      <c r="V1036" t="str">
        <f t="shared" si="84"/>
        <v>MVS,AES</v>
      </c>
      <c r="W1036" t="str">
        <f t="shared" si="84"/>
        <v>MVS,AES</v>
      </c>
      <c r="AB1036" t="s">
        <v>29</v>
      </c>
      <c r="AE1036" t="s">
        <v>27</v>
      </c>
      <c r="AH1036" t="s">
        <v>5171</v>
      </c>
      <c r="AI1036" t="s">
        <v>9</v>
      </c>
      <c r="AJ1036" t="s">
        <v>27</v>
      </c>
      <c r="AK1036" t="s">
        <v>5170</v>
      </c>
      <c r="AL1036" t="s">
        <v>5169</v>
      </c>
    </row>
    <row r="1037" spans="5:38" x14ac:dyDescent="0.25">
      <c r="I1037" t="str">
        <f t="shared" si="86"/>
        <v>wjammers</v>
      </c>
      <c r="J1037" t="str">
        <f t="shared" si="87"/>
        <v/>
      </c>
      <c r="L1037" t="str">
        <f t="shared" si="89"/>
        <v>NGM-065 (MVS), NGH-065 (AES)</v>
      </c>
      <c r="M1037" t="str">
        <f t="shared" si="89"/>
        <v>19940217 (MVS), 19940408 (AES)</v>
      </c>
      <c r="N1037" t="str">
        <f t="shared" si="89"/>
        <v>フライングパワーディスク</v>
      </c>
      <c r="O1037" t="str">
        <f t="shared" si="89"/>
        <v/>
      </c>
      <c r="P1037" t="str">
        <f t="shared" si="89"/>
        <v/>
      </c>
      <c r="S1037" t="s">
        <v>36</v>
      </c>
      <c r="T1037" t="str">
        <f t="shared" si="88"/>
        <v>wjammerscompatibility</v>
      </c>
      <c r="U1037" t="s">
        <v>218</v>
      </c>
      <c r="V1037" t="str">
        <f t="shared" si="84"/>
        <v>MVS,AES</v>
      </c>
      <c r="W1037" t="str">
        <f t="shared" si="84"/>
        <v>MVS,AES</v>
      </c>
      <c r="AB1037" t="s">
        <v>24</v>
      </c>
      <c r="AE1037" t="s">
        <v>11</v>
      </c>
      <c r="AH1037" t="s">
        <v>5168</v>
      </c>
      <c r="AI1037" t="s">
        <v>9</v>
      </c>
      <c r="AJ1037" t="s">
        <v>15</v>
      </c>
      <c r="AK1037" t="s">
        <v>5167</v>
      </c>
      <c r="AL1037" t="s">
        <v>5166</v>
      </c>
    </row>
    <row r="1038" spans="5:38" x14ac:dyDescent="0.25">
      <c r="I1038" t="str">
        <f t="shared" si="86"/>
        <v>wjammers</v>
      </c>
      <c r="J1038" t="str">
        <f t="shared" si="87"/>
        <v/>
      </c>
      <c r="L1038" t="str">
        <f t="shared" si="89"/>
        <v>NGM-065 (MVS), NGH-065 (AES)</v>
      </c>
      <c r="M1038" t="str">
        <f t="shared" si="89"/>
        <v>19940217 (MVS), 19940408 (AES)</v>
      </c>
      <c r="N1038" t="str">
        <f t="shared" si="89"/>
        <v>フライングパワーディスク</v>
      </c>
      <c r="O1038" t="str">
        <f t="shared" si="89"/>
        <v/>
      </c>
      <c r="P1038" t="str">
        <f t="shared" si="89"/>
        <v/>
      </c>
      <c r="T1038" t="str">
        <f t="shared" si="88"/>
        <v/>
      </c>
      <c r="V1038" t="str">
        <f t="shared" si="84"/>
        <v>MVS,AES</v>
      </c>
      <c r="W1038" t="str">
        <f t="shared" si="84"/>
        <v>MVS,AES</v>
      </c>
      <c r="AH1038" t="s">
        <v>5165</v>
      </c>
      <c r="AI1038" t="s">
        <v>15</v>
      </c>
      <c r="AJ1038" t="s">
        <v>15</v>
      </c>
      <c r="AK1038" t="s">
        <v>5164</v>
      </c>
      <c r="AL1038" t="s">
        <v>5163</v>
      </c>
    </row>
    <row r="1039" spans="5:38" x14ac:dyDescent="0.25">
      <c r="I1039" t="str">
        <f t="shared" si="86"/>
        <v>wjammers</v>
      </c>
      <c r="J1039" t="str">
        <f t="shared" si="87"/>
        <v/>
      </c>
      <c r="L1039" t="str">
        <f t="shared" si="89"/>
        <v>NGM-065 (MVS), NGH-065 (AES)</v>
      </c>
      <c r="M1039" t="str">
        <f t="shared" si="89"/>
        <v>19940217 (MVS), 19940408 (AES)</v>
      </c>
      <c r="N1039" t="str">
        <f t="shared" si="89"/>
        <v>フライングパワーディスク</v>
      </c>
      <c r="O1039" t="str">
        <f t="shared" si="89"/>
        <v/>
      </c>
      <c r="P1039" t="str">
        <f t="shared" si="89"/>
        <v/>
      </c>
      <c r="T1039" t="str">
        <f t="shared" si="88"/>
        <v/>
      </c>
      <c r="V1039" t="str">
        <f t="shared" si="84"/>
        <v>MVS,AES</v>
      </c>
      <c r="W1039" t="str">
        <f t="shared" si="84"/>
        <v>MVS,AES</v>
      </c>
      <c r="AH1039" t="s">
        <v>5162</v>
      </c>
      <c r="AI1039" t="s">
        <v>3</v>
      </c>
      <c r="AJ1039" t="s">
        <v>15</v>
      </c>
      <c r="AK1039" t="s">
        <v>5161</v>
      </c>
      <c r="AL1039" t="s">
        <v>5160</v>
      </c>
    </row>
    <row r="1040" spans="5:38" x14ac:dyDescent="0.25">
      <c r="I1040" t="str">
        <f t="shared" si="86"/>
        <v>wjammers</v>
      </c>
      <c r="J1040" t="str">
        <f t="shared" si="87"/>
        <v/>
      </c>
      <c r="L1040" t="str">
        <f t="shared" si="89"/>
        <v>NGM-065 (MVS), NGH-065 (AES)</v>
      </c>
      <c r="M1040" t="str">
        <f t="shared" si="89"/>
        <v>19940217 (MVS), 19940408 (AES)</v>
      </c>
      <c r="N1040" t="str">
        <f t="shared" si="89"/>
        <v>フライングパワーディスク</v>
      </c>
      <c r="O1040" t="str">
        <f t="shared" si="89"/>
        <v/>
      </c>
      <c r="P1040" t="str">
        <f t="shared" si="89"/>
        <v/>
      </c>
      <c r="T1040" t="str">
        <f t="shared" si="88"/>
        <v/>
      </c>
      <c r="V1040" t="str">
        <f t="shared" si="84"/>
        <v>MVS,AES</v>
      </c>
      <c r="W1040" t="str">
        <f t="shared" si="84"/>
        <v>MVS,AES</v>
      </c>
      <c r="AH1040" t="s">
        <v>5159</v>
      </c>
      <c r="AI1040" t="s">
        <v>377</v>
      </c>
      <c r="AJ1040" t="s">
        <v>15</v>
      </c>
      <c r="AK1040" t="s">
        <v>5158</v>
      </c>
      <c r="AL1040" t="s">
        <v>5157</v>
      </c>
    </row>
    <row r="1041" spans="5:38" x14ac:dyDescent="0.25">
      <c r="I1041" t="str">
        <f t="shared" si="86"/>
        <v>wjammers</v>
      </c>
      <c r="J1041" t="str">
        <f t="shared" si="87"/>
        <v/>
      </c>
      <c r="L1041" t="str">
        <f t="shared" si="89"/>
        <v>NGM-065 (MVS), NGH-065 (AES)</v>
      </c>
      <c r="M1041" t="str">
        <f t="shared" si="89"/>
        <v>19940217 (MVS), 19940408 (AES)</v>
      </c>
      <c r="N1041" t="str">
        <f t="shared" si="89"/>
        <v>フライングパワーディスク</v>
      </c>
      <c r="O1041" t="str">
        <f t="shared" si="89"/>
        <v/>
      </c>
      <c r="P1041" t="str">
        <f t="shared" si="89"/>
        <v/>
      </c>
      <c r="T1041" t="str">
        <f t="shared" si="88"/>
        <v/>
      </c>
      <c r="V1041" t="str">
        <f t="shared" si="84"/>
        <v>MVS,AES</v>
      </c>
      <c r="W1041" t="str">
        <f t="shared" si="84"/>
        <v>MVS,AES</v>
      </c>
      <c r="AB1041" t="s">
        <v>12</v>
      </c>
      <c r="AE1041" t="s">
        <v>11</v>
      </c>
      <c r="AG1041" t="s">
        <v>6</v>
      </c>
      <c r="AH1041" t="s">
        <v>5156</v>
      </c>
      <c r="AI1041" t="s">
        <v>9</v>
      </c>
      <c r="AJ1041" t="s">
        <v>15</v>
      </c>
      <c r="AK1041" t="s">
        <v>5155</v>
      </c>
      <c r="AL1041" t="s">
        <v>5154</v>
      </c>
    </row>
    <row r="1042" spans="5:38" x14ac:dyDescent="0.25">
      <c r="I1042" t="str">
        <f t="shared" si="86"/>
        <v>wjammers</v>
      </c>
      <c r="J1042" t="str">
        <f t="shared" si="87"/>
        <v/>
      </c>
      <c r="L1042" t="str">
        <f t="shared" si="89"/>
        <v>NGM-065 (MVS), NGH-065 (AES)</v>
      </c>
      <c r="M1042" t="str">
        <f t="shared" si="89"/>
        <v>19940217 (MVS), 19940408 (AES)</v>
      </c>
      <c r="N1042" t="str">
        <f t="shared" si="89"/>
        <v>フライングパワーディスク</v>
      </c>
      <c r="O1042" t="str">
        <f t="shared" si="89"/>
        <v/>
      </c>
      <c r="P1042" t="str">
        <f t="shared" si="89"/>
        <v/>
      </c>
      <c r="T1042" t="str">
        <f t="shared" si="88"/>
        <v/>
      </c>
      <c r="V1042" t="str">
        <f t="shared" si="84"/>
        <v>MVS,AES</v>
      </c>
      <c r="W1042" t="str">
        <f t="shared" si="84"/>
        <v>MVS,AES</v>
      </c>
      <c r="AG1042" t="s">
        <v>6</v>
      </c>
      <c r="AH1042" t="s">
        <v>5153</v>
      </c>
      <c r="AI1042" t="s">
        <v>4</v>
      </c>
      <c r="AJ1042" t="s">
        <v>15</v>
      </c>
      <c r="AK1042" t="s">
        <v>5152</v>
      </c>
      <c r="AL1042" t="s">
        <v>5151</v>
      </c>
    </row>
    <row r="1043" spans="5:38" x14ac:dyDescent="0.25">
      <c r="I1043" t="str">
        <f t="shared" si="86"/>
        <v>wjammers</v>
      </c>
      <c r="J1043" t="str">
        <f t="shared" si="87"/>
        <v/>
      </c>
      <c r="L1043" t="str">
        <f t="shared" si="89"/>
        <v>NGM-065 (MVS), NGH-065 (AES)</v>
      </c>
      <c r="M1043" t="str">
        <f t="shared" si="89"/>
        <v>19940217 (MVS), 19940408 (AES)</v>
      </c>
      <c r="N1043" t="str">
        <f t="shared" si="89"/>
        <v>フライングパワーディスク</v>
      </c>
      <c r="O1043" t="str">
        <f t="shared" si="89"/>
        <v/>
      </c>
      <c r="P1043" t="str">
        <f t="shared" si="89"/>
        <v/>
      </c>
      <c r="T1043" t="str">
        <f t="shared" si="88"/>
        <v/>
      </c>
      <c r="V1043" t="str">
        <f t="shared" si="84"/>
        <v>MVS,AES</v>
      </c>
      <c r="W1043" t="str">
        <f t="shared" si="84"/>
        <v>MVS,AES</v>
      </c>
      <c r="AG1043" t="s">
        <v>6</v>
      </c>
      <c r="AH1043" t="s">
        <v>5150</v>
      </c>
      <c r="AI1043" t="s">
        <v>3</v>
      </c>
      <c r="AJ1043" t="s">
        <v>15</v>
      </c>
      <c r="AK1043" t="s">
        <v>5149</v>
      </c>
      <c r="AL1043" t="s">
        <v>5148</v>
      </c>
    </row>
    <row r="1044" spans="5:38" x14ac:dyDescent="0.25">
      <c r="I1044" t="str">
        <f t="shared" si="86"/>
        <v>wjammers</v>
      </c>
      <c r="J1044" t="str">
        <f t="shared" si="87"/>
        <v/>
      </c>
      <c r="L1044" t="str">
        <f t="shared" si="89"/>
        <v>NGM-065 (MVS), NGH-065 (AES)</v>
      </c>
      <c r="M1044" t="str">
        <f t="shared" si="89"/>
        <v>19940217 (MVS), 19940408 (AES)</v>
      </c>
      <c r="N1044" t="str">
        <f t="shared" si="89"/>
        <v>フライングパワーディスク</v>
      </c>
      <c r="O1044" t="str">
        <f t="shared" si="89"/>
        <v/>
      </c>
      <c r="P1044" t="str">
        <f t="shared" si="89"/>
        <v/>
      </c>
      <c r="T1044" t="str">
        <f t="shared" si="88"/>
        <v/>
      </c>
      <c r="V1044" t="str">
        <f t="shared" si="84"/>
        <v>MVS,AES</v>
      </c>
      <c r="W1044" t="str">
        <f t="shared" si="84"/>
        <v>MVS,AES</v>
      </c>
      <c r="AG1044" t="s">
        <v>6</v>
      </c>
      <c r="AH1044" t="s">
        <v>5147</v>
      </c>
      <c r="AI1044" t="s">
        <v>4371</v>
      </c>
      <c r="AJ1044" t="s">
        <v>15</v>
      </c>
      <c r="AK1044" t="s">
        <v>5146</v>
      </c>
      <c r="AL1044" t="s">
        <v>5145</v>
      </c>
    </row>
    <row r="1045" spans="5:38" x14ac:dyDescent="0.25">
      <c r="E1045" t="s">
        <v>5144</v>
      </c>
      <c r="F1045" t="s">
        <v>5143</v>
      </c>
      <c r="G1045" t="s">
        <v>393</v>
      </c>
      <c r="H1045" t="s">
        <v>3073</v>
      </c>
      <c r="I1045" t="str">
        <f t="shared" si="86"/>
        <v>karnovr</v>
      </c>
      <c r="J1045" t="str">
        <f t="shared" si="87"/>
        <v>karnovrserial</v>
      </c>
      <c r="K1045" t="s">
        <v>1373</v>
      </c>
      <c r="L1045" t="str">
        <f t="shared" si="89"/>
        <v>NGM-066 (MVS), NGH-066 (AES)</v>
      </c>
      <c r="M1045" t="str">
        <f t="shared" si="89"/>
        <v>19940317 (MVS), 19940428 (AES)</v>
      </c>
      <c r="N1045" t="str">
        <f t="shared" si="89"/>
        <v>ファイターズヒストリー・ダイナマイト</v>
      </c>
      <c r="O1045" t="str">
        <f t="shared" si="89"/>
        <v/>
      </c>
      <c r="P1045" t="str">
        <f t="shared" si="89"/>
        <v/>
      </c>
      <c r="Q1045" t="s">
        <v>5142</v>
      </c>
      <c r="S1045" t="s">
        <v>46</v>
      </c>
      <c r="T1045" t="str">
        <f t="shared" si="88"/>
        <v>karnovrrelease</v>
      </c>
      <c r="U1045" t="s">
        <v>218</v>
      </c>
      <c r="V1045" t="str">
        <f t="shared" si="84"/>
        <v>MVS,AES</v>
      </c>
      <c r="W1045" t="str">
        <f t="shared" si="84"/>
        <v>MVS,AES</v>
      </c>
      <c r="Y1045" t="s">
        <v>45</v>
      </c>
      <c r="Z1045" t="s">
        <v>44</v>
      </c>
      <c r="AB1045" t="s">
        <v>43</v>
      </c>
      <c r="AC1045" t="s">
        <v>42</v>
      </c>
      <c r="AD1045" t="s">
        <v>41</v>
      </c>
      <c r="AE1045" t="s">
        <v>15</v>
      </c>
      <c r="AG1045" t="s">
        <v>40</v>
      </c>
      <c r="AH1045" t="s">
        <v>5141</v>
      </c>
      <c r="AI1045" t="s">
        <v>9</v>
      </c>
      <c r="AJ1045" t="s">
        <v>15</v>
      </c>
      <c r="AK1045" t="s">
        <v>5140</v>
      </c>
      <c r="AL1045" t="s">
        <v>5139</v>
      </c>
    </row>
    <row r="1046" spans="5:38" x14ac:dyDescent="0.25">
      <c r="I1046" t="str">
        <f t="shared" si="86"/>
        <v>karnovr</v>
      </c>
      <c r="J1046" t="str">
        <f t="shared" si="87"/>
        <v>karnovrrelease</v>
      </c>
      <c r="K1046" t="s">
        <v>46</v>
      </c>
      <c r="L1046" t="str">
        <f t="shared" si="89"/>
        <v>NGM-066 (MVS), NGH-066 (AES)</v>
      </c>
      <c r="M1046" t="str">
        <f t="shared" si="89"/>
        <v>19940317 (MVS), 19940428 (AES)</v>
      </c>
      <c r="N1046" t="str">
        <f t="shared" si="89"/>
        <v>ファイターズヒストリー・ダイナマイト</v>
      </c>
      <c r="O1046" t="str">
        <f t="shared" si="89"/>
        <v/>
      </c>
      <c r="P1046" t="str">
        <f t="shared" si="89"/>
        <v/>
      </c>
      <c r="Q1046" t="s">
        <v>5138</v>
      </c>
      <c r="T1046" t="str">
        <f t="shared" si="88"/>
        <v/>
      </c>
      <c r="V1046" t="str">
        <f t="shared" si="84"/>
        <v>MVS,AES</v>
      </c>
      <c r="W1046" t="str">
        <f t="shared" si="84"/>
        <v>MVS,AES</v>
      </c>
      <c r="AB1046" t="s">
        <v>34</v>
      </c>
      <c r="AE1046" t="s">
        <v>33</v>
      </c>
      <c r="AH1046" t="s">
        <v>5137</v>
      </c>
      <c r="AI1046" t="s">
        <v>9</v>
      </c>
      <c r="AJ1046" t="s">
        <v>27</v>
      </c>
      <c r="AK1046" t="s">
        <v>5136</v>
      </c>
      <c r="AL1046" t="s">
        <v>5135</v>
      </c>
    </row>
    <row r="1047" spans="5:38" x14ac:dyDescent="0.25">
      <c r="I1047" t="str">
        <f t="shared" si="86"/>
        <v>karnovr</v>
      </c>
      <c r="J1047" t="str">
        <f t="shared" si="87"/>
        <v>karnovralt_title</v>
      </c>
      <c r="K1047" t="s">
        <v>1218</v>
      </c>
      <c r="L1047" t="str">
        <f t="shared" si="89"/>
        <v>NGM-066 (MVS), NGH-066 (AES)</v>
      </c>
      <c r="M1047" t="str">
        <f t="shared" si="89"/>
        <v>19940317 (MVS), 19940428 (AES)</v>
      </c>
      <c r="N1047" t="str">
        <f t="shared" si="89"/>
        <v>ファイターズヒストリー・ダイナマイト</v>
      </c>
      <c r="O1047" t="str">
        <f t="shared" si="89"/>
        <v/>
      </c>
      <c r="P1047" t="str">
        <f t="shared" si="89"/>
        <v/>
      </c>
      <c r="Q1047" t="s">
        <v>5134</v>
      </c>
      <c r="T1047" t="str">
        <f t="shared" si="88"/>
        <v/>
      </c>
      <c r="V1047" t="str">
        <f t="shared" ref="V1047:W1110" si="90">IFERROR(VLOOKUP($I1047&amp;V$1,$T:$AA,2,0),"")</f>
        <v>MVS,AES</v>
      </c>
      <c r="W1047" t="str">
        <f t="shared" si="90"/>
        <v>MVS,AES</v>
      </c>
      <c r="AB1047" t="s">
        <v>29</v>
      </c>
      <c r="AE1047" t="s">
        <v>27</v>
      </c>
      <c r="AH1047" t="s">
        <v>5133</v>
      </c>
      <c r="AI1047" t="s">
        <v>9</v>
      </c>
      <c r="AJ1047" t="s">
        <v>27</v>
      </c>
      <c r="AK1047" t="s">
        <v>5132</v>
      </c>
      <c r="AL1047" t="s">
        <v>5131</v>
      </c>
    </row>
    <row r="1048" spans="5:38" x14ac:dyDescent="0.25">
      <c r="I1048" t="str">
        <f t="shared" si="86"/>
        <v>karnovr</v>
      </c>
      <c r="J1048" t="str">
        <f t="shared" si="87"/>
        <v/>
      </c>
      <c r="L1048" t="str">
        <f t="shared" si="89"/>
        <v>NGM-066 (MVS), NGH-066 (AES)</v>
      </c>
      <c r="M1048" t="str">
        <f t="shared" si="89"/>
        <v>19940317 (MVS), 19940428 (AES)</v>
      </c>
      <c r="N1048" t="str">
        <f t="shared" si="89"/>
        <v>ファイターズヒストリー・ダイナマイト</v>
      </c>
      <c r="O1048" t="str">
        <f t="shared" si="89"/>
        <v/>
      </c>
      <c r="P1048" t="str">
        <f t="shared" si="89"/>
        <v/>
      </c>
      <c r="S1048" t="s">
        <v>36</v>
      </c>
      <c r="T1048" t="str">
        <f t="shared" si="88"/>
        <v>karnovrcompatibility</v>
      </c>
      <c r="U1048" t="s">
        <v>218</v>
      </c>
      <c r="V1048" t="str">
        <f t="shared" si="90"/>
        <v>MVS,AES</v>
      </c>
      <c r="W1048" t="str">
        <f t="shared" si="90"/>
        <v>MVS,AES</v>
      </c>
      <c r="AB1048" t="s">
        <v>24</v>
      </c>
      <c r="AE1048" t="s">
        <v>3</v>
      </c>
      <c r="AH1048" t="s">
        <v>5130</v>
      </c>
      <c r="AI1048" t="s">
        <v>9</v>
      </c>
      <c r="AJ1048" t="s">
        <v>3</v>
      </c>
      <c r="AK1048" t="s">
        <v>5129</v>
      </c>
      <c r="AL1048" t="s">
        <v>5128</v>
      </c>
    </row>
    <row r="1049" spans="5:38" x14ac:dyDescent="0.25">
      <c r="I1049" t="str">
        <f t="shared" si="86"/>
        <v>karnovr</v>
      </c>
      <c r="J1049" t="str">
        <f t="shared" si="87"/>
        <v/>
      </c>
      <c r="L1049" t="str">
        <f t="shared" si="89"/>
        <v>NGM-066 (MVS), NGH-066 (AES)</v>
      </c>
      <c r="M1049" t="str">
        <f t="shared" si="89"/>
        <v>19940317 (MVS), 19940428 (AES)</v>
      </c>
      <c r="N1049" t="str">
        <f t="shared" si="89"/>
        <v>ファイターズヒストリー・ダイナマイト</v>
      </c>
      <c r="O1049" t="str">
        <f t="shared" si="89"/>
        <v/>
      </c>
      <c r="P1049" t="str">
        <f t="shared" si="89"/>
        <v/>
      </c>
      <c r="T1049" t="str">
        <f t="shared" si="88"/>
        <v/>
      </c>
      <c r="V1049" t="str">
        <f t="shared" si="90"/>
        <v>MVS,AES</v>
      </c>
      <c r="W1049" t="str">
        <f t="shared" si="90"/>
        <v>MVS,AES</v>
      </c>
      <c r="AB1049" t="s">
        <v>12</v>
      </c>
      <c r="AE1049" t="s">
        <v>250</v>
      </c>
      <c r="AG1049" t="s">
        <v>6</v>
      </c>
      <c r="AH1049" t="s">
        <v>5127</v>
      </c>
      <c r="AI1049" t="s">
        <v>9</v>
      </c>
      <c r="AJ1049" t="s">
        <v>3</v>
      </c>
      <c r="AK1049" t="s">
        <v>5126</v>
      </c>
      <c r="AL1049" t="s">
        <v>5125</v>
      </c>
    </row>
    <row r="1050" spans="5:38" x14ac:dyDescent="0.25">
      <c r="I1050" t="str">
        <f t="shared" si="86"/>
        <v>karnovr</v>
      </c>
      <c r="J1050" t="str">
        <f t="shared" si="87"/>
        <v/>
      </c>
      <c r="L1050" t="str">
        <f t="shared" si="89"/>
        <v>NGM-066 (MVS), NGH-066 (AES)</v>
      </c>
      <c r="M1050" t="str">
        <f t="shared" si="89"/>
        <v>19940317 (MVS), 19940428 (AES)</v>
      </c>
      <c r="N1050" t="str">
        <f t="shared" si="89"/>
        <v>ファイターズヒストリー・ダイナマイト</v>
      </c>
      <c r="O1050" t="str">
        <f t="shared" si="89"/>
        <v/>
      </c>
      <c r="P1050" t="str">
        <f t="shared" si="89"/>
        <v/>
      </c>
      <c r="T1050" t="str">
        <f t="shared" si="88"/>
        <v/>
      </c>
      <c r="V1050" t="str">
        <f t="shared" si="90"/>
        <v>MVS,AES</v>
      </c>
      <c r="W1050" t="str">
        <f t="shared" si="90"/>
        <v>MVS,AES</v>
      </c>
      <c r="AG1050" t="s">
        <v>6</v>
      </c>
      <c r="AH1050" t="s">
        <v>5124</v>
      </c>
      <c r="AI1050" t="s">
        <v>4</v>
      </c>
      <c r="AJ1050" t="s">
        <v>3</v>
      </c>
      <c r="AK1050" t="s">
        <v>5123</v>
      </c>
      <c r="AL1050" t="s">
        <v>5122</v>
      </c>
    </row>
    <row r="1051" spans="5:38" x14ac:dyDescent="0.25">
      <c r="I1051" t="str">
        <f t="shared" si="86"/>
        <v>karnovr</v>
      </c>
      <c r="J1051" t="str">
        <f t="shared" si="87"/>
        <v/>
      </c>
      <c r="L1051" t="str">
        <f t="shared" si="89"/>
        <v>NGM-066 (MVS), NGH-066 (AES)</v>
      </c>
      <c r="M1051" t="str">
        <f t="shared" si="89"/>
        <v>19940317 (MVS), 19940428 (AES)</v>
      </c>
      <c r="N1051" t="str">
        <f t="shared" si="89"/>
        <v>ファイターズヒストリー・ダイナマイト</v>
      </c>
      <c r="O1051" t="str">
        <f t="shared" si="89"/>
        <v/>
      </c>
      <c r="P1051" t="str">
        <f t="shared" si="89"/>
        <v/>
      </c>
      <c r="T1051" t="str">
        <f t="shared" si="88"/>
        <v/>
      </c>
      <c r="V1051" t="str">
        <f t="shared" si="90"/>
        <v>MVS,AES</v>
      </c>
      <c r="W1051" t="str">
        <f t="shared" si="90"/>
        <v>MVS,AES</v>
      </c>
      <c r="AG1051" t="s">
        <v>6</v>
      </c>
      <c r="AH1051" t="s">
        <v>5121</v>
      </c>
      <c r="AI1051" t="s">
        <v>11</v>
      </c>
      <c r="AJ1051" t="s">
        <v>3</v>
      </c>
      <c r="AK1051" t="s">
        <v>5120</v>
      </c>
      <c r="AL1051" t="s">
        <v>5119</v>
      </c>
    </row>
    <row r="1052" spans="5:38" x14ac:dyDescent="0.25">
      <c r="I1052" t="str">
        <f t="shared" si="86"/>
        <v>karnovr</v>
      </c>
      <c r="J1052" t="str">
        <f t="shared" si="87"/>
        <v/>
      </c>
      <c r="L1052" t="str">
        <f t="shared" si="89"/>
        <v>NGM-066 (MVS), NGH-066 (AES)</v>
      </c>
      <c r="M1052" t="str">
        <f t="shared" si="89"/>
        <v>19940317 (MVS), 19940428 (AES)</v>
      </c>
      <c r="N1052" t="str">
        <f t="shared" si="89"/>
        <v>ファイターズヒストリー・ダイナマイト</v>
      </c>
      <c r="O1052" t="str">
        <f t="shared" si="89"/>
        <v/>
      </c>
      <c r="P1052" t="str">
        <f t="shared" si="89"/>
        <v/>
      </c>
      <c r="T1052" t="str">
        <f t="shared" si="88"/>
        <v/>
      </c>
      <c r="V1052" t="str">
        <f t="shared" si="90"/>
        <v>MVS,AES</v>
      </c>
      <c r="W1052" t="str">
        <f t="shared" si="90"/>
        <v>MVS,AES</v>
      </c>
      <c r="AG1052" t="s">
        <v>6</v>
      </c>
      <c r="AH1052" t="s">
        <v>5118</v>
      </c>
      <c r="AI1052" t="s">
        <v>932</v>
      </c>
      <c r="AJ1052" t="s">
        <v>3</v>
      </c>
      <c r="AK1052" t="s">
        <v>5117</v>
      </c>
      <c r="AL1052" t="s">
        <v>5116</v>
      </c>
    </row>
    <row r="1053" spans="5:38" x14ac:dyDescent="0.25">
      <c r="I1053" t="str">
        <f t="shared" si="86"/>
        <v>karnovr</v>
      </c>
      <c r="J1053" t="str">
        <f t="shared" si="87"/>
        <v/>
      </c>
      <c r="L1053" t="str">
        <f t="shared" si="89"/>
        <v>NGM-066 (MVS), NGH-066 (AES)</v>
      </c>
      <c r="M1053" t="str">
        <f t="shared" si="89"/>
        <v>19940317 (MVS), 19940428 (AES)</v>
      </c>
      <c r="N1053" t="str">
        <f t="shared" si="89"/>
        <v>ファイターズヒストリー・ダイナマイト</v>
      </c>
      <c r="O1053" t="str">
        <f t="shared" si="89"/>
        <v/>
      </c>
      <c r="P1053" t="str">
        <f t="shared" si="89"/>
        <v/>
      </c>
      <c r="T1053" t="str">
        <f t="shared" si="88"/>
        <v/>
      </c>
      <c r="V1053" t="str">
        <f t="shared" si="90"/>
        <v>MVS,AES</v>
      </c>
      <c r="W1053" t="str">
        <f t="shared" si="90"/>
        <v>MVS,AES</v>
      </c>
      <c r="AG1053" t="s">
        <v>6</v>
      </c>
      <c r="AH1053" t="s">
        <v>5115</v>
      </c>
      <c r="AI1053" t="s">
        <v>57</v>
      </c>
      <c r="AJ1053" t="s">
        <v>3</v>
      </c>
      <c r="AK1053" t="s">
        <v>5114</v>
      </c>
      <c r="AL1053" t="s">
        <v>5113</v>
      </c>
    </row>
    <row r="1054" spans="5:38" x14ac:dyDescent="0.25">
      <c r="I1054" t="str">
        <f t="shared" si="86"/>
        <v>karnovr</v>
      </c>
      <c r="J1054" t="str">
        <f t="shared" si="87"/>
        <v/>
      </c>
      <c r="L1054" t="str">
        <f t="shared" si="89"/>
        <v>NGM-066 (MVS), NGH-066 (AES)</v>
      </c>
      <c r="M1054" t="str">
        <f t="shared" si="89"/>
        <v>19940317 (MVS), 19940428 (AES)</v>
      </c>
      <c r="N1054" t="str">
        <f t="shared" si="89"/>
        <v>ファイターズヒストリー・ダイナマイト</v>
      </c>
      <c r="O1054" t="str">
        <f t="shared" si="89"/>
        <v/>
      </c>
      <c r="P1054" t="str">
        <f t="shared" si="89"/>
        <v/>
      </c>
      <c r="T1054" t="str">
        <f t="shared" si="88"/>
        <v/>
      </c>
      <c r="V1054" t="str">
        <f t="shared" si="90"/>
        <v>MVS,AES</v>
      </c>
      <c r="W1054" t="str">
        <f t="shared" si="90"/>
        <v>MVS,AES</v>
      </c>
      <c r="AG1054" t="s">
        <v>6</v>
      </c>
      <c r="AH1054" t="s">
        <v>5112</v>
      </c>
      <c r="AI1054" t="s">
        <v>53</v>
      </c>
      <c r="AJ1054" t="s">
        <v>3</v>
      </c>
      <c r="AK1054" t="s">
        <v>5111</v>
      </c>
      <c r="AL1054" t="s">
        <v>5110</v>
      </c>
    </row>
    <row r="1055" spans="5:38" x14ac:dyDescent="0.25">
      <c r="E1055" t="s">
        <v>5109</v>
      </c>
      <c r="F1055" t="s">
        <v>5108</v>
      </c>
      <c r="G1055" t="s">
        <v>393</v>
      </c>
      <c r="H1055" t="s">
        <v>1302</v>
      </c>
      <c r="I1055" t="str">
        <f t="shared" si="86"/>
        <v>gururin</v>
      </c>
      <c r="J1055" t="str">
        <f t="shared" si="87"/>
        <v>gururinserial</v>
      </c>
      <c r="K1055" t="s">
        <v>1373</v>
      </c>
      <c r="L1055" t="str">
        <f t="shared" si="89"/>
        <v>NGM-067</v>
      </c>
      <c r="M1055" t="str">
        <f t="shared" si="89"/>
        <v>19940525</v>
      </c>
      <c r="N1055" t="str">
        <f t="shared" si="89"/>
        <v>ぐるりん</v>
      </c>
      <c r="O1055" t="str">
        <f t="shared" si="89"/>
        <v/>
      </c>
      <c r="P1055" t="str">
        <f t="shared" si="89"/>
        <v/>
      </c>
      <c r="Q1055" t="s">
        <v>5107</v>
      </c>
      <c r="S1055" t="s">
        <v>46</v>
      </c>
      <c r="T1055" t="str">
        <f t="shared" si="88"/>
        <v>gururinrelease</v>
      </c>
      <c r="U1055" t="s">
        <v>106</v>
      </c>
      <c r="V1055" t="str">
        <f t="shared" si="90"/>
        <v>MVS</v>
      </c>
      <c r="W1055" t="str">
        <f t="shared" si="90"/>
        <v>MVS,AES</v>
      </c>
      <c r="Y1055" t="s">
        <v>45</v>
      </c>
      <c r="Z1055" t="s">
        <v>44</v>
      </c>
      <c r="AB1055" t="s">
        <v>43</v>
      </c>
      <c r="AC1055" t="s">
        <v>42</v>
      </c>
      <c r="AD1055" t="s">
        <v>41</v>
      </c>
      <c r="AE1055" t="s">
        <v>15</v>
      </c>
      <c r="AG1055" t="s">
        <v>40</v>
      </c>
      <c r="AH1055" t="s">
        <v>5106</v>
      </c>
      <c r="AI1055" t="s">
        <v>9</v>
      </c>
      <c r="AJ1055" t="s">
        <v>92</v>
      </c>
      <c r="AK1055" t="s">
        <v>5105</v>
      </c>
      <c r="AL1055" t="s">
        <v>5104</v>
      </c>
    </row>
    <row r="1056" spans="5:38" x14ac:dyDescent="0.25">
      <c r="I1056" t="str">
        <f t="shared" si="86"/>
        <v>gururin</v>
      </c>
      <c r="J1056" t="str">
        <f t="shared" si="87"/>
        <v>gururinrelease</v>
      </c>
      <c r="K1056" t="s">
        <v>46</v>
      </c>
      <c r="L1056" t="str">
        <f t="shared" si="89"/>
        <v>NGM-067</v>
      </c>
      <c r="M1056" t="str">
        <f t="shared" si="89"/>
        <v>19940525</v>
      </c>
      <c r="N1056" t="str">
        <f t="shared" si="89"/>
        <v>ぐるりん</v>
      </c>
      <c r="O1056" t="str">
        <f t="shared" si="89"/>
        <v/>
      </c>
      <c r="P1056" t="str">
        <f t="shared" si="89"/>
        <v/>
      </c>
      <c r="Q1056" t="s">
        <v>5103</v>
      </c>
      <c r="T1056" t="str">
        <f t="shared" si="88"/>
        <v/>
      </c>
      <c r="V1056" t="str">
        <f t="shared" si="90"/>
        <v>MVS</v>
      </c>
      <c r="W1056" t="str">
        <f t="shared" si="90"/>
        <v>MVS,AES</v>
      </c>
      <c r="AB1056" t="s">
        <v>34</v>
      </c>
      <c r="AE1056" t="s">
        <v>33</v>
      </c>
      <c r="AH1056" t="s">
        <v>5102</v>
      </c>
      <c r="AI1056" t="s">
        <v>9</v>
      </c>
      <c r="AJ1056" t="s">
        <v>27</v>
      </c>
      <c r="AK1056" t="s">
        <v>5101</v>
      </c>
      <c r="AL1056" t="s">
        <v>5100</v>
      </c>
    </row>
    <row r="1057" spans="5:38" x14ac:dyDescent="0.25">
      <c r="I1057" t="str">
        <f t="shared" si="86"/>
        <v>gururin</v>
      </c>
      <c r="J1057" t="str">
        <f t="shared" si="87"/>
        <v>gururinalt_title</v>
      </c>
      <c r="K1057" t="s">
        <v>1218</v>
      </c>
      <c r="L1057" t="str">
        <f t="shared" si="89"/>
        <v>NGM-067</v>
      </c>
      <c r="M1057" t="str">
        <f t="shared" si="89"/>
        <v>19940525</v>
      </c>
      <c r="N1057" t="str">
        <f t="shared" si="89"/>
        <v>ぐるりん</v>
      </c>
      <c r="O1057" t="str">
        <f t="shared" si="89"/>
        <v/>
      </c>
      <c r="P1057" t="str">
        <f t="shared" si="89"/>
        <v/>
      </c>
      <c r="Q1057" t="s">
        <v>5099</v>
      </c>
      <c r="T1057" t="str">
        <f t="shared" si="88"/>
        <v/>
      </c>
      <c r="V1057" t="str">
        <f t="shared" si="90"/>
        <v>MVS</v>
      </c>
      <c r="W1057" t="str">
        <f t="shared" si="90"/>
        <v>MVS,AES</v>
      </c>
      <c r="AB1057" t="s">
        <v>29</v>
      </c>
      <c r="AE1057" t="s">
        <v>27</v>
      </c>
      <c r="AH1057" t="s">
        <v>5098</v>
      </c>
      <c r="AI1057" t="s">
        <v>9</v>
      </c>
      <c r="AJ1057" t="s">
        <v>27</v>
      </c>
      <c r="AK1057" t="s">
        <v>5097</v>
      </c>
      <c r="AL1057" t="s">
        <v>5096</v>
      </c>
    </row>
    <row r="1058" spans="5:38" x14ac:dyDescent="0.25">
      <c r="I1058" t="str">
        <f t="shared" si="86"/>
        <v>gururin</v>
      </c>
      <c r="J1058" t="str">
        <f t="shared" si="87"/>
        <v/>
      </c>
      <c r="L1058" t="str">
        <f t="shared" si="89"/>
        <v>NGM-067</v>
      </c>
      <c r="M1058" t="str">
        <f t="shared" si="89"/>
        <v>19940525</v>
      </c>
      <c r="N1058" t="str">
        <f t="shared" si="89"/>
        <v>ぐるりん</v>
      </c>
      <c r="O1058" t="str">
        <f t="shared" si="89"/>
        <v/>
      </c>
      <c r="P1058" t="str">
        <f t="shared" si="89"/>
        <v/>
      </c>
      <c r="S1058" t="s">
        <v>36</v>
      </c>
      <c r="T1058" t="str">
        <f t="shared" si="88"/>
        <v>gururincompatibility</v>
      </c>
      <c r="U1058" t="s">
        <v>218</v>
      </c>
      <c r="V1058" t="str">
        <f t="shared" si="90"/>
        <v>MVS</v>
      </c>
      <c r="W1058" t="str">
        <f t="shared" si="90"/>
        <v>MVS,AES</v>
      </c>
      <c r="AB1058" t="s">
        <v>24</v>
      </c>
      <c r="AE1058" t="s">
        <v>480</v>
      </c>
      <c r="AH1058" t="s">
        <v>5095</v>
      </c>
      <c r="AI1058" t="s">
        <v>9</v>
      </c>
      <c r="AJ1058" t="s">
        <v>92</v>
      </c>
      <c r="AK1058" t="s">
        <v>5094</v>
      </c>
      <c r="AL1058" t="s">
        <v>5093</v>
      </c>
    </row>
    <row r="1059" spans="5:38" x14ac:dyDescent="0.25">
      <c r="I1059" t="str">
        <f t="shared" si="86"/>
        <v>gururin</v>
      </c>
      <c r="J1059" t="str">
        <f t="shared" si="87"/>
        <v/>
      </c>
      <c r="L1059" t="str">
        <f t="shared" si="89"/>
        <v>NGM-067</v>
      </c>
      <c r="M1059" t="str">
        <f t="shared" si="89"/>
        <v>19940525</v>
      </c>
      <c r="N1059" t="str">
        <f t="shared" si="89"/>
        <v>ぐるりん</v>
      </c>
      <c r="O1059" t="str">
        <f t="shared" si="89"/>
        <v/>
      </c>
      <c r="P1059" t="str">
        <f t="shared" si="89"/>
        <v/>
      </c>
      <c r="T1059" t="str">
        <f t="shared" si="88"/>
        <v/>
      </c>
      <c r="V1059" t="str">
        <f t="shared" si="90"/>
        <v>MVS</v>
      </c>
      <c r="W1059" t="str">
        <f t="shared" si="90"/>
        <v>MVS,AES</v>
      </c>
      <c r="AB1059" t="s">
        <v>12</v>
      </c>
      <c r="AE1059" t="s">
        <v>11</v>
      </c>
      <c r="AG1059" t="s">
        <v>6</v>
      </c>
      <c r="AH1059" t="s">
        <v>5092</v>
      </c>
      <c r="AI1059" t="s">
        <v>9</v>
      </c>
      <c r="AJ1059" t="s">
        <v>3</v>
      </c>
      <c r="AK1059" t="s">
        <v>5091</v>
      </c>
      <c r="AL1059" t="s">
        <v>5090</v>
      </c>
    </row>
    <row r="1060" spans="5:38" x14ac:dyDescent="0.25">
      <c r="I1060" t="str">
        <f t="shared" si="86"/>
        <v>gururin</v>
      </c>
      <c r="J1060" t="str">
        <f t="shared" si="87"/>
        <v/>
      </c>
      <c r="L1060" t="str">
        <f t="shared" si="89"/>
        <v>NGM-067</v>
      </c>
      <c r="M1060" t="str">
        <f t="shared" si="89"/>
        <v>19940525</v>
      </c>
      <c r="N1060" t="str">
        <f t="shared" si="89"/>
        <v>ぐるりん</v>
      </c>
      <c r="O1060" t="str">
        <f t="shared" si="89"/>
        <v/>
      </c>
      <c r="P1060" t="str">
        <f t="shared" si="89"/>
        <v/>
      </c>
      <c r="T1060" t="str">
        <f t="shared" si="88"/>
        <v/>
      </c>
      <c r="V1060" t="str">
        <f t="shared" si="90"/>
        <v>MVS</v>
      </c>
      <c r="W1060" t="str">
        <f t="shared" si="90"/>
        <v>MVS,AES</v>
      </c>
      <c r="AG1060" t="s">
        <v>6</v>
      </c>
      <c r="AH1060" t="s">
        <v>5089</v>
      </c>
      <c r="AI1060" t="s">
        <v>4</v>
      </c>
      <c r="AJ1060" t="s">
        <v>3</v>
      </c>
      <c r="AK1060" t="s">
        <v>5088</v>
      </c>
      <c r="AL1060" t="s">
        <v>5087</v>
      </c>
    </row>
    <row r="1061" spans="5:38" x14ac:dyDescent="0.25">
      <c r="E1061" t="s">
        <v>5086</v>
      </c>
      <c r="F1061" t="s">
        <v>5085</v>
      </c>
      <c r="G1061" t="s">
        <v>393</v>
      </c>
      <c r="H1061" t="s">
        <v>2929</v>
      </c>
      <c r="I1061" t="str">
        <f t="shared" si="86"/>
        <v>pspikes2</v>
      </c>
      <c r="J1061" t="str">
        <f t="shared" si="87"/>
        <v>pspikes2serial</v>
      </c>
      <c r="K1061" t="s">
        <v>1373</v>
      </c>
      <c r="L1061" t="str">
        <f t="shared" si="89"/>
        <v>NGM-068</v>
      </c>
      <c r="M1061" t="str">
        <f t="shared" si="89"/>
        <v>19941019</v>
      </c>
      <c r="N1061" t="str">
        <f t="shared" si="89"/>
        <v>パワースパイクスII</v>
      </c>
      <c r="O1061" t="str">
        <f t="shared" si="89"/>
        <v/>
      </c>
      <c r="P1061" t="str">
        <f t="shared" si="89"/>
        <v/>
      </c>
      <c r="Q1061" t="s">
        <v>5084</v>
      </c>
      <c r="S1061" t="s">
        <v>46</v>
      </c>
      <c r="T1061" t="str">
        <f t="shared" si="88"/>
        <v>pspikes2release</v>
      </c>
      <c r="U1061" t="s">
        <v>106</v>
      </c>
      <c r="V1061" t="str">
        <f t="shared" si="90"/>
        <v>MVS</v>
      </c>
      <c r="W1061" t="str">
        <f t="shared" si="90"/>
        <v>MVS,AES</v>
      </c>
      <c r="Y1061" t="s">
        <v>45</v>
      </c>
      <c r="Z1061" t="s">
        <v>44</v>
      </c>
      <c r="AB1061" t="s">
        <v>43</v>
      </c>
      <c r="AC1061" t="s">
        <v>42</v>
      </c>
      <c r="AD1061" t="s">
        <v>41</v>
      </c>
      <c r="AE1061" t="s">
        <v>15</v>
      </c>
      <c r="AG1061" t="s">
        <v>40</v>
      </c>
      <c r="AH1061" t="s">
        <v>5083</v>
      </c>
      <c r="AI1061" t="s">
        <v>9</v>
      </c>
      <c r="AJ1061" t="s">
        <v>15</v>
      </c>
      <c r="AK1061" t="s">
        <v>5082</v>
      </c>
      <c r="AL1061" t="s">
        <v>5081</v>
      </c>
    </row>
    <row r="1062" spans="5:38" x14ac:dyDescent="0.25">
      <c r="I1062" t="str">
        <f t="shared" si="86"/>
        <v>pspikes2</v>
      </c>
      <c r="J1062" t="str">
        <f t="shared" si="87"/>
        <v>pspikes2release</v>
      </c>
      <c r="K1062" t="s">
        <v>46</v>
      </c>
      <c r="L1062" t="str">
        <f t="shared" si="89"/>
        <v>NGM-068</v>
      </c>
      <c r="M1062" t="str">
        <f t="shared" si="89"/>
        <v>19941019</v>
      </c>
      <c r="N1062" t="str">
        <f t="shared" si="89"/>
        <v>パワースパイクスII</v>
      </c>
      <c r="O1062" t="str">
        <f t="shared" si="89"/>
        <v/>
      </c>
      <c r="P1062" t="str">
        <f t="shared" si="89"/>
        <v/>
      </c>
      <c r="Q1062" t="s">
        <v>5080</v>
      </c>
      <c r="T1062" t="str">
        <f t="shared" si="88"/>
        <v/>
      </c>
      <c r="V1062" t="str">
        <f t="shared" si="90"/>
        <v>MVS</v>
      </c>
      <c r="W1062" t="str">
        <f t="shared" si="90"/>
        <v>MVS,AES</v>
      </c>
      <c r="AB1062" t="s">
        <v>34</v>
      </c>
      <c r="AE1062" t="s">
        <v>33</v>
      </c>
      <c r="AH1062" t="s">
        <v>5079</v>
      </c>
      <c r="AI1062" t="s">
        <v>9</v>
      </c>
      <c r="AJ1062" t="s">
        <v>27</v>
      </c>
      <c r="AK1062" t="s">
        <v>5078</v>
      </c>
      <c r="AL1062" t="s">
        <v>5077</v>
      </c>
    </row>
    <row r="1063" spans="5:38" x14ac:dyDescent="0.25">
      <c r="I1063" t="str">
        <f t="shared" si="86"/>
        <v>pspikes2</v>
      </c>
      <c r="J1063" t="str">
        <f t="shared" si="87"/>
        <v>pspikes2alt_title</v>
      </c>
      <c r="K1063" t="s">
        <v>1218</v>
      </c>
      <c r="L1063" t="str">
        <f t="shared" si="89"/>
        <v>NGM-068</v>
      </c>
      <c r="M1063" t="str">
        <f t="shared" si="89"/>
        <v>19941019</v>
      </c>
      <c r="N1063" t="str">
        <f t="shared" si="89"/>
        <v>パワースパイクスII</v>
      </c>
      <c r="O1063" t="str">
        <f t="shared" si="89"/>
        <v/>
      </c>
      <c r="P1063" t="str">
        <f t="shared" si="89"/>
        <v/>
      </c>
      <c r="Q1063" t="s">
        <v>5076</v>
      </c>
      <c r="T1063" t="str">
        <f t="shared" si="88"/>
        <v/>
      </c>
      <c r="V1063" t="str">
        <f t="shared" si="90"/>
        <v>MVS</v>
      </c>
      <c r="W1063" t="str">
        <f t="shared" si="90"/>
        <v>MVS,AES</v>
      </c>
      <c r="AB1063" t="s">
        <v>29</v>
      </c>
      <c r="AE1063" t="s">
        <v>27</v>
      </c>
      <c r="AH1063" t="s">
        <v>5075</v>
      </c>
      <c r="AI1063" t="s">
        <v>9</v>
      </c>
      <c r="AJ1063" t="s">
        <v>27</v>
      </c>
      <c r="AK1063" t="s">
        <v>5074</v>
      </c>
      <c r="AL1063" t="s">
        <v>5073</v>
      </c>
    </row>
    <row r="1064" spans="5:38" x14ac:dyDescent="0.25">
      <c r="I1064" t="str">
        <f t="shared" si="86"/>
        <v>pspikes2</v>
      </c>
      <c r="J1064" t="str">
        <f t="shared" si="87"/>
        <v/>
      </c>
      <c r="L1064" t="str">
        <f t="shared" si="89"/>
        <v>NGM-068</v>
      </c>
      <c r="M1064" t="str">
        <f t="shared" si="89"/>
        <v>19941019</v>
      </c>
      <c r="N1064" t="str">
        <f t="shared" si="89"/>
        <v>パワースパイクスII</v>
      </c>
      <c r="O1064" t="str">
        <f t="shared" si="89"/>
        <v/>
      </c>
      <c r="P1064" t="str">
        <f t="shared" si="89"/>
        <v/>
      </c>
      <c r="S1064" t="s">
        <v>36</v>
      </c>
      <c r="T1064" t="str">
        <f t="shared" si="88"/>
        <v>pspikes2compatibility</v>
      </c>
      <c r="U1064" t="s">
        <v>218</v>
      </c>
      <c r="V1064" t="str">
        <f t="shared" si="90"/>
        <v>MVS</v>
      </c>
      <c r="W1064" t="str">
        <f t="shared" si="90"/>
        <v>MVS,AES</v>
      </c>
      <c r="AB1064" t="s">
        <v>24</v>
      </c>
      <c r="AE1064" t="s">
        <v>377</v>
      </c>
      <c r="AH1064" t="s">
        <v>4637</v>
      </c>
      <c r="AI1064" t="s">
        <v>9</v>
      </c>
      <c r="AJ1064" t="s">
        <v>15</v>
      </c>
      <c r="AK1064" t="s">
        <v>4636</v>
      </c>
      <c r="AL1064" t="s">
        <v>4635</v>
      </c>
    </row>
    <row r="1065" spans="5:38" x14ac:dyDescent="0.25">
      <c r="I1065" t="str">
        <f t="shared" si="86"/>
        <v>pspikes2</v>
      </c>
      <c r="J1065" t="str">
        <f t="shared" si="87"/>
        <v/>
      </c>
      <c r="L1065" t="str">
        <f t="shared" si="89"/>
        <v>NGM-068</v>
      </c>
      <c r="M1065" t="str">
        <f t="shared" si="89"/>
        <v>19941019</v>
      </c>
      <c r="N1065" t="str">
        <f t="shared" si="89"/>
        <v>パワースパイクスII</v>
      </c>
      <c r="O1065" t="str">
        <f t="shared" si="89"/>
        <v/>
      </c>
      <c r="P1065" t="str">
        <f t="shared" si="89"/>
        <v/>
      </c>
      <c r="T1065" t="str">
        <f t="shared" si="88"/>
        <v/>
      </c>
      <c r="V1065" t="str">
        <f t="shared" si="90"/>
        <v>MVS</v>
      </c>
      <c r="W1065" t="str">
        <f t="shared" si="90"/>
        <v>MVS,AES</v>
      </c>
      <c r="AH1065" t="s">
        <v>4634</v>
      </c>
      <c r="AI1065" t="s">
        <v>15</v>
      </c>
      <c r="AJ1065" t="s">
        <v>15</v>
      </c>
      <c r="AK1065" t="s">
        <v>4633</v>
      </c>
      <c r="AL1065" t="s">
        <v>4632</v>
      </c>
    </row>
    <row r="1066" spans="5:38" x14ac:dyDescent="0.25">
      <c r="I1066" t="str">
        <f t="shared" si="86"/>
        <v>pspikes2</v>
      </c>
      <c r="J1066" t="str">
        <f t="shared" si="87"/>
        <v/>
      </c>
      <c r="L1066" t="str">
        <f t="shared" si="89"/>
        <v>NGM-068</v>
      </c>
      <c r="M1066" t="str">
        <f t="shared" si="89"/>
        <v>19941019</v>
      </c>
      <c r="N1066" t="str">
        <f t="shared" si="89"/>
        <v>パワースパイクスII</v>
      </c>
      <c r="O1066" t="str">
        <f t="shared" si="89"/>
        <v/>
      </c>
      <c r="P1066" t="str">
        <f t="shared" si="89"/>
        <v/>
      </c>
      <c r="T1066" t="str">
        <f t="shared" si="88"/>
        <v/>
      </c>
      <c r="V1066" t="str">
        <f t="shared" si="90"/>
        <v>MVS</v>
      </c>
      <c r="W1066" t="str">
        <f t="shared" si="90"/>
        <v>MVS,AES</v>
      </c>
      <c r="AH1066" t="s">
        <v>5072</v>
      </c>
      <c r="AI1066" t="s">
        <v>3</v>
      </c>
      <c r="AJ1066" t="s">
        <v>15</v>
      </c>
      <c r="AK1066" t="s">
        <v>5071</v>
      </c>
      <c r="AL1066" t="s">
        <v>5070</v>
      </c>
    </row>
    <row r="1067" spans="5:38" x14ac:dyDescent="0.25">
      <c r="I1067" t="str">
        <f t="shared" si="86"/>
        <v>pspikes2</v>
      </c>
      <c r="J1067" t="str">
        <f t="shared" si="87"/>
        <v/>
      </c>
      <c r="L1067" t="str">
        <f t="shared" si="89"/>
        <v>NGM-068</v>
      </c>
      <c r="M1067" t="str">
        <f t="shared" si="89"/>
        <v>19941019</v>
      </c>
      <c r="N1067" t="str">
        <f t="shared" si="89"/>
        <v>パワースパイクスII</v>
      </c>
      <c r="O1067" t="str">
        <f t="shared" si="89"/>
        <v/>
      </c>
      <c r="P1067" t="str">
        <f t="shared" si="89"/>
        <v/>
      </c>
      <c r="T1067" t="str">
        <f t="shared" si="88"/>
        <v/>
      </c>
      <c r="V1067" t="str">
        <f t="shared" si="90"/>
        <v>MVS</v>
      </c>
      <c r="W1067" t="str">
        <f t="shared" si="90"/>
        <v>MVS,AES</v>
      </c>
      <c r="AB1067" t="s">
        <v>12</v>
      </c>
      <c r="AE1067" t="s">
        <v>75</v>
      </c>
      <c r="AG1067" t="s">
        <v>6</v>
      </c>
      <c r="AH1067" t="s">
        <v>4629</v>
      </c>
      <c r="AI1067" t="s">
        <v>9</v>
      </c>
      <c r="AJ1067" t="s">
        <v>15</v>
      </c>
      <c r="AK1067" t="s">
        <v>4628</v>
      </c>
      <c r="AL1067" t="s">
        <v>4627</v>
      </c>
    </row>
    <row r="1068" spans="5:38" x14ac:dyDescent="0.25">
      <c r="I1068" t="str">
        <f t="shared" si="86"/>
        <v>pspikes2</v>
      </c>
      <c r="J1068" t="str">
        <f t="shared" si="87"/>
        <v/>
      </c>
      <c r="L1068" t="str">
        <f t="shared" si="89"/>
        <v>NGM-068</v>
      </c>
      <c r="M1068" t="str">
        <f t="shared" si="89"/>
        <v>19941019</v>
      </c>
      <c r="N1068" t="str">
        <f t="shared" si="89"/>
        <v>パワースパイクスII</v>
      </c>
      <c r="O1068" t="str">
        <f t="shared" si="89"/>
        <v/>
      </c>
      <c r="P1068" t="str">
        <f t="shared" si="89"/>
        <v/>
      </c>
      <c r="T1068" t="str">
        <f t="shared" si="88"/>
        <v/>
      </c>
      <c r="V1068" t="str">
        <f t="shared" si="90"/>
        <v>MVS</v>
      </c>
      <c r="W1068" t="str">
        <f t="shared" si="90"/>
        <v>MVS,AES</v>
      </c>
      <c r="AG1068" t="s">
        <v>6</v>
      </c>
      <c r="AH1068" t="s">
        <v>4626</v>
      </c>
      <c r="AI1068" t="s">
        <v>4</v>
      </c>
      <c r="AJ1068" t="s">
        <v>15</v>
      </c>
      <c r="AK1068" t="s">
        <v>4625</v>
      </c>
      <c r="AL1068" t="s">
        <v>4624</v>
      </c>
    </row>
    <row r="1069" spans="5:38" x14ac:dyDescent="0.25">
      <c r="I1069" t="str">
        <f t="shared" si="86"/>
        <v>pspikes2</v>
      </c>
      <c r="J1069" t="str">
        <f t="shared" si="87"/>
        <v/>
      </c>
      <c r="L1069" t="str">
        <f t="shared" si="89"/>
        <v>NGM-068</v>
      </c>
      <c r="M1069" t="str">
        <f t="shared" si="89"/>
        <v>19941019</v>
      </c>
      <c r="N1069" t="str">
        <f t="shared" si="89"/>
        <v>パワースパイクスII</v>
      </c>
      <c r="O1069" t="str">
        <f t="shared" si="89"/>
        <v/>
      </c>
      <c r="P1069" t="str">
        <f t="shared" si="89"/>
        <v/>
      </c>
      <c r="T1069" t="str">
        <f t="shared" si="88"/>
        <v/>
      </c>
      <c r="V1069" t="str">
        <f t="shared" si="90"/>
        <v>MVS</v>
      </c>
      <c r="W1069" t="str">
        <f t="shared" si="90"/>
        <v>MVS,AES</v>
      </c>
      <c r="AG1069" t="s">
        <v>6</v>
      </c>
      <c r="AH1069" t="s">
        <v>4623</v>
      </c>
      <c r="AI1069" t="s">
        <v>3</v>
      </c>
      <c r="AJ1069" t="s">
        <v>15</v>
      </c>
      <c r="AK1069" t="s">
        <v>4622</v>
      </c>
      <c r="AL1069" t="s">
        <v>4621</v>
      </c>
    </row>
    <row r="1070" spans="5:38" x14ac:dyDescent="0.25">
      <c r="I1070" t="str">
        <f t="shared" si="86"/>
        <v>pspikes2</v>
      </c>
      <c r="J1070" t="str">
        <f t="shared" si="87"/>
        <v/>
      </c>
      <c r="L1070" t="str">
        <f t="shared" si="89"/>
        <v>NGM-068</v>
      </c>
      <c r="M1070" t="str">
        <f t="shared" si="89"/>
        <v>19941019</v>
      </c>
      <c r="N1070" t="str">
        <f t="shared" si="89"/>
        <v>パワースパイクスII</v>
      </c>
      <c r="O1070" t="str">
        <f t="shared" si="89"/>
        <v/>
      </c>
      <c r="P1070" t="str">
        <f t="shared" si="89"/>
        <v/>
      </c>
      <c r="T1070" t="str">
        <f t="shared" si="88"/>
        <v/>
      </c>
      <c r="V1070" t="str">
        <f t="shared" si="90"/>
        <v>MVS</v>
      </c>
      <c r="W1070" t="str">
        <f t="shared" si="90"/>
        <v>MVS,AES</v>
      </c>
      <c r="AG1070" t="s">
        <v>6</v>
      </c>
      <c r="AH1070" t="s">
        <v>4620</v>
      </c>
      <c r="AI1070" t="s">
        <v>4371</v>
      </c>
      <c r="AJ1070" t="s">
        <v>15</v>
      </c>
      <c r="AK1070" t="s">
        <v>4619</v>
      </c>
      <c r="AL1070" t="s">
        <v>4618</v>
      </c>
    </row>
    <row r="1071" spans="5:38" x14ac:dyDescent="0.25">
      <c r="I1071" t="str">
        <f t="shared" si="86"/>
        <v>pspikes2</v>
      </c>
      <c r="J1071" t="str">
        <f t="shared" si="87"/>
        <v/>
      </c>
      <c r="L1071" t="str">
        <f t="shared" si="89"/>
        <v>NGM-068</v>
      </c>
      <c r="M1071" t="str">
        <f t="shared" si="89"/>
        <v>19941019</v>
      </c>
      <c r="N1071" t="str">
        <f t="shared" si="89"/>
        <v>パワースパイクスII</v>
      </c>
      <c r="O1071" t="str">
        <f t="shared" si="89"/>
        <v/>
      </c>
      <c r="P1071" t="str">
        <f t="shared" si="89"/>
        <v/>
      </c>
      <c r="T1071" t="str">
        <f t="shared" si="88"/>
        <v/>
      </c>
      <c r="V1071" t="str">
        <f t="shared" si="90"/>
        <v>MVS</v>
      </c>
      <c r="W1071" t="str">
        <f t="shared" si="90"/>
        <v>MVS,AES</v>
      </c>
      <c r="AG1071" t="s">
        <v>6</v>
      </c>
      <c r="AH1071" t="s">
        <v>5069</v>
      </c>
      <c r="AI1071" t="s">
        <v>11</v>
      </c>
      <c r="AJ1071" t="s">
        <v>15</v>
      </c>
      <c r="AK1071" t="s">
        <v>5068</v>
      </c>
      <c r="AL1071" t="s">
        <v>5067</v>
      </c>
    </row>
    <row r="1072" spans="5:38" x14ac:dyDescent="0.25">
      <c r="I1072" t="str">
        <f t="shared" si="86"/>
        <v>pspikes2</v>
      </c>
      <c r="J1072" t="str">
        <f t="shared" si="87"/>
        <v/>
      </c>
      <c r="L1072" t="str">
        <f t="shared" si="89"/>
        <v>NGM-068</v>
      </c>
      <c r="M1072" t="str">
        <f t="shared" si="89"/>
        <v>19941019</v>
      </c>
      <c r="N1072" t="str">
        <f t="shared" si="89"/>
        <v>パワースパイクスII</v>
      </c>
      <c r="O1072" t="str">
        <f t="shared" si="89"/>
        <v/>
      </c>
      <c r="P1072" t="str">
        <f t="shared" si="89"/>
        <v/>
      </c>
      <c r="T1072" t="str">
        <f t="shared" si="88"/>
        <v/>
      </c>
      <c r="V1072" t="str">
        <f t="shared" si="90"/>
        <v>MVS</v>
      </c>
      <c r="W1072" t="str">
        <f t="shared" si="90"/>
        <v>MVS,AES</v>
      </c>
      <c r="AG1072" t="s">
        <v>6</v>
      </c>
      <c r="AH1072" t="s">
        <v>5066</v>
      </c>
      <c r="AI1072" t="s">
        <v>932</v>
      </c>
      <c r="AJ1072" t="s">
        <v>15</v>
      </c>
      <c r="AK1072" t="s">
        <v>5065</v>
      </c>
      <c r="AL1072" t="s">
        <v>5064</v>
      </c>
    </row>
    <row r="1073" spans="5:43" x14ac:dyDescent="0.25">
      <c r="E1073" t="s">
        <v>5063</v>
      </c>
      <c r="F1073" t="s">
        <v>5062</v>
      </c>
      <c r="G1073" t="s">
        <v>1239</v>
      </c>
      <c r="H1073" t="s">
        <v>1912</v>
      </c>
      <c r="I1073" t="str">
        <f t="shared" si="86"/>
        <v>fatfury3</v>
      </c>
      <c r="J1073" t="str">
        <f t="shared" si="87"/>
        <v>fatfury3serial</v>
      </c>
      <c r="K1073" t="s">
        <v>1373</v>
      </c>
      <c r="L1073" t="str">
        <f t="shared" si="89"/>
        <v>NGM-069 (MVS), NGH-069 (AES)</v>
      </c>
      <c r="M1073" t="str">
        <f t="shared" si="89"/>
        <v>19950327 (MVS), 19950421 (AES)</v>
      </c>
      <c r="N1073" t="str">
        <f t="shared" si="89"/>
        <v>餓狼伝説3 ―遥かなる闘い―</v>
      </c>
      <c r="O1073" t="str">
        <f t="shared" si="89"/>
        <v/>
      </c>
      <c r="P1073" t="str">
        <f t="shared" si="89"/>
        <v/>
      </c>
      <c r="Q1073" t="s">
        <v>5061</v>
      </c>
      <c r="S1073" t="s">
        <v>46</v>
      </c>
      <c r="T1073" t="str">
        <f t="shared" si="88"/>
        <v>fatfury3release</v>
      </c>
      <c r="U1073" t="s">
        <v>218</v>
      </c>
      <c r="V1073" t="str">
        <f t="shared" si="90"/>
        <v>MVS,AES</v>
      </c>
      <c r="W1073" t="str">
        <f t="shared" si="90"/>
        <v>MVS,AES</v>
      </c>
      <c r="Y1073" t="s">
        <v>45</v>
      </c>
      <c r="Z1073" t="s">
        <v>44</v>
      </c>
      <c r="AB1073" t="s">
        <v>43</v>
      </c>
      <c r="AC1073" t="s">
        <v>42</v>
      </c>
      <c r="AD1073" t="s">
        <v>41</v>
      </c>
      <c r="AE1073" t="s">
        <v>377</v>
      </c>
      <c r="AG1073" t="s">
        <v>40</v>
      </c>
      <c r="AH1073" t="s">
        <v>5060</v>
      </c>
      <c r="AI1073" t="s">
        <v>9</v>
      </c>
      <c r="AJ1073" t="s">
        <v>15</v>
      </c>
      <c r="AK1073" t="s">
        <v>5059</v>
      </c>
      <c r="AL1073" t="s">
        <v>5058</v>
      </c>
    </row>
    <row r="1074" spans="5:43" x14ac:dyDescent="0.25">
      <c r="I1074" t="str">
        <f t="shared" si="86"/>
        <v>fatfury3</v>
      </c>
      <c r="J1074" t="str">
        <f t="shared" si="87"/>
        <v>fatfury3release</v>
      </c>
      <c r="K1074" t="s">
        <v>46</v>
      </c>
      <c r="L1074" t="str">
        <f t="shared" si="89"/>
        <v>NGM-069 (MVS), NGH-069 (AES)</v>
      </c>
      <c r="M1074" t="str">
        <f t="shared" si="89"/>
        <v>19950327 (MVS), 19950421 (AES)</v>
      </c>
      <c r="N1074" t="str">
        <f t="shared" si="89"/>
        <v>餓狼伝説3 ―遥かなる闘い―</v>
      </c>
      <c r="O1074" t="str">
        <f t="shared" si="89"/>
        <v/>
      </c>
      <c r="P1074" t="str">
        <f t="shared" si="89"/>
        <v/>
      </c>
      <c r="Q1074" t="s">
        <v>5057</v>
      </c>
      <c r="T1074" t="str">
        <f t="shared" si="88"/>
        <v/>
      </c>
      <c r="V1074" t="str">
        <f t="shared" si="90"/>
        <v>MVS,AES</v>
      </c>
      <c r="W1074" t="str">
        <f t="shared" si="90"/>
        <v>MVS,AES</v>
      </c>
      <c r="AG1074" t="s">
        <v>40</v>
      </c>
      <c r="AH1074" t="s">
        <v>5056</v>
      </c>
      <c r="AI1074" t="s">
        <v>15</v>
      </c>
      <c r="AJ1074" t="s">
        <v>3</v>
      </c>
      <c r="AK1074" t="s">
        <v>5055</v>
      </c>
      <c r="AL1074" t="s">
        <v>5054</v>
      </c>
    </row>
    <row r="1075" spans="5:43" x14ac:dyDescent="0.25">
      <c r="I1075" t="str">
        <f t="shared" si="86"/>
        <v>fatfury3</v>
      </c>
      <c r="J1075" t="str">
        <f t="shared" si="87"/>
        <v>fatfury3alt_title</v>
      </c>
      <c r="K1075" t="s">
        <v>1218</v>
      </c>
      <c r="L1075" t="str">
        <f t="shared" si="89"/>
        <v>NGM-069 (MVS), NGH-069 (AES)</v>
      </c>
      <c r="M1075" t="str">
        <f t="shared" si="89"/>
        <v>19950327 (MVS), 19950421 (AES)</v>
      </c>
      <c r="N1075" t="str">
        <f t="shared" si="89"/>
        <v>餓狼伝説3 ―遥かなる闘い―</v>
      </c>
      <c r="O1075" t="str">
        <f t="shared" si="89"/>
        <v/>
      </c>
      <c r="P1075" t="str">
        <f t="shared" si="89"/>
        <v/>
      </c>
      <c r="Q1075" t="s">
        <v>5053</v>
      </c>
      <c r="T1075" t="str">
        <f t="shared" si="88"/>
        <v/>
      </c>
      <c r="V1075" t="str">
        <f t="shared" si="90"/>
        <v>MVS,AES</v>
      </c>
      <c r="W1075" t="str">
        <f t="shared" si="90"/>
        <v>MVS,AES</v>
      </c>
      <c r="AB1075" t="s">
        <v>34</v>
      </c>
      <c r="AE1075" t="s">
        <v>33</v>
      </c>
      <c r="AH1075" t="s">
        <v>5052</v>
      </c>
      <c r="AI1075" t="s">
        <v>9</v>
      </c>
      <c r="AJ1075" t="s">
        <v>27</v>
      </c>
      <c r="AK1075" t="s">
        <v>5051</v>
      </c>
      <c r="AL1075" t="s">
        <v>5050</v>
      </c>
    </row>
    <row r="1076" spans="5:43" x14ac:dyDescent="0.25">
      <c r="I1076" t="str">
        <f t="shared" si="86"/>
        <v>fatfury3</v>
      </c>
      <c r="J1076" t="str">
        <f t="shared" si="87"/>
        <v/>
      </c>
      <c r="L1076" t="str">
        <f t="shared" si="89"/>
        <v>NGM-069 (MVS), NGH-069 (AES)</v>
      </c>
      <c r="M1076" t="str">
        <f t="shared" si="89"/>
        <v>19950327 (MVS), 19950421 (AES)</v>
      </c>
      <c r="N1076" t="str">
        <f t="shared" si="89"/>
        <v>餓狼伝説3 ―遥かなる闘い―</v>
      </c>
      <c r="O1076" t="str">
        <f t="shared" si="89"/>
        <v/>
      </c>
      <c r="P1076" t="str">
        <f t="shared" si="89"/>
        <v/>
      </c>
      <c r="S1076" t="s">
        <v>36</v>
      </c>
      <c r="T1076" t="str">
        <f t="shared" si="88"/>
        <v>fatfury3compatibility</v>
      </c>
      <c r="U1076" t="s">
        <v>218</v>
      </c>
      <c r="V1076" t="str">
        <f t="shared" si="90"/>
        <v>MVS,AES</v>
      </c>
      <c r="W1076" t="str">
        <f t="shared" si="90"/>
        <v>MVS,AES</v>
      </c>
      <c r="AB1076" t="s">
        <v>29</v>
      </c>
      <c r="AE1076" t="s">
        <v>27</v>
      </c>
      <c r="AH1076" t="s">
        <v>5049</v>
      </c>
      <c r="AI1076" t="s">
        <v>9</v>
      </c>
      <c r="AJ1076" t="s">
        <v>27</v>
      </c>
      <c r="AK1076" t="s">
        <v>5048</v>
      </c>
      <c r="AL1076" t="s">
        <v>5047</v>
      </c>
    </row>
    <row r="1077" spans="5:43" x14ac:dyDescent="0.25">
      <c r="I1077" t="str">
        <f t="shared" si="86"/>
        <v>fatfury3</v>
      </c>
      <c r="J1077" t="str">
        <f t="shared" si="87"/>
        <v/>
      </c>
      <c r="L1077" t="str">
        <f t="shared" si="89"/>
        <v>NGM-069 (MVS), NGH-069 (AES)</v>
      </c>
      <c r="M1077" t="str">
        <f t="shared" si="89"/>
        <v>19950327 (MVS), 19950421 (AES)</v>
      </c>
      <c r="N1077" t="str">
        <f t="shared" si="89"/>
        <v>餓狼伝説3 ―遥かなる闘い―</v>
      </c>
      <c r="O1077" t="str">
        <f t="shared" si="89"/>
        <v/>
      </c>
      <c r="P1077" t="str">
        <f t="shared" si="89"/>
        <v/>
      </c>
      <c r="T1077" t="str">
        <f t="shared" si="88"/>
        <v/>
      </c>
      <c r="V1077" t="str">
        <f t="shared" si="90"/>
        <v>MVS,AES</v>
      </c>
      <c r="W1077" t="str">
        <f t="shared" si="90"/>
        <v>MVS,AES</v>
      </c>
      <c r="AB1077" t="s">
        <v>24</v>
      </c>
      <c r="AE1077" t="s">
        <v>1083</v>
      </c>
      <c r="AH1077" t="s">
        <v>4103</v>
      </c>
      <c r="AI1077" t="s">
        <v>9</v>
      </c>
      <c r="AJ1077" t="s">
        <v>11</v>
      </c>
      <c r="AK1077" t="s">
        <v>4102</v>
      </c>
      <c r="AL1077" t="s">
        <v>4101</v>
      </c>
    </row>
    <row r="1078" spans="5:43" x14ac:dyDescent="0.25">
      <c r="I1078" t="str">
        <f t="shared" si="86"/>
        <v>fatfury3</v>
      </c>
      <c r="J1078" t="str">
        <f t="shared" si="87"/>
        <v/>
      </c>
      <c r="L1078" t="str">
        <f t="shared" si="89"/>
        <v>NGM-069 (MVS), NGH-069 (AES)</v>
      </c>
      <c r="M1078" t="str">
        <f t="shared" si="89"/>
        <v>19950327 (MVS), 19950421 (AES)</v>
      </c>
      <c r="N1078" t="str">
        <f t="shared" si="89"/>
        <v>餓狼伝説3 ―遥かなる闘い―</v>
      </c>
      <c r="O1078" t="str">
        <f t="shared" si="89"/>
        <v/>
      </c>
      <c r="P1078" t="str">
        <f t="shared" si="89"/>
        <v/>
      </c>
      <c r="T1078" t="str">
        <f t="shared" si="88"/>
        <v/>
      </c>
      <c r="V1078" t="str">
        <f t="shared" si="90"/>
        <v>MVS,AES</v>
      </c>
      <c r="W1078" t="str">
        <f t="shared" si="90"/>
        <v>MVS,AES</v>
      </c>
      <c r="AH1078" t="s">
        <v>4100</v>
      </c>
      <c r="AI1078" t="s">
        <v>11</v>
      </c>
      <c r="AJ1078" t="s">
        <v>11</v>
      </c>
      <c r="AK1078" t="s">
        <v>4099</v>
      </c>
      <c r="AL1078" t="s">
        <v>4098</v>
      </c>
    </row>
    <row r="1079" spans="5:43" x14ac:dyDescent="0.25">
      <c r="I1079" t="str">
        <f t="shared" si="86"/>
        <v>fatfury3</v>
      </c>
      <c r="J1079" t="str">
        <f t="shared" si="87"/>
        <v/>
      </c>
      <c r="L1079" t="str">
        <f t="shared" si="89"/>
        <v>NGM-069 (MVS), NGH-069 (AES)</v>
      </c>
      <c r="M1079" t="str">
        <f t="shared" si="89"/>
        <v>19950327 (MVS), 19950421 (AES)</v>
      </c>
      <c r="N1079" t="str">
        <f t="shared" si="89"/>
        <v>餓狼伝説3 ―遥かなる闘い―</v>
      </c>
      <c r="O1079" t="str">
        <f t="shared" si="89"/>
        <v/>
      </c>
      <c r="P1079" t="str">
        <f t="shared" si="89"/>
        <v/>
      </c>
      <c r="T1079" t="str">
        <f t="shared" si="88"/>
        <v/>
      </c>
      <c r="V1079" t="str">
        <f t="shared" si="90"/>
        <v>MVS,AES</v>
      </c>
      <c r="W1079" t="str">
        <f t="shared" si="90"/>
        <v>MVS,AES</v>
      </c>
      <c r="AH1079" t="s">
        <v>5046</v>
      </c>
      <c r="AI1079" t="s">
        <v>57</v>
      </c>
      <c r="AJ1079" t="s">
        <v>3</v>
      </c>
      <c r="AK1079" t="s">
        <v>5045</v>
      </c>
      <c r="AL1079" t="s">
        <v>5044</v>
      </c>
    </row>
    <row r="1080" spans="5:43" x14ac:dyDescent="0.25">
      <c r="I1080" t="str">
        <f t="shared" si="86"/>
        <v>fatfury3</v>
      </c>
      <c r="J1080" t="str">
        <f t="shared" si="87"/>
        <v/>
      </c>
      <c r="L1080" t="str">
        <f t="shared" si="89"/>
        <v>NGM-069 (MVS), NGH-069 (AES)</v>
      </c>
      <c r="M1080" t="str">
        <f t="shared" si="89"/>
        <v>19950327 (MVS), 19950421 (AES)</v>
      </c>
      <c r="N1080" t="str">
        <f t="shared" si="89"/>
        <v>餓狼伝説3 ―遥かなる闘い―</v>
      </c>
      <c r="O1080" t="str">
        <f t="shared" si="89"/>
        <v/>
      </c>
      <c r="P1080" t="str">
        <f t="shared" si="89"/>
        <v/>
      </c>
      <c r="T1080" t="str">
        <f t="shared" si="88"/>
        <v/>
      </c>
      <c r="V1080" t="str">
        <f t="shared" si="90"/>
        <v>MVS,AES</v>
      </c>
      <c r="W1080" t="str">
        <f t="shared" si="90"/>
        <v>MVS,AES</v>
      </c>
      <c r="AB1080" t="s">
        <v>12</v>
      </c>
      <c r="AE1080" t="s">
        <v>3633</v>
      </c>
      <c r="AG1080" t="s">
        <v>6</v>
      </c>
      <c r="AH1080" t="s">
        <v>4094</v>
      </c>
      <c r="AI1080" t="s">
        <v>9</v>
      </c>
      <c r="AJ1080" t="s">
        <v>11</v>
      </c>
      <c r="AK1080" t="s">
        <v>4093</v>
      </c>
      <c r="AL1080" t="s">
        <v>4092</v>
      </c>
    </row>
    <row r="1081" spans="5:43" x14ac:dyDescent="0.25">
      <c r="I1081" t="str">
        <f t="shared" si="86"/>
        <v>fatfury3</v>
      </c>
      <c r="J1081" t="str">
        <f t="shared" si="87"/>
        <v/>
      </c>
      <c r="L1081" t="str">
        <f t="shared" si="89"/>
        <v>NGM-069 (MVS), NGH-069 (AES)</v>
      </c>
      <c r="M1081" t="str">
        <f t="shared" si="89"/>
        <v>19950327 (MVS), 19950421 (AES)</v>
      </c>
      <c r="N1081" t="str">
        <f t="shared" si="89"/>
        <v>餓狼伝説3 ―遥かなる闘い―</v>
      </c>
      <c r="O1081" t="str">
        <f t="shared" si="89"/>
        <v/>
      </c>
      <c r="P1081" t="str">
        <f t="shared" si="89"/>
        <v/>
      </c>
      <c r="T1081" t="str">
        <f t="shared" si="88"/>
        <v/>
      </c>
      <c r="V1081" t="str">
        <f t="shared" si="90"/>
        <v>MVS,AES</v>
      </c>
      <c r="W1081" t="str">
        <f t="shared" si="90"/>
        <v>MVS,AES</v>
      </c>
      <c r="AG1081" t="s">
        <v>6</v>
      </c>
      <c r="AH1081" t="s">
        <v>4091</v>
      </c>
      <c r="AI1081" t="s">
        <v>4</v>
      </c>
      <c r="AJ1081" t="s">
        <v>11</v>
      </c>
      <c r="AK1081" t="s">
        <v>4090</v>
      </c>
      <c r="AL1081" t="s">
        <v>4089</v>
      </c>
    </row>
    <row r="1082" spans="5:43" x14ac:dyDescent="0.25">
      <c r="I1082" t="str">
        <f t="shared" si="86"/>
        <v>fatfury3</v>
      </c>
      <c r="J1082" t="str">
        <f t="shared" si="87"/>
        <v/>
      </c>
      <c r="L1082" t="str">
        <f t="shared" si="89"/>
        <v>NGM-069 (MVS), NGH-069 (AES)</v>
      </c>
      <c r="M1082" t="str">
        <f t="shared" si="89"/>
        <v>19950327 (MVS), 19950421 (AES)</v>
      </c>
      <c r="N1082" t="str">
        <f t="shared" si="89"/>
        <v>餓狼伝説3 ―遥かなる闘い―</v>
      </c>
      <c r="O1082" t="str">
        <f t="shared" si="89"/>
        <v/>
      </c>
      <c r="P1082" t="str">
        <f t="shared" si="89"/>
        <v/>
      </c>
      <c r="T1082" t="str">
        <f t="shared" si="88"/>
        <v/>
      </c>
      <c r="V1082" t="str">
        <f t="shared" si="90"/>
        <v>MVS,AES</v>
      </c>
      <c r="W1082" t="str">
        <f t="shared" si="90"/>
        <v>MVS,AES</v>
      </c>
      <c r="AG1082" t="s">
        <v>6</v>
      </c>
      <c r="AH1082" t="s">
        <v>4088</v>
      </c>
      <c r="AI1082" t="s">
        <v>57</v>
      </c>
      <c r="AJ1082" t="s">
        <v>11</v>
      </c>
      <c r="AK1082" t="s">
        <v>4087</v>
      </c>
      <c r="AL1082" t="s">
        <v>4086</v>
      </c>
    </row>
    <row r="1083" spans="5:43" x14ac:dyDescent="0.25">
      <c r="I1083" t="str">
        <f t="shared" si="86"/>
        <v>fatfury3</v>
      </c>
      <c r="J1083" t="str">
        <f t="shared" si="87"/>
        <v/>
      </c>
      <c r="L1083" t="str">
        <f t="shared" si="89"/>
        <v>NGM-069 (MVS), NGH-069 (AES)</v>
      </c>
      <c r="M1083" t="str">
        <f t="shared" si="89"/>
        <v>19950327 (MVS), 19950421 (AES)</v>
      </c>
      <c r="N1083" t="str">
        <f t="shared" si="89"/>
        <v>餓狼伝説3 ―遥かなる闘い―</v>
      </c>
      <c r="O1083" t="str">
        <f t="shared" si="89"/>
        <v/>
      </c>
      <c r="P1083" t="str">
        <f t="shared" si="89"/>
        <v/>
      </c>
      <c r="T1083" t="str">
        <f t="shared" si="88"/>
        <v/>
      </c>
      <c r="V1083" t="str">
        <f t="shared" si="90"/>
        <v>MVS,AES</v>
      </c>
      <c r="W1083" t="str">
        <f t="shared" si="90"/>
        <v>MVS,AES</v>
      </c>
      <c r="AG1083" t="s">
        <v>6</v>
      </c>
      <c r="AH1083" t="s">
        <v>4085</v>
      </c>
      <c r="AI1083" t="s">
        <v>53</v>
      </c>
      <c r="AJ1083" t="s">
        <v>11</v>
      </c>
      <c r="AK1083" t="s">
        <v>4084</v>
      </c>
      <c r="AL1083" t="s">
        <v>4083</v>
      </c>
    </row>
    <row r="1084" spans="5:43" x14ac:dyDescent="0.25">
      <c r="I1084" t="str">
        <f t="shared" si="86"/>
        <v>fatfury3</v>
      </c>
      <c r="J1084" t="str">
        <f t="shared" si="87"/>
        <v/>
      </c>
      <c r="L1084" t="str">
        <f t="shared" si="89"/>
        <v>NGM-069 (MVS), NGH-069 (AES)</v>
      </c>
      <c r="M1084" t="str">
        <f t="shared" si="89"/>
        <v>19950327 (MVS), 19950421 (AES)</v>
      </c>
      <c r="N1084" t="str">
        <f t="shared" si="89"/>
        <v>餓狼伝説3 ―遥かなる闘い―</v>
      </c>
      <c r="O1084" t="str">
        <f t="shared" si="89"/>
        <v/>
      </c>
      <c r="P1084" t="str">
        <f t="shared" si="89"/>
        <v/>
      </c>
      <c r="T1084" t="str">
        <f t="shared" si="88"/>
        <v/>
      </c>
      <c r="V1084" t="str">
        <f t="shared" si="90"/>
        <v>MVS,AES</v>
      </c>
      <c r="W1084" t="str">
        <f t="shared" si="90"/>
        <v>MVS,AES</v>
      </c>
      <c r="AG1084" t="s">
        <v>6</v>
      </c>
      <c r="AH1084" t="s">
        <v>5043</v>
      </c>
      <c r="AI1084" t="s">
        <v>65</v>
      </c>
      <c r="AJ1084" t="s">
        <v>3</v>
      </c>
      <c r="AK1084" t="s">
        <v>5042</v>
      </c>
      <c r="AL1084" t="s">
        <v>5041</v>
      </c>
    </row>
    <row r="1085" spans="5:43" x14ac:dyDescent="0.25">
      <c r="I1085" t="str">
        <f t="shared" si="86"/>
        <v>fatfury3</v>
      </c>
      <c r="J1085" t="str">
        <f t="shared" si="87"/>
        <v/>
      </c>
      <c r="L1085" t="str">
        <f t="shared" si="89"/>
        <v>NGM-069 (MVS), NGH-069 (AES)</v>
      </c>
      <c r="M1085" t="str">
        <f t="shared" si="89"/>
        <v>19950327 (MVS), 19950421 (AES)</v>
      </c>
      <c r="N1085" t="str">
        <f t="shared" si="89"/>
        <v>餓狼伝説3 ―遥かなる闘い―</v>
      </c>
      <c r="O1085" t="str">
        <f t="shared" si="89"/>
        <v/>
      </c>
      <c r="P1085" t="str">
        <f t="shared" si="89"/>
        <v/>
      </c>
      <c r="T1085" t="str">
        <f t="shared" si="88"/>
        <v/>
      </c>
      <c r="V1085" t="str">
        <f t="shared" si="90"/>
        <v>MVS,AES</v>
      </c>
      <c r="W1085" t="str">
        <f t="shared" si="90"/>
        <v>MVS,AES</v>
      </c>
      <c r="AG1085" t="s">
        <v>6</v>
      </c>
      <c r="AH1085" t="s">
        <v>5040</v>
      </c>
      <c r="AI1085" t="s">
        <v>164</v>
      </c>
      <c r="AJ1085" t="s">
        <v>3</v>
      </c>
      <c r="AK1085" t="s">
        <v>5039</v>
      </c>
      <c r="AL1085" t="s">
        <v>5038</v>
      </c>
    </row>
    <row r="1086" spans="5:43" x14ac:dyDescent="0.25">
      <c r="E1086" t="s">
        <v>5037</v>
      </c>
      <c r="F1086" t="s">
        <v>5036</v>
      </c>
      <c r="G1086" t="s">
        <v>959</v>
      </c>
      <c r="H1086" t="s">
        <v>1912</v>
      </c>
      <c r="I1086" t="str">
        <f t="shared" si="86"/>
        <v>zupapa</v>
      </c>
      <c r="J1086" t="str">
        <f t="shared" si="87"/>
        <v>zupapaalt_title</v>
      </c>
      <c r="K1086" t="s">
        <v>1218</v>
      </c>
      <c r="L1086" t="str">
        <f t="shared" ref="L1086:P1136" si="91">IFERROR(VLOOKUP($I1086&amp;L$1,$J:$Q,8,0),"")</f>
        <v/>
      </c>
      <c r="M1086" t="str">
        <f t="shared" si="91"/>
        <v/>
      </c>
      <c r="N1086" t="str">
        <f t="shared" si="91"/>
        <v>ズパパ！</v>
      </c>
      <c r="O1086" t="str">
        <f t="shared" si="91"/>
        <v/>
      </c>
      <c r="P1086" t="str">
        <f t="shared" si="91"/>
        <v/>
      </c>
      <c r="Q1086" t="s">
        <v>5035</v>
      </c>
      <c r="S1086" t="s">
        <v>46</v>
      </c>
      <c r="T1086" t="str">
        <f t="shared" si="88"/>
        <v>zupaparelease</v>
      </c>
      <c r="U1086" t="s">
        <v>106</v>
      </c>
      <c r="V1086" t="str">
        <f t="shared" si="90"/>
        <v>MVS</v>
      </c>
      <c r="W1086" t="str">
        <f t="shared" si="90"/>
        <v>MVS,AES</v>
      </c>
      <c r="Y1086" t="s">
        <v>45</v>
      </c>
      <c r="Z1086" t="s">
        <v>44</v>
      </c>
      <c r="AB1086" t="s">
        <v>43</v>
      </c>
      <c r="AC1086" t="s">
        <v>42</v>
      </c>
      <c r="AD1086" t="s">
        <v>41</v>
      </c>
      <c r="AE1086" t="s">
        <v>15</v>
      </c>
      <c r="AG1086" t="s">
        <v>40</v>
      </c>
      <c r="AH1086" t="s">
        <v>5034</v>
      </c>
      <c r="AI1086" t="s">
        <v>9</v>
      </c>
      <c r="AJ1086" t="s">
        <v>15</v>
      </c>
      <c r="AK1086" t="s">
        <v>5033</v>
      </c>
      <c r="AL1086" t="s">
        <v>5032</v>
      </c>
      <c r="AP1086" t="s">
        <v>138</v>
      </c>
      <c r="AQ1086" t="s">
        <v>5031</v>
      </c>
    </row>
    <row r="1087" spans="5:43" x14ac:dyDescent="0.25">
      <c r="I1087" t="str">
        <f t="shared" si="86"/>
        <v>zupapa</v>
      </c>
      <c r="J1087" t="str">
        <f t="shared" si="87"/>
        <v/>
      </c>
      <c r="L1087" t="str">
        <f t="shared" si="91"/>
        <v/>
      </c>
      <c r="M1087" t="str">
        <f t="shared" si="91"/>
        <v/>
      </c>
      <c r="N1087" t="str">
        <f t="shared" si="91"/>
        <v>ズパパ！</v>
      </c>
      <c r="O1087" t="str">
        <f t="shared" si="91"/>
        <v/>
      </c>
      <c r="P1087" t="str">
        <f t="shared" si="91"/>
        <v/>
      </c>
      <c r="S1087" t="s">
        <v>36</v>
      </c>
      <c r="T1087" t="str">
        <f t="shared" si="88"/>
        <v>zupapacompatibility</v>
      </c>
      <c r="U1087" t="s">
        <v>218</v>
      </c>
      <c r="V1087" t="str">
        <f t="shared" si="90"/>
        <v>MVS</v>
      </c>
      <c r="W1087" t="str">
        <f t="shared" si="90"/>
        <v>MVS,AES</v>
      </c>
      <c r="AB1087" t="s">
        <v>34</v>
      </c>
      <c r="AE1087" t="s">
        <v>135</v>
      </c>
      <c r="AG1087" t="s">
        <v>538</v>
      </c>
      <c r="AI1087" t="s">
        <v>9</v>
      </c>
      <c r="AJ1087" t="s">
        <v>135</v>
      </c>
      <c r="AN1087" t="s">
        <v>537</v>
      </c>
    </row>
    <row r="1088" spans="5:43" x14ac:dyDescent="0.25">
      <c r="I1088" t="str">
        <f t="shared" si="86"/>
        <v>zupapa</v>
      </c>
      <c r="J1088" t="str">
        <f t="shared" si="87"/>
        <v/>
      </c>
      <c r="L1088" t="str">
        <f t="shared" si="91"/>
        <v/>
      </c>
      <c r="M1088" t="str">
        <f t="shared" si="91"/>
        <v/>
      </c>
      <c r="N1088" t="str">
        <f t="shared" si="91"/>
        <v>ズパパ！</v>
      </c>
      <c r="O1088" t="str">
        <f t="shared" si="91"/>
        <v/>
      </c>
      <c r="P1088" t="str">
        <f t="shared" si="91"/>
        <v/>
      </c>
      <c r="T1088" t="str">
        <f t="shared" si="88"/>
        <v/>
      </c>
      <c r="V1088" t="str">
        <f t="shared" si="90"/>
        <v>MVS</v>
      </c>
      <c r="W1088" t="str">
        <f t="shared" si="90"/>
        <v>MVS,AES</v>
      </c>
      <c r="AB1088" t="s">
        <v>29</v>
      </c>
      <c r="AE1088" t="s">
        <v>27</v>
      </c>
      <c r="AH1088" t="s">
        <v>5030</v>
      </c>
      <c r="AI1088" t="s">
        <v>9</v>
      </c>
      <c r="AJ1088" t="s">
        <v>27</v>
      </c>
      <c r="AK1088" t="s">
        <v>5029</v>
      </c>
      <c r="AL1088" t="s">
        <v>5028</v>
      </c>
    </row>
    <row r="1089" spans="5:38" x14ac:dyDescent="0.25">
      <c r="I1089" t="str">
        <f t="shared" si="86"/>
        <v>zupapa</v>
      </c>
      <c r="J1089" t="str">
        <f t="shared" si="87"/>
        <v/>
      </c>
      <c r="L1089" t="str">
        <f t="shared" si="91"/>
        <v/>
      </c>
      <c r="M1089" t="str">
        <f t="shared" si="91"/>
        <v/>
      </c>
      <c r="N1089" t="str">
        <f t="shared" si="91"/>
        <v>ズパパ！</v>
      </c>
      <c r="O1089" t="str">
        <f t="shared" si="91"/>
        <v/>
      </c>
      <c r="P1089" t="str">
        <f t="shared" si="91"/>
        <v/>
      </c>
      <c r="T1089" t="str">
        <f t="shared" si="88"/>
        <v/>
      </c>
      <c r="V1089" t="str">
        <f t="shared" si="90"/>
        <v>MVS</v>
      </c>
      <c r="W1089" t="str">
        <f t="shared" si="90"/>
        <v>MVS,AES</v>
      </c>
      <c r="AB1089" t="s">
        <v>24</v>
      </c>
      <c r="AE1089" t="s">
        <v>3</v>
      </c>
      <c r="AH1089" t="s">
        <v>5027</v>
      </c>
      <c r="AI1089" t="s">
        <v>9</v>
      </c>
      <c r="AJ1089" t="s">
        <v>3</v>
      </c>
      <c r="AK1089" t="s">
        <v>5026</v>
      </c>
      <c r="AL1089" t="s">
        <v>5025</v>
      </c>
    </row>
    <row r="1090" spans="5:38" x14ac:dyDescent="0.25">
      <c r="I1090" t="str">
        <f t="shared" si="86"/>
        <v>zupapa</v>
      </c>
      <c r="J1090" t="str">
        <f t="shared" si="87"/>
        <v/>
      </c>
      <c r="L1090" t="str">
        <f t="shared" si="91"/>
        <v/>
      </c>
      <c r="M1090" t="str">
        <f t="shared" si="91"/>
        <v/>
      </c>
      <c r="N1090" t="str">
        <f t="shared" si="91"/>
        <v>ズパパ！</v>
      </c>
      <c r="O1090" t="str">
        <f t="shared" si="91"/>
        <v/>
      </c>
      <c r="P1090" t="str">
        <f t="shared" si="91"/>
        <v/>
      </c>
      <c r="T1090" t="str">
        <f t="shared" si="88"/>
        <v/>
      </c>
      <c r="V1090" t="str">
        <f t="shared" si="90"/>
        <v>MVS</v>
      </c>
      <c r="W1090" t="str">
        <f t="shared" si="90"/>
        <v>MVS,AES</v>
      </c>
      <c r="AB1090" t="s">
        <v>12</v>
      </c>
      <c r="AE1090" t="s">
        <v>65</v>
      </c>
      <c r="AG1090" t="s">
        <v>6</v>
      </c>
      <c r="AH1090" t="s">
        <v>5024</v>
      </c>
      <c r="AI1090" t="s">
        <v>9</v>
      </c>
      <c r="AJ1090" t="s">
        <v>57</v>
      </c>
      <c r="AK1090" t="s">
        <v>5023</v>
      </c>
      <c r="AL1090" t="s">
        <v>5022</v>
      </c>
    </row>
    <row r="1091" spans="5:38" x14ac:dyDescent="0.25">
      <c r="I1091" t="str">
        <f t="shared" ref="I1091:I1154" si="92">IF(E1091="",I1090,E1091)</f>
        <v>zupapa</v>
      </c>
      <c r="J1091" t="str">
        <f t="shared" ref="J1091:J1154" si="93">IF(K1091="","",I1091&amp;K1091)</f>
        <v/>
      </c>
      <c r="L1091" t="str">
        <f t="shared" si="91"/>
        <v/>
      </c>
      <c r="M1091" t="str">
        <f t="shared" si="91"/>
        <v/>
      </c>
      <c r="N1091" t="str">
        <f t="shared" si="91"/>
        <v>ズパパ！</v>
      </c>
      <c r="O1091" t="str">
        <f t="shared" si="91"/>
        <v/>
      </c>
      <c r="P1091" t="str">
        <f t="shared" si="91"/>
        <v/>
      </c>
      <c r="T1091" t="str">
        <f t="shared" ref="T1091:T1154" si="94">IF(S1091="","",I1091&amp;S1091)</f>
        <v/>
      </c>
      <c r="V1091" t="str">
        <f t="shared" si="90"/>
        <v>MVS</v>
      </c>
      <c r="W1091" t="str">
        <f t="shared" si="90"/>
        <v>MVS,AES</v>
      </c>
      <c r="AG1091" t="s">
        <v>6</v>
      </c>
      <c r="AH1091" t="s">
        <v>5021</v>
      </c>
      <c r="AI1091" t="s">
        <v>4</v>
      </c>
      <c r="AJ1091" t="s">
        <v>57</v>
      </c>
      <c r="AK1091" t="s">
        <v>5020</v>
      </c>
      <c r="AL1091" t="s">
        <v>5019</v>
      </c>
    </row>
    <row r="1092" spans="5:38" x14ac:dyDescent="0.25">
      <c r="E1092" t="s">
        <v>5018</v>
      </c>
      <c r="F1092" t="s">
        <v>5017</v>
      </c>
      <c r="G1092" t="s">
        <v>393</v>
      </c>
      <c r="H1092" t="s">
        <v>5016</v>
      </c>
      <c r="I1092" t="str">
        <f t="shared" si="92"/>
        <v>panicbom</v>
      </c>
      <c r="J1092" t="str">
        <f t="shared" si="93"/>
        <v>panicbomserial</v>
      </c>
      <c r="K1092" t="s">
        <v>1373</v>
      </c>
      <c r="L1092" t="str">
        <f t="shared" si="91"/>
        <v>NGM-073?</v>
      </c>
      <c r="M1092" t="str">
        <f t="shared" si="91"/>
        <v>19950118</v>
      </c>
      <c r="N1092" t="str">
        <f t="shared" si="91"/>
        <v>ボンバーマン　パニックボンバー</v>
      </c>
      <c r="O1092" t="str">
        <f t="shared" si="91"/>
        <v/>
      </c>
      <c r="P1092" t="str">
        <f t="shared" si="91"/>
        <v/>
      </c>
      <c r="Q1092" t="s">
        <v>5015</v>
      </c>
      <c r="S1092" t="s">
        <v>46</v>
      </c>
      <c r="T1092" t="str">
        <f t="shared" si="94"/>
        <v>panicbomrelease</v>
      </c>
      <c r="U1092" t="s">
        <v>106</v>
      </c>
      <c r="V1092" t="str">
        <f t="shared" si="90"/>
        <v>MVS</v>
      </c>
      <c r="W1092" t="str">
        <f t="shared" si="90"/>
        <v>MVS,AES</v>
      </c>
      <c r="Y1092" t="s">
        <v>45</v>
      </c>
      <c r="Z1092" t="s">
        <v>44</v>
      </c>
      <c r="AB1092" t="s">
        <v>43</v>
      </c>
      <c r="AC1092" t="s">
        <v>42</v>
      </c>
      <c r="AD1092" t="s">
        <v>41</v>
      </c>
      <c r="AE1092" t="s">
        <v>15</v>
      </c>
      <c r="AG1092" t="s">
        <v>40</v>
      </c>
      <c r="AH1092" t="s">
        <v>5014</v>
      </c>
      <c r="AI1092" t="s">
        <v>9</v>
      </c>
      <c r="AJ1092" t="s">
        <v>92</v>
      </c>
      <c r="AK1092" t="s">
        <v>5013</v>
      </c>
      <c r="AL1092" t="s">
        <v>5012</v>
      </c>
    </row>
    <row r="1093" spans="5:38" x14ac:dyDescent="0.25">
      <c r="I1093" t="str">
        <f t="shared" si="92"/>
        <v>panicbom</v>
      </c>
      <c r="J1093" t="str">
        <f t="shared" si="93"/>
        <v>panicbomrelease</v>
      </c>
      <c r="K1093" t="s">
        <v>46</v>
      </c>
      <c r="L1093" t="str">
        <f t="shared" si="91"/>
        <v>NGM-073?</v>
      </c>
      <c r="M1093" t="str">
        <f t="shared" si="91"/>
        <v>19950118</v>
      </c>
      <c r="N1093" t="str">
        <f t="shared" si="91"/>
        <v>ボンバーマン　パニックボンバー</v>
      </c>
      <c r="O1093" t="str">
        <f t="shared" si="91"/>
        <v/>
      </c>
      <c r="P1093" t="str">
        <f t="shared" si="91"/>
        <v/>
      </c>
      <c r="Q1093" t="s">
        <v>5011</v>
      </c>
      <c r="T1093" t="str">
        <f t="shared" si="94"/>
        <v/>
      </c>
      <c r="V1093" t="str">
        <f t="shared" si="90"/>
        <v>MVS</v>
      </c>
      <c r="W1093" t="str">
        <f t="shared" si="90"/>
        <v>MVS,AES</v>
      </c>
      <c r="AB1093" t="s">
        <v>34</v>
      </c>
      <c r="AE1093" t="s">
        <v>33</v>
      </c>
      <c r="AH1093" t="s">
        <v>5010</v>
      </c>
      <c r="AI1093" t="s">
        <v>9</v>
      </c>
      <c r="AJ1093" t="s">
        <v>27</v>
      </c>
      <c r="AK1093" t="s">
        <v>5009</v>
      </c>
      <c r="AL1093" t="s">
        <v>5008</v>
      </c>
    </row>
    <row r="1094" spans="5:38" x14ac:dyDescent="0.25">
      <c r="I1094" t="str">
        <f t="shared" si="92"/>
        <v>panicbom</v>
      </c>
      <c r="J1094" t="str">
        <f t="shared" si="93"/>
        <v>panicbomalt_title</v>
      </c>
      <c r="K1094" t="s">
        <v>1218</v>
      </c>
      <c r="L1094" t="str">
        <f t="shared" si="91"/>
        <v>NGM-073?</v>
      </c>
      <c r="M1094" t="str">
        <f t="shared" si="91"/>
        <v>19950118</v>
      </c>
      <c r="N1094" t="str">
        <f t="shared" si="91"/>
        <v>ボンバーマン　パニックボンバー</v>
      </c>
      <c r="O1094" t="str">
        <f t="shared" si="91"/>
        <v/>
      </c>
      <c r="P1094" t="str">
        <f t="shared" si="91"/>
        <v/>
      </c>
      <c r="Q1094" t="s">
        <v>5007</v>
      </c>
      <c r="T1094" t="str">
        <f t="shared" si="94"/>
        <v/>
      </c>
      <c r="V1094" t="str">
        <f t="shared" si="90"/>
        <v>MVS</v>
      </c>
      <c r="W1094" t="str">
        <f t="shared" si="90"/>
        <v>MVS,AES</v>
      </c>
      <c r="AB1094" t="s">
        <v>29</v>
      </c>
      <c r="AE1094" t="s">
        <v>27</v>
      </c>
      <c r="AH1094" t="s">
        <v>5006</v>
      </c>
      <c r="AI1094" t="s">
        <v>9</v>
      </c>
      <c r="AJ1094" t="s">
        <v>27</v>
      </c>
      <c r="AK1094" t="s">
        <v>5005</v>
      </c>
      <c r="AL1094" t="s">
        <v>5004</v>
      </c>
    </row>
    <row r="1095" spans="5:38" x14ac:dyDescent="0.25">
      <c r="I1095" t="str">
        <f t="shared" si="92"/>
        <v>panicbom</v>
      </c>
      <c r="J1095" t="str">
        <f t="shared" si="93"/>
        <v/>
      </c>
      <c r="L1095" t="str">
        <f t="shared" si="91"/>
        <v>NGM-073?</v>
      </c>
      <c r="M1095" t="str">
        <f t="shared" si="91"/>
        <v>19950118</v>
      </c>
      <c r="N1095" t="str">
        <f t="shared" si="91"/>
        <v>ボンバーマン　パニックボンバー</v>
      </c>
      <c r="O1095" t="str">
        <f t="shared" si="91"/>
        <v/>
      </c>
      <c r="P1095" t="str">
        <f t="shared" si="91"/>
        <v/>
      </c>
      <c r="S1095" t="s">
        <v>36</v>
      </c>
      <c r="T1095" t="str">
        <f t="shared" si="94"/>
        <v>panicbomcompatibility</v>
      </c>
      <c r="U1095" t="s">
        <v>218</v>
      </c>
      <c r="V1095" t="str">
        <f t="shared" si="90"/>
        <v>MVS</v>
      </c>
      <c r="W1095" t="str">
        <f t="shared" si="90"/>
        <v>MVS,AES</v>
      </c>
      <c r="AB1095" t="s">
        <v>24</v>
      </c>
      <c r="AE1095" t="s">
        <v>377</v>
      </c>
      <c r="AH1095" t="s">
        <v>5003</v>
      </c>
      <c r="AI1095" t="s">
        <v>9</v>
      </c>
      <c r="AJ1095" t="s">
        <v>3</v>
      </c>
      <c r="AK1095" t="s">
        <v>5002</v>
      </c>
      <c r="AL1095" t="s">
        <v>5001</v>
      </c>
    </row>
    <row r="1096" spans="5:38" x14ac:dyDescent="0.25">
      <c r="I1096" t="str">
        <f t="shared" si="92"/>
        <v>panicbom</v>
      </c>
      <c r="J1096" t="str">
        <f t="shared" si="93"/>
        <v/>
      </c>
      <c r="L1096" t="str">
        <f t="shared" si="91"/>
        <v>NGM-073?</v>
      </c>
      <c r="M1096" t="str">
        <f t="shared" si="91"/>
        <v>19950118</v>
      </c>
      <c r="N1096" t="str">
        <f t="shared" si="91"/>
        <v>ボンバーマン　パニックボンバー</v>
      </c>
      <c r="O1096" t="str">
        <f t="shared" si="91"/>
        <v/>
      </c>
      <c r="P1096" t="str">
        <f t="shared" si="91"/>
        <v/>
      </c>
      <c r="T1096" t="str">
        <f t="shared" si="94"/>
        <v/>
      </c>
      <c r="V1096" t="str">
        <f t="shared" si="90"/>
        <v>MVS</v>
      </c>
      <c r="W1096" t="str">
        <f t="shared" si="90"/>
        <v>MVS,AES</v>
      </c>
      <c r="AH1096" t="s">
        <v>5000</v>
      </c>
      <c r="AI1096" t="s">
        <v>3</v>
      </c>
      <c r="AJ1096" t="s">
        <v>15</v>
      </c>
      <c r="AK1096" t="s">
        <v>4999</v>
      </c>
      <c r="AL1096" t="s">
        <v>4998</v>
      </c>
    </row>
    <row r="1097" spans="5:38" x14ac:dyDescent="0.25">
      <c r="I1097" t="str">
        <f t="shared" si="92"/>
        <v>panicbom</v>
      </c>
      <c r="J1097" t="str">
        <f t="shared" si="93"/>
        <v/>
      </c>
      <c r="L1097" t="str">
        <f t="shared" si="91"/>
        <v>NGM-073?</v>
      </c>
      <c r="M1097" t="str">
        <f t="shared" si="91"/>
        <v>19950118</v>
      </c>
      <c r="N1097" t="str">
        <f t="shared" si="91"/>
        <v>ボンバーマン　パニックボンバー</v>
      </c>
      <c r="O1097" t="str">
        <f t="shared" si="91"/>
        <v/>
      </c>
      <c r="P1097" t="str">
        <f t="shared" si="91"/>
        <v/>
      </c>
      <c r="T1097" t="str">
        <f t="shared" si="94"/>
        <v/>
      </c>
      <c r="V1097" t="str">
        <f t="shared" si="90"/>
        <v>MVS</v>
      </c>
      <c r="W1097" t="str">
        <f t="shared" si="90"/>
        <v>MVS,AES</v>
      </c>
      <c r="AB1097" t="s">
        <v>12</v>
      </c>
      <c r="AE1097" t="s">
        <v>3</v>
      </c>
      <c r="AG1097" t="s">
        <v>6</v>
      </c>
      <c r="AH1097" t="s">
        <v>4997</v>
      </c>
      <c r="AI1097" t="s">
        <v>9</v>
      </c>
      <c r="AJ1097" t="s">
        <v>15</v>
      </c>
      <c r="AK1097" t="s">
        <v>4996</v>
      </c>
      <c r="AL1097" t="s">
        <v>4995</v>
      </c>
    </row>
    <row r="1098" spans="5:38" x14ac:dyDescent="0.25">
      <c r="I1098" t="str">
        <f t="shared" si="92"/>
        <v>panicbom</v>
      </c>
      <c r="J1098" t="str">
        <f t="shared" si="93"/>
        <v/>
      </c>
      <c r="L1098" t="str">
        <f t="shared" si="91"/>
        <v>NGM-073?</v>
      </c>
      <c r="M1098" t="str">
        <f t="shared" si="91"/>
        <v>19950118</v>
      </c>
      <c r="N1098" t="str">
        <f t="shared" si="91"/>
        <v>ボンバーマン　パニックボンバー</v>
      </c>
      <c r="O1098" t="str">
        <f t="shared" si="91"/>
        <v/>
      </c>
      <c r="P1098" t="str">
        <f t="shared" si="91"/>
        <v/>
      </c>
      <c r="T1098" t="str">
        <f t="shared" si="94"/>
        <v/>
      </c>
      <c r="V1098" t="str">
        <f t="shared" si="90"/>
        <v>MVS</v>
      </c>
      <c r="W1098" t="str">
        <f t="shared" si="90"/>
        <v>MVS,AES</v>
      </c>
      <c r="AG1098" t="s">
        <v>6</v>
      </c>
      <c r="AH1098" t="s">
        <v>4994</v>
      </c>
      <c r="AI1098" t="s">
        <v>4</v>
      </c>
      <c r="AJ1098" t="s">
        <v>15</v>
      </c>
      <c r="AK1098" t="s">
        <v>4993</v>
      </c>
      <c r="AL1098" t="s">
        <v>4992</v>
      </c>
    </row>
    <row r="1099" spans="5:38" x14ac:dyDescent="0.25">
      <c r="E1099" t="s">
        <v>4991</v>
      </c>
      <c r="F1099" t="s">
        <v>4990</v>
      </c>
      <c r="G1099" t="s">
        <v>393</v>
      </c>
      <c r="H1099" t="s">
        <v>3275</v>
      </c>
      <c r="I1099" t="str">
        <f t="shared" si="92"/>
        <v>aodk</v>
      </c>
      <c r="J1099" t="str">
        <f t="shared" si="93"/>
        <v>aodkserial</v>
      </c>
      <c r="K1099" t="s">
        <v>1373</v>
      </c>
      <c r="L1099" t="str">
        <f t="shared" si="91"/>
        <v>NGM-074 / ADM-008 (MVS) ~ NGH-074 / ADH-008 (AES)</v>
      </c>
      <c r="M1099" t="str">
        <f t="shared" si="91"/>
        <v>19940726 (MVS), 19940826 (AES)</v>
      </c>
      <c r="N1099" t="str">
        <f t="shared" si="91"/>
        <v>痛快 ガンガン 行進曲</v>
      </c>
      <c r="O1099" t="str">
        <f t="shared" si="91"/>
        <v/>
      </c>
      <c r="P1099" t="str">
        <f t="shared" si="91"/>
        <v/>
      </c>
      <c r="Q1099" t="s">
        <v>4989</v>
      </c>
      <c r="S1099" t="s">
        <v>46</v>
      </c>
      <c r="T1099" t="str">
        <f t="shared" si="94"/>
        <v>aodkrelease</v>
      </c>
      <c r="U1099" t="s">
        <v>218</v>
      </c>
      <c r="V1099" t="str">
        <f t="shared" si="90"/>
        <v>MVS,AES</v>
      </c>
      <c r="W1099" t="str">
        <f t="shared" si="90"/>
        <v>MVS,AES</v>
      </c>
      <c r="Y1099" t="s">
        <v>45</v>
      </c>
      <c r="Z1099" t="s">
        <v>44</v>
      </c>
      <c r="AB1099" t="s">
        <v>43</v>
      </c>
      <c r="AC1099" t="s">
        <v>42</v>
      </c>
      <c r="AD1099" t="s">
        <v>41</v>
      </c>
      <c r="AE1099" t="s">
        <v>3</v>
      </c>
      <c r="AG1099" t="s">
        <v>40</v>
      </c>
      <c r="AH1099" t="s">
        <v>4988</v>
      </c>
      <c r="AI1099" t="s">
        <v>15</v>
      </c>
      <c r="AJ1099" t="s">
        <v>15</v>
      </c>
      <c r="AK1099" t="s">
        <v>4987</v>
      </c>
      <c r="AL1099" t="s">
        <v>4986</v>
      </c>
    </row>
    <row r="1100" spans="5:38" x14ac:dyDescent="0.25">
      <c r="I1100" t="str">
        <f t="shared" si="92"/>
        <v>aodk</v>
      </c>
      <c r="J1100" t="str">
        <f t="shared" si="93"/>
        <v>aodkrelease</v>
      </c>
      <c r="K1100" t="s">
        <v>46</v>
      </c>
      <c r="L1100" t="str">
        <f t="shared" si="91"/>
        <v>NGM-074 / ADM-008 (MVS) ~ NGH-074 / ADH-008 (AES)</v>
      </c>
      <c r="M1100" t="str">
        <f t="shared" si="91"/>
        <v>19940726 (MVS), 19940826 (AES)</v>
      </c>
      <c r="N1100" t="str">
        <f t="shared" si="91"/>
        <v>痛快 ガンガン 行進曲</v>
      </c>
      <c r="O1100" t="str">
        <f t="shared" si="91"/>
        <v/>
      </c>
      <c r="P1100" t="str">
        <f t="shared" si="91"/>
        <v/>
      </c>
      <c r="Q1100" t="s">
        <v>4985</v>
      </c>
      <c r="T1100" t="str">
        <f t="shared" si="94"/>
        <v/>
      </c>
      <c r="V1100" t="str">
        <f t="shared" si="90"/>
        <v>MVS,AES</v>
      </c>
      <c r="W1100" t="str">
        <f t="shared" si="90"/>
        <v>MVS,AES</v>
      </c>
      <c r="AG1100" t="s">
        <v>224</v>
      </c>
      <c r="AI1100" t="s">
        <v>9</v>
      </c>
      <c r="AJ1100" t="s">
        <v>15</v>
      </c>
    </row>
    <row r="1101" spans="5:38" x14ac:dyDescent="0.25">
      <c r="I1101" t="str">
        <f t="shared" si="92"/>
        <v>aodk</v>
      </c>
      <c r="J1101" t="str">
        <f t="shared" si="93"/>
        <v>aodkalt_title</v>
      </c>
      <c r="K1101" t="s">
        <v>1218</v>
      </c>
      <c r="L1101" t="str">
        <f t="shared" si="91"/>
        <v>NGM-074 / ADM-008 (MVS) ~ NGH-074 / ADH-008 (AES)</v>
      </c>
      <c r="M1101" t="str">
        <f t="shared" si="91"/>
        <v>19940726 (MVS), 19940826 (AES)</v>
      </c>
      <c r="N1101" t="str">
        <f t="shared" si="91"/>
        <v>痛快 ガンガン 行進曲</v>
      </c>
      <c r="O1101" t="str">
        <f t="shared" si="91"/>
        <v/>
      </c>
      <c r="P1101" t="str">
        <f t="shared" si="91"/>
        <v/>
      </c>
      <c r="Q1101" t="s">
        <v>4984</v>
      </c>
      <c r="T1101" t="str">
        <f t="shared" si="94"/>
        <v/>
      </c>
      <c r="V1101" t="str">
        <f t="shared" si="90"/>
        <v>MVS,AES</v>
      </c>
      <c r="W1101" t="str">
        <f t="shared" si="90"/>
        <v>MVS,AES</v>
      </c>
      <c r="AB1101" t="s">
        <v>34</v>
      </c>
      <c r="AE1101" t="s">
        <v>33</v>
      </c>
      <c r="AH1101" t="s">
        <v>4983</v>
      </c>
      <c r="AI1101" t="s">
        <v>9</v>
      </c>
      <c r="AJ1101" t="s">
        <v>27</v>
      </c>
      <c r="AK1101" t="s">
        <v>4982</v>
      </c>
      <c r="AL1101" t="s">
        <v>4981</v>
      </c>
    </row>
    <row r="1102" spans="5:38" x14ac:dyDescent="0.25">
      <c r="I1102" t="str">
        <f t="shared" si="92"/>
        <v>aodk</v>
      </c>
      <c r="J1102" t="str">
        <f t="shared" si="93"/>
        <v/>
      </c>
      <c r="L1102" t="str">
        <f t="shared" si="91"/>
        <v>NGM-074 / ADM-008 (MVS) ~ NGH-074 / ADH-008 (AES)</v>
      </c>
      <c r="M1102" t="str">
        <f t="shared" si="91"/>
        <v>19940726 (MVS), 19940826 (AES)</v>
      </c>
      <c r="N1102" t="str">
        <f t="shared" si="91"/>
        <v>痛快 ガンガン 行進曲</v>
      </c>
      <c r="O1102" t="str">
        <f t="shared" si="91"/>
        <v/>
      </c>
      <c r="P1102" t="str">
        <f t="shared" si="91"/>
        <v/>
      </c>
      <c r="S1102" t="s">
        <v>36</v>
      </c>
      <c r="T1102" t="str">
        <f t="shared" si="94"/>
        <v>aodkcompatibility</v>
      </c>
      <c r="U1102" t="s">
        <v>218</v>
      </c>
      <c r="V1102" t="str">
        <f t="shared" si="90"/>
        <v>MVS,AES</v>
      </c>
      <c r="W1102" t="str">
        <f t="shared" si="90"/>
        <v>MVS,AES</v>
      </c>
      <c r="AB1102" t="s">
        <v>29</v>
      </c>
      <c r="AE1102" t="s">
        <v>27</v>
      </c>
      <c r="AH1102" t="s">
        <v>4980</v>
      </c>
      <c r="AI1102" t="s">
        <v>9</v>
      </c>
      <c r="AJ1102" t="s">
        <v>27</v>
      </c>
      <c r="AK1102" t="s">
        <v>4979</v>
      </c>
      <c r="AL1102" t="s">
        <v>4978</v>
      </c>
    </row>
    <row r="1103" spans="5:38" x14ac:dyDescent="0.25">
      <c r="I1103" t="str">
        <f t="shared" si="92"/>
        <v>aodk</v>
      </c>
      <c r="J1103" t="str">
        <f t="shared" si="93"/>
        <v/>
      </c>
      <c r="L1103" t="str">
        <f t="shared" si="91"/>
        <v>NGM-074 / ADM-008 (MVS) ~ NGH-074 / ADH-008 (AES)</v>
      </c>
      <c r="M1103" t="str">
        <f t="shared" si="91"/>
        <v>19940726 (MVS), 19940826 (AES)</v>
      </c>
      <c r="N1103" t="str">
        <f t="shared" si="91"/>
        <v>痛快 ガンガン 行進曲</v>
      </c>
      <c r="O1103" t="str">
        <f t="shared" si="91"/>
        <v/>
      </c>
      <c r="P1103" t="str">
        <f t="shared" si="91"/>
        <v/>
      </c>
      <c r="T1103" t="str">
        <f t="shared" si="94"/>
        <v/>
      </c>
      <c r="V1103" t="str">
        <f t="shared" si="90"/>
        <v>MVS,AES</v>
      </c>
      <c r="W1103" t="str">
        <f t="shared" si="90"/>
        <v>MVS,AES</v>
      </c>
      <c r="AB1103" t="s">
        <v>24</v>
      </c>
      <c r="AE1103" t="s">
        <v>11</v>
      </c>
      <c r="AH1103" t="s">
        <v>4977</v>
      </c>
      <c r="AI1103" t="s">
        <v>9</v>
      </c>
      <c r="AJ1103" t="s">
        <v>3</v>
      </c>
      <c r="AK1103" t="s">
        <v>4976</v>
      </c>
      <c r="AL1103" t="s">
        <v>4975</v>
      </c>
    </row>
    <row r="1104" spans="5:38" x14ac:dyDescent="0.25">
      <c r="I1104" t="str">
        <f t="shared" si="92"/>
        <v>aodk</v>
      </c>
      <c r="J1104" t="str">
        <f t="shared" si="93"/>
        <v/>
      </c>
      <c r="L1104" t="str">
        <f t="shared" si="91"/>
        <v>NGM-074 / ADM-008 (MVS) ~ NGH-074 / ADH-008 (AES)</v>
      </c>
      <c r="M1104" t="str">
        <f t="shared" si="91"/>
        <v>19940726 (MVS), 19940826 (AES)</v>
      </c>
      <c r="N1104" t="str">
        <f t="shared" si="91"/>
        <v>痛快 ガンガン 行進曲</v>
      </c>
      <c r="O1104" t="str">
        <f t="shared" si="91"/>
        <v/>
      </c>
      <c r="P1104" t="str">
        <f t="shared" si="91"/>
        <v/>
      </c>
      <c r="T1104" t="str">
        <f t="shared" si="94"/>
        <v/>
      </c>
      <c r="V1104" t="str">
        <f t="shared" si="90"/>
        <v>MVS,AES</v>
      </c>
      <c r="W1104" t="str">
        <f t="shared" si="90"/>
        <v>MVS,AES</v>
      </c>
      <c r="AH1104" t="s">
        <v>4974</v>
      </c>
      <c r="AI1104" t="s">
        <v>3</v>
      </c>
      <c r="AJ1104" t="s">
        <v>3</v>
      </c>
      <c r="AK1104" t="s">
        <v>4973</v>
      </c>
      <c r="AL1104" t="s">
        <v>4972</v>
      </c>
    </row>
    <row r="1105" spans="5:38" x14ac:dyDescent="0.25">
      <c r="I1105" t="str">
        <f t="shared" si="92"/>
        <v>aodk</v>
      </c>
      <c r="J1105" t="str">
        <f t="shared" si="93"/>
        <v/>
      </c>
      <c r="L1105" t="str">
        <f t="shared" si="91"/>
        <v>NGM-074 / ADM-008 (MVS) ~ NGH-074 / ADH-008 (AES)</v>
      </c>
      <c r="M1105" t="str">
        <f t="shared" si="91"/>
        <v>19940726 (MVS), 19940826 (AES)</v>
      </c>
      <c r="N1105" t="str">
        <f t="shared" si="91"/>
        <v>痛快 ガンガン 行進曲</v>
      </c>
      <c r="O1105" t="str">
        <f t="shared" si="91"/>
        <v/>
      </c>
      <c r="P1105" t="str">
        <f t="shared" si="91"/>
        <v/>
      </c>
      <c r="T1105" t="str">
        <f t="shared" si="94"/>
        <v/>
      </c>
      <c r="V1105" t="str">
        <f t="shared" si="90"/>
        <v>MVS,AES</v>
      </c>
      <c r="W1105" t="str">
        <f t="shared" si="90"/>
        <v>MVS,AES</v>
      </c>
      <c r="AB1105" t="s">
        <v>12</v>
      </c>
      <c r="AE1105" t="s">
        <v>65</v>
      </c>
      <c r="AG1105" t="s">
        <v>6</v>
      </c>
      <c r="AH1105" t="s">
        <v>4971</v>
      </c>
      <c r="AI1105" t="s">
        <v>9</v>
      </c>
      <c r="AJ1105" t="s">
        <v>3</v>
      </c>
      <c r="AK1105" t="s">
        <v>4970</v>
      </c>
      <c r="AL1105" t="s">
        <v>4969</v>
      </c>
    </row>
    <row r="1106" spans="5:38" x14ac:dyDescent="0.25">
      <c r="I1106" t="str">
        <f t="shared" si="92"/>
        <v>aodk</v>
      </c>
      <c r="J1106" t="str">
        <f t="shared" si="93"/>
        <v/>
      </c>
      <c r="L1106" t="str">
        <f t="shared" si="91"/>
        <v>NGM-074 / ADM-008 (MVS) ~ NGH-074 / ADH-008 (AES)</v>
      </c>
      <c r="M1106" t="str">
        <f t="shared" si="91"/>
        <v>19940726 (MVS), 19940826 (AES)</v>
      </c>
      <c r="N1106" t="str">
        <f t="shared" si="91"/>
        <v>痛快 ガンガン 行進曲</v>
      </c>
      <c r="O1106" t="str">
        <f t="shared" si="91"/>
        <v/>
      </c>
      <c r="P1106" t="str">
        <f t="shared" si="91"/>
        <v/>
      </c>
      <c r="T1106" t="str">
        <f t="shared" si="94"/>
        <v/>
      </c>
      <c r="V1106" t="str">
        <f t="shared" si="90"/>
        <v>MVS,AES</v>
      </c>
      <c r="W1106" t="str">
        <f t="shared" si="90"/>
        <v>MVS,AES</v>
      </c>
      <c r="AG1106" t="s">
        <v>6</v>
      </c>
      <c r="AH1106" t="s">
        <v>4968</v>
      </c>
      <c r="AI1106" t="s">
        <v>4</v>
      </c>
      <c r="AJ1106" t="s">
        <v>3</v>
      </c>
      <c r="AK1106" t="s">
        <v>4967</v>
      </c>
      <c r="AL1106" t="s">
        <v>4966</v>
      </c>
    </row>
    <row r="1107" spans="5:38" x14ac:dyDescent="0.25">
      <c r="I1107" t="str">
        <f t="shared" si="92"/>
        <v>aodk</v>
      </c>
      <c r="J1107" t="str">
        <f t="shared" si="93"/>
        <v/>
      </c>
      <c r="L1107" t="str">
        <f t="shared" si="91"/>
        <v>NGM-074 / ADM-008 (MVS) ~ NGH-074 / ADH-008 (AES)</v>
      </c>
      <c r="M1107" t="str">
        <f t="shared" si="91"/>
        <v>19940726 (MVS), 19940826 (AES)</v>
      </c>
      <c r="N1107" t="str">
        <f t="shared" si="91"/>
        <v>痛快 ガンガン 行進曲</v>
      </c>
      <c r="O1107" t="str">
        <f t="shared" si="91"/>
        <v/>
      </c>
      <c r="P1107" t="str">
        <f t="shared" si="91"/>
        <v/>
      </c>
      <c r="T1107" t="str">
        <f t="shared" si="94"/>
        <v/>
      </c>
      <c r="V1107" t="str">
        <f t="shared" si="90"/>
        <v>MVS,AES</v>
      </c>
      <c r="W1107" t="str">
        <f t="shared" si="90"/>
        <v>MVS,AES</v>
      </c>
      <c r="AG1107" t="s">
        <v>6</v>
      </c>
      <c r="AH1107" t="s">
        <v>4965</v>
      </c>
      <c r="AI1107" t="s">
        <v>11</v>
      </c>
      <c r="AJ1107" t="s">
        <v>3</v>
      </c>
      <c r="AK1107" t="s">
        <v>4964</v>
      </c>
      <c r="AL1107" t="s">
        <v>4963</v>
      </c>
    </row>
    <row r="1108" spans="5:38" x14ac:dyDescent="0.25">
      <c r="I1108" t="str">
        <f t="shared" si="92"/>
        <v>aodk</v>
      </c>
      <c r="J1108" t="str">
        <f t="shared" si="93"/>
        <v/>
      </c>
      <c r="L1108" t="str">
        <f t="shared" si="91"/>
        <v>NGM-074 / ADM-008 (MVS) ~ NGH-074 / ADH-008 (AES)</v>
      </c>
      <c r="M1108" t="str">
        <f t="shared" si="91"/>
        <v>19940726 (MVS), 19940826 (AES)</v>
      </c>
      <c r="N1108" t="str">
        <f t="shared" si="91"/>
        <v>痛快 ガンガン 行進曲</v>
      </c>
      <c r="O1108" t="str">
        <f t="shared" si="91"/>
        <v/>
      </c>
      <c r="P1108" t="str">
        <f t="shared" si="91"/>
        <v/>
      </c>
      <c r="T1108" t="str">
        <f t="shared" si="94"/>
        <v/>
      </c>
      <c r="V1108" t="str">
        <f t="shared" si="90"/>
        <v>MVS,AES</v>
      </c>
      <c r="W1108" t="str">
        <f t="shared" si="90"/>
        <v>MVS,AES</v>
      </c>
      <c r="AG1108" t="s">
        <v>6</v>
      </c>
      <c r="AH1108" t="s">
        <v>4962</v>
      </c>
      <c r="AI1108" t="s">
        <v>932</v>
      </c>
      <c r="AJ1108" t="s">
        <v>3</v>
      </c>
      <c r="AK1108" t="s">
        <v>4961</v>
      </c>
      <c r="AL1108" t="s">
        <v>4960</v>
      </c>
    </row>
    <row r="1109" spans="5:38" x14ac:dyDescent="0.25">
      <c r="I1109" t="str">
        <f t="shared" si="92"/>
        <v>aodk</v>
      </c>
      <c r="J1109" t="str">
        <f t="shared" si="93"/>
        <v/>
      </c>
      <c r="L1109" t="str">
        <f t="shared" si="91"/>
        <v>NGM-074 / ADM-008 (MVS) ~ NGH-074 / ADH-008 (AES)</v>
      </c>
      <c r="M1109" t="str">
        <f t="shared" si="91"/>
        <v>19940726 (MVS), 19940826 (AES)</v>
      </c>
      <c r="N1109" t="str">
        <f t="shared" si="91"/>
        <v>痛快 ガンガン 行進曲</v>
      </c>
      <c r="O1109" t="str">
        <f t="shared" si="91"/>
        <v/>
      </c>
      <c r="P1109" t="str">
        <f t="shared" si="91"/>
        <v/>
      </c>
      <c r="T1109" t="str">
        <f t="shared" si="94"/>
        <v/>
      </c>
      <c r="V1109" t="str">
        <f t="shared" si="90"/>
        <v>MVS,AES</v>
      </c>
      <c r="W1109" t="str">
        <f t="shared" si="90"/>
        <v>MVS,AES</v>
      </c>
      <c r="AG1109" t="s">
        <v>6</v>
      </c>
      <c r="AH1109" t="s">
        <v>4959</v>
      </c>
      <c r="AI1109" t="s">
        <v>57</v>
      </c>
      <c r="AJ1109" t="s">
        <v>3</v>
      </c>
      <c r="AK1109" t="s">
        <v>4958</v>
      </c>
      <c r="AL1109" t="s">
        <v>4957</v>
      </c>
    </row>
    <row r="1110" spans="5:38" x14ac:dyDescent="0.25">
      <c r="I1110" t="str">
        <f t="shared" si="92"/>
        <v>aodk</v>
      </c>
      <c r="J1110" t="str">
        <f t="shared" si="93"/>
        <v/>
      </c>
      <c r="L1110" t="str">
        <f t="shared" si="91"/>
        <v>NGM-074 / ADM-008 (MVS) ~ NGH-074 / ADH-008 (AES)</v>
      </c>
      <c r="M1110" t="str">
        <f t="shared" si="91"/>
        <v>19940726 (MVS), 19940826 (AES)</v>
      </c>
      <c r="N1110" t="str">
        <f t="shared" si="91"/>
        <v>痛快 ガンガン 行進曲</v>
      </c>
      <c r="O1110" t="str">
        <f t="shared" si="91"/>
        <v/>
      </c>
      <c r="P1110" t="str">
        <f t="shared" si="91"/>
        <v/>
      </c>
      <c r="T1110" t="str">
        <f t="shared" si="94"/>
        <v/>
      </c>
      <c r="V1110" t="str">
        <f t="shared" si="90"/>
        <v>MVS,AES</v>
      </c>
      <c r="W1110" t="str">
        <f t="shared" si="90"/>
        <v>MVS,AES</v>
      </c>
      <c r="AG1110" t="s">
        <v>6</v>
      </c>
      <c r="AH1110" t="s">
        <v>4956</v>
      </c>
      <c r="AI1110" t="s">
        <v>53</v>
      </c>
      <c r="AJ1110" t="s">
        <v>3</v>
      </c>
      <c r="AK1110" t="s">
        <v>4955</v>
      </c>
      <c r="AL1110" t="s">
        <v>4954</v>
      </c>
    </row>
    <row r="1111" spans="5:38" x14ac:dyDescent="0.25">
      <c r="I1111" t="str">
        <f t="shared" si="92"/>
        <v>aodk</v>
      </c>
      <c r="J1111" t="str">
        <f t="shared" si="93"/>
        <v/>
      </c>
      <c r="L1111" t="str">
        <f t="shared" si="91"/>
        <v>NGM-074 / ADM-008 (MVS) ~ NGH-074 / ADH-008 (AES)</v>
      </c>
      <c r="M1111" t="str">
        <f t="shared" si="91"/>
        <v>19940726 (MVS), 19940826 (AES)</v>
      </c>
      <c r="N1111" t="str">
        <f t="shared" si="91"/>
        <v>痛快 ガンガン 行進曲</v>
      </c>
      <c r="O1111" t="str">
        <f t="shared" si="91"/>
        <v/>
      </c>
      <c r="P1111" t="str">
        <f t="shared" si="91"/>
        <v/>
      </c>
      <c r="T1111" t="str">
        <f t="shared" si="94"/>
        <v/>
      </c>
      <c r="V1111" t="str">
        <f t="shared" ref="V1111:W1174" si="95">IFERROR(VLOOKUP($I1111&amp;V$1,$T:$AA,2,0),"")</f>
        <v>MVS,AES</v>
      </c>
      <c r="W1111" t="str">
        <f t="shared" si="95"/>
        <v>MVS,AES</v>
      </c>
      <c r="AG1111" t="s">
        <v>6</v>
      </c>
      <c r="AH1111" t="s">
        <v>4953</v>
      </c>
      <c r="AI1111" t="s">
        <v>250</v>
      </c>
      <c r="AJ1111" t="s">
        <v>3</v>
      </c>
      <c r="AK1111" t="s">
        <v>4952</v>
      </c>
      <c r="AL1111" t="s">
        <v>4951</v>
      </c>
    </row>
    <row r="1112" spans="5:38" x14ac:dyDescent="0.25">
      <c r="I1112" t="str">
        <f t="shared" si="92"/>
        <v>aodk</v>
      </c>
      <c r="J1112" t="str">
        <f t="shared" si="93"/>
        <v/>
      </c>
      <c r="L1112" t="str">
        <f t="shared" si="91"/>
        <v>NGM-074 / ADM-008 (MVS) ~ NGH-074 / ADH-008 (AES)</v>
      </c>
      <c r="M1112" t="str">
        <f t="shared" si="91"/>
        <v>19940726 (MVS), 19940826 (AES)</v>
      </c>
      <c r="N1112" t="str">
        <f t="shared" si="91"/>
        <v>痛快 ガンガン 行進曲</v>
      </c>
      <c r="O1112" t="str">
        <f t="shared" si="91"/>
        <v/>
      </c>
      <c r="P1112" t="str">
        <f t="shared" si="91"/>
        <v/>
      </c>
      <c r="T1112" t="str">
        <f t="shared" si="94"/>
        <v/>
      </c>
      <c r="V1112" t="str">
        <f t="shared" si="95"/>
        <v>MVS,AES</v>
      </c>
      <c r="W1112" t="str">
        <f t="shared" si="95"/>
        <v>MVS,AES</v>
      </c>
      <c r="AG1112" t="s">
        <v>6</v>
      </c>
      <c r="AH1112" t="s">
        <v>4950</v>
      </c>
      <c r="AI1112" t="s">
        <v>4138</v>
      </c>
      <c r="AJ1112" t="s">
        <v>3</v>
      </c>
      <c r="AK1112" t="s">
        <v>4949</v>
      </c>
      <c r="AL1112" t="s">
        <v>4948</v>
      </c>
    </row>
    <row r="1113" spans="5:38" x14ac:dyDescent="0.25">
      <c r="E1113" t="s">
        <v>4947</v>
      </c>
      <c r="F1113" t="s">
        <v>4946</v>
      </c>
      <c r="G1113" t="s">
        <v>393</v>
      </c>
      <c r="H1113" t="s">
        <v>2929</v>
      </c>
      <c r="I1113" t="str">
        <f t="shared" si="92"/>
        <v>sonicwi2</v>
      </c>
      <c r="J1113" t="str">
        <f t="shared" si="93"/>
        <v>sonicwi2serial</v>
      </c>
      <c r="K1113" t="s">
        <v>1373</v>
      </c>
      <c r="L1113" t="str">
        <f t="shared" si="91"/>
        <v>NGM-075 (MVS), NGH-075 (AES)</v>
      </c>
      <c r="M1113" t="str">
        <f t="shared" si="91"/>
        <v>19940718 (MVS), 19940826 (AES)</v>
      </c>
      <c r="N1113" t="str">
        <f t="shared" si="91"/>
        <v>ソニックウイングス2</v>
      </c>
      <c r="O1113" t="str">
        <f t="shared" si="91"/>
        <v/>
      </c>
      <c r="P1113" t="str">
        <f t="shared" si="91"/>
        <v/>
      </c>
      <c r="Q1113" t="s">
        <v>4945</v>
      </c>
      <c r="S1113" t="s">
        <v>46</v>
      </c>
      <c r="T1113" t="str">
        <f t="shared" si="94"/>
        <v>sonicwi2release</v>
      </c>
      <c r="U1113" t="s">
        <v>218</v>
      </c>
      <c r="V1113" t="str">
        <f t="shared" si="95"/>
        <v>MVS,AES</v>
      </c>
      <c r="W1113" t="str">
        <f t="shared" si="95"/>
        <v>MVS,AES</v>
      </c>
      <c r="Y1113" t="s">
        <v>45</v>
      </c>
      <c r="Z1113" t="s">
        <v>44</v>
      </c>
      <c r="AB1113" t="s">
        <v>43</v>
      </c>
      <c r="AC1113" t="s">
        <v>42</v>
      </c>
      <c r="AD1113" t="s">
        <v>41</v>
      </c>
      <c r="AE1113" t="s">
        <v>3</v>
      </c>
      <c r="AG1113" t="s">
        <v>40</v>
      </c>
      <c r="AH1113" t="s">
        <v>4944</v>
      </c>
      <c r="AI1113" t="s">
        <v>15</v>
      </c>
      <c r="AJ1113" t="s">
        <v>15</v>
      </c>
      <c r="AK1113" t="s">
        <v>4943</v>
      </c>
      <c r="AL1113" t="s">
        <v>4942</v>
      </c>
    </row>
    <row r="1114" spans="5:38" x14ac:dyDescent="0.25">
      <c r="I1114" t="str">
        <f t="shared" si="92"/>
        <v>sonicwi2</v>
      </c>
      <c r="J1114" t="str">
        <f t="shared" si="93"/>
        <v>sonicwi2release</v>
      </c>
      <c r="K1114" t="s">
        <v>46</v>
      </c>
      <c r="L1114" t="str">
        <f t="shared" si="91"/>
        <v>NGM-075 (MVS), NGH-075 (AES)</v>
      </c>
      <c r="M1114" t="str">
        <f t="shared" si="91"/>
        <v>19940718 (MVS), 19940826 (AES)</v>
      </c>
      <c r="N1114" t="str">
        <f t="shared" si="91"/>
        <v>ソニックウイングス2</v>
      </c>
      <c r="O1114" t="str">
        <f t="shared" si="91"/>
        <v/>
      </c>
      <c r="P1114" t="str">
        <f t="shared" si="91"/>
        <v/>
      </c>
      <c r="Q1114" t="s">
        <v>4941</v>
      </c>
      <c r="T1114" t="str">
        <f t="shared" si="94"/>
        <v/>
      </c>
      <c r="V1114" t="str">
        <f t="shared" si="95"/>
        <v>MVS,AES</v>
      </c>
      <c r="W1114" t="str">
        <f t="shared" si="95"/>
        <v>MVS,AES</v>
      </c>
      <c r="AG1114" t="s">
        <v>224</v>
      </c>
      <c r="AI1114" t="s">
        <v>9</v>
      </c>
      <c r="AJ1114" t="s">
        <v>15</v>
      </c>
    </row>
    <row r="1115" spans="5:38" x14ac:dyDescent="0.25">
      <c r="I1115" t="str">
        <f t="shared" si="92"/>
        <v>sonicwi2</v>
      </c>
      <c r="J1115" t="str">
        <f t="shared" si="93"/>
        <v>sonicwi2alt_title</v>
      </c>
      <c r="K1115" t="s">
        <v>1218</v>
      </c>
      <c r="L1115" t="str">
        <f t="shared" si="91"/>
        <v>NGM-075 (MVS), NGH-075 (AES)</v>
      </c>
      <c r="M1115" t="str">
        <f t="shared" si="91"/>
        <v>19940718 (MVS), 19940826 (AES)</v>
      </c>
      <c r="N1115" t="str">
        <f t="shared" si="91"/>
        <v>ソニックウイングス2</v>
      </c>
      <c r="O1115" t="str">
        <f t="shared" si="91"/>
        <v/>
      </c>
      <c r="P1115" t="str">
        <f t="shared" si="91"/>
        <v/>
      </c>
      <c r="Q1115" t="s">
        <v>4940</v>
      </c>
      <c r="T1115" t="str">
        <f t="shared" si="94"/>
        <v/>
      </c>
      <c r="V1115" t="str">
        <f t="shared" si="95"/>
        <v>MVS,AES</v>
      </c>
      <c r="W1115" t="str">
        <f t="shared" si="95"/>
        <v>MVS,AES</v>
      </c>
      <c r="AB1115" t="s">
        <v>34</v>
      </c>
      <c r="AE1115" t="s">
        <v>33</v>
      </c>
      <c r="AH1115" t="s">
        <v>4939</v>
      </c>
      <c r="AI1115" t="s">
        <v>9</v>
      </c>
      <c r="AJ1115" t="s">
        <v>27</v>
      </c>
      <c r="AK1115" t="s">
        <v>4938</v>
      </c>
      <c r="AL1115" t="s">
        <v>4937</v>
      </c>
    </row>
    <row r="1116" spans="5:38" x14ac:dyDescent="0.25">
      <c r="I1116" t="str">
        <f t="shared" si="92"/>
        <v>sonicwi2</v>
      </c>
      <c r="J1116" t="str">
        <f t="shared" si="93"/>
        <v/>
      </c>
      <c r="L1116" t="str">
        <f t="shared" si="91"/>
        <v>NGM-075 (MVS), NGH-075 (AES)</v>
      </c>
      <c r="M1116" t="str">
        <f t="shared" si="91"/>
        <v>19940718 (MVS), 19940826 (AES)</v>
      </c>
      <c r="N1116" t="str">
        <f t="shared" si="91"/>
        <v>ソニックウイングス2</v>
      </c>
      <c r="O1116" t="str">
        <f t="shared" si="91"/>
        <v/>
      </c>
      <c r="P1116" t="str">
        <f t="shared" si="91"/>
        <v/>
      </c>
      <c r="S1116" t="s">
        <v>36</v>
      </c>
      <c r="T1116" t="str">
        <f t="shared" si="94"/>
        <v>sonicwi2compatibility</v>
      </c>
      <c r="U1116" t="s">
        <v>218</v>
      </c>
      <c r="V1116" t="str">
        <f t="shared" si="95"/>
        <v>MVS,AES</v>
      </c>
      <c r="W1116" t="str">
        <f t="shared" si="95"/>
        <v>MVS,AES</v>
      </c>
      <c r="AB1116" t="s">
        <v>29</v>
      </c>
      <c r="AE1116" t="s">
        <v>27</v>
      </c>
      <c r="AH1116" t="s">
        <v>4936</v>
      </c>
      <c r="AI1116" t="s">
        <v>9</v>
      </c>
      <c r="AJ1116" t="s">
        <v>27</v>
      </c>
      <c r="AK1116" t="s">
        <v>4935</v>
      </c>
      <c r="AL1116" t="s">
        <v>4934</v>
      </c>
    </row>
    <row r="1117" spans="5:38" x14ac:dyDescent="0.25">
      <c r="I1117" t="str">
        <f t="shared" si="92"/>
        <v>sonicwi2</v>
      </c>
      <c r="J1117" t="str">
        <f t="shared" si="93"/>
        <v/>
      </c>
      <c r="L1117" t="str">
        <f t="shared" si="91"/>
        <v>NGM-075 (MVS), NGH-075 (AES)</v>
      </c>
      <c r="M1117" t="str">
        <f t="shared" si="91"/>
        <v>19940718 (MVS), 19940826 (AES)</v>
      </c>
      <c r="N1117" t="str">
        <f t="shared" si="91"/>
        <v>ソニックウイングス2</v>
      </c>
      <c r="O1117" t="str">
        <f t="shared" si="91"/>
        <v/>
      </c>
      <c r="P1117" t="str">
        <f t="shared" si="91"/>
        <v/>
      </c>
      <c r="T1117" t="str">
        <f t="shared" si="94"/>
        <v/>
      </c>
      <c r="V1117" t="str">
        <f t="shared" si="95"/>
        <v>MVS,AES</v>
      </c>
      <c r="W1117" t="str">
        <f t="shared" si="95"/>
        <v>MVS,AES</v>
      </c>
      <c r="AB1117" t="s">
        <v>24</v>
      </c>
      <c r="AE1117" t="s">
        <v>377</v>
      </c>
      <c r="AH1117" t="s">
        <v>4933</v>
      </c>
      <c r="AI1117" t="s">
        <v>9</v>
      </c>
      <c r="AJ1117" t="s">
        <v>3</v>
      </c>
      <c r="AK1117" t="s">
        <v>4932</v>
      </c>
      <c r="AL1117" t="s">
        <v>4931</v>
      </c>
    </row>
    <row r="1118" spans="5:38" x14ac:dyDescent="0.25">
      <c r="I1118" t="str">
        <f t="shared" si="92"/>
        <v>sonicwi2</v>
      </c>
      <c r="J1118" t="str">
        <f t="shared" si="93"/>
        <v/>
      </c>
      <c r="L1118" t="str">
        <f t="shared" si="91"/>
        <v>NGM-075 (MVS), NGH-075 (AES)</v>
      </c>
      <c r="M1118" t="str">
        <f t="shared" si="91"/>
        <v>19940718 (MVS), 19940826 (AES)</v>
      </c>
      <c r="N1118" t="str">
        <f t="shared" si="91"/>
        <v>ソニックウイングス2</v>
      </c>
      <c r="O1118" t="str">
        <f t="shared" si="91"/>
        <v/>
      </c>
      <c r="P1118" t="str">
        <f t="shared" si="91"/>
        <v/>
      </c>
      <c r="T1118" t="str">
        <f t="shared" si="94"/>
        <v/>
      </c>
      <c r="V1118" t="str">
        <f t="shared" si="95"/>
        <v>MVS,AES</v>
      </c>
      <c r="W1118" t="str">
        <f t="shared" si="95"/>
        <v>MVS,AES</v>
      </c>
      <c r="AH1118" t="s">
        <v>4930</v>
      </c>
      <c r="AI1118" t="s">
        <v>3</v>
      </c>
      <c r="AJ1118" t="s">
        <v>15</v>
      </c>
      <c r="AK1118" t="s">
        <v>4929</v>
      </c>
      <c r="AL1118" t="s">
        <v>4928</v>
      </c>
    </row>
    <row r="1119" spans="5:38" x14ac:dyDescent="0.25">
      <c r="I1119" t="str">
        <f t="shared" si="92"/>
        <v>sonicwi2</v>
      </c>
      <c r="J1119" t="str">
        <f t="shared" si="93"/>
        <v/>
      </c>
      <c r="L1119" t="str">
        <f t="shared" si="91"/>
        <v>NGM-075 (MVS), NGH-075 (AES)</v>
      </c>
      <c r="M1119" t="str">
        <f t="shared" si="91"/>
        <v>19940718 (MVS), 19940826 (AES)</v>
      </c>
      <c r="N1119" t="str">
        <f t="shared" si="91"/>
        <v>ソニックウイングス2</v>
      </c>
      <c r="O1119" t="str">
        <f t="shared" si="91"/>
        <v/>
      </c>
      <c r="P1119" t="str">
        <f t="shared" si="91"/>
        <v/>
      </c>
      <c r="T1119" t="str">
        <f t="shared" si="94"/>
        <v/>
      </c>
      <c r="V1119" t="str">
        <f t="shared" si="95"/>
        <v>MVS,AES</v>
      </c>
      <c r="W1119" t="str">
        <f t="shared" si="95"/>
        <v>MVS,AES</v>
      </c>
      <c r="AB1119" t="s">
        <v>12</v>
      </c>
      <c r="AE1119" t="s">
        <v>57</v>
      </c>
      <c r="AG1119" t="s">
        <v>6</v>
      </c>
      <c r="AH1119" t="s">
        <v>4927</v>
      </c>
      <c r="AI1119" t="s">
        <v>9</v>
      </c>
      <c r="AJ1119" t="s">
        <v>3</v>
      </c>
      <c r="AK1119" t="s">
        <v>4926</v>
      </c>
      <c r="AL1119" t="s">
        <v>4925</v>
      </c>
    </row>
    <row r="1120" spans="5:38" x14ac:dyDescent="0.25">
      <c r="I1120" t="str">
        <f t="shared" si="92"/>
        <v>sonicwi2</v>
      </c>
      <c r="J1120" t="str">
        <f t="shared" si="93"/>
        <v/>
      </c>
      <c r="L1120" t="str">
        <f t="shared" si="91"/>
        <v>NGM-075 (MVS), NGH-075 (AES)</v>
      </c>
      <c r="M1120" t="str">
        <f t="shared" si="91"/>
        <v>19940718 (MVS), 19940826 (AES)</v>
      </c>
      <c r="N1120" t="str">
        <f t="shared" si="91"/>
        <v>ソニックウイングス2</v>
      </c>
      <c r="O1120" t="str">
        <f t="shared" si="91"/>
        <v/>
      </c>
      <c r="P1120" t="str">
        <f t="shared" si="91"/>
        <v/>
      </c>
      <c r="T1120" t="str">
        <f t="shared" si="94"/>
        <v/>
      </c>
      <c r="V1120" t="str">
        <f t="shared" si="95"/>
        <v>MVS,AES</v>
      </c>
      <c r="W1120" t="str">
        <f t="shared" si="95"/>
        <v>MVS,AES</v>
      </c>
      <c r="AG1120" t="s">
        <v>6</v>
      </c>
      <c r="AH1120" t="s">
        <v>4924</v>
      </c>
      <c r="AI1120" t="s">
        <v>4</v>
      </c>
      <c r="AJ1120" t="s">
        <v>3</v>
      </c>
      <c r="AK1120" t="s">
        <v>4923</v>
      </c>
      <c r="AL1120" t="s">
        <v>4922</v>
      </c>
    </row>
    <row r="1121" spans="5:38" x14ac:dyDescent="0.25">
      <c r="I1121" t="str">
        <f t="shared" si="92"/>
        <v>sonicwi2</v>
      </c>
      <c r="J1121" t="str">
        <f t="shared" si="93"/>
        <v/>
      </c>
      <c r="L1121" t="str">
        <f t="shared" si="91"/>
        <v>NGM-075 (MVS), NGH-075 (AES)</v>
      </c>
      <c r="M1121" t="str">
        <f t="shared" si="91"/>
        <v>19940718 (MVS), 19940826 (AES)</v>
      </c>
      <c r="N1121" t="str">
        <f t="shared" si="91"/>
        <v>ソニックウイングス2</v>
      </c>
      <c r="O1121" t="str">
        <f t="shared" si="91"/>
        <v/>
      </c>
      <c r="P1121" t="str">
        <f t="shared" si="91"/>
        <v/>
      </c>
      <c r="T1121" t="str">
        <f t="shared" si="94"/>
        <v/>
      </c>
      <c r="V1121" t="str">
        <f t="shared" si="95"/>
        <v>MVS,AES</v>
      </c>
      <c r="W1121" t="str">
        <f t="shared" si="95"/>
        <v>MVS,AES</v>
      </c>
      <c r="AG1121" t="s">
        <v>6</v>
      </c>
      <c r="AH1121" t="s">
        <v>4921</v>
      </c>
      <c r="AI1121" t="s">
        <v>11</v>
      </c>
      <c r="AJ1121" t="s">
        <v>3</v>
      </c>
      <c r="AK1121" t="s">
        <v>4920</v>
      </c>
      <c r="AL1121" t="s">
        <v>4919</v>
      </c>
    </row>
    <row r="1122" spans="5:38" x14ac:dyDescent="0.25">
      <c r="I1122" t="str">
        <f t="shared" si="92"/>
        <v>sonicwi2</v>
      </c>
      <c r="J1122" t="str">
        <f t="shared" si="93"/>
        <v/>
      </c>
      <c r="L1122" t="str">
        <f t="shared" si="91"/>
        <v>NGM-075 (MVS), NGH-075 (AES)</v>
      </c>
      <c r="M1122" t="str">
        <f t="shared" si="91"/>
        <v>19940718 (MVS), 19940826 (AES)</v>
      </c>
      <c r="N1122" t="str">
        <f t="shared" si="91"/>
        <v>ソニックウイングス2</v>
      </c>
      <c r="O1122" t="str">
        <f t="shared" si="91"/>
        <v/>
      </c>
      <c r="P1122" t="str">
        <f t="shared" si="91"/>
        <v/>
      </c>
      <c r="T1122" t="str">
        <f t="shared" si="94"/>
        <v/>
      </c>
      <c r="V1122" t="str">
        <f t="shared" si="95"/>
        <v>MVS,AES</v>
      </c>
      <c r="W1122" t="str">
        <f t="shared" si="95"/>
        <v>MVS,AES</v>
      </c>
      <c r="AG1122" t="s">
        <v>6</v>
      </c>
      <c r="AH1122" t="s">
        <v>4918</v>
      </c>
      <c r="AI1122" t="s">
        <v>932</v>
      </c>
      <c r="AJ1122" t="s">
        <v>3</v>
      </c>
      <c r="AK1122" t="s">
        <v>4917</v>
      </c>
      <c r="AL1122" t="s">
        <v>4916</v>
      </c>
    </row>
    <row r="1123" spans="5:38" x14ac:dyDescent="0.25">
      <c r="E1123" t="s">
        <v>4915</v>
      </c>
      <c r="F1123" t="s">
        <v>4914</v>
      </c>
      <c r="G1123" t="s">
        <v>393</v>
      </c>
      <c r="H1123" t="s">
        <v>4913</v>
      </c>
      <c r="I1123" t="str">
        <f t="shared" si="92"/>
        <v>zedblade</v>
      </c>
      <c r="J1123" t="str">
        <f t="shared" si="93"/>
        <v>zedbladeserial</v>
      </c>
      <c r="K1123" t="s">
        <v>1373</v>
      </c>
      <c r="L1123" t="str">
        <f t="shared" si="91"/>
        <v>NGM-076</v>
      </c>
      <c r="M1123" t="str">
        <f t="shared" si="91"/>
        <v>19940913</v>
      </c>
      <c r="N1123" t="str">
        <f t="shared" si="91"/>
        <v>作戦名ラグナロク</v>
      </c>
      <c r="O1123" t="str">
        <f t="shared" si="91"/>
        <v/>
      </c>
      <c r="P1123" t="str">
        <f t="shared" si="91"/>
        <v/>
      </c>
      <c r="Q1123" t="s">
        <v>4912</v>
      </c>
      <c r="S1123" t="s">
        <v>46</v>
      </c>
      <c r="T1123" t="str">
        <f t="shared" si="94"/>
        <v>zedbladerelease</v>
      </c>
      <c r="U1123" t="s">
        <v>106</v>
      </c>
      <c r="V1123" t="str">
        <f t="shared" si="95"/>
        <v>MVS</v>
      </c>
      <c r="W1123" t="str">
        <f t="shared" si="95"/>
        <v>MVS,AES</v>
      </c>
      <c r="Y1123" t="s">
        <v>45</v>
      </c>
      <c r="Z1123" t="s">
        <v>44</v>
      </c>
      <c r="AB1123" t="s">
        <v>43</v>
      </c>
      <c r="AC1123" t="s">
        <v>42</v>
      </c>
      <c r="AD1123" t="s">
        <v>41</v>
      </c>
      <c r="AE1123" t="s">
        <v>15</v>
      </c>
      <c r="AG1123" t="s">
        <v>40</v>
      </c>
      <c r="AH1123" t="s">
        <v>4911</v>
      </c>
      <c r="AI1123" t="s">
        <v>9</v>
      </c>
      <c r="AJ1123" t="s">
        <v>92</v>
      </c>
      <c r="AK1123" t="s">
        <v>4910</v>
      </c>
      <c r="AL1123" t="s">
        <v>4909</v>
      </c>
    </row>
    <row r="1124" spans="5:38" x14ac:dyDescent="0.25">
      <c r="I1124" t="str">
        <f t="shared" si="92"/>
        <v>zedblade</v>
      </c>
      <c r="J1124" t="str">
        <f t="shared" si="93"/>
        <v>zedbladerelease</v>
      </c>
      <c r="K1124" t="s">
        <v>46</v>
      </c>
      <c r="L1124" t="str">
        <f t="shared" si="91"/>
        <v>NGM-076</v>
      </c>
      <c r="M1124" t="str">
        <f t="shared" si="91"/>
        <v>19940913</v>
      </c>
      <c r="N1124" t="str">
        <f t="shared" si="91"/>
        <v>作戦名ラグナロク</v>
      </c>
      <c r="O1124" t="str">
        <f t="shared" si="91"/>
        <v/>
      </c>
      <c r="P1124" t="str">
        <f t="shared" si="91"/>
        <v/>
      </c>
      <c r="Q1124" t="s">
        <v>4908</v>
      </c>
      <c r="T1124" t="str">
        <f t="shared" si="94"/>
        <v/>
      </c>
      <c r="V1124" t="str">
        <f t="shared" si="95"/>
        <v>MVS</v>
      </c>
      <c r="W1124" t="str">
        <f t="shared" si="95"/>
        <v>MVS,AES</v>
      </c>
      <c r="AB1124" t="s">
        <v>34</v>
      </c>
      <c r="AE1124" t="s">
        <v>33</v>
      </c>
      <c r="AH1124" t="s">
        <v>4907</v>
      </c>
      <c r="AI1124" t="s">
        <v>9</v>
      </c>
      <c r="AJ1124" t="s">
        <v>27</v>
      </c>
      <c r="AK1124" t="s">
        <v>4906</v>
      </c>
      <c r="AL1124" t="s">
        <v>4905</v>
      </c>
    </row>
    <row r="1125" spans="5:38" x14ac:dyDescent="0.25">
      <c r="I1125" t="str">
        <f t="shared" si="92"/>
        <v>zedblade</v>
      </c>
      <c r="J1125" t="str">
        <f t="shared" si="93"/>
        <v>zedbladealt_title</v>
      </c>
      <c r="K1125" t="s">
        <v>1218</v>
      </c>
      <c r="L1125" t="str">
        <f t="shared" si="91"/>
        <v>NGM-076</v>
      </c>
      <c r="M1125" t="str">
        <f t="shared" si="91"/>
        <v>19940913</v>
      </c>
      <c r="N1125" t="str">
        <f t="shared" si="91"/>
        <v>作戦名ラグナロク</v>
      </c>
      <c r="O1125" t="str">
        <f t="shared" si="91"/>
        <v/>
      </c>
      <c r="P1125" t="str">
        <f t="shared" si="91"/>
        <v/>
      </c>
      <c r="Q1125" t="s">
        <v>4904</v>
      </c>
      <c r="T1125" t="str">
        <f t="shared" si="94"/>
        <v/>
      </c>
      <c r="V1125" t="str">
        <f t="shared" si="95"/>
        <v>MVS</v>
      </c>
      <c r="W1125" t="str">
        <f t="shared" si="95"/>
        <v>MVS,AES</v>
      </c>
      <c r="AB1125" t="s">
        <v>29</v>
      </c>
      <c r="AE1125" t="s">
        <v>27</v>
      </c>
      <c r="AH1125" t="s">
        <v>4903</v>
      </c>
      <c r="AI1125" t="s">
        <v>9</v>
      </c>
      <c r="AJ1125" t="s">
        <v>27</v>
      </c>
      <c r="AK1125" t="s">
        <v>4902</v>
      </c>
      <c r="AL1125" t="s">
        <v>4901</v>
      </c>
    </row>
    <row r="1126" spans="5:38" x14ac:dyDescent="0.25">
      <c r="I1126" t="str">
        <f t="shared" si="92"/>
        <v>zedblade</v>
      </c>
      <c r="J1126" t="str">
        <f t="shared" si="93"/>
        <v/>
      </c>
      <c r="L1126" t="str">
        <f t="shared" si="91"/>
        <v>NGM-076</v>
      </c>
      <c r="M1126" t="str">
        <f t="shared" si="91"/>
        <v>19940913</v>
      </c>
      <c r="N1126" t="str">
        <f t="shared" si="91"/>
        <v>作戦名ラグナロク</v>
      </c>
      <c r="O1126" t="str">
        <f t="shared" si="91"/>
        <v/>
      </c>
      <c r="P1126" t="str">
        <f t="shared" si="91"/>
        <v/>
      </c>
      <c r="S1126" t="s">
        <v>36</v>
      </c>
      <c r="T1126" t="str">
        <f t="shared" si="94"/>
        <v>zedbladecompatibility</v>
      </c>
      <c r="U1126" t="s">
        <v>218</v>
      </c>
      <c r="V1126" t="str">
        <f t="shared" si="95"/>
        <v>MVS</v>
      </c>
      <c r="W1126" t="str">
        <f t="shared" si="95"/>
        <v>MVS,AES</v>
      </c>
      <c r="AB1126" t="s">
        <v>24</v>
      </c>
      <c r="AE1126" t="s">
        <v>23</v>
      </c>
      <c r="AH1126" t="s">
        <v>4900</v>
      </c>
      <c r="AI1126" t="s">
        <v>9</v>
      </c>
      <c r="AJ1126" t="s">
        <v>3</v>
      </c>
      <c r="AK1126" t="s">
        <v>4899</v>
      </c>
      <c r="AL1126" t="s">
        <v>4898</v>
      </c>
    </row>
    <row r="1127" spans="5:38" x14ac:dyDescent="0.25">
      <c r="I1127" t="str">
        <f t="shared" si="92"/>
        <v>zedblade</v>
      </c>
      <c r="J1127" t="str">
        <f t="shared" si="93"/>
        <v/>
      </c>
      <c r="L1127" t="str">
        <f t="shared" si="91"/>
        <v>NGM-076</v>
      </c>
      <c r="M1127" t="str">
        <f t="shared" si="91"/>
        <v>19940913</v>
      </c>
      <c r="N1127" t="str">
        <f t="shared" si="91"/>
        <v>作戦名ラグナロク</v>
      </c>
      <c r="O1127" t="str">
        <f t="shared" si="91"/>
        <v/>
      </c>
      <c r="P1127" t="str">
        <f t="shared" si="91"/>
        <v/>
      </c>
      <c r="T1127" t="str">
        <f t="shared" si="94"/>
        <v/>
      </c>
      <c r="V1127" t="str">
        <f t="shared" si="95"/>
        <v>MVS</v>
      </c>
      <c r="W1127" t="str">
        <f t="shared" si="95"/>
        <v>MVS,AES</v>
      </c>
      <c r="AH1127" t="s">
        <v>4897</v>
      </c>
      <c r="AI1127" t="s">
        <v>3</v>
      </c>
      <c r="AJ1127" t="s">
        <v>3</v>
      </c>
      <c r="AK1127" t="s">
        <v>4896</v>
      </c>
      <c r="AL1127" t="s">
        <v>4895</v>
      </c>
    </row>
    <row r="1128" spans="5:38" x14ac:dyDescent="0.25">
      <c r="I1128" t="str">
        <f t="shared" si="92"/>
        <v>zedblade</v>
      </c>
      <c r="J1128" t="str">
        <f t="shared" si="93"/>
        <v/>
      </c>
      <c r="L1128" t="str">
        <f t="shared" si="91"/>
        <v>NGM-076</v>
      </c>
      <c r="M1128" t="str">
        <f t="shared" si="91"/>
        <v>19940913</v>
      </c>
      <c r="N1128" t="str">
        <f t="shared" si="91"/>
        <v>作戦名ラグナロク</v>
      </c>
      <c r="O1128" t="str">
        <f t="shared" si="91"/>
        <v/>
      </c>
      <c r="P1128" t="str">
        <f t="shared" si="91"/>
        <v/>
      </c>
      <c r="T1128" t="str">
        <f t="shared" si="94"/>
        <v/>
      </c>
      <c r="V1128" t="str">
        <f t="shared" si="95"/>
        <v>MVS</v>
      </c>
      <c r="W1128" t="str">
        <f t="shared" si="95"/>
        <v>MVS,AES</v>
      </c>
      <c r="AH1128" t="s">
        <v>4894</v>
      </c>
      <c r="AI1128" t="s">
        <v>11</v>
      </c>
      <c r="AJ1128" t="s">
        <v>15</v>
      </c>
      <c r="AK1128" t="s">
        <v>4893</v>
      </c>
      <c r="AL1128" t="s">
        <v>4892</v>
      </c>
    </row>
    <row r="1129" spans="5:38" x14ac:dyDescent="0.25">
      <c r="I1129" t="str">
        <f t="shared" si="92"/>
        <v>zedblade</v>
      </c>
      <c r="J1129" t="str">
        <f t="shared" si="93"/>
        <v/>
      </c>
      <c r="L1129" t="str">
        <f t="shared" si="91"/>
        <v>NGM-076</v>
      </c>
      <c r="M1129" t="str">
        <f t="shared" si="91"/>
        <v>19940913</v>
      </c>
      <c r="N1129" t="str">
        <f t="shared" si="91"/>
        <v>作戦名ラグナロク</v>
      </c>
      <c r="O1129" t="str">
        <f t="shared" si="91"/>
        <v/>
      </c>
      <c r="P1129" t="str">
        <f t="shared" si="91"/>
        <v/>
      </c>
      <c r="T1129" t="str">
        <f t="shared" si="94"/>
        <v/>
      </c>
      <c r="V1129" t="str">
        <f t="shared" si="95"/>
        <v>MVS</v>
      </c>
      <c r="W1129" t="str">
        <f t="shared" si="95"/>
        <v>MVS,AES</v>
      </c>
      <c r="AB1129" t="s">
        <v>12</v>
      </c>
      <c r="AE1129" t="s">
        <v>57</v>
      </c>
      <c r="AG1129" t="s">
        <v>6</v>
      </c>
      <c r="AH1129" t="s">
        <v>4891</v>
      </c>
      <c r="AI1129" t="s">
        <v>9</v>
      </c>
      <c r="AJ1129" t="s">
        <v>3</v>
      </c>
      <c r="AK1129" t="s">
        <v>4890</v>
      </c>
      <c r="AL1129" t="s">
        <v>4889</v>
      </c>
    </row>
    <row r="1130" spans="5:38" x14ac:dyDescent="0.25">
      <c r="I1130" t="str">
        <f t="shared" si="92"/>
        <v>zedblade</v>
      </c>
      <c r="J1130" t="str">
        <f t="shared" si="93"/>
        <v/>
      </c>
      <c r="L1130" t="str">
        <f t="shared" si="91"/>
        <v>NGM-076</v>
      </c>
      <c r="M1130" t="str">
        <f t="shared" si="91"/>
        <v>19940913</v>
      </c>
      <c r="N1130" t="str">
        <f t="shared" si="91"/>
        <v>作戦名ラグナロク</v>
      </c>
      <c r="O1130" t="str">
        <f t="shared" si="91"/>
        <v/>
      </c>
      <c r="P1130" t="str">
        <f t="shared" si="91"/>
        <v/>
      </c>
      <c r="T1130" t="str">
        <f t="shared" si="94"/>
        <v/>
      </c>
      <c r="V1130" t="str">
        <f t="shared" si="95"/>
        <v>MVS</v>
      </c>
      <c r="W1130" t="str">
        <f t="shared" si="95"/>
        <v>MVS,AES</v>
      </c>
      <c r="AG1130" t="s">
        <v>6</v>
      </c>
      <c r="AH1130" t="s">
        <v>4888</v>
      </c>
      <c r="AI1130" t="s">
        <v>4</v>
      </c>
      <c r="AJ1130" t="s">
        <v>3</v>
      </c>
      <c r="AK1130" t="s">
        <v>4887</v>
      </c>
      <c r="AL1130" t="s">
        <v>4886</v>
      </c>
    </row>
    <row r="1131" spans="5:38" x14ac:dyDescent="0.25">
      <c r="I1131" t="str">
        <f t="shared" si="92"/>
        <v>zedblade</v>
      </c>
      <c r="J1131" t="str">
        <f t="shared" si="93"/>
        <v/>
      </c>
      <c r="L1131" t="str">
        <f t="shared" si="91"/>
        <v>NGM-076</v>
      </c>
      <c r="M1131" t="str">
        <f t="shared" si="91"/>
        <v>19940913</v>
      </c>
      <c r="N1131" t="str">
        <f t="shared" si="91"/>
        <v>作戦名ラグナロク</v>
      </c>
      <c r="O1131" t="str">
        <f t="shared" si="91"/>
        <v/>
      </c>
      <c r="P1131" t="str">
        <f t="shared" si="91"/>
        <v/>
      </c>
      <c r="T1131" t="str">
        <f t="shared" si="94"/>
        <v/>
      </c>
      <c r="V1131" t="str">
        <f t="shared" si="95"/>
        <v>MVS</v>
      </c>
      <c r="W1131" t="str">
        <f t="shared" si="95"/>
        <v>MVS,AES</v>
      </c>
      <c r="AG1131" t="s">
        <v>6</v>
      </c>
      <c r="AH1131" t="s">
        <v>4885</v>
      </c>
      <c r="AI1131" t="s">
        <v>11</v>
      </c>
      <c r="AJ1131" t="s">
        <v>3</v>
      </c>
      <c r="AK1131" t="s">
        <v>4884</v>
      </c>
      <c r="AL1131" t="s">
        <v>4883</v>
      </c>
    </row>
    <row r="1132" spans="5:38" x14ac:dyDescent="0.25">
      <c r="I1132" t="str">
        <f t="shared" si="92"/>
        <v>zedblade</v>
      </c>
      <c r="J1132" t="str">
        <f t="shared" si="93"/>
        <v/>
      </c>
      <c r="L1132" t="str">
        <f t="shared" si="91"/>
        <v>NGM-076</v>
      </c>
      <c r="M1132" t="str">
        <f t="shared" si="91"/>
        <v>19940913</v>
      </c>
      <c r="N1132" t="str">
        <f t="shared" si="91"/>
        <v>作戦名ラグナロク</v>
      </c>
      <c r="O1132" t="str">
        <f t="shared" si="91"/>
        <v/>
      </c>
      <c r="P1132" t="str">
        <f t="shared" si="91"/>
        <v/>
      </c>
      <c r="T1132" t="str">
        <f t="shared" si="94"/>
        <v/>
      </c>
      <c r="V1132" t="str">
        <f t="shared" si="95"/>
        <v>MVS</v>
      </c>
      <c r="W1132" t="str">
        <f t="shared" si="95"/>
        <v>MVS,AES</v>
      </c>
      <c r="AG1132" t="s">
        <v>6</v>
      </c>
      <c r="AH1132" t="s">
        <v>4882</v>
      </c>
      <c r="AI1132" t="s">
        <v>932</v>
      </c>
      <c r="AJ1132" t="s">
        <v>3</v>
      </c>
      <c r="AK1132" t="s">
        <v>4881</v>
      </c>
      <c r="AL1132" t="s">
        <v>4880</v>
      </c>
    </row>
    <row r="1133" spans="5:38" x14ac:dyDescent="0.25">
      <c r="E1133" t="s">
        <v>4879</v>
      </c>
      <c r="F1133" t="s">
        <v>4878</v>
      </c>
      <c r="G1133" t="s">
        <v>1239</v>
      </c>
      <c r="H1133" t="s">
        <v>3242</v>
      </c>
      <c r="I1133" t="str">
        <f t="shared" si="92"/>
        <v>galaxyfg</v>
      </c>
      <c r="J1133" t="str">
        <f t="shared" si="93"/>
        <v>galaxyfgserial</v>
      </c>
      <c r="K1133" t="s">
        <v>1373</v>
      </c>
      <c r="L1133" t="str">
        <f t="shared" si="91"/>
        <v>NGM-078 (MVS), NGH-078 (AES)</v>
      </c>
      <c r="M1133" t="str">
        <f t="shared" si="91"/>
        <v>19950124 (MVS), 19950225 (AES)</v>
      </c>
      <c r="N1133" t="str">
        <f t="shared" si="91"/>
        <v>ギャラクシーファイト ユニバーサル ウォリアーズ</v>
      </c>
      <c r="O1133" t="str">
        <f t="shared" si="91"/>
        <v/>
      </c>
      <c r="P1133" t="str">
        <f t="shared" si="91"/>
        <v/>
      </c>
      <c r="Q1133" t="s">
        <v>4877</v>
      </c>
      <c r="S1133" t="s">
        <v>46</v>
      </c>
      <c r="T1133" t="str">
        <f t="shared" si="94"/>
        <v>galaxyfgrelease</v>
      </c>
      <c r="U1133" t="s">
        <v>218</v>
      </c>
      <c r="V1133" t="str">
        <f t="shared" si="95"/>
        <v>MVS,AES</v>
      </c>
      <c r="W1133" t="str">
        <f t="shared" si="95"/>
        <v>MVS,AES</v>
      </c>
      <c r="Y1133" t="s">
        <v>45</v>
      </c>
      <c r="Z1133" t="s">
        <v>44</v>
      </c>
      <c r="AB1133" t="s">
        <v>43</v>
      </c>
      <c r="AC1133" t="s">
        <v>42</v>
      </c>
      <c r="AD1133" t="s">
        <v>41</v>
      </c>
      <c r="AE1133" t="s">
        <v>3</v>
      </c>
      <c r="AG1133" t="s">
        <v>40</v>
      </c>
      <c r="AH1133" t="s">
        <v>4876</v>
      </c>
      <c r="AI1133" t="s">
        <v>15</v>
      </c>
      <c r="AJ1133" t="s">
        <v>15</v>
      </c>
      <c r="AK1133" t="s">
        <v>4875</v>
      </c>
      <c r="AL1133" t="s">
        <v>4874</v>
      </c>
    </row>
    <row r="1134" spans="5:38" x14ac:dyDescent="0.25">
      <c r="I1134" t="str">
        <f t="shared" si="92"/>
        <v>galaxyfg</v>
      </c>
      <c r="J1134" t="str">
        <f t="shared" si="93"/>
        <v>galaxyfgrelease</v>
      </c>
      <c r="K1134" t="s">
        <v>46</v>
      </c>
      <c r="L1134" t="str">
        <f t="shared" si="91"/>
        <v>NGM-078 (MVS), NGH-078 (AES)</v>
      </c>
      <c r="M1134" t="str">
        <f t="shared" si="91"/>
        <v>19950124 (MVS), 19950225 (AES)</v>
      </c>
      <c r="N1134" t="str">
        <f t="shared" si="91"/>
        <v>ギャラクシーファイト ユニバーサル ウォリアーズ</v>
      </c>
      <c r="O1134" t="str">
        <f t="shared" si="91"/>
        <v/>
      </c>
      <c r="P1134" t="str">
        <f t="shared" si="91"/>
        <v/>
      </c>
      <c r="Q1134" t="s">
        <v>4873</v>
      </c>
      <c r="T1134" t="str">
        <f t="shared" si="94"/>
        <v/>
      </c>
      <c r="V1134" t="str">
        <f t="shared" si="95"/>
        <v>MVS,AES</v>
      </c>
      <c r="W1134" t="str">
        <f t="shared" si="95"/>
        <v>MVS,AES</v>
      </c>
      <c r="AG1134" t="s">
        <v>224</v>
      </c>
      <c r="AI1134" t="s">
        <v>9</v>
      </c>
      <c r="AJ1134" t="s">
        <v>15</v>
      </c>
    </row>
    <row r="1135" spans="5:38" x14ac:dyDescent="0.25">
      <c r="I1135" t="str">
        <f t="shared" si="92"/>
        <v>galaxyfg</v>
      </c>
      <c r="J1135" t="str">
        <f t="shared" si="93"/>
        <v>galaxyfgalt_title</v>
      </c>
      <c r="K1135" t="s">
        <v>1218</v>
      </c>
      <c r="L1135" t="str">
        <f t="shared" si="91"/>
        <v>NGM-078 (MVS), NGH-078 (AES)</v>
      </c>
      <c r="M1135" t="str">
        <f t="shared" si="91"/>
        <v>19950124 (MVS), 19950225 (AES)</v>
      </c>
      <c r="N1135" t="str">
        <f t="shared" si="91"/>
        <v>ギャラクシーファイト ユニバーサル ウォリアーズ</v>
      </c>
      <c r="O1135" t="str">
        <f t="shared" si="91"/>
        <v/>
      </c>
      <c r="P1135" t="str">
        <f t="shared" si="91"/>
        <v/>
      </c>
      <c r="Q1135" t="s">
        <v>4872</v>
      </c>
      <c r="T1135" t="str">
        <f t="shared" si="94"/>
        <v/>
      </c>
      <c r="V1135" t="str">
        <f t="shared" si="95"/>
        <v>MVS,AES</v>
      </c>
      <c r="W1135" t="str">
        <f t="shared" si="95"/>
        <v>MVS,AES</v>
      </c>
      <c r="AB1135" t="s">
        <v>34</v>
      </c>
      <c r="AE1135" t="s">
        <v>33</v>
      </c>
      <c r="AH1135" t="s">
        <v>4871</v>
      </c>
      <c r="AI1135" t="s">
        <v>9</v>
      </c>
      <c r="AJ1135" t="s">
        <v>27</v>
      </c>
      <c r="AK1135" t="s">
        <v>4870</v>
      </c>
      <c r="AL1135" t="s">
        <v>4869</v>
      </c>
    </row>
    <row r="1136" spans="5:38" x14ac:dyDescent="0.25">
      <c r="I1136" t="str">
        <f t="shared" si="92"/>
        <v>galaxyfg</v>
      </c>
      <c r="J1136" t="str">
        <f t="shared" si="93"/>
        <v/>
      </c>
      <c r="L1136" t="str">
        <f t="shared" si="91"/>
        <v>NGM-078 (MVS), NGH-078 (AES)</v>
      </c>
      <c r="M1136" t="str">
        <f t="shared" si="91"/>
        <v>19950124 (MVS), 19950225 (AES)</v>
      </c>
      <c r="N1136" t="str">
        <f t="shared" si="91"/>
        <v>ギャラクシーファイト ユニバーサル ウォリアーズ</v>
      </c>
      <c r="O1136" t="str">
        <f t="shared" si="91"/>
        <v/>
      </c>
      <c r="P1136" t="str">
        <f t="shared" si="91"/>
        <v/>
      </c>
      <c r="S1136" t="s">
        <v>36</v>
      </c>
      <c r="T1136" t="str">
        <f t="shared" si="94"/>
        <v>galaxyfgcompatibility</v>
      </c>
      <c r="U1136" t="s">
        <v>218</v>
      </c>
      <c r="V1136" t="str">
        <f t="shared" si="95"/>
        <v>MVS,AES</v>
      </c>
      <c r="W1136" t="str">
        <f t="shared" si="95"/>
        <v>MVS,AES</v>
      </c>
      <c r="AB1136" t="s">
        <v>29</v>
      </c>
      <c r="AE1136" t="s">
        <v>27</v>
      </c>
      <c r="AH1136" t="s">
        <v>4868</v>
      </c>
      <c r="AI1136" t="s">
        <v>9</v>
      </c>
      <c r="AJ1136" t="s">
        <v>27</v>
      </c>
      <c r="AK1136" t="s">
        <v>4867</v>
      </c>
      <c r="AL1136" t="s">
        <v>4866</v>
      </c>
    </row>
    <row r="1137" spans="5:38" x14ac:dyDescent="0.25">
      <c r="I1137" t="str">
        <f t="shared" si="92"/>
        <v>galaxyfg</v>
      </c>
      <c r="J1137" t="str">
        <f t="shared" si="93"/>
        <v/>
      </c>
      <c r="L1137" t="str">
        <f t="shared" ref="L1137:P1187" si="96">IFERROR(VLOOKUP($I1137&amp;L$1,$J:$Q,8,0),"")</f>
        <v>NGM-078 (MVS), NGH-078 (AES)</v>
      </c>
      <c r="M1137" t="str">
        <f t="shared" si="96"/>
        <v>19950124 (MVS), 19950225 (AES)</v>
      </c>
      <c r="N1137" t="str">
        <f t="shared" si="96"/>
        <v>ギャラクシーファイト ユニバーサル ウォリアーズ</v>
      </c>
      <c r="O1137" t="str">
        <f t="shared" si="96"/>
        <v/>
      </c>
      <c r="P1137" t="str">
        <f t="shared" si="96"/>
        <v/>
      </c>
      <c r="T1137" t="str">
        <f t="shared" si="94"/>
        <v/>
      </c>
      <c r="V1137" t="str">
        <f t="shared" si="95"/>
        <v>MVS,AES</v>
      </c>
      <c r="W1137" t="str">
        <f t="shared" si="95"/>
        <v>MVS,AES</v>
      </c>
      <c r="AB1137" t="s">
        <v>24</v>
      </c>
      <c r="AE1137" t="s">
        <v>23</v>
      </c>
      <c r="AH1137" t="s">
        <v>4865</v>
      </c>
      <c r="AI1137" t="s">
        <v>9</v>
      </c>
      <c r="AJ1137" t="s">
        <v>3</v>
      </c>
      <c r="AK1137" t="s">
        <v>4864</v>
      </c>
      <c r="AL1137" t="s">
        <v>4863</v>
      </c>
    </row>
    <row r="1138" spans="5:38" x14ac:dyDescent="0.25">
      <c r="I1138" t="str">
        <f t="shared" si="92"/>
        <v>galaxyfg</v>
      </c>
      <c r="J1138" t="str">
        <f t="shared" si="93"/>
        <v/>
      </c>
      <c r="L1138" t="str">
        <f t="shared" si="96"/>
        <v>NGM-078 (MVS), NGH-078 (AES)</v>
      </c>
      <c r="M1138" t="str">
        <f t="shared" si="96"/>
        <v>19950124 (MVS), 19950225 (AES)</v>
      </c>
      <c r="N1138" t="str">
        <f t="shared" si="96"/>
        <v>ギャラクシーファイト ユニバーサル ウォリアーズ</v>
      </c>
      <c r="O1138" t="str">
        <f t="shared" si="96"/>
        <v/>
      </c>
      <c r="P1138" t="str">
        <f t="shared" si="96"/>
        <v/>
      </c>
      <c r="T1138" t="str">
        <f t="shared" si="94"/>
        <v/>
      </c>
      <c r="V1138" t="str">
        <f t="shared" si="95"/>
        <v>MVS,AES</v>
      </c>
      <c r="W1138" t="str">
        <f t="shared" si="95"/>
        <v>MVS,AES</v>
      </c>
      <c r="AH1138" t="s">
        <v>4862</v>
      </c>
      <c r="AI1138" t="s">
        <v>3</v>
      </c>
      <c r="AJ1138" t="s">
        <v>3</v>
      </c>
      <c r="AK1138" t="s">
        <v>4861</v>
      </c>
      <c r="AL1138" t="s">
        <v>4860</v>
      </c>
    </row>
    <row r="1139" spans="5:38" x14ac:dyDescent="0.25">
      <c r="I1139" t="str">
        <f t="shared" si="92"/>
        <v>galaxyfg</v>
      </c>
      <c r="J1139" t="str">
        <f t="shared" si="93"/>
        <v/>
      </c>
      <c r="L1139" t="str">
        <f t="shared" si="96"/>
        <v>NGM-078 (MVS), NGH-078 (AES)</v>
      </c>
      <c r="M1139" t="str">
        <f t="shared" si="96"/>
        <v>19950124 (MVS), 19950225 (AES)</v>
      </c>
      <c r="N1139" t="str">
        <f t="shared" si="96"/>
        <v>ギャラクシーファイト ユニバーサル ウォリアーズ</v>
      </c>
      <c r="O1139" t="str">
        <f t="shared" si="96"/>
        <v/>
      </c>
      <c r="P1139" t="str">
        <f t="shared" si="96"/>
        <v/>
      </c>
      <c r="T1139" t="str">
        <f t="shared" si="94"/>
        <v/>
      </c>
      <c r="V1139" t="str">
        <f t="shared" si="95"/>
        <v>MVS,AES</v>
      </c>
      <c r="W1139" t="str">
        <f t="shared" si="95"/>
        <v>MVS,AES</v>
      </c>
      <c r="AH1139" t="s">
        <v>4859</v>
      </c>
      <c r="AI1139" t="s">
        <v>11</v>
      </c>
      <c r="AJ1139" t="s">
        <v>15</v>
      </c>
      <c r="AK1139" t="s">
        <v>4858</v>
      </c>
      <c r="AL1139" t="s">
        <v>4857</v>
      </c>
    </row>
    <row r="1140" spans="5:38" x14ac:dyDescent="0.25">
      <c r="I1140" t="str">
        <f t="shared" si="92"/>
        <v>galaxyfg</v>
      </c>
      <c r="J1140" t="str">
        <f t="shared" si="93"/>
        <v/>
      </c>
      <c r="L1140" t="str">
        <f t="shared" si="96"/>
        <v>NGM-078 (MVS), NGH-078 (AES)</v>
      </c>
      <c r="M1140" t="str">
        <f t="shared" si="96"/>
        <v>19950124 (MVS), 19950225 (AES)</v>
      </c>
      <c r="N1140" t="str">
        <f t="shared" si="96"/>
        <v>ギャラクシーファイト ユニバーサル ウォリアーズ</v>
      </c>
      <c r="O1140" t="str">
        <f t="shared" si="96"/>
        <v/>
      </c>
      <c r="P1140" t="str">
        <f t="shared" si="96"/>
        <v/>
      </c>
      <c r="T1140" t="str">
        <f t="shared" si="94"/>
        <v/>
      </c>
      <c r="V1140" t="str">
        <f t="shared" si="95"/>
        <v>MVS,AES</v>
      </c>
      <c r="W1140" t="str">
        <f t="shared" si="95"/>
        <v>MVS,AES</v>
      </c>
      <c r="AB1140" t="s">
        <v>12</v>
      </c>
      <c r="AE1140" t="s">
        <v>4672</v>
      </c>
      <c r="AG1140" t="s">
        <v>6</v>
      </c>
      <c r="AH1140" t="s">
        <v>4856</v>
      </c>
      <c r="AI1140" t="s">
        <v>9</v>
      </c>
      <c r="AJ1140" t="s">
        <v>3</v>
      </c>
      <c r="AK1140" t="s">
        <v>4855</v>
      </c>
      <c r="AL1140" t="s">
        <v>4854</v>
      </c>
    </row>
    <row r="1141" spans="5:38" x14ac:dyDescent="0.25">
      <c r="I1141" t="str">
        <f t="shared" si="92"/>
        <v>galaxyfg</v>
      </c>
      <c r="J1141" t="str">
        <f t="shared" si="93"/>
        <v/>
      </c>
      <c r="L1141" t="str">
        <f t="shared" si="96"/>
        <v>NGM-078 (MVS), NGH-078 (AES)</v>
      </c>
      <c r="M1141" t="str">
        <f t="shared" si="96"/>
        <v>19950124 (MVS), 19950225 (AES)</v>
      </c>
      <c r="N1141" t="str">
        <f t="shared" si="96"/>
        <v>ギャラクシーファイト ユニバーサル ウォリアーズ</v>
      </c>
      <c r="O1141" t="str">
        <f t="shared" si="96"/>
        <v/>
      </c>
      <c r="P1141" t="str">
        <f t="shared" si="96"/>
        <v/>
      </c>
      <c r="T1141" t="str">
        <f t="shared" si="94"/>
        <v/>
      </c>
      <c r="V1141" t="str">
        <f t="shared" si="95"/>
        <v>MVS,AES</v>
      </c>
      <c r="W1141" t="str">
        <f t="shared" si="95"/>
        <v>MVS,AES</v>
      </c>
      <c r="AG1141" t="s">
        <v>6</v>
      </c>
      <c r="AH1141" t="s">
        <v>4853</v>
      </c>
      <c r="AI1141" t="s">
        <v>4</v>
      </c>
      <c r="AJ1141" t="s">
        <v>3</v>
      </c>
      <c r="AK1141" t="s">
        <v>4852</v>
      </c>
      <c r="AL1141" t="s">
        <v>4851</v>
      </c>
    </row>
    <row r="1142" spans="5:38" x14ac:dyDescent="0.25">
      <c r="I1142" t="str">
        <f t="shared" si="92"/>
        <v>galaxyfg</v>
      </c>
      <c r="J1142" t="str">
        <f t="shared" si="93"/>
        <v/>
      </c>
      <c r="L1142" t="str">
        <f t="shared" si="96"/>
        <v>NGM-078 (MVS), NGH-078 (AES)</v>
      </c>
      <c r="M1142" t="str">
        <f t="shared" si="96"/>
        <v>19950124 (MVS), 19950225 (AES)</v>
      </c>
      <c r="N1142" t="str">
        <f t="shared" si="96"/>
        <v>ギャラクシーファイト ユニバーサル ウォリアーズ</v>
      </c>
      <c r="O1142" t="str">
        <f t="shared" si="96"/>
        <v/>
      </c>
      <c r="P1142" t="str">
        <f t="shared" si="96"/>
        <v/>
      </c>
      <c r="T1142" t="str">
        <f t="shared" si="94"/>
        <v/>
      </c>
      <c r="V1142" t="str">
        <f t="shared" si="95"/>
        <v>MVS,AES</v>
      </c>
      <c r="W1142" t="str">
        <f t="shared" si="95"/>
        <v>MVS,AES</v>
      </c>
      <c r="AG1142" t="s">
        <v>6</v>
      </c>
      <c r="AH1142" t="s">
        <v>4850</v>
      </c>
      <c r="AI1142" t="s">
        <v>11</v>
      </c>
      <c r="AJ1142" t="s">
        <v>3</v>
      </c>
      <c r="AK1142" t="s">
        <v>4849</v>
      </c>
      <c r="AL1142" t="s">
        <v>4848</v>
      </c>
    </row>
    <row r="1143" spans="5:38" x14ac:dyDescent="0.25">
      <c r="I1143" t="str">
        <f t="shared" si="92"/>
        <v>galaxyfg</v>
      </c>
      <c r="J1143" t="str">
        <f t="shared" si="93"/>
        <v/>
      </c>
      <c r="L1143" t="str">
        <f t="shared" si="96"/>
        <v>NGM-078 (MVS), NGH-078 (AES)</v>
      </c>
      <c r="M1143" t="str">
        <f t="shared" si="96"/>
        <v>19950124 (MVS), 19950225 (AES)</v>
      </c>
      <c r="N1143" t="str">
        <f t="shared" si="96"/>
        <v>ギャラクシーファイト ユニバーサル ウォリアーズ</v>
      </c>
      <c r="O1143" t="str">
        <f t="shared" si="96"/>
        <v/>
      </c>
      <c r="P1143" t="str">
        <f t="shared" si="96"/>
        <v/>
      </c>
      <c r="T1143" t="str">
        <f t="shared" si="94"/>
        <v/>
      </c>
      <c r="V1143" t="str">
        <f t="shared" si="95"/>
        <v>MVS,AES</v>
      </c>
      <c r="W1143" t="str">
        <f t="shared" si="95"/>
        <v>MVS,AES</v>
      </c>
      <c r="AG1143" t="s">
        <v>6</v>
      </c>
      <c r="AH1143" t="s">
        <v>4847</v>
      </c>
      <c r="AI1143" t="s">
        <v>932</v>
      </c>
      <c r="AJ1143" t="s">
        <v>3</v>
      </c>
      <c r="AK1143" t="s">
        <v>4846</v>
      </c>
      <c r="AL1143" t="s">
        <v>4845</v>
      </c>
    </row>
    <row r="1144" spans="5:38" x14ac:dyDescent="0.25">
      <c r="I1144" t="str">
        <f t="shared" si="92"/>
        <v>galaxyfg</v>
      </c>
      <c r="J1144" t="str">
        <f t="shared" si="93"/>
        <v/>
      </c>
      <c r="L1144" t="str">
        <f t="shared" si="96"/>
        <v>NGM-078 (MVS), NGH-078 (AES)</v>
      </c>
      <c r="M1144" t="str">
        <f t="shared" si="96"/>
        <v>19950124 (MVS), 19950225 (AES)</v>
      </c>
      <c r="N1144" t="str">
        <f t="shared" si="96"/>
        <v>ギャラクシーファイト ユニバーサル ウォリアーズ</v>
      </c>
      <c r="O1144" t="str">
        <f t="shared" si="96"/>
        <v/>
      </c>
      <c r="P1144" t="str">
        <f t="shared" si="96"/>
        <v/>
      </c>
      <c r="T1144" t="str">
        <f t="shared" si="94"/>
        <v/>
      </c>
      <c r="V1144" t="str">
        <f t="shared" si="95"/>
        <v>MVS,AES</v>
      </c>
      <c r="W1144" t="str">
        <f t="shared" si="95"/>
        <v>MVS,AES</v>
      </c>
      <c r="AG1144" t="s">
        <v>6</v>
      </c>
      <c r="AH1144" t="s">
        <v>4844</v>
      </c>
      <c r="AI1144" t="s">
        <v>57</v>
      </c>
      <c r="AJ1144" t="s">
        <v>3</v>
      </c>
      <c r="AK1144" t="s">
        <v>4843</v>
      </c>
      <c r="AL1144" t="s">
        <v>4842</v>
      </c>
    </row>
    <row r="1145" spans="5:38" x14ac:dyDescent="0.25">
      <c r="I1145" t="str">
        <f t="shared" si="92"/>
        <v>galaxyfg</v>
      </c>
      <c r="J1145" t="str">
        <f t="shared" si="93"/>
        <v/>
      </c>
      <c r="L1145" t="str">
        <f t="shared" si="96"/>
        <v>NGM-078 (MVS), NGH-078 (AES)</v>
      </c>
      <c r="M1145" t="str">
        <f t="shared" si="96"/>
        <v>19950124 (MVS), 19950225 (AES)</v>
      </c>
      <c r="N1145" t="str">
        <f t="shared" si="96"/>
        <v>ギャラクシーファイト ユニバーサル ウォリアーズ</v>
      </c>
      <c r="O1145" t="str">
        <f t="shared" si="96"/>
        <v/>
      </c>
      <c r="P1145" t="str">
        <f t="shared" si="96"/>
        <v/>
      </c>
      <c r="T1145" t="str">
        <f t="shared" si="94"/>
        <v/>
      </c>
      <c r="V1145" t="str">
        <f t="shared" si="95"/>
        <v>MVS,AES</v>
      </c>
      <c r="W1145" t="str">
        <f t="shared" si="95"/>
        <v>MVS,AES</v>
      </c>
      <c r="AG1145" t="s">
        <v>6</v>
      </c>
      <c r="AH1145" t="s">
        <v>4841</v>
      </c>
      <c r="AI1145" t="s">
        <v>53</v>
      </c>
      <c r="AJ1145" t="s">
        <v>3</v>
      </c>
      <c r="AK1145" t="s">
        <v>4840</v>
      </c>
      <c r="AL1145" t="s">
        <v>4839</v>
      </c>
    </row>
    <row r="1146" spans="5:38" x14ac:dyDescent="0.25">
      <c r="I1146" t="str">
        <f t="shared" si="92"/>
        <v>galaxyfg</v>
      </c>
      <c r="J1146" t="str">
        <f t="shared" si="93"/>
        <v/>
      </c>
      <c r="L1146" t="str">
        <f t="shared" si="96"/>
        <v>NGM-078 (MVS), NGH-078 (AES)</v>
      </c>
      <c r="M1146" t="str">
        <f t="shared" si="96"/>
        <v>19950124 (MVS), 19950225 (AES)</v>
      </c>
      <c r="N1146" t="str">
        <f t="shared" si="96"/>
        <v>ギャラクシーファイト ユニバーサル ウォリアーズ</v>
      </c>
      <c r="O1146" t="str">
        <f t="shared" si="96"/>
        <v/>
      </c>
      <c r="P1146" t="str">
        <f t="shared" si="96"/>
        <v/>
      </c>
      <c r="T1146" t="str">
        <f t="shared" si="94"/>
        <v/>
      </c>
      <c r="V1146" t="str">
        <f t="shared" si="95"/>
        <v>MVS,AES</v>
      </c>
      <c r="W1146" t="str">
        <f t="shared" si="95"/>
        <v>MVS,AES</v>
      </c>
      <c r="AG1146" t="s">
        <v>6</v>
      </c>
      <c r="AH1146" t="s">
        <v>4838</v>
      </c>
      <c r="AI1146" t="s">
        <v>250</v>
      </c>
      <c r="AJ1146" t="s">
        <v>15</v>
      </c>
      <c r="AK1146" t="s">
        <v>4837</v>
      </c>
      <c r="AL1146" t="s">
        <v>4836</v>
      </c>
    </row>
    <row r="1147" spans="5:38" x14ac:dyDescent="0.25">
      <c r="I1147" t="str">
        <f t="shared" si="92"/>
        <v>galaxyfg</v>
      </c>
      <c r="J1147" t="str">
        <f t="shared" si="93"/>
        <v/>
      </c>
      <c r="L1147" t="str">
        <f t="shared" si="96"/>
        <v>NGM-078 (MVS), NGH-078 (AES)</v>
      </c>
      <c r="M1147" t="str">
        <f t="shared" si="96"/>
        <v>19950124 (MVS), 19950225 (AES)</v>
      </c>
      <c r="N1147" t="str">
        <f t="shared" si="96"/>
        <v>ギャラクシーファイト ユニバーサル ウォリアーズ</v>
      </c>
      <c r="O1147" t="str">
        <f t="shared" si="96"/>
        <v/>
      </c>
      <c r="P1147" t="str">
        <f t="shared" si="96"/>
        <v/>
      </c>
      <c r="T1147" t="str">
        <f t="shared" si="94"/>
        <v/>
      </c>
      <c r="V1147" t="str">
        <f t="shared" si="95"/>
        <v>MVS,AES</v>
      </c>
      <c r="W1147" t="str">
        <f t="shared" si="95"/>
        <v>MVS,AES</v>
      </c>
      <c r="AG1147" t="s">
        <v>6</v>
      </c>
      <c r="AH1147" t="s">
        <v>4835</v>
      </c>
      <c r="AI1147" t="s">
        <v>4138</v>
      </c>
      <c r="AJ1147" t="s">
        <v>15</v>
      </c>
      <c r="AK1147" t="s">
        <v>4834</v>
      </c>
      <c r="AL1147" t="s">
        <v>4833</v>
      </c>
    </row>
    <row r="1148" spans="5:38" x14ac:dyDescent="0.25">
      <c r="E1148" t="s">
        <v>4832</v>
      </c>
      <c r="F1148" t="s">
        <v>4831</v>
      </c>
      <c r="G1148" t="s">
        <v>393</v>
      </c>
      <c r="H1148" t="s">
        <v>3073</v>
      </c>
      <c r="I1148" t="str">
        <f t="shared" si="92"/>
        <v>strhoop</v>
      </c>
      <c r="J1148" t="str">
        <f t="shared" si="93"/>
        <v>strhoopserial</v>
      </c>
      <c r="K1148" t="s">
        <v>1373</v>
      </c>
      <c r="L1148" t="str">
        <f t="shared" si="96"/>
        <v>NGM-079 / DEM-004 (MVS), NGH-079 / DEH-004 (AES)</v>
      </c>
      <c r="M1148" t="str">
        <f t="shared" si="96"/>
        <v>19941208 (MVS), 19941209 (AES)</v>
      </c>
      <c r="N1148" t="str">
        <f t="shared" si="96"/>
        <v>ダンク・ドリーム</v>
      </c>
      <c r="O1148" t="str">
        <f t="shared" si="96"/>
        <v/>
      </c>
      <c r="P1148" t="str">
        <f t="shared" si="96"/>
        <v/>
      </c>
      <c r="Q1148" t="s">
        <v>4830</v>
      </c>
      <c r="S1148" t="s">
        <v>46</v>
      </c>
      <c r="T1148" t="str">
        <f t="shared" si="94"/>
        <v>strhooprelease</v>
      </c>
      <c r="U1148" t="s">
        <v>218</v>
      </c>
      <c r="V1148" t="str">
        <f t="shared" si="95"/>
        <v>MVS,AES</v>
      </c>
      <c r="W1148" t="str">
        <f t="shared" si="95"/>
        <v>MVS,AES</v>
      </c>
      <c r="Y1148" t="s">
        <v>45</v>
      </c>
      <c r="Z1148" t="s">
        <v>44</v>
      </c>
      <c r="AB1148" t="s">
        <v>43</v>
      </c>
      <c r="AC1148" t="s">
        <v>42</v>
      </c>
      <c r="AD1148" t="s">
        <v>41</v>
      </c>
      <c r="AE1148" t="s">
        <v>15</v>
      </c>
      <c r="AG1148" t="s">
        <v>40</v>
      </c>
      <c r="AH1148" t="s">
        <v>4829</v>
      </c>
      <c r="AI1148" t="s">
        <v>9</v>
      </c>
      <c r="AJ1148" t="s">
        <v>15</v>
      </c>
      <c r="AK1148" t="s">
        <v>4828</v>
      </c>
      <c r="AL1148" t="s">
        <v>4827</v>
      </c>
    </row>
    <row r="1149" spans="5:38" x14ac:dyDescent="0.25">
      <c r="I1149" t="str">
        <f t="shared" si="92"/>
        <v>strhoop</v>
      </c>
      <c r="J1149" t="str">
        <f t="shared" si="93"/>
        <v>strhooprelease</v>
      </c>
      <c r="K1149" t="s">
        <v>46</v>
      </c>
      <c r="L1149" t="str">
        <f t="shared" si="96"/>
        <v>NGM-079 / DEM-004 (MVS), NGH-079 / DEH-004 (AES)</v>
      </c>
      <c r="M1149" t="str">
        <f t="shared" si="96"/>
        <v>19941208 (MVS), 19941209 (AES)</v>
      </c>
      <c r="N1149" t="str">
        <f t="shared" si="96"/>
        <v>ダンク・ドリーム</v>
      </c>
      <c r="O1149" t="str">
        <f t="shared" si="96"/>
        <v/>
      </c>
      <c r="P1149" t="str">
        <f t="shared" si="96"/>
        <v/>
      </c>
      <c r="Q1149" t="s">
        <v>4826</v>
      </c>
      <c r="T1149" t="str">
        <f t="shared" si="94"/>
        <v/>
      </c>
      <c r="V1149" t="str">
        <f t="shared" si="95"/>
        <v>MVS,AES</v>
      </c>
      <c r="W1149" t="str">
        <f t="shared" si="95"/>
        <v>MVS,AES</v>
      </c>
      <c r="AB1149" t="s">
        <v>34</v>
      </c>
      <c r="AE1149" t="s">
        <v>33</v>
      </c>
      <c r="AH1149" t="s">
        <v>4825</v>
      </c>
      <c r="AI1149" t="s">
        <v>9</v>
      </c>
      <c r="AJ1149" t="s">
        <v>27</v>
      </c>
      <c r="AK1149" t="s">
        <v>4824</v>
      </c>
      <c r="AL1149" t="s">
        <v>4823</v>
      </c>
    </row>
    <row r="1150" spans="5:38" x14ac:dyDescent="0.25">
      <c r="I1150" t="str">
        <f t="shared" si="92"/>
        <v>strhoop</v>
      </c>
      <c r="J1150" t="str">
        <f t="shared" si="93"/>
        <v>strhoopalt_title</v>
      </c>
      <c r="K1150" t="s">
        <v>1218</v>
      </c>
      <c r="L1150" t="str">
        <f t="shared" si="96"/>
        <v>NGM-079 / DEM-004 (MVS), NGH-079 / DEH-004 (AES)</v>
      </c>
      <c r="M1150" t="str">
        <f t="shared" si="96"/>
        <v>19941208 (MVS), 19941209 (AES)</v>
      </c>
      <c r="N1150" t="str">
        <f t="shared" si="96"/>
        <v>ダンク・ドリーム</v>
      </c>
      <c r="O1150" t="str">
        <f t="shared" si="96"/>
        <v/>
      </c>
      <c r="P1150" t="str">
        <f t="shared" si="96"/>
        <v/>
      </c>
      <c r="Q1150" t="s">
        <v>4822</v>
      </c>
      <c r="T1150" t="str">
        <f t="shared" si="94"/>
        <v/>
      </c>
      <c r="V1150" t="str">
        <f t="shared" si="95"/>
        <v>MVS,AES</v>
      </c>
      <c r="W1150" t="str">
        <f t="shared" si="95"/>
        <v>MVS,AES</v>
      </c>
      <c r="AB1150" t="s">
        <v>29</v>
      </c>
      <c r="AE1150" t="s">
        <v>27</v>
      </c>
      <c r="AH1150" t="s">
        <v>4821</v>
      </c>
      <c r="AI1150" t="s">
        <v>9</v>
      </c>
      <c r="AJ1150" t="s">
        <v>27</v>
      </c>
      <c r="AK1150" t="s">
        <v>4820</v>
      </c>
      <c r="AL1150" t="s">
        <v>4819</v>
      </c>
    </row>
    <row r="1151" spans="5:38" x14ac:dyDescent="0.25">
      <c r="I1151" t="str">
        <f t="shared" si="92"/>
        <v>strhoop</v>
      </c>
      <c r="J1151" t="str">
        <f t="shared" si="93"/>
        <v/>
      </c>
      <c r="L1151" t="str">
        <f t="shared" si="96"/>
        <v>NGM-079 / DEM-004 (MVS), NGH-079 / DEH-004 (AES)</v>
      </c>
      <c r="M1151" t="str">
        <f t="shared" si="96"/>
        <v>19941208 (MVS), 19941209 (AES)</v>
      </c>
      <c r="N1151" t="str">
        <f t="shared" si="96"/>
        <v>ダンク・ドリーム</v>
      </c>
      <c r="O1151" t="str">
        <f t="shared" si="96"/>
        <v/>
      </c>
      <c r="P1151" t="str">
        <f t="shared" si="96"/>
        <v/>
      </c>
      <c r="S1151" t="s">
        <v>36</v>
      </c>
      <c r="T1151" t="str">
        <f t="shared" si="94"/>
        <v>strhoopcompatibility</v>
      </c>
      <c r="U1151" t="s">
        <v>218</v>
      </c>
      <c r="V1151" t="str">
        <f t="shared" si="95"/>
        <v>MVS,AES</v>
      </c>
      <c r="W1151" t="str">
        <f t="shared" si="95"/>
        <v>MVS,AES</v>
      </c>
      <c r="AB1151" t="s">
        <v>24</v>
      </c>
      <c r="AE1151" t="s">
        <v>377</v>
      </c>
      <c r="AH1151" t="s">
        <v>4818</v>
      </c>
      <c r="AI1151" t="s">
        <v>9</v>
      </c>
      <c r="AJ1151" t="s">
        <v>3</v>
      </c>
      <c r="AK1151" t="s">
        <v>4817</v>
      </c>
      <c r="AL1151" t="s">
        <v>4816</v>
      </c>
    </row>
    <row r="1152" spans="5:38" x14ac:dyDescent="0.25">
      <c r="I1152" t="str">
        <f t="shared" si="92"/>
        <v>strhoop</v>
      </c>
      <c r="J1152" t="str">
        <f t="shared" si="93"/>
        <v/>
      </c>
      <c r="L1152" t="str">
        <f t="shared" si="96"/>
        <v>NGM-079 / DEM-004 (MVS), NGH-079 / DEH-004 (AES)</v>
      </c>
      <c r="M1152" t="str">
        <f t="shared" si="96"/>
        <v>19941208 (MVS), 19941209 (AES)</v>
      </c>
      <c r="N1152" t="str">
        <f t="shared" si="96"/>
        <v>ダンク・ドリーム</v>
      </c>
      <c r="O1152" t="str">
        <f t="shared" si="96"/>
        <v/>
      </c>
      <c r="P1152" t="str">
        <f t="shared" si="96"/>
        <v/>
      </c>
      <c r="T1152" t="str">
        <f t="shared" si="94"/>
        <v/>
      </c>
      <c r="V1152" t="str">
        <f t="shared" si="95"/>
        <v>MVS,AES</v>
      </c>
      <c r="W1152" t="str">
        <f t="shared" si="95"/>
        <v>MVS,AES</v>
      </c>
      <c r="AH1152" t="s">
        <v>4815</v>
      </c>
      <c r="AI1152" t="s">
        <v>3</v>
      </c>
      <c r="AJ1152" t="s">
        <v>15</v>
      </c>
      <c r="AK1152" t="s">
        <v>4814</v>
      </c>
      <c r="AL1152" t="s">
        <v>4813</v>
      </c>
    </row>
    <row r="1153" spans="5:44" x14ac:dyDescent="0.25">
      <c r="I1153" t="str">
        <f t="shared" si="92"/>
        <v>strhoop</v>
      </c>
      <c r="J1153" t="str">
        <f t="shared" si="93"/>
        <v/>
      </c>
      <c r="L1153" t="str">
        <f t="shared" si="96"/>
        <v>NGM-079 / DEM-004 (MVS), NGH-079 / DEH-004 (AES)</v>
      </c>
      <c r="M1153" t="str">
        <f t="shared" si="96"/>
        <v>19941208 (MVS), 19941209 (AES)</v>
      </c>
      <c r="N1153" t="str">
        <f t="shared" si="96"/>
        <v>ダンク・ドリーム</v>
      </c>
      <c r="O1153" t="str">
        <f t="shared" si="96"/>
        <v/>
      </c>
      <c r="P1153" t="str">
        <f t="shared" si="96"/>
        <v/>
      </c>
      <c r="T1153" t="str">
        <f t="shared" si="94"/>
        <v/>
      </c>
      <c r="V1153" t="str">
        <f t="shared" si="95"/>
        <v>MVS,AES</v>
      </c>
      <c r="W1153" t="str">
        <f t="shared" si="95"/>
        <v>MVS,AES</v>
      </c>
      <c r="AB1153" t="s">
        <v>12</v>
      </c>
      <c r="AE1153" t="s">
        <v>57</v>
      </c>
      <c r="AG1153" t="s">
        <v>6</v>
      </c>
      <c r="AH1153" t="s">
        <v>4812</v>
      </c>
      <c r="AI1153" t="s">
        <v>9</v>
      </c>
      <c r="AJ1153" t="s">
        <v>3</v>
      </c>
      <c r="AK1153" t="s">
        <v>4811</v>
      </c>
      <c r="AL1153" t="s">
        <v>4810</v>
      </c>
    </row>
    <row r="1154" spans="5:44" x14ac:dyDescent="0.25">
      <c r="I1154" t="str">
        <f t="shared" si="92"/>
        <v>strhoop</v>
      </c>
      <c r="J1154" t="str">
        <f t="shared" si="93"/>
        <v/>
      </c>
      <c r="L1154" t="str">
        <f t="shared" si="96"/>
        <v>NGM-079 / DEM-004 (MVS), NGH-079 / DEH-004 (AES)</v>
      </c>
      <c r="M1154" t="str">
        <f t="shared" si="96"/>
        <v>19941208 (MVS), 19941209 (AES)</v>
      </c>
      <c r="N1154" t="str">
        <f t="shared" si="96"/>
        <v>ダンク・ドリーム</v>
      </c>
      <c r="O1154" t="str">
        <f t="shared" si="96"/>
        <v/>
      </c>
      <c r="P1154" t="str">
        <f t="shared" si="96"/>
        <v/>
      </c>
      <c r="T1154" t="str">
        <f t="shared" si="94"/>
        <v/>
      </c>
      <c r="V1154" t="str">
        <f t="shared" si="95"/>
        <v>MVS,AES</v>
      </c>
      <c r="W1154" t="str">
        <f t="shared" si="95"/>
        <v>MVS,AES</v>
      </c>
      <c r="AG1154" t="s">
        <v>6</v>
      </c>
      <c r="AH1154" t="s">
        <v>4809</v>
      </c>
      <c r="AI1154" t="s">
        <v>4</v>
      </c>
      <c r="AJ1154" t="s">
        <v>3</v>
      </c>
      <c r="AK1154" t="s">
        <v>4808</v>
      </c>
      <c r="AL1154" t="s">
        <v>4807</v>
      </c>
    </row>
    <row r="1155" spans="5:44" x14ac:dyDescent="0.25">
      <c r="I1155" t="str">
        <f t="shared" ref="I1155:I1218" si="97">IF(E1155="",I1154,E1155)</f>
        <v>strhoop</v>
      </c>
      <c r="J1155" t="str">
        <f t="shared" ref="J1155:J1218" si="98">IF(K1155="","",I1155&amp;K1155)</f>
        <v/>
      </c>
      <c r="L1155" t="str">
        <f t="shared" si="96"/>
        <v>NGM-079 / DEM-004 (MVS), NGH-079 / DEH-004 (AES)</v>
      </c>
      <c r="M1155" t="str">
        <f t="shared" si="96"/>
        <v>19941208 (MVS), 19941209 (AES)</v>
      </c>
      <c r="N1155" t="str">
        <f t="shared" si="96"/>
        <v>ダンク・ドリーム</v>
      </c>
      <c r="O1155" t="str">
        <f t="shared" si="96"/>
        <v/>
      </c>
      <c r="P1155" t="str">
        <f t="shared" si="96"/>
        <v/>
      </c>
      <c r="T1155" t="str">
        <f t="shared" ref="T1155:T1218" si="99">IF(S1155="","",I1155&amp;S1155)</f>
        <v/>
      </c>
      <c r="V1155" t="str">
        <f t="shared" si="95"/>
        <v>MVS,AES</v>
      </c>
      <c r="W1155" t="str">
        <f t="shared" si="95"/>
        <v>MVS,AES</v>
      </c>
      <c r="AG1155" t="s">
        <v>6</v>
      </c>
      <c r="AH1155" t="s">
        <v>4806</v>
      </c>
      <c r="AI1155" t="s">
        <v>11</v>
      </c>
      <c r="AJ1155" t="s">
        <v>3</v>
      </c>
      <c r="AK1155" t="s">
        <v>4805</v>
      </c>
      <c r="AL1155" t="s">
        <v>4804</v>
      </c>
    </row>
    <row r="1156" spans="5:44" x14ac:dyDescent="0.25">
      <c r="I1156" t="str">
        <f t="shared" si="97"/>
        <v>strhoop</v>
      </c>
      <c r="J1156" t="str">
        <f t="shared" si="98"/>
        <v/>
      </c>
      <c r="L1156" t="str">
        <f t="shared" si="96"/>
        <v>NGM-079 / DEM-004 (MVS), NGH-079 / DEH-004 (AES)</v>
      </c>
      <c r="M1156" t="str">
        <f t="shared" si="96"/>
        <v>19941208 (MVS), 19941209 (AES)</v>
      </c>
      <c r="N1156" t="str">
        <f t="shared" si="96"/>
        <v>ダンク・ドリーム</v>
      </c>
      <c r="O1156" t="str">
        <f t="shared" si="96"/>
        <v/>
      </c>
      <c r="P1156" t="str">
        <f t="shared" si="96"/>
        <v/>
      </c>
      <c r="T1156" t="str">
        <f t="shared" si="99"/>
        <v/>
      </c>
      <c r="V1156" t="str">
        <f t="shared" si="95"/>
        <v>MVS,AES</v>
      </c>
      <c r="W1156" t="str">
        <f t="shared" si="95"/>
        <v>MVS,AES</v>
      </c>
      <c r="AG1156" t="s">
        <v>6</v>
      </c>
      <c r="AH1156" t="s">
        <v>4803</v>
      </c>
      <c r="AI1156" t="s">
        <v>932</v>
      </c>
      <c r="AJ1156" t="s">
        <v>3</v>
      </c>
      <c r="AK1156" t="s">
        <v>4802</v>
      </c>
      <c r="AL1156" t="s">
        <v>4801</v>
      </c>
    </row>
    <row r="1157" spans="5:44" x14ac:dyDescent="0.25">
      <c r="E1157" t="s">
        <v>4761</v>
      </c>
      <c r="F1157" t="s">
        <v>4800</v>
      </c>
      <c r="G1157" t="s">
        <v>1239</v>
      </c>
      <c r="H1157" t="s">
        <v>4799</v>
      </c>
      <c r="I1157" t="str">
        <f t="shared" si="97"/>
        <v>quizkof</v>
      </c>
      <c r="J1157" t="str">
        <f t="shared" si="98"/>
        <v>quizkofserial</v>
      </c>
      <c r="K1157" t="s">
        <v>1373</v>
      </c>
      <c r="L1157" t="str">
        <f t="shared" si="96"/>
        <v>NGM-080 / SAM-080 (MVS), NGH-080 / SAH-080 (AES)</v>
      </c>
      <c r="M1157" t="str">
        <f t="shared" si="96"/>
        <v>19950201 (MVS), 19950310 (AES)</v>
      </c>
      <c r="N1157" t="str">
        <f t="shared" si="96"/>
        <v>クイズ キングオブファイターズ</v>
      </c>
      <c r="O1157" t="str">
        <f t="shared" si="96"/>
        <v/>
      </c>
      <c r="P1157" t="str">
        <f t="shared" si="96"/>
        <v/>
      </c>
      <c r="Q1157" t="s">
        <v>4798</v>
      </c>
      <c r="S1157" t="s">
        <v>46</v>
      </c>
      <c r="T1157" t="str">
        <f t="shared" si="99"/>
        <v>quizkofrelease</v>
      </c>
      <c r="U1157" t="s">
        <v>218</v>
      </c>
      <c r="V1157" t="str">
        <f t="shared" si="95"/>
        <v>MVS,AES</v>
      </c>
      <c r="W1157" t="str">
        <f t="shared" si="95"/>
        <v>MVS,AES</v>
      </c>
      <c r="Y1157" t="s">
        <v>45</v>
      </c>
      <c r="Z1157" t="s">
        <v>44</v>
      </c>
      <c r="AB1157" t="s">
        <v>43</v>
      </c>
      <c r="AC1157" t="s">
        <v>42</v>
      </c>
      <c r="AD1157" t="s">
        <v>41</v>
      </c>
      <c r="AE1157" t="s">
        <v>15</v>
      </c>
      <c r="AG1157" t="s">
        <v>40</v>
      </c>
      <c r="AH1157" t="s">
        <v>4797</v>
      </c>
      <c r="AI1157" t="s">
        <v>9</v>
      </c>
      <c r="AJ1157" t="s">
        <v>15</v>
      </c>
      <c r="AK1157" t="s">
        <v>4796</v>
      </c>
      <c r="AL1157" t="s">
        <v>4795</v>
      </c>
    </row>
    <row r="1158" spans="5:44" x14ac:dyDescent="0.25">
      <c r="I1158" t="str">
        <f t="shared" si="97"/>
        <v>quizkof</v>
      </c>
      <c r="J1158" t="str">
        <f t="shared" si="98"/>
        <v>quizkofrelease</v>
      </c>
      <c r="K1158" t="s">
        <v>46</v>
      </c>
      <c r="L1158" t="str">
        <f t="shared" si="96"/>
        <v>NGM-080 / SAM-080 (MVS), NGH-080 / SAH-080 (AES)</v>
      </c>
      <c r="M1158" t="str">
        <f t="shared" si="96"/>
        <v>19950201 (MVS), 19950310 (AES)</v>
      </c>
      <c r="N1158" t="str">
        <f t="shared" si="96"/>
        <v>クイズ キングオブファイターズ</v>
      </c>
      <c r="O1158" t="str">
        <f t="shared" si="96"/>
        <v/>
      </c>
      <c r="P1158" t="str">
        <f t="shared" si="96"/>
        <v/>
      </c>
      <c r="Q1158" t="s">
        <v>4794</v>
      </c>
      <c r="T1158" t="str">
        <f t="shared" si="99"/>
        <v/>
      </c>
      <c r="V1158" t="str">
        <f t="shared" si="95"/>
        <v>MVS,AES</v>
      </c>
      <c r="W1158" t="str">
        <f t="shared" si="95"/>
        <v>MVS,AES</v>
      </c>
      <c r="AB1158" t="s">
        <v>34</v>
      </c>
      <c r="AE1158" t="s">
        <v>33</v>
      </c>
      <c r="AH1158" t="s">
        <v>4793</v>
      </c>
      <c r="AI1158" t="s">
        <v>9</v>
      </c>
      <c r="AJ1158" t="s">
        <v>27</v>
      </c>
      <c r="AK1158" t="s">
        <v>4792</v>
      </c>
      <c r="AL1158" t="s">
        <v>4791</v>
      </c>
    </row>
    <row r="1159" spans="5:44" x14ac:dyDescent="0.25">
      <c r="I1159" t="str">
        <f t="shared" si="97"/>
        <v>quizkof</v>
      </c>
      <c r="J1159" t="str">
        <f t="shared" si="98"/>
        <v>quizkofalt_title</v>
      </c>
      <c r="K1159" t="s">
        <v>1218</v>
      </c>
      <c r="L1159" t="str">
        <f t="shared" si="96"/>
        <v>NGM-080 / SAM-080 (MVS), NGH-080 / SAH-080 (AES)</v>
      </c>
      <c r="M1159" t="str">
        <f t="shared" si="96"/>
        <v>19950201 (MVS), 19950310 (AES)</v>
      </c>
      <c r="N1159" t="str">
        <f t="shared" si="96"/>
        <v>クイズ キングオブファイターズ</v>
      </c>
      <c r="O1159" t="str">
        <f t="shared" si="96"/>
        <v/>
      </c>
      <c r="P1159" t="str">
        <f t="shared" si="96"/>
        <v/>
      </c>
      <c r="Q1159" t="s">
        <v>4790</v>
      </c>
      <c r="T1159" t="str">
        <f t="shared" si="99"/>
        <v/>
      </c>
      <c r="V1159" t="str">
        <f t="shared" si="95"/>
        <v>MVS,AES</v>
      </c>
      <c r="W1159" t="str">
        <f t="shared" si="95"/>
        <v>MVS,AES</v>
      </c>
      <c r="AB1159" t="s">
        <v>29</v>
      </c>
      <c r="AE1159" t="s">
        <v>27</v>
      </c>
      <c r="AH1159" t="s">
        <v>4789</v>
      </c>
      <c r="AI1159" t="s">
        <v>9</v>
      </c>
      <c r="AJ1159" t="s">
        <v>27</v>
      </c>
      <c r="AK1159" t="s">
        <v>4788</v>
      </c>
      <c r="AL1159" t="s">
        <v>4787</v>
      </c>
    </row>
    <row r="1160" spans="5:44" x14ac:dyDescent="0.25">
      <c r="I1160" t="str">
        <f t="shared" si="97"/>
        <v>quizkof</v>
      </c>
      <c r="J1160" t="str">
        <f t="shared" si="98"/>
        <v/>
      </c>
      <c r="L1160" t="str">
        <f t="shared" si="96"/>
        <v>NGM-080 / SAM-080 (MVS), NGH-080 / SAH-080 (AES)</v>
      </c>
      <c r="M1160" t="str">
        <f t="shared" si="96"/>
        <v>19950201 (MVS), 19950310 (AES)</v>
      </c>
      <c r="N1160" t="str">
        <f t="shared" si="96"/>
        <v>クイズ キングオブファイターズ</v>
      </c>
      <c r="O1160" t="str">
        <f t="shared" si="96"/>
        <v/>
      </c>
      <c r="P1160" t="str">
        <f t="shared" si="96"/>
        <v/>
      </c>
      <c r="S1160" t="s">
        <v>36</v>
      </c>
      <c r="T1160" t="str">
        <f t="shared" si="99"/>
        <v>quizkofcompatibility</v>
      </c>
      <c r="U1160" t="s">
        <v>218</v>
      </c>
      <c r="V1160" t="str">
        <f t="shared" si="95"/>
        <v>MVS,AES</v>
      </c>
      <c r="W1160" t="str">
        <f t="shared" si="95"/>
        <v>MVS,AES</v>
      </c>
      <c r="AB1160" t="s">
        <v>24</v>
      </c>
      <c r="AE1160" t="s">
        <v>75</v>
      </c>
      <c r="AH1160" t="s">
        <v>4754</v>
      </c>
      <c r="AI1160" t="s">
        <v>9</v>
      </c>
      <c r="AJ1160" t="s">
        <v>3</v>
      </c>
      <c r="AK1160" t="s">
        <v>4753</v>
      </c>
      <c r="AL1160" t="s">
        <v>4752</v>
      </c>
    </row>
    <row r="1161" spans="5:44" x14ac:dyDescent="0.25">
      <c r="I1161" t="str">
        <f t="shared" si="97"/>
        <v>quizkof</v>
      </c>
      <c r="J1161" t="str">
        <f t="shared" si="98"/>
        <v/>
      </c>
      <c r="L1161" t="str">
        <f t="shared" si="96"/>
        <v>NGM-080 / SAM-080 (MVS), NGH-080 / SAH-080 (AES)</v>
      </c>
      <c r="M1161" t="str">
        <f t="shared" si="96"/>
        <v>19950201 (MVS), 19950310 (AES)</v>
      </c>
      <c r="N1161" t="str">
        <f t="shared" si="96"/>
        <v>クイズ キングオブファイターズ</v>
      </c>
      <c r="O1161" t="str">
        <f t="shared" si="96"/>
        <v/>
      </c>
      <c r="P1161" t="str">
        <f t="shared" si="96"/>
        <v/>
      </c>
      <c r="T1161" t="str">
        <f t="shared" si="99"/>
        <v/>
      </c>
      <c r="V1161" t="str">
        <f t="shared" si="95"/>
        <v>MVS,AES</v>
      </c>
      <c r="W1161" t="str">
        <f t="shared" si="95"/>
        <v>MVS,AES</v>
      </c>
      <c r="AH1161" t="s">
        <v>4786</v>
      </c>
      <c r="AI1161" t="s">
        <v>3</v>
      </c>
      <c r="AJ1161" t="s">
        <v>3</v>
      </c>
      <c r="AK1161" t="s">
        <v>4785</v>
      </c>
      <c r="AL1161" t="s">
        <v>4784</v>
      </c>
    </row>
    <row r="1162" spans="5:44" x14ac:dyDescent="0.25">
      <c r="I1162" t="str">
        <f t="shared" si="97"/>
        <v>quizkof</v>
      </c>
      <c r="J1162" t="str">
        <f t="shared" si="98"/>
        <v/>
      </c>
      <c r="L1162" t="str">
        <f t="shared" si="96"/>
        <v>NGM-080 / SAM-080 (MVS), NGH-080 / SAH-080 (AES)</v>
      </c>
      <c r="M1162" t="str">
        <f t="shared" si="96"/>
        <v>19950201 (MVS), 19950310 (AES)</v>
      </c>
      <c r="N1162" t="str">
        <f t="shared" si="96"/>
        <v>クイズ キングオブファイターズ</v>
      </c>
      <c r="O1162" t="str">
        <f t="shared" si="96"/>
        <v/>
      </c>
      <c r="P1162" t="str">
        <f t="shared" si="96"/>
        <v/>
      </c>
      <c r="T1162" t="str">
        <f t="shared" si="99"/>
        <v/>
      </c>
      <c r="V1162" t="str">
        <f t="shared" si="95"/>
        <v>MVS,AES</v>
      </c>
      <c r="W1162" t="str">
        <f t="shared" si="95"/>
        <v>MVS,AES</v>
      </c>
      <c r="AH1162" t="s">
        <v>4783</v>
      </c>
      <c r="AI1162" t="s">
        <v>11</v>
      </c>
      <c r="AJ1162" t="s">
        <v>3</v>
      </c>
      <c r="AK1162" t="s">
        <v>4782</v>
      </c>
      <c r="AL1162" t="s">
        <v>4781</v>
      </c>
    </row>
    <row r="1163" spans="5:44" x14ac:dyDescent="0.25">
      <c r="I1163" t="str">
        <f t="shared" si="97"/>
        <v>quizkof</v>
      </c>
      <c r="J1163" t="str">
        <f t="shared" si="98"/>
        <v/>
      </c>
      <c r="L1163" t="str">
        <f t="shared" si="96"/>
        <v>NGM-080 / SAM-080 (MVS), NGH-080 / SAH-080 (AES)</v>
      </c>
      <c r="M1163" t="str">
        <f t="shared" si="96"/>
        <v>19950201 (MVS), 19950310 (AES)</v>
      </c>
      <c r="N1163" t="str">
        <f t="shared" si="96"/>
        <v>クイズ キングオブファイターズ</v>
      </c>
      <c r="O1163" t="str">
        <f t="shared" si="96"/>
        <v/>
      </c>
      <c r="P1163" t="str">
        <f t="shared" si="96"/>
        <v/>
      </c>
      <c r="T1163" t="str">
        <f t="shared" si="99"/>
        <v/>
      </c>
      <c r="V1163" t="str">
        <f t="shared" si="95"/>
        <v>MVS,AES</v>
      </c>
      <c r="W1163" t="str">
        <f t="shared" si="95"/>
        <v>MVS,AES</v>
      </c>
      <c r="AB1163" t="s">
        <v>12</v>
      </c>
      <c r="AE1163" t="s">
        <v>57</v>
      </c>
      <c r="AG1163" t="s">
        <v>6</v>
      </c>
      <c r="AH1163" t="s">
        <v>4780</v>
      </c>
      <c r="AI1163" t="s">
        <v>9</v>
      </c>
      <c r="AJ1163" t="s">
        <v>3</v>
      </c>
      <c r="AK1163" t="s">
        <v>4779</v>
      </c>
      <c r="AL1163" t="s">
        <v>4778</v>
      </c>
    </row>
    <row r="1164" spans="5:44" x14ac:dyDescent="0.25">
      <c r="I1164" t="str">
        <f t="shared" si="97"/>
        <v>quizkof</v>
      </c>
      <c r="J1164" t="str">
        <f t="shared" si="98"/>
        <v/>
      </c>
      <c r="L1164" t="str">
        <f t="shared" si="96"/>
        <v>NGM-080 / SAM-080 (MVS), NGH-080 / SAH-080 (AES)</v>
      </c>
      <c r="M1164" t="str">
        <f t="shared" si="96"/>
        <v>19950201 (MVS), 19950310 (AES)</v>
      </c>
      <c r="N1164" t="str">
        <f t="shared" si="96"/>
        <v>クイズ キングオブファイターズ</v>
      </c>
      <c r="O1164" t="str">
        <f t="shared" si="96"/>
        <v/>
      </c>
      <c r="P1164" t="str">
        <f t="shared" si="96"/>
        <v/>
      </c>
      <c r="T1164" t="str">
        <f t="shared" si="99"/>
        <v/>
      </c>
      <c r="V1164" t="str">
        <f t="shared" si="95"/>
        <v>MVS,AES</v>
      </c>
      <c r="W1164" t="str">
        <f t="shared" si="95"/>
        <v>MVS,AES</v>
      </c>
      <c r="AG1164" t="s">
        <v>6</v>
      </c>
      <c r="AH1164" t="s">
        <v>4777</v>
      </c>
      <c r="AI1164" t="s">
        <v>4</v>
      </c>
      <c r="AJ1164" t="s">
        <v>3</v>
      </c>
      <c r="AK1164" t="s">
        <v>4776</v>
      </c>
      <c r="AL1164" t="s">
        <v>4775</v>
      </c>
    </row>
    <row r="1165" spans="5:44" x14ac:dyDescent="0.25">
      <c r="I1165" t="str">
        <f t="shared" si="97"/>
        <v>quizkof</v>
      </c>
      <c r="J1165" t="str">
        <f t="shared" si="98"/>
        <v/>
      </c>
      <c r="L1165" t="str">
        <f t="shared" si="96"/>
        <v>NGM-080 / SAM-080 (MVS), NGH-080 / SAH-080 (AES)</v>
      </c>
      <c r="M1165" t="str">
        <f t="shared" si="96"/>
        <v>19950201 (MVS), 19950310 (AES)</v>
      </c>
      <c r="N1165" t="str">
        <f t="shared" si="96"/>
        <v>クイズ キングオブファイターズ</v>
      </c>
      <c r="O1165" t="str">
        <f t="shared" si="96"/>
        <v/>
      </c>
      <c r="P1165" t="str">
        <f t="shared" si="96"/>
        <v/>
      </c>
      <c r="T1165" t="str">
        <f t="shared" si="99"/>
        <v/>
      </c>
      <c r="V1165" t="str">
        <f t="shared" si="95"/>
        <v>MVS,AES</v>
      </c>
      <c r="W1165" t="str">
        <f t="shared" si="95"/>
        <v>MVS,AES</v>
      </c>
      <c r="AG1165" t="s">
        <v>6</v>
      </c>
      <c r="AH1165" t="s">
        <v>4774</v>
      </c>
      <c r="AI1165" t="s">
        <v>11</v>
      </c>
      <c r="AJ1165" t="s">
        <v>3</v>
      </c>
      <c r="AK1165" t="s">
        <v>4773</v>
      </c>
      <c r="AL1165" t="s">
        <v>4772</v>
      </c>
    </row>
    <row r="1166" spans="5:44" x14ac:dyDescent="0.25">
      <c r="I1166" t="str">
        <f t="shared" si="97"/>
        <v>quizkof</v>
      </c>
      <c r="J1166" t="str">
        <f t="shared" si="98"/>
        <v/>
      </c>
      <c r="L1166" t="str">
        <f t="shared" si="96"/>
        <v>NGM-080 / SAM-080 (MVS), NGH-080 / SAH-080 (AES)</v>
      </c>
      <c r="M1166" t="str">
        <f t="shared" si="96"/>
        <v>19950201 (MVS), 19950310 (AES)</v>
      </c>
      <c r="N1166" t="str">
        <f t="shared" si="96"/>
        <v>クイズ キングオブファイターズ</v>
      </c>
      <c r="O1166" t="str">
        <f t="shared" si="96"/>
        <v/>
      </c>
      <c r="P1166" t="str">
        <f t="shared" si="96"/>
        <v/>
      </c>
      <c r="T1166" t="str">
        <f t="shared" si="99"/>
        <v/>
      </c>
      <c r="V1166" t="str">
        <f t="shared" si="95"/>
        <v>MVS,AES</v>
      </c>
      <c r="W1166" t="str">
        <f t="shared" si="95"/>
        <v>MVS,AES</v>
      </c>
      <c r="AG1166" t="s">
        <v>6</v>
      </c>
      <c r="AH1166" t="s">
        <v>4771</v>
      </c>
      <c r="AI1166" t="s">
        <v>932</v>
      </c>
      <c r="AJ1166" t="s">
        <v>3</v>
      </c>
      <c r="AK1166" t="s">
        <v>4770</v>
      </c>
      <c r="AL1166" t="s">
        <v>4769</v>
      </c>
    </row>
    <row r="1167" spans="5:44" x14ac:dyDescent="0.25">
      <c r="E1167" t="s">
        <v>4768</v>
      </c>
      <c r="F1167" t="s">
        <v>4767</v>
      </c>
      <c r="G1167" t="s">
        <v>1280</v>
      </c>
      <c r="H1167" t="s">
        <v>4766</v>
      </c>
      <c r="I1167" t="str">
        <f t="shared" si="97"/>
        <v>quizkofk</v>
      </c>
      <c r="J1167" t="str">
        <f t="shared" si="98"/>
        <v>quizkofkalt_title</v>
      </c>
      <c r="K1167" t="s">
        <v>1218</v>
      </c>
      <c r="L1167" t="str">
        <f t="shared" si="96"/>
        <v/>
      </c>
      <c r="M1167" t="str">
        <f t="shared" si="96"/>
        <v/>
      </c>
      <c r="N1167" t="str">
        <f t="shared" si="96"/>
        <v>퀴즈 킹 오브 화이터즈</v>
      </c>
      <c r="O1167" t="str">
        <f t="shared" si="96"/>
        <v/>
      </c>
      <c r="P1167" t="str">
        <f t="shared" si="96"/>
        <v/>
      </c>
      <c r="Q1167" t="s">
        <v>4765</v>
      </c>
      <c r="S1167" t="s">
        <v>46</v>
      </c>
      <c r="T1167" t="str">
        <f t="shared" si="99"/>
        <v>quizkofkrelease</v>
      </c>
      <c r="U1167" t="s">
        <v>106</v>
      </c>
      <c r="V1167" t="str">
        <f t="shared" si="95"/>
        <v>MVS</v>
      </c>
      <c r="W1167" t="str">
        <f t="shared" si="95"/>
        <v>MVS,AES</v>
      </c>
      <c r="Y1167" t="s">
        <v>45</v>
      </c>
      <c r="Z1167" t="s">
        <v>44</v>
      </c>
      <c r="AB1167" t="s">
        <v>43</v>
      </c>
      <c r="AC1167" t="s">
        <v>42</v>
      </c>
      <c r="AD1167" t="s">
        <v>41</v>
      </c>
      <c r="AE1167" t="s">
        <v>15</v>
      </c>
      <c r="AG1167" t="s">
        <v>40</v>
      </c>
      <c r="AH1167" t="s">
        <v>4764</v>
      </c>
      <c r="AI1167" t="s">
        <v>9</v>
      </c>
      <c r="AJ1167" t="s">
        <v>15</v>
      </c>
      <c r="AK1167" t="s">
        <v>4763</v>
      </c>
      <c r="AL1167" t="s">
        <v>4762</v>
      </c>
      <c r="AR1167" t="s">
        <v>4761</v>
      </c>
    </row>
    <row r="1168" spans="5:44" x14ac:dyDescent="0.25">
      <c r="I1168" t="str">
        <f t="shared" si="97"/>
        <v>quizkofk</v>
      </c>
      <c r="J1168" t="str">
        <f t="shared" si="98"/>
        <v/>
      </c>
      <c r="L1168" t="str">
        <f t="shared" si="96"/>
        <v/>
      </c>
      <c r="M1168" t="str">
        <f t="shared" si="96"/>
        <v/>
      </c>
      <c r="N1168" t="str">
        <f t="shared" si="96"/>
        <v>퀴즈 킹 오브 화이터즈</v>
      </c>
      <c r="O1168" t="str">
        <f t="shared" si="96"/>
        <v/>
      </c>
      <c r="P1168" t="str">
        <f t="shared" si="96"/>
        <v/>
      </c>
      <c r="S1168" t="s">
        <v>36</v>
      </c>
      <c r="T1168" t="str">
        <f t="shared" si="99"/>
        <v>quizkofkcompatibility</v>
      </c>
      <c r="U1168" t="s">
        <v>218</v>
      </c>
      <c r="V1168" t="str">
        <f t="shared" si="95"/>
        <v>MVS</v>
      </c>
      <c r="W1168" t="str">
        <f t="shared" si="95"/>
        <v>MVS,AES</v>
      </c>
      <c r="AB1168" t="s">
        <v>34</v>
      </c>
      <c r="AE1168" t="s">
        <v>33</v>
      </c>
      <c r="AH1168" t="s">
        <v>4760</v>
      </c>
      <c r="AI1168" t="s">
        <v>9</v>
      </c>
      <c r="AJ1168" t="s">
        <v>27</v>
      </c>
      <c r="AK1168" t="s">
        <v>4759</v>
      </c>
      <c r="AL1168" t="s">
        <v>4758</v>
      </c>
    </row>
    <row r="1169" spans="5:38" x14ac:dyDescent="0.25">
      <c r="I1169" t="str">
        <f t="shared" si="97"/>
        <v>quizkofk</v>
      </c>
      <c r="J1169" t="str">
        <f t="shared" si="98"/>
        <v/>
      </c>
      <c r="L1169" t="str">
        <f t="shared" si="96"/>
        <v/>
      </c>
      <c r="M1169" t="str">
        <f t="shared" si="96"/>
        <v/>
      </c>
      <c r="N1169" t="str">
        <f t="shared" si="96"/>
        <v>퀴즈 킹 오브 화이터즈</v>
      </c>
      <c r="O1169" t="str">
        <f t="shared" si="96"/>
        <v/>
      </c>
      <c r="P1169" t="str">
        <f t="shared" si="96"/>
        <v/>
      </c>
      <c r="T1169" t="str">
        <f t="shared" si="99"/>
        <v/>
      </c>
      <c r="V1169" t="str">
        <f t="shared" si="95"/>
        <v>MVS</v>
      </c>
      <c r="W1169" t="str">
        <f t="shared" si="95"/>
        <v>MVS,AES</v>
      </c>
      <c r="AB1169" t="s">
        <v>29</v>
      </c>
      <c r="AE1169" t="s">
        <v>27</v>
      </c>
      <c r="AH1169" t="s">
        <v>4757</v>
      </c>
      <c r="AI1169" t="s">
        <v>9</v>
      </c>
      <c r="AJ1169" t="s">
        <v>27</v>
      </c>
      <c r="AK1169" t="s">
        <v>4756</v>
      </c>
      <c r="AL1169" t="s">
        <v>4755</v>
      </c>
    </row>
    <row r="1170" spans="5:38" x14ac:dyDescent="0.25">
      <c r="I1170" t="str">
        <f t="shared" si="97"/>
        <v>quizkofk</v>
      </c>
      <c r="J1170" t="str">
        <f t="shared" si="98"/>
        <v/>
      </c>
      <c r="L1170" t="str">
        <f t="shared" si="96"/>
        <v/>
      </c>
      <c r="M1170" t="str">
        <f t="shared" si="96"/>
        <v/>
      </c>
      <c r="N1170" t="str">
        <f t="shared" si="96"/>
        <v>퀴즈 킹 오브 화이터즈</v>
      </c>
      <c r="O1170" t="str">
        <f t="shared" si="96"/>
        <v/>
      </c>
      <c r="P1170" t="str">
        <f t="shared" si="96"/>
        <v/>
      </c>
      <c r="T1170" t="str">
        <f t="shared" si="99"/>
        <v/>
      </c>
      <c r="V1170" t="str">
        <f t="shared" si="95"/>
        <v>MVS</v>
      </c>
      <c r="W1170" t="str">
        <f t="shared" si="95"/>
        <v>MVS,AES</v>
      </c>
      <c r="AB1170" t="s">
        <v>24</v>
      </c>
      <c r="AE1170" t="s">
        <v>75</v>
      </c>
      <c r="AH1170" t="s">
        <v>4754</v>
      </c>
      <c r="AI1170" t="s">
        <v>9</v>
      </c>
      <c r="AJ1170" t="s">
        <v>3</v>
      </c>
      <c r="AK1170" t="s">
        <v>4753</v>
      </c>
      <c r="AL1170" t="s">
        <v>4752</v>
      </c>
    </row>
    <row r="1171" spans="5:38" x14ac:dyDescent="0.25">
      <c r="I1171" t="str">
        <f t="shared" si="97"/>
        <v>quizkofk</v>
      </c>
      <c r="J1171" t="str">
        <f t="shared" si="98"/>
        <v/>
      </c>
      <c r="L1171" t="str">
        <f t="shared" si="96"/>
        <v/>
      </c>
      <c r="M1171" t="str">
        <f t="shared" si="96"/>
        <v/>
      </c>
      <c r="N1171" t="str">
        <f t="shared" si="96"/>
        <v>퀴즈 킹 오브 화이터즈</v>
      </c>
      <c r="O1171" t="str">
        <f t="shared" si="96"/>
        <v/>
      </c>
      <c r="P1171" t="str">
        <f t="shared" si="96"/>
        <v/>
      </c>
      <c r="T1171" t="str">
        <f t="shared" si="99"/>
        <v/>
      </c>
      <c r="V1171" t="str">
        <f t="shared" si="95"/>
        <v>MVS</v>
      </c>
      <c r="W1171" t="str">
        <f t="shared" si="95"/>
        <v>MVS,AES</v>
      </c>
      <c r="AH1171" t="s">
        <v>4751</v>
      </c>
      <c r="AI1171" t="s">
        <v>3</v>
      </c>
      <c r="AJ1171" t="s">
        <v>3</v>
      </c>
      <c r="AK1171" t="s">
        <v>4750</v>
      </c>
      <c r="AL1171" t="s">
        <v>4749</v>
      </c>
    </row>
    <row r="1172" spans="5:38" x14ac:dyDescent="0.25">
      <c r="I1172" t="str">
        <f t="shared" si="97"/>
        <v>quizkofk</v>
      </c>
      <c r="J1172" t="str">
        <f t="shared" si="98"/>
        <v/>
      </c>
      <c r="L1172" t="str">
        <f t="shared" si="96"/>
        <v/>
      </c>
      <c r="M1172" t="str">
        <f t="shared" si="96"/>
        <v/>
      </c>
      <c r="N1172" t="str">
        <f t="shared" si="96"/>
        <v>퀴즈 킹 오브 화이터즈</v>
      </c>
      <c r="O1172" t="str">
        <f t="shared" si="96"/>
        <v/>
      </c>
      <c r="P1172" t="str">
        <f t="shared" si="96"/>
        <v/>
      </c>
      <c r="T1172" t="str">
        <f t="shared" si="99"/>
        <v/>
      </c>
      <c r="V1172" t="str">
        <f t="shared" si="95"/>
        <v>MVS</v>
      </c>
      <c r="W1172" t="str">
        <f t="shared" si="95"/>
        <v>MVS,AES</v>
      </c>
      <c r="AH1172" t="s">
        <v>4748</v>
      </c>
      <c r="AI1172" t="s">
        <v>11</v>
      </c>
      <c r="AJ1172" t="s">
        <v>3</v>
      </c>
      <c r="AK1172" t="s">
        <v>4747</v>
      </c>
      <c r="AL1172" t="s">
        <v>4746</v>
      </c>
    </row>
    <row r="1173" spans="5:38" x14ac:dyDescent="0.25">
      <c r="I1173" t="str">
        <f t="shared" si="97"/>
        <v>quizkofk</v>
      </c>
      <c r="J1173" t="str">
        <f t="shared" si="98"/>
        <v/>
      </c>
      <c r="L1173" t="str">
        <f t="shared" si="96"/>
        <v/>
      </c>
      <c r="M1173" t="str">
        <f t="shared" si="96"/>
        <v/>
      </c>
      <c r="N1173" t="str">
        <f t="shared" si="96"/>
        <v>퀴즈 킹 오브 화이터즈</v>
      </c>
      <c r="O1173" t="str">
        <f t="shared" si="96"/>
        <v/>
      </c>
      <c r="P1173" t="str">
        <f t="shared" si="96"/>
        <v/>
      </c>
      <c r="T1173" t="str">
        <f t="shared" si="99"/>
        <v/>
      </c>
      <c r="V1173" t="str">
        <f t="shared" si="95"/>
        <v>MVS</v>
      </c>
      <c r="W1173" t="str">
        <f t="shared" si="95"/>
        <v>MVS,AES</v>
      </c>
      <c r="AB1173" t="s">
        <v>12</v>
      </c>
      <c r="AE1173" t="s">
        <v>57</v>
      </c>
      <c r="AG1173" t="s">
        <v>6</v>
      </c>
      <c r="AH1173" t="s">
        <v>4745</v>
      </c>
      <c r="AI1173" t="s">
        <v>9</v>
      </c>
      <c r="AJ1173" t="s">
        <v>3</v>
      </c>
      <c r="AK1173" t="s">
        <v>4744</v>
      </c>
      <c r="AL1173" t="s">
        <v>4743</v>
      </c>
    </row>
    <row r="1174" spans="5:38" x14ac:dyDescent="0.25">
      <c r="I1174" t="str">
        <f t="shared" si="97"/>
        <v>quizkofk</v>
      </c>
      <c r="J1174" t="str">
        <f t="shared" si="98"/>
        <v/>
      </c>
      <c r="L1174" t="str">
        <f t="shared" si="96"/>
        <v/>
      </c>
      <c r="M1174" t="str">
        <f t="shared" si="96"/>
        <v/>
      </c>
      <c r="N1174" t="str">
        <f t="shared" si="96"/>
        <v>퀴즈 킹 오브 화이터즈</v>
      </c>
      <c r="O1174" t="str">
        <f t="shared" si="96"/>
        <v/>
      </c>
      <c r="P1174" t="str">
        <f t="shared" si="96"/>
        <v/>
      </c>
      <c r="T1174" t="str">
        <f t="shared" si="99"/>
        <v/>
      </c>
      <c r="V1174" t="str">
        <f t="shared" si="95"/>
        <v>MVS</v>
      </c>
      <c r="W1174" t="str">
        <f t="shared" si="95"/>
        <v>MVS,AES</v>
      </c>
      <c r="AG1174" t="s">
        <v>6</v>
      </c>
      <c r="AH1174" t="s">
        <v>4742</v>
      </c>
      <c r="AI1174" t="s">
        <v>4</v>
      </c>
      <c r="AJ1174" t="s">
        <v>3</v>
      </c>
      <c r="AK1174" t="s">
        <v>4741</v>
      </c>
      <c r="AL1174" t="s">
        <v>4740</v>
      </c>
    </row>
    <row r="1175" spans="5:38" x14ac:dyDescent="0.25">
      <c r="I1175" t="str">
        <f t="shared" si="97"/>
        <v>quizkofk</v>
      </c>
      <c r="J1175" t="str">
        <f t="shared" si="98"/>
        <v/>
      </c>
      <c r="L1175" t="str">
        <f t="shared" si="96"/>
        <v/>
      </c>
      <c r="M1175" t="str">
        <f t="shared" si="96"/>
        <v/>
      </c>
      <c r="N1175" t="str">
        <f t="shared" si="96"/>
        <v>퀴즈 킹 오브 화이터즈</v>
      </c>
      <c r="O1175" t="str">
        <f t="shared" si="96"/>
        <v/>
      </c>
      <c r="P1175" t="str">
        <f t="shared" si="96"/>
        <v/>
      </c>
      <c r="T1175" t="str">
        <f t="shared" si="99"/>
        <v/>
      </c>
      <c r="V1175" t="str">
        <f t="shared" ref="V1175:W1238" si="100">IFERROR(VLOOKUP($I1175&amp;V$1,$T:$AA,2,0),"")</f>
        <v>MVS</v>
      </c>
      <c r="W1175" t="str">
        <f t="shared" si="100"/>
        <v>MVS,AES</v>
      </c>
      <c r="AG1175" t="s">
        <v>6</v>
      </c>
      <c r="AH1175" t="s">
        <v>4739</v>
      </c>
      <c r="AI1175" t="s">
        <v>11</v>
      </c>
      <c r="AJ1175" t="s">
        <v>3</v>
      </c>
      <c r="AK1175" t="s">
        <v>4738</v>
      </c>
      <c r="AL1175" t="s">
        <v>4737</v>
      </c>
    </row>
    <row r="1176" spans="5:38" x14ac:dyDescent="0.25">
      <c r="I1176" t="str">
        <f t="shared" si="97"/>
        <v>quizkofk</v>
      </c>
      <c r="J1176" t="str">
        <f t="shared" si="98"/>
        <v/>
      </c>
      <c r="L1176" t="str">
        <f t="shared" si="96"/>
        <v/>
      </c>
      <c r="M1176" t="str">
        <f t="shared" si="96"/>
        <v/>
      </c>
      <c r="N1176" t="str">
        <f t="shared" si="96"/>
        <v>퀴즈 킹 오브 화이터즈</v>
      </c>
      <c r="O1176" t="str">
        <f t="shared" si="96"/>
        <v/>
      </c>
      <c r="P1176" t="str">
        <f t="shared" si="96"/>
        <v/>
      </c>
      <c r="T1176" t="str">
        <f t="shared" si="99"/>
        <v/>
      </c>
      <c r="V1176" t="str">
        <f t="shared" si="100"/>
        <v>MVS</v>
      </c>
      <c r="W1176" t="str">
        <f t="shared" si="100"/>
        <v>MVS,AES</v>
      </c>
      <c r="AG1176" t="s">
        <v>6</v>
      </c>
      <c r="AH1176" t="s">
        <v>4736</v>
      </c>
      <c r="AI1176" t="s">
        <v>932</v>
      </c>
      <c r="AJ1176" t="s">
        <v>3</v>
      </c>
      <c r="AK1176" t="s">
        <v>4735</v>
      </c>
      <c r="AL1176" t="s">
        <v>4734</v>
      </c>
    </row>
    <row r="1177" spans="5:38" x14ac:dyDescent="0.25">
      <c r="E1177" t="s">
        <v>4733</v>
      </c>
      <c r="F1177" t="s">
        <v>4732</v>
      </c>
      <c r="G1177" t="s">
        <v>1239</v>
      </c>
      <c r="H1177" t="s">
        <v>1912</v>
      </c>
      <c r="I1177" t="str">
        <f t="shared" si="97"/>
        <v>ssideki3</v>
      </c>
      <c r="J1177" t="str">
        <f t="shared" si="98"/>
        <v>ssideki3serial</v>
      </c>
      <c r="K1177" t="s">
        <v>1373</v>
      </c>
      <c r="L1177" t="str">
        <f t="shared" si="96"/>
        <v>NGM-081 (MVS), NGH-081 (AES)</v>
      </c>
      <c r="M1177" t="str">
        <f t="shared" si="96"/>
        <v>19950307 (MVS), 19950407 (AES)</v>
      </c>
      <c r="N1177" t="str">
        <f t="shared" si="96"/>
        <v>得点王3 栄光への挑戦</v>
      </c>
      <c r="O1177" t="str">
        <f t="shared" si="96"/>
        <v/>
      </c>
      <c r="P1177" t="str">
        <f t="shared" si="96"/>
        <v/>
      </c>
      <c r="Q1177" t="s">
        <v>4731</v>
      </c>
      <c r="S1177" t="s">
        <v>46</v>
      </c>
      <c r="T1177" t="str">
        <f t="shared" si="99"/>
        <v>ssideki3release</v>
      </c>
      <c r="U1177" t="s">
        <v>218</v>
      </c>
      <c r="V1177" t="str">
        <f t="shared" si="100"/>
        <v>MVS,AES</v>
      </c>
      <c r="W1177" t="str">
        <f t="shared" si="100"/>
        <v>MVS,AES</v>
      </c>
      <c r="Y1177" t="s">
        <v>45</v>
      </c>
      <c r="Z1177" t="s">
        <v>44</v>
      </c>
      <c r="AB1177" t="s">
        <v>43</v>
      </c>
      <c r="AC1177" t="s">
        <v>42</v>
      </c>
      <c r="AD1177" t="s">
        <v>41</v>
      </c>
      <c r="AE1177" t="s">
        <v>3</v>
      </c>
      <c r="AG1177" t="s">
        <v>40</v>
      </c>
      <c r="AH1177" t="s">
        <v>4730</v>
      </c>
      <c r="AI1177" t="s">
        <v>15</v>
      </c>
      <c r="AJ1177" t="s">
        <v>15</v>
      </c>
      <c r="AK1177" t="s">
        <v>4729</v>
      </c>
      <c r="AL1177" t="s">
        <v>4728</v>
      </c>
    </row>
    <row r="1178" spans="5:38" x14ac:dyDescent="0.25">
      <c r="I1178" t="str">
        <f t="shared" si="97"/>
        <v>ssideki3</v>
      </c>
      <c r="J1178" t="str">
        <f t="shared" si="98"/>
        <v>ssideki3release</v>
      </c>
      <c r="K1178" t="s">
        <v>46</v>
      </c>
      <c r="L1178" t="str">
        <f t="shared" si="96"/>
        <v>NGM-081 (MVS), NGH-081 (AES)</v>
      </c>
      <c r="M1178" t="str">
        <f t="shared" si="96"/>
        <v>19950307 (MVS), 19950407 (AES)</v>
      </c>
      <c r="N1178" t="str">
        <f t="shared" si="96"/>
        <v>得点王3 栄光への挑戦</v>
      </c>
      <c r="O1178" t="str">
        <f t="shared" si="96"/>
        <v/>
      </c>
      <c r="P1178" t="str">
        <f t="shared" si="96"/>
        <v/>
      </c>
      <c r="Q1178" t="s">
        <v>4727</v>
      </c>
      <c r="T1178" t="str">
        <f t="shared" si="99"/>
        <v/>
      </c>
      <c r="V1178" t="str">
        <f t="shared" si="100"/>
        <v>MVS,AES</v>
      </c>
      <c r="W1178" t="str">
        <f t="shared" si="100"/>
        <v>MVS,AES</v>
      </c>
      <c r="AG1178" t="s">
        <v>224</v>
      </c>
      <c r="AI1178" t="s">
        <v>9</v>
      </c>
      <c r="AJ1178" t="s">
        <v>15</v>
      </c>
    </row>
    <row r="1179" spans="5:38" x14ac:dyDescent="0.25">
      <c r="I1179" t="str">
        <f t="shared" si="97"/>
        <v>ssideki3</v>
      </c>
      <c r="J1179" t="str">
        <f t="shared" si="98"/>
        <v>ssideki3alt_title</v>
      </c>
      <c r="K1179" t="s">
        <v>1218</v>
      </c>
      <c r="L1179" t="str">
        <f t="shared" si="96"/>
        <v>NGM-081 (MVS), NGH-081 (AES)</v>
      </c>
      <c r="M1179" t="str">
        <f t="shared" si="96"/>
        <v>19950307 (MVS), 19950407 (AES)</v>
      </c>
      <c r="N1179" t="str">
        <f t="shared" si="96"/>
        <v>得点王3 栄光への挑戦</v>
      </c>
      <c r="O1179" t="str">
        <f t="shared" si="96"/>
        <v/>
      </c>
      <c r="P1179" t="str">
        <f t="shared" si="96"/>
        <v/>
      </c>
      <c r="Q1179" t="s">
        <v>4726</v>
      </c>
      <c r="T1179" t="str">
        <f t="shared" si="99"/>
        <v/>
      </c>
      <c r="V1179" t="str">
        <f t="shared" si="100"/>
        <v>MVS,AES</v>
      </c>
      <c r="W1179" t="str">
        <f t="shared" si="100"/>
        <v>MVS,AES</v>
      </c>
      <c r="AB1179" t="s">
        <v>34</v>
      </c>
      <c r="AE1179" t="s">
        <v>33</v>
      </c>
      <c r="AH1179" t="s">
        <v>4725</v>
      </c>
      <c r="AI1179" t="s">
        <v>9</v>
      </c>
      <c r="AJ1179" t="s">
        <v>27</v>
      </c>
      <c r="AK1179" t="s">
        <v>4724</v>
      </c>
      <c r="AL1179" t="s">
        <v>4723</v>
      </c>
    </row>
    <row r="1180" spans="5:38" x14ac:dyDescent="0.25">
      <c r="I1180" t="str">
        <f t="shared" si="97"/>
        <v>ssideki3</v>
      </c>
      <c r="J1180" t="str">
        <f t="shared" si="98"/>
        <v/>
      </c>
      <c r="L1180" t="str">
        <f t="shared" si="96"/>
        <v>NGM-081 (MVS), NGH-081 (AES)</v>
      </c>
      <c r="M1180" t="str">
        <f t="shared" si="96"/>
        <v>19950307 (MVS), 19950407 (AES)</v>
      </c>
      <c r="N1180" t="str">
        <f t="shared" si="96"/>
        <v>得点王3 栄光への挑戦</v>
      </c>
      <c r="O1180" t="str">
        <f t="shared" si="96"/>
        <v/>
      </c>
      <c r="P1180" t="str">
        <f t="shared" si="96"/>
        <v/>
      </c>
      <c r="S1180" t="s">
        <v>36</v>
      </c>
      <c r="T1180" t="str">
        <f t="shared" si="99"/>
        <v>ssideki3compatibility</v>
      </c>
      <c r="U1180" t="s">
        <v>218</v>
      </c>
      <c r="V1180" t="str">
        <f t="shared" si="100"/>
        <v>MVS,AES</v>
      </c>
      <c r="W1180" t="str">
        <f t="shared" si="100"/>
        <v>MVS,AES</v>
      </c>
      <c r="AB1180" t="s">
        <v>29</v>
      </c>
      <c r="AE1180" t="s">
        <v>27</v>
      </c>
      <c r="AH1180" t="s">
        <v>4722</v>
      </c>
      <c r="AI1180" t="s">
        <v>9</v>
      </c>
      <c r="AJ1180" t="s">
        <v>27</v>
      </c>
      <c r="AK1180" t="s">
        <v>4721</v>
      </c>
      <c r="AL1180" t="s">
        <v>4720</v>
      </c>
    </row>
    <row r="1181" spans="5:38" x14ac:dyDescent="0.25">
      <c r="I1181" t="str">
        <f t="shared" si="97"/>
        <v>ssideki3</v>
      </c>
      <c r="J1181" t="str">
        <f t="shared" si="98"/>
        <v/>
      </c>
      <c r="L1181" t="str">
        <f t="shared" si="96"/>
        <v>NGM-081 (MVS), NGH-081 (AES)</v>
      </c>
      <c r="M1181" t="str">
        <f t="shared" si="96"/>
        <v>19950307 (MVS), 19950407 (AES)</v>
      </c>
      <c r="N1181" t="str">
        <f t="shared" si="96"/>
        <v>得点王3 栄光への挑戦</v>
      </c>
      <c r="O1181" t="str">
        <f t="shared" si="96"/>
        <v/>
      </c>
      <c r="P1181" t="str">
        <f t="shared" si="96"/>
        <v/>
      </c>
      <c r="T1181" t="str">
        <f t="shared" si="99"/>
        <v/>
      </c>
      <c r="V1181" t="str">
        <f t="shared" si="100"/>
        <v>MVS,AES</v>
      </c>
      <c r="W1181" t="str">
        <f t="shared" si="100"/>
        <v>MVS,AES</v>
      </c>
      <c r="AB1181" t="s">
        <v>24</v>
      </c>
      <c r="AE1181" t="s">
        <v>75</v>
      </c>
      <c r="AH1181" t="s">
        <v>4719</v>
      </c>
      <c r="AI1181" t="s">
        <v>9</v>
      </c>
      <c r="AJ1181" t="s">
        <v>3</v>
      </c>
      <c r="AK1181" t="s">
        <v>4718</v>
      </c>
      <c r="AL1181" t="s">
        <v>4717</v>
      </c>
    </row>
    <row r="1182" spans="5:38" x14ac:dyDescent="0.25">
      <c r="I1182" t="str">
        <f t="shared" si="97"/>
        <v>ssideki3</v>
      </c>
      <c r="J1182" t="str">
        <f t="shared" si="98"/>
        <v/>
      </c>
      <c r="L1182" t="str">
        <f t="shared" si="96"/>
        <v>NGM-081 (MVS), NGH-081 (AES)</v>
      </c>
      <c r="M1182" t="str">
        <f t="shared" si="96"/>
        <v>19950307 (MVS), 19950407 (AES)</v>
      </c>
      <c r="N1182" t="str">
        <f t="shared" si="96"/>
        <v>得点王3 栄光への挑戦</v>
      </c>
      <c r="O1182" t="str">
        <f t="shared" si="96"/>
        <v/>
      </c>
      <c r="P1182" t="str">
        <f t="shared" si="96"/>
        <v/>
      </c>
      <c r="T1182" t="str">
        <f t="shared" si="99"/>
        <v/>
      </c>
      <c r="V1182" t="str">
        <f t="shared" si="100"/>
        <v>MVS,AES</v>
      </c>
      <c r="W1182" t="str">
        <f t="shared" si="100"/>
        <v>MVS,AES</v>
      </c>
      <c r="AH1182" t="s">
        <v>4716</v>
      </c>
      <c r="AI1182" t="s">
        <v>3</v>
      </c>
      <c r="AJ1182" t="s">
        <v>3</v>
      </c>
      <c r="AK1182" t="s">
        <v>4715</v>
      </c>
      <c r="AL1182" t="s">
        <v>4714</v>
      </c>
    </row>
    <row r="1183" spans="5:38" x14ac:dyDescent="0.25">
      <c r="I1183" t="str">
        <f t="shared" si="97"/>
        <v>ssideki3</v>
      </c>
      <c r="J1183" t="str">
        <f t="shared" si="98"/>
        <v/>
      </c>
      <c r="L1183" t="str">
        <f t="shared" si="96"/>
        <v>NGM-081 (MVS), NGH-081 (AES)</v>
      </c>
      <c r="M1183" t="str">
        <f t="shared" si="96"/>
        <v>19950307 (MVS), 19950407 (AES)</v>
      </c>
      <c r="N1183" t="str">
        <f t="shared" si="96"/>
        <v>得点王3 栄光への挑戦</v>
      </c>
      <c r="O1183" t="str">
        <f t="shared" si="96"/>
        <v/>
      </c>
      <c r="P1183" t="str">
        <f t="shared" si="96"/>
        <v/>
      </c>
      <c r="T1183" t="str">
        <f t="shared" si="99"/>
        <v/>
      </c>
      <c r="V1183" t="str">
        <f t="shared" si="100"/>
        <v>MVS,AES</v>
      </c>
      <c r="W1183" t="str">
        <f t="shared" si="100"/>
        <v>MVS,AES</v>
      </c>
      <c r="AH1183" t="s">
        <v>4713</v>
      </c>
      <c r="AI1183" t="s">
        <v>11</v>
      </c>
      <c r="AJ1183" t="s">
        <v>3</v>
      </c>
      <c r="AK1183" t="s">
        <v>4712</v>
      </c>
      <c r="AL1183" t="s">
        <v>4711</v>
      </c>
    </row>
    <row r="1184" spans="5:38" x14ac:dyDescent="0.25">
      <c r="I1184" t="str">
        <f t="shared" si="97"/>
        <v>ssideki3</v>
      </c>
      <c r="J1184" t="str">
        <f t="shared" si="98"/>
        <v/>
      </c>
      <c r="L1184" t="str">
        <f t="shared" si="96"/>
        <v>NGM-081 (MVS), NGH-081 (AES)</v>
      </c>
      <c r="M1184" t="str">
        <f t="shared" si="96"/>
        <v>19950307 (MVS), 19950407 (AES)</v>
      </c>
      <c r="N1184" t="str">
        <f t="shared" si="96"/>
        <v>得点王3 栄光への挑戦</v>
      </c>
      <c r="O1184" t="str">
        <f t="shared" si="96"/>
        <v/>
      </c>
      <c r="P1184" t="str">
        <f t="shared" si="96"/>
        <v/>
      </c>
      <c r="T1184" t="str">
        <f t="shared" si="99"/>
        <v/>
      </c>
      <c r="V1184" t="str">
        <f t="shared" si="100"/>
        <v>MVS,AES</v>
      </c>
      <c r="W1184" t="str">
        <f t="shared" si="100"/>
        <v>MVS,AES</v>
      </c>
      <c r="AB1184" t="s">
        <v>12</v>
      </c>
      <c r="AE1184" t="s">
        <v>250</v>
      </c>
      <c r="AG1184" t="s">
        <v>6</v>
      </c>
      <c r="AH1184" t="s">
        <v>4710</v>
      </c>
      <c r="AI1184" t="s">
        <v>9</v>
      </c>
      <c r="AJ1184" t="s">
        <v>3</v>
      </c>
      <c r="AK1184" t="s">
        <v>4709</v>
      </c>
      <c r="AL1184" t="s">
        <v>4708</v>
      </c>
    </row>
    <row r="1185" spans="5:38" x14ac:dyDescent="0.25">
      <c r="I1185" t="str">
        <f t="shared" si="97"/>
        <v>ssideki3</v>
      </c>
      <c r="J1185" t="str">
        <f t="shared" si="98"/>
        <v/>
      </c>
      <c r="L1185" t="str">
        <f t="shared" si="96"/>
        <v>NGM-081 (MVS), NGH-081 (AES)</v>
      </c>
      <c r="M1185" t="str">
        <f t="shared" si="96"/>
        <v>19950307 (MVS), 19950407 (AES)</v>
      </c>
      <c r="N1185" t="str">
        <f t="shared" si="96"/>
        <v>得点王3 栄光への挑戦</v>
      </c>
      <c r="O1185" t="str">
        <f t="shared" si="96"/>
        <v/>
      </c>
      <c r="P1185" t="str">
        <f t="shared" si="96"/>
        <v/>
      </c>
      <c r="T1185" t="str">
        <f t="shared" si="99"/>
        <v/>
      </c>
      <c r="V1185" t="str">
        <f t="shared" si="100"/>
        <v>MVS,AES</v>
      </c>
      <c r="W1185" t="str">
        <f t="shared" si="100"/>
        <v>MVS,AES</v>
      </c>
      <c r="AG1185" t="s">
        <v>6</v>
      </c>
      <c r="AH1185" t="s">
        <v>4707</v>
      </c>
      <c r="AI1185" t="s">
        <v>4</v>
      </c>
      <c r="AJ1185" t="s">
        <v>3</v>
      </c>
      <c r="AK1185" t="s">
        <v>4706</v>
      </c>
      <c r="AL1185" t="s">
        <v>4705</v>
      </c>
    </row>
    <row r="1186" spans="5:38" x14ac:dyDescent="0.25">
      <c r="I1186" t="str">
        <f t="shared" si="97"/>
        <v>ssideki3</v>
      </c>
      <c r="J1186" t="str">
        <f t="shared" si="98"/>
        <v/>
      </c>
      <c r="L1186" t="str">
        <f t="shared" si="96"/>
        <v>NGM-081 (MVS), NGH-081 (AES)</v>
      </c>
      <c r="M1186" t="str">
        <f t="shared" si="96"/>
        <v>19950307 (MVS), 19950407 (AES)</v>
      </c>
      <c r="N1186" t="str">
        <f t="shared" si="96"/>
        <v>得点王3 栄光への挑戦</v>
      </c>
      <c r="O1186" t="str">
        <f t="shared" si="96"/>
        <v/>
      </c>
      <c r="P1186" t="str">
        <f t="shared" si="96"/>
        <v/>
      </c>
      <c r="T1186" t="str">
        <f t="shared" si="99"/>
        <v/>
      </c>
      <c r="V1186" t="str">
        <f t="shared" si="100"/>
        <v>MVS,AES</v>
      </c>
      <c r="W1186" t="str">
        <f t="shared" si="100"/>
        <v>MVS,AES</v>
      </c>
      <c r="AG1186" t="s">
        <v>6</v>
      </c>
      <c r="AH1186" t="s">
        <v>4704</v>
      </c>
      <c r="AI1186" t="s">
        <v>11</v>
      </c>
      <c r="AJ1186" t="s">
        <v>3</v>
      </c>
      <c r="AK1186" t="s">
        <v>4703</v>
      </c>
      <c r="AL1186" t="s">
        <v>4702</v>
      </c>
    </row>
    <row r="1187" spans="5:38" x14ac:dyDescent="0.25">
      <c r="I1187" t="str">
        <f t="shared" si="97"/>
        <v>ssideki3</v>
      </c>
      <c r="J1187" t="str">
        <f t="shared" si="98"/>
        <v/>
      </c>
      <c r="L1187" t="str">
        <f t="shared" si="96"/>
        <v>NGM-081 (MVS), NGH-081 (AES)</v>
      </c>
      <c r="M1187" t="str">
        <f t="shared" si="96"/>
        <v>19950307 (MVS), 19950407 (AES)</v>
      </c>
      <c r="N1187" t="str">
        <f t="shared" si="96"/>
        <v>得点王3 栄光への挑戦</v>
      </c>
      <c r="O1187" t="str">
        <f t="shared" si="96"/>
        <v/>
      </c>
      <c r="P1187" t="str">
        <f t="shared" si="96"/>
        <v/>
      </c>
      <c r="T1187" t="str">
        <f t="shared" si="99"/>
        <v/>
      </c>
      <c r="V1187" t="str">
        <f t="shared" si="100"/>
        <v>MVS,AES</v>
      </c>
      <c r="W1187" t="str">
        <f t="shared" si="100"/>
        <v>MVS,AES</v>
      </c>
      <c r="AG1187" t="s">
        <v>6</v>
      </c>
      <c r="AH1187" t="s">
        <v>4701</v>
      </c>
      <c r="AI1187" t="s">
        <v>932</v>
      </c>
      <c r="AJ1187" t="s">
        <v>3</v>
      </c>
      <c r="AK1187" t="s">
        <v>4700</v>
      </c>
      <c r="AL1187" t="s">
        <v>4699</v>
      </c>
    </row>
    <row r="1188" spans="5:38" x14ac:dyDescent="0.25">
      <c r="I1188" t="str">
        <f t="shared" si="97"/>
        <v>ssideki3</v>
      </c>
      <c r="J1188" t="str">
        <f t="shared" si="98"/>
        <v/>
      </c>
      <c r="L1188" t="str">
        <f t="shared" ref="L1188:P1238" si="101">IFERROR(VLOOKUP($I1188&amp;L$1,$J:$Q,8,0),"")</f>
        <v>NGM-081 (MVS), NGH-081 (AES)</v>
      </c>
      <c r="M1188" t="str">
        <f t="shared" si="101"/>
        <v>19950307 (MVS), 19950407 (AES)</v>
      </c>
      <c r="N1188" t="str">
        <f t="shared" si="101"/>
        <v>得点王3 栄光への挑戦</v>
      </c>
      <c r="O1188" t="str">
        <f t="shared" si="101"/>
        <v/>
      </c>
      <c r="P1188" t="str">
        <f t="shared" si="101"/>
        <v/>
      </c>
      <c r="T1188" t="str">
        <f t="shared" si="99"/>
        <v/>
      </c>
      <c r="V1188" t="str">
        <f t="shared" si="100"/>
        <v>MVS,AES</v>
      </c>
      <c r="W1188" t="str">
        <f t="shared" si="100"/>
        <v>MVS,AES</v>
      </c>
      <c r="AG1188" t="s">
        <v>6</v>
      </c>
      <c r="AH1188" t="s">
        <v>4698</v>
      </c>
      <c r="AI1188" t="s">
        <v>57</v>
      </c>
      <c r="AJ1188" t="s">
        <v>3</v>
      </c>
      <c r="AK1188" t="s">
        <v>4697</v>
      </c>
      <c r="AL1188" t="s">
        <v>4696</v>
      </c>
    </row>
    <row r="1189" spans="5:38" x14ac:dyDescent="0.25">
      <c r="I1189" t="str">
        <f t="shared" si="97"/>
        <v>ssideki3</v>
      </c>
      <c r="J1189" t="str">
        <f t="shared" si="98"/>
        <v/>
      </c>
      <c r="L1189" t="str">
        <f t="shared" si="101"/>
        <v>NGM-081 (MVS), NGH-081 (AES)</v>
      </c>
      <c r="M1189" t="str">
        <f t="shared" si="101"/>
        <v>19950307 (MVS), 19950407 (AES)</v>
      </c>
      <c r="N1189" t="str">
        <f t="shared" si="101"/>
        <v>得点王3 栄光への挑戦</v>
      </c>
      <c r="O1189" t="str">
        <f t="shared" si="101"/>
        <v/>
      </c>
      <c r="P1189" t="str">
        <f t="shared" si="101"/>
        <v/>
      </c>
      <c r="T1189" t="str">
        <f t="shared" si="99"/>
        <v/>
      </c>
      <c r="V1189" t="str">
        <f t="shared" si="100"/>
        <v>MVS,AES</v>
      </c>
      <c r="W1189" t="str">
        <f t="shared" si="100"/>
        <v>MVS,AES</v>
      </c>
      <c r="AG1189" t="s">
        <v>6</v>
      </c>
      <c r="AH1189" t="s">
        <v>4695</v>
      </c>
      <c r="AI1189" t="s">
        <v>53</v>
      </c>
      <c r="AJ1189" t="s">
        <v>3</v>
      </c>
      <c r="AK1189" t="s">
        <v>4694</v>
      </c>
      <c r="AL1189" t="s">
        <v>4693</v>
      </c>
    </row>
    <row r="1190" spans="5:38" x14ac:dyDescent="0.25">
      <c r="E1190" t="s">
        <v>4692</v>
      </c>
      <c r="F1190" t="s">
        <v>4691</v>
      </c>
      <c r="G1190" t="s">
        <v>1239</v>
      </c>
      <c r="H1190" t="s">
        <v>3827</v>
      </c>
      <c r="I1190" t="str">
        <f t="shared" si="97"/>
        <v>doubledr</v>
      </c>
      <c r="J1190" t="str">
        <f t="shared" si="98"/>
        <v>doubledrserial</v>
      </c>
      <c r="K1190" t="s">
        <v>1373</v>
      </c>
      <c r="L1190" t="str">
        <f t="shared" si="101"/>
        <v>NGM-082 (MVS), NGH-082 (AES)</v>
      </c>
      <c r="M1190" t="str">
        <f t="shared" si="101"/>
        <v>19950303 (MVS), 19950331 (AES)</v>
      </c>
      <c r="N1190" t="str">
        <f t="shared" si="101"/>
        <v>ダブルドラゴン</v>
      </c>
      <c r="O1190" t="str">
        <f t="shared" si="101"/>
        <v/>
      </c>
      <c r="P1190" t="str">
        <f t="shared" si="101"/>
        <v/>
      </c>
      <c r="Q1190" t="s">
        <v>4690</v>
      </c>
      <c r="S1190" t="s">
        <v>46</v>
      </c>
      <c r="T1190" t="str">
        <f t="shared" si="99"/>
        <v>doubledrrelease</v>
      </c>
      <c r="U1190" t="s">
        <v>218</v>
      </c>
      <c r="V1190" t="str">
        <f t="shared" si="100"/>
        <v>MVS,AES</v>
      </c>
      <c r="W1190" t="str">
        <f t="shared" si="100"/>
        <v>MVS,AES</v>
      </c>
      <c r="Y1190" t="s">
        <v>45</v>
      </c>
      <c r="Z1190" t="s">
        <v>44</v>
      </c>
      <c r="AB1190" t="s">
        <v>43</v>
      </c>
      <c r="AC1190" t="s">
        <v>42</v>
      </c>
      <c r="AD1190" t="s">
        <v>41</v>
      </c>
      <c r="AE1190" t="s">
        <v>3</v>
      </c>
      <c r="AG1190" t="s">
        <v>40</v>
      </c>
      <c r="AH1190" t="s">
        <v>4689</v>
      </c>
      <c r="AI1190" t="s">
        <v>15</v>
      </c>
      <c r="AJ1190" t="s">
        <v>15</v>
      </c>
      <c r="AK1190" t="s">
        <v>4688</v>
      </c>
      <c r="AL1190" t="s">
        <v>4687</v>
      </c>
    </row>
    <row r="1191" spans="5:38" x14ac:dyDescent="0.25">
      <c r="I1191" t="str">
        <f t="shared" si="97"/>
        <v>doubledr</v>
      </c>
      <c r="J1191" t="str">
        <f t="shared" si="98"/>
        <v>doubledrrelease</v>
      </c>
      <c r="K1191" t="s">
        <v>46</v>
      </c>
      <c r="L1191" t="str">
        <f t="shared" si="101"/>
        <v>NGM-082 (MVS), NGH-082 (AES)</v>
      </c>
      <c r="M1191" t="str">
        <f t="shared" si="101"/>
        <v>19950303 (MVS), 19950331 (AES)</v>
      </c>
      <c r="N1191" t="str">
        <f t="shared" si="101"/>
        <v>ダブルドラゴン</v>
      </c>
      <c r="O1191" t="str">
        <f t="shared" si="101"/>
        <v/>
      </c>
      <c r="P1191" t="str">
        <f t="shared" si="101"/>
        <v/>
      </c>
      <c r="Q1191" t="s">
        <v>4686</v>
      </c>
      <c r="T1191" t="str">
        <f t="shared" si="99"/>
        <v/>
      </c>
      <c r="V1191" t="str">
        <f t="shared" si="100"/>
        <v>MVS,AES</v>
      </c>
      <c r="W1191" t="str">
        <f t="shared" si="100"/>
        <v>MVS,AES</v>
      </c>
      <c r="AG1191" t="s">
        <v>224</v>
      </c>
      <c r="AI1191" t="s">
        <v>9</v>
      </c>
      <c r="AJ1191" t="s">
        <v>15</v>
      </c>
    </row>
    <row r="1192" spans="5:38" x14ac:dyDescent="0.25">
      <c r="I1192" t="str">
        <f t="shared" si="97"/>
        <v>doubledr</v>
      </c>
      <c r="J1192" t="str">
        <f t="shared" si="98"/>
        <v>doubledralt_title</v>
      </c>
      <c r="K1192" t="s">
        <v>1218</v>
      </c>
      <c r="L1192" t="str">
        <f t="shared" si="101"/>
        <v>NGM-082 (MVS), NGH-082 (AES)</v>
      </c>
      <c r="M1192" t="str">
        <f t="shared" si="101"/>
        <v>19950303 (MVS), 19950331 (AES)</v>
      </c>
      <c r="N1192" t="str">
        <f t="shared" si="101"/>
        <v>ダブルドラゴン</v>
      </c>
      <c r="O1192" t="str">
        <f t="shared" si="101"/>
        <v/>
      </c>
      <c r="P1192" t="str">
        <f t="shared" si="101"/>
        <v/>
      </c>
      <c r="Q1192" t="s">
        <v>4685</v>
      </c>
      <c r="T1192" t="str">
        <f t="shared" si="99"/>
        <v/>
      </c>
      <c r="V1192" t="str">
        <f t="shared" si="100"/>
        <v>MVS,AES</v>
      </c>
      <c r="W1192" t="str">
        <f t="shared" si="100"/>
        <v>MVS,AES</v>
      </c>
      <c r="AB1192" t="s">
        <v>34</v>
      </c>
      <c r="AE1192" t="s">
        <v>33</v>
      </c>
      <c r="AH1192" t="s">
        <v>4684</v>
      </c>
      <c r="AI1192" t="s">
        <v>9</v>
      </c>
      <c r="AJ1192" t="s">
        <v>27</v>
      </c>
      <c r="AK1192" t="s">
        <v>4683</v>
      </c>
      <c r="AL1192" t="s">
        <v>4682</v>
      </c>
    </row>
    <row r="1193" spans="5:38" x14ac:dyDescent="0.25">
      <c r="I1193" t="str">
        <f t="shared" si="97"/>
        <v>doubledr</v>
      </c>
      <c r="J1193" t="str">
        <f t="shared" si="98"/>
        <v/>
      </c>
      <c r="L1193" t="str">
        <f t="shared" si="101"/>
        <v>NGM-082 (MVS), NGH-082 (AES)</v>
      </c>
      <c r="M1193" t="str">
        <f t="shared" si="101"/>
        <v>19950303 (MVS), 19950331 (AES)</v>
      </c>
      <c r="N1193" t="str">
        <f t="shared" si="101"/>
        <v>ダブルドラゴン</v>
      </c>
      <c r="O1193" t="str">
        <f t="shared" si="101"/>
        <v/>
      </c>
      <c r="P1193" t="str">
        <f t="shared" si="101"/>
        <v/>
      </c>
      <c r="S1193" t="s">
        <v>36</v>
      </c>
      <c r="T1193" t="str">
        <f t="shared" si="99"/>
        <v>doubledrcompatibility</v>
      </c>
      <c r="U1193" t="s">
        <v>218</v>
      </c>
      <c r="V1193" t="str">
        <f t="shared" si="100"/>
        <v>MVS,AES</v>
      </c>
      <c r="W1193" t="str">
        <f t="shared" si="100"/>
        <v>MVS,AES</v>
      </c>
      <c r="AB1193" t="s">
        <v>29</v>
      </c>
      <c r="AE1193" t="s">
        <v>27</v>
      </c>
      <c r="AH1193" t="s">
        <v>4681</v>
      </c>
      <c r="AI1193" t="s">
        <v>9</v>
      </c>
      <c r="AJ1193" t="s">
        <v>27</v>
      </c>
      <c r="AK1193" t="s">
        <v>4680</v>
      </c>
      <c r="AL1193" t="s">
        <v>4679</v>
      </c>
    </row>
    <row r="1194" spans="5:38" x14ac:dyDescent="0.25">
      <c r="I1194" t="str">
        <f t="shared" si="97"/>
        <v>doubledr</v>
      </c>
      <c r="J1194" t="str">
        <f t="shared" si="98"/>
        <v/>
      </c>
      <c r="L1194" t="str">
        <f t="shared" si="101"/>
        <v>NGM-082 (MVS), NGH-082 (AES)</v>
      </c>
      <c r="M1194" t="str">
        <f t="shared" si="101"/>
        <v>19950303 (MVS), 19950331 (AES)</v>
      </c>
      <c r="N1194" t="str">
        <f t="shared" si="101"/>
        <v>ダブルドラゴン</v>
      </c>
      <c r="O1194" t="str">
        <f t="shared" si="101"/>
        <v/>
      </c>
      <c r="P1194" t="str">
        <f t="shared" si="101"/>
        <v/>
      </c>
      <c r="T1194" t="str">
        <f t="shared" si="99"/>
        <v/>
      </c>
      <c r="V1194" t="str">
        <f t="shared" si="100"/>
        <v>MVS,AES</v>
      </c>
      <c r="W1194" t="str">
        <f t="shared" si="100"/>
        <v>MVS,AES</v>
      </c>
      <c r="AB1194" t="s">
        <v>24</v>
      </c>
      <c r="AE1194" t="s">
        <v>11</v>
      </c>
      <c r="AH1194" t="s">
        <v>4678</v>
      </c>
      <c r="AI1194" t="s">
        <v>9</v>
      </c>
      <c r="AJ1194" t="s">
        <v>3</v>
      </c>
      <c r="AK1194" t="s">
        <v>4677</v>
      </c>
      <c r="AL1194" t="s">
        <v>4676</v>
      </c>
    </row>
    <row r="1195" spans="5:38" x14ac:dyDescent="0.25">
      <c r="I1195" t="str">
        <f t="shared" si="97"/>
        <v>doubledr</v>
      </c>
      <c r="J1195" t="str">
        <f t="shared" si="98"/>
        <v/>
      </c>
      <c r="L1195" t="str">
        <f t="shared" si="101"/>
        <v>NGM-082 (MVS), NGH-082 (AES)</v>
      </c>
      <c r="M1195" t="str">
        <f t="shared" si="101"/>
        <v>19950303 (MVS), 19950331 (AES)</v>
      </c>
      <c r="N1195" t="str">
        <f t="shared" si="101"/>
        <v>ダブルドラゴン</v>
      </c>
      <c r="O1195" t="str">
        <f t="shared" si="101"/>
        <v/>
      </c>
      <c r="P1195" t="str">
        <f t="shared" si="101"/>
        <v/>
      </c>
      <c r="T1195" t="str">
        <f t="shared" si="99"/>
        <v/>
      </c>
      <c r="V1195" t="str">
        <f t="shared" si="100"/>
        <v>MVS,AES</v>
      </c>
      <c r="W1195" t="str">
        <f t="shared" si="100"/>
        <v>MVS,AES</v>
      </c>
      <c r="AH1195" t="s">
        <v>4675</v>
      </c>
      <c r="AI1195" t="s">
        <v>3</v>
      </c>
      <c r="AJ1195" t="s">
        <v>3</v>
      </c>
      <c r="AK1195" t="s">
        <v>4674</v>
      </c>
      <c r="AL1195" t="s">
        <v>4673</v>
      </c>
    </row>
    <row r="1196" spans="5:38" x14ac:dyDescent="0.25">
      <c r="I1196" t="str">
        <f t="shared" si="97"/>
        <v>doubledr</v>
      </c>
      <c r="J1196" t="str">
        <f t="shared" si="98"/>
        <v/>
      </c>
      <c r="L1196" t="str">
        <f t="shared" si="101"/>
        <v>NGM-082 (MVS), NGH-082 (AES)</v>
      </c>
      <c r="M1196" t="str">
        <f t="shared" si="101"/>
        <v>19950303 (MVS), 19950331 (AES)</v>
      </c>
      <c r="N1196" t="str">
        <f t="shared" si="101"/>
        <v>ダブルドラゴン</v>
      </c>
      <c r="O1196" t="str">
        <f t="shared" si="101"/>
        <v/>
      </c>
      <c r="P1196" t="str">
        <f t="shared" si="101"/>
        <v/>
      </c>
      <c r="T1196" t="str">
        <f t="shared" si="99"/>
        <v/>
      </c>
      <c r="V1196" t="str">
        <f t="shared" si="100"/>
        <v>MVS,AES</v>
      </c>
      <c r="W1196" t="str">
        <f t="shared" si="100"/>
        <v>MVS,AES</v>
      </c>
      <c r="AB1196" t="s">
        <v>12</v>
      </c>
      <c r="AE1196" t="s">
        <v>4672</v>
      </c>
      <c r="AG1196" t="s">
        <v>6</v>
      </c>
      <c r="AH1196" t="s">
        <v>4671</v>
      </c>
      <c r="AI1196" t="s">
        <v>9</v>
      </c>
      <c r="AJ1196" t="s">
        <v>3</v>
      </c>
      <c r="AK1196" t="s">
        <v>4670</v>
      </c>
      <c r="AL1196" t="s">
        <v>4669</v>
      </c>
    </row>
    <row r="1197" spans="5:38" x14ac:dyDescent="0.25">
      <c r="I1197" t="str">
        <f t="shared" si="97"/>
        <v>doubledr</v>
      </c>
      <c r="J1197" t="str">
        <f t="shared" si="98"/>
        <v/>
      </c>
      <c r="L1197" t="str">
        <f t="shared" si="101"/>
        <v>NGM-082 (MVS), NGH-082 (AES)</v>
      </c>
      <c r="M1197" t="str">
        <f t="shared" si="101"/>
        <v>19950303 (MVS), 19950331 (AES)</v>
      </c>
      <c r="N1197" t="str">
        <f t="shared" si="101"/>
        <v>ダブルドラゴン</v>
      </c>
      <c r="O1197" t="str">
        <f t="shared" si="101"/>
        <v/>
      </c>
      <c r="P1197" t="str">
        <f t="shared" si="101"/>
        <v/>
      </c>
      <c r="T1197" t="str">
        <f t="shared" si="99"/>
        <v/>
      </c>
      <c r="V1197" t="str">
        <f t="shared" si="100"/>
        <v>MVS,AES</v>
      </c>
      <c r="W1197" t="str">
        <f t="shared" si="100"/>
        <v>MVS,AES</v>
      </c>
      <c r="AG1197" t="s">
        <v>6</v>
      </c>
      <c r="AH1197" t="s">
        <v>4668</v>
      </c>
      <c r="AI1197" t="s">
        <v>4</v>
      </c>
      <c r="AJ1197" t="s">
        <v>3</v>
      </c>
      <c r="AK1197" t="s">
        <v>4667</v>
      </c>
      <c r="AL1197" t="s">
        <v>4666</v>
      </c>
    </row>
    <row r="1198" spans="5:38" x14ac:dyDescent="0.25">
      <c r="I1198" t="str">
        <f t="shared" si="97"/>
        <v>doubledr</v>
      </c>
      <c r="J1198" t="str">
        <f t="shared" si="98"/>
        <v/>
      </c>
      <c r="L1198" t="str">
        <f t="shared" si="101"/>
        <v>NGM-082 (MVS), NGH-082 (AES)</v>
      </c>
      <c r="M1198" t="str">
        <f t="shared" si="101"/>
        <v>19950303 (MVS), 19950331 (AES)</v>
      </c>
      <c r="N1198" t="str">
        <f t="shared" si="101"/>
        <v>ダブルドラゴン</v>
      </c>
      <c r="O1198" t="str">
        <f t="shared" si="101"/>
        <v/>
      </c>
      <c r="P1198" t="str">
        <f t="shared" si="101"/>
        <v/>
      </c>
      <c r="T1198" t="str">
        <f t="shared" si="99"/>
        <v/>
      </c>
      <c r="V1198" t="str">
        <f t="shared" si="100"/>
        <v>MVS,AES</v>
      </c>
      <c r="W1198" t="str">
        <f t="shared" si="100"/>
        <v>MVS,AES</v>
      </c>
      <c r="AG1198" t="s">
        <v>6</v>
      </c>
      <c r="AH1198" t="s">
        <v>4665</v>
      </c>
      <c r="AI1198" t="s">
        <v>11</v>
      </c>
      <c r="AJ1198" t="s">
        <v>3</v>
      </c>
      <c r="AK1198" t="s">
        <v>4664</v>
      </c>
      <c r="AL1198" t="s">
        <v>4663</v>
      </c>
    </row>
    <row r="1199" spans="5:38" x14ac:dyDescent="0.25">
      <c r="I1199" t="str">
        <f t="shared" si="97"/>
        <v>doubledr</v>
      </c>
      <c r="J1199" t="str">
        <f t="shared" si="98"/>
        <v/>
      </c>
      <c r="L1199" t="str">
        <f t="shared" si="101"/>
        <v>NGM-082 (MVS), NGH-082 (AES)</v>
      </c>
      <c r="M1199" t="str">
        <f t="shared" si="101"/>
        <v>19950303 (MVS), 19950331 (AES)</v>
      </c>
      <c r="N1199" t="str">
        <f t="shared" si="101"/>
        <v>ダブルドラゴン</v>
      </c>
      <c r="O1199" t="str">
        <f t="shared" si="101"/>
        <v/>
      </c>
      <c r="P1199" t="str">
        <f t="shared" si="101"/>
        <v/>
      </c>
      <c r="T1199" t="str">
        <f t="shared" si="99"/>
        <v/>
      </c>
      <c r="V1199" t="str">
        <f t="shared" si="100"/>
        <v>MVS,AES</v>
      </c>
      <c r="W1199" t="str">
        <f t="shared" si="100"/>
        <v>MVS,AES</v>
      </c>
      <c r="AG1199" t="s">
        <v>6</v>
      </c>
      <c r="AH1199" t="s">
        <v>4662</v>
      </c>
      <c r="AI1199" t="s">
        <v>932</v>
      </c>
      <c r="AJ1199" t="s">
        <v>3</v>
      </c>
      <c r="AK1199" t="s">
        <v>4661</v>
      </c>
      <c r="AL1199" t="s">
        <v>4660</v>
      </c>
    </row>
    <row r="1200" spans="5:38" x14ac:dyDescent="0.25">
      <c r="I1200" t="str">
        <f t="shared" si="97"/>
        <v>doubledr</v>
      </c>
      <c r="J1200" t="str">
        <f t="shared" si="98"/>
        <v/>
      </c>
      <c r="L1200" t="str">
        <f t="shared" si="101"/>
        <v>NGM-082 (MVS), NGH-082 (AES)</v>
      </c>
      <c r="M1200" t="str">
        <f t="shared" si="101"/>
        <v>19950303 (MVS), 19950331 (AES)</v>
      </c>
      <c r="N1200" t="str">
        <f t="shared" si="101"/>
        <v>ダブルドラゴン</v>
      </c>
      <c r="O1200" t="str">
        <f t="shared" si="101"/>
        <v/>
      </c>
      <c r="P1200" t="str">
        <f t="shared" si="101"/>
        <v/>
      </c>
      <c r="T1200" t="str">
        <f t="shared" si="99"/>
        <v/>
      </c>
      <c r="V1200" t="str">
        <f t="shared" si="100"/>
        <v>MVS,AES</v>
      </c>
      <c r="W1200" t="str">
        <f t="shared" si="100"/>
        <v>MVS,AES</v>
      </c>
      <c r="AG1200" t="s">
        <v>6</v>
      </c>
      <c r="AH1200" t="s">
        <v>4659</v>
      </c>
      <c r="AI1200" t="s">
        <v>57</v>
      </c>
      <c r="AJ1200" t="s">
        <v>3</v>
      </c>
      <c r="AK1200" t="s">
        <v>4658</v>
      </c>
      <c r="AL1200" t="s">
        <v>4657</v>
      </c>
    </row>
    <row r="1201" spans="5:38" x14ac:dyDescent="0.25">
      <c r="I1201" t="str">
        <f t="shared" si="97"/>
        <v>doubledr</v>
      </c>
      <c r="J1201" t="str">
        <f t="shared" si="98"/>
        <v/>
      </c>
      <c r="L1201" t="str">
        <f t="shared" si="101"/>
        <v>NGM-082 (MVS), NGH-082 (AES)</v>
      </c>
      <c r="M1201" t="str">
        <f t="shared" si="101"/>
        <v>19950303 (MVS), 19950331 (AES)</v>
      </c>
      <c r="N1201" t="str">
        <f t="shared" si="101"/>
        <v>ダブルドラゴン</v>
      </c>
      <c r="O1201" t="str">
        <f t="shared" si="101"/>
        <v/>
      </c>
      <c r="P1201" t="str">
        <f t="shared" si="101"/>
        <v/>
      </c>
      <c r="T1201" t="str">
        <f t="shared" si="99"/>
        <v/>
      </c>
      <c r="V1201" t="str">
        <f t="shared" si="100"/>
        <v>MVS,AES</v>
      </c>
      <c r="W1201" t="str">
        <f t="shared" si="100"/>
        <v>MVS,AES</v>
      </c>
      <c r="AG1201" t="s">
        <v>6</v>
      </c>
      <c r="AH1201" t="s">
        <v>4656</v>
      </c>
      <c r="AI1201" t="s">
        <v>53</v>
      </c>
      <c r="AJ1201" t="s">
        <v>3</v>
      </c>
      <c r="AK1201" t="s">
        <v>4655</v>
      </c>
      <c r="AL1201" t="s">
        <v>4654</v>
      </c>
    </row>
    <row r="1202" spans="5:38" x14ac:dyDescent="0.25">
      <c r="I1202" t="str">
        <f t="shared" si="97"/>
        <v>doubledr</v>
      </c>
      <c r="J1202" t="str">
        <f t="shared" si="98"/>
        <v/>
      </c>
      <c r="L1202" t="str">
        <f t="shared" si="101"/>
        <v>NGM-082 (MVS), NGH-082 (AES)</v>
      </c>
      <c r="M1202" t="str">
        <f t="shared" si="101"/>
        <v>19950303 (MVS), 19950331 (AES)</v>
      </c>
      <c r="N1202" t="str">
        <f t="shared" si="101"/>
        <v>ダブルドラゴン</v>
      </c>
      <c r="O1202" t="str">
        <f t="shared" si="101"/>
        <v/>
      </c>
      <c r="P1202" t="str">
        <f t="shared" si="101"/>
        <v/>
      </c>
      <c r="T1202" t="str">
        <f t="shared" si="99"/>
        <v/>
      </c>
      <c r="V1202" t="str">
        <f t="shared" si="100"/>
        <v>MVS,AES</v>
      </c>
      <c r="W1202" t="str">
        <f t="shared" si="100"/>
        <v>MVS,AES</v>
      </c>
      <c r="AG1202" t="s">
        <v>6</v>
      </c>
      <c r="AH1202" t="s">
        <v>4653</v>
      </c>
      <c r="AI1202" t="s">
        <v>250</v>
      </c>
      <c r="AJ1202" t="s">
        <v>15</v>
      </c>
      <c r="AK1202" t="s">
        <v>4652</v>
      </c>
      <c r="AL1202" t="s">
        <v>4651</v>
      </c>
    </row>
    <row r="1203" spans="5:38" x14ac:dyDescent="0.25">
      <c r="I1203" t="str">
        <f t="shared" si="97"/>
        <v>doubledr</v>
      </c>
      <c r="J1203" t="str">
        <f t="shared" si="98"/>
        <v/>
      </c>
      <c r="L1203" t="str">
        <f t="shared" si="101"/>
        <v>NGM-082 (MVS), NGH-082 (AES)</v>
      </c>
      <c r="M1203" t="str">
        <f t="shared" si="101"/>
        <v>19950303 (MVS), 19950331 (AES)</v>
      </c>
      <c r="N1203" t="str">
        <f t="shared" si="101"/>
        <v>ダブルドラゴン</v>
      </c>
      <c r="O1203" t="str">
        <f t="shared" si="101"/>
        <v/>
      </c>
      <c r="P1203" t="str">
        <f t="shared" si="101"/>
        <v/>
      </c>
      <c r="T1203" t="str">
        <f t="shared" si="99"/>
        <v/>
      </c>
      <c r="V1203" t="str">
        <f t="shared" si="100"/>
        <v>MVS,AES</v>
      </c>
      <c r="W1203" t="str">
        <f t="shared" si="100"/>
        <v>MVS,AES</v>
      </c>
      <c r="AG1203" t="s">
        <v>6</v>
      </c>
      <c r="AH1203" t="s">
        <v>4650</v>
      </c>
      <c r="AI1203" t="s">
        <v>4138</v>
      </c>
      <c r="AJ1203" t="s">
        <v>15</v>
      </c>
      <c r="AK1203" t="s">
        <v>4649</v>
      </c>
      <c r="AL1203" t="s">
        <v>4648</v>
      </c>
    </row>
    <row r="1204" spans="5:38" x14ac:dyDescent="0.25">
      <c r="E1204" t="s">
        <v>389</v>
      </c>
      <c r="F1204" t="s">
        <v>4647</v>
      </c>
      <c r="G1204" t="s">
        <v>393</v>
      </c>
      <c r="H1204" t="s">
        <v>4646</v>
      </c>
      <c r="I1204" t="str">
        <f t="shared" si="97"/>
        <v>pbobblen</v>
      </c>
      <c r="J1204" t="str">
        <f t="shared" si="98"/>
        <v>pbobblenserial</v>
      </c>
      <c r="K1204" t="s">
        <v>1373</v>
      </c>
      <c r="L1204" t="str">
        <f t="shared" si="101"/>
        <v>NGM-083</v>
      </c>
      <c r="M1204" t="str">
        <f t="shared" si="101"/>
        <v>19941221</v>
      </c>
      <c r="N1204" t="str">
        <f t="shared" si="101"/>
        <v>パズルボブル</v>
      </c>
      <c r="O1204" t="str">
        <f t="shared" si="101"/>
        <v/>
      </c>
      <c r="P1204" t="str">
        <f t="shared" si="101"/>
        <v/>
      </c>
      <c r="Q1204" t="s">
        <v>4645</v>
      </c>
      <c r="S1204" t="s">
        <v>46</v>
      </c>
      <c r="T1204" t="str">
        <f t="shared" si="99"/>
        <v>pbobblenrelease</v>
      </c>
      <c r="U1204" t="s">
        <v>106</v>
      </c>
      <c r="V1204" t="str">
        <f t="shared" si="100"/>
        <v>MVS</v>
      </c>
      <c r="W1204" t="str">
        <f t="shared" si="100"/>
        <v>MVS,AES</v>
      </c>
      <c r="Y1204" t="s">
        <v>45</v>
      </c>
      <c r="Z1204" t="s">
        <v>44</v>
      </c>
      <c r="AB1204" t="s">
        <v>43</v>
      </c>
      <c r="AC1204" t="s">
        <v>42</v>
      </c>
      <c r="AD1204" t="s">
        <v>41</v>
      </c>
      <c r="AE1204" t="s">
        <v>15</v>
      </c>
      <c r="AG1204" t="s">
        <v>40</v>
      </c>
      <c r="AH1204" t="s">
        <v>4644</v>
      </c>
      <c r="AI1204" t="s">
        <v>9</v>
      </c>
      <c r="AJ1204" t="s">
        <v>92</v>
      </c>
      <c r="AK1204" t="s">
        <v>4643</v>
      </c>
      <c r="AL1204" t="s">
        <v>4642</v>
      </c>
    </row>
    <row r="1205" spans="5:38" x14ac:dyDescent="0.25">
      <c r="I1205" t="str">
        <f t="shared" si="97"/>
        <v>pbobblen</v>
      </c>
      <c r="J1205" t="str">
        <f t="shared" si="98"/>
        <v>pbobblenrelease</v>
      </c>
      <c r="K1205" t="s">
        <v>46</v>
      </c>
      <c r="L1205" t="str">
        <f t="shared" si="101"/>
        <v>NGM-083</v>
      </c>
      <c r="M1205" t="str">
        <f t="shared" si="101"/>
        <v>19941221</v>
      </c>
      <c r="N1205" t="str">
        <f t="shared" si="101"/>
        <v>パズルボブル</v>
      </c>
      <c r="O1205" t="str">
        <f t="shared" si="101"/>
        <v/>
      </c>
      <c r="P1205" t="str">
        <f t="shared" si="101"/>
        <v/>
      </c>
      <c r="Q1205" t="s">
        <v>4641</v>
      </c>
      <c r="T1205" t="str">
        <f t="shared" si="99"/>
        <v/>
      </c>
      <c r="V1205" t="str">
        <f t="shared" si="100"/>
        <v>MVS</v>
      </c>
      <c r="W1205" t="str">
        <f t="shared" si="100"/>
        <v>MVS,AES</v>
      </c>
      <c r="AB1205" t="s">
        <v>34</v>
      </c>
      <c r="AE1205" t="s">
        <v>33</v>
      </c>
      <c r="AH1205" t="s">
        <v>4640</v>
      </c>
      <c r="AI1205" t="s">
        <v>9</v>
      </c>
      <c r="AJ1205" t="s">
        <v>27</v>
      </c>
      <c r="AK1205" t="s">
        <v>387</v>
      </c>
      <c r="AL1205" t="s">
        <v>386</v>
      </c>
    </row>
    <row r="1206" spans="5:38" x14ac:dyDescent="0.25">
      <c r="I1206" t="str">
        <f t="shared" si="97"/>
        <v>pbobblen</v>
      </c>
      <c r="J1206" t="str">
        <f t="shared" si="98"/>
        <v>pbobblenalt_title</v>
      </c>
      <c r="K1206" t="s">
        <v>1218</v>
      </c>
      <c r="L1206" t="str">
        <f t="shared" si="101"/>
        <v>NGM-083</v>
      </c>
      <c r="M1206" t="str">
        <f t="shared" si="101"/>
        <v>19941221</v>
      </c>
      <c r="N1206" t="str">
        <f t="shared" si="101"/>
        <v>パズルボブル</v>
      </c>
      <c r="O1206" t="str">
        <f t="shared" si="101"/>
        <v/>
      </c>
      <c r="P1206" t="str">
        <f t="shared" si="101"/>
        <v/>
      </c>
      <c r="Q1206" t="s">
        <v>4639</v>
      </c>
      <c r="T1206" t="str">
        <f t="shared" si="99"/>
        <v/>
      </c>
      <c r="V1206" t="str">
        <f t="shared" si="100"/>
        <v>MVS</v>
      </c>
      <c r="W1206" t="str">
        <f t="shared" si="100"/>
        <v>MVS,AES</v>
      </c>
      <c r="AB1206" t="s">
        <v>29</v>
      </c>
      <c r="AE1206" t="s">
        <v>27</v>
      </c>
      <c r="AH1206" t="s">
        <v>4638</v>
      </c>
      <c r="AI1206" t="s">
        <v>9</v>
      </c>
      <c r="AJ1206" t="s">
        <v>27</v>
      </c>
      <c r="AK1206" t="s">
        <v>384</v>
      </c>
      <c r="AL1206" t="s">
        <v>383</v>
      </c>
    </row>
    <row r="1207" spans="5:38" x14ac:dyDescent="0.25">
      <c r="I1207" t="str">
        <f t="shared" si="97"/>
        <v>pbobblen</v>
      </c>
      <c r="J1207" t="str">
        <f t="shared" si="98"/>
        <v/>
      </c>
      <c r="L1207" t="str">
        <f t="shared" si="101"/>
        <v>NGM-083</v>
      </c>
      <c r="M1207" t="str">
        <f t="shared" si="101"/>
        <v>19941221</v>
      </c>
      <c r="N1207" t="str">
        <f t="shared" si="101"/>
        <v>パズルボブル</v>
      </c>
      <c r="O1207" t="str">
        <f t="shared" si="101"/>
        <v/>
      </c>
      <c r="P1207" t="str">
        <f t="shared" si="101"/>
        <v/>
      </c>
      <c r="S1207" t="s">
        <v>36</v>
      </c>
      <c r="T1207" t="str">
        <f t="shared" si="99"/>
        <v>pbobblencompatibility</v>
      </c>
      <c r="U1207" t="s">
        <v>218</v>
      </c>
      <c r="V1207" t="str">
        <f t="shared" si="100"/>
        <v>MVS</v>
      </c>
      <c r="W1207" t="str">
        <f t="shared" si="100"/>
        <v>MVS,AES</v>
      </c>
      <c r="AB1207" t="s">
        <v>24</v>
      </c>
      <c r="AE1207" t="s">
        <v>382</v>
      </c>
      <c r="AH1207" t="s">
        <v>4637</v>
      </c>
      <c r="AI1207" t="s">
        <v>9</v>
      </c>
      <c r="AJ1207" t="s">
        <v>15</v>
      </c>
      <c r="AK1207" t="s">
        <v>4636</v>
      </c>
      <c r="AL1207" t="s">
        <v>4635</v>
      </c>
    </row>
    <row r="1208" spans="5:38" x14ac:dyDescent="0.25">
      <c r="I1208" t="str">
        <f t="shared" si="97"/>
        <v>pbobblen</v>
      </c>
      <c r="J1208" t="str">
        <f t="shared" si="98"/>
        <v/>
      </c>
      <c r="L1208" t="str">
        <f t="shared" si="101"/>
        <v>NGM-083</v>
      </c>
      <c r="M1208" t="str">
        <f t="shared" si="101"/>
        <v>19941221</v>
      </c>
      <c r="N1208" t="str">
        <f t="shared" si="101"/>
        <v>パズルボブル</v>
      </c>
      <c r="O1208" t="str">
        <f t="shared" si="101"/>
        <v/>
      </c>
      <c r="P1208" t="str">
        <f t="shared" si="101"/>
        <v/>
      </c>
      <c r="T1208" t="str">
        <f t="shared" si="99"/>
        <v/>
      </c>
      <c r="V1208" t="str">
        <f t="shared" si="100"/>
        <v>MVS</v>
      </c>
      <c r="W1208" t="str">
        <f t="shared" si="100"/>
        <v>MVS,AES</v>
      </c>
      <c r="AH1208" t="s">
        <v>4634</v>
      </c>
      <c r="AI1208" t="s">
        <v>15</v>
      </c>
      <c r="AJ1208" t="s">
        <v>15</v>
      </c>
      <c r="AK1208" t="s">
        <v>4633</v>
      </c>
      <c r="AL1208" t="s">
        <v>4632</v>
      </c>
    </row>
    <row r="1209" spans="5:38" x14ac:dyDescent="0.25">
      <c r="I1209" t="str">
        <f t="shared" si="97"/>
        <v>pbobblen</v>
      </c>
      <c r="J1209" t="str">
        <f t="shared" si="98"/>
        <v/>
      </c>
      <c r="L1209" t="str">
        <f t="shared" si="101"/>
        <v>NGM-083</v>
      </c>
      <c r="M1209" t="str">
        <f t="shared" si="101"/>
        <v>19941221</v>
      </c>
      <c r="N1209" t="str">
        <f t="shared" si="101"/>
        <v>パズルボブル</v>
      </c>
      <c r="O1209" t="str">
        <f t="shared" si="101"/>
        <v/>
      </c>
      <c r="P1209" t="str">
        <f t="shared" si="101"/>
        <v/>
      </c>
      <c r="T1209" t="str">
        <f t="shared" si="99"/>
        <v/>
      </c>
      <c r="V1209" t="str">
        <f t="shared" si="100"/>
        <v>MVS</v>
      </c>
      <c r="W1209" t="str">
        <f t="shared" si="100"/>
        <v>MVS,AES</v>
      </c>
      <c r="AH1209" t="s">
        <v>4631</v>
      </c>
      <c r="AI1209" t="s">
        <v>3</v>
      </c>
      <c r="AJ1209" t="s">
        <v>15</v>
      </c>
      <c r="AK1209" t="s">
        <v>380</v>
      </c>
      <c r="AL1209" t="s">
        <v>379</v>
      </c>
    </row>
    <row r="1210" spans="5:38" x14ac:dyDescent="0.25">
      <c r="I1210" t="str">
        <f t="shared" si="97"/>
        <v>pbobblen</v>
      </c>
      <c r="J1210" t="str">
        <f t="shared" si="98"/>
        <v/>
      </c>
      <c r="L1210" t="str">
        <f t="shared" si="101"/>
        <v>NGM-083</v>
      </c>
      <c r="M1210" t="str">
        <f t="shared" si="101"/>
        <v>19941221</v>
      </c>
      <c r="N1210" t="str">
        <f t="shared" si="101"/>
        <v>パズルボブル</v>
      </c>
      <c r="O1210" t="str">
        <f t="shared" si="101"/>
        <v/>
      </c>
      <c r="P1210" t="str">
        <f t="shared" si="101"/>
        <v/>
      </c>
      <c r="T1210" t="str">
        <f t="shared" si="99"/>
        <v/>
      </c>
      <c r="V1210" t="str">
        <f t="shared" si="100"/>
        <v>MVS</v>
      </c>
      <c r="W1210" t="str">
        <f t="shared" si="100"/>
        <v>MVS,AES</v>
      </c>
      <c r="AH1210" t="s">
        <v>4630</v>
      </c>
      <c r="AI1210" t="s">
        <v>377</v>
      </c>
      <c r="AJ1210" t="s">
        <v>92</v>
      </c>
      <c r="AK1210" t="s">
        <v>376</v>
      </c>
      <c r="AL1210" t="s">
        <v>375</v>
      </c>
    </row>
    <row r="1211" spans="5:38" x14ac:dyDescent="0.25">
      <c r="I1211" t="str">
        <f t="shared" si="97"/>
        <v>pbobblen</v>
      </c>
      <c r="J1211" t="str">
        <f t="shared" si="98"/>
        <v/>
      </c>
      <c r="L1211" t="str">
        <f t="shared" si="101"/>
        <v>NGM-083</v>
      </c>
      <c r="M1211" t="str">
        <f t="shared" si="101"/>
        <v>19941221</v>
      </c>
      <c r="N1211" t="str">
        <f t="shared" si="101"/>
        <v>パズルボブル</v>
      </c>
      <c r="O1211" t="str">
        <f t="shared" si="101"/>
        <v/>
      </c>
      <c r="P1211" t="str">
        <f t="shared" si="101"/>
        <v/>
      </c>
      <c r="T1211" t="str">
        <f t="shared" si="99"/>
        <v/>
      </c>
      <c r="V1211" t="str">
        <f t="shared" si="100"/>
        <v>MVS</v>
      </c>
      <c r="W1211" t="str">
        <f t="shared" si="100"/>
        <v>MVS,AES</v>
      </c>
      <c r="AB1211" t="s">
        <v>12</v>
      </c>
      <c r="AE1211" t="s">
        <v>23</v>
      </c>
      <c r="AG1211" t="s">
        <v>6</v>
      </c>
      <c r="AH1211" t="s">
        <v>4629</v>
      </c>
      <c r="AI1211" t="s">
        <v>9</v>
      </c>
      <c r="AJ1211" t="s">
        <v>15</v>
      </c>
      <c r="AK1211" t="s">
        <v>4628</v>
      </c>
      <c r="AL1211" t="s">
        <v>4627</v>
      </c>
    </row>
    <row r="1212" spans="5:38" x14ac:dyDescent="0.25">
      <c r="I1212" t="str">
        <f t="shared" si="97"/>
        <v>pbobblen</v>
      </c>
      <c r="J1212" t="str">
        <f t="shared" si="98"/>
        <v/>
      </c>
      <c r="L1212" t="str">
        <f t="shared" si="101"/>
        <v>NGM-083</v>
      </c>
      <c r="M1212" t="str">
        <f t="shared" si="101"/>
        <v>19941221</v>
      </c>
      <c r="N1212" t="str">
        <f t="shared" si="101"/>
        <v>パズルボブル</v>
      </c>
      <c r="O1212" t="str">
        <f t="shared" si="101"/>
        <v/>
      </c>
      <c r="P1212" t="str">
        <f t="shared" si="101"/>
        <v/>
      </c>
      <c r="T1212" t="str">
        <f t="shared" si="99"/>
        <v/>
      </c>
      <c r="V1212" t="str">
        <f t="shared" si="100"/>
        <v>MVS</v>
      </c>
      <c r="W1212" t="str">
        <f t="shared" si="100"/>
        <v>MVS,AES</v>
      </c>
      <c r="AG1212" t="s">
        <v>6</v>
      </c>
      <c r="AH1212" t="s">
        <v>4626</v>
      </c>
      <c r="AI1212" t="s">
        <v>4</v>
      </c>
      <c r="AJ1212" t="s">
        <v>15</v>
      </c>
      <c r="AK1212" t="s">
        <v>4625</v>
      </c>
      <c r="AL1212" t="s">
        <v>4624</v>
      </c>
    </row>
    <row r="1213" spans="5:38" x14ac:dyDescent="0.25">
      <c r="I1213" t="str">
        <f t="shared" si="97"/>
        <v>pbobblen</v>
      </c>
      <c r="J1213" t="str">
        <f t="shared" si="98"/>
        <v/>
      </c>
      <c r="L1213" t="str">
        <f t="shared" si="101"/>
        <v>NGM-083</v>
      </c>
      <c r="M1213" t="str">
        <f t="shared" si="101"/>
        <v>19941221</v>
      </c>
      <c r="N1213" t="str">
        <f t="shared" si="101"/>
        <v>パズルボブル</v>
      </c>
      <c r="O1213" t="str">
        <f t="shared" si="101"/>
        <v/>
      </c>
      <c r="P1213" t="str">
        <f t="shared" si="101"/>
        <v/>
      </c>
      <c r="T1213" t="str">
        <f t="shared" si="99"/>
        <v/>
      </c>
      <c r="V1213" t="str">
        <f t="shared" si="100"/>
        <v>MVS</v>
      </c>
      <c r="W1213" t="str">
        <f t="shared" si="100"/>
        <v>MVS,AES</v>
      </c>
      <c r="AG1213" t="s">
        <v>6</v>
      </c>
      <c r="AH1213" t="s">
        <v>4623</v>
      </c>
      <c r="AI1213" t="s">
        <v>3</v>
      </c>
      <c r="AJ1213" t="s">
        <v>15</v>
      </c>
      <c r="AK1213" t="s">
        <v>4622</v>
      </c>
      <c r="AL1213" t="s">
        <v>4621</v>
      </c>
    </row>
    <row r="1214" spans="5:38" x14ac:dyDescent="0.25">
      <c r="I1214" t="str">
        <f t="shared" si="97"/>
        <v>pbobblen</v>
      </c>
      <c r="J1214" t="str">
        <f t="shared" si="98"/>
        <v/>
      </c>
      <c r="L1214" t="str">
        <f t="shared" si="101"/>
        <v>NGM-083</v>
      </c>
      <c r="M1214" t="str">
        <f t="shared" si="101"/>
        <v>19941221</v>
      </c>
      <c r="N1214" t="str">
        <f t="shared" si="101"/>
        <v>パズルボブル</v>
      </c>
      <c r="O1214" t="str">
        <f t="shared" si="101"/>
        <v/>
      </c>
      <c r="P1214" t="str">
        <f t="shared" si="101"/>
        <v/>
      </c>
      <c r="T1214" t="str">
        <f t="shared" si="99"/>
        <v/>
      </c>
      <c r="V1214" t="str">
        <f t="shared" si="100"/>
        <v>MVS</v>
      </c>
      <c r="W1214" t="str">
        <f t="shared" si="100"/>
        <v>MVS,AES</v>
      </c>
      <c r="AG1214" t="s">
        <v>6</v>
      </c>
      <c r="AH1214" t="s">
        <v>4620</v>
      </c>
      <c r="AI1214" t="s">
        <v>4371</v>
      </c>
      <c r="AJ1214" t="s">
        <v>15</v>
      </c>
      <c r="AK1214" t="s">
        <v>4619</v>
      </c>
      <c r="AL1214" t="s">
        <v>4618</v>
      </c>
    </row>
    <row r="1215" spans="5:38" x14ac:dyDescent="0.25">
      <c r="I1215" t="str">
        <f t="shared" si="97"/>
        <v>pbobblen</v>
      </c>
      <c r="J1215" t="str">
        <f t="shared" si="98"/>
        <v/>
      </c>
      <c r="L1215" t="str">
        <f t="shared" si="101"/>
        <v>NGM-083</v>
      </c>
      <c r="M1215" t="str">
        <f t="shared" si="101"/>
        <v>19941221</v>
      </c>
      <c r="N1215" t="str">
        <f t="shared" si="101"/>
        <v>パズルボブル</v>
      </c>
      <c r="O1215" t="str">
        <f t="shared" si="101"/>
        <v/>
      </c>
      <c r="P1215" t="str">
        <f t="shared" si="101"/>
        <v/>
      </c>
      <c r="T1215" t="str">
        <f t="shared" si="99"/>
        <v/>
      </c>
      <c r="V1215" t="str">
        <f t="shared" si="100"/>
        <v>MVS</v>
      </c>
      <c r="W1215" t="str">
        <f t="shared" si="100"/>
        <v>MVS,AES</v>
      </c>
      <c r="AG1215" t="s">
        <v>6</v>
      </c>
      <c r="AH1215" t="s">
        <v>4617</v>
      </c>
      <c r="AI1215" t="s">
        <v>11</v>
      </c>
      <c r="AJ1215" t="s">
        <v>92</v>
      </c>
      <c r="AK1215" t="s">
        <v>373</v>
      </c>
      <c r="AL1215" t="s">
        <v>372</v>
      </c>
    </row>
    <row r="1216" spans="5:38" x14ac:dyDescent="0.25">
      <c r="I1216" t="str">
        <f t="shared" si="97"/>
        <v>pbobblen</v>
      </c>
      <c r="J1216" t="str">
        <f t="shared" si="98"/>
        <v/>
      </c>
      <c r="L1216" t="str">
        <f t="shared" si="101"/>
        <v>NGM-083</v>
      </c>
      <c r="M1216" t="str">
        <f t="shared" si="101"/>
        <v>19941221</v>
      </c>
      <c r="N1216" t="str">
        <f t="shared" si="101"/>
        <v>パズルボブル</v>
      </c>
      <c r="O1216" t="str">
        <f t="shared" si="101"/>
        <v/>
      </c>
      <c r="P1216" t="str">
        <f t="shared" si="101"/>
        <v/>
      </c>
      <c r="T1216" t="str">
        <f t="shared" si="99"/>
        <v/>
      </c>
      <c r="V1216" t="str">
        <f t="shared" si="100"/>
        <v>MVS</v>
      </c>
      <c r="W1216" t="str">
        <f t="shared" si="100"/>
        <v>MVS,AES</v>
      </c>
      <c r="AG1216" t="s">
        <v>6</v>
      </c>
      <c r="AH1216" t="s">
        <v>4616</v>
      </c>
      <c r="AI1216" t="s">
        <v>932</v>
      </c>
      <c r="AJ1216" t="s">
        <v>92</v>
      </c>
      <c r="AK1216" t="s">
        <v>370</v>
      </c>
      <c r="AL1216" t="s">
        <v>369</v>
      </c>
    </row>
    <row r="1217" spans="5:44" x14ac:dyDescent="0.25">
      <c r="E1217" t="s">
        <v>4589</v>
      </c>
      <c r="F1217" t="s">
        <v>4615</v>
      </c>
      <c r="G1217" t="s">
        <v>1239</v>
      </c>
      <c r="H1217" t="s">
        <v>1912</v>
      </c>
      <c r="I1217" t="str">
        <f t="shared" si="97"/>
        <v>kof95</v>
      </c>
      <c r="J1217" t="str">
        <f t="shared" si="98"/>
        <v>kof95serial</v>
      </c>
      <c r="K1217" t="s">
        <v>1373</v>
      </c>
      <c r="L1217" t="str">
        <f t="shared" si="101"/>
        <v>NGM-084</v>
      </c>
      <c r="M1217" t="str">
        <f t="shared" si="101"/>
        <v>19950725</v>
      </c>
      <c r="N1217" t="str">
        <f t="shared" si="101"/>
        <v>ザ・キング・オブ・ファイターズ '95</v>
      </c>
      <c r="O1217" t="str">
        <f t="shared" si="101"/>
        <v/>
      </c>
      <c r="P1217" t="str">
        <f t="shared" si="101"/>
        <v/>
      </c>
      <c r="Q1217" t="s">
        <v>4609</v>
      </c>
      <c r="S1217" t="s">
        <v>46</v>
      </c>
      <c r="T1217" t="str">
        <f t="shared" si="99"/>
        <v>kof95release</v>
      </c>
      <c r="U1217" t="s">
        <v>106</v>
      </c>
      <c r="V1217" t="str">
        <f t="shared" si="100"/>
        <v>MVS</v>
      </c>
      <c r="W1217" t="str">
        <f t="shared" si="100"/>
        <v>MVS,AES</v>
      </c>
      <c r="Y1217" t="s">
        <v>45</v>
      </c>
      <c r="Z1217" t="s">
        <v>44</v>
      </c>
      <c r="AB1217" t="s">
        <v>43</v>
      </c>
      <c r="AC1217" t="s">
        <v>42</v>
      </c>
      <c r="AD1217" t="s">
        <v>41</v>
      </c>
      <c r="AE1217" t="s">
        <v>3</v>
      </c>
      <c r="AG1217" t="s">
        <v>40</v>
      </c>
      <c r="AH1217" t="s">
        <v>4614</v>
      </c>
      <c r="AI1217" t="s">
        <v>15</v>
      </c>
      <c r="AJ1217" t="s">
        <v>15</v>
      </c>
      <c r="AK1217" t="s">
        <v>4613</v>
      </c>
      <c r="AL1217" t="s">
        <v>4612</v>
      </c>
    </row>
    <row r="1218" spans="5:44" x14ac:dyDescent="0.25">
      <c r="I1218" t="str">
        <f t="shared" si="97"/>
        <v>kof95</v>
      </c>
      <c r="J1218" t="str">
        <f t="shared" si="98"/>
        <v>kof95release</v>
      </c>
      <c r="K1218" t="s">
        <v>46</v>
      </c>
      <c r="L1218" t="str">
        <f t="shared" si="101"/>
        <v>NGM-084</v>
      </c>
      <c r="M1218" t="str">
        <f t="shared" si="101"/>
        <v>19950725</v>
      </c>
      <c r="N1218" t="str">
        <f t="shared" si="101"/>
        <v>ザ・キング・オブ・ファイターズ '95</v>
      </c>
      <c r="O1218" t="str">
        <f t="shared" si="101"/>
        <v/>
      </c>
      <c r="P1218" t="str">
        <f t="shared" si="101"/>
        <v/>
      </c>
      <c r="Q1218" t="s">
        <v>4605</v>
      </c>
      <c r="T1218" t="str">
        <f t="shared" si="99"/>
        <v/>
      </c>
      <c r="V1218" t="str">
        <f t="shared" si="100"/>
        <v>MVS</v>
      </c>
      <c r="W1218" t="str">
        <f t="shared" si="100"/>
        <v>MVS,AES</v>
      </c>
      <c r="AG1218" t="s">
        <v>224</v>
      </c>
      <c r="AI1218" t="s">
        <v>9</v>
      </c>
      <c r="AJ1218" t="s">
        <v>15</v>
      </c>
    </row>
    <row r="1219" spans="5:44" x14ac:dyDescent="0.25">
      <c r="I1219" t="str">
        <f t="shared" ref="I1219:I1282" si="102">IF(E1219="",I1218,E1219)</f>
        <v>kof95</v>
      </c>
      <c r="J1219" t="str">
        <f t="shared" ref="J1219:J1282" si="103">IF(K1219="","",I1219&amp;K1219)</f>
        <v>kof95alt_title</v>
      </c>
      <c r="K1219" t="s">
        <v>1218</v>
      </c>
      <c r="L1219" t="str">
        <f t="shared" si="101"/>
        <v>NGM-084</v>
      </c>
      <c r="M1219" t="str">
        <f t="shared" si="101"/>
        <v>19950725</v>
      </c>
      <c r="N1219" t="str">
        <f t="shared" si="101"/>
        <v>ザ・キング・オブ・ファイターズ '95</v>
      </c>
      <c r="O1219" t="str">
        <f t="shared" si="101"/>
        <v/>
      </c>
      <c r="P1219" t="str">
        <f t="shared" si="101"/>
        <v/>
      </c>
      <c r="Q1219" t="s">
        <v>4587</v>
      </c>
      <c r="T1219" t="str">
        <f t="shared" ref="T1219:T1282" si="104">IF(S1219="","",I1219&amp;S1219)</f>
        <v/>
      </c>
      <c r="V1219" t="str">
        <f t="shared" si="100"/>
        <v>MVS</v>
      </c>
      <c r="W1219" t="str">
        <f t="shared" si="100"/>
        <v>MVS,AES</v>
      </c>
      <c r="AB1219" t="s">
        <v>34</v>
      </c>
      <c r="AE1219" t="s">
        <v>33</v>
      </c>
      <c r="AH1219" t="s">
        <v>4586</v>
      </c>
      <c r="AI1219" t="s">
        <v>9</v>
      </c>
      <c r="AJ1219" t="s">
        <v>27</v>
      </c>
      <c r="AK1219" t="s">
        <v>4585</v>
      </c>
      <c r="AL1219" t="s">
        <v>4584</v>
      </c>
    </row>
    <row r="1220" spans="5:44" x14ac:dyDescent="0.25">
      <c r="I1220" t="str">
        <f t="shared" si="102"/>
        <v>kof95</v>
      </c>
      <c r="J1220" t="str">
        <f t="shared" si="103"/>
        <v/>
      </c>
      <c r="L1220" t="str">
        <f t="shared" si="101"/>
        <v>NGM-084</v>
      </c>
      <c r="M1220" t="str">
        <f t="shared" si="101"/>
        <v>19950725</v>
      </c>
      <c r="N1220" t="str">
        <f t="shared" si="101"/>
        <v>ザ・キング・オブ・ファイターズ '95</v>
      </c>
      <c r="O1220" t="str">
        <f t="shared" si="101"/>
        <v/>
      </c>
      <c r="P1220" t="str">
        <f t="shared" si="101"/>
        <v/>
      </c>
      <c r="S1220" t="s">
        <v>36</v>
      </c>
      <c r="T1220" t="str">
        <f t="shared" si="104"/>
        <v>kof95compatibility</v>
      </c>
      <c r="U1220" t="s">
        <v>218</v>
      </c>
      <c r="V1220" t="str">
        <f t="shared" si="100"/>
        <v>MVS</v>
      </c>
      <c r="W1220" t="str">
        <f t="shared" si="100"/>
        <v>MVS,AES</v>
      </c>
      <c r="AB1220" t="s">
        <v>29</v>
      </c>
      <c r="AE1220" t="s">
        <v>27</v>
      </c>
      <c r="AH1220" t="s">
        <v>4583</v>
      </c>
      <c r="AI1220" t="s">
        <v>9</v>
      </c>
      <c r="AJ1220" t="s">
        <v>27</v>
      </c>
      <c r="AK1220" t="s">
        <v>4582</v>
      </c>
      <c r="AL1220" t="s">
        <v>4581</v>
      </c>
    </row>
    <row r="1221" spans="5:44" x14ac:dyDescent="0.25">
      <c r="I1221" t="str">
        <f t="shared" si="102"/>
        <v>kof95</v>
      </c>
      <c r="J1221" t="str">
        <f t="shared" si="103"/>
        <v/>
      </c>
      <c r="L1221" t="str">
        <f t="shared" si="101"/>
        <v>NGM-084</v>
      </c>
      <c r="M1221" t="str">
        <f t="shared" si="101"/>
        <v>19950725</v>
      </c>
      <c r="N1221" t="str">
        <f t="shared" si="101"/>
        <v>ザ・キング・オブ・ファイターズ '95</v>
      </c>
      <c r="O1221" t="str">
        <f t="shared" si="101"/>
        <v/>
      </c>
      <c r="P1221" t="str">
        <f t="shared" si="101"/>
        <v/>
      </c>
      <c r="T1221" t="str">
        <f t="shared" si="104"/>
        <v/>
      </c>
      <c r="V1221" t="str">
        <f t="shared" si="100"/>
        <v>MVS</v>
      </c>
      <c r="W1221" t="str">
        <f t="shared" si="100"/>
        <v>MVS,AES</v>
      </c>
      <c r="AB1221" t="s">
        <v>24</v>
      </c>
      <c r="AE1221" t="s">
        <v>704</v>
      </c>
      <c r="AH1221" t="s">
        <v>4580</v>
      </c>
      <c r="AI1221" t="s">
        <v>9</v>
      </c>
      <c r="AJ1221" t="s">
        <v>11</v>
      </c>
      <c r="AK1221" t="s">
        <v>4579</v>
      </c>
      <c r="AL1221" t="s">
        <v>4578</v>
      </c>
    </row>
    <row r="1222" spans="5:44" x14ac:dyDescent="0.25">
      <c r="I1222" t="str">
        <f t="shared" si="102"/>
        <v>kof95</v>
      </c>
      <c r="J1222" t="str">
        <f t="shared" si="103"/>
        <v/>
      </c>
      <c r="L1222" t="str">
        <f t="shared" si="101"/>
        <v>NGM-084</v>
      </c>
      <c r="M1222" t="str">
        <f t="shared" si="101"/>
        <v>19950725</v>
      </c>
      <c r="N1222" t="str">
        <f t="shared" si="101"/>
        <v>ザ・キング・オブ・ファイターズ '95</v>
      </c>
      <c r="O1222" t="str">
        <f t="shared" si="101"/>
        <v/>
      </c>
      <c r="P1222" t="str">
        <f t="shared" si="101"/>
        <v/>
      </c>
      <c r="T1222" t="str">
        <f t="shared" si="104"/>
        <v/>
      </c>
      <c r="V1222" t="str">
        <f t="shared" si="100"/>
        <v>MVS</v>
      </c>
      <c r="W1222" t="str">
        <f t="shared" si="100"/>
        <v>MVS,AES</v>
      </c>
      <c r="AH1222" t="s">
        <v>4577</v>
      </c>
      <c r="AI1222" t="s">
        <v>11</v>
      </c>
      <c r="AJ1222" t="s">
        <v>3</v>
      </c>
      <c r="AK1222" t="s">
        <v>4576</v>
      </c>
      <c r="AL1222" t="s">
        <v>4575</v>
      </c>
    </row>
    <row r="1223" spans="5:44" x14ac:dyDescent="0.25">
      <c r="I1223" t="str">
        <f t="shared" si="102"/>
        <v>kof95</v>
      </c>
      <c r="J1223" t="str">
        <f t="shared" si="103"/>
        <v/>
      </c>
      <c r="L1223" t="str">
        <f t="shared" si="101"/>
        <v>NGM-084</v>
      </c>
      <c r="M1223" t="str">
        <f t="shared" si="101"/>
        <v>19950725</v>
      </c>
      <c r="N1223" t="str">
        <f t="shared" si="101"/>
        <v>ザ・キング・オブ・ファイターズ '95</v>
      </c>
      <c r="O1223" t="str">
        <f t="shared" si="101"/>
        <v/>
      </c>
      <c r="P1223" t="str">
        <f t="shared" si="101"/>
        <v/>
      </c>
      <c r="T1223" t="str">
        <f t="shared" si="104"/>
        <v/>
      </c>
      <c r="V1223" t="str">
        <f t="shared" si="100"/>
        <v>MVS</v>
      </c>
      <c r="W1223" t="str">
        <f t="shared" si="100"/>
        <v>MVS,AES</v>
      </c>
      <c r="AH1223" t="s">
        <v>4574</v>
      </c>
      <c r="AI1223" t="s">
        <v>57</v>
      </c>
      <c r="AJ1223" t="s">
        <v>15</v>
      </c>
      <c r="AK1223" t="s">
        <v>4573</v>
      </c>
      <c r="AL1223" t="s">
        <v>4572</v>
      </c>
    </row>
    <row r="1224" spans="5:44" x14ac:dyDescent="0.25">
      <c r="I1224" t="str">
        <f t="shared" si="102"/>
        <v>kof95</v>
      </c>
      <c r="J1224" t="str">
        <f t="shared" si="103"/>
        <v/>
      </c>
      <c r="L1224" t="str">
        <f t="shared" si="101"/>
        <v>NGM-084</v>
      </c>
      <c r="M1224" t="str">
        <f t="shared" si="101"/>
        <v>19950725</v>
      </c>
      <c r="N1224" t="str">
        <f t="shared" si="101"/>
        <v>ザ・キング・オブ・ファイターズ '95</v>
      </c>
      <c r="O1224" t="str">
        <f t="shared" si="101"/>
        <v/>
      </c>
      <c r="P1224" t="str">
        <f t="shared" si="101"/>
        <v/>
      </c>
      <c r="T1224" t="str">
        <f t="shared" si="104"/>
        <v/>
      </c>
      <c r="V1224" t="str">
        <f t="shared" si="100"/>
        <v>MVS</v>
      </c>
      <c r="W1224" t="str">
        <f t="shared" si="100"/>
        <v>MVS,AES</v>
      </c>
      <c r="AB1224" t="s">
        <v>12</v>
      </c>
      <c r="AE1224" t="s">
        <v>4467</v>
      </c>
      <c r="AG1224" t="s">
        <v>6</v>
      </c>
      <c r="AH1224" t="s">
        <v>4571</v>
      </c>
      <c r="AI1224" t="s">
        <v>9</v>
      </c>
      <c r="AJ1224" t="s">
        <v>11</v>
      </c>
      <c r="AK1224" t="s">
        <v>4570</v>
      </c>
      <c r="AL1224" t="s">
        <v>4569</v>
      </c>
    </row>
    <row r="1225" spans="5:44" x14ac:dyDescent="0.25">
      <c r="I1225" t="str">
        <f t="shared" si="102"/>
        <v>kof95</v>
      </c>
      <c r="J1225" t="str">
        <f t="shared" si="103"/>
        <v/>
      </c>
      <c r="L1225" t="str">
        <f t="shared" si="101"/>
        <v>NGM-084</v>
      </c>
      <c r="M1225" t="str">
        <f t="shared" si="101"/>
        <v>19950725</v>
      </c>
      <c r="N1225" t="str">
        <f t="shared" si="101"/>
        <v>ザ・キング・オブ・ファイターズ '95</v>
      </c>
      <c r="O1225" t="str">
        <f t="shared" si="101"/>
        <v/>
      </c>
      <c r="P1225" t="str">
        <f t="shared" si="101"/>
        <v/>
      </c>
      <c r="T1225" t="str">
        <f t="shared" si="104"/>
        <v/>
      </c>
      <c r="V1225" t="str">
        <f t="shared" si="100"/>
        <v>MVS</v>
      </c>
      <c r="W1225" t="str">
        <f t="shared" si="100"/>
        <v>MVS,AES</v>
      </c>
      <c r="AG1225" t="s">
        <v>6</v>
      </c>
      <c r="AH1225" t="s">
        <v>4568</v>
      </c>
      <c r="AI1225" t="s">
        <v>4</v>
      </c>
      <c r="AJ1225" t="s">
        <v>11</v>
      </c>
      <c r="AK1225" t="s">
        <v>4567</v>
      </c>
      <c r="AL1225" t="s">
        <v>4566</v>
      </c>
    </row>
    <row r="1226" spans="5:44" x14ac:dyDescent="0.25">
      <c r="I1226" t="str">
        <f t="shared" si="102"/>
        <v>kof95</v>
      </c>
      <c r="J1226" t="str">
        <f t="shared" si="103"/>
        <v/>
      </c>
      <c r="L1226" t="str">
        <f t="shared" si="101"/>
        <v>NGM-084</v>
      </c>
      <c r="M1226" t="str">
        <f t="shared" si="101"/>
        <v>19950725</v>
      </c>
      <c r="N1226" t="str">
        <f t="shared" si="101"/>
        <v>ザ・キング・オブ・ファイターズ '95</v>
      </c>
      <c r="O1226" t="str">
        <f t="shared" si="101"/>
        <v/>
      </c>
      <c r="P1226" t="str">
        <f t="shared" si="101"/>
        <v/>
      </c>
      <c r="T1226" t="str">
        <f t="shared" si="104"/>
        <v/>
      </c>
      <c r="V1226" t="str">
        <f t="shared" si="100"/>
        <v>MVS</v>
      </c>
      <c r="W1226" t="str">
        <f t="shared" si="100"/>
        <v>MVS,AES</v>
      </c>
      <c r="AG1226" t="s">
        <v>6</v>
      </c>
      <c r="AH1226" t="s">
        <v>4565</v>
      </c>
      <c r="AI1226" t="s">
        <v>57</v>
      </c>
      <c r="AJ1226" t="s">
        <v>11</v>
      </c>
      <c r="AK1226" t="s">
        <v>4564</v>
      </c>
      <c r="AL1226" t="s">
        <v>4563</v>
      </c>
    </row>
    <row r="1227" spans="5:44" x14ac:dyDescent="0.25">
      <c r="I1227" t="str">
        <f t="shared" si="102"/>
        <v>kof95</v>
      </c>
      <c r="J1227" t="str">
        <f t="shared" si="103"/>
        <v/>
      </c>
      <c r="L1227" t="str">
        <f t="shared" si="101"/>
        <v>NGM-084</v>
      </c>
      <c r="M1227" t="str">
        <f t="shared" si="101"/>
        <v>19950725</v>
      </c>
      <c r="N1227" t="str">
        <f t="shared" si="101"/>
        <v>ザ・キング・オブ・ファイターズ '95</v>
      </c>
      <c r="O1227" t="str">
        <f t="shared" si="101"/>
        <v/>
      </c>
      <c r="P1227" t="str">
        <f t="shared" si="101"/>
        <v/>
      </c>
      <c r="T1227" t="str">
        <f t="shared" si="104"/>
        <v/>
      </c>
      <c r="V1227" t="str">
        <f t="shared" si="100"/>
        <v>MVS</v>
      </c>
      <c r="W1227" t="str">
        <f t="shared" si="100"/>
        <v>MVS,AES</v>
      </c>
      <c r="AG1227" t="s">
        <v>6</v>
      </c>
      <c r="AH1227" t="s">
        <v>4562</v>
      </c>
      <c r="AI1227" t="s">
        <v>53</v>
      </c>
      <c r="AJ1227" t="s">
        <v>11</v>
      </c>
      <c r="AK1227" t="s">
        <v>4561</v>
      </c>
      <c r="AL1227" t="s">
        <v>4560</v>
      </c>
    </row>
    <row r="1228" spans="5:44" x14ac:dyDescent="0.25">
      <c r="I1228" t="str">
        <f t="shared" si="102"/>
        <v>kof95</v>
      </c>
      <c r="J1228" t="str">
        <f t="shared" si="103"/>
        <v/>
      </c>
      <c r="L1228" t="str">
        <f t="shared" si="101"/>
        <v>NGM-084</v>
      </c>
      <c r="M1228" t="str">
        <f t="shared" si="101"/>
        <v>19950725</v>
      </c>
      <c r="N1228" t="str">
        <f t="shared" si="101"/>
        <v>ザ・キング・オブ・ファイターズ '95</v>
      </c>
      <c r="O1228" t="str">
        <f t="shared" si="101"/>
        <v/>
      </c>
      <c r="P1228" t="str">
        <f t="shared" si="101"/>
        <v/>
      </c>
      <c r="T1228" t="str">
        <f t="shared" si="104"/>
        <v/>
      </c>
      <c r="V1228" t="str">
        <f t="shared" si="100"/>
        <v>MVS</v>
      </c>
      <c r="W1228" t="str">
        <f t="shared" si="100"/>
        <v>MVS,AES</v>
      </c>
      <c r="AG1228" t="s">
        <v>6</v>
      </c>
      <c r="AH1228" t="s">
        <v>4559</v>
      </c>
      <c r="AI1228" t="s">
        <v>65</v>
      </c>
      <c r="AJ1228" t="s">
        <v>3</v>
      </c>
      <c r="AK1228" t="s">
        <v>4558</v>
      </c>
      <c r="AL1228" t="s">
        <v>4557</v>
      </c>
    </row>
    <row r="1229" spans="5:44" x14ac:dyDescent="0.25">
      <c r="I1229" t="str">
        <f t="shared" si="102"/>
        <v>kof95</v>
      </c>
      <c r="J1229" t="str">
        <f t="shared" si="103"/>
        <v/>
      </c>
      <c r="L1229" t="str">
        <f t="shared" si="101"/>
        <v>NGM-084</v>
      </c>
      <c r="M1229" t="str">
        <f t="shared" si="101"/>
        <v>19950725</v>
      </c>
      <c r="N1229" t="str">
        <f t="shared" si="101"/>
        <v>ザ・キング・オブ・ファイターズ '95</v>
      </c>
      <c r="O1229" t="str">
        <f t="shared" si="101"/>
        <v/>
      </c>
      <c r="P1229" t="str">
        <f t="shared" si="101"/>
        <v/>
      </c>
      <c r="T1229" t="str">
        <f t="shared" si="104"/>
        <v/>
      </c>
      <c r="V1229" t="str">
        <f t="shared" si="100"/>
        <v>MVS</v>
      </c>
      <c r="W1229" t="str">
        <f t="shared" si="100"/>
        <v>MVS,AES</v>
      </c>
      <c r="AG1229" t="s">
        <v>6</v>
      </c>
      <c r="AH1229" t="s">
        <v>4556</v>
      </c>
      <c r="AI1229" t="s">
        <v>164</v>
      </c>
      <c r="AJ1229" t="s">
        <v>3</v>
      </c>
      <c r="AK1229" t="s">
        <v>4555</v>
      </c>
      <c r="AL1229" t="s">
        <v>4554</v>
      </c>
    </row>
    <row r="1230" spans="5:44" x14ac:dyDescent="0.25">
      <c r="I1230" t="str">
        <f t="shared" si="102"/>
        <v>kof95</v>
      </c>
      <c r="J1230" t="str">
        <f t="shared" si="103"/>
        <v/>
      </c>
      <c r="L1230" t="str">
        <f t="shared" si="101"/>
        <v>NGM-084</v>
      </c>
      <c r="M1230" t="str">
        <f t="shared" si="101"/>
        <v>19950725</v>
      </c>
      <c r="N1230" t="str">
        <f t="shared" si="101"/>
        <v>ザ・キング・オブ・ファイターズ '95</v>
      </c>
      <c r="O1230" t="str">
        <f t="shared" si="101"/>
        <v/>
      </c>
      <c r="P1230" t="str">
        <f t="shared" si="101"/>
        <v/>
      </c>
      <c r="T1230" t="str">
        <f t="shared" si="104"/>
        <v/>
      </c>
      <c r="V1230" t="str">
        <f t="shared" si="100"/>
        <v>MVS</v>
      </c>
      <c r="W1230" t="str">
        <f t="shared" si="100"/>
        <v>MVS,AES</v>
      </c>
      <c r="AG1230" t="s">
        <v>6</v>
      </c>
      <c r="AH1230" t="s">
        <v>4553</v>
      </c>
      <c r="AI1230" t="s">
        <v>634</v>
      </c>
      <c r="AJ1230" t="s">
        <v>15</v>
      </c>
      <c r="AK1230" t="s">
        <v>4552</v>
      </c>
      <c r="AL1230" t="s">
        <v>4551</v>
      </c>
    </row>
    <row r="1231" spans="5:44" x14ac:dyDescent="0.25">
      <c r="I1231" t="str">
        <f t="shared" si="102"/>
        <v>kof95</v>
      </c>
      <c r="J1231" t="str">
        <f t="shared" si="103"/>
        <v/>
      </c>
      <c r="L1231" t="str">
        <f t="shared" si="101"/>
        <v>NGM-084</v>
      </c>
      <c r="M1231" t="str">
        <f t="shared" si="101"/>
        <v>19950725</v>
      </c>
      <c r="N1231" t="str">
        <f t="shared" si="101"/>
        <v>ザ・キング・オブ・ファイターズ '95</v>
      </c>
      <c r="O1231" t="str">
        <f t="shared" si="101"/>
        <v/>
      </c>
      <c r="P1231" t="str">
        <f t="shared" si="101"/>
        <v/>
      </c>
      <c r="T1231" t="str">
        <f t="shared" si="104"/>
        <v/>
      </c>
      <c r="V1231" t="str">
        <f t="shared" si="100"/>
        <v>MVS</v>
      </c>
      <c r="W1231" t="str">
        <f t="shared" si="100"/>
        <v>MVS,AES</v>
      </c>
      <c r="AG1231" t="s">
        <v>6</v>
      </c>
      <c r="AH1231" t="s">
        <v>4550</v>
      </c>
      <c r="AI1231" t="s">
        <v>630</v>
      </c>
      <c r="AJ1231" t="s">
        <v>15</v>
      </c>
      <c r="AK1231" t="s">
        <v>4549</v>
      </c>
      <c r="AL1231" t="s">
        <v>4548</v>
      </c>
    </row>
    <row r="1232" spans="5:44" x14ac:dyDescent="0.25">
      <c r="E1232" t="s">
        <v>4611</v>
      </c>
      <c r="F1232" t="s">
        <v>4610</v>
      </c>
      <c r="G1232" t="s">
        <v>1239</v>
      </c>
      <c r="H1232" t="s">
        <v>1912</v>
      </c>
      <c r="I1232" t="str">
        <f t="shared" si="102"/>
        <v>kof95a</v>
      </c>
      <c r="J1232" t="str">
        <f t="shared" si="103"/>
        <v>kof95aserial</v>
      </c>
      <c r="K1232" t="s">
        <v>1373</v>
      </c>
      <c r="L1232" t="str">
        <f t="shared" si="101"/>
        <v>NGM-084</v>
      </c>
      <c r="M1232" t="str">
        <f t="shared" si="101"/>
        <v>19950725</v>
      </c>
      <c r="N1232" t="str">
        <f t="shared" si="101"/>
        <v>ザ・キング・オブ・ファイターズ '95</v>
      </c>
      <c r="O1232" t="str">
        <f t="shared" si="101"/>
        <v/>
      </c>
      <c r="P1232" t="str">
        <f t="shared" si="101"/>
        <v/>
      </c>
      <c r="Q1232" t="s">
        <v>4609</v>
      </c>
      <c r="S1232" t="s">
        <v>46</v>
      </c>
      <c r="T1232" t="str">
        <f t="shared" si="104"/>
        <v>kof95arelease</v>
      </c>
      <c r="U1232" t="s">
        <v>106</v>
      </c>
      <c r="V1232" t="str">
        <f t="shared" si="100"/>
        <v>MVS</v>
      </c>
      <c r="W1232" t="str">
        <f t="shared" si="100"/>
        <v>MVS,AES</v>
      </c>
      <c r="Y1232" t="s">
        <v>45</v>
      </c>
      <c r="Z1232" t="s">
        <v>44</v>
      </c>
      <c r="AB1232" t="s">
        <v>43</v>
      </c>
      <c r="AC1232" t="s">
        <v>42</v>
      </c>
      <c r="AD1232" t="s">
        <v>41</v>
      </c>
      <c r="AE1232" t="s">
        <v>3</v>
      </c>
      <c r="AG1232" t="s">
        <v>40</v>
      </c>
      <c r="AH1232" t="s">
        <v>4608</v>
      </c>
      <c r="AI1232" t="s">
        <v>9</v>
      </c>
      <c r="AJ1232" t="s">
        <v>92</v>
      </c>
      <c r="AK1232" t="s">
        <v>4607</v>
      </c>
      <c r="AL1232" t="s">
        <v>4606</v>
      </c>
      <c r="AR1232" t="s">
        <v>4589</v>
      </c>
    </row>
    <row r="1233" spans="9:38" x14ac:dyDescent="0.25">
      <c r="I1233" t="str">
        <f t="shared" si="102"/>
        <v>kof95a</v>
      </c>
      <c r="J1233" t="str">
        <f t="shared" si="103"/>
        <v>kof95arelease</v>
      </c>
      <c r="K1233" t="s">
        <v>46</v>
      </c>
      <c r="L1233" t="str">
        <f t="shared" si="101"/>
        <v>NGM-084</v>
      </c>
      <c r="M1233" t="str">
        <f t="shared" si="101"/>
        <v>19950725</v>
      </c>
      <c r="N1233" t="str">
        <f t="shared" si="101"/>
        <v>ザ・キング・オブ・ファイターズ '95</v>
      </c>
      <c r="O1233" t="str">
        <f t="shared" si="101"/>
        <v/>
      </c>
      <c r="P1233" t="str">
        <f t="shared" si="101"/>
        <v/>
      </c>
      <c r="Q1233" t="s">
        <v>4605</v>
      </c>
      <c r="T1233" t="str">
        <f t="shared" si="104"/>
        <v/>
      </c>
      <c r="V1233" t="str">
        <f t="shared" si="100"/>
        <v>MVS</v>
      </c>
      <c r="W1233" t="str">
        <f t="shared" si="100"/>
        <v>MVS,AES</v>
      </c>
      <c r="AG1233" t="s">
        <v>40</v>
      </c>
      <c r="AH1233" t="s">
        <v>4604</v>
      </c>
      <c r="AI1233" t="s">
        <v>92</v>
      </c>
      <c r="AJ1233" t="s">
        <v>92</v>
      </c>
      <c r="AK1233" t="s">
        <v>4603</v>
      </c>
      <c r="AL1233" t="s">
        <v>4602</v>
      </c>
    </row>
    <row r="1234" spans="9:38" x14ac:dyDescent="0.25">
      <c r="I1234" t="str">
        <f t="shared" si="102"/>
        <v>kof95a</v>
      </c>
      <c r="J1234" t="str">
        <f t="shared" si="103"/>
        <v>kof95aalt_title</v>
      </c>
      <c r="K1234" t="s">
        <v>1218</v>
      </c>
      <c r="L1234" t="str">
        <f t="shared" si="101"/>
        <v>NGM-084</v>
      </c>
      <c r="M1234" t="str">
        <f t="shared" si="101"/>
        <v>19950725</v>
      </c>
      <c r="N1234" t="str">
        <f t="shared" si="101"/>
        <v>ザ・キング・オブ・ファイターズ '95</v>
      </c>
      <c r="O1234" t="str">
        <f t="shared" si="101"/>
        <v/>
      </c>
      <c r="P1234" t="str">
        <f t="shared" si="101"/>
        <v/>
      </c>
      <c r="Q1234" t="s">
        <v>4587</v>
      </c>
      <c r="T1234" t="str">
        <f t="shared" si="104"/>
        <v/>
      </c>
      <c r="V1234" t="str">
        <f t="shared" si="100"/>
        <v>MVS</v>
      </c>
      <c r="W1234" t="str">
        <f t="shared" si="100"/>
        <v>MVS,AES</v>
      </c>
      <c r="AG1234" t="s">
        <v>40</v>
      </c>
      <c r="AH1234" t="s">
        <v>4601</v>
      </c>
      <c r="AI1234" t="s">
        <v>15</v>
      </c>
      <c r="AJ1234" t="s">
        <v>92</v>
      </c>
      <c r="AK1234" t="s">
        <v>4600</v>
      </c>
      <c r="AL1234" t="s">
        <v>4599</v>
      </c>
    </row>
    <row r="1235" spans="9:38" x14ac:dyDescent="0.25">
      <c r="I1235" t="str">
        <f t="shared" si="102"/>
        <v>kof95a</v>
      </c>
      <c r="J1235" t="str">
        <f t="shared" si="103"/>
        <v/>
      </c>
      <c r="L1235" t="str">
        <f t="shared" si="101"/>
        <v>NGM-084</v>
      </c>
      <c r="M1235" t="str">
        <f t="shared" si="101"/>
        <v>19950725</v>
      </c>
      <c r="N1235" t="str">
        <f t="shared" si="101"/>
        <v>ザ・キング・オブ・ファイターズ '95</v>
      </c>
      <c r="O1235" t="str">
        <f t="shared" si="101"/>
        <v/>
      </c>
      <c r="P1235" t="str">
        <f t="shared" si="101"/>
        <v/>
      </c>
      <c r="S1235" t="s">
        <v>36</v>
      </c>
      <c r="T1235" t="str">
        <f t="shared" si="104"/>
        <v>kof95acompatibility</v>
      </c>
      <c r="U1235" t="s">
        <v>218</v>
      </c>
      <c r="V1235" t="str">
        <f t="shared" si="100"/>
        <v>MVS</v>
      </c>
      <c r="W1235" t="str">
        <f t="shared" si="100"/>
        <v>MVS,AES</v>
      </c>
      <c r="AG1235" t="s">
        <v>40</v>
      </c>
      <c r="AH1235" t="s">
        <v>4598</v>
      </c>
      <c r="AI1235" t="s">
        <v>4502</v>
      </c>
      <c r="AJ1235" t="s">
        <v>92</v>
      </c>
      <c r="AK1235" t="s">
        <v>4597</v>
      </c>
      <c r="AL1235" t="s">
        <v>4596</v>
      </c>
    </row>
    <row r="1236" spans="9:38" x14ac:dyDescent="0.25">
      <c r="I1236" t="str">
        <f t="shared" si="102"/>
        <v>kof95a</v>
      </c>
      <c r="J1236" t="str">
        <f t="shared" si="103"/>
        <v/>
      </c>
      <c r="L1236" t="str">
        <f t="shared" si="101"/>
        <v>NGM-084</v>
      </c>
      <c r="M1236" t="str">
        <f t="shared" si="101"/>
        <v>19950725</v>
      </c>
      <c r="N1236" t="str">
        <f t="shared" si="101"/>
        <v>ザ・キング・オブ・ファイターズ '95</v>
      </c>
      <c r="O1236" t="str">
        <f t="shared" si="101"/>
        <v/>
      </c>
      <c r="P1236" t="str">
        <f t="shared" si="101"/>
        <v/>
      </c>
      <c r="T1236" t="str">
        <f t="shared" si="104"/>
        <v/>
      </c>
      <c r="V1236" t="str">
        <f t="shared" si="100"/>
        <v>MVS</v>
      </c>
      <c r="W1236" t="str">
        <f t="shared" si="100"/>
        <v>MVS,AES</v>
      </c>
      <c r="AB1236" t="s">
        <v>34</v>
      </c>
      <c r="AE1236" t="s">
        <v>33</v>
      </c>
      <c r="AH1236" t="s">
        <v>4586</v>
      </c>
      <c r="AI1236" t="s">
        <v>9</v>
      </c>
      <c r="AJ1236" t="s">
        <v>27</v>
      </c>
      <c r="AK1236" t="s">
        <v>4585</v>
      </c>
      <c r="AL1236" t="s">
        <v>4584</v>
      </c>
    </row>
    <row r="1237" spans="9:38" x14ac:dyDescent="0.25">
      <c r="I1237" t="str">
        <f t="shared" si="102"/>
        <v>kof95a</v>
      </c>
      <c r="J1237" t="str">
        <f t="shared" si="103"/>
        <v/>
      </c>
      <c r="L1237" t="str">
        <f t="shared" si="101"/>
        <v>NGM-084</v>
      </c>
      <c r="M1237" t="str">
        <f t="shared" si="101"/>
        <v>19950725</v>
      </c>
      <c r="N1237" t="str">
        <f t="shared" si="101"/>
        <v>ザ・キング・オブ・ファイターズ '95</v>
      </c>
      <c r="O1237" t="str">
        <f t="shared" si="101"/>
        <v/>
      </c>
      <c r="P1237" t="str">
        <f t="shared" si="101"/>
        <v/>
      </c>
      <c r="T1237" t="str">
        <f t="shared" si="104"/>
        <v/>
      </c>
      <c r="V1237" t="str">
        <f t="shared" si="100"/>
        <v>MVS</v>
      </c>
      <c r="W1237" t="str">
        <f t="shared" si="100"/>
        <v>MVS,AES</v>
      </c>
      <c r="AB1237" t="s">
        <v>29</v>
      </c>
      <c r="AE1237" t="s">
        <v>27</v>
      </c>
      <c r="AH1237" t="s">
        <v>4583</v>
      </c>
      <c r="AI1237" t="s">
        <v>9</v>
      </c>
      <c r="AJ1237" t="s">
        <v>27</v>
      </c>
      <c r="AK1237" t="s">
        <v>4582</v>
      </c>
      <c r="AL1237" t="s">
        <v>4581</v>
      </c>
    </row>
    <row r="1238" spans="9:38" x14ac:dyDescent="0.25">
      <c r="I1238" t="str">
        <f t="shared" si="102"/>
        <v>kof95a</v>
      </c>
      <c r="J1238" t="str">
        <f t="shared" si="103"/>
        <v/>
      </c>
      <c r="L1238" t="str">
        <f t="shared" si="101"/>
        <v>NGM-084</v>
      </c>
      <c r="M1238" t="str">
        <f t="shared" si="101"/>
        <v>19950725</v>
      </c>
      <c r="N1238" t="str">
        <f t="shared" si="101"/>
        <v>ザ・キング・オブ・ファイターズ '95</v>
      </c>
      <c r="O1238" t="str">
        <f t="shared" si="101"/>
        <v/>
      </c>
      <c r="P1238" t="str">
        <f t="shared" si="101"/>
        <v/>
      </c>
      <c r="T1238" t="str">
        <f t="shared" si="104"/>
        <v/>
      </c>
      <c r="V1238" t="str">
        <f t="shared" si="100"/>
        <v>MVS</v>
      </c>
      <c r="W1238" t="str">
        <f t="shared" si="100"/>
        <v>MVS,AES</v>
      </c>
      <c r="AB1238" t="s">
        <v>24</v>
      </c>
      <c r="AE1238" t="s">
        <v>704</v>
      </c>
      <c r="AH1238" t="s">
        <v>4580</v>
      </c>
      <c r="AI1238" t="s">
        <v>9</v>
      </c>
      <c r="AJ1238" t="s">
        <v>11</v>
      </c>
      <c r="AK1238" t="s">
        <v>4579</v>
      </c>
      <c r="AL1238" t="s">
        <v>4578</v>
      </c>
    </row>
    <row r="1239" spans="9:38" x14ac:dyDescent="0.25">
      <c r="I1239" t="str">
        <f t="shared" si="102"/>
        <v>kof95a</v>
      </c>
      <c r="J1239" t="str">
        <f t="shared" si="103"/>
        <v/>
      </c>
      <c r="L1239" t="str">
        <f t="shared" ref="L1239:P1289" si="105">IFERROR(VLOOKUP($I1239&amp;L$1,$J:$Q,8,0),"")</f>
        <v>NGM-084</v>
      </c>
      <c r="M1239" t="str">
        <f t="shared" si="105"/>
        <v>19950725</v>
      </c>
      <c r="N1239" t="str">
        <f t="shared" si="105"/>
        <v>ザ・キング・オブ・ファイターズ '95</v>
      </c>
      <c r="O1239" t="str">
        <f t="shared" si="105"/>
        <v/>
      </c>
      <c r="P1239" t="str">
        <f t="shared" si="105"/>
        <v/>
      </c>
      <c r="T1239" t="str">
        <f t="shared" si="104"/>
        <v/>
      </c>
      <c r="V1239" t="str">
        <f t="shared" ref="V1239:W1302" si="106">IFERROR(VLOOKUP($I1239&amp;V$1,$T:$AA,2,0),"")</f>
        <v>MVS</v>
      </c>
      <c r="W1239" t="str">
        <f t="shared" si="106"/>
        <v>MVS,AES</v>
      </c>
      <c r="AH1239" t="s">
        <v>4577</v>
      </c>
      <c r="AI1239" t="s">
        <v>11</v>
      </c>
      <c r="AJ1239" t="s">
        <v>3</v>
      </c>
      <c r="AK1239" t="s">
        <v>4576</v>
      </c>
      <c r="AL1239" t="s">
        <v>4575</v>
      </c>
    </row>
    <row r="1240" spans="9:38" x14ac:dyDescent="0.25">
      <c r="I1240" t="str">
        <f t="shared" si="102"/>
        <v>kof95a</v>
      </c>
      <c r="J1240" t="str">
        <f t="shared" si="103"/>
        <v/>
      </c>
      <c r="L1240" t="str">
        <f t="shared" si="105"/>
        <v>NGM-084</v>
      </c>
      <c r="M1240" t="str">
        <f t="shared" si="105"/>
        <v>19950725</v>
      </c>
      <c r="N1240" t="str">
        <f t="shared" si="105"/>
        <v>ザ・キング・オブ・ファイターズ '95</v>
      </c>
      <c r="O1240" t="str">
        <f t="shared" si="105"/>
        <v/>
      </c>
      <c r="P1240" t="str">
        <f t="shared" si="105"/>
        <v/>
      </c>
      <c r="T1240" t="str">
        <f t="shared" si="104"/>
        <v/>
      </c>
      <c r="V1240" t="str">
        <f t="shared" si="106"/>
        <v>MVS</v>
      </c>
      <c r="W1240" t="str">
        <f t="shared" si="106"/>
        <v>MVS,AES</v>
      </c>
      <c r="AH1240" t="s">
        <v>4574</v>
      </c>
      <c r="AI1240" t="s">
        <v>57</v>
      </c>
      <c r="AJ1240" t="s">
        <v>15</v>
      </c>
      <c r="AK1240" t="s">
        <v>4573</v>
      </c>
      <c r="AL1240" t="s">
        <v>4572</v>
      </c>
    </row>
    <row r="1241" spans="9:38" x14ac:dyDescent="0.25">
      <c r="I1241" t="str">
        <f t="shared" si="102"/>
        <v>kof95a</v>
      </c>
      <c r="J1241" t="str">
        <f t="shared" si="103"/>
        <v/>
      </c>
      <c r="L1241" t="str">
        <f t="shared" si="105"/>
        <v>NGM-084</v>
      </c>
      <c r="M1241" t="str">
        <f t="shared" si="105"/>
        <v>19950725</v>
      </c>
      <c r="N1241" t="str">
        <f t="shared" si="105"/>
        <v>ザ・キング・オブ・ファイターズ '95</v>
      </c>
      <c r="O1241" t="str">
        <f t="shared" si="105"/>
        <v/>
      </c>
      <c r="P1241" t="str">
        <f t="shared" si="105"/>
        <v/>
      </c>
      <c r="T1241" t="str">
        <f t="shared" si="104"/>
        <v/>
      </c>
      <c r="V1241" t="str">
        <f t="shared" si="106"/>
        <v>MVS</v>
      </c>
      <c r="W1241" t="str">
        <f t="shared" si="106"/>
        <v>MVS,AES</v>
      </c>
      <c r="AB1241" t="s">
        <v>12</v>
      </c>
      <c r="AE1241" t="s">
        <v>4467</v>
      </c>
      <c r="AG1241" t="s">
        <v>6</v>
      </c>
      <c r="AH1241" t="s">
        <v>4571</v>
      </c>
      <c r="AI1241" t="s">
        <v>9</v>
      </c>
      <c r="AJ1241" t="s">
        <v>11</v>
      </c>
      <c r="AK1241" t="s">
        <v>4570</v>
      </c>
      <c r="AL1241" t="s">
        <v>4569</v>
      </c>
    </row>
    <row r="1242" spans="9:38" x14ac:dyDescent="0.25">
      <c r="I1242" t="str">
        <f t="shared" si="102"/>
        <v>kof95a</v>
      </c>
      <c r="J1242" t="str">
        <f t="shared" si="103"/>
        <v/>
      </c>
      <c r="L1242" t="str">
        <f t="shared" si="105"/>
        <v>NGM-084</v>
      </c>
      <c r="M1242" t="str">
        <f t="shared" si="105"/>
        <v>19950725</v>
      </c>
      <c r="N1242" t="str">
        <f t="shared" si="105"/>
        <v>ザ・キング・オブ・ファイターズ '95</v>
      </c>
      <c r="O1242" t="str">
        <f t="shared" si="105"/>
        <v/>
      </c>
      <c r="P1242" t="str">
        <f t="shared" si="105"/>
        <v/>
      </c>
      <c r="T1242" t="str">
        <f t="shared" si="104"/>
        <v/>
      </c>
      <c r="V1242" t="str">
        <f t="shared" si="106"/>
        <v>MVS</v>
      </c>
      <c r="W1242" t="str">
        <f t="shared" si="106"/>
        <v>MVS,AES</v>
      </c>
      <c r="AG1242" t="s">
        <v>6</v>
      </c>
      <c r="AH1242" t="s">
        <v>4568</v>
      </c>
      <c r="AI1242" t="s">
        <v>4</v>
      </c>
      <c r="AJ1242" t="s">
        <v>11</v>
      </c>
      <c r="AK1242" t="s">
        <v>4567</v>
      </c>
      <c r="AL1242" t="s">
        <v>4566</v>
      </c>
    </row>
    <row r="1243" spans="9:38" x14ac:dyDescent="0.25">
      <c r="I1243" t="str">
        <f t="shared" si="102"/>
        <v>kof95a</v>
      </c>
      <c r="J1243" t="str">
        <f t="shared" si="103"/>
        <v/>
      </c>
      <c r="L1243" t="str">
        <f t="shared" si="105"/>
        <v>NGM-084</v>
      </c>
      <c r="M1243" t="str">
        <f t="shared" si="105"/>
        <v>19950725</v>
      </c>
      <c r="N1243" t="str">
        <f t="shared" si="105"/>
        <v>ザ・キング・オブ・ファイターズ '95</v>
      </c>
      <c r="O1243" t="str">
        <f t="shared" si="105"/>
        <v/>
      </c>
      <c r="P1243" t="str">
        <f t="shared" si="105"/>
        <v/>
      </c>
      <c r="T1243" t="str">
        <f t="shared" si="104"/>
        <v/>
      </c>
      <c r="V1243" t="str">
        <f t="shared" si="106"/>
        <v>MVS</v>
      </c>
      <c r="W1243" t="str">
        <f t="shared" si="106"/>
        <v>MVS,AES</v>
      </c>
      <c r="AG1243" t="s">
        <v>6</v>
      </c>
      <c r="AH1243" t="s">
        <v>4565</v>
      </c>
      <c r="AI1243" t="s">
        <v>57</v>
      </c>
      <c r="AJ1243" t="s">
        <v>11</v>
      </c>
      <c r="AK1243" t="s">
        <v>4564</v>
      </c>
      <c r="AL1243" t="s">
        <v>4563</v>
      </c>
    </row>
    <row r="1244" spans="9:38" x14ac:dyDescent="0.25">
      <c r="I1244" t="str">
        <f t="shared" si="102"/>
        <v>kof95a</v>
      </c>
      <c r="J1244" t="str">
        <f t="shared" si="103"/>
        <v/>
      </c>
      <c r="L1244" t="str">
        <f t="shared" si="105"/>
        <v>NGM-084</v>
      </c>
      <c r="M1244" t="str">
        <f t="shared" si="105"/>
        <v>19950725</v>
      </c>
      <c r="N1244" t="str">
        <f t="shared" si="105"/>
        <v>ザ・キング・オブ・ファイターズ '95</v>
      </c>
      <c r="O1244" t="str">
        <f t="shared" si="105"/>
        <v/>
      </c>
      <c r="P1244" t="str">
        <f t="shared" si="105"/>
        <v/>
      </c>
      <c r="T1244" t="str">
        <f t="shared" si="104"/>
        <v/>
      </c>
      <c r="V1244" t="str">
        <f t="shared" si="106"/>
        <v>MVS</v>
      </c>
      <c r="W1244" t="str">
        <f t="shared" si="106"/>
        <v>MVS,AES</v>
      </c>
      <c r="AG1244" t="s">
        <v>6</v>
      </c>
      <c r="AH1244" t="s">
        <v>4562</v>
      </c>
      <c r="AI1244" t="s">
        <v>53</v>
      </c>
      <c r="AJ1244" t="s">
        <v>11</v>
      </c>
      <c r="AK1244" t="s">
        <v>4561</v>
      </c>
      <c r="AL1244" t="s">
        <v>4560</v>
      </c>
    </row>
    <row r="1245" spans="9:38" x14ac:dyDescent="0.25">
      <c r="I1245" t="str">
        <f t="shared" si="102"/>
        <v>kof95a</v>
      </c>
      <c r="J1245" t="str">
        <f t="shared" si="103"/>
        <v/>
      </c>
      <c r="L1245" t="str">
        <f t="shared" si="105"/>
        <v>NGM-084</v>
      </c>
      <c r="M1245" t="str">
        <f t="shared" si="105"/>
        <v>19950725</v>
      </c>
      <c r="N1245" t="str">
        <f t="shared" si="105"/>
        <v>ザ・キング・オブ・ファイターズ '95</v>
      </c>
      <c r="O1245" t="str">
        <f t="shared" si="105"/>
        <v/>
      </c>
      <c r="P1245" t="str">
        <f t="shared" si="105"/>
        <v/>
      </c>
      <c r="T1245" t="str">
        <f t="shared" si="104"/>
        <v/>
      </c>
      <c r="V1245" t="str">
        <f t="shared" si="106"/>
        <v>MVS</v>
      </c>
      <c r="W1245" t="str">
        <f t="shared" si="106"/>
        <v>MVS,AES</v>
      </c>
      <c r="AG1245" t="s">
        <v>6</v>
      </c>
      <c r="AH1245" t="s">
        <v>4559</v>
      </c>
      <c r="AI1245" t="s">
        <v>65</v>
      </c>
      <c r="AJ1245" t="s">
        <v>3</v>
      </c>
      <c r="AK1245" t="s">
        <v>4558</v>
      </c>
      <c r="AL1245" t="s">
        <v>4557</v>
      </c>
    </row>
    <row r="1246" spans="9:38" x14ac:dyDescent="0.25">
      <c r="I1246" t="str">
        <f t="shared" si="102"/>
        <v>kof95a</v>
      </c>
      <c r="J1246" t="str">
        <f t="shared" si="103"/>
        <v/>
      </c>
      <c r="L1246" t="str">
        <f t="shared" si="105"/>
        <v>NGM-084</v>
      </c>
      <c r="M1246" t="str">
        <f t="shared" si="105"/>
        <v>19950725</v>
      </c>
      <c r="N1246" t="str">
        <f t="shared" si="105"/>
        <v>ザ・キング・オブ・ファイターズ '95</v>
      </c>
      <c r="O1246" t="str">
        <f t="shared" si="105"/>
        <v/>
      </c>
      <c r="P1246" t="str">
        <f t="shared" si="105"/>
        <v/>
      </c>
      <c r="T1246" t="str">
        <f t="shared" si="104"/>
        <v/>
      </c>
      <c r="V1246" t="str">
        <f t="shared" si="106"/>
        <v>MVS</v>
      </c>
      <c r="W1246" t="str">
        <f t="shared" si="106"/>
        <v>MVS,AES</v>
      </c>
      <c r="AG1246" t="s">
        <v>6</v>
      </c>
      <c r="AH1246" t="s">
        <v>4556</v>
      </c>
      <c r="AI1246" t="s">
        <v>164</v>
      </c>
      <c r="AJ1246" t="s">
        <v>3</v>
      </c>
      <c r="AK1246" t="s">
        <v>4555</v>
      </c>
      <c r="AL1246" t="s">
        <v>4554</v>
      </c>
    </row>
    <row r="1247" spans="9:38" x14ac:dyDescent="0.25">
      <c r="I1247" t="str">
        <f t="shared" si="102"/>
        <v>kof95a</v>
      </c>
      <c r="J1247" t="str">
        <f t="shared" si="103"/>
        <v/>
      </c>
      <c r="L1247" t="str">
        <f t="shared" si="105"/>
        <v>NGM-084</v>
      </c>
      <c r="M1247" t="str">
        <f t="shared" si="105"/>
        <v>19950725</v>
      </c>
      <c r="N1247" t="str">
        <f t="shared" si="105"/>
        <v>ザ・キング・オブ・ファイターズ '95</v>
      </c>
      <c r="O1247" t="str">
        <f t="shared" si="105"/>
        <v/>
      </c>
      <c r="P1247" t="str">
        <f t="shared" si="105"/>
        <v/>
      </c>
      <c r="T1247" t="str">
        <f t="shared" si="104"/>
        <v/>
      </c>
      <c r="V1247" t="str">
        <f t="shared" si="106"/>
        <v>MVS</v>
      </c>
      <c r="W1247" t="str">
        <f t="shared" si="106"/>
        <v>MVS,AES</v>
      </c>
      <c r="AG1247" t="s">
        <v>6</v>
      </c>
      <c r="AH1247" t="s">
        <v>4553</v>
      </c>
      <c r="AI1247" t="s">
        <v>634</v>
      </c>
      <c r="AJ1247" t="s">
        <v>15</v>
      </c>
      <c r="AK1247" t="s">
        <v>4552</v>
      </c>
      <c r="AL1247" t="s">
        <v>4551</v>
      </c>
    </row>
    <row r="1248" spans="9:38" x14ac:dyDescent="0.25">
      <c r="I1248" t="str">
        <f t="shared" si="102"/>
        <v>kof95a</v>
      </c>
      <c r="J1248" t="str">
        <f t="shared" si="103"/>
        <v/>
      </c>
      <c r="L1248" t="str">
        <f t="shared" si="105"/>
        <v>NGM-084</v>
      </c>
      <c r="M1248" t="str">
        <f t="shared" si="105"/>
        <v>19950725</v>
      </c>
      <c r="N1248" t="str">
        <f t="shared" si="105"/>
        <v>ザ・キング・オブ・ファイターズ '95</v>
      </c>
      <c r="O1248" t="str">
        <f t="shared" si="105"/>
        <v/>
      </c>
      <c r="P1248" t="str">
        <f t="shared" si="105"/>
        <v/>
      </c>
      <c r="T1248" t="str">
        <f t="shared" si="104"/>
        <v/>
      </c>
      <c r="V1248" t="str">
        <f t="shared" si="106"/>
        <v>MVS</v>
      </c>
      <c r="W1248" t="str">
        <f t="shared" si="106"/>
        <v>MVS,AES</v>
      </c>
      <c r="AG1248" t="s">
        <v>6</v>
      </c>
      <c r="AH1248" t="s">
        <v>4550</v>
      </c>
      <c r="AI1248" t="s">
        <v>630</v>
      </c>
      <c r="AJ1248" t="s">
        <v>15</v>
      </c>
      <c r="AK1248" t="s">
        <v>4549</v>
      </c>
      <c r="AL1248" t="s">
        <v>4548</v>
      </c>
    </row>
    <row r="1249" spans="5:44" x14ac:dyDescent="0.25">
      <c r="E1249" t="s">
        <v>4595</v>
      </c>
      <c r="F1249" t="s">
        <v>4594</v>
      </c>
      <c r="G1249" t="s">
        <v>1239</v>
      </c>
      <c r="H1249" t="s">
        <v>1912</v>
      </c>
      <c r="I1249" t="str">
        <f t="shared" si="102"/>
        <v>kof95h</v>
      </c>
      <c r="J1249" t="str">
        <f t="shared" si="103"/>
        <v>kof95hserial</v>
      </c>
      <c r="K1249" t="s">
        <v>1373</v>
      </c>
      <c r="L1249" t="str">
        <f t="shared" si="105"/>
        <v>NGH-084</v>
      </c>
      <c r="M1249" t="str">
        <f t="shared" si="105"/>
        <v>19950901</v>
      </c>
      <c r="N1249" t="str">
        <f t="shared" si="105"/>
        <v>ザ・キング・オブ・ファイターズ '95</v>
      </c>
      <c r="O1249" t="str">
        <f t="shared" si="105"/>
        <v/>
      </c>
      <c r="P1249" t="str">
        <f t="shared" si="105"/>
        <v/>
      </c>
      <c r="Q1249" t="s">
        <v>4593</v>
      </c>
      <c r="S1249" t="s">
        <v>46</v>
      </c>
      <c r="T1249" t="str">
        <f t="shared" si="104"/>
        <v>kof95hrelease</v>
      </c>
      <c r="U1249" t="s">
        <v>218</v>
      </c>
      <c r="V1249" t="str">
        <f t="shared" si="106"/>
        <v>MVS,AES</v>
      </c>
      <c r="W1249" t="str">
        <f t="shared" si="106"/>
        <v>MVS,AES</v>
      </c>
      <c r="Y1249" t="s">
        <v>45</v>
      </c>
      <c r="Z1249" t="s">
        <v>44</v>
      </c>
      <c r="AB1249" t="s">
        <v>43</v>
      </c>
      <c r="AC1249" t="s">
        <v>42</v>
      </c>
      <c r="AD1249" t="s">
        <v>41</v>
      </c>
      <c r="AE1249" t="s">
        <v>3</v>
      </c>
      <c r="AG1249" t="s">
        <v>40</v>
      </c>
      <c r="AH1249" t="s">
        <v>4592</v>
      </c>
      <c r="AI1249" t="s">
        <v>15</v>
      </c>
      <c r="AJ1249" t="s">
        <v>15</v>
      </c>
      <c r="AK1249" t="s">
        <v>4591</v>
      </c>
      <c r="AL1249" t="s">
        <v>4590</v>
      </c>
      <c r="AR1249" t="s">
        <v>4589</v>
      </c>
    </row>
    <row r="1250" spans="5:44" x14ac:dyDescent="0.25">
      <c r="I1250" t="str">
        <f t="shared" si="102"/>
        <v>kof95h</v>
      </c>
      <c r="J1250" t="str">
        <f t="shared" si="103"/>
        <v>kof95hrelease</v>
      </c>
      <c r="K1250" t="s">
        <v>46</v>
      </c>
      <c r="L1250" t="str">
        <f t="shared" si="105"/>
        <v>NGH-084</v>
      </c>
      <c r="M1250" t="str">
        <f t="shared" si="105"/>
        <v>19950901</v>
      </c>
      <c r="N1250" t="str">
        <f t="shared" si="105"/>
        <v>ザ・キング・オブ・ファイターズ '95</v>
      </c>
      <c r="O1250" t="str">
        <f t="shared" si="105"/>
        <v/>
      </c>
      <c r="P1250" t="str">
        <f t="shared" si="105"/>
        <v/>
      </c>
      <c r="Q1250" t="s">
        <v>4588</v>
      </c>
      <c r="T1250" t="str">
        <f t="shared" si="104"/>
        <v/>
      </c>
      <c r="V1250" t="str">
        <f t="shared" si="106"/>
        <v>MVS,AES</v>
      </c>
      <c r="W1250" t="str">
        <f t="shared" si="106"/>
        <v>MVS,AES</v>
      </c>
      <c r="AG1250" t="s">
        <v>224</v>
      </c>
      <c r="AI1250" t="s">
        <v>9</v>
      </c>
      <c r="AJ1250" t="s">
        <v>15</v>
      </c>
    </row>
    <row r="1251" spans="5:44" x14ac:dyDescent="0.25">
      <c r="I1251" t="str">
        <f t="shared" si="102"/>
        <v>kof95h</v>
      </c>
      <c r="J1251" t="str">
        <f t="shared" si="103"/>
        <v>kof95halt_title</v>
      </c>
      <c r="K1251" t="s">
        <v>1218</v>
      </c>
      <c r="L1251" t="str">
        <f t="shared" si="105"/>
        <v>NGH-084</v>
      </c>
      <c r="M1251" t="str">
        <f t="shared" si="105"/>
        <v>19950901</v>
      </c>
      <c r="N1251" t="str">
        <f t="shared" si="105"/>
        <v>ザ・キング・オブ・ファイターズ '95</v>
      </c>
      <c r="O1251" t="str">
        <f t="shared" si="105"/>
        <v/>
      </c>
      <c r="P1251" t="str">
        <f t="shared" si="105"/>
        <v/>
      </c>
      <c r="Q1251" t="s">
        <v>4587</v>
      </c>
      <c r="T1251" t="str">
        <f t="shared" si="104"/>
        <v/>
      </c>
      <c r="V1251" t="str">
        <f t="shared" si="106"/>
        <v>MVS,AES</v>
      </c>
      <c r="W1251" t="str">
        <f t="shared" si="106"/>
        <v>MVS,AES</v>
      </c>
      <c r="AB1251" t="s">
        <v>34</v>
      </c>
      <c r="AE1251" t="s">
        <v>33</v>
      </c>
      <c r="AH1251" t="s">
        <v>4586</v>
      </c>
      <c r="AI1251" t="s">
        <v>9</v>
      </c>
      <c r="AJ1251" t="s">
        <v>27</v>
      </c>
      <c r="AK1251" t="s">
        <v>4585</v>
      </c>
      <c r="AL1251" t="s">
        <v>4584</v>
      </c>
    </row>
    <row r="1252" spans="5:44" x14ac:dyDescent="0.25">
      <c r="I1252" t="str">
        <f t="shared" si="102"/>
        <v>kof95h</v>
      </c>
      <c r="J1252" t="str">
        <f t="shared" si="103"/>
        <v/>
      </c>
      <c r="L1252" t="str">
        <f t="shared" si="105"/>
        <v>NGH-084</v>
      </c>
      <c r="M1252" t="str">
        <f t="shared" si="105"/>
        <v>19950901</v>
      </c>
      <c r="N1252" t="str">
        <f t="shared" si="105"/>
        <v>ザ・キング・オブ・ファイターズ '95</v>
      </c>
      <c r="O1252" t="str">
        <f t="shared" si="105"/>
        <v/>
      </c>
      <c r="P1252" t="str">
        <f t="shared" si="105"/>
        <v/>
      </c>
      <c r="S1252" t="s">
        <v>36</v>
      </c>
      <c r="T1252" t="str">
        <f t="shared" si="104"/>
        <v>kof95hcompatibility</v>
      </c>
      <c r="U1252" t="s">
        <v>218</v>
      </c>
      <c r="V1252" t="str">
        <f t="shared" si="106"/>
        <v>MVS,AES</v>
      </c>
      <c r="W1252" t="str">
        <f t="shared" si="106"/>
        <v>MVS,AES</v>
      </c>
      <c r="AB1252" t="s">
        <v>29</v>
      </c>
      <c r="AE1252" t="s">
        <v>27</v>
      </c>
      <c r="AH1252" t="s">
        <v>4583</v>
      </c>
      <c r="AI1252" t="s">
        <v>9</v>
      </c>
      <c r="AJ1252" t="s">
        <v>27</v>
      </c>
      <c r="AK1252" t="s">
        <v>4582</v>
      </c>
      <c r="AL1252" t="s">
        <v>4581</v>
      </c>
    </row>
    <row r="1253" spans="5:44" x14ac:dyDescent="0.25">
      <c r="I1253" t="str">
        <f t="shared" si="102"/>
        <v>kof95h</v>
      </c>
      <c r="J1253" t="str">
        <f t="shared" si="103"/>
        <v/>
      </c>
      <c r="L1253" t="str">
        <f t="shared" si="105"/>
        <v>NGH-084</v>
      </c>
      <c r="M1253" t="str">
        <f t="shared" si="105"/>
        <v>19950901</v>
      </c>
      <c r="N1253" t="str">
        <f t="shared" si="105"/>
        <v>ザ・キング・オブ・ファイターズ '95</v>
      </c>
      <c r="O1253" t="str">
        <f t="shared" si="105"/>
        <v/>
      </c>
      <c r="P1253" t="str">
        <f t="shared" si="105"/>
        <v/>
      </c>
      <c r="T1253" t="str">
        <f t="shared" si="104"/>
        <v/>
      </c>
      <c r="V1253" t="str">
        <f t="shared" si="106"/>
        <v>MVS,AES</v>
      </c>
      <c r="W1253" t="str">
        <f t="shared" si="106"/>
        <v>MVS,AES</v>
      </c>
      <c r="AB1253" t="s">
        <v>24</v>
      </c>
      <c r="AE1253" t="s">
        <v>704</v>
      </c>
      <c r="AH1253" t="s">
        <v>4580</v>
      </c>
      <c r="AI1253" t="s">
        <v>9</v>
      </c>
      <c r="AJ1253" t="s">
        <v>11</v>
      </c>
      <c r="AK1253" t="s">
        <v>4579</v>
      </c>
      <c r="AL1253" t="s">
        <v>4578</v>
      </c>
    </row>
    <row r="1254" spans="5:44" x14ac:dyDescent="0.25">
      <c r="I1254" t="str">
        <f t="shared" si="102"/>
        <v>kof95h</v>
      </c>
      <c r="J1254" t="str">
        <f t="shared" si="103"/>
        <v/>
      </c>
      <c r="L1254" t="str">
        <f t="shared" si="105"/>
        <v>NGH-084</v>
      </c>
      <c r="M1254" t="str">
        <f t="shared" si="105"/>
        <v>19950901</v>
      </c>
      <c r="N1254" t="str">
        <f t="shared" si="105"/>
        <v>ザ・キング・オブ・ファイターズ '95</v>
      </c>
      <c r="O1254" t="str">
        <f t="shared" si="105"/>
        <v/>
      </c>
      <c r="P1254" t="str">
        <f t="shared" si="105"/>
        <v/>
      </c>
      <c r="T1254" t="str">
        <f t="shared" si="104"/>
        <v/>
      </c>
      <c r="V1254" t="str">
        <f t="shared" si="106"/>
        <v>MVS,AES</v>
      </c>
      <c r="W1254" t="str">
        <f t="shared" si="106"/>
        <v>MVS,AES</v>
      </c>
      <c r="AH1254" t="s">
        <v>4577</v>
      </c>
      <c r="AI1254" t="s">
        <v>11</v>
      </c>
      <c r="AJ1254" t="s">
        <v>3</v>
      </c>
      <c r="AK1254" t="s">
        <v>4576</v>
      </c>
      <c r="AL1254" t="s">
        <v>4575</v>
      </c>
    </row>
    <row r="1255" spans="5:44" x14ac:dyDescent="0.25">
      <c r="I1255" t="str">
        <f t="shared" si="102"/>
        <v>kof95h</v>
      </c>
      <c r="J1255" t="str">
        <f t="shared" si="103"/>
        <v/>
      </c>
      <c r="L1255" t="str">
        <f t="shared" si="105"/>
        <v>NGH-084</v>
      </c>
      <c r="M1255" t="str">
        <f t="shared" si="105"/>
        <v>19950901</v>
      </c>
      <c r="N1255" t="str">
        <f t="shared" si="105"/>
        <v>ザ・キング・オブ・ファイターズ '95</v>
      </c>
      <c r="O1255" t="str">
        <f t="shared" si="105"/>
        <v/>
      </c>
      <c r="P1255" t="str">
        <f t="shared" si="105"/>
        <v/>
      </c>
      <c r="T1255" t="str">
        <f t="shared" si="104"/>
        <v/>
      </c>
      <c r="V1255" t="str">
        <f t="shared" si="106"/>
        <v>MVS,AES</v>
      </c>
      <c r="W1255" t="str">
        <f t="shared" si="106"/>
        <v>MVS,AES</v>
      </c>
      <c r="AH1255" t="s">
        <v>4574</v>
      </c>
      <c r="AI1255" t="s">
        <v>57</v>
      </c>
      <c r="AJ1255" t="s">
        <v>15</v>
      </c>
      <c r="AK1255" t="s">
        <v>4573</v>
      </c>
      <c r="AL1255" t="s">
        <v>4572</v>
      </c>
    </row>
    <row r="1256" spans="5:44" x14ac:dyDescent="0.25">
      <c r="I1256" t="str">
        <f t="shared" si="102"/>
        <v>kof95h</v>
      </c>
      <c r="J1256" t="str">
        <f t="shared" si="103"/>
        <v/>
      </c>
      <c r="L1256" t="str">
        <f t="shared" si="105"/>
        <v>NGH-084</v>
      </c>
      <c r="M1256" t="str">
        <f t="shared" si="105"/>
        <v>19950901</v>
      </c>
      <c r="N1256" t="str">
        <f t="shared" si="105"/>
        <v>ザ・キング・オブ・ファイターズ '95</v>
      </c>
      <c r="O1256" t="str">
        <f t="shared" si="105"/>
        <v/>
      </c>
      <c r="P1256" t="str">
        <f t="shared" si="105"/>
        <v/>
      </c>
      <c r="T1256" t="str">
        <f t="shared" si="104"/>
        <v/>
      </c>
      <c r="V1256" t="str">
        <f t="shared" si="106"/>
        <v>MVS,AES</v>
      </c>
      <c r="W1256" t="str">
        <f t="shared" si="106"/>
        <v>MVS,AES</v>
      </c>
      <c r="AB1256" t="s">
        <v>12</v>
      </c>
      <c r="AE1256" t="s">
        <v>4467</v>
      </c>
      <c r="AG1256" t="s">
        <v>6</v>
      </c>
      <c r="AH1256" t="s">
        <v>4571</v>
      </c>
      <c r="AI1256" t="s">
        <v>9</v>
      </c>
      <c r="AJ1256" t="s">
        <v>11</v>
      </c>
      <c r="AK1256" t="s">
        <v>4570</v>
      </c>
      <c r="AL1256" t="s">
        <v>4569</v>
      </c>
    </row>
    <row r="1257" spans="5:44" x14ac:dyDescent="0.25">
      <c r="I1257" t="str">
        <f t="shared" si="102"/>
        <v>kof95h</v>
      </c>
      <c r="J1257" t="str">
        <f t="shared" si="103"/>
        <v/>
      </c>
      <c r="L1257" t="str">
        <f t="shared" si="105"/>
        <v>NGH-084</v>
      </c>
      <c r="M1257" t="str">
        <f t="shared" si="105"/>
        <v>19950901</v>
      </c>
      <c r="N1257" t="str">
        <f t="shared" si="105"/>
        <v>ザ・キング・オブ・ファイターズ '95</v>
      </c>
      <c r="O1257" t="str">
        <f t="shared" si="105"/>
        <v/>
      </c>
      <c r="P1257" t="str">
        <f t="shared" si="105"/>
        <v/>
      </c>
      <c r="T1257" t="str">
        <f t="shared" si="104"/>
        <v/>
      </c>
      <c r="V1257" t="str">
        <f t="shared" si="106"/>
        <v>MVS,AES</v>
      </c>
      <c r="W1257" t="str">
        <f t="shared" si="106"/>
        <v>MVS,AES</v>
      </c>
      <c r="AG1257" t="s">
        <v>6</v>
      </c>
      <c r="AH1257" t="s">
        <v>4568</v>
      </c>
      <c r="AI1257" t="s">
        <v>4</v>
      </c>
      <c r="AJ1257" t="s">
        <v>11</v>
      </c>
      <c r="AK1257" t="s">
        <v>4567</v>
      </c>
      <c r="AL1257" t="s">
        <v>4566</v>
      </c>
    </row>
    <row r="1258" spans="5:44" x14ac:dyDescent="0.25">
      <c r="I1258" t="str">
        <f t="shared" si="102"/>
        <v>kof95h</v>
      </c>
      <c r="J1258" t="str">
        <f t="shared" si="103"/>
        <v/>
      </c>
      <c r="L1258" t="str">
        <f t="shared" si="105"/>
        <v>NGH-084</v>
      </c>
      <c r="M1258" t="str">
        <f t="shared" si="105"/>
        <v>19950901</v>
      </c>
      <c r="N1258" t="str">
        <f t="shared" si="105"/>
        <v>ザ・キング・オブ・ファイターズ '95</v>
      </c>
      <c r="O1258" t="str">
        <f t="shared" si="105"/>
        <v/>
      </c>
      <c r="P1258" t="str">
        <f t="shared" si="105"/>
        <v/>
      </c>
      <c r="T1258" t="str">
        <f t="shared" si="104"/>
        <v/>
      </c>
      <c r="V1258" t="str">
        <f t="shared" si="106"/>
        <v>MVS,AES</v>
      </c>
      <c r="W1258" t="str">
        <f t="shared" si="106"/>
        <v>MVS,AES</v>
      </c>
      <c r="AG1258" t="s">
        <v>6</v>
      </c>
      <c r="AH1258" t="s">
        <v>4565</v>
      </c>
      <c r="AI1258" t="s">
        <v>57</v>
      </c>
      <c r="AJ1258" t="s">
        <v>11</v>
      </c>
      <c r="AK1258" t="s">
        <v>4564</v>
      </c>
      <c r="AL1258" t="s">
        <v>4563</v>
      </c>
    </row>
    <row r="1259" spans="5:44" x14ac:dyDescent="0.25">
      <c r="I1259" t="str">
        <f t="shared" si="102"/>
        <v>kof95h</v>
      </c>
      <c r="J1259" t="str">
        <f t="shared" si="103"/>
        <v/>
      </c>
      <c r="L1259" t="str">
        <f t="shared" si="105"/>
        <v>NGH-084</v>
      </c>
      <c r="M1259" t="str">
        <f t="shared" si="105"/>
        <v>19950901</v>
      </c>
      <c r="N1259" t="str">
        <f t="shared" si="105"/>
        <v>ザ・キング・オブ・ファイターズ '95</v>
      </c>
      <c r="O1259" t="str">
        <f t="shared" si="105"/>
        <v/>
      </c>
      <c r="P1259" t="str">
        <f t="shared" si="105"/>
        <v/>
      </c>
      <c r="T1259" t="str">
        <f t="shared" si="104"/>
        <v/>
      </c>
      <c r="V1259" t="str">
        <f t="shared" si="106"/>
        <v>MVS,AES</v>
      </c>
      <c r="W1259" t="str">
        <f t="shared" si="106"/>
        <v>MVS,AES</v>
      </c>
      <c r="AG1259" t="s">
        <v>6</v>
      </c>
      <c r="AH1259" t="s">
        <v>4562</v>
      </c>
      <c r="AI1259" t="s">
        <v>53</v>
      </c>
      <c r="AJ1259" t="s">
        <v>11</v>
      </c>
      <c r="AK1259" t="s">
        <v>4561</v>
      </c>
      <c r="AL1259" t="s">
        <v>4560</v>
      </c>
    </row>
    <row r="1260" spans="5:44" x14ac:dyDescent="0.25">
      <c r="I1260" t="str">
        <f t="shared" si="102"/>
        <v>kof95h</v>
      </c>
      <c r="J1260" t="str">
        <f t="shared" si="103"/>
        <v/>
      </c>
      <c r="L1260" t="str">
        <f t="shared" si="105"/>
        <v>NGH-084</v>
      </c>
      <c r="M1260" t="str">
        <f t="shared" si="105"/>
        <v>19950901</v>
      </c>
      <c r="N1260" t="str">
        <f t="shared" si="105"/>
        <v>ザ・キング・オブ・ファイターズ '95</v>
      </c>
      <c r="O1260" t="str">
        <f t="shared" si="105"/>
        <v/>
      </c>
      <c r="P1260" t="str">
        <f t="shared" si="105"/>
        <v/>
      </c>
      <c r="T1260" t="str">
        <f t="shared" si="104"/>
        <v/>
      </c>
      <c r="V1260" t="str">
        <f t="shared" si="106"/>
        <v>MVS,AES</v>
      </c>
      <c r="W1260" t="str">
        <f t="shared" si="106"/>
        <v>MVS,AES</v>
      </c>
      <c r="AG1260" t="s">
        <v>6</v>
      </c>
      <c r="AH1260" t="s">
        <v>4559</v>
      </c>
      <c r="AI1260" t="s">
        <v>65</v>
      </c>
      <c r="AJ1260" t="s">
        <v>3</v>
      </c>
      <c r="AK1260" t="s">
        <v>4558</v>
      </c>
      <c r="AL1260" t="s">
        <v>4557</v>
      </c>
    </row>
    <row r="1261" spans="5:44" x14ac:dyDescent="0.25">
      <c r="I1261" t="str">
        <f t="shared" si="102"/>
        <v>kof95h</v>
      </c>
      <c r="J1261" t="str">
        <f t="shared" si="103"/>
        <v/>
      </c>
      <c r="L1261" t="str">
        <f t="shared" si="105"/>
        <v>NGH-084</v>
      </c>
      <c r="M1261" t="str">
        <f t="shared" si="105"/>
        <v>19950901</v>
      </c>
      <c r="N1261" t="str">
        <f t="shared" si="105"/>
        <v>ザ・キング・オブ・ファイターズ '95</v>
      </c>
      <c r="O1261" t="str">
        <f t="shared" si="105"/>
        <v/>
      </c>
      <c r="P1261" t="str">
        <f t="shared" si="105"/>
        <v/>
      </c>
      <c r="T1261" t="str">
        <f t="shared" si="104"/>
        <v/>
      </c>
      <c r="V1261" t="str">
        <f t="shared" si="106"/>
        <v>MVS,AES</v>
      </c>
      <c r="W1261" t="str">
        <f t="shared" si="106"/>
        <v>MVS,AES</v>
      </c>
      <c r="AG1261" t="s">
        <v>6</v>
      </c>
      <c r="AH1261" t="s">
        <v>4556</v>
      </c>
      <c r="AI1261" t="s">
        <v>164</v>
      </c>
      <c r="AJ1261" t="s">
        <v>3</v>
      </c>
      <c r="AK1261" t="s">
        <v>4555</v>
      </c>
      <c r="AL1261" t="s">
        <v>4554</v>
      </c>
    </row>
    <row r="1262" spans="5:44" x14ac:dyDescent="0.25">
      <c r="I1262" t="str">
        <f t="shared" si="102"/>
        <v>kof95h</v>
      </c>
      <c r="J1262" t="str">
        <f t="shared" si="103"/>
        <v/>
      </c>
      <c r="L1262" t="str">
        <f t="shared" si="105"/>
        <v>NGH-084</v>
      </c>
      <c r="M1262" t="str">
        <f t="shared" si="105"/>
        <v>19950901</v>
      </c>
      <c r="N1262" t="str">
        <f t="shared" si="105"/>
        <v>ザ・キング・オブ・ファイターズ '95</v>
      </c>
      <c r="O1262" t="str">
        <f t="shared" si="105"/>
        <v/>
      </c>
      <c r="P1262" t="str">
        <f t="shared" si="105"/>
        <v/>
      </c>
      <c r="T1262" t="str">
        <f t="shared" si="104"/>
        <v/>
      </c>
      <c r="V1262" t="str">
        <f t="shared" si="106"/>
        <v>MVS,AES</v>
      </c>
      <c r="W1262" t="str">
        <f t="shared" si="106"/>
        <v>MVS,AES</v>
      </c>
      <c r="AG1262" t="s">
        <v>6</v>
      </c>
      <c r="AH1262" t="s">
        <v>4553</v>
      </c>
      <c r="AI1262" t="s">
        <v>634</v>
      </c>
      <c r="AJ1262" t="s">
        <v>15</v>
      </c>
      <c r="AK1262" t="s">
        <v>4552</v>
      </c>
      <c r="AL1262" t="s">
        <v>4551</v>
      </c>
    </row>
    <row r="1263" spans="5:44" x14ac:dyDescent="0.25">
      <c r="I1263" t="str">
        <f t="shared" si="102"/>
        <v>kof95h</v>
      </c>
      <c r="J1263" t="str">
        <f t="shared" si="103"/>
        <v/>
      </c>
      <c r="L1263" t="str">
        <f t="shared" si="105"/>
        <v>NGH-084</v>
      </c>
      <c r="M1263" t="str">
        <f t="shared" si="105"/>
        <v>19950901</v>
      </c>
      <c r="N1263" t="str">
        <f t="shared" si="105"/>
        <v>ザ・キング・オブ・ファイターズ '95</v>
      </c>
      <c r="O1263" t="str">
        <f t="shared" si="105"/>
        <v/>
      </c>
      <c r="P1263" t="str">
        <f t="shared" si="105"/>
        <v/>
      </c>
      <c r="T1263" t="str">
        <f t="shared" si="104"/>
        <v/>
      </c>
      <c r="V1263" t="str">
        <f t="shared" si="106"/>
        <v>MVS,AES</v>
      </c>
      <c r="W1263" t="str">
        <f t="shared" si="106"/>
        <v>MVS,AES</v>
      </c>
      <c r="AG1263" t="s">
        <v>6</v>
      </c>
      <c r="AH1263" t="s">
        <v>4550</v>
      </c>
      <c r="AI1263" t="s">
        <v>630</v>
      </c>
      <c r="AJ1263" t="s">
        <v>15</v>
      </c>
      <c r="AK1263" t="s">
        <v>4549</v>
      </c>
      <c r="AL1263" t="s">
        <v>4548</v>
      </c>
    </row>
    <row r="1264" spans="5:44" x14ac:dyDescent="0.25">
      <c r="E1264" t="s">
        <v>4547</v>
      </c>
      <c r="F1264" t="s">
        <v>4546</v>
      </c>
      <c r="G1264" t="s">
        <v>1280</v>
      </c>
      <c r="H1264" t="s">
        <v>4545</v>
      </c>
      <c r="I1264" t="str">
        <f t="shared" si="102"/>
        <v>twsoc96</v>
      </c>
      <c r="J1264" t="str">
        <f t="shared" si="103"/>
        <v>twsoc96serial</v>
      </c>
      <c r="K1264" t="s">
        <v>1373</v>
      </c>
      <c r="L1264" t="str">
        <f t="shared" si="105"/>
        <v>NGM-086?</v>
      </c>
      <c r="M1264" t="str">
        <f t="shared" si="105"/>
        <v/>
      </c>
      <c r="N1264" t="str">
        <f t="shared" si="105"/>
        <v>テクモワールドサッカー '96</v>
      </c>
      <c r="O1264" t="str">
        <f t="shared" si="105"/>
        <v/>
      </c>
      <c r="P1264" t="str">
        <f t="shared" si="105"/>
        <v/>
      </c>
      <c r="Q1264" t="s">
        <v>4544</v>
      </c>
      <c r="S1264" t="s">
        <v>46</v>
      </c>
      <c r="T1264" t="str">
        <f t="shared" si="104"/>
        <v>twsoc96release</v>
      </c>
      <c r="U1264" t="s">
        <v>106</v>
      </c>
      <c r="V1264" t="str">
        <f t="shared" si="106"/>
        <v>MVS</v>
      </c>
      <c r="W1264" t="str">
        <f t="shared" si="106"/>
        <v>MVS,AES</v>
      </c>
      <c r="Y1264" t="s">
        <v>45</v>
      </c>
      <c r="Z1264" t="s">
        <v>44</v>
      </c>
      <c r="AB1264" t="s">
        <v>43</v>
      </c>
      <c r="AC1264" t="s">
        <v>42</v>
      </c>
      <c r="AD1264" t="s">
        <v>41</v>
      </c>
      <c r="AE1264" t="s">
        <v>15</v>
      </c>
      <c r="AG1264" t="s">
        <v>40</v>
      </c>
      <c r="AH1264" t="s">
        <v>4543</v>
      </c>
      <c r="AI1264" t="s">
        <v>9</v>
      </c>
      <c r="AJ1264" t="s">
        <v>15</v>
      </c>
      <c r="AK1264" t="s">
        <v>4542</v>
      </c>
      <c r="AL1264" t="s">
        <v>4541</v>
      </c>
    </row>
    <row r="1265" spans="5:38" x14ac:dyDescent="0.25">
      <c r="I1265" t="str">
        <f t="shared" si="102"/>
        <v>twsoc96</v>
      </c>
      <c r="J1265" t="str">
        <f t="shared" si="103"/>
        <v>twsoc96alt_title</v>
      </c>
      <c r="K1265" t="s">
        <v>1218</v>
      </c>
      <c r="L1265" t="str">
        <f t="shared" si="105"/>
        <v>NGM-086?</v>
      </c>
      <c r="M1265" t="str">
        <f t="shared" si="105"/>
        <v/>
      </c>
      <c r="N1265" t="str">
        <f t="shared" si="105"/>
        <v>テクモワールドサッカー '96</v>
      </c>
      <c r="O1265" t="str">
        <f t="shared" si="105"/>
        <v/>
      </c>
      <c r="P1265" t="str">
        <f t="shared" si="105"/>
        <v/>
      </c>
      <c r="Q1265" t="s">
        <v>4540</v>
      </c>
      <c r="T1265" t="str">
        <f t="shared" si="104"/>
        <v/>
      </c>
      <c r="V1265" t="str">
        <f t="shared" si="106"/>
        <v>MVS</v>
      </c>
      <c r="W1265" t="str">
        <f t="shared" si="106"/>
        <v>MVS,AES</v>
      </c>
      <c r="AB1265" t="s">
        <v>34</v>
      </c>
      <c r="AE1265" t="s">
        <v>33</v>
      </c>
      <c r="AH1265" t="s">
        <v>4539</v>
      </c>
      <c r="AI1265" t="s">
        <v>9</v>
      </c>
      <c r="AJ1265" t="s">
        <v>27</v>
      </c>
      <c r="AK1265" t="s">
        <v>4538</v>
      </c>
      <c r="AL1265" t="s">
        <v>4537</v>
      </c>
    </row>
    <row r="1266" spans="5:38" x14ac:dyDescent="0.25">
      <c r="I1266" t="str">
        <f t="shared" si="102"/>
        <v>twsoc96</v>
      </c>
      <c r="J1266" t="str">
        <f t="shared" si="103"/>
        <v/>
      </c>
      <c r="L1266" t="str">
        <f t="shared" si="105"/>
        <v>NGM-086?</v>
      </c>
      <c r="M1266" t="str">
        <f t="shared" si="105"/>
        <v/>
      </c>
      <c r="N1266" t="str">
        <f t="shared" si="105"/>
        <v>テクモワールドサッカー '96</v>
      </c>
      <c r="O1266" t="str">
        <f t="shared" si="105"/>
        <v/>
      </c>
      <c r="P1266" t="str">
        <f t="shared" si="105"/>
        <v/>
      </c>
      <c r="S1266" t="s">
        <v>36</v>
      </c>
      <c r="T1266" t="str">
        <f t="shared" si="104"/>
        <v>twsoc96compatibility</v>
      </c>
      <c r="U1266" t="s">
        <v>218</v>
      </c>
      <c r="V1266" t="str">
        <f t="shared" si="106"/>
        <v>MVS</v>
      </c>
      <c r="W1266" t="str">
        <f t="shared" si="106"/>
        <v>MVS,AES</v>
      </c>
      <c r="AB1266" t="s">
        <v>29</v>
      </c>
      <c r="AE1266" t="s">
        <v>27</v>
      </c>
      <c r="AH1266" t="s">
        <v>4536</v>
      </c>
      <c r="AI1266" t="s">
        <v>9</v>
      </c>
      <c r="AJ1266" t="s">
        <v>27</v>
      </c>
      <c r="AK1266" t="s">
        <v>4535</v>
      </c>
      <c r="AL1266" t="s">
        <v>4534</v>
      </c>
    </row>
    <row r="1267" spans="5:38" x14ac:dyDescent="0.25">
      <c r="I1267" t="str">
        <f t="shared" si="102"/>
        <v>twsoc96</v>
      </c>
      <c r="J1267" t="str">
        <f t="shared" si="103"/>
        <v/>
      </c>
      <c r="L1267" t="str">
        <f t="shared" si="105"/>
        <v>NGM-086?</v>
      </c>
      <c r="M1267" t="str">
        <f t="shared" si="105"/>
        <v/>
      </c>
      <c r="N1267" t="str">
        <f t="shared" si="105"/>
        <v>テクモワールドサッカー '96</v>
      </c>
      <c r="O1267" t="str">
        <f t="shared" si="105"/>
        <v/>
      </c>
      <c r="P1267" t="str">
        <f t="shared" si="105"/>
        <v/>
      </c>
      <c r="T1267" t="str">
        <f t="shared" si="104"/>
        <v/>
      </c>
      <c r="V1267" t="str">
        <f t="shared" si="106"/>
        <v>MVS</v>
      </c>
      <c r="W1267" t="str">
        <f t="shared" si="106"/>
        <v>MVS,AES</v>
      </c>
      <c r="AB1267" t="s">
        <v>24</v>
      </c>
      <c r="AE1267" t="s">
        <v>11</v>
      </c>
      <c r="AH1267" t="s">
        <v>4533</v>
      </c>
      <c r="AI1267" t="s">
        <v>9</v>
      </c>
      <c r="AJ1267" t="s">
        <v>3</v>
      </c>
      <c r="AK1267" t="s">
        <v>4532</v>
      </c>
      <c r="AL1267" t="s">
        <v>4531</v>
      </c>
    </row>
    <row r="1268" spans="5:38" x14ac:dyDescent="0.25">
      <c r="I1268" t="str">
        <f t="shared" si="102"/>
        <v>twsoc96</v>
      </c>
      <c r="J1268" t="str">
        <f t="shared" si="103"/>
        <v/>
      </c>
      <c r="L1268" t="str">
        <f t="shared" si="105"/>
        <v>NGM-086?</v>
      </c>
      <c r="M1268" t="str">
        <f t="shared" si="105"/>
        <v/>
      </c>
      <c r="N1268" t="str">
        <f t="shared" si="105"/>
        <v>テクモワールドサッカー '96</v>
      </c>
      <c r="O1268" t="str">
        <f t="shared" si="105"/>
        <v/>
      </c>
      <c r="P1268" t="str">
        <f t="shared" si="105"/>
        <v/>
      </c>
      <c r="T1268" t="str">
        <f t="shared" si="104"/>
        <v/>
      </c>
      <c r="V1268" t="str">
        <f t="shared" si="106"/>
        <v>MVS</v>
      </c>
      <c r="W1268" t="str">
        <f t="shared" si="106"/>
        <v>MVS,AES</v>
      </c>
      <c r="AH1268" t="s">
        <v>4530</v>
      </c>
      <c r="AI1268" t="s">
        <v>3</v>
      </c>
      <c r="AJ1268" t="s">
        <v>3</v>
      </c>
      <c r="AK1268" t="s">
        <v>4529</v>
      </c>
      <c r="AL1268" t="s">
        <v>4528</v>
      </c>
    </row>
    <row r="1269" spans="5:38" x14ac:dyDescent="0.25">
      <c r="I1269" t="str">
        <f t="shared" si="102"/>
        <v>twsoc96</v>
      </c>
      <c r="J1269" t="str">
        <f t="shared" si="103"/>
        <v/>
      </c>
      <c r="L1269" t="str">
        <f t="shared" si="105"/>
        <v>NGM-086?</v>
      </c>
      <c r="M1269" t="str">
        <f t="shared" si="105"/>
        <v/>
      </c>
      <c r="N1269" t="str">
        <f t="shared" si="105"/>
        <v>テクモワールドサッカー '96</v>
      </c>
      <c r="O1269" t="str">
        <f t="shared" si="105"/>
        <v/>
      </c>
      <c r="P1269" t="str">
        <f t="shared" si="105"/>
        <v/>
      </c>
      <c r="T1269" t="str">
        <f t="shared" si="104"/>
        <v/>
      </c>
      <c r="V1269" t="str">
        <f t="shared" si="106"/>
        <v>MVS</v>
      </c>
      <c r="W1269" t="str">
        <f t="shared" si="106"/>
        <v>MVS,AES</v>
      </c>
      <c r="AB1269" t="s">
        <v>12</v>
      </c>
      <c r="AE1269" t="s">
        <v>1083</v>
      </c>
      <c r="AG1269" t="s">
        <v>6</v>
      </c>
      <c r="AH1269" t="s">
        <v>4527</v>
      </c>
      <c r="AI1269" t="s">
        <v>9</v>
      </c>
      <c r="AJ1269" t="s">
        <v>11</v>
      </c>
      <c r="AK1269" t="s">
        <v>4526</v>
      </c>
      <c r="AL1269" t="s">
        <v>4525</v>
      </c>
    </row>
    <row r="1270" spans="5:38" x14ac:dyDescent="0.25">
      <c r="I1270" t="str">
        <f t="shared" si="102"/>
        <v>twsoc96</v>
      </c>
      <c r="J1270" t="str">
        <f t="shared" si="103"/>
        <v/>
      </c>
      <c r="L1270" t="str">
        <f t="shared" si="105"/>
        <v>NGM-086?</v>
      </c>
      <c r="M1270" t="str">
        <f t="shared" si="105"/>
        <v/>
      </c>
      <c r="N1270" t="str">
        <f t="shared" si="105"/>
        <v>テクモワールドサッカー '96</v>
      </c>
      <c r="O1270" t="str">
        <f t="shared" si="105"/>
        <v/>
      </c>
      <c r="P1270" t="str">
        <f t="shared" si="105"/>
        <v/>
      </c>
      <c r="T1270" t="str">
        <f t="shared" si="104"/>
        <v/>
      </c>
      <c r="V1270" t="str">
        <f t="shared" si="106"/>
        <v>MVS</v>
      </c>
      <c r="W1270" t="str">
        <f t="shared" si="106"/>
        <v>MVS,AES</v>
      </c>
      <c r="AG1270" t="s">
        <v>6</v>
      </c>
      <c r="AH1270" t="s">
        <v>4524</v>
      </c>
      <c r="AI1270" t="s">
        <v>4</v>
      </c>
      <c r="AJ1270" t="s">
        <v>11</v>
      </c>
      <c r="AK1270" t="s">
        <v>4523</v>
      </c>
      <c r="AL1270" t="s">
        <v>4522</v>
      </c>
    </row>
    <row r="1271" spans="5:38" x14ac:dyDescent="0.25">
      <c r="I1271" t="str">
        <f t="shared" si="102"/>
        <v>twsoc96</v>
      </c>
      <c r="J1271" t="str">
        <f t="shared" si="103"/>
        <v/>
      </c>
      <c r="L1271" t="str">
        <f t="shared" si="105"/>
        <v>NGM-086?</v>
      </c>
      <c r="M1271" t="str">
        <f t="shared" si="105"/>
        <v/>
      </c>
      <c r="N1271" t="str">
        <f t="shared" si="105"/>
        <v>テクモワールドサッカー '96</v>
      </c>
      <c r="O1271" t="str">
        <f t="shared" si="105"/>
        <v/>
      </c>
      <c r="P1271" t="str">
        <f t="shared" si="105"/>
        <v/>
      </c>
      <c r="T1271" t="str">
        <f t="shared" si="104"/>
        <v/>
      </c>
      <c r="V1271" t="str">
        <f t="shared" si="106"/>
        <v>MVS</v>
      </c>
      <c r="W1271" t="str">
        <f t="shared" si="106"/>
        <v>MVS,AES</v>
      </c>
      <c r="AG1271" t="s">
        <v>6</v>
      </c>
      <c r="AH1271" t="s">
        <v>4521</v>
      </c>
      <c r="AI1271" t="s">
        <v>57</v>
      </c>
      <c r="AJ1271" t="s">
        <v>15</v>
      </c>
      <c r="AK1271" t="s">
        <v>4520</v>
      </c>
      <c r="AL1271" t="s">
        <v>4519</v>
      </c>
    </row>
    <row r="1272" spans="5:38" x14ac:dyDescent="0.25">
      <c r="I1272" t="str">
        <f t="shared" si="102"/>
        <v>twsoc96</v>
      </c>
      <c r="J1272" t="str">
        <f t="shared" si="103"/>
        <v/>
      </c>
      <c r="L1272" t="str">
        <f t="shared" si="105"/>
        <v>NGM-086?</v>
      </c>
      <c r="M1272" t="str">
        <f t="shared" si="105"/>
        <v/>
      </c>
      <c r="N1272" t="str">
        <f t="shared" si="105"/>
        <v>テクモワールドサッカー '96</v>
      </c>
      <c r="O1272" t="str">
        <f t="shared" si="105"/>
        <v/>
      </c>
      <c r="P1272" t="str">
        <f t="shared" si="105"/>
        <v/>
      </c>
      <c r="T1272" t="str">
        <f t="shared" si="104"/>
        <v/>
      </c>
      <c r="V1272" t="str">
        <f t="shared" si="106"/>
        <v>MVS</v>
      </c>
      <c r="W1272" t="str">
        <f t="shared" si="106"/>
        <v>MVS,AES</v>
      </c>
      <c r="AG1272" t="s">
        <v>6</v>
      </c>
      <c r="AH1272" t="s">
        <v>4518</v>
      </c>
      <c r="AI1272" t="s">
        <v>53</v>
      </c>
      <c r="AJ1272" t="s">
        <v>15</v>
      </c>
      <c r="AK1272" t="s">
        <v>4517</v>
      </c>
      <c r="AL1272" t="s">
        <v>4516</v>
      </c>
    </row>
    <row r="1273" spans="5:38" x14ac:dyDescent="0.25">
      <c r="E1273" t="s">
        <v>4483</v>
      </c>
      <c r="F1273" t="s">
        <v>4515</v>
      </c>
      <c r="G1273" t="s">
        <v>1239</v>
      </c>
      <c r="H1273" t="s">
        <v>1912</v>
      </c>
      <c r="I1273" t="str">
        <f t="shared" si="102"/>
        <v>samsho3</v>
      </c>
      <c r="J1273" t="str">
        <f t="shared" si="103"/>
        <v>samsho3serial</v>
      </c>
      <c r="K1273" t="s">
        <v>1373</v>
      </c>
      <c r="L1273" t="str">
        <f t="shared" si="105"/>
        <v>NGM-087</v>
      </c>
      <c r="M1273" t="str">
        <f t="shared" si="105"/>
        <v>19951115</v>
      </c>
      <c r="N1273" t="str">
        <f t="shared" si="105"/>
        <v>サムライスピリッツ 斬紅郎無双剣</v>
      </c>
      <c r="O1273" t="str">
        <f t="shared" si="105"/>
        <v/>
      </c>
      <c r="P1273" t="str">
        <f t="shared" si="105"/>
        <v/>
      </c>
      <c r="Q1273" t="s">
        <v>4514</v>
      </c>
      <c r="S1273" t="s">
        <v>46</v>
      </c>
      <c r="T1273" t="str">
        <f t="shared" si="104"/>
        <v>samsho3release</v>
      </c>
      <c r="U1273" t="s">
        <v>106</v>
      </c>
      <c r="V1273" t="str">
        <f t="shared" si="106"/>
        <v>MVS</v>
      </c>
      <c r="W1273" t="str">
        <f t="shared" si="106"/>
        <v>MVS,AES</v>
      </c>
      <c r="Y1273" t="s">
        <v>45</v>
      </c>
      <c r="Z1273" t="s">
        <v>44</v>
      </c>
      <c r="AB1273" t="s">
        <v>43</v>
      </c>
      <c r="AC1273" t="s">
        <v>42</v>
      </c>
      <c r="AD1273" t="s">
        <v>41</v>
      </c>
      <c r="AE1273" t="s">
        <v>377</v>
      </c>
      <c r="AG1273" t="s">
        <v>40</v>
      </c>
      <c r="AH1273" t="s">
        <v>4513</v>
      </c>
      <c r="AI1273" t="s">
        <v>9</v>
      </c>
      <c r="AJ1273" t="s">
        <v>92</v>
      </c>
      <c r="AK1273" t="s">
        <v>4512</v>
      </c>
      <c r="AL1273" t="s">
        <v>4511</v>
      </c>
    </row>
    <row r="1274" spans="5:38" x14ac:dyDescent="0.25">
      <c r="I1274" t="str">
        <f t="shared" si="102"/>
        <v>samsho3</v>
      </c>
      <c r="J1274" t="str">
        <f t="shared" si="103"/>
        <v>samsho3release</v>
      </c>
      <c r="K1274" t="s">
        <v>46</v>
      </c>
      <c r="L1274" t="str">
        <f t="shared" si="105"/>
        <v>NGM-087</v>
      </c>
      <c r="M1274" t="str">
        <f t="shared" si="105"/>
        <v>19951115</v>
      </c>
      <c r="N1274" t="str">
        <f t="shared" si="105"/>
        <v>サムライスピリッツ 斬紅郎無双剣</v>
      </c>
      <c r="O1274" t="str">
        <f t="shared" si="105"/>
        <v/>
      </c>
      <c r="P1274" t="str">
        <f t="shared" si="105"/>
        <v/>
      </c>
      <c r="Q1274" t="s">
        <v>4510</v>
      </c>
      <c r="T1274" t="str">
        <f t="shared" si="104"/>
        <v/>
      </c>
      <c r="V1274" t="str">
        <f t="shared" si="106"/>
        <v>MVS</v>
      </c>
      <c r="W1274" t="str">
        <f t="shared" si="106"/>
        <v>MVS,AES</v>
      </c>
      <c r="AG1274" t="s">
        <v>40</v>
      </c>
      <c r="AH1274" t="s">
        <v>4509</v>
      </c>
      <c r="AI1274" t="s">
        <v>92</v>
      </c>
      <c r="AJ1274" t="s">
        <v>92</v>
      </c>
      <c r="AK1274" t="s">
        <v>4508</v>
      </c>
      <c r="AL1274" t="s">
        <v>4507</v>
      </c>
    </row>
    <row r="1275" spans="5:38" x14ac:dyDescent="0.25">
      <c r="I1275" t="str">
        <f t="shared" si="102"/>
        <v>samsho3</v>
      </c>
      <c r="J1275" t="str">
        <f t="shared" si="103"/>
        <v>samsho3alt_title</v>
      </c>
      <c r="K1275" t="s">
        <v>1218</v>
      </c>
      <c r="L1275" t="str">
        <f t="shared" si="105"/>
        <v>NGM-087</v>
      </c>
      <c r="M1275" t="str">
        <f t="shared" si="105"/>
        <v>19951115</v>
      </c>
      <c r="N1275" t="str">
        <f t="shared" si="105"/>
        <v>サムライスピリッツ 斬紅郎無双剣</v>
      </c>
      <c r="O1275" t="str">
        <f t="shared" si="105"/>
        <v/>
      </c>
      <c r="P1275" t="str">
        <f t="shared" si="105"/>
        <v/>
      </c>
      <c r="Q1275" t="s">
        <v>4489</v>
      </c>
      <c r="T1275" t="str">
        <f t="shared" si="104"/>
        <v/>
      </c>
      <c r="V1275" t="str">
        <f t="shared" si="106"/>
        <v>MVS</v>
      </c>
      <c r="W1275" t="str">
        <f t="shared" si="106"/>
        <v>MVS,AES</v>
      </c>
      <c r="AG1275" t="s">
        <v>40</v>
      </c>
      <c r="AH1275" t="s">
        <v>4506</v>
      </c>
      <c r="AI1275" t="s">
        <v>15</v>
      </c>
      <c r="AJ1275" t="s">
        <v>92</v>
      </c>
      <c r="AK1275" t="s">
        <v>4505</v>
      </c>
      <c r="AL1275" t="s">
        <v>4504</v>
      </c>
    </row>
    <row r="1276" spans="5:38" x14ac:dyDescent="0.25">
      <c r="I1276" t="str">
        <f t="shared" si="102"/>
        <v>samsho3</v>
      </c>
      <c r="J1276" t="str">
        <f t="shared" si="103"/>
        <v/>
      </c>
      <c r="L1276" t="str">
        <f t="shared" si="105"/>
        <v>NGM-087</v>
      </c>
      <c r="M1276" t="str">
        <f t="shared" si="105"/>
        <v>19951115</v>
      </c>
      <c r="N1276" t="str">
        <f t="shared" si="105"/>
        <v>サムライスピリッツ 斬紅郎無双剣</v>
      </c>
      <c r="O1276" t="str">
        <f t="shared" si="105"/>
        <v/>
      </c>
      <c r="P1276" t="str">
        <f t="shared" si="105"/>
        <v/>
      </c>
      <c r="S1276" t="s">
        <v>36</v>
      </c>
      <c r="T1276" t="str">
        <f t="shared" si="104"/>
        <v>samsho3compatibility</v>
      </c>
      <c r="U1276" t="s">
        <v>218</v>
      </c>
      <c r="V1276" t="str">
        <f t="shared" si="106"/>
        <v>MVS</v>
      </c>
      <c r="W1276" t="str">
        <f t="shared" si="106"/>
        <v>MVS,AES</v>
      </c>
      <c r="AG1276" t="s">
        <v>40</v>
      </c>
      <c r="AH1276" t="s">
        <v>4503</v>
      </c>
      <c r="AI1276" t="s">
        <v>4502</v>
      </c>
      <c r="AJ1276" t="s">
        <v>92</v>
      </c>
      <c r="AK1276" t="s">
        <v>4501</v>
      </c>
      <c r="AL1276" t="s">
        <v>4500</v>
      </c>
    </row>
    <row r="1277" spans="5:38" x14ac:dyDescent="0.25">
      <c r="I1277" t="str">
        <f t="shared" si="102"/>
        <v>samsho3</v>
      </c>
      <c r="J1277" t="str">
        <f t="shared" si="103"/>
        <v/>
      </c>
      <c r="L1277" t="str">
        <f t="shared" si="105"/>
        <v>NGM-087</v>
      </c>
      <c r="M1277" t="str">
        <f t="shared" si="105"/>
        <v>19951115</v>
      </c>
      <c r="N1277" t="str">
        <f t="shared" si="105"/>
        <v>サムライスピリッツ 斬紅郎無双剣</v>
      </c>
      <c r="O1277" t="str">
        <f t="shared" si="105"/>
        <v/>
      </c>
      <c r="P1277" t="str">
        <f t="shared" si="105"/>
        <v/>
      </c>
      <c r="T1277" t="str">
        <f t="shared" si="104"/>
        <v/>
      </c>
      <c r="V1277" t="str">
        <f t="shared" si="106"/>
        <v>MVS</v>
      </c>
      <c r="W1277" t="str">
        <f t="shared" si="106"/>
        <v>MVS,AES</v>
      </c>
      <c r="AG1277" t="s">
        <v>40</v>
      </c>
      <c r="AH1277" t="s">
        <v>4499</v>
      </c>
      <c r="AI1277" t="s">
        <v>3</v>
      </c>
      <c r="AJ1277" t="s">
        <v>15</v>
      </c>
      <c r="AK1277" t="s">
        <v>4498</v>
      </c>
      <c r="AL1277" t="s">
        <v>4497</v>
      </c>
    </row>
    <row r="1278" spans="5:38" x14ac:dyDescent="0.25">
      <c r="I1278" t="str">
        <f t="shared" si="102"/>
        <v>samsho3</v>
      </c>
      <c r="J1278" t="str">
        <f t="shared" si="103"/>
        <v/>
      </c>
      <c r="L1278" t="str">
        <f t="shared" si="105"/>
        <v>NGM-087</v>
      </c>
      <c r="M1278" t="str">
        <f t="shared" si="105"/>
        <v>19951115</v>
      </c>
      <c r="N1278" t="str">
        <f t="shared" si="105"/>
        <v>サムライスピリッツ 斬紅郎無双剣</v>
      </c>
      <c r="O1278" t="str">
        <f t="shared" si="105"/>
        <v/>
      </c>
      <c r="P1278" t="str">
        <f t="shared" si="105"/>
        <v/>
      </c>
      <c r="T1278" t="str">
        <f t="shared" si="104"/>
        <v/>
      </c>
      <c r="V1278" t="str">
        <f t="shared" si="106"/>
        <v>MVS</v>
      </c>
      <c r="W1278" t="str">
        <f t="shared" si="106"/>
        <v>MVS,AES</v>
      </c>
      <c r="AB1278" t="s">
        <v>34</v>
      </c>
      <c r="AE1278" t="s">
        <v>33</v>
      </c>
      <c r="AH1278" t="s">
        <v>4479</v>
      </c>
      <c r="AI1278" t="s">
        <v>9</v>
      </c>
      <c r="AJ1278" t="s">
        <v>27</v>
      </c>
      <c r="AK1278" t="s">
        <v>4478</v>
      </c>
      <c r="AL1278" t="s">
        <v>4477</v>
      </c>
    </row>
    <row r="1279" spans="5:38" x14ac:dyDescent="0.25">
      <c r="I1279" t="str">
        <f t="shared" si="102"/>
        <v>samsho3</v>
      </c>
      <c r="J1279" t="str">
        <f t="shared" si="103"/>
        <v/>
      </c>
      <c r="L1279" t="str">
        <f t="shared" si="105"/>
        <v>NGM-087</v>
      </c>
      <c r="M1279" t="str">
        <f t="shared" si="105"/>
        <v>19951115</v>
      </c>
      <c r="N1279" t="str">
        <f t="shared" si="105"/>
        <v>サムライスピリッツ 斬紅郎無双剣</v>
      </c>
      <c r="O1279" t="str">
        <f t="shared" si="105"/>
        <v/>
      </c>
      <c r="P1279" t="str">
        <f t="shared" si="105"/>
        <v/>
      </c>
      <c r="T1279" t="str">
        <f t="shared" si="104"/>
        <v/>
      </c>
      <c r="V1279" t="str">
        <f t="shared" si="106"/>
        <v>MVS</v>
      </c>
      <c r="W1279" t="str">
        <f t="shared" si="106"/>
        <v>MVS,AES</v>
      </c>
      <c r="AB1279" t="s">
        <v>29</v>
      </c>
      <c r="AE1279" t="s">
        <v>27</v>
      </c>
      <c r="AH1279" t="s">
        <v>4476</v>
      </c>
      <c r="AI1279" t="s">
        <v>9</v>
      </c>
      <c r="AJ1279" t="s">
        <v>27</v>
      </c>
      <c r="AK1279" t="s">
        <v>4475</v>
      </c>
      <c r="AL1279" t="s">
        <v>4474</v>
      </c>
    </row>
    <row r="1280" spans="5:38" x14ac:dyDescent="0.25">
      <c r="I1280" t="str">
        <f t="shared" si="102"/>
        <v>samsho3</v>
      </c>
      <c r="J1280" t="str">
        <f t="shared" si="103"/>
        <v/>
      </c>
      <c r="L1280" t="str">
        <f t="shared" si="105"/>
        <v>NGM-087</v>
      </c>
      <c r="M1280" t="str">
        <f t="shared" si="105"/>
        <v>19951115</v>
      </c>
      <c r="N1280" t="str">
        <f t="shared" si="105"/>
        <v>サムライスピリッツ 斬紅郎無双剣</v>
      </c>
      <c r="O1280" t="str">
        <f t="shared" si="105"/>
        <v/>
      </c>
      <c r="P1280" t="str">
        <f t="shared" si="105"/>
        <v/>
      </c>
      <c r="T1280" t="str">
        <f t="shared" si="104"/>
        <v/>
      </c>
      <c r="V1280" t="str">
        <f t="shared" si="106"/>
        <v>MVS</v>
      </c>
      <c r="W1280" t="str">
        <f t="shared" si="106"/>
        <v>MVS,AES</v>
      </c>
      <c r="AB1280" t="s">
        <v>24</v>
      </c>
      <c r="AE1280" t="s">
        <v>75</v>
      </c>
      <c r="AH1280" t="s">
        <v>4473</v>
      </c>
      <c r="AI1280" t="s">
        <v>9</v>
      </c>
      <c r="AJ1280" t="s">
        <v>11</v>
      </c>
      <c r="AK1280" t="s">
        <v>4472</v>
      </c>
      <c r="AL1280" t="s">
        <v>4471</v>
      </c>
    </row>
    <row r="1281" spans="5:44" x14ac:dyDescent="0.25">
      <c r="I1281" t="str">
        <f t="shared" si="102"/>
        <v>samsho3</v>
      </c>
      <c r="J1281" t="str">
        <f t="shared" si="103"/>
        <v/>
      </c>
      <c r="L1281" t="str">
        <f t="shared" si="105"/>
        <v>NGM-087</v>
      </c>
      <c r="M1281" t="str">
        <f t="shared" si="105"/>
        <v>19951115</v>
      </c>
      <c r="N1281" t="str">
        <f t="shared" si="105"/>
        <v>サムライスピリッツ 斬紅郎無双剣</v>
      </c>
      <c r="O1281" t="str">
        <f t="shared" si="105"/>
        <v/>
      </c>
      <c r="P1281" t="str">
        <f t="shared" si="105"/>
        <v/>
      </c>
      <c r="T1281" t="str">
        <f t="shared" si="104"/>
        <v/>
      </c>
      <c r="V1281" t="str">
        <f t="shared" si="106"/>
        <v>MVS</v>
      </c>
      <c r="W1281" t="str">
        <f t="shared" si="106"/>
        <v>MVS,AES</v>
      </c>
      <c r="AH1281" t="s">
        <v>4470</v>
      </c>
      <c r="AI1281" t="s">
        <v>11</v>
      </c>
      <c r="AJ1281" t="s">
        <v>3</v>
      </c>
      <c r="AK1281" t="s">
        <v>4469</v>
      </c>
      <c r="AL1281" t="s">
        <v>4468</v>
      </c>
    </row>
    <row r="1282" spans="5:44" x14ac:dyDescent="0.25">
      <c r="I1282" t="str">
        <f t="shared" si="102"/>
        <v>samsho3</v>
      </c>
      <c r="J1282" t="str">
        <f t="shared" si="103"/>
        <v/>
      </c>
      <c r="L1282" t="str">
        <f t="shared" si="105"/>
        <v>NGM-087</v>
      </c>
      <c r="M1282" t="str">
        <f t="shared" si="105"/>
        <v>19951115</v>
      </c>
      <c r="N1282" t="str">
        <f t="shared" si="105"/>
        <v>サムライスピリッツ 斬紅郎無双剣</v>
      </c>
      <c r="O1282" t="str">
        <f t="shared" si="105"/>
        <v/>
      </c>
      <c r="P1282" t="str">
        <f t="shared" si="105"/>
        <v/>
      </c>
      <c r="T1282" t="str">
        <f t="shared" si="104"/>
        <v/>
      </c>
      <c r="V1282" t="str">
        <f t="shared" si="106"/>
        <v>MVS</v>
      </c>
      <c r="W1282" t="str">
        <f t="shared" si="106"/>
        <v>MVS,AES</v>
      </c>
      <c r="AB1282" t="s">
        <v>12</v>
      </c>
      <c r="AE1282" t="s">
        <v>4467</v>
      </c>
      <c r="AG1282" t="s">
        <v>6</v>
      </c>
      <c r="AH1282" t="s">
        <v>4466</v>
      </c>
      <c r="AI1282" t="s">
        <v>9</v>
      </c>
      <c r="AJ1282" t="s">
        <v>11</v>
      </c>
      <c r="AK1282" t="s">
        <v>4465</v>
      </c>
      <c r="AL1282" t="s">
        <v>4464</v>
      </c>
    </row>
    <row r="1283" spans="5:44" x14ac:dyDescent="0.25">
      <c r="I1283" t="str">
        <f t="shared" ref="I1283:I1346" si="107">IF(E1283="",I1282,E1283)</f>
        <v>samsho3</v>
      </c>
      <c r="J1283" t="str">
        <f t="shared" ref="J1283:J1346" si="108">IF(K1283="","",I1283&amp;K1283)</f>
        <v/>
      </c>
      <c r="L1283" t="str">
        <f t="shared" si="105"/>
        <v>NGM-087</v>
      </c>
      <c r="M1283" t="str">
        <f t="shared" si="105"/>
        <v>19951115</v>
      </c>
      <c r="N1283" t="str">
        <f t="shared" si="105"/>
        <v>サムライスピリッツ 斬紅郎無双剣</v>
      </c>
      <c r="O1283" t="str">
        <f t="shared" si="105"/>
        <v/>
      </c>
      <c r="P1283" t="str">
        <f t="shared" si="105"/>
        <v/>
      </c>
      <c r="T1283" t="str">
        <f t="shared" ref="T1283:T1346" si="109">IF(S1283="","",I1283&amp;S1283)</f>
        <v/>
      </c>
      <c r="V1283" t="str">
        <f t="shared" si="106"/>
        <v>MVS</v>
      </c>
      <c r="W1283" t="str">
        <f t="shared" si="106"/>
        <v>MVS,AES</v>
      </c>
      <c r="AG1283" t="s">
        <v>6</v>
      </c>
      <c r="AH1283" t="s">
        <v>4463</v>
      </c>
      <c r="AI1283" t="s">
        <v>4</v>
      </c>
      <c r="AJ1283" t="s">
        <v>11</v>
      </c>
      <c r="AK1283" t="s">
        <v>4462</v>
      </c>
      <c r="AL1283" t="s">
        <v>4461</v>
      </c>
    </row>
    <row r="1284" spans="5:44" x14ac:dyDescent="0.25">
      <c r="I1284" t="str">
        <f t="shared" si="107"/>
        <v>samsho3</v>
      </c>
      <c r="J1284" t="str">
        <f t="shared" si="108"/>
        <v/>
      </c>
      <c r="L1284" t="str">
        <f t="shared" si="105"/>
        <v>NGM-087</v>
      </c>
      <c r="M1284" t="str">
        <f t="shared" si="105"/>
        <v>19951115</v>
      </c>
      <c r="N1284" t="str">
        <f t="shared" si="105"/>
        <v>サムライスピリッツ 斬紅郎無双剣</v>
      </c>
      <c r="O1284" t="str">
        <f t="shared" si="105"/>
        <v/>
      </c>
      <c r="P1284" t="str">
        <f t="shared" si="105"/>
        <v/>
      </c>
      <c r="T1284" t="str">
        <f t="shared" si="109"/>
        <v/>
      </c>
      <c r="V1284" t="str">
        <f t="shared" si="106"/>
        <v>MVS</v>
      </c>
      <c r="W1284" t="str">
        <f t="shared" si="106"/>
        <v>MVS,AES</v>
      </c>
      <c r="AG1284" t="s">
        <v>6</v>
      </c>
      <c r="AH1284" t="s">
        <v>4460</v>
      </c>
      <c r="AI1284" t="s">
        <v>57</v>
      </c>
      <c r="AJ1284" t="s">
        <v>11</v>
      </c>
      <c r="AK1284" t="s">
        <v>4459</v>
      </c>
      <c r="AL1284" t="s">
        <v>4458</v>
      </c>
    </row>
    <row r="1285" spans="5:44" x14ac:dyDescent="0.25">
      <c r="I1285" t="str">
        <f t="shared" si="107"/>
        <v>samsho3</v>
      </c>
      <c r="J1285" t="str">
        <f t="shared" si="108"/>
        <v/>
      </c>
      <c r="L1285" t="str">
        <f t="shared" si="105"/>
        <v>NGM-087</v>
      </c>
      <c r="M1285" t="str">
        <f t="shared" si="105"/>
        <v>19951115</v>
      </c>
      <c r="N1285" t="str">
        <f t="shared" si="105"/>
        <v>サムライスピリッツ 斬紅郎無双剣</v>
      </c>
      <c r="O1285" t="str">
        <f t="shared" si="105"/>
        <v/>
      </c>
      <c r="P1285" t="str">
        <f t="shared" si="105"/>
        <v/>
      </c>
      <c r="T1285" t="str">
        <f t="shared" si="109"/>
        <v/>
      </c>
      <c r="V1285" t="str">
        <f t="shared" si="106"/>
        <v>MVS</v>
      </c>
      <c r="W1285" t="str">
        <f t="shared" si="106"/>
        <v>MVS,AES</v>
      </c>
      <c r="AG1285" t="s">
        <v>6</v>
      </c>
      <c r="AH1285" t="s">
        <v>4457</v>
      </c>
      <c r="AI1285" t="s">
        <v>53</v>
      </c>
      <c r="AJ1285" t="s">
        <v>11</v>
      </c>
      <c r="AK1285" t="s">
        <v>4456</v>
      </c>
      <c r="AL1285" t="s">
        <v>4455</v>
      </c>
    </row>
    <row r="1286" spans="5:44" x14ac:dyDescent="0.25">
      <c r="I1286" t="str">
        <f t="shared" si="107"/>
        <v>samsho3</v>
      </c>
      <c r="J1286" t="str">
        <f t="shared" si="108"/>
        <v/>
      </c>
      <c r="L1286" t="str">
        <f t="shared" si="105"/>
        <v>NGM-087</v>
      </c>
      <c r="M1286" t="str">
        <f t="shared" si="105"/>
        <v>19951115</v>
      </c>
      <c r="N1286" t="str">
        <f t="shared" si="105"/>
        <v>サムライスピリッツ 斬紅郎無双剣</v>
      </c>
      <c r="O1286" t="str">
        <f t="shared" si="105"/>
        <v/>
      </c>
      <c r="P1286" t="str">
        <f t="shared" si="105"/>
        <v/>
      </c>
      <c r="T1286" t="str">
        <f t="shared" si="109"/>
        <v/>
      </c>
      <c r="V1286" t="str">
        <f t="shared" si="106"/>
        <v>MVS</v>
      </c>
      <c r="W1286" t="str">
        <f t="shared" si="106"/>
        <v>MVS,AES</v>
      </c>
      <c r="AG1286" t="s">
        <v>6</v>
      </c>
      <c r="AH1286" t="s">
        <v>4454</v>
      </c>
      <c r="AI1286" t="s">
        <v>65</v>
      </c>
      <c r="AJ1286" t="s">
        <v>11</v>
      </c>
      <c r="AK1286" t="s">
        <v>4453</v>
      </c>
      <c r="AL1286" t="s">
        <v>4452</v>
      </c>
    </row>
    <row r="1287" spans="5:44" x14ac:dyDescent="0.25">
      <c r="I1287" t="str">
        <f t="shared" si="107"/>
        <v>samsho3</v>
      </c>
      <c r="J1287" t="str">
        <f t="shared" si="108"/>
        <v/>
      </c>
      <c r="L1287" t="str">
        <f t="shared" si="105"/>
        <v>NGM-087</v>
      </c>
      <c r="M1287" t="str">
        <f t="shared" si="105"/>
        <v>19951115</v>
      </c>
      <c r="N1287" t="str">
        <f t="shared" si="105"/>
        <v>サムライスピリッツ 斬紅郎無双剣</v>
      </c>
      <c r="O1287" t="str">
        <f t="shared" si="105"/>
        <v/>
      </c>
      <c r="P1287" t="str">
        <f t="shared" si="105"/>
        <v/>
      </c>
      <c r="T1287" t="str">
        <f t="shared" si="109"/>
        <v/>
      </c>
      <c r="V1287" t="str">
        <f t="shared" si="106"/>
        <v>MVS</v>
      </c>
      <c r="W1287" t="str">
        <f t="shared" si="106"/>
        <v>MVS,AES</v>
      </c>
      <c r="AG1287" t="s">
        <v>6</v>
      </c>
      <c r="AH1287" t="s">
        <v>4451</v>
      </c>
      <c r="AI1287" t="s">
        <v>164</v>
      </c>
      <c r="AJ1287" t="s">
        <v>11</v>
      </c>
      <c r="AK1287" t="s">
        <v>4450</v>
      </c>
      <c r="AL1287" t="s">
        <v>4449</v>
      </c>
    </row>
    <row r="1288" spans="5:44" x14ac:dyDescent="0.25">
      <c r="I1288" t="str">
        <f t="shared" si="107"/>
        <v>samsho3</v>
      </c>
      <c r="J1288" t="str">
        <f t="shared" si="108"/>
        <v/>
      </c>
      <c r="L1288" t="str">
        <f t="shared" si="105"/>
        <v>NGM-087</v>
      </c>
      <c r="M1288" t="str">
        <f t="shared" si="105"/>
        <v>19951115</v>
      </c>
      <c r="N1288" t="str">
        <f t="shared" si="105"/>
        <v>サムライスピリッツ 斬紅郎無双剣</v>
      </c>
      <c r="O1288" t="str">
        <f t="shared" si="105"/>
        <v/>
      </c>
      <c r="P1288" t="str">
        <f t="shared" si="105"/>
        <v/>
      </c>
      <c r="T1288" t="str">
        <f t="shared" si="109"/>
        <v/>
      </c>
      <c r="V1288" t="str">
        <f t="shared" si="106"/>
        <v>MVS</v>
      </c>
      <c r="W1288" t="str">
        <f t="shared" si="106"/>
        <v>MVS,AES</v>
      </c>
      <c r="AG1288" t="s">
        <v>6</v>
      </c>
      <c r="AH1288" t="s">
        <v>4448</v>
      </c>
      <c r="AI1288" t="s">
        <v>634</v>
      </c>
      <c r="AJ1288" t="s">
        <v>15</v>
      </c>
      <c r="AK1288" t="s">
        <v>4447</v>
      </c>
      <c r="AL1288" t="s">
        <v>4446</v>
      </c>
    </row>
    <row r="1289" spans="5:44" x14ac:dyDescent="0.25">
      <c r="I1289" t="str">
        <f t="shared" si="107"/>
        <v>samsho3</v>
      </c>
      <c r="J1289" t="str">
        <f t="shared" si="108"/>
        <v/>
      </c>
      <c r="L1289" t="str">
        <f t="shared" si="105"/>
        <v>NGM-087</v>
      </c>
      <c r="M1289" t="str">
        <f t="shared" si="105"/>
        <v>19951115</v>
      </c>
      <c r="N1289" t="str">
        <f t="shared" si="105"/>
        <v>サムライスピリッツ 斬紅郎無双剣</v>
      </c>
      <c r="O1289" t="str">
        <f t="shared" si="105"/>
        <v/>
      </c>
      <c r="P1289" t="str">
        <f t="shared" si="105"/>
        <v/>
      </c>
      <c r="T1289" t="str">
        <f t="shared" si="109"/>
        <v/>
      </c>
      <c r="V1289" t="str">
        <f t="shared" si="106"/>
        <v>MVS</v>
      </c>
      <c r="W1289" t="str">
        <f t="shared" si="106"/>
        <v>MVS,AES</v>
      </c>
      <c r="AG1289" t="s">
        <v>6</v>
      </c>
      <c r="AH1289" t="s">
        <v>4445</v>
      </c>
      <c r="AI1289" t="s">
        <v>630</v>
      </c>
      <c r="AJ1289" t="s">
        <v>15</v>
      </c>
      <c r="AK1289" t="s">
        <v>4444</v>
      </c>
      <c r="AL1289" t="s">
        <v>4443</v>
      </c>
    </row>
    <row r="1290" spans="5:44" x14ac:dyDescent="0.25">
      <c r="E1290" t="s">
        <v>4496</v>
      </c>
      <c r="F1290" t="s">
        <v>4495</v>
      </c>
      <c r="G1290" t="s">
        <v>1239</v>
      </c>
      <c r="H1290" t="s">
        <v>1912</v>
      </c>
      <c r="I1290" t="str">
        <f t="shared" si="107"/>
        <v>samsho3h</v>
      </c>
      <c r="J1290" t="str">
        <f t="shared" si="108"/>
        <v>samsho3hserial</v>
      </c>
      <c r="K1290" t="s">
        <v>1373</v>
      </c>
      <c r="L1290" t="str">
        <f t="shared" ref="L1290:P1340" si="110">IFERROR(VLOOKUP($I1290&amp;L$1,$J:$Q,8,0),"")</f>
        <v>NGH-087</v>
      </c>
      <c r="M1290" t="str">
        <f t="shared" si="110"/>
        <v>19951201</v>
      </c>
      <c r="N1290" t="str">
        <f t="shared" si="110"/>
        <v>サムライスピリッツ 斬紅郎無双剣</v>
      </c>
      <c r="O1290" t="str">
        <f t="shared" si="110"/>
        <v/>
      </c>
      <c r="P1290" t="str">
        <f t="shared" si="110"/>
        <v/>
      </c>
      <c r="Q1290" t="s">
        <v>4494</v>
      </c>
      <c r="S1290" t="s">
        <v>46</v>
      </c>
      <c r="T1290" t="str">
        <f t="shared" si="109"/>
        <v>samsho3hrelease</v>
      </c>
      <c r="U1290" t="s">
        <v>35</v>
      </c>
      <c r="V1290" t="str">
        <f t="shared" si="106"/>
        <v>AES</v>
      </c>
      <c r="W1290" t="str">
        <f t="shared" si="106"/>
        <v>MVS,AES</v>
      </c>
      <c r="Y1290" t="s">
        <v>45</v>
      </c>
      <c r="Z1290" t="s">
        <v>44</v>
      </c>
      <c r="AB1290" t="s">
        <v>43</v>
      </c>
      <c r="AC1290" t="s">
        <v>42</v>
      </c>
      <c r="AD1290" t="s">
        <v>41</v>
      </c>
      <c r="AE1290" t="s">
        <v>377</v>
      </c>
      <c r="AG1290" t="s">
        <v>40</v>
      </c>
      <c r="AH1290" t="s">
        <v>4493</v>
      </c>
      <c r="AI1290" t="s">
        <v>9</v>
      </c>
      <c r="AJ1290" t="s">
        <v>15</v>
      </c>
      <c r="AK1290" t="s">
        <v>4492</v>
      </c>
      <c r="AL1290" t="s">
        <v>4491</v>
      </c>
      <c r="AR1290" t="s">
        <v>4483</v>
      </c>
    </row>
    <row r="1291" spans="5:44" x14ac:dyDescent="0.25">
      <c r="I1291" t="str">
        <f t="shared" si="107"/>
        <v>samsho3h</v>
      </c>
      <c r="J1291" t="str">
        <f t="shared" si="108"/>
        <v>samsho3hrelease</v>
      </c>
      <c r="K1291" t="s">
        <v>46</v>
      </c>
      <c r="L1291" t="str">
        <f t="shared" si="110"/>
        <v>NGH-087</v>
      </c>
      <c r="M1291" t="str">
        <f t="shared" si="110"/>
        <v>19951201</v>
      </c>
      <c r="N1291" t="str">
        <f t="shared" si="110"/>
        <v>サムライスピリッツ 斬紅郎無双剣</v>
      </c>
      <c r="O1291" t="str">
        <f t="shared" si="110"/>
        <v/>
      </c>
      <c r="P1291" t="str">
        <f t="shared" si="110"/>
        <v/>
      </c>
      <c r="Q1291" t="s">
        <v>4490</v>
      </c>
      <c r="T1291" t="str">
        <f t="shared" si="109"/>
        <v/>
      </c>
      <c r="V1291" t="str">
        <f t="shared" si="106"/>
        <v>AES</v>
      </c>
      <c r="W1291" t="str">
        <f t="shared" si="106"/>
        <v>MVS,AES</v>
      </c>
      <c r="AG1291" t="s">
        <v>40</v>
      </c>
      <c r="AH1291" t="s">
        <v>4482</v>
      </c>
      <c r="AI1291" t="s">
        <v>15</v>
      </c>
      <c r="AJ1291" t="s">
        <v>3</v>
      </c>
      <c r="AK1291" t="s">
        <v>4481</v>
      </c>
      <c r="AL1291" t="s">
        <v>4480</v>
      </c>
    </row>
    <row r="1292" spans="5:44" x14ac:dyDescent="0.25">
      <c r="I1292" t="str">
        <f t="shared" si="107"/>
        <v>samsho3h</v>
      </c>
      <c r="J1292" t="str">
        <f t="shared" si="108"/>
        <v>samsho3halt_title</v>
      </c>
      <c r="K1292" t="s">
        <v>1218</v>
      </c>
      <c r="L1292" t="str">
        <f t="shared" si="110"/>
        <v>NGH-087</v>
      </c>
      <c r="M1292" t="str">
        <f t="shared" si="110"/>
        <v>19951201</v>
      </c>
      <c r="N1292" t="str">
        <f t="shared" si="110"/>
        <v>サムライスピリッツ 斬紅郎無双剣</v>
      </c>
      <c r="O1292" t="str">
        <f t="shared" si="110"/>
        <v/>
      </c>
      <c r="P1292" t="str">
        <f t="shared" si="110"/>
        <v/>
      </c>
      <c r="Q1292" t="s">
        <v>4489</v>
      </c>
      <c r="T1292" t="str">
        <f t="shared" si="109"/>
        <v/>
      </c>
      <c r="V1292" t="str">
        <f t="shared" si="106"/>
        <v>AES</v>
      </c>
      <c r="W1292" t="str">
        <f t="shared" si="106"/>
        <v>MVS,AES</v>
      </c>
      <c r="AB1292" t="s">
        <v>34</v>
      </c>
      <c r="AE1292" t="s">
        <v>33</v>
      </c>
      <c r="AH1292" t="s">
        <v>4479</v>
      </c>
      <c r="AI1292" t="s">
        <v>9</v>
      </c>
      <c r="AJ1292" t="s">
        <v>27</v>
      </c>
      <c r="AK1292" t="s">
        <v>4478</v>
      </c>
      <c r="AL1292" t="s">
        <v>4477</v>
      </c>
    </row>
    <row r="1293" spans="5:44" x14ac:dyDescent="0.25">
      <c r="I1293" t="str">
        <f t="shared" si="107"/>
        <v>samsho3h</v>
      </c>
      <c r="J1293" t="str">
        <f t="shared" si="108"/>
        <v/>
      </c>
      <c r="L1293" t="str">
        <f t="shared" si="110"/>
        <v>NGH-087</v>
      </c>
      <c r="M1293" t="str">
        <f t="shared" si="110"/>
        <v>19951201</v>
      </c>
      <c r="N1293" t="str">
        <f t="shared" si="110"/>
        <v>サムライスピリッツ 斬紅郎無双剣</v>
      </c>
      <c r="O1293" t="str">
        <f t="shared" si="110"/>
        <v/>
      </c>
      <c r="P1293" t="str">
        <f t="shared" si="110"/>
        <v/>
      </c>
      <c r="S1293" t="s">
        <v>36</v>
      </c>
      <c r="T1293" t="str">
        <f t="shared" si="109"/>
        <v>samsho3hcompatibility</v>
      </c>
      <c r="U1293" t="s">
        <v>218</v>
      </c>
      <c r="V1293" t="str">
        <f t="shared" si="106"/>
        <v>AES</v>
      </c>
      <c r="W1293" t="str">
        <f t="shared" si="106"/>
        <v>MVS,AES</v>
      </c>
      <c r="AB1293" t="s">
        <v>29</v>
      </c>
      <c r="AE1293" t="s">
        <v>27</v>
      </c>
      <c r="AH1293" t="s">
        <v>4476</v>
      </c>
      <c r="AI1293" t="s">
        <v>9</v>
      </c>
      <c r="AJ1293" t="s">
        <v>27</v>
      </c>
      <c r="AK1293" t="s">
        <v>4475</v>
      </c>
      <c r="AL1293" t="s">
        <v>4474</v>
      </c>
    </row>
    <row r="1294" spans="5:44" x14ac:dyDescent="0.25">
      <c r="I1294" t="str">
        <f t="shared" si="107"/>
        <v>samsho3h</v>
      </c>
      <c r="J1294" t="str">
        <f t="shared" si="108"/>
        <v/>
      </c>
      <c r="L1294" t="str">
        <f t="shared" si="110"/>
        <v>NGH-087</v>
      </c>
      <c r="M1294" t="str">
        <f t="shared" si="110"/>
        <v>19951201</v>
      </c>
      <c r="N1294" t="str">
        <f t="shared" si="110"/>
        <v>サムライスピリッツ 斬紅郎無双剣</v>
      </c>
      <c r="O1294" t="str">
        <f t="shared" si="110"/>
        <v/>
      </c>
      <c r="P1294" t="str">
        <f t="shared" si="110"/>
        <v/>
      </c>
      <c r="T1294" t="str">
        <f t="shared" si="109"/>
        <v/>
      </c>
      <c r="V1294" t="str">
        <f t="shared" si="106"/>
        <v>AES</v>
      </c>
      <c r="W1294" t="str">
        <f t="shared" si="106"/>
        <v>MVS,AES</v>
      </c>
      <c r="AB1294" t="s">
        <v>24</v>
      </c>
      <c r="AE1294" t="s">
        <v>75</v>
      </c>
      <c r="AH1294" t="s">
        <v>4473</v>
      </c>
      <c r="AI1294" t="s">
        <v>9</v>
      </c>
      <c r="AJ1294" t="s">
        <v>11</v>
      </c>
      <c r="AK1294" t="s">
        <v>4472</v>
      </c>
      <c r="AL1294" t="s">
        <v>4471</v>
      </c>
    </row>
    <row r="1295" spans="5:44" x14ac:dyDescent="0.25">
      <c r="I1295" t="str">
        <f t="shared" si="107"/>
        <v>samsho3h</v>
      </c>
      <c r="J1295" t="str">
        <f t="shared" si="108"/>
        <v/>
      </c>
      <c r="L1295" t="str">
        <f t="shared" si="110"/>
        <v>NGH-087</v>
      </c>
      <c r="M1295" t="str">
        <f t="shared" si="110"/>
        <v>19951201</v>
      </c>
      <c r="N1295" t="str">
        <f t="shared" si="110"/>
        <v>サムライスピリッツ 斬紅郎無双剣</v>
      </c>
      <c r="O1295" t="str">
        <f t="shared" si="110"/>
        <v/>
      </c>
      <c r="P1295" t="str">
        <f t="shared" si="110"/>
        <v/>
      </c>
      <c r="T1295" t="str">
        <f t="shared" si="109"/>
        <v/>
      </c>
      <c r="V1295" t="str">
        <f t="shared" si="106"/>
        <v>AES</v>
      </c>
      <c r="W1295" t="str">
        <f t="shared" si="106"/>
        <v>MVS,AES</v>
      </c>
      <c r="AH1295" t="s">
        <v>4470</v>
      </c>
      <c r="AI1295" t="s">
        <v>11</v>
      </c>
      <c r="AJ1295" t="s">
        <v>3</v>
      </c>
      <c r="AK1295" t="s">
        <v>4469</v>
      </c>
      <c r="AL1295" t="s">
        <v>4468</v>
      </c>
    </row>
    <row r="1296" spans="5:44" x14ac:dyDescent="0.25">
      <c r="I1296" t="str">
        <f t="shared" si="107"/>
        <v>samsho3h</v>
      </c>
      <c r="J1296" t="str">
        <f t="shared" si="108"/>
        <v/>
      </c>
      <c r="L1296" t="str">
        <f t="shared" si="110"/>
        <v>NGH-087</v>
      </c>
      <c r="M1296" t="str">
        <f t="shared" si="110"/>
        <v>19951201</v>
      </c>
      <c r="N1296" t="str">
        <f t="shared" si="110"/>
        <v>サムライスピリッツ 斬紅郎無双剣</v>
      </c>
      <c r="O1296" t="str">
        <f t="shared" si="110"/>
        <v/>
      </c>
      <c r="P1296" t="str">
        <f t="shared" si="110"/>
        <v/>
      </c>
      <c r="T1296" t="str">
        <f t="shared" si="109"/>
        <v/>
      </c>
      <c r="V1296" t="str">
        <f t="shared" si="106"/>
        <v>AES</v>
      </c>
      <c r="W1296" t="str">
        <f t="shared" si="106"/>
        <v>MVS,AES</v>
      </c>
      <c r="AB1296" t="s">
        <v>12</v>
      </c>
      <c r="AE1296" t="s">
        <v>4467</v>
      </c>
      <c r="AG1296" t="s">
        <v>6</v>
      </c>
      <c r="AH1296" t="s">
        <v>4466</v>
      </c>
      <c r="AI1296" t="s">
        <v>9</v>
      </c>
      <c r="AJ1296" t="s">
        <v>11</v>
      </c>
      <c r="AK1296" t="s">
        <v>4465</v>
      </c>
      <c r="AL1296" t="s">
        <v>4464</v>
      </c>
    </row>
    <row r="1297" spans="5:44" x14ac:dyDescent="0.25">
      <c r="I1297" t="str">
        <f t="shared" si="107"/>
        <v>samsho3h</v>
      </c>
      <c r="J1297" t="str">
        <f t="shared" si="108"/>
        <v/>
      </c>
      <c r="L1297" t="str">
        <f t="shared" si="110"/>
        <v>NGH-087</v>
      </c>
      <c r="M1297" t="str">
        <f t="shared" si="110"/>
        <v>19951201</v>
      </c>
      <c r="N1297" t="str">
        <f t="shared" si="110"/>
        <v>サムライスピリッツ 斬紅郎無双剣</v>
      </c>
      <c r="O1297" t="str">
        <f t="shared" si="110"/>
        <v/>
      </c>
      <c r="P1297" t="str">
        <f t="shared" si="110"/>
        <v/>
      </c>
      <c r="T1297" t="str">
        <f t="shared" si="109"/>
        <v/>
      </c>
      <c r="V1297" t="str">
        <f t="shared" si="106"/>
        <v>AES</v>
      </c>
      <c r="W1297" t="str">
        <f t="shared" si="106"/>
        <v>MVS,AES</v>
      </c>
      <c r="AG1297" t="s">
        <v>6</v>
      </c>
      <c r="AH1297" t="s">
        <v>4463</v>
      </c>
      <c r="AI1297" t="s">
        <v>4</v>
      </c>
      <c r="AJ1297" t="s">
        <v>11</v>
      </c>
      <c r="AK1297" t="s">
        <v>4462</v>
      </c>
      <c r="AL1297" t="s">
        <v>4461</v>
      </c>
    </row>
    <row r="1298" spans="5:44" x14ac:dyDescent="0.25">
      <c r="I1298" t="str">
        <f t="shared" si="107"/>
        <v>samsho3h</v>
      </c>
      <c r="J1298" t="str">
        <f t="shared" si="108"/>
        <v/>
      </c>
      <c r="L1298" t="str">
        <f t="shared" si="110"/>
        <v>NGH-087</v>
      </c>
      <c r="M1298" t="str">
        <f t="shared" si="110"/>
        <v>19951201</v>
      </c>
      <c r="N1298" t="str">
        <f t="shared" si="110"/>
        <v>サムライスピリッツ 斬紅郎無双剣</v>
      </c>
      <c r="O1298" t="str">
        <f t="shared" si="110"/>
        <v/>
      </c>
      <c r="P1298" t="str">
        <f t="shared" si="110"/>
        <v/>
      </c>
      <c r="T1298" t="str">
        <f t="shared" si="109"/>
        <v/>
      </c>
      <c r="V1298" t="str">
        <f t="shared" si="106"/>
        <v>AES</v>
      </c>
      <c r="W1298" t="str">
        <f t="shared" si="106"/>
        <v>MVS,AES</v>
      </c>
      <c r="AG1298" t="s">
        <v>6</v>
      </c>
      <c r="AH1298" t="s">
        <v>4460</v>
      </c>
      <c r="AI1298" t="s">
        <v>57</v>
      </c>
      <c r="AJ1298" t="s">
        <v>11</v>
      </c>
      <c r="AK1298" t="s">
        <v>4459</v>
      </c>
      <c r="AL1298" t="s">
        <v>4458</v>
      </c>
    </row>
    <row r="1299" spans="5:44" x14ac:dyDescent="0.25">
      <c r="I1299" t="str">
        <f t="shared" si="107"/>
        <v>samsho3h</v>
      </c>
      <c r="J1299" t="str">
        <f t="shared" si="108"/>
        <v/>
      </c>
      <c r="L1299" t="str">
        <f t="shared" si="110"/>
        <v>NGH-087</v>
      </c>
      <c r="M1299" t="str">
        <f t="shared" si="110"/>
        <v>19951201</v>
      </c>
      <c r="N1299" t="str">
        <f t="shared" si="110"/>
        <v>サムライスピリッツ 斬紅郎無双剣</v>
      </c>
      <c r="O1299" t="str">
        <f t="shared" si="110"/>
        <v/>
      </c>
      <c r="P1299" t="str">
        <f t="shared" si="110"/>
        <v/>
      </c>
      <c r="T1299" t="str">
        <f t="shared" si="109"/>
        <v/>
      </c>
      <c r="V1299" t="str">
        <f t="shared" si="106"/>
        <v>AES</v>
      </c>
      <c r="W1299" t="str">
        <f t="shared" si="106"/>
        <v>MVS,AES</v>
      </c>
      <c r="AG1299" t="s">
        <v>6</v>
      </c>
      <c r="AH1299" t="s">
        <v>4457</v>
      </c>
      <c r="AI1299" t="s">
        <v>53</v>
      </c>
      <c r="AJ1299" t="s">
        <v>11</v>
      </c>
      <c r="AK1299" t="s">
        <v>4456</v>
      </c>
      <c r="AL1299" t="s">
        <v>4455</v>
      </c>
    </row>
    <row r="1300" spans="5:44" x14ac:dyDescent="0.25">
      <c r="I1300" t="str">
        <f t="shared" si="107"/>
        <v>samsho3h</v>
      </c>
      <c r="J1300" t="str">
        <f t="shared" si="108"/>
        <v/>
      </c>
      <c r="L1300" t="str">
        <f t="shared" si="110"/>
        <v>NGH-087</v>
      </c>
      <c r="M1300" t="str">
        <f t="shared" si="110"/>
        <v>19951201</v>
      </c>
      <c r="N1300" t="str">
        <f t="shared" si="110"/>
        <v>サムライスピリッツ 斬紅郎無双剣</v>
      </c>
      <c r="O1300" t="str">
        <f t="shared" si="110"/>
        <v/>
      </c>
      <c r="P1300" t="str">
        <f t="shared" si="110"/>
        <v/>
      </c>
      <c r="T1300" t="str">
        <f t="shared" si="109"/>
        <v/>
      </c>
      <c r="V1300" t="str">
        <f t="shared" si="106"/>
        <v>AES</v>
      </c>
      <c r="W1300" t="str">
        <f t="shared" si="106"/>
        <v>MVS,AES</v>
      </c>
      <c r="AG1300" t="s">
        <v>6</v>
      </c>
      <c r="AH1300" t="s">
        <v>4454</v>
      </c>
      <c r="AI1300" t="s">
        <v>65</v>
      </c>
      <c r="AJ1300" t="s">
        <v>11</v>
      </c>
      <c r="AK1300" t="s">
        <v>4453</v>
      </c>
      <c r="AL1300" t="s">
        <v>4452</v>
      </c>
    </row>
    <row r="1301" spans="5:44" x14ac:dyDescent="0.25">
      <c r="I1301" t="str">
        <f t="shared" si="107"/>
        <v>samsho3h</v>
      </c>
      <c r="J1301" t="str">
        <f t="shared" si="108"/>
        <v/>
      </c>
      <c r="L1301" t="str">
        <f t="shared" si="110"/>
        <v>NGH-087</v>
      </c>
      <c r="M1301" t="str">
        <f t="shared" si="110"/>
        <v>19951201</v>
      </c>
      <c r="N1301" t="str">
        <f t="shared" si="110"/>
        <v>サムライスピリッツ 斬紅郎無双剣</v>
      </c>
      <c r="O1301" t="str">
        <f t="shared" si="110"/>
        <v/>
      </c>
      <c r="P1301" t="str">
        <f t="shared" si="110"/>
        <v/>
      </c>
      <c r="T1301" t="str">
        <f t="shared" si="109"/>
        <v/>
      </c>
      <c r="V1301" t="str">
        <f t="shared" si="106"/>
        <v>AES</v>
      </c>
      <c r="W1301" t="str">
        <f t="shared" si="106"/>
        <v>MVS,AES</v>
      </c>
      <c r="AG1301" t="s">
        <v>6</v>
      </c>
      <c r="AH1301" t="s">
        <v>4451</v>
      </c>
      <c r="AI1301" t="s">
        <v>164</v>
      </c>
      <c r="AJ1301" t="s">
        <v>11</v>
      </c>
      <c r="AK1301" t="s">
        <v>4450</v>
      </c>
      <c r="AL1301" t="s">
        <v>4449</v>
      </c>
    </row>
    <row r="1302" spans="5:44" x14ac:dyDescent="0.25">
      <c r="I1302" t="str">
        <f t="shared" si="107"/>
        <v>samsho3h</v>
      </c>
      <c r="J1302" t="str">
        <f t="shared" si="108"/>
        <v/>
      </c>
      <c r="L1302" t="str">
        <f t="shared" si="110"/>
        <v>NGH-087</v>
      </c>
      <c r="M1302" t="str">
        <f t="shared" si="110"/>
        <v>19951201</v>
      </c>
      <c r="N1302" t="str">
        <f t="shared" si="110"/>
        <v>サムライスピリッツ 斬紅郎無双剣</v>
      </c>
      <c r="O1302" t="str">
        <f t="shared" si="110"/>
        <v/>
      </c>
      <c r="P1302" t="str">
        <f t="shared" si="110"/>
        <v/>
      </c>
      <c r="T1302" t="str">
        <f t="shared" si="109"/>
        <v/>
      </c>
      <c r="V1302" t="str">
        <f t="shared" si="106"/>
        <v>AES</v>
      </c>
      <c r="W1302" t="str">
        <f t="shared" si="106"/>
        <v>MVS,AES</v>
      </c>
      <c r="AG1302" t="s">
        <v>6</v>
      </c>
      <c r="AH1302" t="s">
        <v>4448</v>
      </c>
      <c r="AI1302" t="s">
        <v>634</v>
      </c>
      <c r="AJ1302" t="s">
        <v>15</v>
      </c>
      <c r="AK1302" t="s">
        <v>4447</v>
      </c>
      <c r="AL1302" t="s">
        <v>4446</v>
      </c>
    </row>
    <row r="1303" spans="5:44" x14ac:dyDescent="0.25">
      <c r="I1303" t="str">
        <f t="shared" si="107"/>
        <v>samsho3h</v>
      </c>
      <c r="J1303" t="str">
        <f t="shared" si="108"/>
        <v/>
      </c>
      <c r="L1303" t="str">
        <f t="shared" si="110"/>
        <v>NGH-087</v>
      </c>
      <c r="M1303" t="str">
        <f t="shared" si="110"/>
        <v>19951201</v>
      </c>
      <c r="N1303" t="str">
        <f t="shared" si="110"/>
        <v>サムライスピリッツ 斬紅郎無双剣</v>
      </c>
      <c r="O1303" t="str">
        <f t="shared" si="110"/>
        <v/>
      </c>
      <c r="P1303" t="str">
        <f t="shared" si="110"/>
        <v/>
      </c>
      <c r="T1303" t="str">
        <f t="shared" si="109"/>
        <v/>
      </c>
      <c r="V1303" t="str">
        <f t="shared" ref="V1303:W1366" si="111">IFERROR(VLOOKUP($I1303&amp;V$1,$T:$AA,2,0),"")</f>
        <v>AES</v>
      </c>
      <c r="W1303" t="str">
        <f t="shared" si="111"/>
        <v>MVS,AES</v>
      </c>
      <c r="AG1303" t="s">
        <v>6</v>
      </c>
      <c r="AH1303" t="s">
        <v>4445</v>
      </c>
      <c r="AI1303" t="s">
        <v>630</v>
      </c>
      <c r="AJ1303" t="s">
        <v>15</v>
      </c>
      <c r="AK1303" t="s">
        <v>4444</v>
      </c>
      <c r="AL1303" t="s">
        <v>4443</v>
      </c>
    </row>
    <row r="1304" spans="5:44" x14ac:dyDescent="0.25">
      <c r="E1304" t="s">
        <v>4488</v>
      </c>
      <c r="F1304" t="s">
        <v>4487</v>
      </c>
      <c r="G1304" t="s">
        <v>1239</v>
      </c>
      <c r="H1304" t="s">
        <v>1912</v>
      </c>
      <c r="I1304" t="str">
        <f t="shared" si="107"/>
        <v>fswords</v>
      </c>
      <c r="J1304" t="str">
        <f t="shared" si="108"/>
        <v/>
      </c>
      <c r="L1304" t="str">
        <f t="shared" si="110"/>
        <v/>
      </c>
      <c r="M1304" t="str">
        <f t="shared" si="110"/>
        <v/>
      </c>
      <c r="N1304" t="str">
        <f t="shared" si="110"/>
        <v/>
      </c>
      <c r="O1304" t="str">
        <f t="shared" si="110"/>
        <v/>
      </c>
      <c r="P1304" t="str">
        <f t="shared" si="110"/>
        <v/>
      </c>
      <c r="S1304" t="s">
        <v>46</v>
      </c>
      <c r="T1304" t="str">
        <f t="shared" si="109"/>
        <v>fswordsrelease</v>
      </c>
      <c r="U1304" t="s">
        <v>106</v>
      </c>
      <c r="V1304" t="str">
        <f t="shared" si="111"/>
        <v>MVS</v>
      </c>
      <c r="W1304" t="str">
        <f t="shared" si="111"/>
        <v>MVS,AES</v>
      </c>
      <c r="Y1304" t="s">
        <v>45</v>
      </c>
      <c r="Z1304" t="s">
        <v>44</v>
      </c>
      <c r="AB1304" t="s">
        <v>43</v>
      </c>
      <c r="AC1304" t="s">
        <v>42</v>
      </c>
      <c r="AD1304" t="s">
        <v>41</v>
      </c>
      <c r="AE1304" t="s">
        <v>377</v>
      </c>
      <c r="AG1304" t="s">
        <v>40</v>
      </c>
      <c r="AH1304" t="s">
        <v>4486</v>
      </c>
      <c r="AI1304" t="s">
        <v>9</v>
      </c>
      <c r="AJ1304" t="s">
        <v>15</v>
      </c>
      <c r="AK1304" t="s">
        <v>4485</v>
      </c>
      <c r="AL1304" t="s">
        <v>4484</v>
      </c>
      <c r="AR1304" t="s">
        <v>4483</v>
      </c>
    </row>
    <row r="1305" spans="5:44" x14ac:dyDescent="0.25">
      <c r="I1305" t="str">
        <f t="shared" si="107"/>
        <v>fswords</v>
      </c>
      <c r="J1305" t="str">
        <f t="shared" si="108"/>
        <v/>
      </c>
      <c r="L1305" t="str">
        <f t="shared" si="110"/>
        <v/>
      </c>
      <c r="M1305" t="str">
        <f t="shared" si="110"/>
        <v/>
      </c>
      <c r="N1305" t="str">
        <f t="shared" si="110"/>
        <v/>
      </c>
      <c r="O1305" t="str">
        <f t="shared" si="110"/>
        <v/>
      </c>
      <c r="P1305" t="str">
        <f t="shared" si="110"/>
        <v/>
      </c>
      <c r="S1305" t="s">
        <v>36</v>
      </c>
      <c r="T1305" t="str">
        <f t="shared" si="109"/>
        <v>fswordscompatibility</v>
      </c>
      <c r="U1305" t="s">
        <v>218</v>
      </c>
      <c r="V1305" t="str">
        <f t="shared" si="111"/>
        <v>MVS</v>
      </c>
      <c r="W1305" t="str">
        <f t="shared" si="111"/>
        <v>MVS,AES</v>
      </c>
      <c r="AG1305" t="s">
        <v>40</v>
      </c>
      <c r="AH1305" t="s">
        <v>4482</v>
      </c>
      <c r="AI1305" t="s">
        <v>15</v>
      </c>
      <c r="AJ1305" t="s">
        <v>3</v>
      </c>
      <c r="AK1305" t="s">
        <v>4481</v>
      </c>
      <c r="AL1305" t="s">
        <v>4480</v>
      </c>
    </row>
    <row r="1306" spans="5:44" x14ac:dyDescent="0.25">
      <c r="I1306" t="str">
        <f t="shared" si="107"/>
        <v>fswords</v>
      </c>
      <c r="J1306" t="str">
        <f t="shared" si="108"/>
        <v/>
      </c>
      <c r="L1306" t="str">
        <f t="shared" si="110"/>
        <v/>
      </c>
      <c r="M1306" t="str">
        <f t="shared" si="110"/>
        <v/>
      </c>
      <c r="N1306" t="str">
        <f t="shared" si="110"/>
        <v/>
      </c>
      <c r="O1306" t="str">
        <f t="shared" si="110"/>
        <v/>
      </c>
      <c r="P1306" t="str">
        <f t="shared" si="110"/>
        <v/>
      </c>
      <c r="T1306" t="str">
        <f t="shared" si="109"/>
        <v/>
      </c>
      <c r="V1306" t="str">
        <f t="shared" si="111"/>
        <v>MVS</v>
      </c>
      <c r="W1306" t="str">
        <f t="shared" si="111"/>
        <v>MVS,AES</v>
      </c>
      <c r="AB1306" t="s">
        <v>34</v>
      </c>
      <c r="AE1306" t="s">
        <v>33</v>
      </c>
      <c r="AH1306" t="s">
        <v>4479</v>
      </c>
      <c r="AI1306" t="s">
        <v>9</v>
      </c>
      <c r="AJ1306" t="s">
        <v>27</v>
      </c>
      <c r="AK1306" t="s">
        <v>4478</v>
      </c>
      <c r="AL1306" t="s">
        <v>4477</v>
      </c>
    </row>
    <row r="1307" spans="5:44" x14ac:dyDescent="0.25">
      <c r="I1307" t="str">
        <f t="shared" si="107"/>
        <v>fswords</v>
      </c>
      <c r="J1307" t="str">
        <f t="shared" si="108"/>
        <v/>
      </c>
      <c r="L1307" t="str">
        <f t="shared" si="110"/>
        <v/>
      </c>
      <c r="M1307" t="str">
        <f t="shared" si="110"/>
        <v/>
      </c>
      <c r="N1307" t="str">
        <f t="shared" si="110"/>
        <v/>
      </c>
      <c r="O1307" t="str">
        <f t="shared" si="110"/>
        <v/>
      </c>
      <c r="P1307" t="str">
        <f t="shared" si="110"/>
        <v/>
      </c>
      <c r="T1307" t="str">
        <f t="shared" si="109"/>
        <v/>
      </c>
      <c r="V1307" t="str">
        <f t="shared" si="111"/>
        <v>MVS</v>
      </c>
      <c r="W1307" t="str">
        <f t="shared" si="111"/>
        <v>MVS,AES</v>
      </c>
      <c r="AB1307" t="s">
        <v>29</v>
      </c>
      <c r="AE1307" t="s">
        <v>27</v>
      </c>
      <c r="AH1307" t="s">
        <v>4476</v>
      </c>
      <c r="AI1307" t="s">
        <v>9</v>
      </c>
      <c r="AJ1307" t="s">
        <v>27</v>
      </c>
      <c r="AK1307" t="s">
        <v>4475</v>
      </c>
      <c r="AL1307" t="s">
        <v>4474</v>
      </c>
    </row>
    <row r="1308" spans="5:44" x14ac:dyDescent="0.25">
      <c r="I1308" t="str">
        <f t="shared" si="107"/>
        <v>fswords</v>
      </c>
      <c r="J1308" t="str">
        <f t="shared" si="108"/>
        <v/>
      </c>
      <c r="L1308" t="str">
        <f t="shared" si="110"/>
        <v/>
      </c>
      <c r="M1308" t="str">
        <f t="shared" si="110"/>
        <v/>
      </c>
      <c r="N1308" t="str">
        <f t="shared" si="110"/>
        <v/>
      </c>
      <c r="O1308" t="str">
        <f t="shared" si="110"/>
        <v/>
      </c>
      <c r="P1308" t="str">
        <f t="shared" si="110"/>
        <v/>
      </c>
      <c r="T1308" t="str">
        <f t="shared" si="109"/>
        <v/>
      </c>
      <c r="V1308" t="str">
        <f t="shared" si="111"/>
        <v>MVS</v>
      </c>
      <c r="W1308" t="str">
        <f t="shared" si="111"/>
        <v>MVS,AES</v>
      </c>
      <c r="AB1308" t="s">
        <v>24</v>
      </c>
      <c r="AE1308" t="s">
        <v>75</v>
      </c>
      <c r="AH1308" t="s">
        <v>4473</v>
      </c>
      <c r="AI1308" t="s">
        <v>9</v>
      </c>
      <c r="AJ1308" t="s">
        <v>11</v>
      </c>
      <c r="AK1308" t="s">
        <v>4472</v>
      </c>
      <c r="AL1308" t="s">
        <v>4471</v>
      </c>
    </row>
    <row r="1309" spans="5:44" x14ac:dyDescent="0.25">
      <c r="I1309" t="str">
        <f t="shared" si="107"/>
        <v>fswords</v>
      </c>
      <c r="J1309" t="str">
        <f t="shared" si="108"/>
        <v/>
      </c>
      <c r="L1309" t="str">
        <f t="shared" si="110"/>
        <v/>
      </c>
      <c r="M1309" t="str">
        <f t="shared" si="110"/>
        <v/>
      </c>
      <c r="N1309" t="str">
        <f t="shared" si="110"/>
        <v/>
      </c>
      <c r="O1309" t="str">
        <f t="shared" si="110"/>
        <v/>
      </c>
      <c r="P1309" t="str">
        <f t="shared" si="110"/>
        <v/>
      </c>
      <c r="T1309" t="str">
        <f t="shared" si="109"/>
        <v/>
      </c>
      <c r="V1309" t="str">
        <f t="shared" si="111"/>
        <v>MVS</v>
      </c>
      <c r="W1309" t="str">
        <f t="shared" si="111"/>
        <v>MVS,AES</v>
      </c>
      <c r="AH1309" t="s">
        <v>4470</v>
      </c>
      <c r="AI1309" t="s">
        <v>11</v>
      </c>
      <c r="AJ1309" t="s">
        <v>3</v>
      </c>
      <c r="AK1309" t="s">
        <v>4469</v>
      </c>
      <c r="AL1309" t="s">
        <v>4468</v>
      </c>
    </row>
    <row r="1310" spans="5:44" x14ac:dyDescent="0.25">
      <c r="I1310" t="str">
        <f t="shared" si="107"/>
        <v>fswords</v>
      </c>
      <c r="J1310" t="str">
        <f t="shared" si="108"/>
        <v/>
      </c>
      <c r="L1310" t="str">
        <f t="shared" si="110"/>
        <v/>
      </c>
      <c r="M1310" t="str">
        <f t="shared" si="110"/>
        <v/>
      </c>
      <c r="N1310" t="str">
        <f t="shared" si="110"/>
        <v/>
      </c>
      <c r="O1310" t="str">
        <f t="shared" si="110"/>
        <v/>
      </c>
      <c r="P1310" t="str">
        <f t="shared" si="110"/>
        <v/>
      </c>
      <c r="T1310" t="str">
        <f t="shared" si="109"/>
        <v/>
      </c>
      <c r="V1310" t="str">
        <f t="shared" si="111"/>
        <v>MVS</v>
      </c>
      <c r="W1310" t="str">
        <f t="shared" si="111"/>
        <v>MVS,AES</v>
      </c>
      <c r="AB1310" t="s">
        <v>12</v>
      </c>
      <c r="AE1310" t="s">
        <v>4467</v>
      </c>
      <c r="AG1310" t="s">
        <v>6</v>
      </c>
      <c r="AH1310" t="s">
        <v>4466</v>
      </c>
      <c r="AI1310" t="s">
        <v>9</v>
      </c>
      <c r="AJ1310" t="s">
        <v>11</v>
      </c>
      <c r="AK1310" t="s">
        <v>4465</v>
      </c>
      <c r="AL1310" t="s">
        <v>4464</v>
      </c>
    </row>
    <row r="1311" spans="5:44" x14ac:dyDescent="0.25">
      <c r="I1311" t="str">
        <f t="shared" si="107"/>
        <v>fswords</v>
      </c>
      <c r="J1311" t="str">
        <f t="shared" si="108"/>
        <v/>
      </c>
      <c r="L1311" t="str">
        <f t="shared" si="110"/>
        <v/>
      </c>
      <c r="M1311" t="str">
        <f t="shared" si="110"/>
        <v/>
      </c>
      <c r="N1311" t="str">
        <f t="shared" si="110"/>
        <v/>
      </c>
      <c r="O1311" t="str">
        <f t="shared" si="110"/>
        <v/>
      </c>
      <c r="P1311" t="str">
        <f t="shared" si="110"/>
        <v/>
      </c>
      <c r="T1311" t="str">
        <f t="shared" si="109"/>
        <v/>
      </c>
      <c r="V1311" t="str">
        <f t="shared" si="111"/>
        <v>MVS</v>
      </c>
      <c r="W1311" t="str">
        <f t="shared" si="111"/>
        <v>MVS,AES</v>
      </c>
      <c r="AG1311" t="s">
        <v>6</v>
      </c>
      <c r="AH1311" t="s">
        <v>4463</v>
      </c>
      <c r="AI1311" t="s">
        <v>4</v>
      </c>
      <c r="AJ1311" t="s">
        <v>11</v>
      </c>
      <c r="AK1311" t="s">
        <v>4462</v>
      </c>
      <c r="AL1311" t="s">
        <v>4461</v>
      </c>
    </row>
    <row r="1312" spans="5:44" x14ac:dyDescent="0.25">
      <c r="I1312" t="str">
        <f t="shared" si="107"/>
        <v>fswords</v>
      </c>
      <c r="J1312" t="str">
        <f t="shared" si="108"/>
        <v/>
      </c>
      <c r="L1312" t="str">
        <f t="shared" si="110"/>
        <v/>
      </c>
      <c r="M1312" t="str">
        <f t="shared" si="110"/>
        <v/>
      </c>
      <c r="N1312" t="str">
        <f t="shared" si="110"/>
        <v/>
      </c>
      <c r="O1312" t="str">
        <f t="shared" si="110"/>
        <v/>
      </c>
      <c r="P1312" t="str">
        <f t="shared" si="110"/>
        <v/>
      </c>
      <c r="T1312" t="str">
        <f t="shared" si="109"/>
        <v/>
      </c>
      <c r="V1312" t="str">
        <f t="shared" si="111"/>
        <v>MVS</v>
      </c>
      <c r="W1312" t="str">
        <f t="shared" si="111"/>
        <v>MVS,AES</v>
      </c>
      <c r="AG1312" t="s">
        <v>6</v>
      </c>
      <c r="AH1312" t="s">
        <v>4460</v>
      </c>
      <c r="AI1312" t="s">
        <v>57</v>
      </c>
      <c r="AJ1312" t="s">
        <v>11</v>
      </c>
      <c r="AK1312" t="s">
        <v>4459</v>
      </c>
      <c r="AL1312" t="s">
        <v>4458</v>
      </c>
    </row>
    <row r="1313" spans="5:45" x14ac:dyDescent="0.25">
      <c r="I1313" t="str">
        <f t="shared" si="107"/>
        <v>fswords</v>
      </c>
      <c r="J1313" t="str">
        <f t="shared" si="108"/>
        <v/>
      </c>
      <c r="L1313" t="str">
        <f t="shared" si="110"/>
        <v/>
      </c>
      <c r="M1313" t="str">
        <f t="shared" si="110"/>
        <v/>
      </c>
      <c r="N1313" t="str">
        <f t="shared" si="110"/>
        <v/>
      </c>
      <c r="O1313" t="str">
        <f t="shared" si="110"/>
        <v/>
      </c>
      <c r="P1313" t="str">
        <f t="shared" si="110"/>
        <v/>
      </c>
      <c r="T1313" t="str">
        <f t="shared" si="109"/>
        <v/>
      </c>
      <c r="V1313" t="str">
        <f t="shared" si="111"/>
        <v>MVS</v>
      </c>
      <c r="W1313" t="str">
        <f t="shared" si="111"/>
        <v>MVS,AES</v>
      </c>
      <c r="AG1313" t="s">
        <v>6</v>
      </c>
      <c r="AH1313" t="s">
        <v>4457</v>
      </c>
      <c r="AI1313" t="s">
        <v>53</v>
      </c>
      <c r="AJ1313" t="s">
        <v>11</v>
      </c>
      <c r="AK1313" t="s">
        <v>4456</v>
      </c>
      <c r="AL1313" t="s">
        <v>4455</v>
      </c>
    </row>
    <row r="1314" spans="5:45" x14ac:dyDescent="0.25">
      <c r="I1314" t="str">
        <f t="shared" si="107"/>
        <v>fswords</v>
      </c>
      <c r="J1314" t="str">
        <f t="shared" si="108"/>
        <v/>
      </c>
      <c r="L1314" t="str">
        <f t="shared" si="110"/>
        <v/>
      </c>
      <c r="M1314" t="str">
        <f t="shared" si="110"/>
        <v/>
      </c>
      <c r="N1314" t="str">
        <f t="shared" si="110"/>
        <v/>
      </c>
      <c r="O1314" t="str">
        <f t="shared" si="110"/>
        <v/>
      </c>
      <c r="P1314" t="str">
        <f t="shared" si="110"/>
        <v/>
      </c>
      <c r="T1314" t="str">
        <f t="shared" si="109"/>
        <v/>
      </c>
      <c r="V1314" t="str">
        <f t="shared" si="111"/>
        <v>MVS</v>
      </c>
      <c r="W1314" t="str">
        <f t="shared" si="111"/>
        <v>MVS,AES</v>
      </c>
      <c r="AG1314" t="s">
        <v>6</v>
      </c>
      <c r="AH1314" t="s">
        <v>4454</v>
      </c>
      <c r="AI1314" t="s">
        <v>65</v>
      </c>
      <c r="AJ1314" t="s">
        <v>11</v>
      </c>
      <c r="AK1314" t="s">
        <v>4453</v>
      </c>
      <c r="AL1314" t="s">
        <v>4452</v>
      </c>
    </row>
    <row r="1315" spans="5:45" x14ac:dyDescent="0.25">
      <c r="I1315" t="str">
        <f t="shared" si="107"/>
        <v>fswords</v>
      </c>
      <c r="J1315" t="str">
        <f t="shared" si="108"/>
        <v/>
      </c>
      <c r="L1315" t="str">
        <f t="shared" si="110"/>
        <v/>
      </c>
      <c r="M1315" t="str">
        <f t="shared" si="110"/>
        <v/>
      </c>
      <c r="N1315" t="str">
        <f t="shared" si="110"/>
        <v/>
      </c>
      <c r="O1315" t="str">
        <f t="shared" si="110"/>
        <v/>
      </c>
      <c r="P1315" t="str">
        <f t="shared" si="110"/>
        <v/>
      </c>
      <c r="T1315" t="str">
        <f t="shared" si="109"/>
        <v/>
      </c>
      <c r="V1315" t="str">
        <f t="shared" si="111"/>
        <v>MVS</v>
      </c>
      <c r="W1315" t="str">
        <f t="shared" si="111"/>
        <v>MVS,AES</v>
      </c>
      <c r="AG1315" t="s">
        <v>6</v>
      </c>
      <c r="AH1315" t="s">
        <v>4451</v>
      </c>
      <c r="AI1315" t="s">
        <v>164</v>
      </c>
      <c r="AJ1315" t="s">
        <v>11</v>
      </c>
      <c r="AK1315" t="s">
        <v>4450</v>
      </c>
      <c r="AL1315" t="s">
        <v>4449</v>
      </c>
    </row>
    <row r="1316" spans="5:45" x14ac:dyDescent="0.25">
      <c r="I1316" t="str">
        <f t="shared" si="107"/>
        <v>fswords</v>
      </c>
      <c r="J1316" t="str">
        <f t="shared" si="108"/>
        <v/>
      </c>
      <c r="L1316" t="str">
        <f t="shared" si="110"/>
        <v/>
      </c>
      <c r="M1316" t="str">
        <f t="shared" si="110"/>
        <v/>
      </c>
      <c r="N1316" t="str">
        <f t="shared" si="110"/>
        <v/>
      </c>
      <c r="O1316" t="str">
        <f t="shared" si="110"/>
        <v/>
      </c>
      <c r="P1316" t="str">
        <f t="shared" si="110"/>
        <v/>
      </c>
      <c r="T1316" t="str">
        <f t="shared" si="109"/>
        <v/>
      </c>
      <c r="V1316" t="str">
        <f t="shared" si="111"/>
        <v>MVS</v>
      </c>
      <c r="W1316" t="str">
        <f t="shared" si="111"/>
        <v>MVS,AES</v>
      </c>
      <c r="AG1316" t="s">
        <v>6</v>
      </c>
      <c r="AH1316" t="s">
        <v>4448</v>
      </c>
      <c r="AI1316" t="s">
        <v>634</v>
      </c>
      <c r="AJ1316" t="s">
        <v>15</v>
      </c>
      <c r="AK1316" t="s">
        <v>4447</v>
      </c>
      <c r="AL1316" t="s">
        <v>4446</v>
      </c>
    </row>
    <row r="1317" spans="5:45" x14ac:dyDescent="0.25">
      <c r="I1317" t="str">
        <f t="shared" si="107"/>
        <v>fswords</v>
      </c>
      <c r="J1317" t="str">
        <f t="shared" si="108"/>
        <v/>
      </c>
      <c r="L1317" t="str">
        <f t="shared" si="110"/>
        <v/>
      </c>
      <c r="M1317" t="str">
        <f t="shared" si="110"/>
        <v/>
      </c>
      <c r="N1317" t="str">
        <f t="shared" si="110"/>
        <v/>
      </c>
      <c r="O1317" t="str">
        <f t="shared" si="110"/>
        <v/>
      </c>
      <c r="P1317" t="str">
        <f t="shared" si="110"/>
        <v/>
      </c>
      <c r="T1317" t="str">
        <f t="shared" si="109"/>
        <v/>
      </c>
      <c r="V1317" t="str">
        <f t="shared" si="111"/>
        <v>MVS</v>
      </c>
      <c r="W1317" t="str">
        <f t="shared" si="111"/>
        <v>MVS,AES</v>
      </c>
      <c r="AG1317" t="s">
        <v>6</v>
      </c>
      <c r="AH1317" t="s">
        <v>4445</v>
      </c>
      <c r="AI1317" t="s">
        <v>630</v>
      </c>
      <c r="AJ1317" t="s">
        <v>15</v>
      </c>
      <c r="AK1317" t="s">
        <v>4444</v>
      </c>
      <c r="AL1317" t="s">
        <v>4443</v>
      </c>
    </row>
    <row r="1318" spans="5:45" x14ac:dyDescent="0.25">
      <c r="E1318" t="s">
        <v>4409</v>
      </c>
      <c r="F1318" t="s">
        <v>4442</v>
      </c>
      <c r="G1318" t="s">
        <v>1239</v>
      </c>
      <c r="H1318" t="s">
        <v>2520</v>
      </c>
      <c r="I1318" t="str">
        <f t="shared" si="107"/>
        <v>stakwin</v>
      </c>
      <c r="J1318" t="str">
        <f t="shared" si="108"/>
        <v>stakwinserial</v>
      </c>
      <c r="K1318" t="s">
        <v>1373</v>
      </c>
      <c r="L1318" t="str">
        <f t="shared" si="110"/>
        <v>NGM-088 (MVS), NGH-088 (AES)</v>
      </c>
      <c r="M1318" t="str">
        <f t="shared" si="110"/>
        <v>19950927 (MVS), 19951027 (AES)</v>
      </c>
      <c r="N1318" t="str">
        <f t="shared" si="110"/>
        <v>ステークスウィナー</v>
      </c>
      <c r="O1318" t="str">
        <f t="shared" si="110"/>
        <v/>
      </c>
      <c r="P1318" t="str">
        <f t="shared" si="110"/>
        <v/>
      </c>
      <c r="Q1318" t="s">
        <v>4441</v>
      </c>
      <c r="S1318" t="s">
        <v>46</v>
      </c>
      <c r="T1318" t="str">
        <f t="shared" si="109"/>
        <v>stakwinrelease</v>
      </c>
      <c r="U1318" t="s">
        <v>218</v>
      </c>
      <c r="V1318" t="str">
        <f t="shared" si="111"/>
        <v>MVS,AES</v>
      </c>
      <c r="W1318" t="str">
        <f t="shared" si="111"/>
        <v>MVS,AES</v>
      </c>
      <c r="Y1318" t="s">
        <v>45</v>
      </c>
      <c r="Z1318" t="s">
        <v>44</v>
      </c>
      <c r="AB1318" t="s">
        <v>43</v>
      </c>
      <c r="AC1318" t="s">
        <v>42</v>
      </c>
      <c r="AD1318" t="s">
        <v>41</v>
      </c>
      <c r="AE1318" t="s">
        <v>3</v>
      </c>
      <c r="AG1318" t="s">
        <v>40</v>
      </c>
      <c r="AH1318" t="s">
        <v>4440</v>
      </c>
      <c r="AI1318" t="s">
        <v>15</v>
      </c>
      <c r="AJ1318" t="s">
        <v>15</v>
      </c>
      <c r="AK1318" t="s">
        <v>4439</v>
      </c>
      <c r="AL1318" t="s">
        <v>4438</v>
      </c>
    </row>
    <row r="1319" spans="5:45" x14ac:dyDescent="0.25">
      <c r="I1319" t="str">
        <f t="shared" si="107"/>
        <v>stakwin</v>
      </c>
      <c r="J1319" t="str">
        <f t="shared" si="108"/>
        <v>stakwinrelease</v>
      </c>
      <c r="K1319" t="s">
        <v>46</v>
      </c>
      <c r="L1319" t="str">
        <f t="shared" si="110"/>
        <v>NGM-088 (MVS), NGH-088 (AES)</v>
      </c>
      <c r="M1319" t="str">
        <f t="shared" si="110"/>
        <v>19950927 (MVS), 19951027 (AES)</v>
      </c>
      <c r="N1319" t="str">
        <f t="shared" si="110"/>
        <v>ステークスウィナー</v>
      </c>
      <c r="O1319" t="str">
        <f t="shared" si="110"/>
        <v/>
      </c>
      <c r="P1319" t="str">
        <f t="shared" si="110"/>
        <v/>
      </c>
      <c r="Q1319" t="s">
        <v>4437</v>
      </c>
      <c r="T1319" t="str">
        <f t="shared" si="109"/>
        <v/>
      </c>
      <c r="V1319" t="str">
        <f t="shared" si="111"/>
        <v>MVS,AES</v>
      </c>
      <c r="W1319" t="str">
        <f t="shared" si="111"/>
        <v>MVS,AES</v>
      </c>
      <c r="AG1319" t="s">
        <v>224</v>
      </c>
      <c r="AI1319" t="s">
        <v>9</v>
      </c>
      <c r="AJ1319" t="s">
        <v>15</v>
      </c>
    </row>
    <row r="1320" spans="5:45" x14ac:dyDescent="0.25">
      <c r="I1320" t="str">
        <f t="shared" si="107"/>
        <v>stakwin</v>
      </c>
      <c r="J1320" t="str">
        <f t="shared" si="108"/>
        <v>stakwinalt_title</v>
      </c>
      <c r="K1320" t="s">
        <v>1218</v>
      </c>
      <c r="L1320" t="str">
        <f t="shared" si="110"/>
        <v>NGM-088 (MVS), NGH-088 (AES)</v>
      </c>
      <c r="M1320" t="str">
        <f t="shared" si="110"/>
        <v>19950927 (MVS), 19951027 (AES)</v>
      </c>
      <c r="N1320" t="str">
        <f t="shared" si="110"/>
        <v>ステークスウィナー</v>
      </c>
      <c r="O1320" t="str">
        <f t="shared" si="110"/>
        <v/>
      </c>
      <c r="P1320" t="str">
        <f t="shared" si="110"/>
        <v/>
      </c>
      <c r="Q1320" t="s">
        <v>4413</v>
      </c>
      <c r="T1320" t="str">
        <f t="shared" si="109"/>
        <v/>
      </c>
      <c r="V1320" t="str">
        <f t="shared" si="111"/>
        <v>MVS,AES</v>
      </c>
      <c r="W1320" t="str">
        <f t="shared" si="111"/>
        <v>MVS,AES</v>
      </c>
      <c r="AB1320" t="s">
        <v>34</v>
      </c>
      <c r="AE1320" t="s">
        <v>33</v>
      </c>
      <c r="AH1320" t="s">
        <v>4436</v>
      </c>
      <c r="AI1320" t="s">
        <v>9</v>
      </c>
      <c r="AJ1320" t="s">
        <v>27</v>
      </c>
      <c r="AK1320" t="s">
        <v>4435</v>
      </c>
      <c r="AL1320" t="s">
        <v>4434</v>
      </c>
    </row>
    <row r="1321" spans="5:45" x14ac:dyDescent="0.25">
      <c r="I1321" t="str">
        <f t="shared" si="107"/>
        <v>stakwin</v>
      </c>
      <c r="J1321" t="str">
        <f t="shared" si="108"/>
        <v/>
      </c>
      <c r="L1321" t="str">
        <f t="shared" si="110"/>
        <v>NGM-088 (MVS), NGH-088 (AES)</v>
      </c>
      <c r="M1321" t="str">
        <f t="shared" si="110"/>
        <v>19950927 (MVS), 19951027 (AES)</v>
      </c>
      <c r="N1321" t="str">
        <f t="shared" si="110"/>
        <v>ステークスウィナー</v>
      </c>
      <c r="O1321" t="str">
        <f t="shared" si="110"/>
        <v/>
      </c>
      <c r="P1321" t="str">
        <f t="shared" si="110"/>
        <v/>
      </c>
      <c r="S1321" t="s">
        <v>36</v>
      </c>
      <c r="T1321" t="str">
        <f t="shared" si="109"/>
        <v>stakwincompatibility</v>
      </c>
      <c r="U1321" t="s">
        <v>218</v>
      </c>
      <c r="V1321" t="str">
        <f t="shared" si="111"/>
        <v>MVS,AES</v>
      </c>
      <c r="W1321" t="str">
        <f t="shared" si="111"/>
        <v>MVS,AES</v>
      </c>
      <c r="AB1321" t="s">
        <v>29</v>
      </c>
      <c r="AE1321" t="s">
        <v>27</v>
      </c>
      <c r="AH1321" t="s">
        <v>4433</v>
      </c>
      <c r="AI1321" t="s">
        <v>9</v>
      </c>
      <c r="AJ1321" t="s">
        <v>27</v>
      </c>
      <c r="AK1321" t="s">
        <v>4432</v>
      </c>
      <c r="AL1321" t="s">
        <v>4431</v>
      </c>
    </row>
    <row r="1322" spans="5:45" x14ac:dyDescent="0.25">
      <c r="I1322" t="str">
        <f t="shared" si="107"/>
        <v>stakwin</v>
      </c>
      <c r="J1322" t="str">
        <f t="shared" si="108"/>
        <v/>
      </c>
      <c r="L1322" t="str">
        <f t="shared" si="110"/>
        <v>NGM-088 (MVS), NGH-088 (AES)</v>
      </c>
      <c r="M1322" t="str">
        <f t="shared" si="110"/>
        <v>19950927 (MVS), 19951027 (AES)</v>
      </c>
      <c r="N1322" t="str">
        <f t="shared" si="110"/>
        <v>ステークスウィナー</v>
      </c>
      <c r="O1322" t="str">
        <f t="shared" si="110"/>
        <v/>
      </c>
      <c r="P1322" t="str">
        <f t="shared" si="110"/>
        <v/>
      </c>
      <c r="T1322" t="str">
        <f t="shared" si="109"/>
        <v/>
      </c>
      <c r="V1322" t="str">
        <f t="shared" si="111"/>
        <v>MVS,AES</v>
      </c>
      <c r="W1322" t="str">
        <f t="shared" si="111"/>
        <v>MVS,AES</v>
      </c>
      <c r="AB1322" t="s">
        <v>24</v>
      </c>
      <c r="AE1322" t="s">
        <v>3</v>
      </c>
      <c r="AH1322" t="s">
        <v>4430</v>
      </c>
      <c r="AI1322" t="s">
        <v>9</v>
      </c>
      <c r="AJ1322" t="s">
        <v>3</v>
      </c>
      <c r="AK1322" t="s">
        <v>4429</v>
      </c>
      <c r="AL1322" t="s">
        <v>4428</v>
      </c>
    </row>
    <row r="1323" spans="5:45" x14ac:dyDescent="0.25">
      <c r="I1323" t="str">
        <f t="shared" si="107"/>
        <v>stakwin</v>
      </c>
      <c r="J1323" t="str">
        <f t="shared" si="108"/>
        <v/>
      </c>
      <c r="L1323" t="str">
        <f t="shared" si="110"/>
        <v>NGM-088 (MVS), NGH-088 (AES)</v>
      </c>
      <c r="M1323" t="str">
        <f t="shared" si="110"/>
        <v>19950927 (MVS), 19951027 (AES)</v>
      </c>
      <c r="N1323" t="str">
        <f t="shared" si="110"/>
        <v>ステークスウィナー</v>
      </c>
      <c r="O1323" t="str">
        <f t="shared" si="110"/>
        <v/>
      </c>
      <c r="P1323" t="str">
        <f t="shared" si="110"/>
        <v/>
      </c>
      <c r="T1323" t="str">
        <f t="shared" si="109"/>
        <v/>
      </c>
      <c r="V1323" t="str">
        <f t="shared" si="111"/>
        <v>MVS,AES</v>
      </c>
      <c r="W1323" t="str">
        <f t="shared" si="111"/>
        <v>MVS,AES</v>
      </c>
      <c r="AB1323" t="s">
        <v>12</v>
      </c>
      <c r="AE1323" t="s">
        <v>57</v>
      </c>
      <c r="AG1323" t="s">
        <v>6</v>
      </c>
      <c r="AH1323" t="s">
        <v>4427</v>
      </c>
      <c r="AI1323" t="s">
        <v>9</v>
      </c>
      <c r="AJ1323" t="s">
        <v>3</v>
      </c>
      <c r="AK1323" t="s">
        <v>4426</v>
      </c>
      <c r="AL1323" t="s">
        <v>4425</v>
      </c>
    </row>
    <row r="1324" spans="5:45" x14ac:dyDescent="0.25">
      <c r="I1324" t="str">
        <f t="shared" si="107"/>
        <v>stakwin</v>
      </c>
      <c r="J1324" t="str">
        <f t="shared" si="108"/>
        <v/>
      </c>
      <c r="L1324" t="str">
        <f t="shared" si="110"/>
        <v>NGM-088 (MVS), NGH-088 (AES)</v>
      </c>
      <c r="M1324" t="str">
        <f t="shared" si="110"/>
        <v>19950927 (MVS), 19951027 (AES)</v>
      </c>
      <c r="N1324" t="str">
        <f t="shared" si="110"/>
        <v>ステークスウィナー</v>
      </c>
      <c r="O1324" t="str">
        <f t="shared" si="110"/>
        <v/>
      </c>
      <c r="P1324" t="str">
        <f t="shared" si="110"/>
        <v/>
      </c>
      <c r="T1324" t="str">
        <f t="shared" si="109"/>
        <v/>
      </c>
      <c r="V1324" t="str">
        <f t="shared" si="111"/>
        <v>MVS,AES</v>
      </c>
      <c r="W1324" t="str">
        <f t="shared" si="111"/>
        <v>MVS,AES</v>
      </c>
      <c r="AG1324" t="s">
        <v>6</v>
      </c>
      <c r="AH1324" t="s">
        <v>4424</v>
      </c>
      <c r="AI1324" t="s">
        <v>4</v>
      </c>
      <c r="AJ1324" t="s">
        <v>3</v>
      </c>
      <c r="AK1324" t="s">
        <v>4423</v>
      </c>
      <c r="AL1324" t="s">
        <v>4422</v>
      </c>
    </row>
    <row r="1325" spans="5:45" x14ac:dyDescent="0.25">
      <c r="I1325" t="str">
        <f t="shared" si="107"/>
        <v>stakwin</v>
      </c>
      <c r="J1325" t="str">
        <f t="shared" si="108"/>
        <v/>
      </c>
      <c r="L1325" t="str">
        <f t="shared" si="110"/>
        <v>NGM-088 (MVS), NGH-088 (AES)</v>
      </c>
      <c r="M1325" t="str">
        <f t="shared" si="110"/>
        <v>19950927 (MVS), 19951027 (AES)</v>
      </c>
      <c r="N1325" t="str">
        <f t="shared" si="110"/>
        <v>ステークスウィナー</v>
      </c>
      <c r="O1325" t="str">
        <f t="shared" si="110"/>
        <v/>
      </c>
      <c r="P1325" t="str">
        <f t="shared" si="110"/>
        <v/>
      </c>
      <c r="T1325" t="str">
        <f t="shared" si="109"/>
        <v/>
      </c>
      <c r="V1325" t="str">
        <f t="shared" si="111"/>
        <v>MVS,AES</v>
      </c>
      <c r="W1325" t="str">
        <f t="shared" si="111"/>
        <v>MVS,AES</v>
      </c>
      <c r="AG1325" t="s">
        <v>6</v>
      </c>
      <c r="AH1325" t="s">
        <v>4421</v>
      </c>
      <c r="AI1325" t="s">
        <v>11</v>
      </c>
      <c r="AJ1325" t="s">
        <v>3</v>
      </c>
      <c r="AK1325" t="s">
        <v>4420</v>
      </c>
      <c r="AL1325" t="s">
        <v>4419</v>
      </c>
    </row>
    <row r="1326" spans="5:45" x14ac:dyDescent="0.25">
      <c r="I1326" t="str">
        <f t="shared" si="107"/>
        <v>stakwin</v>
      </c>
      <c r="J1326" t="str">
        <f t="shared" si="108"/>
        <v/>
      </c>
      <c r="L1326" t="str">
        <f t="shared" si="110"/>
        <v>NGM-088 (MVS), NGH-088 (AES)</v>
      </c>
      <c r="M1326" t="str">
        <f t="shared" si="110"/>
        <v>19950927 (MVS), 19951027 (AES)</v>
      </c>
      <c r="N1326" t="str">
        <f t="shared" si="110"/>
        <v>ステークスウィナー</v>
      </c>
      <c r="O1326" t="str">
        <f t="shared" si="110"/>
        <v/>
      </c>
      <c r="P1326" t="str">
        <f t="shared" si="110"/>
        <v/>
      </c>
      <c r="T1326" t="str">
        <f t="shared" si="109"/>
        <v/>
      </c>
      <c r="V1326" t="str">
        <f t="shared" si="111"/>
        <v>MVS,AES</v>
      </c>
      <c r="W1326" t="str">
        <f t="shared" si="111"/>
        <v>MVS,AES</v>
      </c>
      <c r="AG1326" t="s">
        <v>6</v>
      </c>
      <c r="AH1326" t="s">
        <v>4418</v>
      </c>
      <c r="AI1326" t="s">
        <v>932</v>
      </c>
      <c r="AJ1326" t="s">
        <v>3</v>
      </c>
      <c r="AK1326" t="s">
        <v>4417</v>
      </c>
      <c r="AL1326" t="s">
        <v>4416</v>
      </c>
    </row>
    <row r="1327" spans="5:45" x14ac:dyDescent="0.25">
      <c r="E1327" t="s">
        <v>4415</v>
      </c>
      <c r="F1327" t="s">
        <v>4414</v>
      </c>
      <c r="G1327" t="s">
        <v>1239</v>
      </c>
      <c r="H1327" t="s">
        <v>2520</v>
      </c>
      <c r="I1327" t="str">
        <f t="shared" si="107"/>
        <v>stakwindev</v>
      </c>
      <c r="J1327" t="str">
        <f t="shared" si="108"/>
        <v>stakwindevalt_title</v>
      </c>
      <c r="K1327" t="s">
        <v>1218</v>
      </c>
      <c r="L1327" t="str">
        <f t="shared" si="110"/>
        <v/>
      </c>
      <c r="M1327" t="str">
        <f t="shared" si="110"/>
        <v/>
      </c>
      <c r="N1327" t="str">
        <f t="shared" si="110"/>
        <v>ステークスウィナー</v>
      </c>
      <c r="O1327" t="str">
        <f t="shared" si="110"/>
        <v/>
      </c>
      <c r="P1327" t="str">
        <f t="shared" si="110"/>
        <v/>
      </c>
      <c r="Q1327" t="s">
        <v>4413</v>
      </c>
      <c r="S1327" t="s">
        <v>46</v>
      </c>
      <c r="T1327" t="str">
        <f t="shared" si="109"/>
        <v>stakwindevrelease</v>
      </c>
      <c r="U1327" t="s">
        <v>218</v>
      </c>
      <c r="V1327" t="str">
        <f t="shared" si="111"/>
        <v>MVS,AES</v>
      </c>
      <c r="W1327" t="str">
        <f t="shared" si="111"/>
        <v>MVS,AES</v>
      </c>
      <c r="Y1327" t="s">
        <v>45</v>
      </c>
      <c r="Z1327" t="s">
        <v>44</v>
      </c>
      <c r="AB1327" t="s">
        <v>43</v>
      </c>
      <c r="AC1327" t="s">
        <v>42</v>
      </c>
      <c r="AD1327" t="s">
        <v>41</v>
      </c>
      <c r="AE1327" t="s">
        <v>15</v>
      </c>
      <c r="AG1327" t="s">
        <v>6</v>
      </c>
      <c r="AH1327" t="s">
        <v>4412</v>
      </c>
      <c r="AI1327" t="s">
        <v>4</v>
      </c>
      <c r="AJ1327" t="s">
        <v>92</v>
      </c>
      <c r="AK1327" t="s">
        <v>4411</v>
      </c>
      <c r="AL1327" t="s">
        <v>4410</v>
      </c>
      <c r="AR1327" t="s">
        <v>4409</v>
      </c>
      <c r="AS1327" t="s">
        <v>136</v>
      </c>
    </row>
    <row r="1328" spans="5:45" x14ac:dyDescent="0.25">
      <c r="I1328" t="str">
        <f t="shared" si="107"/>
        <v>stakwindev</v>
      </c>
      <c r="J1328" t="str">
        <f t="shared" si="108"/>
        <v/>
      </c>
      <c r="L1328" t="str">
        <f t="shared" si="110"/>
        <v/>
      </c>
      <c r="M1328" t="str">
        <f t="shared" si="110"/>
        <v/>
      </c>
      <c r="N1328" t="str">
        <f t="shared" si="110"/>
        <v>ステークスウィナー</v>
      </c>
      <c r="O1328" t="str">
        <f t="shared" si="110"/>
        <v/>
      </c>
      <c r="P1328" t="str">
        <f t="shared" si="110"/>
        <v/>
      </c>
      <c r="S1328" t="s">
        <v>36</v>
      </c>
      <c r="T1328" t="str">
        <f t="shared" si="109"/>
        <v>stakwindevcompatibility</v>
      </c>
      <c r="U1328" t="s">
        <v>218</v>
      </c>
      <c r="V1328" t="str">
        <f t="shared" si="111"/>
        <v>MVS,AES</v>
      </c>
      <c r="W1328" t="str">
        <f t="shared" si="111"/>
        <v>MVS,AES</v>
      </c>
      <c r="AG1328" t="s">
        <v>6</v>
      </c>
      <c r="AH1328" t="s">
        <v>4408</v>
      </c>
      <c r="AI1328" t="s">
        <v>9</v>
      </c>
      <c r="AJ1328" t="s">
        <v>92</v>
      </c>
      <c r="AK1328" t="s">
        <v>4407</v>
      </c>
      <c r="AL1328" t="s">
        <v>4406</v>
      </c>
    </row>
    <row r="1329" spans="9:38" x14ac:dyDescent="0.25">
      <c r="I1329" t="str">
        <f t="shared" si="107"/>
        <v>stakwindev</v>
      </c>
      <c r="J1329" t="str">
        <f t="shared" si="108"/>
        <v/>
      </c>
      <c r="L1329" t="str">
        <f t="shared" si="110"/>
        <v/>
      </c>
      <c r="M1329" t="str">
        <f t="shared" si="110"/>
        <v/>
      </c>
      <c r="N1329" t="str">
        <f t="shared" si="110"/>
        <v>ステークスウィナー</v>
      </c>
      <c r="O1329" t="str">
        <f t="shared" si="110"/>
        <v/>
      </c>
      <c r="P1329" t="str">
        <f t="shared" si="110"/>
        <v/>
      </c>
      <c r="T1329" t="str">
        <f t="shared" si="109"/>
        <v/>
      </c>
      <c r="V1329" t="str">
        <f t="shared" si="111"/>
        <v>MVS,AES</v>
      </c>
      <c r="W1329" t="str">
        <f t="shared" si="111"/>
        <v>MVS,AES</v>
      </c>
      <c r="AB1329" t="s">
        <v>34</v>
      </c>
      <c r="AE1329" t="s">
        <v>33</v>
      </c>
      <c r="AH1329" t="s">
        <v>1295</v>
      </c>
      <c r="AI1329" t="s">
        <v>9</v>
      </c>
      <c r="AJ1329" t="s">
        <v>27</v>
      </c>
      <c r="AK1329" t="s">
        <v>4405</v>
      </c>
      <c r="AL1329" t="s">
        <v>4404</v>
      </c>
    </row>
    <row r="1330" spans="9:38" x14ac:dyDescent="0.25">
      <c r="I1330" t="str">
        <f t="shared" si="107"/>
        <v>stakwindev</v>
      </c>
      <c r="J1330" t="str">
        <f t="shared" si="108"/>
        <v/>
      </c>
      <c r="L1330" t="str">
        <f t="shared" si="110"/>
        <v/>
      </c>
      <c r="M1330" t="str">
        <f t="shared" si="110"/>
        <v/>
      </c>
      <c r="N1330" t="str">
        <f t="shared" si="110"/>
        <v>ステークスウィナー</v>
      </c>
      <c r="O1330" t="str">
        <f t="shared" si="110"/>
        <v/>
      </c>
      <c r="P1330" t="str">
        <f t="shared" si="110"/>
        <v/>
      </c>
      <c r="T1330" t="str">
        <f t="shared" si="109"/>
        <v/>
      </c>
      <c r="V1330" t="str">
        <f t="shared" si="111"/>
        <v>MVS,AES</v>
      </c>
      <c r="W1330" t="str">
        <f t="shared" si="111"/>
        <v>MVS,AES</v>
      </c>
      <c r="AB1330" t="s">
        <v>29</v>
      </c>
      <c r="AE1330" t="s">
        <v>92</v>
      </c>
      <c r="AH1330" t="s">
        <v>1606</v>
      </c>
      <c r="AI1330" t="s">
        <v>9</v>
      </c>
      <c r="AJ1330" t="s">
        <v>92</v>
      </c>
      <c r="AK1330" t="s">
        <v>4403</v>
      </c>
      <c r="AL1330" t="s">
        <v>4402</v>
      </c>
    </row>
    <row r="1331" spans="9:38" x14ac:dyDescent="0.25">
      <c r="I1331" t="str">
        <f t="shared" si="107"/>
        <v>stakwindev</v>
      </c>
      <c r="J1331" t="str">
        <f t="shared" si="108"/>
        <v/>
      </c>
      <c r="L1331" t="str">
        <f t="shared" si="110"/>
        <v/>
      </c>
      <c r="M1331" t="str">
        <f t="shared" si="110"/>
        <v/>
      </c>
      <c r="N1331" t="str">
        <f t="shared" si="110"/>
        <v>ステークスウィナー</v>
      </c>
      <c r="O1331" t="str">
        <f t="shared" si="110"/>
        <v/>
      </c>
      <c r="P1331" t="str">
        <f t="shared" si="110"/>
        <v/>
      </c>
      <c r="T1331" t="str">
        <f t="shared" si="109"/>
        <v/>
      </c>
      <c r="V1331" t="str">
        <f t="shared" si="111"/>
        <v>MVS,AES</v>
      </c>
      <c r="W1331" t="str">
        <f t="shared" si="111"/>
        <v>MVS,AES</v>
      </c>
      <c r="AB1331" t="s">
        <v>24</v>
      </c>
      <c r="AE1331" t="s">
        <v>3</v>
      </c>
      <c r="AH1331" t="s">
        <v>4401</v>
      </c>
      <c r="AI1331" t="s">
        <v>9</v>
      </c>
      <c r="AJ1331" t="s">
        <v>92</v>
      </c>
      <c r="AK1331" t="s">
        <v>4400</v>
      </c>
      <c r="AL1331" t="s">
        <v>4399</v>
      </c>
    </row>
    <row r="1332" spans="9:38" x14ac:dyDescent="0.25">
      <c r="I1332" t="str">
        <f t="shared" si="107"/>
        <v>stakwindev</v>
      </c>
      <c r="J1332" t="str">
        <f t="shared" si="108"/>
        <v/>
      </c>
      <c r="L1332" t="str">
        <f t="shared" si="110"/>
        <v/>
      </c>
      <c r="M1332" t="str">
        <f t="shared" si="110"/>
        <v/>
      </c>
      <c r="N1332" t="str">
        <f t="shared" si="110"/>
        <v>ステークスウィナー</v>
      </c>
      <c r="O1332" t="str">
        <f t="shared" si="110"/>
        <v/>
      </c>
      <c r="P1332" t="str">
        <f t="shared" si="110"/>
        <v/>
      </c>
      <c r="T1332" t="str">
        <f t="shared" si="109"/>
        <v/>
      </c>
      <c r="V1332" t="str">
        <f t="shared" si="111"/>
        <v>MVS,AES</v>
      </c>
      <c r="W1332" t="str">
        <f t="shared" si="111"/>
        <v>MVS,AES</v>
      </c>
      <c r="AH1332" t="s">
        <v>4398</v>
      </c>
      <c r="AI1332" t="s">
        <v>92</v>
      </c>
      <c r="AJ1332" t="s">
        <v>92</v>
      </c>
      <c r="AK1332" t="s">
        <v>4397</v>
      </c>
      <c r="AL1332" t="s">
        <v>4396</v>
      </c>
    </row>
    <row r="1333" spans="9:38" x14ac:dyDescent="0.25">
      <c r="I1333" t="str">
        <f t="shared" si="107"/>
        <v>stakwindev</v>
      </c>
      <c r="J1333" t="str">
        <f t="shared" si="108"/>
        <v/>
      </c>
      <c r="L1333" t="str">
        <f t="shared" si="110"/>
        <v/>
      </c>
      <c r="M1333" t="str">
        <f t="shared" si="110"/>
        <v/>
      </c>
      <c r="N1333" t="str">
        <f t="shared" si="110"/>
        <v>ステークスウィナー</v>
      </c>
      <c r="O1333" t="str">
        <f t="shared" si="110"/>
        <v/>
      </c>
      <c r="P1333" t="str">
        <f t="shared" si="110"/>
        <v/>
      </c>
      <c r="T1333" t="str">
        <f t="shared" si="109"/>
        <v/>
      </c>
      <c r="V1333" t="str">
        <f t="shared" si="111"/>
        <v>MVS,AES</v>
      </c>
      <c r="W1333" t="str">
        <f t="shared" si="111"/>
        <v>MVS,AES</v>
      </c>
      <c r="AH1333" t="s">
        <v>4395</v>
      </c>
      <c r="AI1333" t="s">
        <v>15</v>
      </c>
      <c r="AJ1333" t="s">
        <v>92</v>
      </c>
      <c r="AK1333" t="s">
        <v>4394</v>
      </c>
      <c r="AL1333" t="s">
        <v>4393</v>
      </c>
    </row>
    <row r="1334" spans="9:38" x14ac:dyDescent="0.25">
      <c r="I1334" t="str">
        <f t="shared" si="107"/>
        <v>stakwindev</v>
      </c>
      <c r="J1334" t="str">
        <f t="shared" si="108"/>
        <v/>
      </c>
      <c r="L1334" t="str">
        <f t="shared" si="110"/>
        <v/>
      </c>
      <c r="M1334" t="str">
        <f t="shared" si="110"/>
        <v/>
      </c>
      <c r="N1334" t="str">
        <f t="shared" si="110"/>
        <v>ステークスウィナー</v>
      </c>
      <c r="O1334" t="str">
        <f t="shared" si="110"/>
        <v/>
      </c>
      <c r="P1334" t="str">
        <f t="shared" si="110"/>
        <v/>
      </c>
      <c r="T1334" t="str">
        <f t="shared" si="109"/>
        <v/>
      </c>
      <c r="V1334" t="str">
        <f t="shared" si="111"/>
        <v>MVS,AES</v>
      </c>
      <c r="W1334" t="str">
        <f t="shared" si="111"/>
        <v>MVS,AES</v>
      </c>
      <c r="AB1334" t="s">
        <v>12</v>
      </c>
      <c r="AE1334" t="s">
        <v>57</v>
      </c>
      <c r="AG1334" t="s">
        <v>4354</v>
      </c>
      <c r="AH1334" t="s">
        <v>4392</v>
      </c>
      <c r="AI1334" t="s">
        <v>9</v>
      </c>
      <c r="AJ1334" t="s">
        <v>92</v>
      </c>
      <c r="AK1334" t="s">
        <v>4391</v>
      </c>
      <c r="AL1334" t="s">
        <v>4390</v>
      </c>
    </row>
    <row r="1335" spans="9:38" x14ac:dyDescent="0.25">
      <c r="I1335" t="str">
        <f t="shared" si="107"/>
        <v>stakwindev</v>
      </c>
      <c r="J1335" t="str">
        <f t="shared" si="108"/>
        <v/>
      </c>
      <c r="L1335" t="str">
        <f t="shared" si="110"/>
        <v/>
      </c>
      <c r="M1335" t="str">
        <f t="shared" si="110"/>
        <v/>
      </c>
      <c r="N1335" t="str">
        <f t="shared" si="110"/>
        <v>ステークスウィナー</v>
      </c>
      <c r="O1335" t="str">
        <f t="shared" si="110"/>
        <v/>
      </c>
      <c r="P1335" t="str">
        <f t="shared" si="110"/>
        <v/>
      </c>
      <c r="T1335" t="str">
        <f t="shared" si="109"/>
        <v/>
      </c>
      <c r="V1335" t="str">
        <f t="shared" si="111"/>
        <v>MVS,AES</v>
      </c>
      <c r="W1335" t="str">
        <f t="shared" si="111"/>
        <v>MVS,AES</v>
      </c>
      <c r="AG1335" t="s">
        <v>4354</v>
      </c>
      <c r="AH1335" t="s">
        <v>4389</v>
      </c>
      <c r="AI1335" t="s">
        <v>1427</v>
      </c>
      <c r="AJ1335" t="s">
        <v>92</v>
      </c>
      <c r="AK1335" t="s">
        <v>4388</v>
      </c>
      <c r="AL1335" t="s">
        <v>4387</v>
      </c>
    </row>
    <row r="1336" spans="9:38" x14ac:dyDescent="0.25">
      <c r="I1336" t="str">
        <f t="shared" si="107"/>
        <v>stakwindev</v>
      </c>
      <c r="J1336" t="str">
        <f t="shared" si="108"/>
        <v/>
      </c>
      <c r="L1336" t="str">
        <f t="shared" si="110"/>
        <v/>
      </c>
      <c r="M1336" t="str">
        <f t="shared" si="110"/>
        <v/>
      </c>
      <c r="N1336" t="str">
        <f t="shared" si="110"/>
        <v>ステークスウィナー</v>
      </c>
      <c r="O1336" t="str">
        <f t="shared" si="110"/>
        <v/>
      </c>
      <c r="P1336" t="str">
        <f t="shared" si="110"/>
        <v/>
      </c>
      <c r="T1336" t="str">
        <f t="shared" si="109"/>
        <v/>
      </c>
      <c r="V1336" t="str">
        <f t="shared" si="111"/>
        <v>MVS,AES</v>
      </c>
      <c r="W1336" t="str">
        <f t="shared" si="111"/>
        <v>MVS,AES</v>
      </c>
      <c r="AG1336" t="s">
        <v>4354</v>
      </c>
      <c r="AH1336" t="s">
        <v>4386</v>
      </c>
      <c r="AI1336" t="s">
        <v>4</v>
      </c>
      <c r="AJ1336" t="s">
        <v>92</v>
      </c>
      <c r="AK1336" t="s">
        <v>4385</v>
      </c>
      <c r="AL1336" t="s">
        <v>4384</v>
      </c>
    </row>
    <row r="1337" spans="9:38" x14ac:dyDescent="0.25">
      <c r="I1337" t="str">
        <f t="shared" si="107"/>
        <v>stakwindev</v>
      </c>
      <c r="J1337" t="str">
        <f t="shared" si="108"/>
        <v/>
      </c>
      <c r="L1337" t="str">
        <f t="shared" si="110"/>
        <v/>
      </c>
      <c r="M1337" t="str">
        <f t="shared" si="110"/>
        <v/>
      </c>
      <c r="N1337" t="str">
        <f t="shared" si="110"/>
        <v>ステークスウィナー</v>
      </c>
      <c r="O1337" t="str">
        <f t="shared" si="110"/>
        <v/>
      </c>
      <c r="P1337" t="str">
        <f t="shared" si="110"/>
        <v/>
      </c>
      <c r="T1337" t="str">
        <f t="shared" si="109"/>
        <v/>
      </c>
      <c r="V1337" t="str">
        <f t="shared" si="111"/>
        <v>MVS,AES</v>
      </c>
      <c r="W1337" t="str">
        <f t="shared" si="111"/>
        <v>MVS,AES</v>
      </c>
      <c r="AG1337" t="s">
        <v>4354</v>
      </c>
      <c r="AH1337" t="s">
        <v>4383</v>
      </c>
      <c r="AI1337" t="s">
        <v>4382</v>
      </c>
      <c r="AJ1337" t="s">
        <v>92</v>
      </c>
      <c r="AK1337" t="s">
        <v>4381</v>
      </c>
      <c r="AL1337" t="s">
        <v>4380</v>
      </c>
    </row>
    <row r="1338" spans="9:38" x14ac:dyDescent="0.25">
      <c r="I1338" t="str">
        <f t="shared" si="107"/>
        <v>stakwindev</v>
      </c>
      <c r="J1338" t="str">
        <f t="shared" si="108"/>
        <v/>
      </c>
      <c r="L1338" t="str">
        <f t="shared" si="110"/>
        <v/>
      </c>
      <c r="M1338" t="str">
        <f t="shared" si="110"/>
        <v/>
      </c>
      <c r="N1338" t="str">
        <f t="shared" si="110"/>
        <v>ステークスウィナー</v>
      </c>
      <c r="O1338" t="str">
        <f t="shared" si="110"/>
        <v/>
      </c>
      <c r="P1338" t="str">
        <f t="shared" si="110"/>
        <v/>
      </c>
      <c r="T1338" t="str">
        <f t="shared" si="109"/>
        <v/>
      </c>
      <c r="V1338" t="str">
        <f t="shared" si="111"/>
        <v>MVS,AES</v>
      </c>
      <c r="W1338" t="str">
        <f t="shared" si="111"/>
        <v>MVS,AES</v>
      </c>
      <c r="AG1338" t="s">
        <v>4354</v>
      </c>
      <c r="AH1338" t="s">
        <v>4379</v>
      </c>
      <c r="AI1338" t="s">
        <v>3</v>
      </c>
      <c r="AJ1338" t="s">
        <v>92</v>
      </c>
      <c r="AK1338" t="s">
        <v>4378</v>
      </c>
      <c r="AL1338" t="s">
        <v>4377</v>
      </c>
    </row>
    <row r="1339" spans="9:38" x14ac:dyDescent="0.25">
      <c r="I1339" t="str">
        <f t="shared" si="107"/>
        <v>stakwindev</v>
      </c>
      <c r="J1339" t="str">
        <f t="shared" si="108"/>
        <v/>
      </c>
      <c r="L1339" t="str">
        <f t="shared" si="110"/>
        <v/>
      </c>
      <c r="M1339" t="str">
        <f t="shared" si="110"/>
        <v/>
      </c>
      <c r="N1339" t="str">
        <f t="shared" si="110"/>
        <v>ステークスウィナー</v>
      </c>
      <c r="O1339" t="str">
        <f t="shared" si="110"/>
        <v/>
      </c>
      <c r="P1339" t="str">
        <f t="shared" si="110"/>
        <v/>
      </c>
      <c r="T1339" t="str">
        <f t="shared" si="109"/>
        <v/>
      </c>
      <c r="V1339" t="str">
        <f t="shared" si="111"/>
        <v>MVS,AES</v>
      </c>
      <c r="W1339" t="str">
        <f t="shared" si="111"/>
        <v>MVS,AES</v>
      </c>
      <c r="AG1339" t="s">
        <v>4354</v>
      </c>
      <c r="AH1339" t="s">
        <v>4376</v>
      </c>
      <c r="AI1339" t="s">
        <v>4375</v>
      </c>
      <c r="AJ1339" t="s">
        <v>92</v>
      </c>
      <c r="AK1339" t="s">
        <v>4374</v>
      </c>
      <c r="AL1339" t="s">
        <v>4373</v>
      </c>
    </row>
    <row r="1340" spans="9:38" x14ac:dyDescent="0.25">
      <c r="I1340" t="str">
        <f t="shared" si="107"/>
        <v>stakwindev</v>
      </c>
      <c r="J1340" t="str">
        <f t="shared" si="108"/>
        <v/>
      </c>
      <c r="L1340" t="str">
        <f t="shared" si="110"/>
        <v/>
      </c>
      <c r="M1340" t="str">
        <f t="shared" si="110"/>
        <v/>
      </c>
      <c r="N1340" t="str">
        <f t="shared" si="110"/>
        <v>ステークスウィナー</v>
      </c>
      <c r="O1340" t="str">
        <f t="shared" si="110"/>
        <v/>
      </c>
      <c r="P1340" t="str">
        <f t="shared" si="110"/>
        <v/>
      </c>
      <c r="T1340" t="str">
        <f t="shared" si="109"/>
        <v/>
      </c>
      <c r="V1340" t="str">
        <f t="shared" si="111"/>
        <v>MVS,AES</v>
      </c>
      <c r="W1340" t="str">
        <f t="shared" si="111"/>
        <v>MVS,AES</v>
      </c>
      <c r="AG1340" t="s">
        <v>4354</v>
      </c>
      <c r="AH1340" t="s">
        <v>4372</v>
      </c>
      <c r="AI1340" t="s">
        <v>4371</v>
      </c>
      <c r="AJ1340" t="s">
        <v>92</v>
      </c>
      <c r="AK1340" t="s">
        <v>4370</v>
      </c>
      <c r="AL1340" t="s">
        <v>4369</v>
      </c>
    </row>
    <row r="1341" spans="9:38" x14ac:dyDescent="0.25">
      <c r="I1341" t="str">
        <f t="shared" si="107"/>
        <v>stakwindev</v>
      </c>
      <c r="J1341" t="str">
        <f t="shared" si="108"/>
        <v/>
      </c>
      <c r="L1341" t="str">
        <f t="shared" ref="L1341:P1391" si="112">IFERROR(VLOOKUP($I1341&amp;L$1,$J:$Q,8,0),"")</f>
        <v/>
      </c>
      <c r="M1341" t="str">
        <f t="shared" si="112"/>
        <v/>
      </c>
      <c r="N1341" t="str">
        <f t="shared" si="112"/>
        <v>ステークスウィナー</v>
      </c>
      <c r="O1341" t="str">
        <f t="shared" si="112"/>
        <v/>
      </c>
      <c r="P1341" t="str">
        <f t="shared" si="112"/>
        <v/>
      </c>
      <c r="T1341" t="str">
        <f t="shared" si="109"/>
        <v/>
      </c>
      <c r="V1341" t="str">
        <f t="shared" si="111"/>
        <v>MVS,AES</v>
      </c>
      <c r="W1341" t="str">
        <f t="shared" si="111"/>
        <v>MVS,AES</v>
      </c>
      <c r="AG1341" t="s">
        <v>4354</v>
      </c>
      <c r="AH1341" t="s">
        <v>4368</v>
      </c>
      <c r="AI1341" t="s">
        <v>4367</v>
      </c>
      <c r="AJ1341" t="s">
        <v>92</v>
      </c>
      <c r="AK1341" t="s">
        <v>4366</v>
      </c>
      <c r="AL1341" t="s">
        <v>4365</v>
      </c>
    </row>
    <row r="1342" spans="9:38" x14ac:dyDescent="0.25">
      <c r="I1342" t="str">
        <f t="shared" si="107"/>
        <v>stakwindev</v>
      </c>
      <c r="J1342" t="str">
        <f t="shared" si="108"/>
        <v/>
      </c>
      <c r="L1342" t="str">
        <f t="shared" si="112"/>
        <v/>
      </c>
      <c r="M1342" t="str">
        <f t="shared" si="112"/>
        <v/>
      </c>
      <c r="N1342" t="str">
        <f t="shared" si="112"/>
        <v>ステークスウィナー</v>
      </c>
      <c r="O1342" t="str">
        <f t="shared" si="112"/>
        <v/>
      </c>
      <c r="P1342" t="str">
        <f t="shared" si="112"/>
        <v/>
      </c>
      <c r="T1342" t="str">
        <f t="shared" si="109"/>
        <v/>
      </c>
      <c r="V1342" t="str">
        <f t="shared" si="111"/>
        <v>MVS,AES</v>
      </c>
      <c r="W1342" t="str">
        <f t="shared" si="111"/>
        <v>MVS,AES</v>
      </c>
      <c r="AG1342" t="s">
        <v>4354</v>
      </c>
      <c r="AH1342" t="s">
        <v>4364</v>
      </c>
      <c r="AI1342" t="s">
        <v>11</v>
      </c>
      <c r="AJ1342" t="s">
        <v>92</v>
      </c>
      <c r="AK1342" t="s">
        <v>4363</v>
      </c>
      <c r="AL1342" t="s">
        <v>4362</v>
      </c>
    </row>
    <row r="1343" spans="9:38" x14ac:dyDescent="0.25">
      <c r="I1343" t="str">
        <f t="shared" si="107"/>
        <v>stakwindev</v>
      </c>
      <c r="J1343" t="str">
        <f t="shared" si="108"/>
        <v/>
      </c>
      <c r="L1343" t="str">
        <f t="shared" si="112"/>
        <v/>
      </c>
      <c r="M1343" t="str">
        <f t="shared" si="112"/>
        <v/>
      </c>
      <c r="N1343" t="str">
        <f t="shared" si="112"/>
        <v>ステークスウィナー</v>
      </c>
      <c r="O1343" t="str">
        <f t="shared" si="112"/>
        <v/>
      </c>
      <c r="P1343" t="str">
        <f t="shared" si="112"/>
        <v/>
      </c>
      <c r="T1343" t="str">
        <f t="shared" si="109"/>
        <v/>
      </c>
      <c r="V1343" t="str">
        <f t="shared" si="111"/>
        <v>MVS,AES</v>
      </c>
      <c r="W1343" t="str">
        <f t="shared" si="111"/>
        <v>MVS,AES</v>
      </c>
      <c r="AG1343" t="s">
        <v>4354</v>
      </c>
      <c r="AH1343" t="s">
        <v>4361</v>
      </c>
      <c r="AI1343" t="s">
        <v>4360</v>
      </c>
      <c r="AJ1343" t="s">
        <v>92</v>
      </c>
      <c r="AK1343" t="s">
        <v>4359</v>
      </c>
      <c r="AL1343" t="s">
        <v>4358</v>
      </c>
    </row>
    <row r="1344" spans="9:38" x14ac:dyDescent="0.25">
      <c r="I1344" t="str">
        <f t="shared" si="107"/>
        <v>stakwindev</v>
      </c>
      <c r="J1344" t="str">
        <f t="shared" si="108"/>
        <v/>
      </c>
      <c r="L1344" t="str">
        <f t="shared" si="112"/>
        <v/>
      </c>
      <c r="M1344" t="str">
        <f t="shared" si="112"/>
        <v/>
      </c>
      <c r="N1344" t="str">
        <f t="shared" si="112"/>
        <v>ステークスウィナー</v>
      </c>
      <c r="O1344" t="str">
        <f t="shared" si="112"/>
        <v/>
      </c>
      <c r="P1344" t="str">
        <f t="shared" si="112"/>
        <v/>
      </c>
      <c r="T1344" t="str">
        <f t="shared" si="109"/>
        <v/>
      </c>
      <c r="V1344" t="str">
        <f t="shared" si="111"/>
        <v>MVS,AES</v>
      </c>
      <c r="W1344" t="str">
        <f t="shared" si="111"/>
        <v>MVS,AES</v>
      </c>
      <c r="AG1344" t="s">
        <v>4354</v>
      </c>
      <c r="AH1344" t="s">
        <v>4357</v>
      </c>
      <c r="AI1344" t="s">
        <v>932</v>
      </c>
      <c r="AJ1344" t="s">
        <v>92</v>
      </c>
      <c r="AK1344" t="s">
        <v>4356</v>
      </c>
      <c r="AL1344" t="s">
        <v>4355</v>
      </c>
    </row>
    <row r="1345" spans="5:38" x14ac:dyDescent="0.25">
      <c r="I1345" t="str">
        <f t="shared" si="107"/>
        <v>stakwindev</v>
      </c>
      <c r="J1345" t="str">
        <f t="shared" si="108"/>
        <v/>
      </c>
      <c r="L1345" t="str">
        <f t="shared" si="112"/>
        <v/>
      </c>
      <c r="M1345" t="str">
        <f t="shared" si="112"/>
        <v/>
      </c>
      <c r="N1345" t="str">
        <f t="shared" si="112"/>
        <v>ステークスウィナー</v>
      </c>
      <c r="O1345" t="str">
        <f t="shared" si="112"/>
        <v/>
      </c>
      <c r="P1345" t="str">
        <f t="shared" si="112"/>
        <v/>
      </c>
      <c r="T1345" t="str">
        <f t="shared" si="109"/>
        <v/>
      </c>
      <c r="V1345" t="str">
        <f t="shared" si="111"/>
        <v>MVS,AES</v>
      </c>
      <c r="W1345" t="str">
        <f t="shared" si="111"/>
        <v>MVS,AES</v>
      </c>
      <c r="AG1345" t="s">
        <v>4354</v>
      </c>
      <c r="AH1345" t="s">
        <v>4353</v>
      </c>
      <c r="AI1345" t="s">
        <v>4352</v>
      </c>
      <c r="AJ1345" t="s">
        <v>92</v>
      </c>
      <c r="AK1345" t="s">
        <v>4351</v>
      </c>
      <c r="AL1345" t="s">
        <v>4350</v>
      </c>
    </row>
    <row r="1346" spans="5:38" x14ac:dyDescent="0.25">
      <c r="E1346" t="s">
        <v>4349</v>
      </c>
      <c r="F1346" t="s">
        <v>4348</v>
      </c>
      <c r="G1346" t="s">
        <v>1239</v>
      </c>
      <c r="H1346" t="s">
        <v>4347</v>
      </c>
      <c r="I1346" t="str">
        <f t="shared" si="107"/>
        <v>pulstar</v>
      </c>
      <c r="J1346" t="str">
        <f t="shared" si="108"/>
        <v>pulstarserial</v>
      </c>
      <c r="K1346" t="s">
        <v>1373</v>
      </c>
      <c r="L1346" t="str">
        <f t="shared" si="112"/>
        <v>NGM-089 (MVS), NGH-089 (AES)</v>
      </c>
      <c r="M1346" t="str">
        <f t="shared" si="112"/>
        <v>19950828 (MVS), 19950929 (AES)</v>
      </c>
      <c r="N1346" t="str">
        <f t="shared" si="112"/>
        <v>パルスター</v>
      </c>
      <c r="O1346" t="str">
        <f t="shared" si="112"/>
        <v/>
      </c>
      <c r="P1346" t="str">
        <f t="shared" si="112"/>
        <v/>
      </c>
      <c r="Q1346" t="s">
        <v>4346</v>
      </c>
      <c r="S1346" t="s">
        <v>46</v>
      </c>
      <c r="T1346" t="str">
        <f t="shared" si="109"/>
        <v>pulstarrelease</v>
      </c>
      <c r="U1346" t="s">
        <v>218</v>
      </c>
      <c r="V1346" t="str">
        <f t="shared" si="111"/>
        <v>MVS,AES</v>
      </c>
      <c r="W1346" t="str">
        <f t="shared" si="111"/>
        <v>MVS,AES</v>
      </c>
      <c r="Y1346" t="s">
        <v>45</v>
      </c>
      <c r="Z1346" t="s">
        <v>44</v>
      </c>
      <c r="AB1346" t="s">
        <v>43</v>
      </c>
      <c r="AC1346" t="s">
        <v>42</v>
      </c>
      <c r="AD1346" t="s">
        <v>41</v>
      </c>
      <c r="AE1346" t="s">
        <v>377</v>
      </c>
      <c r="AG1346" t="s">
        <v>40</v>
      </c>
      <c r="AH1346" t="s">
        <v>4345</v>
      </c>
      <c r="AI1346" t="s">
        <v>9</v>
      </c>
      <c r="AJ1346" t="s">
        <v>15</v>
      </c>
      <c r="AK1346" t="s">
        <v>4344</v>
      </c>
      <c r="AL1346" t="s">
        <v>4343</v>
      </c>
    </row>
    <row r="1347" spans="5:38" x14ac:dyDescent="0.25">
      <c r="I1347" t="str">
        <f t="shared" ref="I1347:I1410" si="113">IF(E1347="",I1346,E1347)</f>
        <v>pulstar</v>
      </c>
      <c r="J1347" t="str">
        <f t="shared" ref="J1347:J1410" si="114">IF(K1347="","",I1347&amp;K1347)</f>
        <v>pulstarrelease</v>
      </c>
      <c r="K1347" t="s">
        <v>46</v>
      </c>
      <c r="L1347" t="str">
        <f t="shared" si="112"/>
        <v>NGM-089 (MVS), NGH-089 (AES)</v>
      </c>
      <c r="M1347" t="str">
        <f t="shared" si="112"/>
        <v>19950828 (MVS), 19950929 (AES)</v>
      </c>
      <c r="N1347" t="str">
        <f t="shared" si="112"/>
        <v>パルスター</v>
      </c>
      <c r="O1347" t="str">
        <f t="shared" si="112"/>
        <v/>
      </c>
      <c r="P1347" t="str">
        <f t="shared" si="112"/>
        <v/>
      </c>
      <c r="Q1347" t="s">
        <v>4342</v>
      </c>
      <c r="T1347" t="str">
        <f t="shared" ref="T1347:T1410" si="115">IF(S1347="","",I1347&amp;S1347)</f>
        <v/>
      </c>
      <c r="V1347" t="str">
        <f t="shared" si="111"/>
        <v>MVS,AES</v>
      </c>
      <c r="W1347" t="str">
        <f t="shared" si="111"/>
        <v>MVS,AES</v>
      </c>
      <c r="AG1347" t="s">
        <v>40</v>
      </c>
      <c r="AH1347" t="s">
        <v>4341</v>
      </c>
      <c r="AI1347" t="s">
        <v>15</v>
      </c>
      <c r="AJ1347" t="s">
        <v>3</v>
      </c>
      <c r="AK1347" t="s">
        <v>4340</v>
      </c>
      <c r="AL1347" t="s">
        <v>4339</v>
      </c>
    </row>
    <row r="1348" spans="5:38" x14ac:dyDescent="0.25">
      <c r="I1348" t="str">
        <f t="shared" si="113"/>
        <v>pulstar</v>
      </c>
      <c r="J1348" t="str">
        <f t="shared" si="114"/>
        <v>pulstaralt_title</v>
      </c>
      <c r="K1348" t="s">
        <v>1218</v>
      </c>
      <c r="L1348" t="str">
        <f t="shared" si="112"/>
        <v>NGM-089 (MVS), NGH-089 (AES)</v>
      </c>
      <c r="M1348" t="str">
        <f t="shared" si="112"/>
        <v>19950828 (MVS), 19950929 (AES)</v>
      </c>
      <c r="N1348" t="str">
        <f t="shared" si="112"/>
        <v>パルスター</v>
      </c>
      <c r="O1348" t="str">
        <f t="shared" si="112"/>
        <v/>
      </c>
      <c r="P1348" t="str">
        <f t="shared" si="112"/>
        <v/>
      </c>
      <c r="Q1348" t="s">
        <v>4338</v>
      </c>
      <c r="T1348" t="str">
        <f t="shared" si="115"/>
        <v/>
      </c>
      <c r="V1348" t="str">
        <f t="shared" si="111"/>
        <v>MVS,AES</v>
      </c>
      <c r="W1348" t="str">
        <f t="shared" si="111"/>
        <v>MVS,AES</v>
      </c>
      <c r="AB1348" t="s">
        <v>34</v>
      </c>
      <c r="AE1348" t="s">
        <v>33</v>
      </c>
      <c r="AH1348" t="s">
        <v>4337</v>
      </c>
      <c r="AI1348" t="s">
        <v>9</v>
      </c>
      <c r="AJ1348" t="s">
        <v>27</v>
      </c>
      <c r="AK1348" t="s">
        <v>4336</v>
      </c>
      <c r="AL1348" t="s">
        <v>4335</v>
      </c>
    </row>
    <row r="1349" spans="5:38" x14ac:dyDescent="0.25">
      <c r="I1349" t="str">
        <f t="shared" si="113"/>
        <v>pulstar</v>
      </c>
      <c r="J1349" t="str">
        <f t="shared" si="114"/>
        <v/>
      </c>
      <c r="L1349" t="str">
        <f t="shared" si="112"/>
        <v>NGM-089 (MVS), NGH-089 (AES)</v>
      </c>
      <c r="M1349" t="str">
        <f t="shared" si="112"/>
        <v>19950828 (MVS), 19950929 (AES)</v>
      </c>
      <c r="N1349" t="str">
        <f t="shared" si="112"/>
        <v>パルスター</v>
      </c>
      <c r="O1349" t="str">
        <f t="shared" si="112"/>
        <v/>
      </c>
      <c r="P1349" t="str">
        <f t="shared" si="112"/>
        <v/>
      </c>
      <c r="S1349" t="s">
        <v>36</v>
      </c>
      <c r="T1349" t="str">
        <f t="shared" si="115"/>
        <v>pulstarcompatibility</v>
      </c>
      <c r="U1349" t="s">
        <v>218</v>
      </c>
      <c r="V1349" t="str">
        <f t="shared" si="111"/>
        <v>MVS,AES</v>
      </c>
      <c r="W1349" t="str">
        <f t="shared" si="111"/>
        <v>MVS,AES</v>
      </c>
      <c r="AB1349" t="s">
        <v>29</v>
      </c>
      <c r="AE1349" t="s">
        <v>27</v>
      </c>
      <c r="AH1349" t="s">
        <v>4334</v>
      </c>
      <c r="AI1349" t="s">
        <v>9</v>
      </c>
      <c r="AJ1349" t="s">
        <v>27</v>
      </c>
      <c r="AK1349" t="s">
        <v>4333</v>
      </c>
      <c r="AL1349" t="s">
        <v>4332</v>
      </c>
    </row>
    <row r="1350" spans="5:38" x14ac:dyDescent="0.25">
      <c r="I1350" t="str">
        <f t="shared" si="113"/>
        <v>pulstar</v>
      </c>
      <c r="J1350" t="str">
        <f t="shared" si="114"/>
        <v/>
      </c>
      <c r="L1350" t="str">
        <f t="shared" si="112"/>
        <v>NGM-089 (MVS), NGH-089 (AES)</v>
      </c>
      <c r="M1350" t="str">
        <f t="shared" si="112"/>
        <v>19950828 (MVS), 19950929 (AES)</v>
      </c>
      <c r="N1350" t="str">
        <f t="shared" si="112"/>
        <v>パルスター</v>
      </c>
      <c r="O1350" t="str">
        <f t="shared" si="112"/>
        <v/>
      </c>
      <c r="P1350" t="str">
        <f t="shared" si="112"/>
        <v/>
      </c>
      <c r="T1350" t="str">
        <f t="shared" si="115"/>
        <v/>
      </c>
      <c r="V1350" t="str">
        <f t="shared" si="111"/>
        <v>MVS,AES</v>
      </c>
      <c r="W1350" t="str">
        <f t="shared" si="111"/>
        <v>MVS,AES</v>
      </c>
      <c r="AB1350" t="s">
        <v>24</v>
      </c>
      <c r="AE1350" t="s">
        <v>57</v>
      </c>
      <c r="AH1350" t="s">
        <v>4331</v>
      </c>
      <c r="AI1350" t="s">
        <v>9</v>
      </c>
      <c r="AJ1350" t="s">
        <v>11</v>
      </c>
      <c r="AK1350" t="s">
        <v>4330</v>
      </c>
      <c r="AL1350" t="s">
        <v>4329</v>
      </c>
    </row>
    <row r="1351" spans="5:38" x14ac:dyDescent="0.25">
      <c r="I1351" t="str">
        <f t="shared" si="113"/>
        <v>pulstar</v>
      </c>
      <c r="J1351" t="str">
        <f t="shared" si="114"/>
        <v/>
      </c>
      <c r="L1351" t="str">
        <f t="shared" si="112"/>
        <v>NGM-089 (MVS), NGH-089 (AES)</v>
      </c>
      <c r="M1351" t="str">
        <f t="shared" si="112"/>
        <v>19950828 (MVS), 19950929 (AES)</v>
      </c>
      <c r="N1351" t="str">
        <f t="shared" si="112"/>
        <v>パルスター</v>
      </c>
      <c r="O1351" t="str">
        <f t="shared" si="112"/>
        <v/>
      </c>
      <c r="P1351" t="str">
        <f t="shared" si="112"/>
        <v/>
      </c>
      <c r="T1351" t="str">
        <f t="shared" si="115"/>
        <v/>
      </c>
      <c r="V1351" t="str">
        <f t="shared" si="111"/>
        <v>MVS,AES</v>
      </c>
      <c r="W1351" t="str">
        <f t="shared" si="111"/>
        <v>MVS,AES</v>
      </c>
      <c r="AH1351" t="s">
        <v>4328</v>
      </c>
      <c r="AI1351" t="s">
        <v>11</v>
      </c>
      <c r="AJ1351" t="s">
        <v>11</v>
      </c>
      <c r="AK1351" t="s">
        <v>4327</v>
      </c>
      <c r="AL1351" t="s">
        <v>4326</v>
      </c>
    </row>
    <row r="1352" spans="5:38" x14ac:dyDescent="0.25">
      <c r="I1352" t="str">
        <f t="shared" si="113"/>
        <v>pulstar</v>
      </c>
      <c r="J1352" t="str">
        <f t="shared" si="114"/>
        <v/>
      </c>
      <c r="L1352" t="str">
        <f t="shared" si="112"/>
        <v>NGM-089 (MVS), NGH-089 (AES)</v>
      </c>
      <c r="M1352" t="str">
        <f t="shared" si="112"/>
        <v>19950828 (MVS), 19950929 (AES)</v>
      </c>
      <c r="N1352" t="str">
        <f t="shared" si="112"/>
        <v>パルスター</v>
      </c>
      <c r="O1352" t="str">
        <f t="shared" si="112"/>
        <v/>
      </c>
      <c r="P1352" t="str">
        <f t="shared" si="112"/>
        <v/>
      </c>
      <c r="T1352" t="str">
        <f t="shared" si="115"/>
        <v/>
      </c>
      <c r="V1352" t="str">
        <f t="shared" si="111"/>
        <v>MVS,AES</v>
      </c>
      <c r="W1352" t="str">
        <f t="shared" si="111"/>
        <v>MVS,AES</v>
      </c>
      <c r="AB1352" t="s">
        <v>12</v>
      </c>
      <c r="AE1352" t="s">
        <v>3588</v>
      </c>
      <c r="AG1352" t="s">
        <v>6</v>
      </c>
      <c r="AH1352" t="s">
        <v>4325</v>
      </c>
      <c r="AI1352" t="s">
        <v>9</v>
      </c>
      <c r="AJ1352" t="s">
        <v>11</v>
      </c>
      <c r="AK1352" t="s">
        <v>4324</v>
      </c>
      <c r="AL1352" t="s">
        <v>4323</v>
      </c>
    </row>
    <row r="1353" spans="5:38" x14ac:dyDescent="0.25">
      <c r="I1353" t="str">
        <f t="shared" si="113"/>
        <v>pulstar</v>
      </c>
      <c r="J1353" t="str">
        <f t="shared" si="114"/>
        <v/>
      </c>
      <c r="L1353" t="str">
        <f t="shared" si="112"/>
        <v>NGM-089 (MVS), NGH-089 (AES)</v>
      </c>
      <c r="M1353" t="str">
        <f t="shared" si="112"/>
        <v>19950828 (MVS), 19950929 (AES)</v>
      </c>
      <c r="N1353" t="str">
        <f t="shared" si="112"/>
        <v>パルスター</v>
      </c>
      <c r="O1353" t="str">
        <f t="shared" si="112"/>
        <v/>
      </c>
      <c r="P1353" t="str">
        <f t="shared" si="112"/>
        <v/>
      </c>
      <c r="T1353" t="str">
        <f t="shared" si="115"/>
        <v/>
      </c>
      <c r="V1353" t="str">
        <f t="shared" si="111"/>
        <v>MVS,AES</v>
      </c>
      <c r="W1353" t="str">
        <f t="shared" si="111"/>
        <v>MVS,AES</v>
      </c>
      <c r="AG1353" t="s">
        <v>6</v>
      </c>
      <c r="AH1353" t="s">
        <v>4322</v>
      </c>
      <c r="AI1353" t="s">
        <v>4</v>
      </c>
      <c r="AJ1353" t="s">
        <v>11</v>
      </c>
      <c r="AK1353" t="s">
        <v>4321</v>
      </c>
      <c r="AL1353" t="s">
        <v>4320</v>
      </c>
    </row>
    <row r="1354" spans="5:38" x14ac:dyDescent="0.25">
      <c r="I1354" t="str">
        <f t="shared" si="113"/>
        <v>pulstar</v>
      </c>
      <c r="J1354" t="str">
        <f t="shared" si="114"/>
        <v/>
      </c>
      <c r="L1354" t="str">
        <f t="shared" si="112"/>
        <v>NGM-089 (MVS), NGH-089 (AES)</v>
      </c>
      <c r="M1354" t="str">
        <f t="shared" si="112"/>
        <v>19950828 (MVS), 19950929 (AES)</v>
      </c>
      <c r="N1354" t="str">
        <f t="shared" si="112"/>
        <v>パルスター</v>
      </c>
      <c r="O1354" t="str">
        <f t="shared" si="112"/>
        <v/>
      </c>
      <c r="P1354" t="str">
        <f t="shared" si="112"/>
        <v/>
      </c>
      <c r="T1354" t="str">
        <f t="shared" si="115"/>
        <v/>
      </c>
      <c r="V1354" t="str">
        <f t="shared" si="111"/>
        <v>MVS,AES</v>
      </c>
      <c r="W1354" t="str">
        <f t="shared" si="111"/>
        <v>MVS,AES</v>
      </c>
      <c r="AG1354" t="s">
        <v>6</v>
      </c>
      <c r="AH1354" t="s">
        <v>4319</v>
      </c>
      <c r="AI1354" t="s">
        <v>57</v>
      </c>
      <c r="AJ1354" t="s">
        <v>11</v>
      </c>
      <c r="AK1354" t="s">
        <v>4318</v>
      </c>
      <c r="AL1354" t="s">
        <v>4317</v>
      </c>
    </row>
    <row r="1355" spans="5:38" x14ac:dyDescent="0.25">
      <c r="I1355" t="str">
        <f t="shared" si="113"/>
        <v>pulstar</v>
      </c>
      <c r="J1355" t="str">
        <f t="shared" si="114"/>
        <v/>
      </c>
      <c r="L1355" t="str">
        <f t="shared" si="112"/>
        <v>NGM-089 (MVS), NGH-089 (AES)</v>
      </c>
      <c r="M1355" t="str">
        <f t="shared" si="112"/>
        <v>19950828 (MVS), 19950929 (AES)</v>
      </c>
      <c r="N1355" t="str">
        <f t="shared" si="112"/>
        <v>パルスター</v>
      </c>
      <c r="O1355" t="str">
        <f t="shared" si="112"/>
        <v/>
      </c>
      <c r="P1355" t="str">
        <f t="shared" si="112"/>
        <v/>
      </c>
      <c r="T1355" t="str">
        <f t="shared" si="115"/>
        <v/>
      </c>
      <c r="V1355" t="str">
        <f t="shared" si="111"/>
        <v>MVS,AES</v>
      </c>
      <c r="W1355" t="str">
        <f t="shared" si="111"/>
        <v>MVS,AES</v>
      </c>
      <c r="AG1355" t="s">
        <v>6</v>
      </c>
      <c r="AH1355" t="s">
        <v>4316</v>
      </c>
      <c r="AI1355" t="s">
        <v>53</v>
      </c>
      <c r="AJ1355" t="s">
        <v>11</v>
      </c>
      <c r="AK1355" t="s">
        <v>4315</v>
      </c>
      <c r="AL1355" t="s">
        <v>4314</v>
      </c>
    </row>
    <row r="1356" spans="5:38" x14ac:dyDescent="0.25">
      <c r="I1356" t="str">
        <f t="shared" si="113"/>
        <v>pulstar</v>
      </c>
      <c r="J1356" t="str">
        <f t="shared" si="114"/>
        <v/>
      </c>
      <c r="L1356" t="str">
        <f t="shared" si="112"/>
        <v>NGM-089 (MVS), NGH-089 (AES)</v>
      </c>
      <c r="M1356" t="str">
        <f t="shared" si="112"/>
        <v>19950828 (MVS), 19950929 (AES)</v>
      </c>
      <c r="N1356" t="str">
        <f t="shared" si="112"/>
        <v>パルスター</v>
      </c>
      <c r="O1356" t="str">
        <f t="shared" si="112"/>
        <v/>
      </c>
      <c r="P1356" t="str">
        <f t="shared" si="112"/>
        <v/>
      </c>
      <c r="T1356" t="str">
        <f t="shared" si="115"/>
        <v/>
      </c>
      <c r="V1356" t="str">
        <f t="shared" si="111"/>
        <v>MVS,AES</v>
      </c>
      <c r="W1356" t="str">
        <f t="shared" si="111"/>
        <v>MVS,AES</v>
      </c>
      <c r="AG1356" t="s">
        <v>6</v>
      </c>
      <c r="AH1356" t="s">
        <v>4313</v>
      </c>
      <c r="AI1356" t="s">
        <v>65</v>
      </c>
      <c r="AJ1356" t="s">
        <v>11</v>
      </c>
      <c r="AK1356" t="s">
        <v>4312</v>
      </c>
      <c r="AL1356" t="s">
        <v>4311</v>
      </c>
    </row>
    <row r="1357" spans="5:38" x14ac:dyDescent="0.25">
      <c r="I1357" t="str">
        <f t="shared" si="113"/>
        <v>pulstar</v>
      </c>
      <c r="J1357" t="str">
        <f t="shared" si="114"/>
        <v/>
      </c>
      <c r="L1357" t="str">
        <f t="shared" si="112"/>
        <v>NGM-089 (MVS), NGH-089 (AES)</v>
      </c>
      <c r="M1357" t="str">
        <f t="shared" si="112"/>
        <v>19950828 (MVS), 19950929 (AES)</v>
      </c>
      <c r="N1357" t="str">
        <f t="shared" si="112"/>
        <v>パルスター</v>
      </c>
      <c r="O1357" t="str">
        <f t="shared" si="112"/>
        <v/>
      </c>
      <c r="P1357" t="str">
        <f t="shared" si="112"/>
        <v/>
      </c>
      <c r="T1357" t="str">
        <f t="shared" si="115"/>
        <v/>
      </c>
      <c r="V1357" t="str">
        <f t="shared" si="111"/>
        <v>MVS,AES</v>
      </c>
      <c r="W1357" t="str">
        <f t="shared" si="111"/>
        <v>MVS,AES</v>
      </c>
      <c r="AG1357" t="s">
        <v>6</v>
      </c>
      <c r="AH1357" t="s">
        <v>4310</v>
      </c>
      <c r="AI1357" t="s">
        <v>164</v>
      </c>
      <c r="AJ1357" t="s">
        <v>11</v>
      </c>
      <c r="AK1357" t="s">
        <v>4309</v>
      </c>
      <c r="AL1357" t="s">
        <v>4308</v>
      </c>
    </row>
    <row r="1358" spans="5:38" x14ac:dyDescent="0.25">
      <c r="I1358" t="str">
        <f t="shared" si="113"/>
        <v>pulstar</v>
      </c>
      <c r="J1358" t="str">
        <f t="shared" si="114"/>
        <v/>
      </c>
      <c r="L1358" t="str">
        <f t="shared" si="112"/>
        <v>NGM-089 (MVS), NGH-089 (AES)</v>
      </c>
      <c r="M1358" t="str">
        <f t="shared" si="112"/>
        <v>19950828 (MVS), 19950929 (AES)</v>
      </c>
      <c r="N1358" t="str">
        <f t="shared" si="112"/>
        <v>パルスター</v>
      </c>
      <c r="O1358" t="str">
        <f t="shared" si="112"/>
        <v/>
      </c>
      <c r="P1358" t="str">
        <f t="shared" si="112"/>
        <v/>
      </c>
      <c r="T1358" t="str">
        <f t="shared" si="115"/>
        <v/>
      </c>
      <c r="V1358" t="str">
        <f t="shared" si="111"/>
        <v>MVS,AES</v>
      </c>
      <c r="W1358" t="str">
        <f t="shared" si="111"/>
        <v>MVS,AES</v>
      </c>
      <c r="AG1358" t="s">
        <v>6</v>
      </c>
      <c r="AH1358" t="s">
        <v>4307</v>
      </c>
      <c r="AI1358" t="s">
        <v>634</v>
      </c>
      <c r="AJ1358" t="s">
        <v>3</v>
      </c>
      <c r="AK1358" t="s">
        <v>4306</v>
      </c>
      <c r="AL1358" t="s">
        <v>4305</v>
      </c>
    </row>
    <row r="1359" spans="5:38" x14ac:dyDescent="0.25">
      <c r="I1359" t="str">
        <f t="shared" si="113"/>
        <v>pulstar</v>
      </c>
      <c r="J1359" t="str">
        <f t="shared" si="114"/>
        <v/>
      </c>
      <c r="L1359" t="str">
        <f t="shared" si="112"/>
        <v>NGM-089 (MVS), NGH-089 (AES)</v>
      </c>
      <c r="M1359" t="str">
        <f t="shared" si="112"/>
        <v>19950828 (MVS), 19950929 (AES)</v>
      </c>
      <c r="N1359" t="str">
        <f t="shared" si="112"/>
        <v>パルスター</v>
      </c>
      <c r="O1359" t="str">
        <f t="shared" si="112"/>
        <v/>
      </c>
      <c r="P1359" t="str">
        <f t="shared" si="112"/>
        <v/>
      </c>
      <c r="T1359" t="str">
        <f t="shared" si="115"/>
        <v/>
      </c>
      <c r="V1359" t="str">
        <f t="shared" si="111"/>
        <v>MVS,AES</v>
      </c>
      <c r="W1359" t="str">
        <f t="shared" si="111"/>
        <v>MVS,AES</v>
      </c>
      <c r="AG1359" t="s">
        <v>6</v>
      </c>
      <c r="AH1359" t="s">
        <v>4304</v>
      </c>
      <c r="AI1359" t="s">
        <v>630</v>
      </c>
      <c r="AJ1359" t="s">
        <v>3</v>
      </c>
      <c r="AK1359" t="s">
        <v>4303</v>
      </c>
      <c r="AL1359" t="s">
        <v>4302</v>
      </c>
    </row>
    <row r="1360" spans="5:38" x14ac:dyDescent="0.25">
      <c r="E1360" t="s">
        <v>4301</v>
      </c>
      <c r="F1360" t="s">
        <v>4300</v>
      </c>
      <c r="G1360" t="s">
        <v>1239</v>
      </c>
      <c r="H1360" t="s">
        <v>3275</v>
      </c>
      <c r="I1360" t="str">
        <f t="shared" si="113"/>
        <v>whp</v>
      </c>
      <c r="J1360" t="str">
        <f t="shared" si="114"/>
        <v>whpserial</v>
      </c>
      <c r="K1360" t="s">
        <v>1373</v>
      </c>
      <c r="L1360" t="str">
        <f t="shared" si="112"/>
        <v>NGM-090 (MVS), NGH-090 (AES)</v>
      </c>
      <c r="M1360" t="str">
        <f t="shared" si="112"/>
        <v>19950525 (MVS), 19950630 (AES)</v>
      </c>
      <c r="N1360" t="str">
        <f t="shared" si="112"/>
        <v>ワールドヒーローズ パーフェクト</v>
      </c>
      <c r="O1360" t="str">
        <f t="shared" si="112"/>
        <v/>
      </c>
      <c r="P1360" t="str">
        <f t="shared" si="112"/>
        <v/>
      </c>
      <c r="Q1360" t="s">
        <v>4299</v>
      </c>
      <c r="S1360" t="s">
        <v>46</v>
      </c>
      <c r="T1360" t="str">
        <f t="shared" si="115"/>
        <v>whprelease</v>
      </c>
      <c r="U1360" t="s">
        <v>218</v>
      </c>
      <c r="V1360" t="str">
        <f t="shared" si="111"/>
        <v>MVS,AES</v>
      </c>
      <c r="W1360" t="str">
        <f t="shared" si="111"/>
        <v>MVS,AES</v>
      </c>
      <c r="Y1360" t="s">
        <v>45</v>
      </c>
      <c r="Z1360" t="s">
        <v>44</v>
      </c>
      <c r="AB1360" t="s">
        <v>43</v>
      </c>
      <c r="AC1360" t="s">
        <v>42</v>
      </c>
      <c r="AD1360" t="s">
        <v>41</v>
      </c>
      <c r="AE1360" t="s">
        <v>3</v>
      </c>
      <c r="AG1360" t="s">
        <v>40</v>
      </c>
      <c r="AH1360" t="s">
        <v>4298</v>
      </c>
      <c r="AI1360" t="s">
        <v>15</v>
      </c>
      <c r="AJ1360" t="s">
        <v>15</v>
      </c>
      <c r="AK1360" t="s">
        <v>4297</v>
      </c>
      <c r="AL1360" t="s">
        <v>4296</v>
      </c>
    </row>
    <row r="1361" spans="5:38" x14ac:dyDescent="0.25">
      <c r="I1361" t="str">
        <f t="shared" si="113"/>
        <v>whp</v>
      </c>
      <c r="J1361" t="str">
        <f t="shared" si="114"/>
        <v>whprelease</v>
      </c>
      <c r="K1361" t="s">
        <v>46</v>
      </c>
      <c r="L1361" t="str">
        <f t="shared" si="112"/>
        <v>NGM-090 (MVS), NGH-090 (AES)</v>
      </c>
      <c r="M1361" t="str">
        <f t="shared" si="112"/>
        <v>19950525 (MVS), 19950630 (AES)</v>
      </c>
      <c r="N1361" t="str">
        <f t="shared" si="112"/>
        <v>ワールドヒーローズ パーフェクト</v>
      </c>
      <c r="O1361" t="str">
        <f t="shared" si="112"/>
        <v/>
      </c>
      <c r="P1361" t="str">
        <f t="shared" si="112"/>
        <v/>
      </c>
      <c r="Q1361" t="s">
        <v>4295</v>
      </c>
      <c r="T1361" t="str">
        <f t="shared" si="115"/>
        <v/>
      </c>
      <c r="V1361" t="str">
        <f t="shared" si="111"/>
        <v>MVS,AES</v>
      </c>
      <c r="W1361" t="str">
        <f t="shared" si="111"/>
        <v>MVS,AES</v>
      </c>
      <c r="AG1361" t="s">
        <v>224</v>
      </c>
      <c r="AI1361" t="s">
        <v>9</v>
      </c>
      <c r="AJ1361" t="s">
        <v>15</v>
      </c>
    </row>
    <row r="1362" spans="5:38" x14ac:dyDescent="0.25">
      <c r="I1362" t="str">
        <f t="shared" si="113"/>
        <v>whp</v>
      </c>
      <c r="J1362" t="str">
        <f t="shared" si="114"/>
        <v>whpalt_title</v>
      </c>
      <c r="K1362" t="s">
        <v>1218</v>
      </c>
      <c r="L1362" t="str">
        <f t="shared" si="112"/>
        <v>NGM-090 (MVS), NGH-090 (AES)</v>
      </c>
      <c r="M1362" t="str">
        <f t="shared" si="112"/>
        <v>19950525 (MVS), 19950630 (AES)</v>
      </c>
      <c r="N1362" t="str">
        <f t="shared" si="112"/>
        <v>ワールドヒーローズ パーフェクト</v>
      </c>
      <c r="O1362" t="str">
        <f t="shared" si="112"/>
        <v/>
      </c>
      <c r="P1362" t="str">
        <f t="shared" si="112"/>
        <v/>
      </c>
      <c r="Q1362" t="s">
        <v>4294</v>
      </c>
      <c r="T1362" t="str">
        <f t="shared" si="115"/>
        <v/>
      </c>
      <c r="V1362" t="str">
        <f t="shared" si="111"/>
        <v>MVS,AES</v>
      </c>
      <c r="W1362" t="str">
        <f t="shared" si="111"/>
        <v>MVS,AES</v>
      </c>
      <c r="AB1362" t="s">
        <v>34</v>
      </c>
      <c r="AE1362" t="s">
        <v>33</v>
      </c>
      <c r="AH1362" t="s">
        <v>4293</v>
      </c>
      <c r="AI1362" t="s">
        <v>9</v>
      </c>
      <c r="AJ1362" t="s">
        <v>27</v>
      </c>
      <c r="AK1362" t="s">
        <v>4292</v>
      </c>
      <c r="AL1362" t="s">
        <v>4291</v>
      </c>
    </row>
    <row r="1363" spans="5:38" x14ac:dyDescent="0.25">
      <c r="I1363" t="str">
        <f t="shared" si="113"/>
        <v>whp</v>
      </c>
      <c r="J1363" t="str">
        <f t="shared" si="114"/>
        <v/>
      </c>
      <c r="L1363" t="str">
        <f t="shared" si="112"/>
        <v>NGM-090 (MVS), NGH-090 (AES)</v>
      </c>
      <c r="M1363" t="str">
        <f t="shared" si="112"/>
        <v>19950525 (MVS), 19950630 (AES)</v>
      </c>
      <c r="N1363" t="str">
        <f t="shared" si="112"/>
        <v>ワールドヒーローズ パーフェクト</v>
      </c>
      <c r="O1363" t="str">
        <f t="shared" si="112"/>
        <v/>
      </c>
      <c r="P1363" t="str">
        <f t="shared" si="112"/>
        <v/>
      </c>
      <c r="S1363" t="s">
        <v>36</v>
      </c>
      <c r="T1363" t="str">
        <f t="shared" si="115"/>
        <v>whpcompatibility</v>
      </c>
      <c r="U1363" t="s">
        <v>218</v>
      </c>
      <c r="V1363" t="str">
        <f t="shared" si="111"/>
        <v>MVS,AES</v>
      </c>
      <c r="W1363" t="str">
        <f t="shared" si="111"/>
        <v>MVS,AES</v>
      </c>
      <c r="AB1363" t="s">
        <v>29</v>
      </c>
      <c r="AE1363" t="s">
        <v>27</v>
      </c>
      <c r="AH1363" t="s">
        <v>4290</v>
      </c>
      <c r="AI1363" t="s">
        <v>9</v>
      </c>
      <c r="AJ1363" t="s">
        <v>27</v>
      </c>
      <c r="AK1363" t="s">
        <v>4289</v>
      </c>
      <c r="AL1363" t="s">
        <v>4288</v>
      </c>
    </row>
    <row r="1364" spans="5:38" x14ac:dyDescent="0.25">
      <c r="I1364" t="str">
        <f t="shared" si="113"/>
        <v>whp</v>
      </c>
      <c r="J1364" t="str">
        <f t="shared" si="114"/>
        <v/>
      </c>
      <c r="L1364" t="str">
        <f t="shared" si="112"/>
        <v>NGM-090 (MVS), NGH-090 (AES)</v>
      </c>
      <c r="M1364" t="str">
        <f t="shared" si="112"/>
        <v>19950525 (MVS), 19950630 (AES)</v>
      </c>
      <c r="N1364" t="str">
        <f t="shared" si="112"/>
        <v>ワールドヒーローズ パーフェクト</v>
      </c>
      <c r="O1364" t="str">
        <f t="shared" si="112"/>
        <v/>
      </c>
      <c r="P1364" t="str">
        <f t="shared" si="112"/>
        <v/>
      </c>
      <c r="T1364" t="str">
        <f t="shared" si="115"/>
        <v/>
      </c>
      <c r="V1364" t="str">
        <f t="shared" si="111"/>
        <v>MVS,AES</v>
      </c>
      <c r="W1364" t="str">
        <f t="shared" si="111"/>
        <v>MVS,AES</v>
      </c>
      <c r="AB1364" t="s">
        <v>24</v>
      </c>
      <c r="AE1364" t="s">
        <v>75</v>
      </c>
      <c r="AH1364" t="s">
        <v>4287</v>
      </c>
      <c r="AI1364" t="s">
        <v>9</v>
      </c>
      <c r="AJ1364" t="s">
        <v>3</v>
      </c>
      <c r="AK1364" t="s">
        <v>4286</v>
      </c>
      <c r="AL1364" t="s">
        <v>4285</v>
      </c>
    </row>
    <row r="1365" spans="5:38" x14ac:dyDescent="0.25">
      <c r="I1365" t="str">
        <f t="shared" si="113"/>
        <v>whp</v>
      </c>
      <c r="J1365" t="str">
        <f t="shared" si="114"/>
        <v/>
      </c>
      <c r="L1365" t="str">
        <f t="shared" si="112"/>
        <v>NGM-090 (MVS), NGH-090 (AES)</v>
      </c>
      <c r="M1365" t="str">
        <f t="shared" si="112"/>
        <v>19950525 (MVS), 19950630 (AES)</v>
      </c>
      <c r="N1365" t="str">
        <f t="shared" si="112"/>
        <v>ワールドヒーローズ パーフェクト</v>
      </c>
      <c r="O1365" t="str">
        <f t="shared" si="112"/>
        <v/>
      </c>
      <c r="P1365" t="str">
        <f t="shared" si="112"/>
        <v/>
      </c>
      <c r="T1365" t="str">
        <f t="shared" si="115"/>
        <v/>
      </c>
      <c r="V1365" t="str">
        <f t="shared" si="111"/>
        <v>MVS,AES</v>
      </c>
      <c r="W1365" t="str">
        <f t="shared" si="111"/>
        <v>MVS,AES</v>
      </c>
      <c r="AH1365" t="s">
        <v>4284</v>
      </c>
      <c r="AI1365" t="s">
        <v>3</v>
      </c>
      <c r="AJ1365" t="s">
        <v>3</v>
      </c>
      <c r="AK1365" t="s">
        <v>4283</v>
      </c>
      <c r="AL1365" t="s">
        <v>4282</v>
      </c>
    </row>
    <row r="1366" spans="5:38" x14ac:dyDescent="0.25">
      <c r="I1366" t="str">
        <f t="shared" si="113"/>
        <v>whp</v>
      </c>
      <c r="J1366" t="str">
        <f t="shared" si="114"/>
        <v/>
      </c>
      <c r="L1366" t="str">
        <f t="shared" si="112"/>
        <v>NGM-090 (MVS), NGH-090 (AES)</v>
      </c>
      <c r="M1366" t="str">
        <f t="shared" si="112"/>
        <v>19950525 (MVS), 19950630 (AES)</v>
      </c>
      <c r="N1366" t="str">
        <f t="shared" si="112"/>
        <v>ワールドヒーローズ パーフェクト</v>
      </c>
      <c r="O1366" t="str">
        <f t="shared" si="112"/>
        <v/>
      </c>
      <c r="P1366" t="str">
        <f t="shared" si="112"/>
        <v/>
      </c>
      <c r="T1366" t="str">
        <f t="shared" si="115"/>
        <v/>
      </c>
      <c r="V1366" t="str">
        <f t="shared" si="111"/>
        <v>MVS,AES</v>
      </c>
      <c r="W1366" t="str">
        <f t="shared" si="111"/>
        <v>MVS,AES</v>
      </c>
      <c r="AH1366" t="s">
        <v>4281</v>
      </c>
      <c r="AI1366" t="s">
        <v>11</v>
      </c>
      <c r="AJ1366" t="s">
        <v>3</v>
      </c>
      <c r="AK1366" t="s">
        <v>4280</v>
      </c>
      <c r="AL1366" t="s">
        <v>4279</v>
      </c>
    </row>
    <row r="1367" spans="5:38" x14ac:dyDescent="0.25">
      <c r="I1367" t="str">
        <f t="shared" si="113"/>
        <v>whp</v>
      </c>
      <c r="J1367" t="str">
        <f t="shared" si="114"/>
        <v/>
      </c>
      <c r="L1367" t="str">
        <f t="shared" si="112"/>
        <v>NGM-090 (MVS), NGH-090 (AES)</v>
      </c>
      <c r="M1367" t="str">
        <f t="shared" si="112"/>
        <v>19950525 (MVS), 19950630 (AES)</v>
      </c>
      <c r="N1367" t="str">
        <f t="shared" si="112"/>
        <v>ワールドヒーローズ パーフェクト</v>
      </c>
      <c r="O1367" t="str">
        <f t="shared" si="112"/>
        <v/>
      </c>
      <c r="P1367" t="str">
        <f t="shared" si="112"/>
        <v/>
      </c>
      <c r="T1367" t="str">
        <f t="shared" si="115"/>
        <v/>
      </c>
      <c r="V1367" t="str">
        <f t="shared" ref="V1367:W1430" si="116">IFERROR(VLOOKUP($I1367&amp;V$1,$T:$AA,2,0),"")</f>
        <v>MVS,AES</v>
      </c>
      <c r="W1367" t="str">
        <f t="shared" si="116"/>
        <v>MVS,AES</v>
      </c>
      <c r="AB1367" t="s">
        <v>12</v>
      </c>
      <c r="AE1367" t="s">
        <v>3588</v>
      </c>
      <c r="AG1367" t="s">
        <v>6</v>
      </c>
      <c r="AH1367" t="s">
        <v>4278</v>
      </c>
      <c r="AI1367" t="s">
        <v>9</v>
      </c>
      <c r="AJ1367" t="s">
        <v>11</v>
      </c>
      <c r="AK1367" t="s">
        <v>4277</v>
      </c>
      <c r="AL1367" t="s">
        <v>4276</v>
      </c>
    </row>
    <row r="1368" spans="5:38" x14ac:dyDescent="0.25">
      <c r="I1368" t="str">
        <f t="shared" si="113"/>
        <v>whp</v>
      </c>
      <c r="J1368" t="str">
        <f t="shared" si="114"/>
        <v/>
      </c>
      <c r="L1368" t="str">
        <f t="shared" si="112"/>
        <v>NGM-090 (MVS), NGH-090 (AES)</v>
      </c>
      <c r="M1368" t="str">
        <f t="shared" si="112"/>
        <v>19950525 (MVS), 19950630 (AES)</v>
      </c>
      <c r="N1368" t="str">
        <f t="shared" si="112"/>
        <v>ワールドヒーローズ パーフェクト</v>
      </c>
      <c r="O1368" t="str">
        <f t="shared" si="112"/>
        <v/>
      </c>
      <c r="P1368" t="str">
        <f t="shared" si="112"/>
        <v/>
      </c>
      <c r="T1368" t="str">
        <f t="shared" si="115"/>
        <v/>
      </c>
      <c r="V1368" t="str">
        <f t="shared" si="116"/>
        <v>MVS,AES</v>
      </c>
      <c r="W1368" t="str">
        <f t="shared" si="116"/>
        <v>MVS,AES</v>
      </c>
      <c r="AG1368" t="s">
        <v>6</v>
      </c>
      <c r="AH1368" t="s">
        <v>4275</v>
      </c>
      <c r="AI1368" t="s">
        <v>4</v>
      </c>
      <c r="AJ1368" t="s">
        <v>11</v>
      </c>
      <c r="AK1368" t="s">
        <v>4274</v>
      </c>
      <c r="AL1368" t="s">
        <v>4273</v>
      </c>
    </row>
    <row r="1369" spans="5:38" x14ac:dyDescent="0.25">
      <c r="I1369" t="str">
        <f t="shared" si="113"/>
        <v>whp</v>
      </c>
      <c r="J1369" t="str">
        <f t="shared" si="114"/>
        <v/>
      </c>
      <c r="L1369" t="str">
        <f t="shared" si="112"/>
        <v>NGM-090 (MVS), NGH-090 (AES)</v>
      </c>
      <c r="M1369" t="str">
        <f t="shared" si="112"/>
        <v>19950525 (MVS), 19950630 (AES)</v>
      </c>
      <c r="N1369" t="str">
        <f t="shared" si="112"/>
        <v>ワールドヒーローズ パーフェクト</v>
      </c>
      <c r="O1369" t="str">
        <f t="shared" si="112"/>
        <v/>
      </c>
      <c r="P1369" t="str">
        <f t="shared" si="112"/>
        <v/>
      </c>
      <c r="T1369" t="str">
        <f t="shared" si="115"/>
        <v/>
      </c>
      <c r="V1369" t="str">
        <f t="shared" si="116"/>
        <v>MVS,AES</v>
      </c>
      <c r="W1369" t="str">
        <f t="shared" si="116"/>
        <v>MVS,AES</v>
      </c>
      <c r="AG1369" t="s">
        <v>6</v>
      </c>
      <c r="AH1369" t="s">
        <v>4272</v>
      </c>
      <c r="AI1369" t="s">
        <v>57</v>
      </c>
      <c r="AJ1369" t="s">
        <v>3</v>
      </c>
      <c r="AK1369" t="s">
        <v>4271</v>
      </c>
      <c r="AL1369" t="s">
        <v>4270</v>
      </c>
    </row>
    <row r="1370" spans="5:38" x14ac:dyDescent="0.25">
      <c r="I1370" t="str">
        <f t="shared" si="113"/>
        <v>whp</v>
      </c>
      <c r="J1370" t="str">
        <f t="shared" si="114"/>
        <v/>
      </c>
      <c r="L1370" t="str">
        <f t="shared" si="112"/>
        <v>NGM-090 (MVS), NGH-090 (AES)</v>
      </c>
      <c r="M1370" t="str">
        <f t="shared" si="112"/>
        <v>19950525 (MVS), 19950630 (AES)</v>
      </c>
      <c r="N1370" t="str">
        <f t="shared" si="112"/>
        <v>ワールドヒーローズ パーフェクト</v>
      </c>
      <c r="O1370" t="str">
        <f t="shared" si="112"/>
        <v/>
      </c>
      <c r="P1370" t="str">
        <f t="shared" si="112"/>
        <v/>
      </c>
      <c r="T1370" t="str">
        <f t="shared" si="115"/>
        <v/>
      </c>
      <c r="V1370" t="str">
        <f t="shared" si="116"/>
        <v>MVS,AES</v>
      </c>
      <c r="W1370" t="str">
        <f t="shared" si="116"/>
        <v>MVS,AES</v>
      </c>
      <c r="AG1370" t="s">
        <v>6</v>
      </c>
      <c r="AH1370" t="s">
        <v>4269</v>
      </c>
      <c r="AI1370" t="s">
        <v>53</v>
      </c>
      <c r="AJ1370" t="s">
        <v>3</v>
      </c>
      <c r="AK1370" t="s">
        <v>4268</v>
      </c>
      <c r="AL1370" t="s">
        <v>4267</v>
      </c>
    </row>
    <row r="1371" spans="5:38" x14ac:dyDescent="0.25">
      <c r="I1371" t="str">
        <f t="shared" si="113"/>
        <v>whp</v>
      </c>
      <c r="J1371" t="str">
        <f t="shared" si="114"/>
        <v/>
      </c>
      <c r="L1371" t="str">
        <f t="shared" si="112"/>
        <v>NGM-090 (MVS), NGH-090 (AES)</v>
      </c>
      <c r="M1371" t="str">
        <f t="shared" si="112"/>
        <v>19950525 (MVS), 19950630 (AES)</v>
      </c>
      <c r="N1371" t="str">
        <f t="shared" si="112"/>
        <v>ワールドヒーローズ パーフェクト</v>
      </c>
      <c r="O1371" t="str">
        <f t="shared" si="112"/>
        <v/>
      </c>
      <c r="P1371" t="str">
        <f t="shared" si="112"/>
        <v/>
      </c>
      <c r="T1371" t="str">
        <f t="shared" si="115"/>
        <v/>
      </c>
      <c r="V1371" t="str">
        <f t="shared" si="116"/>
        <v>MVS,AES</v>
      </c>
      <c r="W1371" t="str">
        <f t="shared" si="116"/>
        <v>MVS,AES</v>
      </c>
      <c r="AG1371" t="s">
        <v>6</v>
      </c>
      <c r="AH1371" t="s">
        <v>4266</v>
      </c>
      <c r="AI1371" t="s">
        <v>65</v>
      </c>
      <c r="AJ1371" t="s">
        <v>3</v>
      </c>
      <c r="AK1371" t="s">
        <v>4265</v>
      </c>
      <c r="AL1371" t="s">
        <v>4264</v>
      </c>
    </row>
    <row r="1372" spans="5:38" x14ac:dyDescent="0.25">
      <c r="I1372" t="str">
        <f t="shared" si="113"/>
        <v>whp</v>
      </c>
      <c r="J1372" t="str">
        <f t="shared" si="114"/>
        <v/>
      </c>
      <c r="L1372" t="str">
        <f t="shared" si="112"/>
        <v>NGM-090 (MVS), NGH-090 (AES)</v>
      </c>
      <c r="M1372" t="str">
        <f t="shared" si="112"/>
        <v>19950525 (MVS), 19950630 (AES)</v>
      </c>
      <c r="N1372" t="str">
        <f t="shared" si="112"/>
        <v>ワールドヒーローズ パーフェクト</v>
      </c>
      <c r="O1372" t="str">
        <f t="shared" si="112"/>
        <v/>
      </c>
      <c r="P1372" t="str">
        <f t="shared" si="112"/>
        <v/>
      </c>
      <c r="T1372" t="str">
        <f t="shared" si="115"/>
        <v/>
      </c>
      <c r="V1372" t="str">
        <f t="shared" si="116"/>
        <v>MVS,AES</v>
      </c>
      <c r="W1372" t="str">
        <f t="shared" si="116"/>
        <v>MVS,AES</v>
      </c>
      <c r="AG1372" t="s">
        <v>6</v>
      </c>
      <c r="AH1372" t="s">
        <v>4263</v>
      </c>
      <c r="AI1372" t="s">
        <v>164</v>
      </c>
      <c r="AJ1372" t="s">
        <v>3</v>
      </c>
      <c r="AK1372" t="s">
        <v>4262</v>
      </c>
      <c r="AL1372" t="s">
        <v>4261</v>
      </c>
    </row>
    <row r="1373" spans="5:38" x14ac:dyDescent="0.25">
      <c r="I1373" t="str">
        <f t="shared" si="113"/>
        <v>whp</v>
      </c>
      <c r="J1373" t="str">
        <f t="shared" si="114"/>
        <v/>
      </c>
      <c r="L1373" t="str">
        <f t="shared" si="112"/>
        <v>NGM-090 (MVS), NGH-090 (AES)</v>
      </c>
      <c r="M1373" t="str">
        <f t="shared" si="112"/>
        <v>19950525 (MVS), 19950630 (AES)</v>
      </c>
      <c r="N1373" t="str">
        <f t="shared" si="112"/>
        <v>ワールドヒーローズ パーフェクト</v>
      </c>
      <c r="O1373" t="str">
        <f t="shared" si="112"/>
        <v/>
      </c>
      <c r="P1373" t="str">
        <f t="shared" si="112"/>
        <v/>
      </c>
      <c r="T1373" t="str">
        <f t="shared" si="115"/>
        <v/>
      </c>
      <c r="V1373" t="str">
        <f t="shared" si="116"/>
        <v>MVS,AES</v>
      </c>
      <c r="W1373" t="str">
        <f t="shared" si="116"/>
        <v>MVS,AES</v>
      </c>
      <c r="AG1373" t="s">
        <v>6</v>
      </c>
      <c r="AH1373" t="s">
        <v>4260</v>
      </c>
      <c r="AI1373" t="s">
        <v>634</v>
      </c>
      <c r="AJ1373" t="s">
        <v>3</v>
      </c>
      <c r="AK1373" t="s">
        <v>4259</v>
      </c>
      <c r="AL1373" t="s">
        <v>4258</v>
      </c>
    </row>
    <row r="1374" spans="5:38" x14ac:dyDescent="0.25">
      <c r="I1374" t="str">
        <f t="shared" si="113"/>
        <v>whp</v>
      </c>
      <c r="J1374" t="str">
        <f t="shared" si="114"/>
        <v/>
      </c>
      <c r="L1374" t="str">
        <f t="shared" si="112"/>
        <v>NGM-090 (MVS), NGH-090 (AES)</v>
      </c>
      <c r="M1374" t="str">
        <f t="shared" si="112"/>
        <v>19950525 (MVS), 19950630 (AES)</v>
      </c>
      <c r="N1374" t="str">
        <f t="shared" si="112"/>
        <v>ワールドヒーローズ パーフェクト</v>
      </c>
      <c r="O1374" t="str">
        <f t="shared" si="112"/>
        <v/>
      </c>
      <c r="P1374" t="str">
        <f t="shared" si="112"/>
        <v/>
      </c>
      <c r="T1374" t="str">
        <f t="shared" si="115"/>
        <v/>
      </c>
      <c r="V1374" t="str">
        <f t="shared" si="116"/>
        <v>MVS,AES</v>
      </c>
      <c r="W1374" t="str">
        <f t="shared" si="116"/>
        <v>MVS,AES</v>
      </c>
      <c r="AG1374" t="s">
        <v>6</v>
      </c>
      <c r="AH1374" t="s">
        <v>4257</v>
      </c>
      <c r="AI1374" t="s">
        <v>630</v>
      </c>
      <c r="AJ1374" t="s">
        <v>3</v>
      </c>
      <c r="AK1374" t="s">
        <v>4256</v>
      </c>
      <c r="AL1374" t="s">
        <v>4255</v>
      </c>
    </row>
    <row r="1375" spans="5:38" x14ac:dyDescent="0.25">
      <c r="E1375" t="s">
        <v>4254</v>
      </c>
      <c r="F1375" t="s">
        <v>4253</v>
      </c>
      <c r="G1375" t="s">
        <v>1239</v>
      </c>
      <c r="H1375" t="s">
        <v>4214</v>
      </c>
      <c r="I1375" t="str">
        <f t="shared" si="113"/>
        <v>kabukikl</v>
      </c>
      <c r="J1375" t="str">
        <f t="shared" si="114"/>
        <v>kabukiklserial</v>
      </c>
      <c r="K1375" t="s">
        <v>1373</v>
      </c>
      <c r="L1375" t="str">
        <f t="shared" si="112"/>
        <v>NGM-092 (MVS), NGH-092 (AES)</v>
      </c>
      <c r="M1375" t="str">
        <f t="shared" si="112"/>
        <v>19950620 (MVS), 19950728 (AES)</v>
      </c>
      <c r="N1375" t="str">
        <f t="shared" si="112"/>
        <v>天外魔境 真伝</v>
      </c>
      <c r="O1375" t="str">
        <f t="shared" si="112"/>
        <v/>
      </c>
      <c r="P1375" t="str">
        <f t="shared" si="112"/>
        <v/>
      </c>
      <c r="Q1375" t="s">
        <v>4252</v>
      </c>
      <c r="S1375" t="s">
        <v>46</v>
      </c>
      <c r="T1375" t="str">
        <f t="shared" si="115"/>
        <v>kabukiklrelease</v>
      </c>
      <c r="U1375" t="s">
        <v>218</v>
      </c>
      <c r="V1375" t="str">
        <f t="shared" si="116"/>
        <v>MVS,AES</v>
      </c>
      <c r="W1375" t="str">
        <f t="shared" si="116"/>
        <v>MVS,AES</v>
      </c>
      <c r="Y1375" t="s">
        <v>45</v>
      </c>
      <c r="Z1375" t="s">
        <v>44</v>
      </c>
      <c r="AB1375" t="s">
        <v>43</v>
      </c>
      <c r="AC1375" t="s">
        <v>42</v>
      </c>
      <c r="AD1375" t="s">
        <v>41</v>
      </c>
      <c r="AE1375" t="s">
        <v>3</v>
      </c>
      <c r="AG1375" t="s">
        <v>40</v>
      </c>
      <c r="AH1375" t="s">
        <v>4251</v>
      </c>
      <c r="AI1375" t="s">
        <v>15</v>
      </c>
      <c r="AJ1375" t="s">
        <v>15</v>
      </c>
      <c r="AK1375" t="s">
        <v>4250</v>
      </c>
      <c r="AL1375" t="s">
        <v>4249</v>
      </c>
    </row>
    <row r="1376" spans="5:38" x14ac:dyDescent="0.25">
      <c r="I1376" t="str">
        <f t="shared" si="113"/>
        <v>kabukikl</v>
      </c>
      <c r="J1376" t="str">
        <f t="shared" si="114"/>
        <v>kabukiklrelease</v>
      </c>
      <c r="K1376" t="s">
        <v>46</v>
      </c>
      <c r="L1376" t="str">
        <f t="shared" si="112"/>
        <v>NGM-092 (MVS), NGH-092 (AES)</v>
      </c>
      <c r="M1376" t="str">
        <f t="shared" si="112"/>
        <v>19950620 (MVS), 19950728 (AES)</v>
      </c>
      <c r="N1376" t="str">
        <f t="shared" si="112"/>
        <v>天外魔境 真伝</v>
      </c>
      <c r="O1376" t="str">
        <f t="shared" si="112"/>
        <v/>
      </c>
      <c r="P1376" t="str">
        <f t="shared" si="112"/>
        <v/>
      </c>
      <c r="Q1376" t="s">
        <v>4248</v>
      </c>
      <c r="T1376" t="str">
        <f t="shared" si="115"/>
        <v/>
      </c>
      <c r="V1376" t="str">
        <f t="shared" si="116"/>
        <v>MVS,AES</v>
      </c>
      <c r="W1376" t="str">
        <f t="shared" si="116"/>
        <v>MVS,AES</v>
      </c>
      <c r="AG1376" t="s">
        <v>224</v>
      </c>
      <c r="AI1376" t="s">
        <v>9</v>
      </c>
      <c r="AJ1376" t="s">
        <v>15</v>
      </c>
    </row>
    <row r="1377" spans="5:38" x14ac:dyDescent="0.25">
      <c r="I1377" t="str">
        <f t="shared" si="113"/>
        <v>kabukikl</v>
      </c>
      <c r="J1377" t="str">
        <f t="shared" si="114"/>
        <v>kabukiklalt_title</v>
      </c>
      <c r="K1377" t="s">
        <v>1218</v>
      </c>
      <c r="L1377" t="str">
        <f t="shared" si="112"/>
        <v>NGM-092 (MVS), NGH-092 (AES)</v>
      </c>
      <c r="M1377" t="str">
        <f t="shared" si="112"/>
        <v>19950620 (MVS), 19950728 (AES)</v>
      </c>
      <c r="N1377" t="str">
        <f t="shared" si="112"/>
        <v>天外魔境 真伝</v>
      </c>
      <c r="O1377" t="str">
        <f t="shared" si="112"/>
        <v/>
      </c>
      <c r="P1377" t="str">
        <f t="shared" si="112"/>
        <v/>
      </c>
      <c r="Q1377" t="s">
        <v>4247</v>
      </c>
      <c r="T1377" t="str">
        <f t="shared" si="115"/>
        <v/>
      </c>
      <c r="V1377" t="str">
        <f t="shared" si="116"/>
        <v>MVS,AES</v>
      </c>
      <c r="W1377" t="str">
        <f t="shared" si="116"/>
        <v>MVS,AES</v>
      </c>
      <c r="AB1377" t="s">
        <v>34</v>
      </c>
      <c r="AE1377" t="s">
        <v>33</v>
      </c>
      <c r="AH1377" t="s">
        <v>4246</v>
      </c>
      <c r="AI1377" t="s">
        <v>9</v>
      </c>
      <c r="AJ1377" t="s">
        <v>27</v>
      </c>
      <c r="AK1377" t="s">
        <v>4245</v>
      </c>
      <c r="AL1377" t="s">
        <v>4244</v>
      </c>
    </row>
    <row r="1378" spans="5:38" x14ac:dyDescent="0.25">
      <c r="I1378" t="str">
        <f t="shared" si="113"/>
        <v>kabukikl</v>
      </c>
      <c r="J1378" t="str">
        <f t="shared" si="114"/>
        <v/>
      </c>
      <c r="L1378" t="str">
        <f t="shared" si="112"/>
        <v>NGM-092 (MVS), NGH-092 (AES)</v>
      </c>
      <c r="M1378" t="str">
        <f t="shared" si="112"/>
        <v>19950620 (MVS), 19950728 (AES)</v>
      </c>
      <c r="N1378" t="str">
        <f t="shared" si="112"/>
        <v>天外魔境 真伝</v>
      </c>
      <c r="O1378" t="str">
        <f t="shared" si="112"/>
        <v/>
      </c>
      <c r="P1378" t="str">
        <f t="shared" si="112"/>
        <v/>
      </c>
      <c r="S1378" t="s">
        <v>36</v>
      </c>
      <c r="T1378" t="str">
        <f t="shared" si="115"/>
        <v>kabukiklcompatibility</v>
      </c>
      <c r="U1378" t="s">
        <v>218</v>
      </c>
      <c r="V1378" t="str">
        <f t="shared" si="116"/>
        <v>MVS,AES</v>
      </c>
      <c r="W1378" t="str">
        <f t="shared" si="116"/>
        <v>MVS,AES</v>
      </c>
      <c r="AB1378" t="s">
        <v>29</v>
      </c>
      <c r="AE1378" t="s">
        <v>27</v>
      </c>
      <c r="AH1378" t="s">
        <v>4243</v>
      </c>
      <c r="AI1378" t="s">
        <v>9</v>
      </c>
      <c r="AJ1378" t="s">
        <v>27</v>
      </c>
      <c r="AK1378" t="s">
        <v>4242</v>
      </c>
      <c r="AL1378" t="s">
        <v>4241</v>
      </c>
    </row>
    <row r="1379" spans="5:38" x14ac:dyDescent="0.25">
      <c r="I1379" t="str">
        <f t="shared" si="113"/>
        <v>kabukikl</v>
      </c>
      <c r="J1379" t="str">
        <f t="shared" si="114"/>
        <v/>
      </c>
      <c r="L1379" t="str">
        <f t="shared" si="112"/>
        <v>NGM-092 (MVS), NGH-092 (AES)</v>
      </c>
      <c r="M1379" t="str">
        <f t="shared" si="112"/>
        <v>19950620 (MVS), 19950728 (AES)</v>
      </c>
      <c r="N1379" t="str">
        <f t="shared" si="112"/>
        <v>天外魔境 真伝</v>
      </c>
      <c r="O1379" t="str">
        <f t="shared" si="112"/>
        <v/>
      </c>
      <c r="P1379" t="str">
        <f t="shared" si="112"/>
        <v/>
      </c>
      <c r="T1379" t="str">
        <f t="shared" si="115"/>
        <v/>
      </c>
      <c r="V1379" t="str">
        <f t="shared" si="116"/>
        <v>MVS,AES</v>
      </c>
      <c r="W1379" t="str">
        <f t="shared" si="116"/>
        <v>MVS,AES</v>
      </c>
      <c r="AB1379" t="s">
        <v>24</v>
      </c>
      <c r="AE1379" t="s">
        <v>211</v>
      </c>
      <c r="AH1379" t="s">
        <v>4240</v>
      </c>
      <c r="AI1379" t="s">
        <v>9</v>
      </c>
      <c r="AJ1379" t="s">
        <v>3</v>
      </c>
      <c r="AK1379" t="s">
        <v>4239</v>
      </c>
      <c r="AL1379" t="s">
        <v>4238</v>
      </c>
    </row>
    <row r="1380" spans="5:38" x14ac:dyDescent="0.25">
      <c r="I1380" t="str">
        <f t="shared" si="113"/>
        <v>kabukikl</v>
      </c>
      <c r="J1380" t="str">
        <f t="shared" si="114"/>
        <v/>
      </c>
      <c r="L1380" t="str">
        <f t="shared" si="112"/>
        <v>NGM-092 (MVS), NGH-092 (AES)</v>
      </c>
      <c r="M1380" t="str">
        <f t="shared" si="112"/>
        <v>19950620 (MVS), 19950728 (AES)</v>
      </c>
      <c r="N1380" t="str">
        <f t="shared" si="112"/>
        <v>天外魔境 真伝</v>
      </c>
      <c r="O1380" t="str">
        <f t="shared" si="112"/>
        <v/>
      </c>
      <c r="P1380" t="str">
        <f t="shared" si="112"/>
        <v/>
      </c>
      <c r="T1380" t="str">
        <f t="shared" si="115"/>
        <v/>
      </c>
      <c r="V1380" t="str">
        <f t="shared" si="116"/>
        <v>MVS,AES</v>
      </c>
      <c r="W1380" t="str">
        <f t="shared" si="116"/>
        <v>MVS,AES</v>
      </c>
      <c r="AH1380" t="s">
        <v>4237</v>
      </c>
      <c r="AI1380" t="s">
        <v>3</v>
      </c>
      <c r="AJ1380" t="s">
        <v>3</v>
      </c>
      <c r="AK1380" t="s">
        <v>4236</v>
      </c>
      <c r="AL1380" t="s">
        <v>4235</v>
      </c>
    </row>
    <row r="1381" spans="5:38" x14ac:dyDescent="0.25">
      <c r="I1381" t="str">
        <f t="shared" si="113"/>
        <v>kabukikl</v>
      </c>
      <c r="J1381" t="str">
        <f t="shared" si="114"/>
        <v/>
      </c>
      <c r="L1381" t="str">
        <f t="shared" si="112"/>
        <v>NGM-092 (MVS), NGH-092 (AES)</v>
      </c>
      <c r="M1381" t="str">
        <f t="shared" si="112"/>
        <v>19950620 (MVS), 19950728 (AES)</v>
      </c>
      <c r="N1381" t="str">
        <f t="shared" si="112"/>
        <v>天外魔境 真伝</v>
      </c>
      <c r="O1381" t="str">
        <f t="shared" si="112"/>
        <v/>
      </c>
      <c r="P1381" t="str">
        <f t="shared" si="112"/>
        <v/>
      </c>
      <c r="T1381" t="str">
        <f t="shared" si="115"/>
        <v/>
      </c>
      <c r="V1381" t="str">
        <f t="shared" si="116"/>
        <v>MVS,AES</v>
      </c>
      <c r="W1381" t="str">
        <f t="shared" si="116"/>
        <v>MVS,AES</v>
      </c>
      <c r="AH1381" t="s">
        <v>4234</v>
      </c>
      <c r="AI1381" t="s">
        <v>11</v>
      </c>
      <c r="AJ1381" t="s">
        <v>3</v>
      </c>
      <c r="AK1381" t="s">
        <v>4233</v>
      </c>
      <c r="AL1381" t="s">
        <v>4232</v>
      </c>
    </row>
    <row r="1382" spans="5:38" x14ac:dyDescent="0.25">
      <c r="I1382" t="str">
        <f t="shared" si="113"/>
        <v>kabukikl</v>
      </c>
      <c r="J1382" t="str">
        <f t="shared" si="114"/>
        <v/>
      </c>
      <c r="L1382" t="str">
        <f t="shared" si="112"/>
        <v>NGM-092 (MVS), NGH-092 (AES)</v>
      </c>
      <c r="M1382" t="str">
        <f t="shared" si="112"/>
        <v>19950620 (MVS), 19950728 (AES)</v>
      </c>
      <c r="N1382" t="str">
        <f t="shared" si="112"/>
        <v>天外魔境 真伝</v>
      </c>
      <c r="O1382" t="str">
        <f t="shared" si="112"/>
        <v/>
      </c>
      <c r="P1382" t="str">
        <f t="shared" si="112"/>
        <v/>
      </c>
      <c r="T1382" t="str">
        <f t="shared" si="115"/>
        <v/>
      </c>
      <c r="V1382" t="str">
        <f t="shared" si="116"/>
        <v>MVS,AES</v>
      </c>
      <c r="W1382" t="str">
        <f t="shared" si="116"/>
        <v>MVS,AES</v>
      </c>
      <c r="AH1382" t="s">
        <v>4231</v>
      </c>
      <c r="AI1382" t="s">
        <v>75</v>
      </c>
      <c r="AJ1382" t="s">
        <v>15</v>
      </c>
      <c r="AK1382" t="s">
        <v>4230</v>
      </c>
      <c r="AL1382" t="s">
        <v>4229</v>
      </c>
    </row>
    <row r="1383" spans="5:38" x14ac:dyDescent="0.25">
      <c r="I1383" t="str">
        <f t="shared" si="113"/>
        <v>kabukikl</v>
      </c>
      <c r="J1383" t="str">
        <f t="shared" si="114"/>
        <v/>
      </c>
      <c r="L1383" t="str">
        <f t="shared" si="112"/>
        <v>NGM-092 (MVS), NGH-092 (AES)</v>
      </c>
      <c r="M1383" t="str">
        <f t="shared" si="112"/>
        <v>19950620 (MVS), 19950728 (AES)</v>
      </c>
      <c r="N1383" t="str">
        <f t="shared" si="112"/>
        <v>天外魔境 真伝</v>
      </c>
      <c r="O1383" t="str">
        <f t="shared" si="112"/>
        <v/>
      </c>
      <c r="P1383" t="str">
        <f t="shared" si="112"/>
        <v/>
      </c>
      <c r="T1383" t="str">
        <f t="shared" si="115"/>
        <v/>
      </c>
      <c r="V1383" t="str">
        <f t="shared" si="116"/>
        <v>MVS,AES</v>
      </c>
      <c r="W1383" t="str">
        <f t="shared" si="116"/>
        <v>MVS,AES</v>
      </c>
      <c r="AB1383" t="s">
        <v>12</v>
      </c>
      <c r="AE1383" t="s">
        <v>65</v>
      </c>
      <c r="AG1383" t="s">
        <v>6</v>
      </c>
      <c r="AH1383" t="s">
        <v>4228</v>
      </c>
      <c r="AI1383" t="s">
        <v>9</v>
      </c>
      <c r="AJ1383" t="s">
        <v>11</v>
      </c>
      <c r="AK1383" t="s">
        <v>4227</v>
      </c>
      <c r="AL1383" t="s">
        <v>4226</v>
      </c>
    </row>
    <row r="1384" spans="5:38" x14ac:dyDescent="0.25">
      <c r="I1384" t="str">
        <f t="shared" si="113"/>
        <v>kabukikl</v>
      </c>
      <c r="J1384" t="str">
        <f t="shared" si="114"/>
        <v/>
      </c>
      <c r="L1384" t="str">
        <f t="shared" si="112"/>
        <v>NGM-092 (MVS), NGH-092 (AES)</v>
      </c>
      <c r="M1384" t="str">
        <f t="shared" si="112"/>
        <v>19950620 (MVS), 19950728 (AES)</v>
      </c>
      <c r="N1384" t="str">
        <f t="shared" si="112"/>
        <v>天外魔境 真伝</v>
      </c>
      <c r="O1384" t="str">
        <f t="shared" si="112"/>
        <v/>
      </c>
      <c r="P1384" t="str">
        <f t="shared" si="112"/>
        <v/>
      </c>
      <c r="T1384" t="str">
        <f t="shared" si="115"/>
        <v/>
      </c>
      <c r="V1384" t="str">
        <f t="shared" si="116"/>
        <v>MVS,AES</v>
      </c>
      <c r="W1384" t="str">
        <f t="shared" si="116"/>
        <v>MVS,AES</v>
      </c>
      <c r="AG1384" t="s">
        <v>6</v>
      </c>
      <c r="AH1384" t="s">
        <v>4225</v>
      </c>
      <c r="AI1384" t="s">
        <v>4</v>
      </c>
      <c r="AJ1384" t="s">
        <v>11</v>
      </c>
      <c r="AK1384" t="s">
        <v>4224</v>
      </c>
      <c r="AL1384" t="s">
        <v>4223</v>
      </c>
    </row>
    <row r="1385" spans="5:38" x14ac:dyDescent="0.25">
      <c r="I1385" t="str">
        <f t="shared" si="113"/>
        <v>kabukikl</v>
      </c>
      <c r="J1385" t="str">
        <f t="shared" si="114"/>
        <v/>
      </c>
      <c r="L1385" t="str">
        <f t="shared" si="112"/>
        <v>NGM-092 (MVS), NGH-092 (AES)</v>
      </c>
      <c r="M1385" t="str">
        <f t="shared" si="112"/>
        <v>19950620 (MVS), 19950728 (AES)</v>
      </c>
      <c r="N1385" t="str">
        <f t="shared" si="112"/>
        <v>天外魔境 真伝</v>
      </c>
      <c r="O1385" t="str">
        <f t="shared" si="112"/>
        <v/>
      </c>
      <c r="P1385" t="str">
        <f t="shared" si="112"/>
        <v/>
      </c>
      <c r="T1385" t="str">
        <f t="shared" si="115"/>
        <v/>
      </c>
      <c r="V1385" t="str">
        <f t="shared" si="116"/>
        <v>MVS,AES</v>
      </c>
      <c r="W1385" t="str">
        <f t="shared" si="116"/>
        <v>MVS,AES</v>
      </c>
      <c r="AG1385" t="s">
        <v>6</v>
      </c>
      <c r="AH1385" t="s">
        <v>4222</v>
      </c>
      <c r="AI1385" t="s">
        <v>57</v>
      </c>
      <c r="AJ1385" t="s">
        <v>11</v>
      </c>
      <c r="AK1385" t="s">
        <v>4221</v>
      </c>
      <c r="AL1385" t="s">
        <v>4220</v>
      </c>
    </row>
    <row r="1386" spans="5:38" x14ac:dyDescent="0.25">
      <c r="I1386" t="str">
        <f t="shared" si="113"/>
        <v>kabukikl</v>
      </c>
      <c r="J1386" t="str">
        <f t="shared" si="114"/>
        <v/>
      </c>
      <c r="L1386" t="str">
        <f t="shared" si="112"/>
        <v>NGM-092 (MVS), NGH-092 (AES)</v>
      </c>
      <c r="M1386" t="str">
        <f t="shared" si="112"/>
        <v>19950620 (MVS), 19950728 (AES)</v>
      </c>
      <c r="N1386" t="str">
        <f t="shared" si="112"/>
        <v>天外魔境 真伝</v>
      </c>
      <c r="O1386" t="str">
        <f t="shared" si="112"/>
        <v/>
      </c>
      <c r="P1386" t="str">
        <f t="shared" si="112"/>
        <v/>
      </c>
      <c r="T1386" t="str">
        <f t="shared" si="115"/>
        <v/>
      </c>
      <c r="V1386" t="str">
        <f t="shared" si="116"/>
        <v>MVS,AES</v>
      </c>
      <c r="W1386" t="str">
        <f t="shared" si="116"/>
        <v>MVS,AES</v>
      </c>
      <c r="AG1386" t="s">
        <v>6</v>
      </c>
      <c r="AH1386" t="s">
        <v>4219</v>
      </c>
      <c r="AI1386" t="s">
        <v>53</v>
      </c>
      <c r="AJ1386" t="s">
        <v>11</v>
      </c>
      <c r="AK1386" t="s">
        <v>4218</v>
      </c>
      <c r="AL1386" t="s">
        <v>4217</v>
      </c>
    </row>
    <row r="1387" spans="5:38" x14ac:dyDescent="0.25">
      <c r="E1387" t="s">
        <v>4216</v>
      </c>
      <c r="F1387" t="s">
        <v>4215</v>
      </c>
      <c r="G1387" t="s">
        <v>1145</v>
      </c>
      <c r="H1387" t="s">
        <v>4214</v>
      </c>
      <c r="I1387" t="str">
        <f t="shared" si="113"/>
        <v>neobombe</v>
      </c>
      <c r="J1387" t="str">
        <f t="shared" si="114"/>
        <v>neobombeserial</v>
      </c>
      <c r="K1387" t="s">
        <v>1373</v>
      </c>
      <c r="L1387" t="str">
        <f t="shared" si="112"/>
        <v>NGM-093</v>
      </c>
      <c r="M1387" t="str">
        <f t="shared" si="112"/>
        <v>19970501</v>
      </c>
      <c r="N1387" t="str">
        <f t="shared" si="112"/>
        <v>ネオ・ボンバーマン</v>
      </c>
      <c r="O1387" t="str">
        <f t="shared" si="112"/>
        <v/>
      </c>
      <c r="P1387" t="str">
        <f t="shared" si="112"/>
        <v/>
      </c>
      <c r="Q1387" t="s">
        <v>4213</v>
      </c>
      <c r="S1387" t="s">
        <v>46</v>
      </c>
      <c r="T1387" t="str">
        <f t="shared" si="115"/>
        <v>neobomberelease</v>
      </c>
      <c r="U1387" t="s">
        <v>106</v>
      </c>
      <c r="V1387" t="str">
        <f t="shared" si="116"/>
        <v>MVS</v>
      </c>
      <c r="W1387" t="str">
        <f t="shared" si="116"/>
        <v>MVS,AES</v>
      </c>
      <c r="Y1387" t="s">
        <v>45</v>
      </c>
      <c r="Z1387" t="s">
        <v>44</v>
      </c>
      <c r="AB1387" t="s">
        <v>43</v>
      </c>
      <c r="AC1387" t="s">
        <v>42</v>
      </c>
      <c r="AD1387" t="s">
        <v>41</v>
      </c>
      <c r="AE1387" t="s">
        <v>15</v>
      </c>
      <c r="AG1387" t="s">
        <v>40</v>
      </c>
      <c r="AH1387" t="s">
        <v>4212</v>
      </c>
      <c r="AI1387" t="s">
        <v>9</v>
      </c>
      <c r="AJ1387" t="s">
        <v>15</v>
      </c>
      <c r="AK1387" t="s">
        <v>4211</v>
      </c>
      <c r="AL1387" t="s">
        <v>4210</v>
      </c>
    </row>
    <row r="1388" spans="5:38" x14ac:dyDescent="0.25">
      <c r="I1388" t="str">
        <f t="shared" si="113"/>
        <v>neobombe</v>
      </c>
      <c r="J1388" t="str">
        <f t="shared" si="114"/>
        <v>neobomberelease</v>
      </c>
      <c r="K1388" t="s">
        <v>46</v>
      </c>
      <c r="L1388" t="str">
        <f t="shared" si="112"/>
        <v>NGM-093</v>
      </c>
      <c r="M1388" t="str">
        <f t="shared" si="112"/>
        <v>19970501</v>
      </c>
      <c r="N1388" t="str">
        <f t="shared" si="112"/>
        <v>ネオ・ボンバーマン</v>
      </c>
      <c r="O1388" t="str">
        <f t="shared" si="112"/>
        <v/>
      </c>
      <c r="P1388" t="str">
        <f t="shared" si="112"/>
        <v/>
      </c>
      <c r="Q1388" t="s">
        <v>4209</v>
      </c>
      <c r="T1388" t="str">
        <f t="shared" si="115"/>
        <v/>
      </c>
      <c r="V1388" t="str">
        <f t="shared" si="116"/>
        <v>MVS</v>
      </c>
      <c r="W1388" t="str">
        <f t="shared" si="116"/>
        <v>MVS,AES</v>
      </c>
      <c r="AB1388" t="s">
        <v>34</v>
      </c>
      <c r="AE1388" t="s">
        <v>33</v>
      </c>
      <c r="AH1388" t="s">
        <v>4208</v>
      </c>
      <c r="AI1388" t="s">
        <v>9</v>
      </c>
      <c r="AJ1388" t="s">
        <v>27</v>
      </c>
      <c r="AK1388" t="s">
        <v>4207</v>
      </c>
      <c r="AL1388" t="s">
        <v>4206</v>
      </c>
    </row>
    <row r="1389" spans="5:38" x14ac:dyDescent="0.25">
      <c r="I1389" t="str">
        <f t="shared" si="113"/>
        <v>neobombe</v>
      </c>
      <c r="J1389" t="str">
        <f t="shared" si="114"/>
        <v>neobombealt_title</v>
      </c>
      <c r="K1389" t="s">
        <v>1218</v>
      </c>
      <c r="L1389" t="str">
        <f t="shared" si="112"/>
        <v>NGM-093</v>
      </c>
      <c r="M1389" t="str">
        <f t="shared" si="112"/>
        <v>19970501</v>
      </c>
      <c r="N1389" t="str">
        <f t="shared" si="112"/>
        <v>ネオ・ボンバーマン</v>
      </c>
      <c r="O1389" t="str">
        <f t="shared" si="112"/>
        <v/>
      </c>
      <c r="P1389" t="str">
        <f t="shared" si="112"/>
        <v/>
      </c>
      <c r="Q1389" t="s">
        <v>4205</v>
      </c>
      <c r="T1389" t="str">
        <f t="shared" si="115"/>
        <v/>
      </c>
      <c r="V1389" t="str">
        <f t="shared" si="116"/>
        <v>MVS</v>
      </c>
      <c r="W1389" t="str">
        <f t="shared" si="116"/>
        <v>MVS,AES</v>
      </c>
      <c r="AB1389" t="s">
        <v>29</v>
      </c>
      <c r="AE1389" t="s">
        <v>27</v>
      </c>
      <c r="AH1389" t="s">
        <v>4204</v>
      </c>
      <c r="AI1389" t="s">
        <v>9</v>
      </c>
      <c r="AJ1389" t="s">
        <v>27</v>
      </c>
      <c r="AK1389" t="s">
        <v>4203</v>
      </c>
      <c r="AL1389" t="s">
        <v>4202</v>
      </c>
    </row>
    <row r="1390" spans="5:38" x14ac:dyDescent="0.25">
      <c r="I1390" t="str">
        <f t="shared" si="113"/>
        <v>neobombe</v>
      </c>
      <c r="J1390" t="str">
        <f t="shared" si="114"/>
        <v/>
      </c>
      <c r="L1390" t="str">
        <f t="shared" si="112"/>
        <v>NGM-093</v>
      </c>
      <c r="M1390" t="str">
        <f t="shared" si="112"/>
        <v>19970501</v>
      </c>
      <c r="N1390" t="str">
        <f t="shared" si="112"/>
        <v>ネオ・ボンバーマン</v>
      </c>
      <c r="O1390" t="str">
        <f t="shared" si="112"/>
        <v/>
      </c>
      <c r="P1390" t="str">
        <f t="shared" si="112"/>
        <v/>
      </c>
      <c r="S1390" t="s">
        <v>36</v>
      </c>
      <c r="T1390" t="str">
        <f t="shared" si="115"/>
        <v>neobombecompatibility</v>
      </c>
      <c r="U1390" t="s">
        <v>218</v>
      </c>
      <c r="V1390" t="str">
        <f t="shared" si="116"/>
        <v>MVS</v>
      </c>
      <c r="W1390" t="str">
        <f t="shared" si="116"/>
        <v>MVS,AES</v>
      </c>
      <c r="AB1390" t="s">
        <v>24</v>
      </c>
      <c r="AE1390" t="s">
        <v>75</v>
      </c>
      <c r="AH1390" t="s">
        <v>4201</v>
      </c>
      <c r="AI1390" t="s">
        <v>9</v>
      </c>
      <c r="AJ1390" t="s">
        <v>11</v>
      </c>
      <c r="AK1390" t="s">
        <v>4200</v>
      </c>
      <c r="AL1390" t="s">
        <v>4199</v>
      </c>
    </row>
    <row r="1391" spans="5:38" x14ac:dyDescent="0.25">
      <c r="I1391" t="str">
        <f t="shared" si="113"/>
        <v>neobombe</v>
      </c>
      <c r="J1391" t="str">
        <f t="shared" si="114"/>
        <v/>
      </c>
      <c r="L1391" t="str">
        <f t="shared" si="112"/>
        <v>NGM-093</v>
      </c>
      <c r="M1391" t="str">
        <f t="shared" si="112"/>
        <v>19970501</v>
      </c>
      <c r="N1391" t="str">
        <f t="shared" si="112"/>
        <v>ネオ・ボンバーマン</v>
      </c>
      <c r="O1391" t="str">
        <f t="shared" si="112"/>
        <v/>
      </c>
      <c r="P1391" t="str">
        <f t="shared" si="112"/>
        <v/>
      </c>
      <c r="T1391" t="str">
        <f t="shared" si="115"/>
        <v/>
      </c>
      <c r="V1391" t="str">
        <f t="shared" si="116"/>
        <v>MVS</v>
      </c>
      <c r="W1391" t="str">
        <f t="shared" si="116"/>
        <v>MVS,AES</v>
      </c>
      <c r="AH1391" t="s">
        <v>4198</v>
      </c>
      <c r="AI1391" t="s">
        <v>11</v>
      </c>
      <c r="AJ1391" t="s">
        <v>3</v>
      </c>
      <c r="AK1391" t="s">
        <v>4197</v>
      </c>
      <c r="AL1391" t="s">
        <v>4196</v>
      </c>
    </row>
    <row r="1392" spans="5:38" x14ac:dyDescent="0.25">
      <c r="I1392" t="str">
        <f t="shared" si="113"/>
        <v>neobombe</v>
      </c>
      <c r="J1392" t="str">
        <f t="shared" si="114"/>
        <v/>
      </c>
      <c r="L1392" t="str">
        <f t="shared" ref="L1392:P1442" si="117">IFERROR(VLOOKUP($I1392&amp;L$1,$J:$Q,8,0),"")</f>
        <v>NGM-093</v>
      </c>
      <c r="M1392" t="str">
        <f t="shared" si="117"/>
        <v>19970501</v>
      </c>
      <c r="N1392" t="str">
        <f t="shared" si="117"/>
        <v>ネオ・ボンバーマン</v>
      </c>
      <c r="O1392" t="str">
        <f t="shared" si="117"/>
        <v/>
      </c>
      <c r="P1392" t="str">
        <f t="shared" si="117"/>
        <v/>
      </c>
      <c r="T1392" t="str">
        <f t="shared" si="115"/>
        <v/>
      </c>
      <c r="V1392" t="str">
        <f t="shared" si="116"/>
        <v>MVS</v>
      </c>
      <c r="W1392" t="str">
        <f t="shared" si="116"/>
        <v>MVS,AES</v>
      </c>
      <c r="AB1392" t="s">
        <v>12</v>
      </c>
      <c r="AE1392" t="s">
        <v>704</v>
      </c>
      <c r="AG1392" t="s">
        <v>6</v>
      </c>
      <c r="AH1392" t="s">
        <v>4195</v>
      </c>
      <c r="AI1392" t="s">
        <v>9</v>
      </c>
      <c r="AJ1392" t="s">
        <v>11</v>
      </c>
      <c r="AK1392" t="s">
        <v>4194</v>
      </c>
      <c r="AL1392" t="s">
        <v>4193</v>
      </c>
    </row>
    <row r="1393" spans="5:38" x14ac:dyDescent="0.25">
      <c r="I1393" t="str">
        <f t="shared" si="113"/>
        <v>neobombe</v>
      </c>
      <c r="J1393" t="str">
        <f t="shared" si="114"/>
        <v/>
      </c>
      <c r="L1393" t="str">
        <f t="shared" si="117"/>
        <v>NGM-093</v>
      </c>
      <c r="M1393" t="str">
        <f t="shared" si="117"/>
        <v>19970501</v>
      </c>
      <c r="N1393" t="str">
        <f t="shared" si="117"/>
        <v>ネオ・ボンバーマン</v>
      </c>
      <c r="O1393" t="str">
        <f t="shared" si="117"/>
        <v/>
      </c>
      <c r="P1393" t="str">
        <f t="shared" si="117"/>
        <v/>
      </c>
      <c r="T1393" t="str">
        <f t="shared" si="115"/>
        <v/>
      </c>
      <c r="V1393" t="str">
        <f t="shared" si="116"/>
        <v>MVS</v>
      </c>
      <c r="W1393" t="str">
        <f t="shared" si="116"/>
        <v>MVS,AES</v>
      </c>
      <c r="AG1393" t="s">
        <v>6</v>
      </c>
      <c r="AH1393" t="s">
        <v>4192</v>
      </c>
      <c r="AI1393" t="s">
        <v>4</v>
      </c>
      <c r="AJ1393" t="s">
        <v>11</v>
      </c>
      <c r="AK1393" t="s">
        <v>4191</v>
      </c>
      <c r="AL1393" t="s">
        <v>4190</v>
      </c>
    </row>
    <row r="1394" spans="5:38" x14ac:dyDescent="0.25">
      <c r="I1394" t="str">
        <f t="shared" si="113"/>
        <v>neobombe</v>
      </c>
      <c r="J1394" t="str">
        <f t="shared" si="114"/>
        <v/>
      </c>
      <c r="L1394" t="str">
        <f t="shared" si="117"/>
        <v>NGM-093</v>
      </c>
      <c r="M1394" t="str">
        <f t="shared" si="117"/>
        <v>19970501</v>
      </c>
      <c r="N1394" t="str">
        <f t="shared" si="117"/>
        <v>ネオ・ボンバーマン</v>
      </c>
      <c r="O1394" t="str">
        <f t="shared" si="117"/>
        <v/>
      </c>
      <c r="P1394" t="str">
        <f t="shared" si="117"/>
        <v/>
      </c>
      <c r="T1394" t="str">
        <f t="shared" si="115"/>
        <v/>
      </c>
      <c r="V1394" t="str">
        <f t="shared" si="116"/>
        <v>MVS</v>
      </c>
      <c r="W1394" t="str">
        <f t="shared" si="116"/>
        <v>MVS,AES</v>
      </c>
      <c r="AG1394" t="s">
        <v>6</v>
      </c>
      <c r="AH1394" t="s">
        <v>4189</v>
      </c>
      <c r="AI1394" t="s">
        <v>57</v>
      </c>
      <c r="AJ1394" t="s">
        <v>92</v>
      </c>
      <c r="AK1394" t="s">
        <v>4188</v>
      </c>
      <c r="AL1394" t="s">
        <v>4187</v>
      </c>
    </row>
    <row r="1395" spans="5:38" x14ac:dyDescent="0.25">
      <c r="I1395" t="str">
        <f t="shared" si="113"/>
        <v>neobombe</v>
      </c>
      <c r="J1395" t="str">
        <f t="shared" si="114"/>
        <v/>
      </c>
      <c r="L1395" t="str">
        <f t="shared" si="117"/>
        <v>NGM-093</v>
      </c>
      <c r="M1395" t="str">
        <f t="shared" si="117"/>
        <v>19970501</v>
      </c>
      <c r="N1395" t="str">
        <f t="shared" si="117"/>
        <v>ネオ・ボンバーマン</v>
      </c>
      <c r="O1395" t="str">
        <f t="shared" si="117"/>
        <v/>
      </c>
      <c r="P1395" t="str">
        <f t="shared" si="117"/>
        <v/>
      </c>
      <c r="T1395" t="str">
        <f t="shared" si="115"/>
        <v/>
      </c>
      <c r="V1395" t="str">
        <f t="shared" si="116"/>
        <v>MVS</v>
      </c>
      <c r="W1395" t="str">
        <f t="shared" si="116"/>
        <v>MVS,AES</v>
      </c>
      <c r="AG1395" t="s">
        <v>6</v>
      </c>
      <c r="AH1395" t="s">
        <v>4186</v>
      </c>
      <c r="AI1395" t="s">
        <v>53</v>
      </c>
      <c r="AJ1395" t="s">
        <v>92</v>
      </c>
      <c r="AK1395" t="s">
        <v>4185</v>
      </c>
      <c r="AL1395" t="s">
        <v>4184</v>
      </c>
    </row>
    <row r="1396" spans="5:38" x14ac:dyDescent="0.25">
      <c r="E1396" t="s">
        <v>4183</v>
      </c>
      <c r="F1396" t="s">
        <v>4182</v>
      </c>
      <c r="G1396" t="s">
        <v>1239</v>
      </c>
      <c r="H1396" t="s">
        <v>3827</v>
      </c>
      <c r="I1396" t="str">
        <f t="shared" si="113"/>
        <v>gowcaizr</v>
      </c>
      <c r="J1396" t="str">
        <f t="shared" si="114"/>
        <v>gowcaizrserial</v>
      </c>
      <c r="K1396" t="s">
        <v>1373</v>
      </c>
      <c r="L1396" t="str">
        <f t="shared" si="117"/>
        <v>NGM-094 (MVS), NGH-094 (AES)</v>
      </c>
      <c r="M1396" t="str">
        <f t="shared" si="117"/>
        <v>19950918 (MVS), 19951020 (AES)</v>
      </c>
      <c r="N1396" t="str">
        <f t="shared" si="117"/>
        <v>超人学園ゴウカイザー</v>
      </c>
      <c r="O1396" t="str">
        <f t="shared" si="117"/>
        <v/>
      </c>
      <c r="P1396" t="str">
        <f t="shared" si="117"/>
        <v/>
      </c>
      <c r="Q1396" t="s">
        <v>4181</v>
      </c>
      <c r="S1396" t="s">
        <v>46</v>
      </c>
      <c r="T1396" t="str">
        <f t="shared" si="115"/>
        <v>gowcaizrrelease</v>
      </c>
      <c r="U1396" t="s">
        <v>218</v>
      </c>
      <c r="V1396" t="str">
        <f t="shared" si="116"/>
        <v>MVS,AES</v>
      </c>
      <c r="W1396" t="str">
        <f t="shared" si="116"/>
        <v>MVS,AES</v>
      </c>
      <c r="Y1396" t="s">
        <v>45</v>
      </c>
      <c r="Z1396" t="s">
        <v>44</v>
      </c>
      <c r="AB1396" t="s">
        <v>43</v>
      </c>
      <c r="AC1396" t="s">
        <v>42</v>
      </c>
      <c r="AD1396" t="s">
        <v>41</v>
      </c>
      <c r="AE1396" t="s">
        <v>3</v>
      </c>
      <c r="AG1396" t="s">
        <v>40</v>
      </c>
      <c r="AH1396" t="s">
        <v>4180</v>
      </c>
      <c r="AI1396" t="s">
        <v>15</v>
      </c>
      <c r="AJ1396" t="s">
        <v>15</v>
      </c>
      <c r="AK1396" t="s">
        <v>4179</v>
      </c>
      <c r="AL1396" t="s">
        <v>4178</v>
      </c>
    </row>
    <row r="1397" spans="5:38" x14ac:dyDescent="0.25">
      <c r="I1397" t="str">
        <f t="shared" si="113"/>
        <v>gowcaizr</v>
      </c>
      <c r="J1397" t="str">
        <f t="shared" si="114"/>
        <v>gowcaizrrelease</v>
      </c>
      <c r="K1397" t="s">
        <v>46</v>
      </c>
      <c r="L1397" t="str">
        <f t="shared" si="117"/>
        <v>NGM-094 (MVS), NGH-094 (AES)</v>
      </c>
      <c r="M1397" t="str">
        <f t="shared" si="117"/>
        <v>19950918 (MVS), 19951020 (AES)</v>
      </c>
      <c r="N1397" t="str">
        <f t="shared" si="117"/>
        <v>超人学園ゴウカイザー</v>
      </c>
      <c r="O1397" t="str">
        <f t="shared" si="117"/>
        <v/>
      </c>
      <c r="P1397" t="str">
        <f t="shared" si="117"/>
        <v/>
      </c>
      <c r="Q1397" t="s">
        <v>4177</v>
      </c>
      <c r="T1397" t="str">
        <f t="shared" si="115"/>
        <v/>
      </c>
      <c r="V1397" t="str">
        <f t="shared" si="116"/>
        <v>MVS,AES</v>
      </c>
      <c r="W1397" t="str">
        <f t="shared" si="116"/>
        <v>MVS,AES</v>
      </c>
      <c r="AG1397" t="s">
        <v>224</v>
      </c>
      <c r="AI1397" t="s">
        <v>9</v>
      </c>
      <c r="AJ1397" t="s">
        <v>15</v>
      </c>
    </row>
    <row r="1398" spans="5:38" x14ac:dyDescent="0.25">
      <c r="I1398" t="str">
        <f t="shared" si="113"/>
        <v>gowcaizr</v>
      </c>
      <c r="J1398" t="str">
        <f t="shared" si="114"/>
        <v>gowcaizralt_title</v>
      </c>
      <c r="K1398" t="s">
        <v>1218</v>
      </c>
      <c r="L1398" t="str">
        <f t="shared" si="117"/>
        <v>NGM-094 (MVS), NGH-094 (AES)</v>
      </c>
      <c r="M1398" t="str">
        <f t="shared" si="117"/>
        <v>19950918 (MVS), 19951020 (AES)</v>
      </c>
      <c r="N1398" t="str">
        <f t="shared" si="117"/>
        <v>超人学園ゴウカイザー</v>
      </c>
      <c r="O1398" t="str">
        <f t="shared" si="117"/>
        <v/>
      </c>
      <c r="P1398" t="str">
        <f t="shared" si="117"/>
        <v/>
      </c>
      <c r="Q1398" t="s">
        <v>4176</v>
      </c>
      <c r="T1398" t="str">
        <f t="shared" si="115"/>
        <v/>
      </c>
      <c r="V1398" t="str">
        <f t="shared" si="116"/>
        <v>MVS,AES</v>
      </c>
      <c r="W1398" t="str">
        <f t="shared" si="116"/>
        <v>MVS,AES</v>
      </c>
      <c r="AB1398" t="s">
        <v>34</v>
      </c>
      <c r="AE1398" t="s">
        <v>33</v>
      </c>
      <c r="AH1398" t="s">
        <v>4175</v>
      </c>
      <c r="AI1398" t="s">
        <v>9</v>
      </c>
      <c r="AJ1398" t="s">
        <v>27</v>
      </c>
      <c r="AK1398" t="s">
        <v>4174</v>
      </c>
      <c r="AL1398" t="s">
        <v>4173</v>
      </c>
    </row>
    <row r="1399" spans="5:38" x14ac:dyDescent="0.25">
      <c r="I1399" t="str">
        <f t="shared" si="113"/>
        <v>gowcaizr</v>
      </c>
      <c r="J1399" t="str">
        <f t="shared" si="114"/>
        <v/>
      </c>
      <c r="L1399" t="str">
        <f t="shared" si="117"/>
        <v>NGM-094 (MVS), NGH-094 (AES)</v>
      </c>
      <c r="M1399" t="str">
        <f t="shared" si="117"/>
        <v>19950918 (MVS), 19951020 (AES)</v>
      </c>
      <c r="N1399" t="str">
        <f t="shared" si="117"/>
        <v>超人学園ゴウカイザー</v>
      </c>
      <c r="O1399" t="str">
        <f t="shared" si="117"/>
        <v/>
      </c>
      <c r="P1399" t="str">
        <f t="shared" si="117"/>
        <v/>
      </c>
      <c r="S1399" t="s">
        <v>36</v>
      </c>
      <c r="T1399" t="str">
        <f t="shared" si="115"/>
        <v>gowcaizrcompatibility</v>
      </c>
      <c r="U1399" t="s">
        <v>218</v>
      </c>
      <c r="V1399" t="str">
        <f t="shared" si="116"/>
        <v>MVS,AES</v>
      </c>
      <c r="W1399" t="str">
        <f t="shared" si="116"/>
        <v>MVS,AES</v>
      </c>
      <c r="AB1399" t="s">
        <v>29</v>
      </c>
      <c r="AE1399" t="s">
        <v>27</v>
      </c>
      <c r="AH1399" t="s">
        <v>4172</v>
      </c>
      <c r="AI1399" t="s">
        <v>9</v>
      </c>
      <c r="AJ1399" t="s">
        <v>27</v>
      </c>
      <c r="AK1399" t="s">
        <v>4171</v>
      </c>
      <c r="AL1399" t="s">
        <v>4170</v>
      </c>
    </row>
    <row r="1400" spans="5:38" x14ac:dyDescent="0.25">
      <c r="I1400" t="str">
        <f t="shared" si="113"/>
        <v>gowcaizr</v>
      </c>
      <c r="J1400" t="str">
        <f t="shared" si="114"/>
        <v/>
      </c>
      <c r="L1400" t="str">
        <f t="shared" si="117"/>
        <v>NGM-094 (MVS), NGH-094 (AES)</v>
      </c>
      <c r="M1400" t="str">
        <f t="shared" si="117"/>
        <v>19950918 (MVS), 19951020 (AES)</v>
      </c>
      <c r="N1400" t="str">
        <f t="shared" si="117"/>
        <v>超人学園ゴウカイザー</v>
      </c>
      <c r="O1400" t="str">
        <f t="shared" si="117"/>
        <v/>
      </c>
      <c r="P1400" t="str">
        <f t="shared" si="117"/>
        <v/>
      </c>
      <c r="T1400" t="str">
        <f t="shared" si="115"/>
        <v/>
      </c>
      <c r="V1400" t="str">
        <f t="shared" si="116"/>
        <v>MVS,AES</v>
      </c>
      <c r="W1400" t="str">
        <f t="shared" si="116"/>
        <v>MVS,AES</v>
      </c>
      <c r="AB1400" t="s">
        <v>24</v>
      </c>
      <c r="AE1400" t="s">
        <v>23</v>
      </c>
      <c r="AH1400" t="s">
        <v>4169</v>
      </c>
      <c r="AI1400" t="s">
        <v>9</v>
      </c>
      <c r="AJ1400" t="s">
        <v>3</v>
      </c>
      <c r="AK1400" t="s">
        <v>4168</v>
      </c>
      <c r="AL1400" t="s">
        <v>4167</v>
      </c>
    </row>
    <row r="1401" spans="5:38" x14ac:dyDescent="0.25">
      <c r="I1401" t="str">
        <f t="shared" si="113"/>
        <v>gowcaizr</v>
      </c>
      <c r="J1401" t="str">
        <f t="shared" si="114"/>
        <v/>
      </c>
      <c r="L1401" t="str">
        <f t="shared" si="117"/>
        <v>NGM-094 (MVS), NGH-094 (AES)</v>
      </c>
      <c r="M1401" t="str">
        <f t="shared" si="117"/>
        <v>19950918 (MVS), 19951020 (AES)</v>
      </c>
      <c r="N1401" t="str">
        <f t="shared" si="117"/>
        <v>超人学園ゴウカイザー</v>
      </c>
      <c r="O1401" t="str">
        <f t="shared" si="117"/>
        <v/>
      </c>
      <c r="P1401" t="str">
        <f t="shared" si="117"/>
        <v/>
      </c>
      <c r="T1401" t="str">
        <f t="shared" si="115"/>
        <v/>
      </c>
      <c r="V1401" t="str">
        <f t="shared" si="116"/>
        <v>MVS,AES</v>
      </c>
      <c r="W1401" t="str">
        <f t="shared" si="116"/>
        <v>MVS,AES</v>
      </c>
      <c r="AH1401" t="s">
        <v>4166</v>
      </c>
      <c r="AI1401" t="s">
        <v>3</v>
      </c>
      <c r="AJ1401" t="s">
        <v>3</v>
      </c>
      <c r="AK1401" t="s">
        <v>4165</v>
      </c>
      <c r="AL1401" t="s">
        <v>4164</v>
      </c>
    </row>
    <row r="1402" spans="5:38" x14ac:dyDescent="0.25">
      <c r="I1402" t="str">
        <f t="shared" si="113"/>
        <v>gowcaizr</v>
      </c>
      <c r="J1402" t="str">
        <f t="shared" si="114"/>
        <v/>
      </c>
      <c r="L1402" t="str">
        <f t="shared" si="117"/>
        <v>NGM-094 (MVS), NGH-094 (AES)</v>
      </c>
      <c r="M1402" t="str">
        <f t="shared" si="117"/>
        <v>19950918 (MVS), 19951020 (AES)</v>
      </c>
      <c r="N1402" t="str">
        <f t="shared" si="117"/>
        <v>超人学園ゴウカイザー</v>
      </c>
      <c r="O1402" t="str">
        <f t="shared" si="117"/>
        <v/>
      </c>
      <c r="P1402" t="str">
        <f t="shared" si="117"/>
        <v/>
      </c>
      <c r="T1402" t="str">
        <f t="shared" si="115"/>
        <v/>
      </c>
      <c r="V1402" t="str">
        <f t="shared" si="116"/>
        <v>MVS,AES</v>
      </c>
      <c r="W1402" t="str">
        <f t="shared" si="116"/>
        <v>MVS,AES</v>
      </c>
      <c r="AH1402" t="s">
        <v>4163</v>
      </c>
      <c r="AI1402" t="s">
        <v>11</v>
      </c>
      <c r="AJ1402" t="s">
        <v>15</v>
      </c>
      <c r="AK1402" t="s">
        <v>4162</v>
      </c>
      <c r="AL1402" t="s">
        <v>4161</v>
      </c>
    </row>
    <row r="1403" spans="5:38" x14ac:dyDescent="0.25">
      <c r="I1403" t="str">
        <f t="shared" si="113"/>
        <v>gowcaizr</v>
      </c>
      <c r="J1403" t="str">
        <f t="shared" si="114"/>
        <v/>
      </c>
      <c r="L1403" t="str">
        <f t="shared" si="117"/>
        <v>NGM-094 (MVS), NGH-094 (AES)</v>
      </c>
      <c r="M1403" t="str">
        <f t="shared" si="117"/>
        <v>19950918 (MVS), 19951020 (AES)</v>
      </c>
      <c r="N1403" t="str">
        <f t="shared" si="117"/>
        <v>超人学園ゴウカイザー</v>
      </c>
      <c r="O1403" t="str">
        <f t="shared" si="117"/>
        <v/>
      </c>
      <c r="P1403" t="str">
        <f t="shared" si="117"/>
        <v/>
      </c>
      <c r="T1403" t="str">
        <f t="shared" si="115"/>
        <v/>
      </c>
      <c r="V1403" t="str">
        <f t="shared" si="116"/>
        <v>MVS,AES</v>
      </c>
      <c r="W1403" t="str">
        <f t="shared" si="116"/>
        <v>MVS,AES</v>
      </c>
      <c r="AB1403" t="s">
        <v>12</v>
      </c>
      <c r="AE1403" t="s">
        <v>65</v>
      </c>
      <c r="AG1403" t="s">
        <v>6</v>
      </c>
      <c r="AH1403" t="s">
        <v>4160</v>
      </c>
      <c r="AI1403" t="s">
        <v>9</v>
      </c>
      <c r="AJ1403" t="s">
        <v>3</v>
      </c>
      <c r="AK1403" t="s">
        <v>4159</v>
      </c>
      <c r="AL1403" t="s">
        <v>4158</v>
      </c>
    </row>
    <row r="1404" spans="5:38" x14ac:dyDescent="0.25">
      <c r="I1404" t="str">
        <f t="shared" si="113"/>
        <v>gowcaizr</v>
      </c>
      <c r="J1404" t="str">
        <f t="shared" si="114"/>
        <v/>
      </c>
      <c r="L1404" t="str">
        <f t="shared" si="117"/>
        <v>NGM-094 (MVS), NGH-094 (AES)</v>
      </c>
      <c r="M1404" t="str">
        <f t="shared" si="117"/>
        <v>19950918 (MVS), 19951020 (AES)</v>
      </c>
      <c r="N1404" t="str">
        <f t="shared" si="117"/>
        <v>超人学園ゴウカイザー</v>
      </c>
      <c r="O1404" t="str">
        <f t="shared" si="117"/>
        <v/>
      </c>
      <c r="P1404" t="str">
        <f t="shared" si="117"/>
        <v/>
      </c>
      <c r="T1404" t="str">
        <f t="shared" si="115"/>
        <v/>
      </c>
      <c r="V1404" t="str">
        <f t="shared" si="116"/>
        <v>MVS,AES</v>
      </c>
      <c r="W1404" t="str">
        <f t="shared" si="116"/>
        <v>MVS,AES</v>
      </c>
      <c r="AG1404" t="s">
        <v>6</v>
      </c>
      <c r="AH1404" t="s">
        <v>4157</v>
      </c>
      <c r="AI1404" t="s">
        <v>4</v>
      </c>
      <c r="AJ1404" t="s">
        <v>3</v>
      </c>
      <c r="AK1404" t="s">
        <v>4156</v>
      </c>
      <c r="AL1404" t="s">
        <v>4155</v>
      </c>
    </row>
    <row r="1405" spans="5:38" x14ac:dyDescent="0.25">
      <c r="I1405" t="str">
        <f t="shared" si="113"/>
        <v>gowcaizr</v>
      </c>
      <c r="J1405" t="str">
        <f t="shared" si="114"/>
        <v/>
      </c>
      <c r="L1405" t="str">
        <f t="shared" si="117"/>
        <v>NGM-094 (MVS), NGH-094 (AES)</v>
      </c>
      <c r="M1405" t="str">
        <f t="shared" si="117"/>
        <v>19950918 (MVS), 19951020 (AES)</v>
      </c>
      <c r="N1405" t="str">
        <f t="shared" si="117"/>
        <v>超人学園ゴウカイザー</v>
      </c>
      <c r="O1405" t="str">
        <f t="shared" si="117"/>
        <v/>
      </c>
      <c r="P1405" t="str">
        <f t="shared" si="117"/>
        <v/>
      </c>
      <c r="T1405" t="str">
        <f t="shared" si="115"/>
        <v/>
      </c>
      <c r="V1405" t="str">
        <f t="shared" si="116"/>
        <v>MVS,AES</v>
      </c>
      <c r="W1405" t="str">
        <f t="shared" si="116"/>
        <v>MVS,AES</v>
      </c>
      <c r="AG1405" t="s">
        <v>6</v>
      </c>
      <c r="AH1405" t="s">
        <v>4154</v>
      </c>
      <c r="AI1405" t="s">
        <v>11</v>
      </c>
      <c r="AJ1405" t="s">
        <v>3</v>
      </c>
      <c r="AK1405" t="s">
        <v>4153</v>
      </c>
      <c r="AL1405" t="s">
        <v>4152</v>
      </c>
    </row>
    <row r="1406" spans="5:38" x14ac:dyDescent="0.25">
      <c r="I1406" t="str">
        <f t="shared" si="113"/>
        <v>gowcaizr</v>
      </c>
      <c r="J1406" t="str">
        <f t="shared" si="114"/>
        <v/>
      </c>
      <c r="L1406" t="str">
        <f t="shared" si="117"/>
        <v>NGM-094 (MVS), NGH-094 (AES)</v>
      </c>
      <c r="M1406" t="str">
        <f t="shared" si="117"/>
        <v>19950918 (MVS), 19951020 (AES)</v>
      </c>
      <c r="N1406" t="str">
        <f t="shared" si="117"/>
        <v>超人学園ゴウカイザー</v>
      </c>
      <c r="O1406" t="str">
        <f t="shared" si="117"/>
        <v/>
      </c>
      <c r="P1406" t="str">
        <f t="shared" si="117"/>
        <v/>
      </c>
      <c r="T1406" t="str">
        <f t="shared" si="115"/>
        <v/>
      </c>
      <c r="V1406" t="str">
        <f t="shared" si="116"/>
        <v>MVS,AES</v>
      </c>
      <c r="W1406" t="str">
        <f t="shared" si="116"/>
        <v>MVS,AES</v>
      </c>
      <c r="AG1406" t="s">
        <v>6</v>
      </c>
      <c r="AH1406" t="s">
        <v>4151</v>
      </c>
      <c r="AI1406" t="s">
        <v>932</v>
      </c>
      <c r="AJ1406" t="s">
        <v>3</v>
      </c>
      <c r="AK1406" t="s">
        <v>4150</v>
      </c>
      <c r="AL1406" t="s">
        <v>4149</v>
      </c>
    </row>
    <row r="1407" spans="5:38" x14ac:dyDescent="0.25">
      <c r="I1407" t="str">
        <f t="shared" si="113"/>
        <v>gowcaizr</v>
      </c>
      <c r="J1407" t="str">
        <f t="shared" si="114"/>
        <v/>
      </c>
      <c r="L1407" t="str">
        <f t="shared" si="117"/>
        <v>NGM-094 (MVS), NGH-094 (AES)</v>
      </c>
      <c r="M1407" t="str">
        <f t="shared" si="117"/>
        <v>19950918 (MVS), 19951020 (AES)</v>
      </c>
      <c r="N1407" t="str">
        <f t="shared" si="117"/>
        <v>超人学園ゴウカイザー</v>
      </c>
      <c r="O1407" t="str">
        <f t="shared" si="117"/>
        <v/>
      </c>
      <c r="P1407" t="str">
        <f t="shared" si="117"/>
        <v/>
      </c>
      <c r="T1407" t="str">
        <f t="shared" si="115"/>
        <v/>
      </c>
      <c r="V1407" t="str">
        <f t="shared" si="116"/>
        <v>MVS,AES</v>
      </c>
      <c r="W1407" t="str">
        <f t="shared" si="116"/>
        <v>MVS,AES</v>
      </c>
      <c r="AG1407" t="s">
        <v>6</v>
      </c>
      <c r="AH1407" t="s">
        <v>4148</v>
      </c>
      <c r="AI1407" t="s">
        <v>57</v>
      </c>
      <c r="AJ1407" t="s">
        <v>3</v>
      </c>
      <c r="AK1407" t="s">
        <v>4147</v>
      </c>
      <c r="AL1407" t="s">
        <v>4146</v>
      </c>
    </row>
    <row r="1408" spans="5:38" x14ac:dyDescent="0.25">
      <c r="I1408" t="str">
        <f t="shared" si="113"/>
        <v>gowcaizr</v>
      </c>
      <c r="J1408" t="str">
        <f t="shared" si="114"/>
        <v/>
      </c>
      <c r="L1408" t="str">
        <f t="shared" si="117"/>
        <v>NGM-094 (MVS), NGH-094 (AES)</v>
      </c>
      <c r="M1408" t="str">
        <f t="shared" si="117"/>
        <v>19950918 (MVS), 19951020 (AES)</v>
      </c>
      <c r="N1408" t="str">
        <f t="shared" si="117"/>
        <v>超人学園ゴウカイザー</v>
      </c>
      <c r="O1408" t="str">
        <f t="shared" si="117"/>
        <v/>
      </c>
      <c r="P1408" t="str">
        <f t="shared" si="117"/>
        <v/>
      </c>
      <c r="T1408" t="str">
        <f t="shared" si="115"/>
        <v/>
      </c>
      <c r="V1408" t="str">
        <f t="shared" si="116"/>
        <v>MVS,AES</v>
      </c>
      <c r="W1408" t="str">
        <f t="shared" si="116"/>
        <v>MVS,AES</v>
      </c>
      <c r="AG1408" t="s">
        <v>6</v>
      </c>
      <c r="AH1408" t="s">
        <v>4145</v>
      </c>
      <c r="AI1408" t="s">
        <v>53</v>
      </c>
      <c r="AJ1408" t="s">
        <v>3</v>
      </c>
      <c r="AK1408" t="s">
        <v>4144</v>
      </c>
      <c r="AL1408" t="s">
        <v>4143</v>
      </c>
    </row>
    <row r="1409" spans="5:38" x14ac:dyDescent="0.25">
      <c r="I1409" t="str">
        <f t="shared" si="113"/>
        <v>gowcaizr</v>
      </c>
      <c r="J1409" t="str">
        <f t="shared" si="114"/>
        <v/>
      </c>
      <c r="L1409" t="str">
        <f t="shared" si="117"/>
        <v>NGM-094 (MVS), NGH-094 (AES)</v>
      </c>
      <c r="M1409" t="str">
        <f t="shared" si="117"/>
        <v>19950918 (MVS), 19951020 (AES)</v>
      </c>
      <c r="N1409" t="str">
        <f t="shared" si="117"/>
        <v>超人学園ゴウカイザー</v>
      </c>
      <c r="O1409" t="str">
        <f t="shared" si="117"/>
        <v/>
      </c>
      <c r="P1409" t="str">
        <f t="shared" si="117"/>
        <v/>
      </c>
      <c r="T1409" t="str">
        <f t="shared" si="115"/>
        <v/>
      </c>
      <c r="V1409" t="str">
        <f t="shared" si="116"/>
        <v>MVS,AES</v>
      </c>
      <c r="W1409" t="str">
        <f t="shared" si="116"/>
        <v>MVS,AES</v>
      </c>
      <c r="AG1409" t="s">
        <v>6</v>
      </c>
      <c r="AH1409" t="s">
        <v>4142</v>
      </c>
      <c r="AI1409" t="s">
        <v>250</v>
      </c>
      <c r="AJ1409" t="s">
        <v>3</v>
      </c>
      <c r="AK1409" t="s">
        <v>4141</v>
      </c>
      <c r="AL1409" t="s">
        <v>4140</v>
      </c>
    </row>
    <row r="1410" spans="5:38" x14ac:dyDescent="0.25">
      <c r="I1410" t="str">
        <f t="shared" si="113"/>
        <v>gowcaizr</v>
      </c>
      <c r="J1410" t="str">
        <f t="shared" si="114"/>
        <v/>
      </c>
      <c r="L1410" t="str">
        <f t="shared" si="117"/>
        <v>NGM-094 (MVS), NGH-094 (AES)</v>
      </c>
      <c r="M1410" t="str">
        <f t="shared" si="117"/>
        <v>19950918 (MVS), 19951020 (AES)</v>
      </c>
      <c r="N1410" t="str">
        <f t="shared" si="117"/>
        <v>超人学園ゴウカイザー</v>
      </c>
      <c r="O1410" t="str">
        <f t="shared" si="117"/>
        <v/>
      </c>
      <c r="P1410" t="str">
        <f t="shared" si="117"/>
        <v/>
      </c>
      <c r="T1410" t="str">
        <f t="shared" si="115"/>
        <v/>
      </c>
      <c r="V1410" t="str">
        <f t="shared" si="116"/>
        <v>MVS,AES</v>
      </c>
      <c r="W1410" t="str">
        <f t="shared" si="116"/>
        <v>MVS,AES</v>
      </c>
      <c r="AG1410" t="s">
        <v>6</v>
      </c>
      <c r="AH1410" t="s">
        <v>4139</v>
      </c>
      <c r="AI1410" t="s">
        <v>4138</v>
      </c>
      <c r="AJ1410" t="s">
        <v>3</v>
      </c>
      <c r="AK1410" t="s">
        <v>4137</v>
      </c>
      <c r="AL1410" t="s">
        <v>4136</v>
      </c>
    </row>
    <row r="1411" spans="5:38" x14ac:dyDescent="0.25">
      <c r="E1411" t="s">
        <v>4115</v>
      </c>
      <c r="F1411" t="s">
        <v>4135</v>
      </c>
      <c r="G1411" t="s">
        <v>1239</v>
      </c>
      <c r="H1411" t="s">
        <v>1912</v>
      </c>
      <c r="I1411" t="str">
        <f t="shared" ref="I1411:I1474" si="118">IF(E1411="",I1410,E1411)</f>
        <v>rbff1</v>
      </c>
      <c r="J1411" t="str">
        <f t="shared" ref="J1411:J1474" si="119">IF(K1411="","",I1411&amp;K1411)</f>
        <v>rbff1serial</v>
      </c>
      <c r="K1411" t="s">
        <v>1373</v>
      </c>
      <c r="L1411" t="str">
        <f t="shared" si="117"/>
        <v>NGM-095 (MVS), NGH-095 (AES)</v>
      </c>
      <c r="M1411" t="str">
        <f t="shared" si="117"/>
        <v>19951221 (MVS), 19960126 (AES)</v>
      </c>
      <c r="N1411" t="str">
        <f t="shared" si="117"/>
        <v>リアルバウト 餓狼伝説</v>
      </c>
      <c r="O1411" t="str">
        <f t="shared" si="117"/>
        <v/>
      </c>
      <c r="P1411" t="str">
        <f t="shared" si="117"/>
        <v/>
      </c>
      <c r="Q1411" t="s">
        <v>4119</v>
      </c>
      <c r="S1411" t="s">
        <v>46</v>
      </c>
      <c r="T1411" t="str">
        <f t="shared" ref="T1411:T1474" si="120">IF(S1411="","",I1411&amp;S1411)</f>
        <v>rbff1release</v>
      </c>
      <c r="U1411" t="s">
        <v>218</v>
      </c>
      <c r="V1411" t="str">
        <f t="shared" si="116"/>
        <v>MVS,AES</v>
      </c>
      <c r="W1411" t="str">
        <f t="shared" si="116"/>
        <v>MVS,AES</v>
      </c>
      <c r="Y1411" t="s">
        <v>45</v>
      </c>
      <c r="Z1411" t="s">
        <v>44</v>
      </c>
      <c r="AB1411" t="s">
        <v>43</v>
      </c>
      <c r="AC1411" t="s">
        <v>42</v>
      </c>
      <c r="AD1411" t="s">
        <v>41</v>
      </c>
      <c r="AE1411" t="s">
        <v>377</v>
      </c>
      <c r="AG1411" t="s">
        <v>40</v>
      </c>
      <c r="AH1411" t="s">
        <v>4132</v>
      </c>
      <c r="AI1411" t="s">
        <v>9</v>
      </c>
      <c r="AJ1411" t="s">
        <v>15</v>
      </c>
      <c r="AK1411" t="s">
        <v>4131</v>
      </c>
      <c r="AL1411" t="s">
        <v>4130</v>
      </c>
    </row>
    <row r="1412" spans="5:38" x14ac:dyDescent="0.25">
      <c r="I1412" t="str">
        <f t="shared" si="118"/>
        <v>rbff1</v>
      </c>
      <c r="J1412" t="str">
        <f t="shared" si="119"/>
        <v>rbff1release</v>
      </c>
      <c r="K1412" t="s">
        <v>46</v>
      </c>
      <c r="L1412" t="str">
        <f t="shared" si="117"/>
        <v>NGM-095 (MVS), NGH-095 (AES)</v>
      </c>
      <c r="M1412" t="str">
        <f t="shared" si="117"/>
        <v>19951221 (MVS), 19960126 (AES)</v>
      </c>
      <c r="N1412" t="str">
        <f t="shared" si="117"/>
        <v>リアルバウト 餓狼伝説</v>
      </c>
      <c r="O1412" t="str">
        <f t="shared" si="117"/>
        <v/>
      </c>
      <c r="P1412" t="str">
        <f t="shared" si="117"/>
        <v/>
      </c>
      <c r="Q1412" t="s">
        <v>4114</v>
      </c>
      <c r="T1412" t="str">
        <f t="shared" si="120"/>
        <v/>
      </c>
      <c r="V1412" t="str">
        <f t="shared" si="116"/>
        <v>MVS,AES</v>
      </c>
      <c r="W1412" t="str">
        <f t="shared" si="116"/>
        <v>MVS,AES</v>
      </c>
      <c r="AG1412" t="s">
        <v>40</v>
      </c>
      <c r="AH1412" t="s">
        <v>4113</v>
      </c>
      <c r="AI1412" t="s">
        <v>15</v>
      </c>
      <c r="AJ1412" t="s">
        <v>3</v>
      </c>
      <c r="AK1412" t="s">
        <v>4112</v>
      </c>
      <c r="AL1412" t="s">
        <v>4111</v>
      </c>
    </row>
    <row r="1413" spans="5:38" x14ac:dyDescent="0.25">
      <c r="I1413" t="str">
        <f t="shared" si="118"/>
        <v>rbff1</v>
      </c>
      <c r="J1413" t="str">
        <f t="shared" si="119"/>
        <v>rbff1alt_title</v>
      </c>
      <c r="K1413" t="s">
        <v>1218</v>
      </c>
      <c r="L1413" t="str">
        <f t="shared" si="117"/>
        <v>NGM-095 (MVS), NGH-095 (AES)</v>
      </c>
      <c r="M1413" t="str">
        <f t="shared" si="117"/>
        <v>19951221 (MVS), 19960126 (AES)</v>
      </c>
      <c r="N1413" t="str">
        <f t="shared" si="117"/>
        <v>リアルバウト 餓狼伝説</v>
      </c>
      <c r="O1413" t="str">
        <f t="shared" si="117"/>
        <v/>
      </c>
      <c r="P1413" t="str">
        <f t="shared" si="117"/>
        <v/>
      </c>
      <c r="Q1413" t="s">
        <v>4110</v>
      </c>
      <c r="T1413" t="str">
        <f t="shared" si="120"/>
        <v/>
      </c>
      <c r="V1413" t="str">
        <f t="shared" si="116"/>
        <v>MVS,AES</v>
      </c>
      <c r="W1413" t="str">
        <f t="shared" si="116"/>
        <v>MVS,AES</v>
      </c>
      <c r="AB1413" t="s">
        <v>34</v>
      </c>
      <c r="AE1413" t="s">
        <v>33</v>
      </c>
      <c r="AH1413" t="s">
        <v>4109</v>
      </c>
      <c r="AI1413" t="s">
        <v>9</v>
      </c>
      <c r="AJ1413" t="s">
        <v>27</v>
      </c>
      <c r="AK1413" t="s">
        <v>4108</v>
      </c>
      <c r="AL1413" t="s">
        <v>4107</v>
      </c>
    </row>
    <row r="1414" spans="5:38" x14ac:dyDescent="0.25">
      <c r="I1414" t="str">
        <f t="shared" si="118"/>
        <v>rbff1</v>
      </c>
      <c r="J1414" t="str">
        <f t="shared" si="119"/>
        <v/>
      </c>
      <c r="L1414" t="str">
        <f t="shared" si="117"/>
        <v>NGM-095 (MVS), NGH-095 (AES)</v>
      </c>
      <c r="M1414" t="str">
        <f t="shared" si="117"/>
        <v>19951221 (MVS), 19960126 (AES)</v>
      </c>
      <c r="N1414" t="str">
        <f t="shared" si="117"/>
        <v>リアルバウト 餓狼伝説</v>
      </c>
      <c r="O1414" t="str">
        <f t="shared" si="117"/>
        <v/>
      </c>
      <c r="P1414" t="str">
        <f t="shared" si="117"/>
        <v/>
      </c>
      <c r="S1414" t="s">
        <v>36</v>
      </c>
      <c r="T1414" t="str">
        <f t="shared" si="120"/>
        <v>rbff1compatibility</v>
      </c>
      <c r="U1414" t="s">
        <v>218</v>
      </c>
      <c r="V1414" t="str">
        <f t="shared" si="116"/>
        <v>MVS,AES</v>
      </c>
      <c r="W1414" t="str">
        <f t="shared" si="116"/>
        <v>MVS,AES</v>
      </c>
      <c r="AB1414" t="s">
        <v>29</v>
      </c>
      <c r="AE1414" t="s">
        <v>27</v>
      </c>
      <c r="AH1414" t="s">
        <v>4106</v>
      </c>
      <c r="AI1414" t="s">
        <v>9</v>
      </c>
      <c r="AJ1414" t="s">
        <v>27</v>
      </c>
      <c r="AK1414" t="s">
        <v>4105</v>
      </c>
      <c r="AL1414" t="s">
        <v>4104</v>
      </c>
    </row>
    <row r="1415" spans="5:38" x14ac:dyDescent="0.25">
      <c r="I1415" t="str">
        <f t="shared" si="118"/>
        <v>rbff1</v>
      </c>
      <c r="J1415" t="str">
        <f t="shared" si="119"/>
        <v/>
      </c>
      <c r="L1415" t="str">
        <f t="shared" si="117"/>
        <v>NGM-095 (MVS), NGH-095 (AES)</v>
      </c>
      <c r="M1415" t="str">
        <f t="shared" si="117"/>
        <v>19951221 (MVS), 19960126 (AES)</v>
      </c>
      <c r="N1415" t="str">
        <f t="shared" si="117"/>
        <v>リアルバウト 餓狼伝説</v>
      </c>
      <c r="O1415" t="str">
        <f t="shared" si="117"/>
        <v/>
      </c>
      <c r="P1415" t="str">
        <f t="shared" si="117"/>
        <v/>
      </c>
      <c r="T1415" t="str">
        <f t="shared" si="120"/>
        <v/>
      </c>
      <c r="V1415" t="str">
        <f t="shared" si="116"/>
        <v>MVS,AES</v>
      </c>
      <c r="W1415" t="str">
        <f t="shared" si="116"/>
        <v>MVS,AES</v>
      </c>
      <c r="AB1415" t="s">
        <v>24</v>
      </c>
      <c r="AE1415" t="s">
        <v>250</v>
      </c>
      <c r="AH1415" t="s">
        <v>4103</v>
      </c>
      <c r="AI1415" t="s">
        <v>9</v>
      </c>
      <c r="AJ1415" t="s">
        <v>11</v>
      </c>
      <c r="AK1415" t="s">
        <v>4102</v>
      </c>
      <c r="AL1415" t="s">
        <v>4101</v>
      </c>
    </row>
    <row r="1416" spans="5:38" x14ac:dyDescent="0.25">
      <c r="I1416" t="str">
        <f t="shared" si="118"/>
        <v>rbff1</v>
      </c>
      <c r="J1416" t="str">
        <f t="shared" si="119"/>
        <v/>
      </c>
      <c r="L1416" t="str">
        <f t="shared" si="117"/>
        <v>NGM-095 (MVS), NGH-095 (AES)</v>
      </c>
      <c r="M1416" t="str">
        <f t="shared" si="117"/>
        <v>19951221 (MVS), 19960126 (AES)</v>
      </c>
      <c r="N1416" t="str">
        <f t="shared" si="117"/>
        <v>リアルバウト 餓狼伝説</v>
      </c>
      <c r="O1416" t="str">
        <f t="shared" si="117"/>
        <v/>
      </c>
      <c r="P1416" t="str">
        <f t="shared" si="117"/>
        <v/>
      </c>
      <c r="T1416" t="str">
        <f t="shared" si="120"/>
        <v/>
      </c>
      <c r="V1416" t="str">
        <f t="shared" si="116"/>
        <v>MVS,AES</v>
      </c>
      <c r="W1416" t="str">
        <f t="shared" si="116"/>
        <v>MVS,AES</v>
      </c>
      <c r="AH1416" t="s">
        <v>4100</v>
      </c>
      <c r="AI1416" t="s">
        <v>11</v>
      </c>
      <c r="AJ1416" t="s">
        <v>11</v>
      </c>
      <c r="AK1416" t="s">
        <v>4099</v>
      </c>
      <c r="AL1416" t="s">
        <v>4098</v>
      </c>
    </row>
    <row r="1417" spans="5:38" x14ac:dyDescent="0.25">
      <c r="I1417" t="str">
        <f t="shared" si="118"/>
        <v>rbff1</v>
      </c>
      <c r="J1417" t="str">
        <f t="shared" si="119"/>
        <v/>
      </c>
      <c r="L1417" t="str">
        <f t="shared" si="117"/>
        <v>NGM-095 (MVS), NGH-095 (AES)</v>
      </c>
      <c r="M1417" t="str">
        <f t="shared" si="117"/>
        <v>19951221 (MVS), 19960126 (AES)</v>
      </c>
      <c r="N1417" t="str">
        <f t="shared" si="117"/>
        <v>リアルバウト 餓狼伝説</v>
      </c>
      <c r="O1417" t="str">
        <f t="shared" si="117"/>
        <v/>
      </c>
      <c r="P1417" t="str">
        <f t="shared" si="117"/>
        <v/>
      </c>
      <c r="T1417" t="str">
        <f t="shared" si="120"/>
        <v/>
      </c>
      <c r="V1417" t="str">
        <f t="shared" si="116"/>
        <v>MVS,AES</v>
      </c>
      <c r="W1417" t="str">
        <f t="shared" si="116"/>
        <v>MVS,AES</v>
      </c>
      <c r="AH1417" t="s">
        <v>4097</v>
      </c>
      <c r="AI1417" t="s">
        <v>57</v>
      </c>
      <c r="AJ1417" t="s">
        <v>11</v>
      </c>
      <c r="AK1417" t="s">
        <v>4096</v>
      </c>
      <c r="AL1417" t="s">
        <v>4095</v>
      </c>
    </row>
    <row r="1418" spans="5:38" x14ac:dyDescent="0.25">
      <c r="I1418" t="str">
        <f t="shared" si="118"/>
        <v>rbff1</v>
      </c>
      <c r="J1418" t="str">
        <f t="shared" si="119"/>
        <v/>
      </c>
      <c r="L1418" t="str">
        <f t="shared" si="117"/>
        <v>NGM-095 (MVS), NGH-095 (AES)</v>
      </c>
      <c r="M1418" t="str">
        <f t="shared" si="117"/>
        <v>19951221 (MVS), 19960126 (AES)</v>
      </c>
      <c r="N1418" t="str">
        <f t="shared" si="117"/>
        <v>リアルバウト 餓狼伝説</v>
      </c>
      <c r="O1418" t="str">
        <f t="shared" si="117"/>
        <v/>
      </c>
      <c r="P1418" t="str">
        <f t="shared" si="117"/>
        <v/>
      </c>
      <c r="T1418" t="str">
        <f t="shared" si="120"/>
        <v/>
      </c>
      <c r="V1418" t="str">
        <f t="shared" si="116"/>
        <v>MVS,AES</v>
      </c>
      <c r="W1418" t="str">
        <f t="shared" si="116"/>
        <v>MVS,AES</v>
      </c>
      <c r="AB1418" t="s">
        <v>12</v>
      </c>
      <c r="AE1418" t="s">
        <v>3588</v>
      </c>
      <c r="AG1418" t="s">
        <v>6</v>
      </c>
      <c r="AH1418" t="s">
        <v>4094</v>
      </c>
      <c r="AI1418" t="s">
        <v>9</v>
      </c>
      <c r="AJ1418" t="s">
        <v>11</v>
      </c>
      <c r="AK1418" t="s">
        <v>4093</v>
      </c>
      <c r="AL1418" t="s">
        <v>4092</v>
      </c>
    </row>
    <row r="1419" spans="5:38" x14ac:dyDescent="0.25">
      <c r="I1419" t="str">
        <f t="shared" si="118"/>
        <v>rbff1</v>
      </c>
      <c r="J1419" t="str">
        <f t="shared" si="119"/>
        <v/>
      </c>
      <c r="L1419" t="str">
        <f t="shared" si="117"/>
        <v>NGM-095 (MVS), NGH-095 (AES)</v>
      </c>
      <c r="M1419" t="str">
        <f t="shared" si="117"/>
        <v>19951221 (MVS), 19960126 (AES)</v>
      </c>
      <c r="N1419" t="str">
        <f t="shared" si="117"/>
        <v>リアルバウト 餓狼伝説</v>
      </c>
      <c r="O1419" t="str">
        <f t="shared" si="117"/>
        <v/>
      </c>
      <c r="P1419" t="str">
        <f t="shared" si="117"/>
        <v/>
      </c>
      <c r="T1419" t="str">
        <f t="shared" si="120"/>
        <v/>
      </c>
      <c r="V1419" t="str">
        <f t="shared" si="116"/>
        <v>MVS,AES</v>
      </c>
      <c r="W1419" t="str">
        <f t="shared" si="116"/>
        <v>MVS,AES</v>
      </c>
      <c r="AG1419" t="s">
        <v>6</v>
      </c>
      <c r="AH1419" t="s">
        <v>4091</v>
      </c>
      <c r="AI1419" t="s">
        <v>4</v>
      </c>
      <c r="AJ1419" t="s">
        <v>11</v>
      </c>
      <c r="AK1419" t="s">
        <v>4090</v>
      </c>
      <c r="AL1419" t="s">
        <v>4089</v>
      </c>
    </row>
    <row r="1420" spans="5:38" x14ac:dyDescent="0.25">
      <c r="I1420" t="str">
        <f t="shared" si="118"/>
        <v>rbff1</v>
      </c>
      <c r="J1420" t="str">
        <f t="shared" si="119"/>
        <v/>
      </c>
      <c r="L1420" t="str">
        <f t="shared" si="117"/>
        <v>NGM-095 (MVS), NGH-095 (AES)</v>
      </c>
      <c r="M1420" t="str">
        <f t="shared" si="117"/>
        <v>19951221 (MVS), 19960126 (AES)</v>
      </c>
      <c r="N1420" t="str">
        <f t="shared" si="117"/>
        <v>リアルバウト 餓狼伝説</v>
      </c>
      <c r="O1420" t="str">
        <f t="shared" si="117"/>
        <v/>
      </c>
      <c r="P1420" t="str">
        <f t="shared" si="117"/>
        <v/>
      </c>
      <c r="T1420" t="str">
        <f t="shared" si="120"/>
        <v/>
      </c>
      <c r="V1420" t="str">
        <f t="shared" si="116"/>
        <v>MVS,AES</v>
      </c>
      <c r="W1420" t="str">
        <f t="shared" si="116"/>
        <v>MVS,AES</v>
      </c>
      <c r="AG1420" t="s">
        <v>6</v>
      </c>
      <c r="AH1420" t="s">
        <v>4088</v>
      </c>
      <c r="AI1420" t="s">
        <v>57</v>
      </c>
      <c r="AJ1420" t="s">
        <v>11</v>
      </c>
      <c r="AK1420" t="s">
        <v>4087</v>
      </c>
      <c r="AL1420" t="s">
        <v>4086</v>
      </c>
    </row>
    <row r="1421" spans="5:38" x14ac:dyDescent="0.25">
      <c r="I1421" t="str">
        <f t="shared" si="118"/>
        <v>rbff1</v>
      </c>
      <c r="J1421" t="str">
        <f t="shared" si="119"/>
        <v/>
      </c>
      <c r="L1421" t="str">
        <f t="shared" si="117"/>
        <v>NGM-095 (MVS), NGH-095 (AES)</v>
      </c>
      <c r="M1421" t="str">
        <f t="shared" si="117"/>
        <v>19951221 (MVS), 19960126 (AES)</v>
      </c>
      <c r="N1421" t="str">
        <f t="shared" si="117"/>
        <v>リアルバウト 餓狼伝説</v>
      </c>
      <c r="O1421" t="str">
        <f t="shared" si="117"/>
        <v/>
      </c>
      <c r="P1421" t="str">
        <f t="shared" si="117"/>
        <v/>
      </c>
      <c r="T1421" t="str">
        <f t="shared" si="120"/>
        <v/>
      </c>
      <c r="V1421" t="str">
        <f t="shared" si="116"/>
        <v>MVS,AES</v>
      </c>
      <c r="W1421" t="str">
        <f t="shared" si="116"/>
        <v>MVS,AES</v>
      </c>
      <c r="AG1421" t="s">
        <v>6</v>
      </c>
      <c r="AH1421" t="s">
        <v>4085</v>
      </c>
      <c r="AI1421" t="s">
        <v>53</v>
      </c>
      <c r="AJ1421" t="s">
        <v>11</v>
      </c>
      <c r="AK1421" t="s">
        <v>4084</v>
      </c>
      <c r="AL1421" t="s">
        <v>4083</v>
      </c>
    </row>
    <row r="1422" spans="5:38" x14ac:dyDescent="0.25">
      <c r="I1422" t="str">
        <f t="shared" si="118"/>
        <v>rbff1</v>
      </c>
      <c r="J1422" t="str">
        <f t="shared" si="119"/>
        <v/>
      </c>
      <c r="L1422" t="str">
        <f t="shared" si="117"/>
        <v>NGM-095 (MVS), NGH-095 (AES)</v>
      </c>
      <c r="M1422" t="str">
        <f t="shared" si="117"/>
        <v>19951221 (MVS), 19960126 (AES)</v>
      </c>
      <c r="N1422" t="str">
        <f t="shared" si="117"/>
        <v>リアルバウト 餓狼伝説</v>
      </c>
      <c r="O1422" t="str">
        <f t="shared" si="117"/>
        <v/>
      </c>
      <c r="P1422" t="str">
        <f t="shared" si="117"/>
        <v/>
      </c>
      <c r="T1422" t="str">
        <f t="shared" si="120"/>
        <v/>
      </c>
      <c r="V1422" t="str">
        <f t="shared" si="116"/>
        <v>MVS,AES</v>
      </c>
      <c r="W1422" t="str">
        <f t="shared" si="116"/>
        <v>MVS,AES</v>
      </c>
      <c r="AG1422" t="s">
        <v>6</v>
      </c>
      <c r="AH1422" t="s">
        <v>4082</v>
      </c>
      <c r="AI1422" t="s">
        <v>65</v>
      </c>
      <c r="AJ1422" t="s">
        <v>11</v>
      </c>
      <c r="AK1422" t="s">
        <v>4081</v>
      </c>
      <c r="AL1422" t="s">
        <v>4080</v>
      </c>
    </row>
    <row r="1423" spans="5:38" x14ac:dyDescent="0.25">
      <c r="I1423" t="str">
        <f t="shared" si="118"/>
        <v>rbff1</v>
      </c>
      <c r="J1423" t="str">
        <f t="shared" si="119"/>
        <v/>
      </c>
      <c r="L1423" t="str">
        <f t="shared" si="117"/>
        <v>NGM-095 (MVS), NGH-095 (AES)</v>
      </c>
      <c r="M1423" t="str">
        <f t="shared" si="117"/>
        <v>19951221 (MVS), 19960126 (AES)</v>
      </c>
      <c r="N1423" t="str">
        <f t="shared" si="117"/>
        <v>リアルバウト 餓狼伝説</v>
      </c>
      <c r="O1423" t="str">
        <f t="shared" si="117"/>
        <v/>
      </c>
      <c r="P1423" t="str">
        <f t="shared" si="117"/>
        <v/>
      </c>
      <c r="T1423" t="str">
        <f t="shared" si="120"/>
        <v/>
      </c>
      <c r="V1423" t="str">
        <f t="shared" si="116"/>
        <v>MVS,AES</v>
      </c>
      <c r="W1423" t="str">
        <f t="shared" si="116"/>
        <v>MVS,AES</v>
      </c>
      <c r="AG1423" t="s">
        <v>6</v>
      </c>
      <c r="AH1423" t="s">
        <v>4079</v>
      </c>
      <c r="AI1423" t="s">
        <v>164</v>
      </c>
      <c r="AJ1423" t="s">
        <v>11</v>
      </c>
      <c r="AK1423" t="s">
        <v>4078</v>
      </c>
      <c r="AL1423" t="s">
        <v>4077</v>
      </c>
    </row>
    <row r="1424" spans="5:38" x14ac:dyDescent="0.25">
      <c r="I1424" t="str">
        <f t="shared" si="118"/>
        <v>rbff1</v>
      </c>
      <c r="J1424" t="str">
        <f t="shared" si="119"/>
        <v/>
      </c>
      <c r="L1424" t="str">
        <f t="shared" si="117"/>
        <v>NGM-095 (MVS), NGH-095 (AES)</v>
      </c>
      <c r="M1424" t="str">
        <f t="shared" si="117"/>
        <v>19951221 (MVS), 19960126 (AES)</v>
      </c>
      <c r="N1424" t="str">
        <f t="shared" si="117"/>
        <v>リアルバウト 餓狼伝説</v>
      </c>
      <c r="O1424" t="str">
        <f t="shared" si="117"/>
        <v/>
      </c>
      <c r="P1424" t="str">
        <f t="shared" si="117"/>
        <v/>
      </c>
      <c r="T1424" t="str">
        <f t="shared" si="120"/>
        <v/>
      </c>
      <c r="V1424" t="str">
        <f t="shared" si="116"/>
        <v>MVS,AES</v>
      </c>
      <c r="W1424" t="str">
        <f t="shared" si="116"/>
        <v>MVS,AES</v>
      </c>
      <c r="AG1424" t="s">
        <v>6</v>
      </c>
      <c r="AH1424" t="s">
        <v>4076</v>
      </c>
      <c r="AI1424" t="s">
        <v>634</v>
      </c>
      <c r="AJ1424" t="s">
        <v>3</v>
      </c>
      <c r="AK1424" t="s">
        <v>4075</v>
      </c>
      <c r="AL1424" t="s">
        <v>4074</v>
      </c>
    </row>
    <row r="1425" spans="5:44" x14ac:dyDescent="0.25">
      <c r="I1425" t="str">
        <f t="shared" si="118"/>
        <v>rbff1</v>
      </c>
      <c r="J1425" t="str">
        <f t="shared" si="119"/>
        <v/>
      </c>
      <c r="L1425" t="str">
        <f t="shared" si="117"/>
        <v>NGM-095 (MVS), NGH-095 (AES)</v>
      </c>
      <c r="M1425" t="str">
        <f t="shared" si="117"/>
        <v>19951221 (MVS), 19960126 (AES)</v>
      </c>
      <c r="N1425" t="str">
        <f t="shared" si="117"/>
        <v>リアルバウト 餓狼伝説</v>
      </c>
      <c r="O1425" t="str">
        <f t="shared" si="117"/>
        <v/>
      </c>
      <c r="P1425" t="str">
        <f t="shared" si="117"/>
        <v/>
      </c>
      <c r="T1425" t="str">
        <f t="shared" si="120"/>
        <v/>
      </c>
      <c r="V1425" t="str">
        <f t="shared" si="116"/>
        <v>MVS,AES</v>
      </c>
      <c r="W1425" t="str">
        <f t="shared" si="116"/>
        <v>MVS,AES</v>
      </c>
      <c r="AG1425" t="s">
        <v>6</v>
      </c>
      <c r="AH1425" t="s">
        <v>4073</v>
      </c>
      <c r="AI1425" t="s">
        <v>630</v>
      </c>
      <c r="AJ1425" t="s">
        <v>3</v>
      </c>
      <c r="AK1425" t="s">
        <v>4072</v>
      </c>
      <c r="AL1425" t="s">
        <v>4071</v>
      </c>
    </row>
    <row r="1426" spans="5:44" x14ac:dyDescent="0.25">
      <c r="E1426" t="s">
        <v>4134</v>
      </c>
      <c r="F1426" t="s">
        <v>4133</v>
      </c>
      <c r="G1426" t="s">
        <v>1239</v>
      </c>
      <c r="H1426" t="s">
        <v>1912</v>
      </c>
      <c r="I1426" t="str">
        <f t="shared" si="118"/>
        <v>rbff1a</v>
      </c>
      <c r="J1426" t="str">
        <f t="shared" si="119"/>
        <v>rbff1aserial</v>
      </c>
      <c r="K1426" t="s">
        <v>1373</v>
      </c>
      <c r="L1426" t="str">
        <f t="shared" si="117"/>
        <v>NGM-095 (MVS), NGH-095 (AES)</v>
      </c>
      <c r="M1426" t="str">
        <f t="shared" si="117"/>
        <v>19951221 (MVS), 19960126 (AES)</v>
      </c>
      <c r="N1426" t="str">
        <f t="shared" si="117"/>
        <v>リアルバウト 餓狼伝説</v>
      </c>
      <c r="O1426" t="str">
        <f t="shared" si="117"/>
        <v/>
      </c>
      <c r="P1426" t="str">
        <f t="shared" si="117"/>
        <v/>
      </c>
      <c r="Q1426" t="s">
        <v>4119</v>
      </c>
      <c r="S1426" t="s">
        <v>46</v>
      </c>
      <c r="T1426" t="str">
        <f t="shared" si="120"/>
        <v>rbff1arelease</v>
      </c>
      <c r="U1426" t="s">
        <v>106</v>
      </c>
      <c r="V1426" t="str">
        <f t="shared" si="116"/>
        <v>MVS</v>
      </c>
      <c r="W1426" t="str">
        <f t="shared" si="116"/>
        <v>MVS,AES</v>
      </c>
      <c r="Y1426" t="s">
        <v>45</v>
      </c>
      <c r="Z1426" t="s">
        <v>44</v>
      </c>
      <c r="AB1426" t="s">
        <v>43</v>
      </c>
      <c r="AC1426" t="s">
        <v>42</v>
      </c>
      <c r="AD1426" t="s">
        <v>41</v>
      </c>
      <c r="AE1426" t="s">
        <v>377</v>
      </c>
      <c r="AG1426" t="s">
        <v>40</v>
      </c>
      <c r="AH1426" t="s">
        <v>4132</v>
      </c>
      <c r="AI1426" t="s">
        <v>9</v>
      </c>
      <c r="AJ1426" t="s">
        <v>15</v>
      </c>
      <c r="AK1426" t="s">
        <v>4131</v>
      </c>
      <c r="AL1426" t="s">
        <v>4130</v>
      </c>
      <c r="AR1426" t="s">
        <v>4115</v>
      </c>
    </row>
    <row r="1427" spans="5:44" x14ac:dyDescent="0.25">
      <c r="I1427" t="str">
        <f t="shared" si="118"/>
        <v>rbff1a</v>
      </c>
      <c r="J1427" t="str">
        <f t="shared" si="119"/>
        <v>rbff1arelease</v>
      </c>
      <c r="K1427" t="s">
        <v>46</v>
      </c>
      <c r="L1427" t="str">
        <f t="shared" si="117"/>
        <v>NGM-095 (MVS), NGH-095 (AES)</v>
      </c>
      <c r="M1427" t="str">
        <f t="shared" si="117"/>
        <v>19951221 (MVS), 19960126 (AES)</v>
      </c>
      <c r="N1427" t="str">
        <f t="shared" si="117"/>
        <v>リアルバウト 餓狼伝説</v>
      </c>
      <c r="O1427" t="str">
        <f t="shared" si="117"/>
        <v/>
      </c>
      <c r="P1427" t="str">
        <f t="shared" si="117"/>
        <v/>
      </c>
      <c r="Q1427" t="s">
        <v>4114</v>
      </c>
      <c r="T1427" t="str">
        <f t="shared" si="120"/>
        <v/>
      </c>
      <c r="V1427" t="str">
        <f t="shared" si="116"/>
        <v>MVS</v>
      </c>
      <c r="W1427" t="str">
        <f t="shared" si="116"/>
        <v>MVS,AES</v>
      </c>
      <c r="AG1427" t="s">
        <v>40</v>
      </c>
      <c r="AH1427" t="s">
        <v>4113</v>
      </c>
      <c r="AI1427" t="s">
        <v>15</v>
      </c>
      <c r="AJ1427" t="s">
        <v>3</v>
      </c>
      <c r="AK1427" t="s">
        <v>4112</v>
      </c>
      <c r="AL1427" t="s">
        <v>4111</v>
      </c>
    </row>
    <row r="1428" spans="5:44" x14ac:dyDescent="0.25">
      <c r="I1428" t="str">
        <f t="shared" si="118"/>
        <v>rbff1a</v>
      </c>
      <c r="J1428" t="str">
        <f t="shared" si="119"/>
        <v>rbff1aalt_title</v>
      </c>
      <c r="K1428" t="s">
        <v>1218</v>
      </c>
      <c r="L1428" t="str">
        <f t="shared" si="117"/>
        <v>NGM-095 (MVS), NGH-095 (AES)</v>
      </c>
      <c r="M1428" t="str">
        <f t="shared" si="117"/>
        <v>19951221 (MVS), 19960126 (AES)</v>
      </c>
      <c r="N1428" t="str">
        <f t="shared" si="117"/>
        <v>リアルバウト 餓狼伝説</v>
      </c>
      <c r="O1428" t="str">
        <f t="shared" si="117"/>
        <v/>
      </c>
      <c r="P1428" t="str">
        <f t="shared" si="117"/>
        <v/>
      </c>
      <c r="Q1428" t="s">
        <v>4110</v>
      </c>
      <c r="T1428" t="str">
        <f t="shared" si="120"/>
        <v/>
      </c>
      <c r="V1428" t="str">
        <f t="shared" si="116"/>
        <v>MVS</v>
      </c>
      <c r="W1428" t="str">
        <f t="shared" si="116"/>
        <v>MVS,AES</v>
      </c>
      <c r="AG1428" t="s">
        <v>40</v>
      </c>
      <c r="AH1428" t="s">
        <v>4129</v>
      </c>
      <c r="AI1428" t="s">
        <v>9</v>
      </c>
      <c r="AJ1428" t="s">
        <v>92</v>
      </c>
      <c r="AK1428" t="s">
        <v>4128</v>
      </c>
      <c r="AL1428" t="s">
        <v>4127</v>
      </c>
    </row>
    <row r="1429" spans="5:44" x14ac:dyDescent="0.25">
      <c r="I1429" t="str">
        <f t="shared" si="118"/>
        <v>rbff1a</v>
      </c>
      <c r="J1429" t="str">
        <f t="shared" si="119"/>
        <v/>
      </c>
      <c r="L1429" t="str">
        <f t="shared" si="117"/>
        <v>NGM-095 (MVS), NGH-095 (AES)</v>
      </c>
      <c r="M1429" t="str">
        <f t="shared" si="117"/>
        <v>19951221 (MVS), 19960126 (AES)</v>
      </c>
      <c r="N1429" t="str">
        <f t="shared" si="117"/>
        <v>リアルバウト 餓狼伝説</v>
      </c>
      <c r="O1429" t="str">
        <f t="shared" si="117"/>
        <v/>
      </c>
      <c r="P1429" t="str">
        <f t="shared" si="117"/>
        <v/>
      </c>
      <c r="S1429" t="s">
        <v>36</v>
      </c>
      <c r="T1429" t="str">
        <f t="shared" si="120"/>
        <v>rbff1acompatibility</v>
      </c>
      <c r="U1429" t="s">
        <v>218</v>
      </c>
      <c r="V1429" t="str">
        <f t="shared" si="116"/>
        <v>MVS</v>
      </c>
      <c r="W1429" t="str">
        <f t="shared" si="116"/>
        <v>MVS,AES</v>
      </c>
      <c r="AB1429" t="s">
        <v>34</v>
      </c>
      <c r="AE1429" t="s">
        <v>33</v>
      </c>
      <c r="AH1429" t="s">
        <v>4109</v>
      </c>
      <c r="AI1429" t="s">
        <v>9</v>
      </c>
      <c r="AJ1429" t="s">
        <v>27</v>
      </c>
      <c r="AK1429" t="s">
        <v>4108</v>
      </c>
      <c r="AL1429" t="s">
        <v>4107</v>
      </c>
    </row>
    <row r="1430" spans="5:44" x14ac:dyDescent="0.25">
      <c r="I1430" t="str">
        <f t="shared" si="118"/>
        <v>rbff1a</v>
      </c>
      <c r="J1430" t="str">
        <f t="shared" si="119"/>
        <v/>
      </c>
      <c r="L1430" t="str">
        <f t="shared" si="117"/>
        <v>NGM-095 (MVS), NGH-095 (AES)</v>
      </c>
      <c r="M1430" t="str">
        <f t="shared" si="117"/>
        <v>19951221 (MVS), 19960126 (AES)</v>
      </c>
      <c r="N1430" t="str">
        <f t="shared" si="117"/>
        <v>リアルバウト 餓狼伝説</v>
      </c>
      <c r="O1430" t="str">
        <f t="shared" si="117"/>
        <v/>
      </c>
      <c r="P1430" t="str">
        <f t="shared" si="117"/>
        <v/>
      </c>
      <c r="T1430" t="str">
        <f t="shared" si="120"/>
        <v/>
      </c>
      <c r="V1430" t="str">
        <f t="shared" si="116"/>
        <v>MVS</v>
      </c>
      <c r="W1430" t="str">
        <f t="shared" si="116"/>
        <v>MVS,AES</v>
      </c>
      <c r="AB1430" t="s">
        <v>29</v>
      </c>
      <c r="AE1430" t="s">
        <v>27</v>
      </c>
      <c r="AH1430" t="s">
        <v>4106</v>
      </c>
      <c r="AI1430" t="s">
        <v>9</v>
      </c>
      <c r="AJ1430" t="s">
        <v>27</v>
      </c>
      <c r="AK1430" t="s">
        <v>4105</v>
      </c>
      <c r="AL1430" t="s">
        <v>4104</v>
      </c>
    </row>
    <row r="1431" spans="5:44" x14ac:dyDescent="0.25">
      <c r="I1431" t="str">
        <f t="shared" si="118"/>
        <v>rbff1a</v>
      </c>
      <c r="J1431" t="str">
        <f t="shared" si="119"/>
        <v/>
      </c>
      <c r="L1431" t="str">
        <f t="shared" si="117"/>
        <v>NGM-095 (MVS), NGH-095 (AES)</v>
      </c>
      <c r="M1431" t="str">
        <f t="shared" si="117"/>
        <v>19951221 (MVS), 19960126 (AES)</v>
      </c>
      <c r="N1431" t="str">
        <f t="shared" si="117"/>
        <v>リアルバウト 餓狼伝説</v>
      </c>
      <c r="O1431" t="str">
        <f t="shared" si="117"/>
        <v/>
      </c>
      <c r="P1431" t="str">
        <f t="shared" si="117"/>
        <v/>
      </c>
      <c r="T1431" t="str">
        <f t="shared" si="120"/>
        <v/>
      </c>
      <c r="V1431" t="str">
        <f t="shared" ref="V1431:W1494" si="121">IFERROR(VLOOKUP($I1431&amp;V$1,$T:$AA,2,0),"")</f>
        <v>MVS</v>
      </c>
      <c r="W1431" t="str">
        <f t="shared" si="121"/>
        <v>MVS,AES</v>
      </c>
      <c r="AB1431" t="s">
        <v>24</v>
      </c>
      <c r="AE1431" t="s">
        <v>250</v>
      </c>
      <c r="AH1431" t="s">
        <v>4103</v>
      </c>
      <c r="AI1431" t="s">
        <v>9</v>
      </c>
      <c r="AJ1431" t="s">
        <v>11</v>
      </c>
      <c r="AK1431" t="s">
        <v>4102</v>
      </c>
      <c r="AL1431" t="s">
        <v>4101</v>
      </c>
    </row>
    <row r="1432" spans="5:44" x14ac:dyDescent="0.25">
      <c r="I1432" t="str">
        <f t="shared" si="118"/>
        <v>rbff1a</v>
      </c>
      <c r="J1432" t="str">
        <f t="shared" si="119"/>
        <v/>
      </c>
      <c r="L1432" t="str">
        <f t="shared" si="117"/>
        <v>NGM-095 (MVS), NGH-095 (AES)</v>
      </c>
      <c r="M1432" t="str">
        <f t="shared" si="117"/>
        <v>19951221 (MVS), 19960126 (AES)</v>
      </c>
      <c r="N1432" t="str">
        <f t="shared" si="117"/>
        <v>リアルバウト 餓狼伝説</v>
      </c>
      <c r="O1432" t="str">
        <f t="shared" si="117"/>
        <v/>
      </c>
      <c r="P1432" t="str">
        <f t="shared" si="117"/>
        <v/>
      </c>
      <c r="T1432" t="str">
        <f t="shared" si="120"/>
        <v/>
      </c>
      <c r="V1432" t="str">
        <f t="shared" si="121"/>
        <v>MVS</v>
      </c>
      <c r="W1432" t="str">
        <f t="shared" si="121"/>
        <v>MVS,AES</v>
      </c>
      <c r="AH1432" t="s">
        <v>4100</v>
      </c>
      <c r="AI1432" t="s">
        <v>11</v>
      </c>
      <c r="AJ1432" t="s">
        <v>11</v>
      </c>
      <c r="AK1432" t="s">
        <v>4099</v>
      </c>
      <c r="AL1432" t="s">
        <v>4098</v>
      </c>
    </row>
    <row r="1433" spans="5:44" x14ac:dyDescent="0.25">
      <c r="I1433" t="str">
        <f t="shared" si="118"/>
        <v>rbff1a</v>
      </c>
      <c r="J1433" t="str">
        <f t="shared" si="119"/>
        <v/>
      </c>
      <c r="L1433" t="str">
        <f t="shared" si="117"/>
        <v>NGM-095 (MVS), NGH-095 (AES)</v>
      </c>
      <c r="M1433" t="str">
        <f t="shared" si="117"/>
        <v>19951221 (MVS), 19960126 (AES)</v>
      </c>
      <c r="N1433" t="str">
        <f t="shared" si="117"/>
        <v>リアルバウト 餓狼伝説</v>
      </c>
      <c r="O1433" t="str">
        <f t="shared" si="117"/>
        <v/>
      </c>
      <c r="P1433" t="str">
        <f t="shared" si="117"/>
        <v/>
      </c>
      <c r="T1433" t="str">
        <f t="shared" si="120"/>
        <v/>
      </c>
      <c r="V1433" t="str">
        <f t="shared" si="121"/>
        <v>MVS</v>
      </c>
      <c r="W1433" t="str">
        <f t="shared" si="121"/>
        <v>MVS,AES</v>
      </c>
      <c r="AH1433" t="s">
        <v>4097</v>
      </c>
      <c r="AI1433" t="s">
        <v>57</v>
      </c>
      <c r="AJ1433" t="s">
        <v>11</v>
      </c>
      <c r="AK1433" t="s">
        <v>4096</v>
      </c>
      <c r="AL1433" t="s">
        <v>4095</v>
      </c>
    </row>
    <row r="1434" spans="5:44" x14ac:dyDescent="0.25">
      <c r="I1434" t="str">
        <f t="shared" si="118"/>
        <v>rbff1a</v>
      </c>
      <c r="J1434" t="str">
        <f t="shared" si="119"/>
        <v/>
      </c>
      <c r="L1434" t="str">
        <f t="shared" si="117"/>
        <v>NGM-095 (MVS), NGH-095 (AES)</v>
      </c>
      <c r="M1434" t="str">
        <f t="shared" si="117"/>
        <v>19951221 (MVS), 19960126 (AES)</v>
      </c>
      <c r="N1434" t="str">
        <f t="shared" si="117"/>
        <v>リアルバウト 餓狼伝説</v>
      </c>
      <c r="O1434" t="str">
        <f t="shared" si="117"/>
        <v/>
      </c>
      <c r="P1434" t="str">
        <f t="shared" si="117"/>
        <v/>
      </c>
      <c r="T1434" t="str">
        <f t="shared" si="120"/>
        <v/>
      </c>
      <c r="V1434" t="str">
        <f t="shared" si="121"/>
        <v>MVS</v>
      </c>
      <c r="W1434" t="str">
        <f t="shared" si="121"/>
        <v>MVS,AES</v>
      </c>
      <c r="AB1434" t="s">
        <v>12</v>
      </c>
      <c r="AE1434" t="s">
        <v>3588</v>
      </c>
      <c r="AG1434" t="s">
        <v>6</v>
      </c>
      <c r="AH1434" t="s">
        <v>4094</v>
      </c>
      <c r="AI1434" t="s">
        <v>9</v>
      </c>
      <c r="AJ1434" t="s">
        <v>11</v>
      </c>
      <c r="AK1434" t="s">
        <v>4093</v>
      </c>
      <c r="AL1434" t="s">
        <v>4092</v>
      </c>
    </row>
    <row r="1435" spans="5:44" x14ac:dyDescent="0.25">
      <c r="I1435" t="str">
        <f t="shared" si="118"/>
        <v>rbff1a</v>
      </c>
      <c r="J1435" t="str">
        <f t="shared" si="119"/>
        <v/>
      </c>
      <c r="L1435" t="str">
        <f t="shared" si="117"/>
        <v>NGM-095 (MVS), NGH-095 (AES)</v>
      </c>
      <c r="M1435" t="str">
        <f t="shared" si="117"/>
        <v>19951221 (MVS), 19960126 (AES)</v>
      </c>
      <c r="N1435" t="str">
        <f t="shared" si="117"/>
        <v>リアルバウト 餓狼伝説</v>
      </c>
      <c r="O1435" t="str">
        <f t="shared" si="117"/>
        <v/>
      </c>
      <c r="P1435" t="str">
        <f t="shared" si="117"/>
        <v/>
      </c>
      <c r="T1435" t="str">
        <f t="shared" si="120"/>
        <v/>
      </c>
      <c r="V1435" t="str">
        <f t="shared" si="121"/>
        <v>MVS</v>
      </c>
      <c r="W1435" t="str">
        <f t="shared" si="121"/>
        <v>MVS,AES</v>
      </c>
      <c r="AG1435" t="s">
        <v>6</v>
      </c>
      <c r="AH1435" t="s">
        <v>4091</v>
      </c>
      <c r="AI1435" t="s">
        <v>4</v>
      </c>
      <c r="AJ1435" t="s">
        <v>11</v>
      </c>
      <c r="AK1435" t="s">
        <v>4090</v>
      </c>
      <c r="AL1435" t="s">
        <v>4089</v>
      </c>
    </row>
    <row r="1436" spans="5:44" x14ac:dyDescent="0.25">
      <c r="I1436" t="str">
        <f t="shared" si="118"/>
        <v>rbff1a</v>
      </c>
      <c r="J1436" t="str">
        <f t="shared" si="119"/>
        <v/>
      </c>
      <c r="L1436" t="str">
        <f t="shared" si="117"/>
        <v>NGM-095 (MVS), NGH-095 (AES)</v>
      </c>
      <c r="M1436" t="str">
        <f t="shared" si="117"/>
        <v>19951221 (MVS), 19960126 (AES)</v>
      </c>
      <c r="N1436" t="str">
        <f t="shared" si="117"/>
        <v>リアルバウト 餓狼伝説</v>
      </c>
      <c r="O1436" t="str">
        <f t="shared" si="117"/>
        <v/>
      </c>
      <c r="P1436" t="str">
        <f t="shared" si="117"/>
        <v/>
      </c>
      <c r="T1436" t="str">
        <f t="shared" si="120"/>
        <v/>
      </c>
      <c r="V1436" t="str">
        <f t="shared" si="121"/>
        <v>MVS</v>
      </c>
      <c r="W1436" t="str">
        <f t="shared" si="121"/>
        <v>MVS,AES</v>
      </c>
      <c r="AG1436" t="s">
        <v>6</v>
      </c>
      <c r="AH1436" t="s">
        <v>4088</v>
      </c>
      <c r="AI1436" t="s">
        <v>57</v>
      </c>
      <c r="AJ1436" t="s">
        <v>11</v>
      </c>
      <c r="AK1436" t="s">
        <v>4087</v>
      </c>
      <c r="AL1436" t="s">
        <v>4086</v>
      </c>
    </row>
    <row r="1437" spans="5:44" x14ac:dyDescent="0.25">
      <c r="I1437" t="str">
        <f t="shared" si="118"/>
        <v>rbff1a</v>
      </c>
      <c r="J1437" t="str">
        <f t="shared" si="119"/>
        <v/>
      </c>
      <c r="L1437" t="str">
        <f t="shared" si="117"/>
        <v>NGM-095 (MVS), NGH-095 (AES)</v>
      </c>
      <c r="M1437" t="str">
        <f t="shared" si="117"/>
        <v>19951221 (MVS), 19960126 (AES)</v>
      </c>
      <c r="N1437" t="str">
        <f t="shared" si="117"/>
        <v>リアルバウト 餓狼伝説</v>
      </c>
      <c r="O1437" t="str">
        <f t="shared" si="117"/>
        <v/>
      </c>
      <c r="P1437" t="str">
        <f t="shared" si="117"/>
        <v/>
      </c>
      <c r="T1437" t="str">
        <f t="shared" si="120"/>
        <v/>
      </c>
      <c r="V1437" t="str">
        <f t="shared" si="121"/>
        <v>MVS</v>
      </c>
      <c r="W1437" t="str">
        <f t="shared" si="121"/>
        <v>MVS,AES</v>
      </c>
      <c r="AG1437" t="s">
        <v>6</v>
      </c>
      <c r="AH1437" t="s">
        <v>4085</v>
      </c>
      <c r="AI1437" t="s">
        <v>53</v>
      </c>
      <c r="AJ1437" t="s">
        <v>11</v>
      </c>
      <c r="AK1437" t="s">
        <v>4084</v>
      </c>
      <c r="AL1437" t="s">
        <v>4083</v>
      </c>
    </row>
    <row r="1438" spans="5:44" x14ac:dyDescent="0.25">
      <c r="I1438" t="str">
        <f t="shared" si="118"/>
        <v>rbff1a</v>
      </c>
      <c r="J1438" t="str">
        <f t="shared" si="119"/>
        <v/>
      </c>
      <c r="L1438" t="str">
        <f t="shared" si="117"/>
        <v>NGM-095 (MVS), NGH-095 (AES)</v>
      </c>
      <c r="M1438" t="str">
        <f t="shared" si="117"/>
        <v>19951221 (MVS), 19960126 (AES)</v>
      </c>
      <c r="N1438" t="str">
        <f t="shared" si="117"/>
        <v>リアルバウト 餓狼伝説</v>
      </c>
      <c r="O1438" t="str">
        <f t="shared" si="117"/>
        <v/>
      </c>
      <c r="P1438" t="str">
        <f t="shared" si="117"/>
        <v/>
      </c>
      <c r="T1438" t="str">
        <f t="shared" si="120"/>
        <v/>
      </c>
      <c r="V1438" t="str">
        <f t="shared" si="121"/>
        <v>MVS</v>
      </c>
      <c r="W1438" t="str">
        <f t="shared" si="121"/>
        <v>MVS,AES</v>
      </c>
      <c r="AG1438" t="s">
        <v>6</v>
      </c>
      <c r="AH1438" t="s">
        <v>4082</v>
      </c>
      <c r="AI1438" t="s">
        <v>65</v>
      </c>
      <c r="AJ1438" t="s">
        <v>11</v>
      </c>
      <c r="AK1438" t="s">
        <v>4081</v>
      </c>
      <c r="AL1438" t="s">
        <v>4080</v>
      </c>
    </row>
    <row r="1439" spans="5:44" x14ac:dyDescent="0.25">
      <c r="I1439" t="str">
        <f t="shared" si="118"/>
        <v>rbff1a</v>
      </c>
      <c r="J1439" t="str">
        <f t="shared" si="119"/>
        <v/>
      </c>
      <c r="L1439" t="str">
        <f t="shared" si="117"/>
        <v>NGM-095 (MVS), NGH-095 (AES)</v>
      </c>
      <c r="M1439" t="str">
        <f t="shared" si="117"/>
        <v>19951221 (MVS), 19960126 (AES)</v>
      </c>
      <c r="N1439" t="str">
        <f t="shared" si="117"/>
        <v>リアルバウト 餓狼伝説</v>
      </c>
      <c r="O1439" t="str">
        <f t="shared" si="117"/>
        <v/>
      </c>
      <c r="P1439" t="str">
        <f t="shared" si="117"/>
        <v/>
      </c>
      <c r="T1439" t="str">
        <f t="shared" si="120"/>
        <v/>
      </c>
      <c r="V1439" t="str">
        <f t="shared" si="121"/>
        <v>MVS</v>
      </c>
      <c r="W1439" t="str">
        <f t="shared" si="121"/>
        <v>MVS,AES</v>
      </c>
      <c r="AG1439" t="s">
        <v>6</v>
      </c>
      <c r="AH1439" t="s">
        <v>4079</v>
      </c>
      <c r="AI1439" t="s">
        <v>164</v>
      </c>
      <c r="AJ1439" t="s">
        <v>11</v>
      </c>
      <c r="AK1439" t="s">
        <v>4078</v>
      </c>
      <c r="AL1439" t="s">
        <v>4077</v>
      </c>
    </row>
    <row r="1440" spans="5:44" x14ac:dyDescent="0.25">
      <c r="I1440" t="str">
        <f t="shared" si="118"/>
        <v>rbff1a</v>
      </c>
      <c r="J1440" t="str">
        <f t="shared" si="119"/>
        <v/>
      </c>
      <c r="L1440" t="str">
        <f t="shared" si="117"/>
        <v>NGM-095 (MVS), NGH-095 (AES)</v>
      </c>
      <c r="M1440" t="str">
        <f t="shared" si="117"/>
        <v>19951221 (MVS), 19960126 (AES)</v>
      </c>
      <c r="N1440" t="str">
        <f t="shared" si="117"/>
        <v>リアルバウト 餓狼伝説</v>
      </c>
      <c r="O1440" t="str">
        <f t="shared" si="117"/>
        <v/>
      </c>
      <c r="P1440" t="str">
        <f t="shared" si="117"/>
        <v/>
      </c>
      <c r="T1440" t="str">
        <f t="shared" si="120"/>
        <v/>
      </c>
      <c r="V1440" t="str">
        <f t="shared" si="121"/>
        <v>MVS</v>
      </c>
      <c r="W1440" t="str">
        <f t="shared" si="121"/>
        <v>MVS,AES</v>
      </c>
      <c r="AG1440" t="s">
        <v>6</v>
      </c>
      <c r="AH1440" t="s">
        <v>4076</v>
      </c>
      <c r="AI1440" t="s">
        <v>634</v>
      </c>
      <c r="AJ1440" t="s">
        <v>3</v>
      </c>
      <c r="AK1440" t="s">
        <v>4075</v>
      </c>
      <c r="AL1440" t="s">
        <v>4074</v>
      </c>
    </row>
    <row r="1441" spans="5:44" x14ac:dyDescent="0.25">
      <c r="I1441" t="str">
        <f t="shared" si="118"/>
        <v>rbff1a</v>
      </c>
      <c r="J1441" t="str">
        <f t="shared" si="119"/>
        <v/>
      </c>
      <c r="L1441" t="str">
        <f t="shared" si="117"/>
        <v>NGM-095 (MVS), NGH-095 (AES)</v>
      </c>
      <c r="M1441" t="str">
        <f t="shared" si="117"/>
        <v>19951221 (MVS), 19960126 (AES)</v>
      </c>
      <c r="N1441" t="str">
        <f t="shared" si="117"/>
        <v>リアルバウト 餓狼伝説</v>
      </c>
      <c r="O1441" t="str">
        <f t="shared" si="117"/>
        <v/>
      </c>
      <c r="P1441" t="str">
        <f t="shared" si="117"/>
        <v/>
      </c>
      <c r="T1441" t="str">
        <f t="shared" si="120"/>
        <v/>
      </c>
      <c r="V1441" t="str">
        <f t="shared" si="121"/>
        <v>MVS</v>
      </c>
      <c r="W1441" t="str">
        <f t="shared" si="121"/>
        <v>MVS,AES</v>
      </c>
      <c r="AG1441" t="s">
        <v>6</v>
      </c>
      <c r="AH1441" t="s">
        <v>4073</v>
      </c>
      <c r="AI1441" t="s">
        <v>630</v>
      </c>
      <c r="AJ1441" t="s">
        <v>3</v>
      </c>
      <c r="AK1441" t="s">
        <v>4072</v>
      </c>
      <c r="AL1441" t="s">
        <v>4071</v>
      </c>
    </row>
    <row r="1442" spans="5:44" x14ac:dyDescent="0.25">
      <c r="E1442" t="s">
        <v>4126</v>
      </c>
      <c r="F1442" t="s">
        <v>4125</v>
      </c>
      <c r="G1442" t="s">
        <v>1239</v>
      </c>
      <c r="H1442" t="s">
        <v>1912</v>
      </c>
      <c r="I1442" t="str">
        <f t="shared" si="118"/>
        <v>rbff1ka</v>
      </c>
      <c r="J1442" t="str">
        <f t="shared" si="119"/>
        <v>rbff1kaserial</v>
      </c>
      <c r="K1442" t="s">
        <v>1373</v>
      </c>
      <c r="L1442" t="str">
        <f t="shared" si="117"/>
        <v>NGM-095 (MVS), NGH-095 (AES)</v>
      </c>
      <c r="M1442" t="str">
        <f t="shared" si="117"/>
        <v>19951221 (MVS), 19960126 (AES)</v>
      </c>
      <c r="N1442" t="str">
        <f t="shared" si="117"/>
        <v>リアルバウト 餓狼伝説</v>
      </c>
      <c r="O1442" t="str">
        <f t="shared" si="117"/>
        <v/>
      </c>
      <c r="P1442" t="str">
        <f t="shared" si="117"/>
        <v/>
      </c>
      <c r="Q1442" t="s">
        <v>4119</v>
      </c>
      <c r="S1442" t="s">
        <v>46</v>
      </c>
      <c r="T1442" t="str">
        <f t="shared" si="120"/>
        <v>rbff1karelease</v>
      </c>
      <c r="U1442" t="s">
        <v>218</v>
      </c>
      <c r="V1442" t="str">
        <f t="shared" si="121"/>
        <v>MVS,AES</v>
      </c>
      <c r="W1442" t="str">
        <f t="shared" si="121"/>
        <v>MVS,AES</v>
      </c>
      <c r="Y1442" t="s">
        <v>45</v>
      </c>
      <c r="Z1442" t="s">
        <v>44</v>
      </c>
      <c r="AB1442" t="s">
        <v>43</v>
      </c>
      <c r="AC1442" t="s">
        <v>42</v>
      </c>
      <c r="AD1442" t="s">
        <v>41</v>
      </c>
      <c r="AE1442" t="s">
        <v>377</v>
      </c>
      <c r="AG1442" t="s">
        <v>40</v>
      </c>
      <c r="AH1442" t="s">
        <v>4118</v>
      </c>
      <c r="AI1442" t="s">
        <v>9</v>
      </c>
      <c r="AJ1442" t="s">
        <v>15</v>
      </c>
      <c r="AK1442" t="s">
        <v>4117</v>
      </c>
      <c r="AL1442" t="s">
        <v>4116</v>
      </c>
      <c r="AR1442" t="s">
        <v>4115</v>
      </c>
    </row>
    <row r="1443" spans="5:44" x14ac:dyDescent="0.25">
      <c r="I1443" t="str">
        <f t="shared" si="118"/>
        <v>rbff1ka</v>
      </c>
      <c r="J1443" t="str">
        <f t="shared" si="119"/>
        <v>rbff1karelease</v>
      </c>
      <c r="K1443" t="s">
        <v>46</v>
      </c>
      <c r="L1443" t="str">
        <f t="shared" ref="L1443:P1493" si="122">IFERROR(VLOOKUP($I1443&amp;L$1,$J:$Q,8,0),"")</f>
        <v>NGM-095 (MVS), NGH-095 (AES)</v>
      </c>
      <c r="M1443" t="str">
        <f t="shared" si="122"/>
        <v>19951221 (MVS), 19960126 (AES)</v>
      </c>
      <c r="N1443" t="str">
        <f t="shared" si="122"/>
        <v>リアルバウト 餓狼伝説</v>
      </c>
      <c r="O1443" t="str">
        <f t="shared" si="122"/>
        <v/>
      </c>
      <c r="P1443" t="str">
        <f t="shared" si="122"/>
        <v/>
      </c>
      <c r="Q1443" t="s">
        <v>4114</v>
      </c>
      <c r="T1443" t="str">
        <f t="shared" si="120"/>
        <v/>
      </c>
      <c r="V1443" t="str">
        <f t="shared" si="121"/>
        <v>MVS,AES</v>
      </c>
      <c r="W1443" t="str">
        <f t="shared" si="121"/>
        <v>MVS,AES</v>
      </c>
      <c r="AG1443" t="s">
        <v>40</v>
      </c>
      <c r="AH1443" t="s">
        <v>4113</v>
      </c>
      <c r="AI1443" t="s">
        <v>15</v>
      </c>
      <c r="AJ1443" t="s">
        <v>3</v>
      </c>
      <c r="AK1443" t="s">
        <v>4112</v>
      </c>
      <c r="AL1443" t="s">
        <v>4111</v>
      </c>
    </row>
    <row r="1444" spans="5:44" x14ac:dyDescent="0.25">
      <c r="I1444" t="str">
        <f t="shared" si="118"/>
        <v>rbff1ka</v>
      </c>
      <c r="J1444" t="str">
        <f t="shared" si="119"/>
        <v>rbff1kaalt_title</v>
      </c>
      <c r="K1444" t="s">
        <v>1218</v>
      </c>
      <c r="L1444" t="str">
        <f t="shared" si="122"/>
        <v>NGM-095 (MVS), NGH-095 (AES)</v>
      </c>
      <c r="M1444" t="str">
        <f t="shared" si="122"/>
        <v>19951221 (MVS), 19960126 (AES)</v>
      </c>
      <c r="N1444" t="str">
        <f t="shared" si="122"/>
        <v>リアルバウト 餓狼伝説</v>
      </c>
      <c r="O1444" t="str">
        <f t="shared" si="122"/>
        <v/>
      </c>
      <c r="P1444" t="str">
        <f t="shared" si="122"/>
        <v/>
      </c>
      <c r="Q1444" t="s">
        <v>4110</v>
      </c>
      <c r="T1444" t="str">
        <f t="shared" si="120"/>
        <v/>
      </c>
      <c r="V1444" t="str">
        <f t="shared" si="121"/>
        <v>MVS,AES</v>
      </c>
      <c r="W1444" t="str">
        <f t="shared" si="121"/>
        <v>MVS,AES</v>
      </c>
      <c r="AG1444" t="s">
        <v>40</v>
      </c>
      <c r="AH1444" t="s">
        <v>4124</v>
      </c>
      <c r="AI1444" t="s">
        <v>9</v>
      </c>
      <c r="AJ1444" t="s">
        <v>92</v>
      </c>
      <c r="AK1444" t="s">
        <v>4123</v>
      </c>
      <c r="AL1444" t="s">
        <v>4122</v>
      </c>
    </row>
    <row r="1445" spans="5:44" x14ac:dyDescent="0.25">
      <c r="I1445" t="str">
        <f t="shared" si="118"/>
        <v>rbff1ka</v>
      </c>
      <c r="J1445" t="str">
        <f t="shared" si="119"/>
        <v/>
      </c>
      <c r="L1445" t="str">
        <f t="shared" si="122"/>
        <v>NGM-095 (MVS), NGH-095 (AES)</v>
      </c>
      <c r="M1445" t="str">
        <f t="shared" si="122"/>
        <v>19951221 (MVS), 19960126 (AES)</v>
      </c>
      <c r="N1445" t="str">
        <f t="shared" si="122"/>
        <v>リアルバウト 餓狼伝説</v>
      </c>
      <c r="O1445" t="str">
        <f t="shared" si="122"/>
        <v/>
      </c>
      <c r="P1445" t="str">
        <f t="shared" si="122"/>
        <v/>
      </c>
      <c r="S1445" t="s">
        <v>36</v>
      </c>
      <c r="T1445" t="str">
        <f t="shared" si="120"/>
        <v>rbff1kacompatibility</v>
      </c>
      <c r="U1445" t="s">
        <v>218</v>
      </c>
      <c r="V1445" t="str">
        <f t="shared" si="121"/>
        <v>MVS,AES</v>
      </c>
      <c r="W1445" t="str">
        <f t="shared" si="121"/>
        <v>MVS,AES</v>
      </c>
      <c r="AB1445" t="s">
        <v>34</v>
      </c>
      <c r="AE1445" t="s">
        <v>33</v>
      </c>
      <c r="AH1445" t="s">
        <v>4109</v>
      </c>
      <c r="AI1445" t="s">
        <v>9</v>
      </c>
      <c r="AJ1445" t="s">
        <v>27</v>
      </c>
      <c r="AK1445" t="s">
        <v>4108</v>
      </c>
      <c r="AL1445" t="s">
        <v>4107</v>
      </c>
    </row>
    <row r="1446" spans="5:44" x14ac:dyDescent="0.25">
      <c r="I1446" t="str">
        <f t="shared" si="118"/>
        <v>rbff1ka</v>
      </c>
      <c r="J1446" t="str">
        <f t="shared" si="119"/>
        <v/>
      </c>
      <c r="L1446" t="str">
        <f t="shared" si="122"/>
        <v>NGM-095 (MVS), NGH-095 (AES)</v>
      </c>
      <c r="M1446" t="str">
        <f t="shared" si="122"/>
        <v>19951221 (MVS), 19960126 (AES)</v>
      </c>
      <c r="N1446" t="str">
        <f t="shared" si="122"/>
        <v>リアルバウト 餓狼伝説</v>
      </c>
      <c r="O1446" t="str">
        <f t="shared" si="122"/>
        <v/>
      </c>
      <c r="P1446" t="str">
        <f t="shared" si="122"/>
        <v/>
      </c>
      <c r="T1446" t="str">
        <f t="shared" si="120"/>
        <v/>
      </c>
      <c r="V1446" t="str">
        <f t="shared" si="121"/>
        <v>MVS,AES</v>
      </c>
      <c r="W1446" t="str">
        <f t="shared" si="121"/>
        <v>MVS,AES</v>
      </c>
      <c r="AB1446" t="s">
        <v>29</v>
      </c>
      <c r="AE1446" t="s">
        <v>27</v>
      </c>
      <c r="AH1446" t="s">
        <v>4106</v>
      </c>
      <c r="AI1446" t="s">
        <v>9</v>
      </c>
      <c r="AJ1446" t="s">
        <v>27</v>
      </c>
      <c r="AK1446" t="s">
        <v>4105</v>
      </c>
      <c r="AL1446" t="s">
        <v>4104</v>
      </c>
    </row>
    <row r="1447" spans="5:44" x14ac:dyDescent="0.25">
      <c r="I1447" t="str">
        <f t="shared" si="118"/>
        <v>rbff1ka</v>
      </c>
      <c r="J1447" t="str">
        <f t="shared" si="119"/>
        <v/>
      </c>
      <c r="L1447" t="str">
        <f t="shared" si="122"/>
        <v>NGM-095 (MVS), NGH-095 (AES)</v>
      </c>
      <c r="M1447" t="str">
        <f t="shared" si="122"/>
        <v>19951221 (MVS), 19960126 (AES)</v>
      </c>
      <c r="N1447" t="str">
        <f t="shared" si="122"/>
        <v>リアルバウト 餓狼伝説</v>
      </c>
      <c r="O1447" t="str">
        <f t="shared" si="122"/>
        <v/>
      </c>
      <c r="P1447" t="str">
        <f t="shared" si="122"/>
        <v/>
      </c>
      <c r="T1447" t="str">
        <f t="shared" si="120"/>
        <v/>
      </c>
      <c r="V1447" t="str">
        <f t="shared" si="121"/>
        <v>MVS,AES</v>
      </c>
      <c r="W1447" t="str">
        <f t="shared" si="121"/>
        <v>MVS,AES</v>
      </c>
      <c r="AB1447" t="s">
        <v>24</v>
      </c>
      <c r="AE1447" t="s">
        <v>250</v>
      </c>
      <c r="AH1447" t="s">
        <v>4103</v>
      </c>
      <c r="AI1447" t="s">
        <v>9</v>
      </c>
      <c r="AJ1447" t="s">
        <v>11</v>
      </c>
      <c r="AK1447" t="s">
        <v>4102</v>
      </c>
      <c r="AL1447" t="s">
        <v>4101</v>
      </c>
    </row>
    <row r="1448" spans="5:44" x14ac:dyDescent="0.25">
      <c r="I1448" t="str">
        <f t="shared" si="118"/>
        <v>rbff1ka</v>
      </c>
      <c r="J1448" t="str">
        <f t="shared" si="119"/>
        <v/>
      </c>
      <c r="L1448" t="str">
        <f t="shared" si="122"/>
        <v>NGM-095 (MVS), NGH-095 (AES)</v>
      </c>
      <c r="M1448" t="str">
        <f t="shared" si="122"/>
        <v>19951221 (MVS), 19960126 (AES)</v>
      </c>
      <c r="N1448" t="str">
        <f t="shared" si="122"/>
        <v>リアルバウト 餓狼伝説</v>
      </c>
      <c r="O1448" t="str">
        <f t="shared" si="122"/>
        <v/>
      </c>
      <c r="P1448" t="str">
        <f t="shared" si="122"/>
        <v/>
      </c>
      <c r="T1448" t="str">
        <f t="shared" si="120"/>
        <v/>
      </c>
      <c r="V1448" t="str">
        <f t="shared" si="121"/>
        <v>MVS,AES</v>
      </c>
      <c r="W1448" t="str">
        <f t="shared" si="121"/>
        <v>MVS,AES</v>
      </c>
      <c r="AH1448" t="s">
        <v>4100</v>
      </c>
      <c r="AI1448" t="s">
        <v>11</v>
      </c>
      <c r="AJ1448" t="s">
        <v>11</v>
      </c>
      <c r="AK1448" t="s">
        <v>4099</v>
      </c>
      <c r="AL1448" t="s">
        <v>4098</v>
      </c>
    </row>
    <row r="1449" spans="5:44" x14ac:dyDescent="0.25">
      <c r="I1449" t="str">
        <f t="shared" si="118"/>
        <v>rbff1ka</v>
      </c>
      <c r="J1449" t="str">
        <f t="shared" si="119"/>
        <v/>
      </c>
      <c r="L1449" t="str">
        <f t="shared" si="122"/>
        <v>NGM-095 (MVS), NGH-095 (AES)</v>
      </c>
      <c r="M1449" t="str">
        <f t="shared" si="122"/>
        <v>19951221 (MVS), 19960126 (AES)</v>
      </c>
      <c r="N1449" t="str">
        <f t="shared" si="122"/>
        <v>リアルバウト 餓狼伝説</v>
      </c>
      <c r="O1449" t="str">
        <f t="shared" si="122"/>
        <v/>
      </c>
      <c r="P1449" t="str">
        <f t="shared" si="122"/>
        <v/>
      </c>
      <c r="T1449" t="str">
        <f t="shared" si="120"/>
        <v/>
      </c>
      <c r="V1449" t="str">
        <f t="shared" si="121"/>
        <v>MVS,AES</v>
      </c>
      <c r="W1449" t="str">
        <f t="shared" si="121"/>
        <v>MVS,AES</v>
      </c>
      <c r="AH1449" t="s">
        <v>4097</v>
      </c>
      <c r="AI1449" t="s">
        <v>57</v>
      </c>
      <c r="AJ1449" t="s">
        <v>11</v>
      </c>
      <c r="AK1449" t="s">
        <v>4096</v>
      </c>
      <c r="AL1449" t="s">
        <v>4095</v>
      </c>
    </row>
    <row r="1450" spans="5:44" x14ac:dyDescent="0.25">
      <c r="I1450" t="str">
        <f t="shared" si="118"/>
        <v>rbff1ka</v>
      </c>
      <c r="J1450" t="str">
        <f t="shared" si="119"/>
        <v/>
      </c>
      <c r="L1450" t="str">
        <f t="shared" si="122"/>
        <v>NGM-095 (MVS), NGH-095 (AES)</v>
      </c>
      <c r="M1450" t="str">
        <f t="shared" si="122"/>
        <v>19951221 (MVS), 19960126 (AES)</v>
      </c>
      <c r="N1450" t="str">
        <f t="shared" si="122"/>
        <v>リアルバウト 餓狼伝説</v>
      </c>
      <c r="O1450" t="str">
        <f t="shared" si="122"/>
        <v/>
      </c>
      <c r="P1450" t="str">
        <f t="shared" si="122"/>
        <v/>
      </c>
      <c r="T1450" t="str">
        <f t="shared" si="120"/>
        <v/>
      </c>
      <c r="V1450" t="str">
        <f t="shared" si="121"/>
        <v>MVS,AES</v>
      </c>
      <c r="W1450" t="str">
        <f t="shared" si="121"/>
        <v>MVS,AES</v>
      </c>
      <c r="AB1450" t="s">
        <v>12</v>
      </c>
      <c r="AE1450" t="s">
        <v>3588</v>
      </c>
      <c r="AG1450" t="s">
        <v>6</v>
      </c>
      <c r="AH1450" t="s">
        <v>4094</v>
      </c>
      <c r="AI1450" t="s">
        <v>9</v>
      </c>
      <c r="AJ1450" t="s">
        <v>11</v>
      </c>
      <c r="AK1450" t="s">
        <v>4093</v>
      </c>
      <c r="AL1450" t="s">
        <v>4092</v>
      </c>
    </row>
    <row r="1451" spans="5:44" x14ac:dyDescent="0.25">
      <c r="I1451" t="str">
        <f t="shared" si="118"/>
        <v>rbff1ka</v>
      </c>
      <c r="J1451" t="str">
        <f t="shared" si="119"/>
        <v/>
      </c>
      <c r="L1451" t="str">
        <f t="shared" si="122"/>
        <v>NGM-095 (MVS), NGH-095 (AES)</v>
      </c>
      <c r="M1451" t="str">
        <f t="shared" si="122"/>
        <v>19951221 (MVS), 19960126 (AES)</v>
      </c>
      <c r="N1451" t="str">
        <f t="shared" si="122"/>
        <v>リアルバウト 餓狼伝説</v>
      </c>
      <c r="O1451" t="str">
        <f t="shared" si="122"/>
        <v/>
      </c>
      <c r="P1451" t="str">
        <f t="shared" si="122"/>
        <v/>
      </c>
      <c r="T1451" t="str">
        <f t="shared" si="120"/>
        <v/>
      </c>
      <c r="V1451" t="str">
        <f t="shared" si="121"/>
        <v>MVS,AES</v>
      </c>
      <c r="W1451" t="str">
        <f t="shared" si="121"/>
        <v>MVS,AES</v>
      </c>
      <c r="AG1451" t="s">
        <v>6</v>
      </c>
      <c r="AH1451" t="s">
        <v>4091</v>
      </c>
      <c r="AI1451" t="s">
        <v>4</v>
      </c>
      <c r="AJ1451" t="s">
        <v>11</v>
      </c>
      <c r="AK1451" t="s">
        <v>4090</v>
      </c>
      <c r="AL1451" t="s">
        <v>4089</v>
      </c>
    </row>
    <row r="1452" spans="5:44" x14ac:dyDescent="0.25">
      <c r="I1452" t="str">
        <f t="shared" si="118"/>
        <v>rbff1ka</v>
      </c>
      <c r="J1452" t="str">
        <f t="shared" si="119"/>
        <v/>
      </c>
      <c r="L1452" t="str">
        <f t="shared" si="122"/>
        <v>NGM-095 (MVS), NGH-095 (AES)</v>
      </c>
      <c r="M1452" t="str">
        <f t="shared" si="122"/>
        <v>19951221 (MVS), 19960126 (AES)</v>
      </c>
      <c r="N1452" t="str">
        <f t="shared" si="122"/>
        <v>リアルバウト 餓狼伝説</v>
      </c>
      <c r="O1452" t="str">
        <f t="shared" si="122"/>
        <v/>
      </c>
      <c r="P1452" t="str">
        <f t="shared" si="122"/>
        <v/>
      </c>
      <c r="T1452" t="str">
        <f t="shared" si="120"/>
        <v/>
      </c>
      <c r="V1452" t="str">
        <f t="shared" si="121"/>
        <v>MVS,AES</v>
      </c>
      <c r="W1452" t="str">
        <f t="shared" si="121"/>
        <v>MVS,AES</v>
      </c>
      <c r="AG1452" t="s">
        <v>6</v>
      </c>
      <c r="AH1452" t="s">
        <v>4088</v>
      </c>
      <c r="AI1452" t="s">
        <v>57</v>
      </c>
      <c r="AJ1452" t="s">
        <v>11</v>
      </c>
      <c r="AK1452" t="s">
        <v>4087</v>
      </c>
      <c r="AL1452" t="s">
        <v>4086</v>
      </c>
    </row>
    <row r="1453" spans="5:44" x14ac:dyDescent="0.25">
      <c r="I1453" t="str">
        <f t="shared" si="118"/>
        <v>rbff1ka</v>
      </c>
      <c r="J1453" t="str">
        <f t="shared" si="119"/>
        <v/>
      </c>
      <c r="L1453" t="str">
        <f t="shared" si="122"/>
        <v>NGM-095 (MVS), NGH-095 (AES)</v>
      </c>
      <c r="M1453" t="str">
        <f t="shared" si="122"/>
        <v>19951221 (MVS), 19960126 (AES)</v>
      </c>
      <c r="N1453" t="str">
        <f t="shared" si="122"/>
        <v>リアルバウト 餓狼伝説</v>
      </c>
      <c r="O1453" t="str">
        <f t="shared" si="122"/>
        <v/>
      </c>
      <c r="P1453" t="str">
        <f t="shared" si="122"/>
        <v/>
      </c>
      <c r="T1453" t="str">
        <f t="shared" si="120"/>
        <v/>
      </c>
      <c r="V1453" t="str">
        <f t="shared" si="121"/>
        <v>MVS,AES</v>
      </c>
      <c r="W1453" t="str">
        <f t="shared" si="121"/>
        <v>MVS,AES</v>
      </c>
      <c r="AG1453" t="s">
        <v>6</v>
      </c>
      <c r="AH1453" t="s">
        <v>4085</v>
      </c>
      <c r="AI1453" t="s">
        <v>53</v>
      </c>
      <c r="AJ1453" t="s">
        <v>11</v>
      </c>
      <c r="AK1453" t="s">
        <v>4084</v>
      </c>
      <c r="AL1453" t="s">
        <v>4083</v>
      </c>
    </row>
    <row r="1454" spans="5:44" x14ac:dyDescent="0.25">
      <c r="I1454" t="str">
        <f t="shared" si="118"/>
        <v>rbff1ka</v>
      </c>
      <c r="J1454" t="str">
        <f t="shared" si="119"/>
        <v/>
      </c>
      <c r="L1454" t="str">
        <f t="shared" si="122"/>
        <v>NGM-095 (MVS), NGH-095 (AES)</v>
      </c>
      <c r="M1454" t="str">
        <f t="shared" si="122"/>
        <v>19951221 (MVS), 19960126 (AES)</v>
      </c>
      <c r="N1454" t="str">
        <f t="shared" si="122"/>
        <v>リアルバウト 餓狼伝説</v>
      </c>
      <c r="O1454" t="str">
        <f t="shared" si="122"/>
        <v/>
      </c>
      <c r="P1454" t="str">
        <f t="shared" si="122"/>
        <v/>
      </c>
      <c r="T1454" t="str">
        <f t="shared" si="120"/>
        <v/>
      </c>
      <c r="V1454" t="str">
        <f t="shared" si="121"/>
        <v>MVS,AES</v>
      </c>
      <c r="W1454" t="str">
        <f t="shared" si="121"/>
        <v>MVS,AES</v>
      </c>
      <c r="AG1454" t="s">
        <v>6</v>
      </c>
      <c r="AH1454" t="s">
        <v>4082</v>
      </c>
      <c r="AI1454" t="s">
        <v>65</v>
      </c>
      <c r="AJ1454" t="s">
        <v>11</v>
      </c>
      <c r="AK1454" t="s">
        <v>4081</v>
      </c>
      <c r="AL1454" t="s">
        <v>4080</v>
      </c>
    </row>
    <row r="1455" spans="5:44" x14ac:dyDescent="0.25">
      <c r="I1455" t="str">
        <f t="shared" si="118"/>
        <v>rbff1ka</v>
      </c>
      <c r="J1455" t="str">
        <f t="shared" si="119"/>
        <v/>
      </c>
      <c r="L1455" t="str">
        <f t="shared" si="122"/>
        <v>NGM-095 (MVS), NGH-095 (AES)</v>
      </c>
      <c r="M1455" t="str">
        <f t="shared" si="122"/>
        <v>19951221 (MVS), 19960126 (AES)</v>
      </c>
      <c r="N1455" t="str">
        <f t="shared" si="122"/>
        <v>リアルバウト 餓狼伝説</v>
      </c>
      <c r="O1455" t="str">
        <f t="shared" si="122"/>
        <v/>
      </c>
      <c r="P1455" t="str">
        <f t="shared" si="122"/>
        <v/>
      </c>
      <c r="T1455" t="str">
        <f t="shared" si="120"/>
        <v/>
      </c>
      <c r="V1455" t="str">
        <f t="shared" si="121"/>
        <v>MVS,AES</v>
      </c>
      <c r="W1455" t="str">
        <f t="shared" si="121"/>
        <v>MVS,AES</v>
      </c>
      <c r="AG1455" t="s">
        <v>6</v>
      </c>
      <c r="AH1455" t="s">
        <v>4079</v>
      </c>
      <c r="AI1455" t="s">
        <v>164</v>
      </c>
      <c r="AJ1455" t="s">
        <v>11</v>
      </c>
      <c r="AK1455" t="s">
        <v>4078</v>
      </c>
      <c r="AL1455" t="s">
        <v>4077</v>
      </c>
    </row>
    <row r="1456" spans="5:44" x14ac:dyDescent="0.25">
      <c r="I1456" t="str">
        <f t="shared" si="118"/>
        <v>rbff1ka</v>
      </c>
      <c r="J1456" t="str">
        <f t="shared" si="119"/>
        <v/>
      </c>
      <c r="L1456" t="str">
        <f t="shared" si="122"/>
        <v>NGM-095 (MVS), NGH-095 (AES)</v>
      </c>
      <c r="M1456" t="str">
        <f t="shared" si="122"/>
        <v>19951221 (MVS), 19960126 (AES)</v>
      </c>
      <c r="N1456" t="str">
        <f t="shared" si="122"/>
        <v>リアルバウト 餓狼伝説</v>
      </c>
      <c r="O1456" t="str">
        <f t="shared" si="122"/>
        <v/>
      </c>
      <c r="P1456" t="str">
        <f t="shared" si="122"/>
        <v/>
      </c>
      <c r="T1456" t="str">
        <f t="shared" si="120"/>
        <v/>
      </c>
      <c r="V1456" t="str">
        <f t="shared" si="121"/>
        <v>MVS,AES</v>
      </c>
      <c r="W1456" t="str">
        <f t="shared" si="121"/>
        <v>MVS,AES</v>
      </c>
      <c r="AG1456" t="s">
        <v>6</v>
      </c>
      <c r="AH1456" t="s">
        <v>4076</v>
      </c>
      <c r="AI1456" t="s">
        <v>634</v>
      </c>
      <c r="AJ1456" t="s">
        <v>3</v>
      </c>
      <c r="AK1456" t="s">
        <v>4075</v>
      </c>
      <c r="AL1456" t="s">
        <v>4074</v>
      </c>
    </row>
    <row r="1457" spans="5:44" x14ac:dyDescent="0.25">
      <c r="I1457" t="str">
        <f t="shared" si="118"/>
        <v>rbff1ka</v>
      </c>
      <c r="J1457" t="str">
        <f t="shared" si="119"/>
        <v/>
      </c>
      <c r="L1457" t="str">
        <f t="shared" si="122"/>
        <v>NGM-095 (MVS), NGH-095 (AES)</v>
      </c>
      <c r="M1457" t="str">
        <f t="shared" si="122"/>
        <v>19951221 (MVS), 19960126 (AES)</v>
      </c>
      <c r="N1457" t="str">
        <f t="shared" si="122"/>
        <v>リアルバウト 餓狼伝説</v>
      </c>
      <c r="O1457" t="str">
        <f t="shared" si="122"/>
        <v/>
      </c>
      <c r="P1457" t="str">
        <f t="shared" si="122"/>
        <v/>
      </c>
      <c r="T1457" t="str">
        <f t="shared" si="120"/>
        <v/>
      </c>
      <c r="V1457" t="str">
        <f t="shared" si="121"/>
        <v>MVS,AES</v>
      </c>
      <c r="W1457" t="str">
        <f t="shared" si="121"/>
        <v>MVS,AES</v>
      </c>
      <c r="AG1457" t="s">
        <v>6</v>
      </c>
      <c r="AH1457" t="s">
        <v>4073</v>
      </c>
      <c r="AI1457" t="s">
        <v>630</v>
      </c>
      <c r="AJ1457" t="s">
        <v>3</v>
      </c>
      <c r="AK1457" t="s">
        <v>4072</v>
      </c>
      <c r="AL1457" t="s">
        <v>4071</v>
      </c>
    </row>
    <row r="1458" spans="5:44" x14ac:dyDescent="0.25">
      <c r="E1458" t="s">
        <v>4121</v>
      </c>
      <c r="F1458" t="s">
        <v>4120</v>
      </c>
      <c r="G1458" t="s">
        <v>1239</v>
      </c>
      <c r="H1458" t="s">
        <v>1912</v>
      </c>
      <c r="I1458" t="str">
        <f t="shared" si="118"/>
        <v>rbff1k</v>
      </c>
      <c r="J1458" t="str">
        <f t="shared" si="119"/>
        <v>rbff1kserial</v>
      </c>
      <c r="K1458" t="s">
        <v>1373</v>
      </c>
      <c r="L1458" t="str">
        <f t="shared" si="122"/>
        <v>NGM-095 (MVS), NGH-095 (AES)</v>
      </c>
      <c r="M1458" t="str">
        <f t="shared" si="122"/>
        <v>19951221 (MVS), 19960126 (AES)</v>
      </c>
      <c r="N1458" t="str">
        <f t="shared" si="122"/>
        <v>リアルバウト 餓狼伝説</v>
      </c>
      <c r="O1458" t="str">
        <f t="shared" si="122"/>
        <v/>
      </c>
      <c r="P1458" t="str">
        <f t="shared" si="122"/>
        <v/>
      </c>
      <c r="Q1458" t="s">
        <v>4119</v>
      </c>
      <c r="S1458" t="s">
        <v>46</v>
      </c>
      <c r="T1458" t="str">
        <f t="shared" si="120"/>
        <v>rbff1krelease</v>
      </c>
      <c r="U1458" t="s">
        <v>218</v>
      </c>
      <c r="V1458" t="str">
        <f t="shared" si="121"/>
        <v>MVS,AES</v>
      </c>
      <c r="W1458" t="str">
        <f t="shared" si="121"/>
        <v>MVS,AES</v>
      </c>
      <c r="Y1458" t="s">
        <v>45</v>
      </c>
      <c r="Z1458" t="s">
        <v>44</v>
      </c>
      <c r="AB1458" t="s">
        <v>43</v>
      </c>
      <c r="AC1458" t="s">
        <v>42</v>
      </c>
      <c r="AD1458" t="s">
        <v>41</v>
      </c>
      <c r="AE1458" t="s">
        <v>377</v>
      </c>
      <c r="AG1458" t="s">
        <v>40</v>
      </c>
      <c r="AH1458" t="s">
        <v>4118</v>
      </c>
      <c r="AI1458" t="s">
        <v>9</v>
      </c>
      <c r="AJ1458" t="s">
        <v>15</v>
      </c>
      <c r="AK1458" t="s">
        <v>4117</v>
      </c>
      <c r="AL1458" t="s">
        <v>4116</v>
      </c>
      <c r="AR1458" t="s">
        <v>4115</v>
      </c>
    </row>
    <row r="1459" spans="5:44" x14ac:dyDescent="0.25">
      <c r="I1459" t="str">
        <f t="shared" si="118"/>
        <v>rbff1k</v>
      </c>
      <c r="J1459" t="str">
        <f t="shared" si="119"/>
        <v>rbff1krelease</v>
      </c>
      <c r="K1459" t="s">
        <v>46</v>
      </c>
      <c r="L1459" t="str">
        <f t="shared" si="122"/>
        <v>NGM-095 (MVS), NGH-095 (AES)</v>
      </c>
      <c r="M1459" t="str">
        <f t="shared" si="122"/>
        <v>19951221 (MVS), 19960126 (AES)</v>
      </c>
      <c r="N1459" t="str">
        <f t="shared" si="122"/>
        <v>リアルバウト 餓狼伝説</v>
      </c>
      <c r="O1459" t="str">
        <f t="shared" si="122"/>
        <v/>
      </c>
      <c r="P1459" t="str">
        <f t="shared" si="122"/>
        <v/>
      </c>
      <c r="Q1459" t="s">
        <v>4114</v>
      </c>
      <c r="T1459" t="str">
        <f t="shared" si="120"/>
        <v/>
      </c>
      <c r="V1459" t="str">
        <f t="shared" si="121"/>
        <v>MVS,AES</v>
      </c>
      <c r="W1459" t="str">
        <f t="shared" si="121"/>
        <v>MVS,AES</v>
      </c>
      <c r="AG1459" t="s">
        <v>40</v>
      </c>
      <c r="AH1459" t="s">
        <v>4113</v>
      </c>
      <c r="AI1459" t="s">
        <v>15</v>
      </c>
      <c r="AJ1459" t="s">
        <v>3</v>
      </c>
      <c r="AK1459" t="s">
        <v>4112</v>
      </c>
      <c r="AL1459" t="s">
        <v>4111</v>
      </c>
    </row>
    <row r="1460" spans="5:44" x14ac:dyDescent="0.25">
      <c r="I1460" t="str">
        <f t="shared" si="118"/>
        <v>rbff1k</v>
      </c>
      <c r="J1460" t="str">
        <f t="shared" si="119"/>
        <v>rbff1kalt_title</v>
      </c>
      <c r="K1460" t="s">
        <v>1218</v>
      </c>
      <c r="L1460" t="str">
        <f t="shared" si="122"/>
        <v>NGM-095 (MVS), NGH-095 (AES)</v>
      </c>
      <c r="M1460" t="str">
        <f t="shared" si="122"/>
        <v>19951221 (MVS), 19960126 (AES)</v>
      </c>
      <c r="N1460" t="str">
        <f t="shared" si="122"/>
        <v>リアルバウト 餓狼伝説</v>
      </c>
      <c r="O1460" t="str">
        <f t="shared" si="122"/>
        <v/>
      </c>
      <c r="P1460" t="str">
        <f t="shared" si="122"/>
        <v/>
      </c>
      <c r="Q1460" t="s">
        <v>4110</v>
      </c>
      <c r="T1460" t="str">
        <f t="shared" si="120"/>
        <v/>
      </c>
      <c r="V1460" t="str">
        <f t="shared" si="121"/>
        <v>MVS,AES</v>
      </c>
      <c r="W1460" t="str">
        <f t="shared" si="121"/>
        <v>MVS,AES</v>
      </c>
      <c r="AB1460" t="s">
        <v>34</v>
      </c>
      <c r="AE1460" t="s">
        <v>33</v>
      </c>
      <c r="AH1460" t="s">
        <v>4109</v>
      </c>
      <c r="AI1460" t="s">
        <v>9</v>
      </c>
      <c r="AJ1460" t="s">
        <v>27</v>
      </c>
      <c r="AK1460" t="s">
        <v>4108</v>
      </c>
      <c r="AL1460" t="s">
        <v>4107</v>
      </c>
    </row>
    <row r="1461" spans="5:44" x14ac:dyDescent="0.25">
      <c r="I1461" t="str">
        <f t="shared" si="118"/>
        <v>rbff1k</v>
      </c>
      <c r="J1461" t="str">
        <f t="shared" si="119"/>
        <v/>
      </c>
      <c r="L1461" t="str">
        <f t="shared" si="122"/>
        <v>NGM-095 (MVS), NGH-095 (AES)</v>
      </c>
      <c r="M1461" t="str">
        <f t="shared" si="122"/>
        <v>19951221 (MVS), 19960126 (AES)</v>
      </c>
      <c r="N1461" t="str">
        <f t="shared" si="122"/>
        <v>リアルバウト 餓狼伝説</v>
      </c>
      <c r="O1461" t="str">
        <f t="shared" si="122"/>
        <v/>
      </c>
      <c r="P1461" t="str">
        <f t="shared" si="122"/>
        <v/>
      </c>
      <c r="S1461" t="s">
        <v>36</v>
      </c>
      <c r="T1461" t="str">
        <f t="shared" si="120"/>
        <v>rbff1kcompatibility</v>
      </c>
      <c r="U1461" t="s">
        <v>218</v>
      </c>
      <c r="V1461" t="str">
        <f t="shared" si="121"/>
        <v>MVS,AES</v>
      </c>
      <c r="W1461" t="str">
        <f t="shared" si="121"/>
        <v>MVS,AES</v>
      </c>
      <c r="AB1461" t="s">
        <v>29</v>
      </c>
      <c r="AE1461" t="s">
        <v>27</v>
      </c>
      <c r="AH1461" t="s">
        <v>4106</v>
      </c>
      <c r="AI1461" t="s">
        <v>9</v>
      </c>
      <c r="AJ1461" t="s">
        <v>27</v>
      </c>
      <c r="AK1461" t="s">
        <v>4105</v>
      </c>
      <c r="AL1461" t="s">
        <v>4104</v>
      </c>
    </row>
    <row r="1462" spans="5:44" x14ac:dyDescent="0.25">
      <c r="I1462" t="str">
        <f t="shared" si="118"/>
        <v>rbff1k</v>
      </c>
      <c r="J1462" t="str">
        <f t="shared" si="119"/>
        <v/>
      </c>
      <c r="L1462" t="str">
        <f t="shared" si="122"/>
        <v>NGM-095 (MVS), NGH-095 (AES)</v>
      </c>
      <c r="M1462" t="str">
        <f t="shared" si="122"/>
        <v>19951221 (MVS), 19960126 (AES)</v>
      </c>
      <c r="N1462" t="str">
        <f t="shared" si="122"/>
        <v>リアルバウト 餓狼伝説</v>
      </c>
      <c r="O1462" t="str">
        <f t="shared" si="122"/>
        <v/>
      </c>
      <c r="P1462" t="str">
        <f t="shared" si="122"/>
        <v/>
      </c>
      <c r="T1462" t="str">
        <f t="shared" si="120"/>
        <v/>
      </c>
      <c r="V1462" t="str">
        <f t="shared" si="121"/>
        <v>MVS,AES</v>
      </c>
      <c r="W1462" t="str">
        <f t="shared" si="121"/>
        <v>MVS,AES</v>
      </c>
      <c r="AB1462" t="s">
        <v>24</v>
      </c>
      <c r="AE1462" t="s">
        <v>250</v>
      </c>
      <c r="AH1462" t="s">
        <v>4103</v>
      </c>
      <c r="AI1462" t="s">
        <v>9</v>
      </c>
      <c r="AJ1462" t="s">
        <v>11</v>
      </c>
      <c r="AK1462" t="s">
        <v>4102</v>
      </c>
      <c r="AL1462" t="s">
        <v>4101</v>
      </c>
    </row>
    <row r="1463" spans="5:44" x14ac:dyDescent="0.25">
      <c r="I1463" t="str">
        <f t="shared" si="118"/>
        <v>rbff1k</v>
      </c>
      <c r="J1463" t="str">
        <f t="shared" si="119"/>
        <v/>
      </c>
      <c r="L1463" t="str">
        <f t="shared" si="122"/>
        <v>NGM-095 (MVS), NGH-095 (AES)</v>
      </c>
      <c r="M1463" t="str">
        <f t="shared" si="122"/>
        <v>19951221 (MVS), 19960126 (AES)</v>
      </c>
      <c r="N1463" t="str">
        <f t="shared" si="122"/>
        <v>リアルバウト 餓狼伝説</v>
      </c>
      <c r="O1463" t="str">
        <f t="shared" si="122"/>
        <v/>
      </c>
      <c r="P1463" t="str">
        <f t="shared" si="122"/>
        <v/>
      </c>
      <c r="T1463" t="str">
        <f t="shared" si="120"/>
        <v/>
      </c>
      <c r="V1463" t="str">
        <f t="shared" si="121"/>
        <v>MVS,AES</v>
      </c>
      <c r="W1463" t="str">
        <f t="shared" si="121"/>
        <v>MVS,AES</v>
      </c>
      <c r="AH1463" t="s">
        <v>4100</v>
      </c>
      <c r="AI1463" t="s">
        <v>11</v>
      </c>
      <c r="AJ1463" t="s">
        <v>11</v>
      </c>
      <c r="AK1463" t="s">
        <v>4099</v>
      </c>
      <c r="AL1463" t="s">
        <v>4098</v>
      </c>
    </row>
    <row r="1464" spans="5:44" x14ac:dyDescent="0.25">
      <c r="I1464" t="str">
        <f t="shared" si="118"/>
        <v>rbff1k</v>
      </c>
      <c r="J1464" t="str">
        <f t="shared" si="119"/>
        <v/>
      </c>
      <c r="L1464" t="str">
        <f t="shared" si="122"/>
        <v>NGM-095 (MVS), NGH-095 (AES)</v>
      </c>
      <c r="M1464" t="str">
        <f t="shared" si="122"/>
        <v>19951221 (MVS), 19960126 (AES)</v>
      </c>
      <c r="N1464" t="str">
        <f t="shared" si="122"/>
        <v>リアルバウト 餓狼伝説</v>
      </c>
      <c r="O1464" t="str">
        <f t="shared" si="122"/>
        <v/>
      </c>
      <c r="P1464" t="str">
        <f t="shared" si="122"/>
        <v/>
      </c>
      <c r="T1464" t="str">
        <f t="shared" si="120"/>
        <v/>
      </c>
      <c r="V1464" t="str">
        <f t="shared" si="121"/>
        <v>MVS,AES</v>
      </c>
      <c r="W1464" t="str">
        <f t="shared" si="121"/>
        <v>MVS,AES</v>
      </c>
      <c r="AH1464" t="s">
        <v>4097</v>
      </c>
      <c r="AI1464" t="s">
        <v>57</v>
      </c>
      <c r="AJ1464" t="s">
        <v>11</v>
      </c>
      <c r="AK1464" t="s">
        <v>4096</v>
      </c>
      <c r="AL1464" t="s">
        <v>4095</v>
      </c>
    </row>
    <row r="1465" spans="5:44" x14ac:dyDescent="0.25">
      <c r="I1465" t="str">
        <f t="shared" si="118"/>
        <v>rbff1k</v>
      </c>
      <c r="J1465" t="str">
        <f t="shared" si="119"/>
        <v/>
      </c>
      <c r="L1465" t="str">
        <f t="shared" si="122"/>
        <v>NGM-095 (MVS), NGH-095 (AES)</v>
      </c>
      <c r="M1465" t="str">
        <f t="shared" si="122"/>
        <v>19951221 (MVS), 19960126 (AES)</v>
      </c>
      <c r="N1465" t="str">
        <f t="shared" si="122"/>
        <v>リアルバウト 餓狼伝説</v>
      </c>
      <c r="O1465" t="str">
        <f t="shared" si="122"/>
        <v/>
      </c>
      <c r="P1465" t="str">
        <f t="shared" si="122"/>
        <v/>
      </c>
      <c r="T1465" t="str">
        <f t="shared" si="120"/>
        <v/>
      </c>
      <c r="V1465" t="str">
        <f t="shared" si="121"/>
        <v>MVS,AES</v>
      </c>
      <c r="W1465" t="str">
        <f t="shared" si="121"/>
        <v>MVS,AES</v>
      </c>
      <c r="AB1465" t="s">
        <v>12</v>
      </c>
      <c r="AE1465" t="s">
        <v>3588</v>
      </c>
      <c r="AG1465" t="s">
        <v>6</v>
      </c>
      <c r="AH1465" t="s">
        <v>4094</v>
      </c>
      <c r="AI1465" t="s">
        <v>9</v>
      </c>
      <c r="AJ1465" t="s">
        <v>11</v>
      </c>
      <c r="AK1465" t="s">
        <v>4093</v>
      </c>
      <c r="AL1465" t="s">
        <v>4092</v>
      </c>
    </row>
    <row r="1466" spans="5:44" x14ac:dyDescent="0.25">
      <c r="I1466" t="str">
        <f t="shared" si="118"/>
        <v>rbff1k</v>
      </c>
      <c r="J1466" t="str">
        <f t="shared" si="119"/>
        <v/>
      </c>
      <c r="L1466" t="str">
        <f t="shared" si="122"/>
        <v>NGM-095 (MVS), NGH-095 (AES)</v>
      </c>
      <c r="M1466" t="str">
        <f t="shared" si="122"/>
        <v>19951221 (MVS), 19960126 (AES)</v>
      </c>
      <c r="N1466" t="str">
        <f t="shared" si="122"/>
        <v>リアルバウト 餓狼伝説</v>
      </c>
      <c r="O1466" t="str">
        <f t="shared" si="122"/>
        <v/>
      </c>
      <c r="P1466" t="str">
        <f t="shared" si="122"/>
        <v/>
      </c>
      <c r="T1466" t="str">
        <f t="shared" si="120"/>
        <v/>
      </c>
      <c r="V1466" t="str">
        <f t="shared" si="121"/>
        <v>MVS,AES</v>
      </c>
      <c r="W1466" t="str">
        <f t="shared" si="121"/>
        <v>MVS,AES</v>
      </c>
      <c r="AG1466" t="s">
        <v>6</v>
      </c>
      <c r="AH1466" t="s">
        <v>4091</v>
      </c>
      <c r="AI1466" t="s">
        <v>4</v>
      </c>
      <c r="AJ1466" t="s">
        <v>11</v>
      </c>
      <c r="AK1466" t="s">
        <v>4090</v>
      </c>
      <c r="AL1466" t="s">
        <v>4089</v>
      </c>
    </row>
    <row r="1467" spans="5:44" x14ac:dyDescent="0.25">
      <c r="I1467" t="str">
        <f t="shared" si="118"/>
        <v>rbff1k</v>
      </c>
      <c r="J1467" t="str">
        <f t="shared" si="119"/>
        <v/>
      </c>
      <c r="L1467" t="str">
        <f t="shared" si="122"/>
        <v>NGM-095 (MVS), NGH-095 (AES)</v>
      </c>
      <c r="M1467" t="str">
        <f t="shared" si="122"/>
        <v>19951221 (MVS), 19960126 (AES)</v>
      </c>
      <c r="N1467" t="str">
        <f t="shared" si="122"/>
        <v>リアルバウト 餓狼伝説</v>
      </c>
      <c r="O1467" t="str">
        <f t="shared" si="122"/>
        <v/>
      </c>
      <c r="P1467" t="str">
        <f t="shared" si="122"/>
        <v/>
      </c>
      <c r="T1467" t="str">
        <f t="shared" si="120"/>
        <v/>
      </c>
      <c r="V1467" t="str">
        <f t="shared" si="121"/>
        <v>MVS,AES</v>
      </c>
      <c r="W1467" t="str">
        <f t="shared" si="121"/>
        <v>MVS,AES</v>
      </c>
      <c r="AG1467" t="s">
        <v>6</v>
      </c>
      <c r="AH1467" t="s">
        <v>4088</v>
      </c>
      <c r="AI1467" t="s">
        <v>57</v>
      </c>
      <c r="AJ1467" t="s">
        <v>11</v>
      </c>
      <c r="AK1467" t="s">
        <v>4087</v>
      </c>
      <c r="AL1467" t="s">
        <v>4086</v>
      </c>
    </row>
    <row r="1468" spans="5:44" x14ac:dyDescent="0.25">
      <c r="I1468" t="str">
        <f t="shared" si="118"/>
        <v>rbff1k</v>
      </c>
      <c r="J1468" t="str">
        <f t="shared" si="119"/>
        <v/>
      </c>
      <c r="L1468" t="str">
        <f t="shared" si="122"/>
        <v>NGM-095 (MVS), NGH-095 (AES)</v>
      </c>
      <c r="M1468" t="str">
        <f t="shared" si="122"/>
        <v>19951221 (MVS), 19960126 (AES)</v>
      </c>
      <c r="N1468" t="str">
        <f t="shared" si="122"/>
        <v>リアルバウト 餓狼伝説</v>
      </c>
      <c r="O1468" t="str">
        <f t="shared" si="122"/>
        <v/>
      </c>
      <c r="P1468" t="str">
        <f t="shared" si="122"/>
        <v/>
      </c>
      <c r="T1468" t="str">
        <f t="shared" si="120"/>
        <v/>
      </c>
      <c r="V1468" t="str">
        <f t="shared" si="121"/>
        <v>MVS,AES</v>
      </c>
      <c r="W1468" t="str">
        <f t="shared" si="121"/>
        <v>MVS,AES</v>
      </c>
      <c r="AG1468" t="s">
        <v>6</v>
      </c>
      <c r="AH1468" t="s">
        <v>4085</v>
      </c>
      <c r="AI1468" t="s">
        <v>53</v>
      </c>
      <c r="AJ1468" t="s">
        <v>11</v>
      </c>
      <c r="AK1468" t="s">
        <v>4084</v>
      </c>
      <c r="AL1468" t="s">
        <v>4083</v>
      </c>
    </row>
    <row r="1469" spans="5:44" x14ac:dyDescent="0.25">
      <c r="I1469" t="str">
        <f t="shared" si="118"/>
        <v>rbff1k</v>
      </c>
      <c r="J1469" t="str">
        <f t="shared" si="119"/>
        <v/>
      </c>
      <c r="L1469" t="str">
        <f t="shared" si="122"/>
        <v>NGM-095 (MVS), NGH-095 (AES)</v>
      </c>
      <c r="M1469" t="str">
        <f t="shared" si="122"/>
        <v>19951221 (MVS), 19960126 (AES)</v>
      </c>
      <c r="N1469" t="str">
        <f t="shared" si="122"/>
        <v>リアルバウト 餓狼伝説</v>
      </c>
      <c r="O1469" t="str">
        <f t="shared" si="122"/>
        <v/>
      </c>
      <c r="P1469" t="str">
        <f t="shared" si="122"/>
        <v/>
      </c>
      <c r="T1469" t="str">
        <f t="shared" si="120"/>
        <v/>
      </c>
      <c r="V1469" t="str">
        <f t="shared" si="121"/>
        <v>MVS,AES</v>
      </c>
      <c r="W1469" t="str">
        <f t="shared" si="121"/>
        <v>MVS,AES</v>
      </c>
      <c r="AG1469" t="s">
        <v>6</v>
      </c>
      <c r="AH1469" t="s">
        <v>4082</v>
      </c>
      <c r="AI1469" t="s">
        <v>65</v>
      </c>
      <c r="AJ1469" t="s">
        <v>11</v>
      </c>
      <c r="AK1469" t="s">
        <v>4081</v>
      </c>
      <c r="AL1469" t="s">
        <v>4080</v>
      </c>
    </row>
    <row r="1470" spans="5:44" x14ac:dyDescent="0.25">
      <c r="I1470" t="str">
        <f t="shared" si="118"/>
        <v>rbff1k</v>
      </c>
      <c r="J1470" t="str">
        <f t="shared" si="119"/>
        <v/>
      </c>
      <c r="L1470" t="str">
        <f t="shared" si="122"/>
        <v>NGM-095 (MVS), NGH-095 (AES)</v>
      </c>
      <c r="M1470" t="str">
        <f t="shared" si="122"/>
        <v>19951221 (MVS), 19960126 (AES)</v>
      </c>
      <c r="N1470" t="str">
        <f t="shared" si="122"/>
        <v>リアルバウト 餓狼伝説</v>
      </c>
      <c r="O1470" t="str">
        <f t="shared" si="122"/>
        <v/>
      </c>
      <c r="P1470" t="str">
        <f t="shared" si="122"/>
        <v/>
      </c>
      <c r="T1470" t="str">
        <f t="shared" si="120"/>
        <v/>
      </c>
      <c r="V1470" t="str">
        <f t="shared" si="121"/>
        <v>MVS,AES</v>
      </c>
      <c r="W1470" t="str">
        <f t="shared" si="121"/>
        <v>MVS,AES</v>
      </c>
      <c r="AG1470" t="s">
        <v>6</v>
      </c>
      <c r="AH1470" t="s">
        <v>4079</v>
      </c>
      <c r="AI1470" t="s">
        <v>164</v>
      </c>
      <c r="AJ1470" t="s">
        <v>11</v>
      </c>
      <c r="AK1470" t="s">
        <v>4078</v>
      </c>
      <c r="AL1470" t="s">
        <v>4077</v>
      </c>
    </row>
    <row r="1471" spans="5:44" x14ac:dyDescent="0.25">
      <c r="I1471" t="str">
        <f t="shared" si="118"/>
        <v>rbff1k</v>
      </c>
      <c r="J1471" t="str">
        <f t="shared" si="119"/>
        <v/>
      </c>
      <c r="L1471" t="str">
        <f t="shared" si="122"/>
        <v>NGM-095 (MVS), NGH-095 (AES)</v>
      </c>
      <c r="M1471" t="str">
        <f t="shared" si="122"/>
        <v>19951221 (MVS), 19960126 (AES)</v>
      </c>
      <c r="N1471" t="str">
        <f t="shared" si="122"/>
        <v>リアルバウト 餓狼伝説</v>
      </c>
      <c r="O1471" t="str">
        <f t="shared" si="122"/>
        <v/>
      </c>
      <c r="P1471" t="str">
        <f t="shared" si="122"/>
        <v/>
      </c>
      <c r="T1471" t="str">
        <f t="shared" si="120"/>
        <v/>
      </c>
      <c r="V1471" t="str">
        <f t="shared" si="121"/>
        <v>MVS,AES</v>
      </c>
      <c r="W1471" t="str">
        <f t="shared" si="121"/>
        <v>MVS,AES</v>
      </c>
      <c r="AG1471" t="s">
        <v>6</v>
      </c>
      <c r="AH1471" t="s">
        <v>4076</v>
      </c>
      <c r="AI1471" t="s">
        <v>634</v>
      </c>
      <c r="AJ1471" t="s">
        <v>3</v>
      </c>
      <c r="AK1471" t="s">
        <v>4075</v>
      </c>
      <c r="AL1471" t="s">
        <v>4074</v>
      </c>
    </row>
    <row r="1472" spans="5:44" x14ac:dyDescent="0.25">
      <c r="I1472" t="str">
        <f t="shared" si="118"/>
        <v>rbff1k</v>
      </c>
      <c r="J1472" t="str">
        <f t="shared" si="119"/>
        <v/>
      </c>
      <c r="L1472" t="str">
        <f t="shared" si="122"/>
        <v>NGM-095 (MVS), NGH-095 (AES)</v>
      </c>
      <c r="M1472" t="str">
        <f t="shared" si="122"/>
        <v>19951221 (MVS), 19960126 (AES)</v>
      </c>
      <c r="N1472" t="str">
        <f t="shared" si="122"/>
        <v>リアルバウト 餓狼伝説</v>
      </c>
      <c r="O1472" t="str">
        <f t="shared" si="122"/>
        <v/>
      </c>
      <c r="P1472" t="str">
        <f t="shared" si="122"/>
        <v/>
      </c>
      <c r="T1472" t="str">
        <f t="shared" si="120"/>
        <v/>
      </c>
      <c r="V1472" t="str">
        <f t="shared" si="121"/>
        <v>MVS,AES</v>
      </c>
      <c r="W1472" t="str">
        <f t="shared" si="121"/>
        <v>MVS,AES</v>
      </c>
      <c r="AG1472" t="s">
        <v>6</v>
      </c>
      <c r="AH1472" t="s">
        <v>4073</v>
      </c>
      <c r="AI1472" t="s">
        <v>630</v>
      </c>
      <c r="AJ1472" t="s">
        <v>3</v>
      </c>
      <c r="AK1472" t="s">
        <v>4072</v>
      </c>
      <c r="AL1472" t="s">
        <v>4071</v>
      </c>
    </row>
    <row r="1473" spans="5:44" x14ac:dyDescent="0.25">
      <c r="E1473" t="s">
        <v>4058</v>
      </c>
      <c r="F1473" t="s">
        <v>4070</v>
      </c>
      <c r="G1473" t="s">
        <v>1280</v>
      </c>
      <c r="H1473" t="s">
        <v>1912</v>
      </c>
      <c r="I1473" t="str">
        <f t="shared" si="118"/>
        <v>aof3</v>
      </c>
      <c r="J1473" t="str">
        <f t="shared" si="119"/>
        <v>aof3serial</v>
      </c>
      <c r="K1473" t="s">
        <v>1373</v>
      </c>
      <c r="L1473" t="str">
        <f t="shared" si="122"/>
        <v>NGM-096 (MVS), NGH-096 (AES)</v>
      </c>
      <c r="M1473" t="str">
        <f t="shared" si="122"/>
        <v>19960312 (MVS), 19960426 (AES)</v>
      </c>
      <c r="N1473" t="str">
        <f t="shared" si="122"/>
        <v>アート・オブ・ファイティング 龍虎の拳 外伝</v>
      </c>
      <c r="O1473" t="str">
        <f t="shared" si="122"/>
        <v/>
      </c>
      <c r="P1473" t="str">
        <f t="shared" si="122"/>
        <v/>
      </c>
      <c r="Q1473" t="s">
        <v>4069</v>
      </c>
      <c r="S1473" t="s">
        <v>46</v>
      </c>
      <c r="T1473" t="str">
        <f t="shared" si="120"/>
        <v>aof3release</v>
      </c>
      <c r="U1473" t="s">
        <v>218</v>
      </c>
      <c r="V1473" t="str">
        <f t="shared" si="121"/>
        <v>MVS,AES</v>
      </c>
      <c r="W1473" t="str">
        <f t="shared" si="121"/>
        <v>MVS,AES</v>
      </c>
      <c r="Y1473" t="s">
        <v>45</v>
      </c>
      <c r="Z1473" t="s">
        <v>44</v>
      </c>
      <c r="AB1473" t="s">
        <v>43</v>
      </c>
      <c r="AC1473" t="s">
        <v>42</v>
      </c>
      <c r="AD1473" t="s">
        <v>41</v>
      </c>
      <c r="AE1473" t="s">
        <v>377</v>
      </c>
      <c r="AG1473" t="s">
        <v>40</v>
      </c>
      <c r="AH1473" t="s">
        <v>4068</v>
      </c>
      <c r="AI1473" t="s">
        <v>9</v>
      </c>
      <c r="AJ1473" t="s">
        <v>15</v>
      </c>
      <c r="AK1473" t="s">
        <v>4067</v>
      </c>
      <c r="AL1473" t="s">
        <v>4066</v>
      </c>
    </row>
    <row r="1474" spans="5:44" x14ac:dyDescent="0.25">
      <c r="I1474" t="str">
        <f t="shared" si="118"/>
        <v>aof3</v>
      </c>
      <c r="J1474" t="str">
        <f t="shared" si="119"/>
        <v>aof3release</v>
      </c>
      <c r="K1474" t="s">
        <v>46</v>
      </c>
      <c r="L1474" t="str">
        <f t="shared" si="122"/>
        <v>NGM-096 (MVS), NGH-096 (AES)</v>
      </c>
      <c r="M1474" t="str">
        <f t="shared" si="122"/>
        <v>19960312 (MVS), 19960426 (AES)</v>
      </c>
      <c r="N1474" t="str">
        <f t="shared" si="122"/>
        <v>アート・オブ・ファイティング 龍虎の拳 外伝</v>
      </c>
      <c r="O1474" t="str">
        <f t="shared" si="122"/>
        <v/>
      </c>
      <c r="P1474" t="str">
        <f t="shared" si="122"/>
        <v/>
      </c>
      <c r="Q1474" t="s">
        <v>4065</v>
      </c>
      <c r="T1474" t="str">
        <f t="shared" si="120"/>
        <v/>
      </c>
      <c r="V1474" t="str">
        <f t="shared" si="121"/>
        <v>MVS,AES</v>
      </c>
      <c r="W1474" t="str">
        <f t="shared" si="121"/>
        <v>MVS,AES</v>
      </c>
      <c r="AG1474" t="s">
        <v>40</v>
      </c>
      <c r="AH1474" t="s">
        <v>4057</v>
      </c>
      <c r="AI1474" t="s">
        <v>15</v>
      </c>
      <c r="AJ1474" t="s">
        <v>3</v>
      </c>
      <c r="AK1474" t="s">
        <v>4056</v>
      </c>
      <c r="AL1474" t="s">
        <v>4055</v>
      </c>
    </row>
    <row r="1475" spans="5:44" x14ac:dyDescent="0.25">
      <c r="I1475" t="str">
        <f t="shared" ref="I1475:I1538" si="123">IF(E1475="",I1474,E1475)</f>
        <v>aof3</v>
      </c>
      <c r="J1475" t="str">
        <f t="shared" ref="J1475:J1538" si="124">IF(K1475="","",I1475&amp;K1475)</f>
        <v>aof3alt_title</v>
      </c>
      <c r="K1475" t="s">
        <v>1218</v>
      </c>
      <c r="L1475" t="str">
        <f t="shared" si="122"/>
        <v>NGM-096 (MVS), NGH-096 (AES)</v>
      </c>
      <c r="M1475" t="str">
        <f t="shared" si="122"/>
        <v>19960312 (MVS), 19960426 (AES)</v>
      </c>
      <c r="N1475" t="str">
        <f t="shared" si="122"/>
        <v>アート・オブ・ファイティング 龍虎の拳 外伝</v>
      </c>
      <c r="O1475" t="str">
        <f t="shared" si="122"/>
        <v/>
      </c>
      <c r="P1475" t="str">
        <f t="shared" si="122"/>
        <v/>
      </c>
      <c r="Q1475" t="s">
        <v>4064</v>
      </c>
      <c r="T1475" t="str">
        <f t="shared" ref="T1475:T1538" si="125">IF(S1475="","",I1475&amp;S1475)</f>
        <v/>
      </c>
      <c r="V1475" t="str">
        <f t="shared" si="121"/>
        <v>MVS,AES</v>
      </c>
      <c r="W1475" t="str">
        <f t="shared" si="121"/>
        <v>MVS,AES</v>
      </c>
      <c r="AB1475" t="s">
        <v>34</v>
      </c>
      <c r="AE1475" t="s">
        <v>33</v>
      </c>
      <c r="AH1475" t="s">
        <v>4054</v>
      </c>
      <c r="AI1475" t="s">
        <v>9</v>
      </c>
      <c r="AJ1475" t="s">
        <v>27</v>
      </c>
      <c r="AK1475" t="s">
        <v>4053</v>
      </c>
      <c r="AL1475" t="s">
        <v>4052</v>
      </c>
    </row>
    <row r="1476" spans="5:44" x14ac:dyDescent="0.25">
      <c r="I1476" t="str">
        <f t="shared" si="123"/>
        <v>aof3</v>
      </c>
      <c r="J1476" t="str">
        <f t="shared" si="124"/>
        <v/>
      </c>
      <c r="L1476" t="str">
        <f t="shared" si="122"/>
        <v>NGM-096 (MVS), NGH-096 (AES)</v>
      </c>
      <c r="M1476" t="str">
        <f t="shared" si="122"/>
        <v>19960312 (MVS), 19960426 (AES)</v>
      </c>
      <c r="N1476" t="str">
        <f t="shared" si="122"/>
        <v>アート・オブ・ファイティング 龍虎の拳 外伝</v>
      </c>
      <c r="O1476" t="str">
        <f t="shared" si="122"/>
        <v/>
      </c>
      <c r="P1476" t="str">
        <f t="shared" si="122"/>
        <v/>
      </c>
      <c r="S1476" t="s">
        <v>36</v>
      </c>
      <c r="T1476" t="str">
        <f t="shared" si="125"/>
        <v>aof3compatibility</v>
      </c>
      <c r="U1476" t="s">
        <v>218</v>
      </c>
      <c r="V1476" t="str">
        <f t="shared" si="121"/>
        <v>MVS,AES</v>
      </c>
      <c r="W1476" t="str">
        <f t="shared" si="121"/>
        <v>MVS,AES</v>
      </c>
      <c r="AB1476" t="s">
        <v>29</v>
      </c>
      <c r="AE1476" t="s">
        <v>27</v>
      </c>
      <c r="AH1476" t="s">
        <v>4051</v>
      </c>
      <c r="AI1476" t="s">
        <v>9</v>
      </c>
      <c r="AJ1476" t="s">
        <v>27</v>
      </c>
      <c r="AK1476" t="s">
        <v>4050</v>
      </c>
      <c r="AL1476" t="s">
        <v>4049</v>
      </c>
    </row>
    <row r="1477" spans="5:44" x14ac:dyDescent="0.25">
      <c r="I1477" t="str">
        <f t="shared" si="123"/>
        <v>aof3</v>
      </c>
      <c r="J1477" t="str">
        <f t="shared" si="124"/>
        <v/>
      </c>
      <c r="L1477" t="str">
        <f t="shared" si="122"/>
        <v>NGM-096 (MVS), NGH-096 (AES)</v>
      </c>
      <c r="M1477" t="str">
        <f t="shared" si="122"/>
        <v>19960312 (MVS), 19960426 (AES)</v>
      </c>
      <c r="N1477" t="str">
        <f t="shared" si="122"/>
        <v>アート・オブ・ファイティング 龍虎の拳 外伝</v>
      </c>
      <c r="O1477" t="str">
        <f t="shared" si="122"/>
        <v/>
      </c>
      <c r="P1477" t="str">
        <f t="shared" si="122"/>
        <v/>
      </c>
      <c r="T1477" t="str">
        <f t="shared" si="125"/>
        <v/>
      </c>
      <c r="V1477" t="str">
        <f t="shared" si="121"/>
        <v>MVS,AES</v>
      </c>
      <c r="W1477" t="str">
        <f t="shared" si="121"/>
        <v>MVS,AES</v>
      </c>
      <c r="AB1477" t="s">
        <v>24</v>
      </c>
      <c r="AE1477" t="s">
        <v>75</v>
      </c>
      <c r="AH1477" t="s">
        <v>4048</v>
      </c>
      <c r="AI1477" t="s">
        <v>9</v>
      </c>
      <c r="AJ1477" t="s">
        <v>3</v>
      </c>
      <c r="AK1477" t="s">
        <v>4047</v>
      </c>
      <c r="AL1477" t="s">
        <v>4046</v>
      </c>
    </row>
    <row r="1478" spans="5:44" x14ac:dyDescent="0.25">
      <c r="I1478" t="str">
        <f t="shared" si="123"/>
        <v>aof3</v>
      </c>
      <c r="J1478" t="str">
        <f t="shared" si="124"/>
        <v/>
      </c>
      <c r="L1478" t="str">
        <f t="shared" si="122"/>
        <v>NGM-096 (MVS), NGH-096 (AES)</v>
      </c>
      <c r="M1478" t="str">
        <f t="shared" si="122"/>
        <v>19960312 (MVS), 19960426 (AES)</v>
      </c>
      <c r="N1478" t="str">
        <f t="shared" si="122"/>
        <v>アート・オブ・ファイティング 龍虎の拳 外伝</v>
      </c>
      <c r="O1478" t="str">
        <f t="shared" si="122"/>
        <v/>
      </c>
      <c r="P1478" t="str">
        <f t="shared" si="122"/>
        <v/>
      </c>
      <c r="T1478" t="str">
        <f t="shared" si="125"/>
        <v/>
      </c>
      <c r="V1478" t="str">
        <f t="shared" si="121"/>
        <v>MVS,AES</v>
      </c>
      <c r="W1478" t="str">
        <f t="shared" si="121"/>
        <v>MVS,AES</v>
      </c>
      <c r="AH1478" t="s">
        <v>4045</v>
      </c>
      <c r="AI1478" t="s">
        <v>3</v>
      </c>
      <c r="AJ1478" t="s">
        <v>3</v>
      </c>
      <c r="AK1478" t="s">
        <v>4044</v>
      </c>
      <c r="AL1478" t="s">
        <v>4043</v>
      </c>
    </row>
    <row r="1479" spans="5:44" x14ac:dyDescent="0.25">
      <c r="I1479" t="str">
        <f t="shared" si="123"/>
        <v>aof3</v>
      </c>
      <c r="J1479" t="str">
        <f t="shared" si="124"/>
        <v/>
      </c>
      <c r="L1479" t="str">
        <f t="shared" si="122"/>
        <v>NGM-096 (MVS), NGH-096 (AES)</v>
      </c>
      <c r="M1479" t="str">
        <f t="shared" si="122"/>
        <v>19960312 (MVS), 19960426 (AES)</v>
      </c>
      <c r="N1479" t="str">
        <f t="shared" si="122"/>
        <v>アート・オブ・ファイティング 龍虎の拳 外伝</v>
      </c>
      <c r="O1479" t="str">
        <f t="shared" si="122"/>
        <v/>
      </c>
      <c r="P1479" t="str">
        <f t="shared" si="122"/>
        <v/>
      </c>
      <c r="T1479" t="str">
        <f t="shared" si="125"/>
        <v/>
      </c>
      <c r="V1479" t="str">
        <f t="shared" si="121"/>
        <v>MVS,AES</v>
      </c>
      <c r="W1479" t="str">
        <f t="shared" si="121"/>
        <v>MVS,AES</v>
      </c>
      <c r="AH1479" t="s">
        <v>4042</v>
      </c>
      <c r="AI1479" t="s">
        <v>11</v>
      </c>
      <c r="AJ1479" t="s">
        <v>3</v>
      </c>
      <c r="AK1479" t="s">
        <v>4041</v>
      </c>
      <c r="AL1479" t="s">
        <v>4040</v>
      </c>
    </row>
    <row r="1480" spans="5:44" x14ac:dyDescent="0.25">
      <c r="I1480" t="str">
        <f t="shared" si="123"/>
        <v>aof3</v>
      </c>
      <c r="J1480" t="str">
        <f t="shared" si="124"/>
        <v/>
      </c>
      <c r="L1480" t="str">
        <f t="shared" si="122"/>
        <v>NGM-096 (MVS), NGH-096 (AES)</v>
      </c>
      <c r="M1480" t="str">
        <f t="shared" si="122"/>
        <v>19960312 (MVS), 19960426 (AES)</v>
      </c>
      <c r="N1480" t="str">
        <f t="shared" si="122"/>
        <v>アート・オブ・ファイティング 龍虎の拳 外伝</v>
      </c>
      <c r="O1480" t="str">
        <f t="shared" si="122"/>
        <v/>
      </c>
      <c r="P1480" t="str">
        <f t="shared" si="122"/>
        <v/>
      </c>
      <c r="T1480" t="str">
        <f t="shared" si="125"/>
        <v/>
      </c>
      <c r="V1480" t="str">
        <f t="shared" si="121"/>
        <v>MVS,AES</v>
      </c>
      <c r="W1480" t="str">
        <f t="shared" si="121"/>
        <v>MVS,AES</v>
      </c>
      <c r="AB1480" t="s">
        <v>12</v>
      </c>
      <c r="AE1480" t="s">
        <v>3588</v>
      </c>
      <c r="AG1480" t="s">
        <v>6</v>
      </c>
      <c r="AH1480" t="s">
        <v>4039</v>
      </c>
      <c r="AI1480" t="s">
        <v>9</v>
      </c>
      <c r="AJ1480" t="s">
        <v>11</v>
      </c>
      <c r="AK1480" t="s">
        <v>4038</v>
      </c>
      <c r="AL1480" t="s">
        <v>4037</v>
      </c>
    </row>
    <row r="1481" spans="5:44" x14ac:dyDescent="0.25">
      <c r="I1481" t="str">
        <f t="shared" si="123"/>
        <v>aof3</v>
      </c>
      <c r="J1481" t="str">
        <f t="shared" si="124"/>
        <v/>
      </c>
      <c r="L1481" t="str">
        <f t="shared" si="122"/>
        <v>NGM-096 (MVS), NGH-096 (AES)</v>
      </c>
      <c r="M1481" t="str">
        <f t="shared" si="122"/>
        <v>19960312 (MVS), 19960426 (AES)</v>
      </c>
      <c r="N1481" t="str">
        <f t="shared" si="122"/>
        <v>アート・オブ・ファイティング 龍虎の拳 外伝</v>
      </c>
      <c r="O1481" t="str">
        <f t="shared" si="122"/>
        <v/>
      </c>
      <c r="P1481" t="str">
        <f t="shared" si="122"/>
        <v/>
      </c>
      <c r="T1481" t="str">
        <f t="shared" si="125"/>
        <v/>
      </c>
      <c r="V1481" t="str">
        <f t="shared" si="121"/>
        <v>MVS,AES</v>
      </c>
      <c r="W1481" t="str">
        <f t="shared" si="121"/>
        <v>MVS,AES</v>
      </c>
      <c r="AG1481" t="s">
        <v>6</v>
      </c>
      <c r="AH1481" t="s">
        <v>4036</v>
      </c>
      <c r="AI1481" t="s">
        <v>4</v>
      </c>
      <c r="AJ1481" t="s">
        <v>11</v>
      </c>
      <c r="AK1481" t="s">
        <v>4035</v>
      </c>
      <c r="AL1481" t="s">
        <v>4034</v>
      </c>
    </row>
    <row r="1482" spans="5:44" x14ac:dyDescent="0.25">
      <c r="I1482" t="str">
        <f t="shared" si="123"/>
        <v>aof3</v>
      </c>
      <c r="J1482" t="str">
        <f t="shared" si="124"/>
        <v/>
      </c>
      <c r="L1482" t="str">
        <f t="shared" si="122"/>
        <v>NGM-096 (MVS), NGH-096 (AES)</v>
      </c>
      <c r="M1482" t="str">
        <f t="shared" si="122"/>
        <v>19960312 (MVS), 19960426 (AES)</v>
      </c>
      <c r="N1482" t="str">
        <f t="shared" si="122"/>
        <v>アート・オブ・ファイティング 龍虎の拳 外伝</v>
      </c>
      <c r="O1482" t="str">
        <f t="shared" si="122"/>
        <v/>
      </c>
      <c r="P1482" t="str">
        <f t="shared" si="122"/>
        <v/>
      </c>
      <c r="T1482" t="str">
        <f t="shared" si="125"/>
        <v/>
      </c>
      <c r="V1482" t="str">
        <f t="shared" si="121"/>
        <v>MVS,AES</v>
      </c>
      <c r="W1482" t="str">
        <f t="shared" si="121"/>
        <v>MVS,AES</v>
      </c>
      <c r="AG1482" t="s">
        <v>6</v>
      </c>
      <c r="AH1482" t="s">
        <v>4033</v>
      </c>
      <c r="AI1482" t="s">
        <v>57</v>
      </c>
      <c r="AJ1482" t="s">
        <v>11</v>
      </c>
      <c r="AK1482" t="s">
        <v>4032</v>
      </c>
      <c r="AL1482" t="s">
        <v>4031</v>
      </c>
    </row>
    <row r="1483" spans="5:44" x14ac:dyDescent="0.25">
      <c r="I1483" t="str">
        <f t="shared" si="123"/>
        <v>aof3</v>
      </c>
      <c r="J1483" t="str">
        <f t="shared" si="124"/>
        <v/>
      </c>
      <c r="L1483" t="str">
        <f t="shared" si="122"/>
        <v>NGM-096 (MVS), NGH-096 (AES)</v>
      </c>
      <c r="M1483" t="str">
        <f t="shared" si="122"/>
        <v>19960312 (MVS), 19960426 (AES)</v>
      </c>
      <c r="N1483" t="str">
        <f t="shared" si="122"/>
        <v>アート・オブ・ファイティング 龍虎の拳 外伝</v>
      </c>
      <c r="O1483" t="str">
        <f t="shared" si="122"/>
        <v/>
      </c>
      <c r="P1483" t="str">
        <f t="shared" si="122"/>
        <v/>
      </c>
      <c r="T1483" t="str">
        <f t="shared" si="125"/>
        <v/>
      </c>
      <c r="V1483" t="str">
        <f t="shared" si="121"/>
        <v>MVS,AES</v>
      </c>
      <c r="W1483" t="str">
        <f t="shared" si="121"/>
        <v>MVS,AES</v>
      </c>
      <c r="AG1483" t="s">
        <v>6</v>
      </c>
      <c r="AH1483" t="s">
        <v>4030</v>
      </c>
      <c r="AI1483" t="s">
        <v>53</v>
      </c>
      <c r="AJ1483" t="s">
        <v>11</v>
      </c>
      <c r="AK1483" t="s">
        <v>4029</v>
      </c>
      <c r="AL1483" t="s">
        <v>4028</v>
      </c>
    </row>
    <row r="1484" spans="5:44" x14ac:dyDescent="0.25">
      <c r="I1484" t="str">
        <f t="shared" si="123"/>
        <v>aof3</v>
      </c>
      <c r="J1484" t="str">
        <f t="shared" si="124"/>
        <v/>
      </c>
      <c r="L1484" t="str">
        <f t="shared" si="122"/>
        <v>NGM-096 (MVS), NGH-096 (AES)</v>
      </c>
      <c r="M1484" t="str">
        <f t="shared" si="122"/>
        <v>19960312 (MVS), 19960426 (AES)</v>
      </c>
      <c r="N1484" t="str">
        <f t="shared" si="122"/>
        <v>アート・オブ・ファイティング 龍虎の拳 外伝</v>
      </c>
      <c r="O1484" t="str">
        <f t="shared" si="122"/>
        <v/>
      </c>
      <c r="P1484" t="str">
        <f t="shared" si="122"/>
        <v/>
      </c>
      <c r="T1484" t="str">
        <f t="shared" si="125"/>
        <v/>
      </c>
      <c r="V1484" t="str">
        <f t="shared" si="121"/>
        <v>MVS,AES</v>
      </c>
      <c r="W1484" t="str">
        <f t="shared" si="121"/>
        <v>MVS,AES</v>
      </c>
      <c r="AG1484" t="s">
        <v>6</v>
      </c>
      <c r="AH1484" t="s">
        <v>4027</v>
      </c>
      <c r="AI1484" t="s">
        <v>65</v>
      </c>
      <c r="AJ1484" t="s">
        <v>11</v>
      </c>
      <c r="AK1484" t="s">
        <v>4026</v>
      </c>
      <c r="AL1484" t="s">
        <v>4025</v>
      </c>
    </row>
    <row r="1485" spans="5:44" x14ac:dyDescent="0.25">
      <c r="I1485" t="str">
        <f t="shared" si="123"/>
        <v>aof3</v>
      </c>
      <c r="J1485" t="str">
        <f t="shared" si="124"/>
        <v/>
      </c>
      <c r="L1485" t="str">
        <f t="shared" si="122"/>
        <v>NGM-096 (MVS), NGH-096 (AES)</v>
      </c>
      <c r="M1485" t="str">
        <f t="shared" si="122"/>
        <v>19960312 (MVS), 19960426 (AES)</v>
      </c>
      <c r="N1485" t="str">
        <f t="shared" si="122"/>
        <v>アート・オブ・ファイティング 龍虎の拳 外伝</v>
      </c>
      <c r="O1485" t="str">
        <f t="shared" si="122"/>
        <v/>
      </c>
      <c r="P1485" t="str">
        <f t="shared" si="122"/>
        <v/>
      </c>
      <c r="T1485" t="str">
        <f t="shared" si="125"/>
        <v/>
      </c>
      <c r="V1485" t="str">
        <f t="shared" si="121"/>
        <v>MVS,AES</v>
      </c>
      <c r="W1485" t="str">
        <f t="shared" si="121"/>
        <v>MVS,AES</v>
      </c>
      <c r="AG1485" t="s">
        <v>6</v>
      </c>
      <c r="AH1485" t="s">
        <v>4024</v>
      </c>
      <c r="AI1485" t="s">
        <v>164</v>
      </c>
      <c r="AJ1485" t="s">
        <v>11</v>
      </c>
      <c r="AK1485" t="s">
        <v>4023</v>
      </c>
      <c r="AL1485" t="s">
        <v>4022</v>
      </c>
    </row>
    <row r="1486" spans="5:44" x14ac:dyDescent="0.25">
      <c r="I1486" t="str">
        <f t="shared" si="123"/>
        <v>aof3</v>
      </c>
      <c r="J1486" t="str">
        <f t="shared" si="124"/>
        <v/>
      </c>
      <c r="L1486" t="str">
        <f t="shared" si="122"/>
        <v>NGM-096 (MVS), NGH-096 (AES)</v>
      </c>
      <c r="M1486" t="str">
        <f t="shared" si="122"/>
        <v>19960312 (MVS), 19960426 (AES)</v>
      </c>
      <c r="N1486" t="str">
        <f t="shared" si="122"/>
        <v>アート・オブ・ファイティング 龍虎の拳 外伝</v>
      </c>
      <c r="O1486" t="str">
        <f t="shared" si="122"/>
        <v/>
      </c>
      <c r="P1486" t="str">
        <f t="shared" si="122"/>
        <v/>
      </c>
      <c r="T1486" t="str">
        <f t="shared" si="125"/>
        <v/>
      </c>
      <c r="V1486" t="str">
        <f t="shared" si="121"/>
        <v>MVS,AES</v>
      </c>
      <c r="W1486" t="str">
        <f t="shared" si="121"/>
        <v>MVS,AES</v>
      </c>
      <c r="AG1486" t="s">
        <v>6</v>
      </c>
      <c r="AH1486" t="s">
        <v>4021</v>
      </c>
      <c r="AI1486" t="s">
        <v>634</v>
      </c>
      <c r="AJ1486" t="s">
        <v>3</v>
      </c>
      <c r="AK1486" t="s">
        <v>4020</v>
      </c>
      <c r="AL1486" t="s">
        <v>4019</v>
      </c>
    </row>
    <row r="1487" spans="5:44" x14ac:dyDescent="0.25">
      <c r="I1487" t="str">
        <f t="shared" si="123"/>
        <v>aof3</v>
      </c>
      <c r="J1487" t="str">
        <f t="shared" si="124"/>
        <v/>
      </c>
      <c r="L1487" t="str">
        <f t="shared" si="122"/>
        <v>NGM-096 (MVS), NGH-096 (AES)</v>
      </c>
      <c r="M1487" t="str">
        <f t="shared" si="122"/>
        <v>19960312 (MVS), 19960426 (AES)</v>
      </c>
      <c r="N1487" t="str">
        <f t="shared" si="122"/>
        <v>アート・オブ・ファイティング 龍虎の拳 外伝</v>
      </c>
      <c r="O1487" t="str">
        <f t="shared" si="122"/>
        <v/>
      </c>
      <c r="P1487" t="str">
        <f t="shared" si="122"/>
        <v/>
      </c>
      <c r="T1487" t="str">
        <f t="shared" si="125"/>
        <v/>
      </c>
      <c r="V1487" t="str">
        <f t="shared" si="121"/>
        <v>MVS,AES</v>
      </c>
      <c r="W1487" t="str">
        <f t="shared" si="121"/>
        <v>MVS,AES</v>
      </c>
      <c r="AG1487" t="s">
        <v>6</v>
      </c>
      <c r="AH1487" t="s">
        <v>4018</v>
      </c>
      <c r="AI1487" t="s">
        <v>630</v>
      </c>
      <c r="AJ1487" t="s">
        <v>3</v>
      </c>
      <c r="AK1487" t="s">
        <v>4017</v>
      </c>
      <c r="AL1487" t="s">
        <v>4016</v>
      </c>
    </row>
    <row r="1488" spans="5:44" x14ac:dyDescent="0.25">
      <c r="E1488" t="s">
        <v>4063</v>
      </c>
      <c r="F1488" t="s">
        <v>4062</v>
      </c>
      <c r="G1488" t="s">
        <v>1280</v>
      </c>
      <c r="H1488" t="s">
        <v>1912</v>
      </c>
      <c r="I1488" t="str">
        <f t="shared" si="123"/>
        <v>aof3k</v>
      </c>
      <c r="J1488" t="str">
        <f t="shared" si="124"/>
        <v/>
      </c>
      <c r="L1488" t="str">
        <f t="shared" si="122"/>
        <v/>
      </c>
      <c r="M1488" t="str">
        <f t="shared" si="122"/>
        <v/>
      </c>
      <c r="N1488" t="str">
        <f t="shared" si="122"/>
        <v/>
      </c>
      <c r="O1488" t="str">
        <f t="shared" si="122"/>
        <v/>
      </c>
      <c r="P1488" t="str">
        <f t="shared" si="122"/>
        <v/>
      </c>
      <c r="S1488" t="s">
        <v>46</v>
      </c>
      <c r="T1488" t="str">
        <f t="shared" si="125"/>
        <v>aof3krelease</v>
      </c>
      <c r="U1488" t="s">
        <v>106</v>
      </c>
      <c r="V1488" t="str">
        <f t="shared" si="121"/>
        <v>MVS</v>
      </c>
      <c r="W1488" t="str">
        <f t="shared" si="121"/>
        <v>MVS,AES</v>
      </c>
      <c r="Y1488" t="s">
        <v>45</v>
      </c>
      <c r="Z1488" t="s">
        <v>44</v>
      </c>
      <c r="AB1488" t="s">
        <v>43</v>
      </c>
      <c r="AC1488" t="s">
        <v>42</v>
      </c>
      <c r="AD1488" t="s">
        <v>41</v>
      </c>
      <c r="AE1488" t="s">
        <v>377</v>
      </c>
      <c r="AG1488" t="s">
        <v>40</v>
      </c>
      <c r="AH1488" t="s">
        <v>4061</v>
      </c>
      <c r="AI1488" t="s">
        <v>9</v>
      </c>
      <c r="AJ1488" t="s">
        <v>15</v>
      </c>
      <c r="AK1488" t="s">
        <v>4060</v>
      </c>
      <c r="AL1488" t="s">
        <v>4059</v>
      </c>
      <c r="AR1488" t="s">
        <v>4058</v>
      </c>
    </row>
    <row r="1489" spans="5:38" x14ac:dyDescent="0.25">
      <c r="I1489" t="str">
        <f t="shared" si="123"/>
        <v>aof3k</v>
      </c>
      <c r="J1489" t="str">
        <f t="shared" si="124"/>
        <v/>
      </c>
      <c r="L1489" t="str">
        <f t="shared" si="122"/>
        <v/>
      </c>
      <c r="M1489" t="str">
        <f t="shared" si="122"/>
        <v/>
      </c>
      <c r="N1489" t="str">
        <f t="shared" si="122"/>
        <v/>
      </c>
      <c r="O1489" t="str">
        <f t="shared" si="122"/>
        <v/>
      </c>
      <c r="P1489" t="str">
        <f t="shared" si="122"/>
        <v/>
      </c>
      <c r="S1489" t="s">
        <v>36</v>
      </c>
      <c r="T1489" t="str">
        <f t="shared" si="125"/>
        <v>aof3kcompatibility</v>
      </c>
      <c r="U1489" t="s">
        <v>218</v>
      </c>
      <c r="V1489" t="str">
        <f t="shared" si="121"/>
        <v>MVS</v>
      </c>
      <c r="W1489" t="str">
        <f t="shared" si="121"/>
        <v>MVS,AES</v>
      </c>
      <c r="AG1489" t="s">
        <v>40</v>
      </c>
      <c r="AH1489" t="s">
        <v>4057</v>
      </c>
      <c r="AI1489" t="s">
        <v>15</v>
      </c>
      <c r="AJ1489" t="s">
        <v>3</v>
      </c>
      <c r="AK1489" t="s">
        <v>4056</v>
      </c>
      <c r="AL1489" t="s">
        <v>4055</v>
      </c>
    </row>
    <row r="1490" spans="5:38" x14ac:dyDescent="0.25">
      <c r="I1490" t="str">
        <f t="shared" si="123"/>
        <v>aof3k</v>
      </c>
      <c r="J1490" t="str">
        <f t="shared" si="124"/>
        <v/>
      </c>
      <c r="L1490" t="str">
        <f t="shared" si="122"/>
        <v/>
      </c>
      <c r="M1490" t="str">
        <f t="shared" si="122"/>
        <v/>
      </c>
      <c r="N1490" t="str">
        <f t="shared" si="122"/>
        <v/>
      </c>
      <c r="O1490" t="str">
        <f t="shared" si="122"/>
        <v/>
      </c>
      <c r="P1490" t="str">
        <f t="shared" si="122"/>
        <v/>
      </c>
      <c r="T1490" t="str">
        <f t="shared" si="125"/>
        <v/>
      </c>
      <c r="V1490" t="str">
        <f t="shared" si="121"/>
        <v>MVS</v>
      </c>
      <c r="W1490" t="str">
        <f t="shared" si="121"/>
        <v>MVS,AES</v>
      </c>
      <c r="AB1490" t="s">
        <v>34</v>
      </c>
      <c r="AE1490" t="s">
        <v>33</v>
      </c>
      <c r="AH1490" t="s">
        <v>4054</v>
      </c>
      <c r="AI1490" t="s">
        <v>9</v>
      </c>
      <c r="AJ1490" t="s">
        <v>27</v>
      </c>
      <c r="AK1490" t="s">
        <v>4053</v>
      </c>
      <c r="AL1490" t="s">
        <v>4052</v>
      </c>
    </row>
    <row r="1491" spans="5:38" x14ac:dyDescent="0.25">
      <c r="I1491" t="str">
        <f t="shared" si="123"/>
        <v>aof3k</v>
      </c>
      <c r="J1491" t="str">
        <f t="shared" si="124"/>
        <v/>
      </c>
      <c r="L1491" t="str">
        <f t="shared" si="122"/>
        <v/>
      </c>
      <c r="M1491" t="str">
        <f t="shared" si="122"/>
        <v/>
      </c>
      <c r="N1491" t="str">
        <f t="shared" si="122"/>
        <v/>
      </c>
      <c r="O1491" t="str">
        <f t="shared" si="122"/>
        <v/>
      </c>
      <c r="P1491" t="str">
        <f t="shared" si="122"/>
        <v/>
      </c>
      <c r="T1491" t="str">
        <f t="shared" si="125"/>
        <v/>
      </c>
      <c r="V1491" t="str">
        <f t="shared" si="121"/>
        <v>MVS</v>
      </c>
      <c r="W1491" t="str">
        <f t="shared" si="121"/>
        <v>MVS,AES</v>
      </c>
      <c r="AB1491" t="s">
        <v>29</v>
      </c>
      <c r="AE1491" t="s">
        <v>27</v>
      </c>
      <c r="AH1491" t="s">
        <v>4051</v>
      </c>
      <c r="AI1491" t="s">
        <v>9</v>
      </c>
      <c r="AJ1491" t="s">
        <v>27</v>
      </c>
      <c r="AK1491" t="s">
        <v>4050</v>
      </c>
      <c r="AL1491" t="s">
        <v>4049</v>
      </c>
    </row>
    <row r="1492" spans="5:38" x14ac:dyDescent="0.25">
      <c r="I1492" t="str">
        <f t="shared" si="123"/>
        <v>aof3k</v>
      </c>
      <c r="J1492" t="str">
        <f t="shared" si="124"/>
        <v/>
      </c>
      <c r="L1492" t="str">
        <f t="shared" si="122"/>
        <v/>
      </c>
      <c r="M1492" t="str">
        <f t="shared" si="122"/>
        <v/>
      </c>
      <c r="N1492" t="str">
        <f t="shared" si="122"/>
        <v/>
      </c>
      <c r="O1492" t="str">
        <f t="shared" si="122"/>
        <v/>
      </c>
      <c r="P1492" t="str">
        <f t="shared" si="122"/>
        <v/>
      </c>
      <c r="T1492" t="str">
        <f t="shared" si="125"/>
        <v/>
      </c>
      <c r="V1492" t="str">
        <f t="shared" si="121"/>
        <v>MVS</v>
      </c>
      <c r="W1492" t="str">
        <f t="shared" si="121"/>
        <v>MVS,AES</v>
      </c>
      <c r="AB1492" t="s">
        <v>24</v>
      </c>
      <c r="AE1492" t="s">
        <v>75</v>
      </c>
      <c r="AH1492" t="s">
        <v>4048</v>
      </c>
      <c r="AI1492" t="s">
        <v>9</v>
      </c>
      <c r="AJ1492" t="s">
        <v>3</v>
      </c>
      <c r="AK1492" t="s">
        <v>4047</v>
      </c>
      <c r="AL1492" t="s">
        <v>4046</v>
      </c>
    </row>
    <row r="1493" spans="5:38" x14ac:dyDescent="0.25">
      <c r="I1493" t="str">
        <f t="shared" si="123"/>
        <v>aof3k</v>
      </c>
      <c r="J1493" t="str">
        <f t="shared" si="124"/>
        <v/>
      </c>
      <c r="L1493" t="str">
        <f t="shared" si="122"/>
        <v/>
      </c>
      <c r="M1493" t="str">
        <f t="shared" si="122"/>
        <v/>
      </c>
      <c r="N1493" t="str">
        <f t="shared" si="122"/>
        <v/>
      </c>
      <c r="O1493" t="str">
        <f t="shared" si="122"/>
        <v/>
      </c>
      <c r="P1493" t="str">
        <f t="shared" si="122"/>
        <v/>
      </c>
      <c r="T1493" t="str">
        <f t="shared" si="125"/>
        <v/>
      </c>
      <c r="V1493" t="str">
        <f t="shared" si="121"/>
        <v>MVS</v>
      </c>
      <c r="W1493" t="str">
        <f t="shared" si="121"/>
        <v>MVS,AES</v>
      </c>
      <c r="AH1493" t="s">
        <v>4045</v>
      </c>
      <c r="AI1493" t="s">
        <v>3</v>
      </c>
      <c r="AJ1493" t="s">
        <v>3</v>
      </c>
      <c r="AK1493" t="s">
        <v>4044</v>
      </c>
      <c r="AL1493" t="s">
        <v>4043</v>
      </c>
    </row>
    <row r="1494" spans="5:38" x14ac:dyDescent="0.25">
      <c r="I1494" t="str">
        <f t="shared" si="123"/>
        <v>aof3k</v>
      </c>
      <c r="J1494" t="str">
        <f t="shared" si="124"/>
        <v/>
      </c>
      <c r="L1494" t="str">
        <f t="shared" ref="L1494:P1544" si="126">IFERROR(VLOOKUP($I1494&amp;L$1,$J:$Q,8,0),"")</f>
        <v/>
      </c>
      <c r="M1494" t="str">
        <f t="shared" si="126"/>
        <v/>
      </c>
      <c r="N1494" t="str">
        <f t="shared" si="126"/>
        <v/>
      </c>
      <c r="O1494" t="str">
        <f t="shared" si="126"/>
        <v/>
      </c>
      <c r="P1494" t="str">
        <f t="shared" si="126"/>
        <v/>
      </c>
      <c r="T1494" t="str">
        <f t="shared" si="125"/>
        <v/>
      </c>
      <c r="V1494" t="str">
        <f t="shared" si="121"/>
        <v>MVS</v>
      </c>
      <c r="W1494" t="str">
        <f t="shared" si="121"/>
        <v>MVS,AES</v>
      </c>
      <c r="AH1494" t="s">
        <v>4042</v>
      </c>
      <c r="AI1494" t="s">
        <v>11</v>
      </c>
      <c r="AJ1494" t="s">
        <v>3</v>
      </c>
      <c r="AK1494" t="s">
        <v>4041</v>
      </c>
      <c r="AL1494" t="s">
        <v>4040</v>
      </c>
    </row>
    <row r="1495" spans="5:38" x14ac:dyDescent="0.25">
      <c r="I1495" t="str">
        <f t="shared" si="123"/>
        <v>aof3k</v>
      </c>
      <c r="J1495" t="str">
        <f t="shared" si="124"/>
        <v/>
      </c>
      <c r="L1495" t="str">
        <f t="shared" si="126"/>
        <v/>
      </c>
      <c r="M1495" t="str">
        <f t="shared" si="126"/>
        <v/>
      </c>
      <c r="N1495" t="str">
        <f t="shared" si="126"/>
        <v/>
      </c>
      <c r="O1495" t="str">
        <f t="shared" si="126"/>
        <v/>
      </c>
      <c r="P1495" t="str">
        <f t="shared" si="126"/>
        <v/>
      </c>
      <c r="T1495" t="str">
        <f t="shared" si="125"/>
        <v/>
      </c>
      <c r="V1495" t="str">
        <f t="shared" ref="V1495:W1558" si="127">IFERROR(VLOOKUP($I1495&amp;V$1,$T:$AA,2,0),"")</f>
        <v>MVS</v>
      </c>
      <c r="W1495" t="str">
        <f t="shared" si="127"/>
        <v>MVS,AES</v>
      </c>
      <c r="AB1495" t="s">
        <v>12</v>
      </c>
      <c r="AE1495" t="s">
        <v>3588</v>
      </c>
      <c r="AG1495" t="s">
        <v>6</v>
      </c>
      <c r="AH1495" t="s">
        <v>4039</v>
      </c>
      <c r="AI1495" t="s">
        <v>9</v>
      </c>
      <c r="AJ1495" t="s">
        <v>11</v>
      </c>
      <c r="AK1495" t="s">
        <v>4038</v>
      </c>
      <c r="AL1495" t="s">
        <v>4037</v>
      </c>
    </row>
    <row r="1496" spans="5:38" x14ac:dyDescent="0.25">
      <c r="I1496" t="str">
        <f t="shared" si="123"/>
        <v>aof3k</v>
      </c>
      <c r="J1496" t="str">
        <f t="shared" si="124"/>
        <v/>
      </c>
      <c r="L1496" t="str">
        <f t="shared" si="126"/>
        <v/>
      </c>
      <c r="M1496" t="str">
        <f t="shared" si="126"/>
        <v/>
      </c>
      <c r="N1496" t="str">
        <f t="shared" si="126"/>
        <v/>
      </c>
      <c r="O1496" t="str">
        <f t="shared" si="126"/>
        <v/>
      </c>
      <c r="P1496" t="str">
        <f t="shared" si="126"/>
        <v/>
      </c>
      <c r="T1496" t="str">
        <f t="shared" si="125"/>
        <v/>
      </c>
      <c r="V1496" t="str">
        <f t="shared" si="127"/>
        <v>MVS</v>
      </c>
      <c r="W1496" t="str">
        <f t="shared" si="127"/>
        <v>MVS,AES</v>
      </c>
      <c r="AG1496" t="s">
        <v>6</v>
      </c>
      <c r="AH1496" t="s">
        <v>4036</v>
      </c>
      <c r="AI1496" t="s">
        <v>4</v>
      </c>
      <c r="AJ1496" t="s">
        <v>11</v>
      </c>
      <c r="AK1496" t="s">
        <v>4035</v>
      </c>
      <c r="AL1496" t="s">
        <v>4034</v>
      </c>
    </row>
    <row r="1497" spans="5:38" x14ac:dyDescent="0.25">
      <c r="I1497" t="str">
        <f t="shared" si="123"/>
        <v>aof3k</v>
      </c>
      <c r="J1497" t="str">
        <f t="shared" si="124"/>
        <v/>
      </c>
      <c r="L1497" t="str">
        <f t="shared" si="126"/>
        <v/>
      </c>
      <c r="M1497" t="str">
        <f t="shared" si="126"/>
        <v/>
      </c>
      <c r="N1497" t="str">
        <f t="shared" si="126"/>
        <v/>
      </c>
      <c r="O1497" t="str">
        <f t="shared" si="126"/>
        <v/>
      </c>
      <c r="P1497" t="str">
        <f t="shared" si="126"/>
        <v/>
      </c>
      <c r="T1497" t="str">
        <f t="shared" si="125"/>
        <v/>
      </c>
      <c r="V1497" t="str">
        <f t="shared" si="127"/>
        <v>MVS</v>
      </c>
      <c r="W1497" t="str">
        <f t="shared" si="127"/>
        <v>MVS,AES</v>
      </c>
      <c r="AG1497" t="s">
        <v>6</v>
      </c>
      <c r="AH1497" t="s">
        <v>4033</v>
      </c>
      <c r="AI1497" t="s">
        <v>57</v>
      </c>
      <c r="AJ1497" t="s">
        <v>11</v>
      </c>
      <c r="AK1497" t="s">
        <v>4032</v>
      </c>
      <c r="AL1497" t="s">
        <v>4031</v>
      </c>
    </row>
    <row r="1498" spans="5:38" x14ac:dyDescent="0.25">
      <c r="I1498" t="str">
        <f t="shared" si="123"/>
        <v>aof3k</v>
      </c>
      <c r="J1498" t="str">
        <f t="shared" si="124"/>
        <v/>
      </c>
      <c r="L1498" t="str">
        <f t="shared" si="126"/>
        <v/>
      </c>
      <c r="M1498" t="str">
        <f t="shared" si="126"/>
        <v/>
      </c>
      <c r="N1498" t="str">
        <f t="shared" si="126"/>
        <v/>
      </c>
      <c r="O1498" t="str">
        <f t="shared" si="126"/>
        <v/>
      </c>
      <c r="P1498" t="str">
        <f t="shared" si="126"/>
        <v/>
      </c>
      <c r="T1498" t="str">
        <f t="shared" si="125"/>
        <v/>
      </c>
      <c r="V1498" t="str">
        <f t="shared" si="127"/>
        <v>MVS</v>
      </c>
      <c r="W1498" t="str">
        <f t="shared" si="127"/>
        <v>MVS,AES</v>
      </c>
      <c r="AG1498" t="s">
        <v>6</v>
      </c>
      <c r="AH1498" t="s">
        <v>4030</v>
      </c>
      <c r="AI1498" t="s">
        <v>53</v>
      </c>
      <c r="AJ1498" t="s">
        <v>11</v>
      </c>
      <c r="AK1498" t="s">
        <v>4029</v>
      </c>
      <c r="AL1498" t="s">
        <v>4028</v>
      </c>
    </row>
    <row r="1499" spans="5:38" x14ac:dyDescent="0.25">
      <c r="I1499" t="str">
        <f t="shared" si="123"/>
        <v>aof3k</v>
      </c>
      <c r="J1499" t="str">
        <f t="shared" si="124"/>
        <v/>
      </c>
      <c r="L1499" t="str">
        <f t="shared" si="126"/>
        <v/>
      </c>
      <c r="M1499" t="str">
        <f t="shared" si="126"/>
        <v/>
      </c>
      <c r="N1499" t="str">
        <f t="shared" si="126"/>
        <v/>
      </c>
      <c r="O1499" t="str">
        <f t="shared" si="126"/>
        <v/>
      </c>
      <c r="P1499" t="str">
        <f t="shared" si="126"/>
        <v/>
      </c>
      <c r="T1499" t="str">
        <f t="shared" si="125"/>
        <v/>
      </c>
      <c r="V1499" t="str">
        <f t="shared" si="127"/>
        <v>MVS</v>
      </c>
      <c r="W1499" t="str">
        <f t="shared" si="127"/>
        <v>MVS,AES</v>
      </c>
      <c r="AG1499" t="s">
        <v>6</v>
      </c>
      <c r="AH1499" t="s">
        <v>4027</v>
      </c>
      <c r="AI1499" t="s">
        <v>65</v>
      </c>
      <c r="AJ1499" t="s">
        <v>11</v>
      </c>
      <c r="AK1499" t="s">
        <v>4026</v>
      </c>
      <c r="AL1499" t="s">
        <v>4025</v>
      </c>
    </row>
    <row r="1500" spans="5:38" x14ac:dyDescent="0.25">
      <c r="I1500" t="str">
        <f t="shared" si="123"/>
        <v>aof3k</v>
      </c>
      <c r="J1500" t="str">
        <f t="shared" si="124"/>
        <v/>
      </c>
      <c r="L1500" t="str">
        <f t="shared" si="126"/>
        <v/>
      </c>
      <c r="M1500" t="str">
        <f t="shared" si="126"/>
        <v/>
      </c>
      <c r="N1500" t="str">
        <f t="shared" si="126"/>
        <v/>
      </c>
      <c r="O1500" t="str">
        <f t="shared" si="126"/>
        <v/>
      </c>
      <c r="P1500" t="str">
        <f t="shared" si="126"/>
        <v/>
      </c>
      <c r="T1500" t="str">
        <f t="shared" si="125"/>
        <v/>
      </c>
      <c r="V1500" t="str">
        <f t="shared" si="127"/>
        <v>MVS</v>
      </c>
      <c r="W1500" t="str">
        <f t="shared" si="127"/>
        <v>MVS,AES</v>
      </c>
      <c r="AG1500" t="s">
        <v>6</v>
      </c>
      <c r="AH1500" t="s">
        <v>4024</v>
      </c>
      <c r="AI1500" t="s">
        <v>164</v>
      </c>
      <c r="AJ1500" t="s">
        <v>11</v>
      </c>
      <c r="AK1500" t="s">
        <v>4023</v>
      </c>
      <c r="AL1500" t="s">
        <v>4022</v>
      </c>
    </row>
    <row r="1501" spans="5:38" x14ac:dyDescent="0.25">
      <c r="I1501" t="str">
        <f t="shared" si="123"/>
        <v>aof3k</v>
      </c>
      <c r="J1501" t="str">
        <f t="shared" si="124"/>
        <v/>
      </c>
      <c r="L1501" t="str">
        <f t="shared" si="126"/>
        <v/>
      </c>
      <c r="M1501" t="str">
        <f t="shared" si="126"/>
        <v/>
      </c>
      <c r="N1501" t="str">
        <f t="shared" si="126"/>
        <v/>
      </c>
      <c r="O1501" t="str">
        <f t="shared" si="126"/>
        <v/>
      </c>
      <c r="P1501" t="str">
        <f t="shared" si="126"/>
        <v/>
      </c>
      <c r="T1501" t="str">
        <f t="shared" si="125"/>
        <v/>
      </c>
      <c r="V1501" t="str">
        <f t="shared" si="127"/>
        <v>MVS</v>
      </c>
      <c r="W1501" t="str">
        <f t="shared" si="127"/>
        <v>MVS,AES</v>
      </c>
      <c r="AG1501" t="s">
        <v>6</v>
      </c>
      <c r="AH1501" t="s">
        <v>4021</v>
      </c>
      <c r="AI1501" t="s">
        <v>634</v>
      </c>
      <c r="AJ1501" t="s">
        <v>3</v>
      </c>
      <c r="AK1501" t="s">
        <v>4020</v>
      </c>
      <c r="AL1501" t="s">
        <v>4019</v>
      </c>
    </row>
    <row r="1502" spans="5:38" x14ac:dyDescent="0.25">
      <c r="I1502" t="str">
        <f t="shared" si="123"/>
        <v>aof3k</v>
      </c>
      <c r="J1502" t="str">
        <f t="shared" si="124"/>
        <v/>
      </c>
      <c r="L1502" t="str">
        <f t="shared" si="126"/>
        <v/>
      </c>
      <c r="M1502" t="str">
        <f t="shared" si="126"/>
        <v/>
      </c>
      <c r="N1502" t="str">
        <f t="shared" si="126"/>
        <v/>
      </c>
      <c r="O1502" t="str">
        <f t="shared" si="126"/>
        <v/>
      </c>
      <c r="P1502" t="str">
        <f t="shared" si="126"/>
        <v/>
      </c>
      <c r="T1502" t="str">
        <f t="shared" si="125"/>
        <v/>
      </c>
      <c r="V1502" t="str">
        <f t="shared" si="127"/>
        <v>MVS</v>
      </c>
      <c r="W1502" t="str">
        <f t="shared" si="127"/>
        <v>MVS,AES</v>
      </c>
      <c r="AG1502" t="s">
        <v>6</v>
      </c>
      <c r="AH1502" t="s">
        <v>4018</v>
      </c>
      <c r="AI1502" t="s">
        <v>630</v>
      </c>
      <c r="AJ1502" t="s">
        <v>3</v>
      </c>
      <c r="AK1502" t="s">
        <v>4017</v>
      </c>
      <c r="AL1502" t="s">
        <v>4016</v>
      </c>
    </row>
    <row r="1503" spans="5:38" x14ac:dyDescent="0.25">
      <c r="E1503" t="s">
        <v>4015</v>
      </c>
      <c r="F1503" t="s">
        <v>4014</v>
      </c>
      <c r="G1503" t="s">
        <v>1239</v>
      </c>
      <c r="H1503" t="s">
        <v>2929</v>
      </c>
      <c r="I1503" t="str">
        <f t="shared" si="123"/>
        <v>sonicwi3</v>
      </c>
      <c r="J1503" t="str">
        <f t="shared" si="124"/>
        <v>sonicwi3serial</v>
      </c>
      <c r="K1503" t="s">
        <v>1373</v>
      </c>
      <c r="L1503" t="str">
        <f t="shared" si="126"/>
        <v>NGM-097 (MVS), NGH-097 (AES)</v>
      </c>
      <c r="M1503" t="str">
        <f t="shared" si="126"/>
        <v>19951012 (MVS), 19951117 (AES)</v>
      </c>
      <c r="N1503" t="str">
        <f t="shared" si="126"/>
        <v>ソニックウイングス3</v>
      </c>
      <c r="O1503" t="str">
        <f t="shared" si="126"/>
        <v/>
      </c>
      <c r="P1503" t="str">
        <f t="shared" si="126"/>
        <v/>
      </c>
      <c r="Q1503" t="s">
        <v>4013</v>
      </c>
      <c r="S1503" t="s">
        <v>46</v>
      </c>
      <c r="T1503" t="str">
        <f t="shared" si="125"/>
        <v>sonicwi3release</v>
      </c>
      <c r="U1503" t="s">
        <v>218</v>
      </c>
      <c r="V1503" t="str">
        <f t="shared" si="127"/>
        <v>MVS,AES</v>
      </c>
      <c r="W1503" t="str">
        <f t="shared" si="127"/>
        <v>MVS,AES</v>
      </c>
      <c r="Y1503" t="s">
        <v>45</v>
      </c>
      <c r="Z1503" t="s">
        <v>44</v>
      </c>
      <c r="AB1503" t="s">
        <v>43</v>
      </c>
      <c r="AC1503" t="s">
        <v>42</v>
      </c>
      <c r="AD1503" t="s">
        <v>41</v>
      </c>
      <c r="AE1503" t="s">
        <v>3</v>
      </c>
      <c r="AG1503" t="s">
        <v>40</v>
      </c>
      <c r="AH1503" t="s">
        <v>4012</v>
      </c>
      <c r="AI1503" t="s">
        <v>15</v>
      </c>
      <c r="AJ1503" t="s">
        <v>15</v>
      </c>
      <c r="AK1503" t="s">
        <v>4011</v>
      </c>
      <c r="AL1503" t="s">
        <v>4010</v>
      </c>
    </row>
    <row r="1504" spans="5:38" x14ac:dyDescent="0.25">
      <c r="I1504" t="str">
        <f t="shared" si="123"/>
        <v>sonicwi3</v>
      </c>
      <c r="J1504" t="str">
        <f t="shared" si="124"/>
        <v>sonicwi3release</v>
      </c>
      <c r="K1504" t="s">
        <v>46</v>
      </c>
      <c r="L1504" t="str">
        <f t="shared" si="126"/>
        <v>NGM-097 (MVS), NGH-097 (AES)</v>
      </c>
      <c r="M1504" t="str">
        <f t="shared" si="126"/>
        <v>19951012 (MVS), 19951117 (AES)</v>
      </c>
      <c r="N1504" t="str">
        <f t="shared" si="126"/>
        <v>ソニックウイングス3</v>
      </c>
      <c r="O1504" t="str">
        <f t="shared" si="126"/>
        <v/>
      </c>
      <c r="P1504" t="str">
        <f t="shared" si="126"/>
        <v/>
      </c>
      <c r="Q1504" t="s">
        <v>4009</v>
      </c>
      <c r="T1504" t="str">
        <f t="shared" si="125"/>
        <v/>
      </c>
      <c r="V1504" t="str">
        <f t="shared" si="127"/>
        <v>MVS,AES</v>
      </c>
      <c r="W1504" t="str">
        <f t="shared" si="127"/>
        <v>MVS,AES</v>
      </c>
      <c r="AG1504" t="s">
        <v>224</v>
      </c>
      <c r="AI1504" t="s">
        <v>9</v>
      </c>
      <c r="AJ1504" t="s">
        <v>15</v>
      </c>
    </row>
    <row r="1505" spans="5:38" x14ac:dyDescent="0.25">
      <c r="I1505" t="str">
        <f t="shared" si="123"/>
        <v>sonicwi3</v>
      </c>
      <c r="J1505" t="str">
        <f t="shared" si="124"/>
        <v>sonicwi3alt_title</v>
      </c>
      <c r="K1505" t="s">
        <v>1218</v>
      </c>
      <c r="L1505" t="str">
        <f t="shared" si="126"/>
        <v>NGM-097 (MVS), NGH-097 (AES)</v>
      </c>
      <c r="M1505" t="str">
        <f t="shared" si="126"/>
        <v>19951012 (MVS), 19951117 (AES)</v>
      </c>
      <c r="N1505" t="str">
        <f t="shared" si="126"/>
        <v>ソニックウイングス3</v>
      </c>
      <c r="O1505" t="str">
        <f t="shared" si="126"/>
        <v/>
      </c>
      <c r="P1505" t="str">
        <f t="shared" si="126"/>
        <v/>
      </c>
      <c r="Q1505" t="s">
        <v>4008</v>
      </c>
      <c r="T1505" t="str">
        <f t="shared" si="125"/>
        <v/>
      </c>
      <c r="V1505" t="str">
        <f t="shared" si="127"/>
        <v>MVS,AES</v>
      </c>
      <c r="W1505" t="str">
        <f t="shared" si="127"/>
        <v>MVS,AES</v>
      </c>
      <c r="AB1505" t="s">
        <v>34</v>
      </c>
      <c r="AE1505" t="s">
        <v>33</v>
      </c>
      <c r="AH1505" t="s">
        <v>4007</v>
      </c>
      <c r="AI1505" t="s">
        <v>9</v>
      </c>
      <c r="AJ1505" t="s">
        <v>27</v>
      </c>
      <c r="AK1505" t="s">
        <v>4006</v>
      </c>
      <c r="AL1505" t="s">
        <v>4005</v>
      </c>
    </row>
    <row r="1506" spans="5:38" x14ac:dyDescent="0.25">
      <c r="I1506" t="str">
        <f t="shared" si="123"/>
        <v>sonicwi3</v>
      </c>
      <c r="J1506" t="str">
        <f t="shared" si="124"/>
        <v/>
      </c>
      <c r="L1506" t="str">
        <f t="shared" si="126"/>
        <v>NGM-097 (MVS), NGH-097 (AES)</v>
      </c>
      <c r="M1506" t="str">
        <f t="shared" si="126"/>
        <v>19951012 (MVS), 19951117 (AES)</v>
      </c>
      <c r="N1506" t="str">
        <f t="shared" si="126"/>
        <v>ソニックウイングス3</v>
      </c>
      <c r="O1506" t="str">
        <f t="shared" si="126"/>
        <v/>
      </c>
      <c r="P1506" t="str">
        <f t="shared" si="126"/>
        <v/>
      </c>
      <c r="S1506" t="s">
        <v>36</v>
      </c>
      <c r="T1506" t="str">
        <f t="shared" si="125"/>
        <v>sonicwi3compatibility</v>
      </c>
      <c r="U1506" t="s">
        <v>218</v>
      </c>
      <c r="V1506" t="str">
        <f t="shared" si="127"/>
        <v>MVS,AES</v>
      </c>
      <c r="W1506" t="str">
        <f t="shared" si="127"/>
        <v>MVS,AES</v>
      </c>
      <c r="AB1506" t="s">
        <v>29</v>
      </c>
      <c r="AE1506" t="s">
        <v>27</v>
      </c>
      <c r="AH1506" t="s">
        <v>4004</v>
      </c>
      <c r="AI1506" t="s">
        <v>9</v>
      </c>
      <c r="AJ1506" t="s">
        <v>27</v>
      </c>
      <c r="AK1506" t="s">
        <v>4003</v>
      </c>
      <c r="AL1506" t="s">
        <v>4002</v>
      </c>
    </row>
    <row r="1507" spans="5:38" x14ac:dyDescent="0.25">
      <c r="I1507" t="str">
        <f t="shared" si="123"/>
        <v>sonicwi3</v>
      </c>
      <c r="J1507" t="str">
        <f t="shared" si="124"/>
        <v/>
      </c>
      <c r="L1507" t="str">
        <f t="shared" si="126"/>
        <v>NGM-097 (MVS), NGH-097 (AES)</v>
      </c>
      <c r="M1507" t="str">
        <f t="shared" si="126"/>
        <v>19951012 (MVS), 19951117 (AES)</v>
      </c>
      <c r="N1507" t="str">
        <f t="shared" si="126"/>
        <v>ソニックウイングス3</v>
      </c>
      <c r="O1507" t="str">
        <f t="shared" si="126"/>
        <v/>
      </c>
      <c r="P1507" t="str">
        <f t="shared" si="126"/>
        <v/>
      </c>
      <c r="T1507" t="str">
        <f t="shared" si="125"/>
        <v/>
      </c>
      <c r="V1507" t="str">
        <f t="shared" si="127"/>
        <v>MVS,AES</v>
      </c>
      <c r="W1507" t="str">
        <f t="shared" si="127"/>
        <v>MVS,AES</v>
      </c>
      <c r="AB1507" t="s">
        <v>24</v>
      </c>
      <c r="AE1507" t="s">
        <v>75</v>
      </c>
      <c r="AH1507" t="s">
        <v>4001</v>
      </c>
      <c r="AI1507" t="s">
        <v>9</v>
      </c>
      <c r="AJ1507" t="s">
        <v>11</v>
      </c>
      <c r="AK1507" t="s">
        <v>4000</v>
      </c>
      <c r="AL1507" t="s">
        <v>3999</v>
      </c>
    </row>
    <row r="1508" spans="5:38" x14ac:dyDescent="0.25">
      <c r="I1508" t="str">
        <f t="shared" si="123"/>
        <v>sonicwi3</v>
      </c>
      <c r="J1508" t="str">
        <f t="shared" si="124"/>
        <v/>
      </c>
      <c r="L1508" t="str">
        <f t="shared" si="126"/>
        <v>NGM-097 (MVS), NGH-097 (AES)</v>
      </c>
      <c r="M1508" t="str">
        <f t="shared" si="126"/>
        <v>19951012 (MVS), 19951117 (AES)</v>
      </c>
      <c r="N1508" t="str">
        <f t="shared" si="126"/>
        <v>ソニックウイングス3</v>
      </c>
      <c r="O1508" t="str">
        <f t="shared" si="126"/>
        <v/>
      </c>
      <c r="P1508" t="str">
        <f t="shared" si="126"/>
        <v/>
      </c>
      <c r="T1508" t="str">
        <f t="shared" si="125"/>
        <v/>
      </c>
      <c r="V1508" t="str">
        <f t="shared" si="127"/>
        <v>MVS,AES</v>
      </c>
      <c r="W1508" t="str">
        <f t="shared" si="127"/>
        <v>MVS,AES</v>
      </c>
      <c r="AH1508" t="s">
        <v>3998</v>
      </c>
      <c r="AI1508" t="s">
        <v>11</v>
      </c>
      <c r="AJ1508" t="s">
        <v>3</v>
      </c>
      <c r="AK1508" t="s">
        <v>3997</v>
      </c>
      <c r="AL1508" t="s">
        <v>3996</v>
      </c>
    </row>
    <row r="1509" spans="5:38" x14ac:dyDescent="0.25">
      <c r="I1509" t="str">
        <f t="shared" si="123"/>
        <v>sonicwi3</v>
      </c>
      <c r="J1509" t="str">
        <f t="shared" si="124"/>
        <v/>
      </c>
      <c r="L1509" t="str">
        <f t="shared" si="126"/>
        <v>NGM-097 (MVS), NGH-097 (AES)</v>
      </c>
      <c r="M1509" t="str">
        <f t="shared" si="126"/>
        <v>19951012 (MVS), 19951117 (AES)</v>
      </c>
      <c r="N1509" t="str">
        <f t="shared" si="126"/>
        <v>ソニックウイングス3</v>
      </c>
      <c r="O1509" t="str">
        <f t="shared" si="126"/>
        <v/>
      </c>
      <c r="P1509" t="str">
        <f t="shared" si="126"/>
        <v/>
      </c>
      <c r="T1509" t="str">
        <f t="shared" si="125"/>
        <v/>
      </c>
      <c r="V1509" t="str">
        <f t="shared" si="127"/>
        <v>MVS,AES</v>
      </c>
      <c r="W1509" t="str">
        <f t="shared" si="127"/>
        <v>MVS,AES</v>
      </c>
      <c r="AB1509" t="s">
        <v>12</v>
      </c>
      <c r="AE1509" t="s">
        <v>250</v>
      </c>
      <c r="AG1509" t="s">
        <v>6</v>
      </c>
      <c r="AH1509" t="s">
        <v>3995</v>
      </c>
      <c r="AI1509" t="s">
        <v>9</v>
      </c>
      <c r="AJ1509" t="s">
        <v>11</v>
      </c>
      <c r="AK1509" t="s">
        <v>3994</v>
      </c>
      <c r="AL1509" t="s">
        <v>3993</v>
      </c>
    </row>
    <row r="1510" spans="5:38" x14ac:dyDescent="0.25">
      <c r="I1510" t="str">
        <f t="shared" si="123"/>
        <v>sonicwi3</v>
      </c>
      <c r="J1510" t="str">
        <f t="shared" si="124"/>
        <v/>
      </c>
      <c r="L1510" t="str">
        <f t="shared" si="126"/>
        <v>NGM-097 (MVS), NGH-097 (AES)</v>
      </c>
      <c r="M1510" t="str">
        <f t="shared" si="126"/>
        <v>19951012 (MVS), 19951117 (AES)</v>
      </c>
      <c r="N1510" t="str">
        <f t="shared" si="126"/>
        <v>ソニックウイングス3</v>
      </c>
      <c r="O1510" t="str">
        <f t="shared" si="126"/>
        <v/>
      </c>
      <c r="P1510" t="str">
        <f t="shared" si="126"/>
        <v/>
      </c>
      <c r="T1510" t="str">
        <f t="shared" si="125"/>
        <v/>
      </c>
      <c r="V1510" t="str">
        <f t="shared" si="127"/>
        <v>MVS,AES</v>
      </c>
      <c r="W1510" t="str">
        <f t="shared" si="127"/>
        <v>MVS,AES</v>
      </c>
      <c r="AG1510" t="s">
        <v>6</v>
      </c>
      <c r="AH1510" t="s">
        <v>3992</v>
      </c>
      <c r="AI1510" t="s">
        <v>4</v>
      </c>
      <c r="AJ1510" t="s">
        <v>11</v>
      </c>
      <c r="AK1510" t="s">
        <v>3991</v>
      </c>
      <c r="AL1510" t="s">
        <v>3990</v>
      </c>
    </row>
    <row r="1511" spans="5:38" x14ac:dyDescent="0.25">
      <c r="I1511" t="str">
        <f t="shared" si="123"/>
        <v>sonicwi3</v>
      </c>
      <c r="J1511" t="str">
        <f t="shared" si="124"/>
        <v/>
      </c>
      <c r="L1511" t="str">
        <f t="shared" si="126"/>
        <v>NGM-097 (MVS), NGH-097 (AES)</v>
      </c>
      <c r="M1511" t="str">
        <f t="shared" si="126"/>
        <v>19951012 (MVS), 19951117 (AES)</v>
      </c>
      <c r="N1511" t="str">
        <f t="shared" si="126"/>
        <v>ソニックウイングス3</v>
      </c>
      <c r="O1511" t="str">
        <f t="shared" si="126"/>
        <v/>
      </c>
      <c r="P1511" t="str">
        <f t="shared" si="126"/>
        <v/>
      </c>
      <c r="T1511" t="str">
        <f t="shared" si="125"/>
        <v/>
      </c>
      <c r="V1511" t="str">
        <f t="shared" si="127"/>
        <v>MVS,AES</v>
      </c>
      <c r="W1511" t="str">
        <f t="shared" si="127"/>
        <v>MVS,AES</v>
      </c>
      <c r="AG1511" t="s">
        <v>6</v>
      </c>
      <c r="AH1511" t="s">
        <v>3989</v>
      </c>
      <c r="AI1511" t="s">
        <v>57</v>
      </c>
      <c r="AJ1511" t="s">
        <v>3</v>
      </c>
      <c r="AK1511" t="s">
        <v>3988</v>
      </c>
      <c r="AL1511" t="s">
        <v>3987</v>
      </c>
    </row>
    <row r="1512" spans="5:38" x14ac:dyDescent="0.25">
      <c r="I1512" t="str">
        <f t="shared" si="123"/>
        <v>sonicwi3</v>
      </c>
      <c r="J1512" t="str">
        <f t="shared" si="124"/>
        <v/>
      </c>
      <c r="L1512" t="str">
        <f t="shared" si="126"/>
        <v>NGM-097 (MVS), NGH-097 (AES)</v>
      </c>
      <c r="M1512" t="str">
        <f t="shared" si="126"/>
        <v>19951012 (MVS), 19951117 (AES)</v>
      </c>
      <c r="N1512" t="str">
        <f t="shared" si="126"/>
        <v>ソニックウイングス3</v>
      </c>
      <c r="O1512" t="str">
        <f t="shared" si="126"/>
        <v/>
      </c>
      <c r="P1512" t="str">
        <f t="shared" si="126"/>
        <v/>
      </c>
      <c r="T1512" t="str">
        <f t="shared" si="125"/>
        <v/>
      </c>
      <c r="V1512" t="str">
        <f t="shared" si="127"/>
        <v>MVS,AES</v>
      </c>
      <c r="W1512" t="str">
        <f t="shared" si="127"/>
        <v>MVS,AES</v>
      </c>
      <c r="AG1512" t="s">
        <v>6</v>
      </c>
      <c r="AH1512" t="s">
        <v>3986</v>
      </c>
      <c r="AI1512" t="s">
        <v>53</v>
      </c>
      <c r="AJ1512" t="s">
        <v>3</v>
      </c>
      <c r="AK1512" t="s">
        <v>3985</v>
      </c>
      <c r="AL1512" t="s">
        <v>3984</v>
      </c>
    </row>
    <row r="1513" spans="5:38" x14ac:dyDescent="0.25">
      <c r="E1513" t="s">
        <v>3983</v>
      </c>
      <c r="F1513" t="s">
        <v>3982</v>
      </c>
      <c r="G1513" t="s">
        <v>1280</v>
      </c>
      <c r="H1513" t="s">
        <v>3949</v>
      </c>
      <c r="I1513" t="str">
        <f t="shared" si="123"/>
        <v>turfmast</v>
      </c>
      <c r="J1513" t="str">
        <f t="shared" si="124"/>
        <v>turfmastserial</v>
      </c>
      <c r="K1513" t="s">
        <v>1373</v>
      </c>
      <c r="L1513" t="str">
        <f t="shared" si="126"/>
        <v>NGM-200 (MVS), NGH-200 (AES)</v>
      </c>
      <c r="M1513" t="str">
        <f t="shared" si="126"/>
        <v>19960129 (MVS), 19960301 (AES)</v>
      </c>
      <c r="N1513" t="str">
        <f t="shared" si="126"/>
        <v>ビッグトーナメントゴルフ</v>
      </c>
      <c r="O1513" t="str">
        <f t="shared" si="126"/>
        <v/>
      </c>
      <c r="P1513" t="str">
        <f t="shared" si="126"/>
        <v/>
      </c>
      <c r="Q1513" t="s">
        <v>3981</v>
      </c>
      <c r="S1513" t="s">
        <v>46</v>
      </c>
      <c r="T1513" t="str">
        <f t="shared" si="125"/>
        <v>turfmastrelease</v>
      </c>
      <c r="U1513" t="s">
        <v>218</v>
      </c>
      <c r="V1513" t="str">
        <f t="shared" si="127"/>
        <v>MVS,AES</v>
      </c>
      <c r="W1513" t="str">
        <f t="shared" si="127"/>
        <v>MVS,AES</v>
      </c>
      <c r="Y1513" t="s">
        <v>45</v>
      </c>
      <c r="Z1513" t="s">
        <v>44</v>
      </c>
      <c r="AB1513" t="s">
        <v>43</v>
      </c>
      <c r="AC1513" t="s">
        <v>42</v>
      </c>
      <c r="AD1513" t="s">
        <v>41</v>
      </c>
      <c r="AE1513" t="s">
        <v>3</v>
      </c>
      <c r="AG1513" t="s">
        <v>40</v>
      </c>
      <c r="AH1513" t="s">
        <v>3980</v>
      </c>
      <c r="AI1513" t="s">
        <v>15</v>
      </c>
      <c r="AJ1513" t="s">
        <v>15</v>
      </c>
      <c r="AK1513" t="s">
        <v>3979</v>
      </c>
      <c r="AL1513" t="s">
        <v>3978</v>
      </c>
    </row>
    <row r="1514" spans="5:38" x14ac:dyDescent="0.25">
      <c r="I1514" t="str">
        <f t="shared" si="123"/>
        <v>turfmast</v>
      </c>
      <c r="J1514" t="str">
        <f t="shared" si="124"/>
        <v>turfmastrelease</v>
      </c>
      <c r="K1514" t="s">
        <v>46</v>
      </c>
      <c r="L1514" t="str">
        <f t="shared" si="126"/>
        <v>NGM-200 (MVS), NGH-200 (AES)</v>
      </c>
      <c r="M1514" t="str">
        <f t="shared" si="126"/>
        <v>19960129 (MVS), 19960301 (AES)</v>
      </c>
      <c r="N1514" t="str">
        <f t="shared" si="126"/>
        <v>ビッグトーナメントゴルフ</v>
      </c>
      <c r="O1514" t="str">
        <f t="shared" si="126"/>
        <v/>
      </c>
      <c r="P1514" t="str">
        <f t="shared" si="126"/>
        <v/>
      </c>
      <c r="Q1514" t="s">
        <v>3977</v>
      </c>
      <c r="T1514" t="str">
        <f t="shared" si="125"/>
        <v/>
      </c>
      <c r="V1514" t="str">
        <f t="shared" si="127"/>
        <v>MVS,AES</v>
      </c>
      <c r="W1514" t="str">
        <f t="shared" si="127"/>
        <v>MVS,AES</v>
      </c>
      <c r="AG1514" t="s">
        <v>224</v>
      </c>
      <c r="AI1514" t="s">
        <v>9</v>
      </c>
      <c r="AJ1514" t="s">
        <v>15</v>
      </c>
    </row>
    <row r="1515" spans="5:38" x14ac:dyDescent="0.25">
      <c r="I1515" t="str">
        <f t="shared" si="123"/>
        <v>turfmast</v>
      </c>
      <c r="J1515" t="str">
        <f t="shared" si="124"/>
        <v>turfmastalt_title</v>
      </c>
      <c r="K1515" t="s">
        <v>1218</v>
      </c>
      <c r="L1515" t="str">
        <f t="shared" si="126"/>
        <v>NGM-200 (MVS), NGH-200 (AES)</v>
      </c>
      <c r="M1515" t="str">
        <f t="shared" si="126"/>
        <v>19960129 (MVS), 19960301 (AES)</v>
      </c>
      <c r="N1515" t="str">
        <f t="shared" si="126"/>
        <v>ビッグトーナメントゴルフ</v>
      </c>
      <c r="O1515" t="str">
        <f t="shared" si="126"/>
        <v/>
      </c>
      <c r="P1515" t="str">
        <f t="shared" si="126"/>
        <v/>
      </c>
      <c r="Q1515" t="s">
        <v>3976</v>
      </c>
      <c r="T1515" t="str">
        <f t="shared" si="125"/>
        <v/>
      </c>
      <c r="V1515" t="str">
        <f t="shared" si="127"/>
        <v>MVS,AES</v>
      </c>
      <c r="W1515" t="str">
        <f t="shared" si="127"/>
        <v>MVS,AES</v>
      </c>
      <c r="AB1515" t="s">
        <v>34</v>
      </c>
      <c r="AE1515" t="s">
        <v>33</v>
      </c>
      <c r="AH1515" t="s">
        <v>3975</v>
      </c>
      <c r="AI1515" t="s">
        <v>9</v>
      </c>
      <c r="AJ1515" t="s">
        <v>27</v>
      </c>
      <c r="AK1515" t="s">
        <v>3974</v>
      </c>
      <c r="AL1515" t="s">
        <v>3973</v>
      </c>
    </row>
    <row r="1516" spans="5:38" x14ac:dyDescent="0.25">
      <c r="I1516" t="str">
        <f t="shared" si="123"/>
        <v>turfmast</v>
      </c>
      <c r="J1516" t="str">
        <f t="shared" si="124"/>
        <v/>
      </c>
      <c r="L1516" t="str">
        <f t="shared" si="126"/>
        <v>NGM-200 (MVS), NGH-200 (AES)</v>
      </c>
      <c r="M1516" t="str">
        <f t="shared" si="126"/>
        <v>19960129 (MVS), 19960301 (AES)</v>
      </c>
      <c r="N1516" t="str">
        <f t="shared" si="126"/>
        <v>ビッグトーナメントゴルフ</v>
      </c>
      <c r="O1516" t="str">
        <f t="shared" si="126"/>
        <v/>
      </c>
      <c r="P1516" t="str">
        <f t="shared" si="126"/>
        <v/>
      </c>
      <c r="S1516" t="s">
        <v>36</v>
      </c>
      <c r="T1516" t="str">
        <f t="shared" si="125"/>
        <v>turfmastcompatibility</v>
      </c>
      <c r="U1516" t="s">
        <v>218</v>
      </c>
      <c r="V1516" t="str">
        <f t="shared" si="127"/>
        <v>MVS,AES</v>
      </c>
      <c r="W1516" t="str">
        <f t="shared" si="127"/>
        <v>MVS,AES</v>
      </c>
      <c r="AB1516" t="s">
        <v>29</v>
      </c>
      <c r="AE1516" t="s">
        <v>27</v>
      </c>
      <c r="AH1516" t="s">
        <v>3972</v>
      </c>
      <c r="AI1516" t="s">
        <v>9</v>
      </c>
      <c r="AJ1516" t="s">
        <v>27</v>
      </c>
      <c r="AK1516" t="s">
        <v>3971</v>
      </c>
      <c r="AL1516" t="s">
        <v>3970</v>
      </c>
    </row>
    <row r="1517" spans="5:38" x14ac:dyDescent="0.25">
      <c r="I1517" t="str">
        <f t="shared" si="123"/>
        <v>turfmast</v>
      </c>
      <c r="J1517" t="str">
        <f t="shared" si="124"/>
        <v/>
      </c>
      <c r="L1517" t="str">
        <f t="shared" si="126"/>
        <v>NGM-200 (MVS), NGH-200 (AES)</v>
      </c>
      <c r="M1517" t="str">
        <f t="shared" si="126"/>
        <v>19960129 (MVS), 19960301 (AES)</v>
      </c>
      <c r="N1517" t="str">
        <f t="shared" si="126"/>
        <v>ビッグトーナメントゴルフ</v>
      </c>
      <c r="O1517" t="str">
        <f t="shared" si="126"/>
        <v/>
      </c>
      <c r="P1517" t="str">
        <f t="shared" si="126"/>
        <v/>
      </c>
      <c r="T1517" t="str">
        <f t="shared" si="125"/>
        <v/>
      </c>
      <c r="V1517" t="str">
        <f t="shared" si="127"/>
        <v>MVS,AES</v>
      </c>
      <c r="W1517" t="str">
        <f t="shared" si="127"/>
        <v>MVS,AES</v>
      </c>
      <c r="AB1517" t="s">
        <v>24</v>
      </c>
      <c r="AE1517" t="s">
        <v>57</v>
      </c>
      <c r="AH1517" t="s">
        <v>3969</v>
      </c>
      <c r="AI1517" t="s">
        <v>9</v>
      </c>
      <c r="AJ1517" t="s">
        <v>3</v>
      </c>
      <c r="AK1517" t="s">
        <v>3968</v>
      </c>
      <c r="AL1517" t="s">
        <v>3967</v>
      </c>
    </row>
    <row r="1518" spans="5:38" x14ac:dyDescent="0.25">
      <c r="I1518" t="str">
        <f t="shared" si="123"/>
        <v>turfmast</v>
      </c>
      <c r="J1518" t="str">
        <f t="shared" si="124"/>
        <v/>
      </c>
      <c r="L1518" t="str">
        <f t="shared" si="126"/>
        <v>NGM-200 (MVS), NGH-200 (AES)</v>
      </c>
      <c r="M1518" t="str">
        <f t="shared" si="126"/>
        <v>19960129 (MVS), 19960301 (AES)</v>
      </c>
      <c r="N1518" t="str">
        <f t="shared" si="126"/>
        <v>ビッグトーナメントゴルフ</v>
      </c>
      <c r="O1518" t="str">
        <f t="shared" si="126"/>
        <v/>
      </c>
      <c r="P1518" t="str">
        <f t="shared" si="126"/>
        <v/>
      </c>
      <c r="T1518" t="str">
        <f t="shared" si="125"/>
        <v/>
      </c>
      <c r="V1518" t="str">
        <f t="shared" si="127"/>
        <v>MVS,AES</v>
      </c>
      <c r="W1518" t="str">
        <f t="shared" si="127"/>
        <v>MVS,AES</v>
      </c>
      <c r="AH1518" t="s">
        <v>3966</v>
      </c>
      <c r="AI1518" t="s">
        <v>3</v>
      </c>
      <c r="AJ1518" t="s">
        <v>3</v>
      </c>
      <c r="AK1518" t="s">
        <v>3965</v>
      </c>
      <c r="AL1518" t="s">
        <v>3964</v>
      </c>
    </row>
    <row r="1519" spans="5:38" x14ac:dyDescent="0.25">
      <c r="I1519" t="str">
        <f t="shared" si="123"/>
        <v>turfmast</v>
      </c>
      <c r="J1519" t="str">
        <f t="shared" si="124"/>
        <v/>
      </c>
      <c r="L1519" t="str">
        <f t="shared" si="126"/>
        <v>NGM-200 (MVS), NGH-200 (AES)</v>
      </c>
      <c r="M1519" t="str">
        <f t="shared" si="126"/>
        <v>19960129 (MVS), 19960301 (AES)</v>
      </c>
      <c r="N1519" t="str">
        <f t="shared" si="126"/>
        <v>ビッグトーナメントゴルフ</v>
      </c>
      <c r="O1519" t="str">
        <f t="shared" si="126"/>
        <v/>
      </c>
      <c r="P1519" t="str">
        <f t="shared" si="126"/>
        <v/>
      </c>
      <c r="T1519" t="str">
        <f t="shared" si="125"/>
        <v/>
      </c>
      <c r="V1519" t="str">
        <f t="shared" si="127"/>
        <v>MVS,AES</v>
      </c>
      <c r="W1519" t="str">
        <f t="shared" si="127"/>
        <v>MVS,AES</v>
      </c>
      <c r="AH1519" t="s">
        <v>3963</v>
      </c>
      <c r="AI1519" t="s">
        <v>11</v>
      </c>
      <c r="AJ1519" t="s">
        <v>3</v>
      </c>
      <c r="AK1519" t="s">
        <v>3962</v>
      </c>
      <c r="AL1519" t="s">
        <v>3961</v>
      </c>
    </row>
    <row r="1520" spans="5:38" x14ac:dyDescent="0.25">
      <c r="I1520" t="str">
        <f t="shared" si="123"/>
        <v>turfmast</v>
      </c>
      <c r="J1520" t="str">
        <f t="shared" si="124"/>
        <v/>
      </c>
      <c r="L1520" t="str">
        <f t="shared" si="126"/>
        <v>NGM-200 (MVS), NGH-200 (AES)</v>
      </c>
      <c r="M1520" t="str">
        <f t="shared" si="126"/>
        <v>19960129 (MVS), 19960301 (AES)</v>
      </c>
      <c r="N1520" t="str">
        <f t="shared" si="126"/>
        <v>ビッグトーナメントゴルフ</v>
      </c>
      <c r="O1520" t="str">
        <f t="shared" si="126"/>
        <v/>
      </c>
      <c r="P1520" t="str">
        <f t="shared" si="126"/>
        <v/>
      </c>
      <c r="T1520" t="str">
        <f t="shared" si="125"/>
        <v/>
      </c>
      <c r="V1520" t="str">
        <f t="shared" si="127"/>
        <v>MVS,AES</v>
      </c>
      <c r="W1520" t="str">
        <f t="shared" si="127"/>
        <v>MVS,AES</v>
      </c>
      <c r="AH1520" t="s">
        <v>3960</v>
      </c>
      <c r="AI1520" t="s">
        <v>75</v>
      </c>
      <c r="AJ1520" t="s">
        <v>3</v>
      </c>
      <c r="AK1520" t="s">
        <v>3959</v>
      </c>
      <c r="AL1520" t="s">
        <v>3958</v>
      </c>
    </row>
    <row r="1521" spans="5:38" x14ac:dyDescent="0.25">
      <c r="I1521" t="str">
        <f t="shared" si="123"/>
        <v>turfmast</v>
      </c>
      <c r="J1521" t="str">
        <f t="shared" si="124"/>
        <v/>
      </c>
      <c r="L1521" t="str">
        <f t="shared" si="126"/>
        <v>NGM-200 (MVS), NGH-200 (AES)</v>
      </c>
      <c r="M1521" t="str">
        <f t="shared" si="126"/>
        <v>19960129 (MVS), 19960301 (AES)</v>
      </c>
      <c r="N1521" t="str">
        <f t="shared" si="126"/>
        <v>ビッグトーナメントゴルフ</v>
      </c>
      <c r="O1521" t="str">
        <f t="shared" si="126"/>
        <v/>
      </c>
      <c r="P1521" t="str">
        <f t="shared" si="126"/>
        <v/>
      </c>
      <c r="T1521" t="str">
        <f t="shared" si="125"/>
        <v/>
      </c>
      <c r="V1521" t="str">
        <f t="shared" si="127"/>
        <v>MVS,AES</v>
      </c>
      <c r="W1521" t="str">
        <f t="shared" si="127"/>
        <v>MVS,AES</v>
      </c>
      <c r="AB1521" t="s">
        <v>12</v>
      </c>
      <c r="AE1521" t="s">
        <v>57</v>
      </c>
      <c r="AG1521" t="s">
        <v>6</v>
      </c>
      <c r="AH1521" t="s">
        <v>3957</v>
      </c>
      <c r="AI1521" t="s">
        <v>9</v>
      </c>
      <c r="AJ1521" t="s">
        <v>11</v>
      </c>
      <c r="AK1521" t="s">
        <v>3956</v>
      </c>
      <c r="AL1521" t="s">
        <v>3955</v>
      </c>
    </row>
    <row r="1522" spans="5:38" x14ac:dyDescent="0.25">
      <c r="I1522" t="str">
        <f t="shared" si="123"/>
        <v>turfmast</v>
      </c>
      <c r="J1522" t="str">
        <f t="shared" si="124"/>
        <v/>
      </c>
      <c r="L1522" t="str">
        <f t="shared" si="126"/>
        <v>NGM-200 (MVS), NGH-200 (AES)</v>
      </c>
      <c r="M1522" t="str">
        <f t="shared" si="126"/>
        <v>19960129 (MVS), 19960301 (AES)</v>
      </c>
      <c r="N1522" t="str">
        <f t="shared" si="126"/>
        <v>ビッグトーナメントゴルフ</v>
      </c>
      <c r="O1522" t="str">
        <f t="shared" si="126"/>
        <v/>
      </c>
      <c r="P1522" t="str">
        <f t="shared" si="126"/>
        <v/>
      </c>
      <c r="T1522" t="str">
        <f t="shared" si="125"/>
        <v/>
      </c>
      <c r="V1522" t="str">
        <f t="shared" si="127"/>
        <v>MVS,AES</v>
      </c>
      <c r="W1522" t="str">
        <f t="shared" si="127"/>
        <v>MVS,AES</v>
      </c>
      <c r="AG1522" t="s">
        <v>6</v>
      </c>
      <c r="AH1522" t="s">
        <v>3954</v>
      </c>
      <c r="AI1522" t="s">
        <v>4</v>
      </c>
      <c r="AJ1522" t="s">
        <v>11</v>
      </c>
      <c r="AK1522" t="s">
        <v>3953</v>
      </c>
      <c r="AL1522" t="s">
        <v>3952</v>
      </c>
    </row>
    <row r="1523" spans="5:38" x14ac:dyDescent="0.25">
      <c r="E1523" t="s">
        <v>3951</v>
      </c>
      <c r="F1523" t="s">
        <v>3950</v>
      </c>
      <c r="G1523" t="s">
        <v>1280</v>
      </c>
      <c r="H1523" t="s">
        <v>3949</v>
      </c>
      <c r="I1523" t="str">
        <f t="shared" si="123"/>
        <v>mslug</v>
      </c>
      <c r="J1523" t="str">
        <f t="shared" si="124"/>
        <v>mslugserial</v>
      </c>
      <c r="K1523" t="s">
        <v>1373</v>
      </c>
      <c r="L1523" t="str">
        <f t="shared" si="126"/>
        <v>NGM-201 (MVS), NGH-201 (AES)</v>
      </c>
      <c r="M1523" t="str">
        <f t="shared" si="126"/>
        <v>19960419 (MVS), 19960524 (AES)</v>
      </c>
      <c r="N1523" t="str">
        <f t="shared" si="126"/>
        <v>メタルスラッグ</v>
      </c>
      <c r="O1523" t="str">
        <f t="shared" si="126"/>
        <v/>
      </c>
      <c r="P1523" t="str">
        <f t="shared" si="126"/>
        <v/>
      </c>
      <c r="Q1523" t="s">
        <v>3948</v>
      </c>
      <c r="S1523" t="s">
        <v>46</v>
      </c>
      <c r="T1523" t="str">
        <f t="shared" si="125"/>
        <v>mslugrelease</v>
      </c>
      <c r="U1523" t="s">
        <v>218</v>
      </c>
      <c r="V1523" t="str">
        <f t="shared" si="127"/>
        <v>MVS,AES</v>
      </c>
      <c r="W1523" t="str">
        <f t="shared" si="127"/>
        <v>MVS,AES</v>
      </c>
      <c r="Y1523" t="s">
        <v>45</v>
      </c>
      <c r="Z1523" t="s">
        <v>44</v>
      </c>
      <c r="AB1523" t="s">
        <v>43</v>
      </c>
      <c r="AC1523" t="s">
        <v>42</v>
      </c>
      <c r="AD1523" t="s">
        <v>41</v>
      </c>
      <c r="AE1523" t="s">
        <v>3</v>
      </c>
      <c r="AG1523" t="s">
        <v>40</v>
      </c>
      <c r="AH1523" t="s">
        <v>3947</v>
      </c>
      <c r="AI1523" t="s">
        <v>15</v>
      </c>
      <c r="AJ1523" t="s">
        <v>15</v>
      </c>
      <c r="AK1523" t="s">
        <v>3946</v>
      </c>
      <c r="AL1523" t="s">
        <v>3945</v>
      </c>
    </row>
    <row r="1524" spans="5:38" x14ac:dyDescent="0.25">
      <c r="I1524" t="str">
        <f t="shared" si="123"/>
        <v>mslug</v>
      </c>
      <c r="J1524" t="str">
        <f t="shared" si="124"/>
        <v>mslugrelease</v>
      </c>
      <c r="K1524" t="s">
        <v>46</v>
      </c>
      <c r="L1524" t="str">
        <f t="shared" si="126"/>
        <v>NGM-201 (MVS), NGH-201 (AES)</v>
      </c>
      <c r="M1524" t="str">
        <f t="shared" si="126"/>
        <v>19960419 (MVS), 19960524 (AES)</v>
      </c>
      <c r="N1524" t="str">
        <f t="shared" si="126"/>
        <v>メタルスラッグ</v>
      </c>
      <c r="O1524" t="str">
        <f t="shared" si="126"/>
        <v/>
      </c>
      <c r="P1524" t="str">
        <f t="shared" si="126"/>
        <v/>
      </c>
      <c r="Q1524" t="s">
        <v>3944</v>
      </c>
      <c r="T1524" t="str">
        <f t="shared" si="125"/>
        <v/>
      </c>
      <c r="V1524" t="str">
        <f t="shared" si="127"/>
        <v>MVS,AES</v>
      </c>
      <c r="W1524" t="str">
        <f t="shared" si="127"/>
        <v>MVS,AES</v>
      </c>
      <c r="AG1524" t="s">
        <v>224</v>
      </c>
      <c r="AI1524" t="s">
        <v>9</v>
      </c>
      <c r="AJ1524" t="s">
        <v>15</v>
      </c>
    </row>
    <row r="1525" spans="5:38" x14ac:dyDescent="0.25">
      <c r="I1525" t="str">
        <f t="shared" si="123"/>
        <v>mslug</v>
      </c>
      <c r="J1525" t="str">
        <f t="shared" si="124"/>
        <v>mslugalt_title</v>
      </c>
      <c r="K1525" t="s">
        <v>1218</v>
      </c>
      <c r="L1525" t="str">
        <f t="shared" si="126"/>
        <v>NGM-201 (MVS), NGH-201 (AES)</v>
      </c>
      <c r="M1525" t="str">
        <f t="shared" si="126"/>
        <v>19960419 (MVS), 19960524 (AES)</v>
      </c>
      <c r="N1525" t="str">
        <f t="shared" si="126"/>
        <v>メタルスラッグ</v>
      </c>
      <c r="O1525" t="str">
        <f t="shared" si="126"/>
        <v/>
      </c>
      <c r="P1525" t="str">
        <f t="shared" si="126"/>
        <v/>
      </c>
      <c r="Q1525" t="s">
        <v>3943</v>
      </c>
      <c r="T1525" t="str">
        <f t="shared" si="125"/>
        <v/>
      </c>
      <c r="V1525" t="str">
        <f t="shared" si="127"/>
        <v>MVS,AES</v>
      </c>
      <c r="W1525" t="str">
        <f t="shared" si="127"/>
        <v>MVS,AES</v>
      </c>
      <c r="AB1525" t="s">
        <v>34</v>
      </c>
      <c r="AE1525" t="s">
        <v>33</v>
      </c>
      <c r="AH1525" t="s">
        <v>3942</v>
      </c>
      <c r="AI1525" t="s">
        <v>9</v>
      </c>
      <c r="AJ1525" t="s">
        <v>27</v>
      </c>
      <c r="AK1525" t="s">
        <v>3941</v>
      </c>
      <c r="AL1525" t="s">
        <v>3940</v>
      </c>
    </row>
    <row r="1526" spans="5:38" x14ac:dyDescent="0.25">
      <c r="I1526" t="str">
        <f t="shared" si="123"/>
        <v>mslug</v>
      </c>
      <c r="J1526" t="str">
        <f t="shared" si="124"/>
        <v/>
      </c>
      <c r="L1526" t="str">
        <f t="shared" si="126"/>
        <v>NGM-201 (MVS), NGH-201 (AES)</v>
      </c>
      <c r="M1526" t="str">
        <f t="shared" si="126"/>
        <v>19960419 (MVS), 19960524 (AES)</v>
      </c>
      <c r="N1526" t="str">
        <f t="shared" si="126"/>
        <v>メタルスラッグ</v>
      </c>
      <c r="O1526" t="str">
        <f t="shared" si="126"/>
        <v/>
      </c>
      <c r="P1526" t="str">
        <f t="shared" si="126"/>
        <v/>
      </c>
      <c r="S1526" t="s">
        <v>36</v>
      </c>
      <c r="T1526" t="str">
        <f t="shared" si="125"/>
        <v>mslugcompatibility</v>
      </c>
      <c r="U1526" t="s">
        <v>218</v>
      </c>
      <c r="V1526" t="str">
        <f t="shared" si="127"/>
        <v>MVS,AES</v>
      </c>
      <c r="W1526" t="str">
        <f t="shared" si="127"/>
        <v>MVS,AES</v>
      </c>
      <c r="AB1526" t="s">
        <v>29</v>
      </c>
      <c r="AE1526" t="s">
        <v>27</v>
      </c>
      <c r="AH1526" t="s">
        <v>3939</v>
      </c>
      <c r="AI1526" t="s">
        <v>9</v>
      </c>
      <c r="AJ1526" t="s">
        <v>27</v>
      </c>
      <c r="AK1526" t="s">
        <v>3938</v>
      </c>
      <c r="AL1526" t="s">
        <v>3937</v>
      </c>
    </row>
    <row r="1527" spans="5:38" x14ac:dyDescent="0.25">
      <c r="I1527" t="str">
        <f t="shared" si="123"/>
        <v>mslug</v>
      </c>
      <c r="J1527" t="str">
        <f t="shared" si="124"/>
        <v/>
      </c>
      <c r="L1527" t="str">
        <f t="shared" si="126"/>
        <v>NGM-201 (MVS), NGH-201 (AES)</v>
      </c>
      <c r="M1527" t="str">
        <f t="shared" si="126"/>
        <v>19960419 (MVS), 19960524 (AES)</v>
      </c>
      <c r="N1527" t="str">
        <f t="shared" si="126"/>
        <v>メタルスラッグ</v>
      </c>
      <c r="O1527" t="str">
        <f t="shared" si="126"/>
        <v/>
      </c>
      <c r="P1527" t="str">
        <f t="shared" si="126"/>
        <v/>
      </c>
      <c r="T1527" t="str">
        <f t="shared" si="125"/>
        <v/>
      </c>
      <c r="V1527" t="str">
        <f t="shared" si="127"/>
        <v>MVS,AES</v>
      </c>
      <c r="W1527" t="str">
        <f t="shared" si="127"/>
        <v>MVS,AES</v>
      </c>
      <c r="AB1527" t="s">
        <v>24</v>
      </c>
      <c r="AE1527" t="s">
        <v>57</v>
      </c>
      <c r="AH1527" t="s">
        <v>3936</v>
      </c>
      <c r="AI1527" t="s">
        <v>9</v>
      </c>
      <c r="AJ1527" t="s">
        <v>11</v>
      </c>
      <c r="AK1527" t="s">
        <v>3935</v>
      </c>
      <c r="AL1527" t="s">
        <v>3934</v>
      </c>
    </row>
    <row r="1528" spans="5:38" x14ac:dyDescent="0.25">
      <c r="I1528" t="str">
        <f t="shared" si="123"/>
        <v>mslug</v>
      </c>
      <c r="J1528" t="str">
        <f t="shared" si="124"/>
        <v/>
      </c>
      <c r="L1528" t="str">
        <f t="shared" si="126"/>
        <v>NGM-201 (MVS), NGH-201 (AES)</v>
      </c>
      <c r="M1528" t="str">
        <f t="shared" si="126"/>
        <v>19960419 (MVS), 19960524 (AES)</v>
      </c>
      <c r="N1528" t="str">
        <f t="shared" si="126"/>
        <v>メタルスラッグ</v>
      </c>
      <c r="O1528" t="str">
        <f t="shared" si="126"/>
        <v/>
      </c>
      <c r="P1528" t="str">
        <f t="shared" si="126"/>
        <v/>
      </c>
      <c r="T1528" t="str">
        <f t="shared" si="125"/>
        <v/>
      </c>
      <c r="V1528" t="str">
        <f t="shared" si="127"/>
        <v>MVS,AES</v>
      </c>
      <c r="W1528" t="str">
        <f t="shared" si="127"/>
        <v>MVS,AES</v>
      </c>
      <c r="AH1528" t="s">
        <v>3933</v>
      </c>
      <c r="AI1528" t="s">
        <v>11</v>
      </c>
      <c r="AJ1528" t="s">
        <v>11</v>
      </c>
      <c r="AK1528" t="s">
        <v>3932</v>
      </c>
      <c r="AL1528" t="s">
        <v>3931</v>
      </c>
    </row>
    <row r="1529" spans="5:38" x14ac:dyDescent="0.25">
      <c r="I1529" t="str">
        <f t="shared" si="123"/>
        <v>mslug</v>
      </c>
      <c r="J1529" t="str">
        <f t="shared" si="124"/>
        <v/>
      </c>
      <c r="L1529" t="str">
        <f t="shared" si="126"/>
        <v>NGM-201 (MVS), NGH-201 (AES)</v>
      </c>
      <c r="M1529" t="str">
        <f t="shared" si="126"/>
        <v>19960419 (MVS), 19960524 (AES)</v>
      </c>
      <c r="N1529" t="str">
        <f t="shared" si="126"/>
        <v>メタルスラッグ</v>
      </c>
      <c r="O1529" t="str">
        <f t="shared" si="126"/>
        <v/>
      </c>
      <c r="P1529" t="str">
        <f t="shared" si="126"/>
        <v/>
      </c>
      <c r="T1529" t="str">
        <f t="shared" si="125"/>
        <v/>
      </c>
      <c r="V1529" t="str">
        <f t="shared" si="127"/>
        <v>MVS,AES</v>
      </c>
      <c r="W1529" t="str">
        <f t="shared" si="127"/>
        <v>MVS,AES</v>
      </c>
      <c r="AB1529" t="s">
        <v>12</v>
      </c>
      <c r="AE1529" t="s">
        <v>65</v>
      </c>
      <c r="AG1529" t="s">
        <v>6</v>
      </c>
      <c r="AH1529" t="s">
        <v>3930</v>
      </c>
      <c r="AI1529" t="s">
        <v>9</v>
      </c>
      <c r="AJ1529" t="s">
        <v>11</v>
      </c>
      <c r="AK1529" t="s">
        <v>3929</v>
      </c>
      <c r="AL1529" t="s">
        <v>3928</v>
      </c>
    </row>
    <row r="1530" spans="5:38" x14ac:dyDescent="0.25">
      <c r="I1530" t="str">
        <f t="shared" si="123"/>
        <v>mslug</v>
      </c>
      <c r="J1530" t="str">
        <f t="shared" si="124"/>
        <v/>
      </c>
      <c r="L1530" t="str">
        <f t="shared" si="126"/>
        <v>NGM-201 (MVS), NGH-201 (AES)</v>
      </c>
      <c r="M1530" t="str">
        <f t="shared" si="126"/>
        <v>19960419 (MVS), 19960524 (AES)</v>
      </c>
      <c r="N1530" t="str">
        <f t="shared" si="126"/>
        <v>メタルスラッグ</v>
      </c>
      <c r="O1530" t="str">
        <f t="shared" si="126"/>
        <v/>
      </c>
      <c r="P1530" t="str">
        <f t="shared" si="126"/>
        <v/>
      </c>
      <c r="T1530" t="str">
        <f t="shared" si="125"/>
        <v/>
      </c>
      <c r="V1530" t="str">
        <f t="shared" si="127"/>
        <v>MVS,AES</v>
      </c>
      <c r="W1530" t="str">
        <f t="shared" si="127"/>
        <v>MVS,AES</v>
      </c>
      <c r="AG1530" t="s">
        <v>6</v>
      </c>
      <c r="AH1530" t="s">
        <v>3927</v>
      </c>
      <c r="AI1530" t="s">
        <v>4</v>
      </c>
      <c r="AJ1530" t="s">
        <v>11</v>
      </c>
      <c r="AK1530" t="s">
        <v>3926</v>
      </c>
      <c r="AL1530" t="s">
        <v>3925</v>
      </c>
    </row>
    <row r="1531" spans="5:38" x14ac:dyDescent="0.25">
      <c r="I1531" t="str">
        <f t="shared" si="123"/>
        <v>mslug</v>
      </c>
      <c r="J1531" t="str">
        <f t="shared" si="124"/>
        <v/>
      </c>
      <c r="L1531" t="str">
        <f t="shared" si="126"/>
        <v>NGM-201 (MVS), NGH-201 (AES)</v>
      </c>
      <c r="M1531" t="str">
        <f t="shared" si="126"/>
        <v>19960419 (MVS), 19960524 (AES)</v>
      </c>
      <c r="N1531" t="str">
        <f t="shared" si="126"/>
        <v>メタルスラッグ</v>
      </c>
      <c r="O1531" t="str">
        <f t="shared" si="126"/>
        <v/>
      </c>
      <c r="P1531" t="str">
        <f t="shared" si="126"/>
        <v/>
      </c>
      <c r="T1531" t="str">
        <f t="shared" si="125"/>
        <v/>
      </c>
      <c r="V1531" t="str">
        <f t="shared" si="127"/>
        <v>MVS,AES</v>
      </c>
      <c r="W1531" t="str">
        <f t="shared" si="127"/>
        <v>MVS,AES</v>
      </c>
      <c r="AG1531" t="s">
        <v>6</v>
      </c>
      <c r="AH1531" t="s">
        <v>3924</v>
      </c>
      <c r="AI1531" t="s">
        <v>57</v>
      </c>
      <c r="AJ1531" t="s">
        <v>11</v>
      </c>
      <c r="AK1531" t="s">
        <v>3923</v>
      </c>
      <c r="AL1531" t="s">
        <v>3922</v>
      </c>
    </row>
    <row r="1532" spans="5:38" x14ac:dyDescent="0.25">
      <c r="I1532" t="str">
        <f t="shared" si="123"/>
        <v>mslug</v>
      </c>
      <c r="J1532" t="str">
        <f t="shared" si="124"/>
        <v/>
      </c>
      <c r="L1532" t="str">
        <f t="shared" si="126"/>
        <v>NGM-201 (MVS), NGH-201 (AES)</v>
      </c>
      <c r="M1532" t="str">
        <f t="shared" si="126"/>
        <v>19960419 (MVS), 19960524 (AES)</v>
      </c>
      <c r="N1532" t="str">
        <f t="shared" si="126"/>
        <v>メタルスラッグ</v>
      </c>
      <c r="O1532" t="str">
        <f t="shared" si="126"/>
        <v/>
      </c>
      <c r="P1532" t="str">
        <f t="shared" si="126"/>
        <v/>
      </c>
      <c r="T1532" t="str">
        <f t="shared" si="125"/>
        <v/>
      </c>
      <c r="V1532" t="str">
        <f t="shared" si="127"/>
        <v>MVS,AES</v>
      </c>
      <c r="W1532" t="str">
        <f t="shared" si="127"/>
        <v>MVS,AES</v>
      </c>
      <c r="AG1532" t="s">
        <v>6</v>
      </c>
      <c r="AH1532" t="s">
        <v>3921</v>
      </c>
      <c r="AI1532" t="s">
        <v>53</v>
      </c>
      <c r="AJ1532" t="s">
        <v>11</v>
      </c>
      <c r="AK1532" t="s">
        <v>3920</v>
      </c>
      <c r="AL1532" t="s">
        <v>3919</v>
      </c>
    </row>
    <row r="1533" spans="5:38" x14ac:dyDescent="0.25">
      <c r="E1533" t="s">
        <v>2976</v>
      </c>
      <c r="F1533" t="s">
        <v>3918</v>
      </c>
      <c r="G1533" t="s">
        <v>1239</v>
      </c>
      <c r="H1533" t="s">
        <v>1859</v>
      </c>
      <c r="I1533" t="str">
        <f t="shared" si="123"/>
        <v>puzzledp</v>
      </c>
      <c r="J1533" t="str">
        <f t="shared" si="124"/>
        <v>puzzledpserial</v>
      </c>
      <c r="K1533" t="s">
        <v>1373</v>
      </c>
      <c r="L1533" t="str">
        <f t="shared" si="126"/>
        <v>NGM-202</v>
      </c>
      <c r="M1533" t="str">
        <f t="shared" si="126"/>
        <v>19951128</v>
      </c>
      <c r="N1533" t="str">
        <f t="shared" si="126"/>
        <v>パズルdeポン！</v>
      </c>
      <c r="O1533" t="str">
        <f t="shared" si="126"/>
        <v/>
      </c>
      <c r="P1533" t="str">
        <f t="shared" si="126"/>
        <v/>
      </c>
      <c r="Q1533" t="s">
        <v>3917</v>
      </c>
      <c r="S1533" t="s">
        <v>46</v>
      </c>
      <c r="T1533" t="str">
        <f t="shared" si="125"/>
        <v>puzzledprelease</v>
      </c>
      <c r="U1533" t="s">
        <v>106</v>
      </c>
      <c r="V1533" t="str">
        <f t="shared" si="127"/>
        <v>MVS</v>
      </c>
      <c r="W1533" t="str">
        <f t="shared" si="127"/>
        <v>MVS,AES</v>
      </c>
      <c r="Y1533" t="s">
        <v>45</v>
      </c>
      <c r="Z1533" t="s">
        <v>44</v>
      </c>
      <c r="AB1533" t="s">
        <v>43</v>
      </c>
      <c r="AC1533" t="s">
        <v>42</v>
      </c>
      <c r="AD1533" t="s">
        <v>41</v>
      </c>
      <c r="AE1533" t="s">
        <v>15</v>
      </c>
      <c r="AG1533" t="s">
        <v>40</v>
      </c>
      <c r="AH1533" t="s">
        <v>3916</v>
      </c>
      <c r="AI1533" t="s">
        <v>9</v>
      </c>
      <c r="AJ1533" t="s">
        <v>92</v>
      </c>
      <c r="AK1533" t="s">
        <v>3915</v>
      </c>
      <c r="AL1533" t="s">
        <v>3914</v>
      </c>
    </row>
    <row r="1534" spans="5:38" x14ac:dyDescent="0.25">
      <c r="I1534" t="str">
        <f t="shared" si="123"/>
        <v>puzzledp</v>
      </c>
      <c r="J1534" t="str">
        <f t="shared" si="124"/>
        <v>puzzledprelease</v>
      </c>
      <c r="K1534" t="s">
        <v>46</v>
      </c>
      <c r="L1534" t="str">
        <f t="shared" si="126"/>
        <v>NGM-202</v>
      </c>
      <c r="M1534" t="str">
        <f t="shared" si="126"/>
        <v>19951128</v>
      </c>
      <c r="N1534" t="str">
        <f t="shared" si="126"/>
        <v>パズルdeポン！</v>
      </c>
      <c r="O1534" t="str">
        <f t="shared" si="126"/>
        <v/>
      </c>
      <c r="P1534" t="str">
        <f t="shared" si="126"/>
        <v/>
      </c>
      <c r="Q1534" t="s">
        <v>3913</v>
      </c>
      <c r="T1534" t="str">
        <f t="shared" si="125"/>
        <v/>
      </c>
      <c r="V1534" t="str">
        <f t="shared" si="127"/>
        <v>MVS</v>
      </c>
      <c r="W1534" t="str">
        <f t="shared" si="127"/>
        <v>MVS,AES</v>
      </c>
      <c r="AB1534" t="s">
        <v>34</v>
      </c>
      <c r="AE1534" t="s">
        <v>33</v>
      </c>
      <c r="AH1534" t="s">
        <v>3912</v>
      </c>
      <c r="AI1534" t="s">
        <v>9</v>
      </c>
      <c r="AJ1534" t="s">
        <v>27</v>
      </c>
      <c r="AK1534" t="s">
        <v>3911</v>
      </c>
      <c r="AL1534" t="s">
        <v>3910</v>
      </c>
    </row>
    <row r="1535" spans="5:38" x14ac:dyDescent="0.25">
      <c r="I1535" t="str">
        <f t="shared" si="123"/>
        <v>puzzledp</v>
      </c>
      <c r="J1535" t="str">
        <f t="shared" si="124"/>
        <v>puzzledpalt_title</v>
      </c>
      <c r="K1535" t="s">
        <v>1218</v>
      </c>
      <c r="L1535" t="str">
        <f t="shared" si="126"/>
        <v>NGM-202</v>
      </c>
      <c r="M1535" t="str">
        <f t="shared" si="126"/>
        <v>19951128</v>
      </c>
      <c r="N1535" t="str">
        <f t="shared" si="126"/>
        <v>パズルdeポン！</v>
      </c>
      <c r="O1535" t="str">
        <f t="shared" si="126"/>
        <v/>
      </c>
      <c r="P1535" t="str">
        <f t="shared" si="126"/>
        <v/>
      </c>
      <c r="Q1535" t="s">
        <v>3909</v>
      </c>
      <c r="T1535" t="str">
        <f t="shared" si="125"/>
        <v/>
      </c>
      <c r="V1535" t="str">
        <f t="shared" si="127"/>
        <v>MVS</v>
      </c>
      <c r="W1535" t="str">
        <f t="shared" si="127"/>
        <v>MVS,AES</v>
      </c>
      <c r="AB1535" t="s">
        <v>29</v>
      </c>
      <c r="AE1535" t="s">
        <v>27</v>
      </c>
      <c r="AH1535" t="s">
        <v>2971</v>
      </c>
      <c r="AI1535" t="s">
        <v>9</v>
      </c>
      <c r="AJ1535" t="s">
        <v>27</v>
      </c>
      <c r="AK1535" t="s">
        <v>2970</v>
      </c>
      <c r="AL1535" t="s">
        <v>2969</v>
      </c>
    </row>
    <row r="1536" spans="5:38" x14ac:dyDescent="0.25">
      <c r="I1536" t="str">
        <f t="shared" si="123"/>
        <v>puzzledp</v>
      </c>
      <c r="J1536" t="str">
        <f t="shared" si="124"/>
        <v/>
      </c>
      <c r="L1536" t="str">
        <f t="shared" si="126"/>
        <v>NGM-202</v>
      </c>
      <c r="M1536" t="str">
        <f t="shared" si="126"/>
        <v>19951128</v>
      </c>
      <c r="N1536" t="str">
        <f t="shared" si="126"/>
        <v>パズルdeポン！</v>
      </c>
      <c r="O1536" t="str">
        <f t="shared" si="126"/>
        <v/>
      </c>
      <c r="P1536" t="str">
        <f t="shared" si="126"/>
        <v/>
      </c>
      <c r="S1536" t="s">
        <v>36</v>
      </c>
      <c r="T1536" t="str">
        <f t="shared" si="125"/>
        <v>puzzledpcompatibility</v>
      </c>
      <c r="U1536" t="s">
        <v>218</v>
      </c>
      <c r="V1536" t="str">
        <f t="shared" si="127"/>
        <v>MVS</v>
      </c>
      <c r="W1536" t="str">
        <f t="shared" si="127"/>
        <v>MVS,AES</v>
      </c>
      <c r="AB1536" t="s">
        <v>24</v>
      </c>
      <c r="AE1536" t="s">
        <v>480</v>
      </c>
      <c r="AH1536" t="s">
        <v>2968</v>
      </c>
      <c r="AI1536" t="s">
        <v>9</v>
      </c>
      <c r="AJ1536" t="s">
        <v>92</v>
      </c>
      <c r="AK1536" t="s">
        <v>2967</v>
      </c>
      <c r="AL1536" t="s">
        <v>2966</v>
      </c>
    </row>
    <row r="1537" spans="5:38" x14ac:dyDescent="0.25">
      <c r="I1537" t="str">
        <f t="shared" si="123"/>
        <v>puzzledp</v>
      </c>
      <c r="J1537" t="str">
        <f t="shared" si="124"/>
        <v/>
      </c>
      <c r="L1537" t="str">
        <f t="shared" si="126"/>
        <v>NGM-202</v>
      </c>
      <c r="M1537" t="str">
        <f t="shared" si="126"/>
        <v>19951128</v>
      </c>
      <c r="N1537" t="str">
        <f t="shared" si="126"/>
        <v>パズルdeポン！</v>
      </c>
      <c r="O1537" t="str">
        <f t="shared" si="126"/>
        <v/>
      </c>
      <c r="P1537" t="str">
        <f t="shared" si="126"/>
        <v/>
      </c>
      <c r="T1537" t="str">
        <f t="shared" si="125"/>
        <v/>
      </c>
      <c r="V1537" t="str">
        <f t="shared" si="127"/>
        <v>MVS</v>
      </c>
      <c r="W1537" t="str">
        <f t="shared" si="127"/>
        <v>MVS,AES</v>
      </c>
      <c r="AB1537" t="s">
        <v>12</v>
      </c>
      <c r="AE1537" t="s">
        <v>3</v>
      </c>
      <c r="AG1537" t="s">
        <v>6</v>
      </c>
      <c r="AH1537" t="s">
        <v>2965</v>
      </c>
      <c r="AI1537" t="s">
        <v>9</v>
      </c>
      <c r="AJ1537" t="s">
        <v>15</v>
      </c>
      <c r="AK1537" t="s">
        <v>2964</v>
      </c>
      <c r="AL1537" t="s">
        <v>2963</v>
      </c>
    </row>
    <row r="1538" spans="5:38" x14ac:dyDescent="0.25">
      <c r="I1538" t="str">
        <f t="shared" si="123"/>
        <v>puzzledp</v>
      </c>
      <c r="J1538" t="str">
        <f t="shared" si="124"/>
        <v/>
      </c>
      <c r="L1538" t="str">
        <f t="shared" si="126"/>
        <v>NGM-202</v>
      </c>
      <c r="M1538" t="str">
        <f t="shared" si="126"/>
        <v>19951128</v>
      </c>
      <c r="N1538" t="str">
        <f t="shared" si="126"/>
        <v>パズルdeポン！</v>
      </c>
      <c r="O1538" t="str">
        <f t="shared" si="126"/>
        <v/>
      </c>
      <c r="P1538" t="str">
        <f t="shared" si="126"/>
        <v/>
      </c>
      <c r="T1538" t="str">
        <f t="shared" si="125"/>
        <v/>
      </c>
      <c r="V1538" t="str">
        <f t="shared" si="127"/>
        <v>MVS</v>
      </c>
      <c r="W1538" t="str">
        <f t="shared" si="127"/>
        <v>MVS,AES</v>
      </c>
      <c r="AG1538" t="s">
        <v>6</v>
      </c>
      <c r="AH1538" t="s">
        <v>2962</v>
      </c>
      <c r="AI1538" t="s">
        <v>4</v>
      </c>
      <c r="AJ1538" t="s">
        <v>15</v>
      </c>
      <c r="AK1538" t="s">
        <v>2961</v>
      </c>
      <c r="AL1538" t="s">
        <v>2960</v>
      </c>
    </row>
    <row r="1539" spans="5:38" x14ac:dyDescent="0.25">
      <c r="E1539" t="s">
        <v>3908</v>
      </c>
      <c r="F1539" t="s">
        <v>3907</v>
      </c>
      <c r="G1539" t="s">
        <v>3906</v>
      </c>
      <c r="H1539" t="s">
        <v>3275</v>
      </c>
      <c r="I1539" t="str">
        <f t="shared" ref="I1539:I1602" si="128">IF(E1539="",I1538,E1539)</f>
        <v>moshougi</v>
      </c>
      <c r="J1539" t="str">
        <f t="shared" ref="J1539:J1602" si="129">IF(K1539="","",I1539&amp;K1539)</f>
        <v>moshougiserial</v>
      </c>
      <c r="K1539" t="s">
        <v>1373</v>
      </c>
      <c r="L1539" t="str">
        <f t="shared" si="126"/>
        <v>NGM-203 / ADM-010 (MVS), NGH-203 / ADH-010 (AES)</v>
      </c>
      <c r="M1539" t="str">
        <f t="shared" si="126"/>
        <v>19950928 (MVS), 19951013 (AES)</v>
      </c>
      <c r="N1539" t="str">
        <f t="shared" si="126"/>
        <v>将棋の達人</v>
      </c>
      <c r="O1539" t="str">
        <f t="shared" si="126"/>
        <v/>
      </c>
      <c r="P1539" t="str">
        <f t="shared" si="126"/>
        <v/>
      </c>
      <c r="Q1539" t="s">
        <v>3905</v>
      </c>
      <c r="S1539" t="s">
        <v>46</v>
      </c>
      <c r="T1539" t="str">
        <f t="shared" ref="T1539:T1602" si="130">IF(S1539="","",I1539&amp;S1539)</f>
        <v>moshougirelease</v>
      </c>
      <c r="U1539" t="s">
        <v>218</v>
      </c>
      <c r="V1539" t="str">
        <f t="shared" si="127"/>
        <v>MVS,AES</v>
      </c>
      <c r="W1539" t="str">
        <f t="shared" si="127"/>
        <v>MVS,AES</v>
      </c>
      <c r="Y1539" t="s">
        <v>45</v>
      </c>
      <c r="Z1539" t="s">
        <v>44</v>
      </c>
      <c r="AB1539" t="s">
        <v>43</v>
      </c>
      <c r="AC1539" t="s">
        <v>42</v>
      </c>
      <c r="AD1539" t="s">
        <v>41</v>
      </c>
      <c r="AE1539" t="s">
        <v>15</v>
      </c>
      <c r="AG1539" t="s">
        <v>40</v>
      </c>
      <c r="AH1539" t="s">
        <v>3904</v>
      </c>
      <c r="AI1539" t="s">
        <v>9</v>
      </c>
      <c r="AJ1539" t="s">
        <v>15</v>
      </c>
      <c r="AK1539" t="s">
        <v>3903</v>
      </c>
      <c r="AL1539" t="s">
        <v>3902</v>
      </c>
    </row>
    <row r="1540" spans="5:38" x14ac:dyDescent="0.25">
      <c r="I1540" t="str">
        <f t="shared" si="128"/>
        <v>moshougi</v>
      </c>
      <c r="J1540" t="str">
        <f t="shared" si="129"/>
        <v>moshougirelease</v>
      </c>
      <c r="K1540" t="s">
        <v>46</v>
      </c>
      <c r="L1540" t="str">
        <f t="shared" si="126"/>
        <v>NGM-203 / ADM-010 (MVS), NGH-203 / ADH-010 (AES)</v>
      </c>
      <c r="M1540" t="str">
        <f t="shared" si="126"/>
        <v>19950928 (MVS), 19951013 (AES)</v>
      </c>
      <c r="N1540" t="str">
        <f t="shared" si="126"/>
        <v>将棋の達人</v>
      </c>
      <c r="O1540" t="str">
        <f t="shared" si="126"/>
        <v/>
      </c>
      <c r="P1540" t="str">
        <f t="shared" si="126"/>
        <v/>
      </c>
      <c r="Q1540" t="s">
        <v>3901</v>
      </c>
      <c r="T1540" t="str">
        <f t="shared" si="130"/>
        <v/>
      </c>
      <c r="V1540" t="str">
        <f t="shared" si="127"/>
        <v>MVS,AES</v>
      </c>
      <c r="W1540" t="str">
        <f t="shared" si="127"/>
        <v>MVS,AES</v>
      </c>
      <c r="AB1540" t="s">
        <v>34</v>
      </c>
      <c r="AE1540" t="s">
        <v>33</v>
      </c>
      <c r="AH1540" t="s">
        <v>3900</v>
      </c>
      <c r="AI1540" t="s">
        <v>9</v>
      </c>
      <c r="AJ1540" t="s">
        <v>27</v>
      </c>
      <c r="AK1540" t="s">
        <v>3899</v>
      </c>
      <c r="AL1540" t="s">
        <v>3898</v>
      </c>
    </row>
    <row r="1541" spans="5:38" x14ac:dyDescent="0.25">
      <c r="I1541" t="str">
        <f t="shared" si="128"/>
        <v>moshougi</v>
      </c>
      <c r="J1541" t="str">
        <f t="shared" si="129"/>
        <v>moshougialt_title</v>
      </c>
      <c r="K1541" t="s">
        <v>1218</v>
      </c>
      <c r="L1541" t="str">
        <f t="shared" si="126"/>
        <v>NGM-203 / ADM-010 (MVS), NGH-203 / ADH-010 (AES)</v>
      </c>
      <c r="M1541" t="str">
        <f t="shared" si="126"/>
        <v>19950928 (MVS), 19951013 (AES)</v>
      </c>
      <c r="N1541" t="str">
        <f t="shared" si="126"/>
        <v>将棋の達人</v>
      </c>
      <c r="O1541" t="str">
        <f t="shared" si="126"/>
        <v/>
      </c>
      <c r="P1541" t="str">
        <f t="shared" si="126"/>
        <v/>
      </c>
      <c r="Q1541" t="s">
        <v>3897</v>
      </c>
      <c r="T1541" t="str">
        <f t="shared" si="130"/>
        <v/>
      </c>
      <c r="V1541" t="str">
        <f t="shared" si="127"/>
        <v>MVS,AES</v>
      </c>
      <c r="W1541" t="str">
        <f t="shared" si="127"/>
        <v>MVS,AES</v>
      </c>
      <c r="AB1541" t="s">
        <v>29</v>
      </c>
      <c r="AE1541" t="s">
        <v>27</v>
      </c>
      <c r="AH1541" t="s">
        <v>3896</v>
      </c>
      <c r="AI1541" t="s">
        <v>9</v>
      </c>
      <c r="AJ1541" t="s">
        <v>27</v>
      </c>
      <c r="AK1541" t="s">
        <v>3895</v>
      </c>
      <c r="AL1541" t="s">
        <v>3894</v>
      </c>
    </row>
    <row r="1542" spans="5:38" x14ac:dyDescent="0.25">
      <c r="I1542" t="str">
        <f t="shared" si="128"/>
        <v>moshougi</v>
      </c>
      <c r="J1542" t="str">
        <f t="shared" si="129"/>
        <v/>
      </c>
      <c r="L1542" t="str">
        <f t="shared" si="126"/>
        <v>NGM-203 / ADM-010 (MVS), NGH-203 / ADH-010 (AES)</v>
      </c>
      <c r="M1542" t="str">
        <f t="shared" si="126"/>
        <v>19950928 (MVS), 19951013 (AES)</v>
      </c>
      <c r="N1542" t="str">
        <f t="shared" si="126"/>
        <v>将棋の達人</v>
      </c>
      <c r="O1542" t="str">
        <f t="shared" si="126"/>
        <v/>
      </c>
      <c r="P1542" t="str">
        <f t="shared" si="126"/>
        <v/>
      </c>
      <c r="S1542" t="s">
        <v>36</v>
      </c>
      <c r="T1542" t="str">
        <f t="shared" si="130"/>
        <v>moshougicompatibility</v>
      </c>
      <c r="U1542" t="s">
        <v>218</v>
      </c>
      <c r="V1542" t="str">
        <f t="shared" si="127"/>
        <v>MVS,AES</v>
      </c>
      <c r="W1542" t="str">
        <f t="shared" si="127"/>
        <v>MVS,AES</v>
      </c>
      <c r="AB1542" t="s">
        <v>24</v>
      </c>
      <c r="AE1542" t="s">
        <v>3</v>
      </c>
      <c r="AH1542" t="s">
        <v>3893</v>
      </c>
      <c r="AI1542" t="s">
        <v>9</v>
      </c>
      <c r="AJ1542" t="s">
        <v>3</v>
      </c>
      <c r="AK1542" t="s">
        <v>3892</v>
      </c>
      <c r="AL1542" t="s">
        <v>3891</v>
      </c>
    </row>
    <row r="1543" spans="5:38" x14ac:dyDescent="0.25">
      <c r="I1543" t="str">
        <f t="shared" si="128"/>
        <v>moshougi</v>
      </c>
      <c r="J1543" t="str">
        <f t="shared" si="129"/>
        <v/>
      </c>
      <c r="L1543" t="str">
        <f t="shared" si="126"/>
        <v>NGM-203 / ADM-010 (MVS), NGH-203 / ADH-010 (AES)</v>
      </c>
      <c r="M1543" t="str">
        <f t="shared" si="126"/>
        <v>19950928 (MVS), 19951013 (AES)</v>
      </c>
      <c r="N1543" t="str">
        <f t="shared" si="126"/>
        <v>将棋の達人</v>
      </c>
      <c r="O1543" t="str">
        <f t="shared" si="126"/>
        <v/>
      </c>
      <c r="P1543" t="str">
        <f t="shared" si="126"/>
        <v/>
      </c>
      <c r="T1543" t="str">
        <f t="shared" si="130"/>
        <v/>
      </c>
      <c r="V1543" t="str">
        <f t="shared" si="127"/>
        <v>MVS,AES</v>
      </c>
      <c r="W1543" t="str">
        <f t="shared" si="127"/>
        <v>MVS,AES</v>
      </c>
      <c r="AB1543" t="s">
        <v>12</v>
      </c>
      <c r="AE1543" t="s">
        <v>11</v>
      </c>
      <c r="AG1543" t="s">
        <v>6</v>
      </c>
      <c r="AH1543" t="s">
        <v>3890</v>
      </c>
      <c r="AI1543" t="s">
        <v>9</v>
      </c>
      <c r="AJ1543" t="s">
        <v>3</v>
      </c>
      <c r="AK1543" t="s">
        <v>3889</v>
      </c>
      <c r="AL1543" t="s">
        <v>3888</v>
      </c>
    </row>
    <row r="1544" spans="5:38" x14ac:dyDescent="0.25">
      <c r="I1544" t="str">
        <f t="shared" si="128"/>
        <v>moshougi</v>
      </c>
      <c r="J1544" t="str">
        <f t="shared" si="129"/>
        <v/>
      </c>
      <c r="L1544" t="str">
        <f t="shared" si="126"/>
        <v>NGM-203 / ADM-010 (MVS), NGH-203 / ADH-010 (AES)</v>
      </c>
      <c r="M1544" t="str">
        <f t="shared" si="126"/>
        <v>19950928 (MVS), 19951013 (AES)</v>
      </c>
      <c r="N1544" t="str">
        <f t="shared" si="126"/>
        <v>将棋の達人</v>
      </c>
      <c r="O1544" t="str">
        <f t="shared" si="126"/>
        <v/>
      </c>
      <c r="P1544" t="str">
        <f t="shared" si="126"/>
        <v/>
      </c>
      <c r="T1544" t="str">
        <f t="shared" si="130"/>
        <v/>
      </c>
      <c r="V1544" t="str">
        <f t="shared" si="127"/>
        <v>MVS,AES</v>
      </c>
      <c r="W1544" t="str">
        <f t="shared" si="127"/>
        <v>MVS,AES</v>
      </c>
      <c r="AG1544" t="s">
        <v>6</v>
      </c>
      <c r="AH1544" t="s">
        <v>3887</v>
      </c>
      <c r="AI1544" t="s">
        <v>4</v>
      </c>
      <c r="AJ1544" t="s">
        <v>3</v>
      </c>
      <c r="AK1544" t="s">
        <v>3886</v>
      </c>
      <c r="AL1544" t="s">
        <v>3885</v>
      </c>
    </row>
    <row r="1545" spans="5:38" x14ac:dyDescent="0.25">
      <c r="E1545" t="s">
        <v>3884</v>
      </c>
      <c r="F1545" t="s">
        <v>3883</v>
      </c>
      <c r="G1545" t="s">
        <v>1239</v>
      </c>
      <c r="H1545" t="s">
        <v>3882</v>
      </c>
      <c r="I1545" t="str">
        <f t="shared" si="128"/>
        <v>marukodq</v>
      </c>
      <c r="J1545" t="str">
        <f t="shared" si="129"/>
        <v>marukodqserial</v>
      </c>
      <c r="K1545" t="s">
        <v>1373</v>
      </c>
      <c r="L1545" t="str">
        <f t="shared" ref="L1545:P1595" si="131">IFERROR(VLOOKUP($I1545&amp;L$1,$J:$Q,8,0),"")</f>
        <v>NGM-206 (MVS), NGH-206 (AES)</v>
      </c>
      <c r="M1545" t="str">
        <f t="shared" si="131"/>
        <v>19951127 (MVS), 19960126 (AES)</v>
      </c>
      <c r="N1545" t="str">
        <f t="shared" si="131"/>
        <v>ちびまる子ちゃん まる子デラックスクイズ</v>
      </c>
      <c r="O1545" t="str">
        <f t="shared" si="131"/>
        <v/>
      </c>
      <c r="P1545" t="str">
        <f t="shared" si="131"/>
        <v/>
      </c>
      <c r="Q1545" t="s">
        <v>3881</v>
      </c>
      <c r="S1545" t="s">
        <v>46</v>
      </c>
      <c r="T1545" t="str">
        <f t="shared" si="130"/>
        <v>marukodqrelease</v>
      </c>
      <c r="U1545" t="s">
        <v>218</v>
      </c>
      <c r="V1545" t="str">
        <f t="shared" si="127"/>
        <v>MVS,AES</v>
      </c>
      <c r="W1545" t="str">
        <f t="shared" si="127"/>
        <v>MVS,AES</v>
      </c>
      <c r="Y1545" t="s">
        <v>45</v>
      </c>
      <c r="Z1545" t="s">
        <v>44</v>
      </c>
      <c r="AB1545" t="s">
        <v>43</v>
      </c>
      <c r="AC1545" t="s">
        <v>42</v>
      </c>
      <c r="AD1545" t="s">
        <v>41</v>
      </c>
      <c r="AE1545" t="s">
        <v>15</v>
      </c>
      <c r="AG1545" t="s">
        <v>40</v>
      </c>
      <c r="AH1545" t="s">
        <v>3880</v>
      </c>
      <c r="AI1545" t="s">
        <v>9</v>
      </c>
      <c r="AJ1545" t="s">
        <v>15</v>
      </c>
      <c r="AK1545" t="s">
        <v>3879</v>
      </c>
      <c r="AL1545" t="s">
        <v>3878</v>
      </c>
    </row>
    <row r="1546" spans="5:38" x14ac:dyDescent="0.25">
      <c r="I1546" t="str">
        <f t="shared" si="128"/>
        <v>marukodq</v>
      </c>
      <c r="J1546" t="str">
        <f t="shared" si="129"/>
        <v>marukodqrelease</v>
      </c>
      <c r="K1546" t="s">
        <v>46</v>
      </c>
      <c r="L1546" t="str">
        <f t="shared" si="131"/>
        <v>NGM-206 (MVS), NGH-206 (AES)</v>
      </c>
      <c r="M1546" t="str">
        <f t="shared" si="131"/>
        <v>19951127 (MVS), 19960126 (AES)</v>
      </c>
      <c r="N1546" t="str">
        <f t="shared" si="131"/>
        <v>ちびまる子ちゃん まる子デラックスクイズ</v>
      </c>
      <c r="O1546" t="str">
        <f t="shared" si="131"/>
        <v/>
      </c>
      <c r="P1546" t="str">
        <f t="shared" si="131"/>
        <v/>
      </c>
      <c r="Q1546" t="s">
        <v>3877</v>
      </c>
      <c r="T1546" t="str">
        <f t="shared" si="130"/>
        <v/>
      </c>
      <c r="V1546" t="str">
        <f t="shared" si="127"/>
        <v>MVS,AES</v>
      </c>
      <c r="W1546" t="str">
        <f t="shared" si="127"/>
        <v>MVS,AES</v>
      </c>
      <c r="AB1546" t="s">
        <v>34</v>
      </c>
      <c r="AE1546" t="s">
        <v>33</v>
      </c>
      <c r="AH1546" t="s">
        <v>3876</v>
      </c>
      <c r="AI1546" t="s">
        <v>9</v>
      </c>
      <c r="AJ1546" t="s">
        <v>27</v>
      </c>
      <c r="AK1546" t="s">
        <v>3875</v>
      </c>
      <c r="AL1546" t="s">
        <v>3874</v>
      </c>
    </row>
    <row r="1547" spans="5:38" x14ac:dyDescent="0.25">
      <c r="I1547" t="str">
        <f t="shared" si="128"/>
        <v>marukodq</v>
      </c>
      <c r="J1547" t="str">
        <f t="shared" si="129"/>
        <v>marukodqalt_title</v>
      </c>
      <c r="K1547" t="s">
        <v>1218</v>
      </c>
      <c r="L1547" t="str">
        <f t="shared" si="131"/>
        <v>NGM-206 (MVS), NGH-206 (AES)</v>
      </c>
      <c r="M1547" t="str">
        <f t="shared" si="131"/>
        <v>19951127 (MVS), 19960126 (AES)</v>
      </c>
      <c r="N1547" t="str">
        <f t="shared" si="131"/>
        <v>ちびまる子ちゃん まる子デラックスクイズ</v>
      </c>
      <c r="O1547" t="str">
        <f t="shared" si="131"/>
        <v/>
      </c>
      <c r="P1547" t="str">
        <f t="shared" si="131"/>
        <v/>
      </c>
      <c r="Q1547" t="s">
        <v>3873</v>
      </c>
      <c r="T1547" t="str">
        <f t="shared" si="130"/>
        <v/>
      </c>
      <c r="V1547" t="str">
        <f t="shared" si="127"/>
        <v>MVS,AES</v>
      </c>
      <c r="W1547" t="str">
        <f t="shared" si="127"/>
        <v>MVS,AES</v>
      </c>
      <c r="AB1547" t="s">
        <v>29</v>
      </c>
      <c r="AE1547" t="s">
        <v>27</v>
      </c>
      <c r="AH1547" t="s">
        <v>3872</v>
      </c>
      <c r="AI1547" t="s">
        <v>9</v>
      </c>
      <c r="AJ1547" t="s">
        <v>27</v>
      </c>
      <c r="AK1547" t="s">
        <v>3871</v>
      </c>
      <c r="AL1547" t="s">
        <v>3870</v>
      </c>
    </row>
    <row r="1548" spans="5:38" x14ac:dyDescent="0.25">
      <c r="I1548" t="str">
        <f t="shared" si="128"/>
        <v>marukodq</v>
      </c>
      <c r="J1548" t="str">
        <f t="shared" si="129"/>
        <v/>
      </c>
      <c r="L1548" t="str">
        <f t="shared" si="131"/>
        <v>NGM-206 (MVS), NGH-206 (AES)</v>
      </c>
      <c r="M1548" t="str">
        <f t="shared" si="131"/>
        <v>19951127 (MVS), 19960126 (AES)</v>
      </c>
      <c r="N1548" t="str">
        <f t="shared" si="131"/>
        <v>ちびまる子ちゃん まる子デラックスクイズ</v>
      </c>
      <c r="O1548" t="str">
        <f t="shared" si="131"/>
        <v/>
      </c>
      <c r="P1548" t="str">
        <f t="shared" si="131"/>
        <v/>
      </c>
      <c r="S1548" t="s">
        <v>36</v>
      </c>
      <c r="T1548" t="str">
        <f t="shared" si="130"/>
        <v>marukodqcompatibility</v>
      </c>
      <c r="U1548" t="s">
        <v>218</v>
      </c>
      <c r="V1548" t="str">
        <f t="shared" si="127"/>
        <v>MVS,AES</v>
      </c>
      <c r="W1548" t="str">
        <f t="shared" si="127"/>
        <v>MVS,AES</v>
      </c>
      <c r="AB1548" t="s">
        <v>24</v>
      </c>
      <c r="AE1548" t="s">
        <v>11</v>
      </c>
      <c r="AH1548" t="s">
        <v>3869</v>
      </c>
      <c r="AI1548" t="s">
        <v>9</v>
      </c>
      <c r="AJ1548" t="s">
        <v>3</v>
      </c>
      <c r="AK1548" t="s">
        <v>3868</v>
      </c>
      <c r="AL1548" t="s">
        <v>3867</v>
      </c>
    </row>
    <row r="1549" spans="5:38" x14ac:dyDescent="0.25">
      <c r="I1549" t="str">
        <f t="shared" si="128"/>
        <v>marukodq</v>
      </c>
      <c r="J1549" t="str">
        <f t="shared" si="129"/>
        <v/>
      </c>
      <c r="L1549" t="str">
        <f t="shared" si="131"/>
        <v>NGM-206 (MVS), NGH-206 (AES)</v>
      </c>
      <c r="M1549" t="str">
        <f t="shared" si="131"/>
        <v>19951127 (MVS), 19960126 (AES)</v>
      </c>
      <c r="N1549" t="str">
        <f t="shared" si="131"/>
        <v>ちびまる子ちゃん まる子デラックスクイズ</v>
      </c>
      <c r="O1549" t="str">
        <f t="shared" si="131"/>
        <v/>
      </c>
      <c r="P1549" t="str">
        <f t="shared" si="131"/>
        <v/>
      </c>
      <c r="T1549" t="str">
        <f t="shared" si="130"/>
        <v/>
      </c>
      <c r="V1549" t="str">
        <f t="shared" si="127"/>
        <v>MVS,AES</v>
      </c>
      <c r="W1549" t="str">
        <f t="shared" si="127"/>
        <v>MVS,AES</v>
      </c>
      <c r="AH1549" t="s">
        <v>3866</v>
      </c>
      <c r="AI1549" t="s">
        <v>3</v>
      </c>
      <c r="AJ1549" t="s">
        <v>3</v>
      </c>
      <c r="AK1549" t="s">
        <v>3865</v>
      </c>
      <c r="AL1549" t="s">
        <v>3864</v>
      </c>
    </row>
    <row r="1550" spans="5:38" x14ac:dyDescent="0.25">
      <c r="I1550" t="str">
        <f t="shared" si="128"/>
        <v>marukodq</v>
      </c>
      <c r="J1550" t="str">
        <f t="shared" si="129"/>
        <v/>
      </c>
      <c r="L1550" t="str">
        <f t="shared" si="131"/>
        <v>NGM-206 (MVS), NGH-206 (AES)</v>
      </c>
      <c r="M1550" t="str">
        <f t="shared" si="131"/>
        <v>19951127 (MVS), 19960126 (AES)</v>
      </c>
      <c r="N1550" t="str">
        <f t="shared" si="131"/>
        <v>ちびまる子ちゃん まる子デラックスクイズ</v>
      </c>
      <c r="O1550" t="str">
        <f t="shared" si="131"/>
        <v/>
      </c>
      <c r="P1550" t="str">
        <f t="shared" si="131"/>
        <v/>
      </c>
      <c r="T1550" t="str">
        <f t="shared" si="130"/>
        <v/>
      </c>
      <c r="V1550" t="str">
        <f t="shared" si="127"/>
        <v>MVS,AES</v>
      </c>
      <c r="W1550" t="str">
        <f t="shared" si="127"/>
        <v>MVS,AES</v>
      </c>
      <c r="AB1550" t="s">
        <v>12</v>
      </c>
      <c r="AE1550" t="s">
        <v>1083</v>
      </c>
      <c r="AG1550" t="s">
        <v>6</v>
      </c>
      <c r="AH1550" t="s">
        <v>3863</v>
      </c>
      <c r="AI1550" t="s">
        <v>9</v>
      </c>
      <c r="AJ1550" t="s">
        <v>11</v>
      </c>
      <c r="AK1550" t="s">
        <v>3862</v>
      </c>
      <c r="AL1550" t="s">
        <v>3861</v>
      </c>
    </row>
    <row r="1551" spans="5:38" x14ac:dyDescent="0.25">
      <c r="I1551" t="str">
        <f t="shared" si="128"/>
        <v>marukodq</v>
      </c>
      <c r="J1551" t="str">
        <f t="shared" si="129"/>
        <v/>
      </c>
      <c r="L1551" t="str">
        <f t="shared" si="131"/>
        <v>NGM-206 (MVS), NGH-206 (AES)</v>
      </c>
      <c r="M1551" t="str">
        <f t="shared" si="131"/>
        <v>19951127 (MVS), 19960126 (AES)</v>
      </c>
      <c r="N1551" t="str">
        <f t="shared" si="131"/>
        <v>ちびまる子ちゃん まる子デラックスクイズ</v>
      </c>
      <c r="O1551" t="str">
        <f t="shared" si="131"/>
        <v/>
      </c>
      <c r="P1551" t="str">
        <f t="shared" si="131"/>
        <v/>
      </c>
      <c r="T1551" t="str">
        <f t="shared" si="130"/>
        <v/>
      </c>
      <c r="V1551" t="str">
        <f t="shared" si="127"/>
        <v>MVS,AES</v>
      </c>
      <c r="W1551" t="str">
        <f t="shared" si="127"/>
        <v>MVS,AES</v>
      </c>
      <c r="AG1551" t="s">
        <v>6</v>
      </c>
      <c r="AH1551" t="s">
        <v>3860</v>
      </c>
      <c r="AI1551" t="s">
        <v>4</v>
      </c>
      <c r="AJ1551" t="s">
        <v>11</v>
      </c>
      <c r="AK1551" t="s">
        <v>3859</v>
      </c>
      <c r="AL1551" t="s">
        <v>3858</v>
      </c>
    </row>
    <row r="1552" spans="5:38" x14ac:dyDescent="0.25">
      <c r="I1552" t="str">
        <f t="shared" si="128"/>
        <v>marukodq</v>
      </c>
      <c r="J1552" t="str">
        <f t="shared" si="129"/>
        <v/>
      </c>
      <c r="L1552" t="str">
        <f t="shared" si="131"/>
        <v>NGM-206 (MVS), NGH-206 (AES)</v>
      </c>
      <c r="M1552" t="str">
        <f t="shared" si="131"/>
        <v>19951127 (MVS), 19960126 (AES)</v>
      </c>
      <c r="N1552" t="str">
        <f t="shared" si="131"/>
        <v>ちびまる子ちゃん まる子デラックスクイズ</v>
      </c>
      <c r="O1552" t="str">
        <f t="shared" si="131"/>
        <v/>
      </c>
      <c r="P1552" t="str">
        <f t="shared" si="131"/>
        <v/>
      </c>
      <c r="T1552" t="str">
        <f t="shared" si="130"/>
        <v/>
      </c>
      <c r="V1552" t="str">
        <f t="shared" si="127"/>
        <v>MVS,AES</v>
      </c>
      <c r="W1552" t="str">
        <f t="shared" si="127"/>
        <v>MVS,AES</v>
      </c>
      <c r="AG1552" t="s">
        <v>6</v>
      </c>
      <c r="AH1552" t="s">
        <v>3857</v>
      </c>
      <c r="AI1552" t="s">
        <v>57</v>
      </c>
      <c r="AJ1552" t="s">
        <v>15</v>
      </c>
      <c r="AK1552" t="s">
        <v>3856</v>
      </c>
      <c r="AL1552" t="s">
        <v>3855</v>
      </c>
    </row>
    <row r="1553" spans="5:38" x14ac:dyDescent="0.25">
      <c r="I1553" t="str">
        <f t="shared" si="128"/>
        <v>marukodq</v>
      </c>
      <c r="J1553" t="str">
        <f t="shared" si="129"/>
        <v/>
      </c>
      <c r="L1553" t="str">
        <f t="shared" si="131"/>
        <v>NGM-206 (MVS), NGH-206 (AES)</v>
      </c>
      <c r="M1553" t="str">
        <f t="shared" si="131"/>
        <v>19951127 (MVS), 19960126 (AES)</v>
      </c>
      <c r="N1553" t="str">
        <f t="shared" si="131"/>
        <v>ちびまる子ちゃん まる子デラックスクイズ</v>
      </c>
      <c r="O1553" t="str">
        <f t="shared" si="131"/>
        <v/>
      </c>
      <c r="P1553" t="str">
        <f t="shared" si="131"/>
        <v/>
      </c>
      <c r="T1553" t="str">
        <f t="shared" si="130"/>
        <v/>
      </c>
      <c r="V1553" t="str">
        <f t="shared" si="127"/>
        <v>MVS,AES</v>
      </c>
      <c r="W1553" t="str">
        <f t="shared" si="127"/>
        <v>MVS,AES</v>
      </c>
      <c r="AG1553" t="s">
        <v>6</v>
      </c>
      <c r="AH1553" t="s">
        <v>3854</v>
      </c>
      <c r="AI1553" t="s">
        <v>53</v>
      </c>
      <c r="AJ1553" t="s">
        <v>15</v>
      </c>
      <c r="AK1553" t="s">
        <v>3853</v>
      </c>
      <c r="AL1553" t="s">
        <v>3852</v>
      </c>
    </row>
    <row r="1554" spans="5:38" x14ac:dyDescent="0.25">
      <c r="E1554" t="s">
        <v>3851</v>
      </c>
      <c r="F1554" t="s">
        <v>3850</v>
      </c>
      <c r="G1554" t="s">
        <v>1280</v>
      </c>
      <c r="H1554" t="s">
        <v>1859</v>
      </c>
      <c r="I1554" t="str">
        <f t="shared" si="128"/>
        <v>neomrdo</v>
      </c>
      <c r="J1554" t="str">
        <f t="shared" si="129"/>
        <v>neomrdoserial</v>
      </c>
      <c r="K1554" t="s">
        <v>1373</v>
      </c>
      <c r="L1554" t="str">
        <f t="shared" si="131"/>
        <v>NGM-207</v>
      </c>
      <c r="M1554" t="str">
        <f t="shared" si="131"/>
        <v>19970626</v>
      </c>
      <c r="N1554" t="str">
        <f t="shared" si="131"/>
        <v/>
      </c>
      <c r="O1554" t="str">
        <f t="shared" si="131"/>
        <v/>
      </c>
      <c r="P1554" t="str">
        <f t="shared" si="131"/>
        <v/>
      </c>
      <c r="Q1554" t="s">
        <v>3849</v>
      </c>
      <c r="S1554" t="s">
        <v>46</v>
      </c>
      <c r="T1554" t="str">
        <f t="shared" si="130"/>
        <v>neomrdorelease</v>
      </c>
      <c r="U1554" t="s">
        <v>106</v>
      </c>
      <c r="V1554" t="str">
        <f t="shared" si="127"/>
        <v>MVS</v>
      </c>
      <c r="W1554" t="str">
        <f t="shared" si="127"/>
        <v>MVS,AES</v>
      </c>
      <c r="Y1554" t="s">
        <v>45</v>
      </c>
      <c r="Z1554" t="s">
        <v>44</v>
      </c>
      <c r="AB1554" t="s">
        <v>43</v>
      </c>
      <c r="AC1554" t="s">
        <v>42</v>
      </c>
      <c r="AD1554" t="s">
        <v>41</v>
      </c>
      <c r="AE1554" t="s">
        <v>15</v>
      </c>
      <c r="AG1554" t="s">
        <v>40</v>
      </c>
      <c r="AH1554" t="s">
        <v>3848</v>
      </c>
      <c r="AI1554" t="s">
        <v>9</v>
      </c>
      <c r="AJ1554" t="s">
        <v>15</v>
      </c>
      <c r="AK1554" t="s">
        <v>3847</v>
      </c>
      <c r="AL1554" t="s">
        <v>3846</v>
      </c>
    </row>
    <row r="1555" spans="5:38" x14ac:dyDescent="0.25">
      <c r="I1555" t="str">
        <f t="shared" si="128"/>
        <v>neomrdo</v>
      </c>
      <c r="J1555" t="str">
        <f t="shared" si="129"/>
        <v>neomrdorelease</v>
      </c>
      <c r="K1555" t="s">
        <v>46</v>
      </c>
      <c r="L1555" t="str">
        <f t="shared" si="131"/>
        <v>NGM-207</v>
      </c>
      <c r="M1555" t="str">
        <f t="shared" si="131"/>
        <v>19970626</v>
      </c>
      <c r="N1555" t="str">
        <f t="shared" si="131"/>
        <v/>
      </c>
      <c r="O1555" t="str">
        <f t="shared" si="131"/>
        <v/>
      </c>
      <c r="P1555" t="str">
        <f t="shared" si="131"/>
        <v/>
      </c>
      <c r="Q1555" t="s">
        <v>3845</v>
      </c>
      <c r="T1555" t="str">
        <f t="shared" si="130"/>
        <v/>
      </c>
      <c r="V1555" t="str">
        <f t="shared" si="127"/>
        <v>MVS</v>
      </c>
      <c r="W1555" t="str">
        <f t="shared" si="127"/>
        <v>MVS,AES</v>
      </c>
      <c r="AB1555" t="s">
        <v>34</v>
      </c>
      <c r="AE1555" t="s">
        <v>33</v>
      </c>
      <c r="AH1555" t="s">
        <v>3844</v>
      </c>
      <c r="AI1555" t="s">
        <v>9</v>
      </c>
      <c r="AJ1555" t="s">
        <v>27</v>
      </c>
      <c r="AK1555" t="s">
        <v>3843</v>
      </c>
      <c r="AL1555" t="s">
        <v>3842</v>
      </c>
    </row>
    <row r="1556" spans="5:38" x14ac:dyDescent="0.25">
      <c r="I1556" t="str">
        <f t="shared" si="128"/>
        <v>neomrdo</v>
      </c>
      <c r="J1556" t="str">
        <f t="shared" si="129"/>
        <v/>
      </c>
      <c r="L1556" t="str">
        <f t="shared" si="131"/>
        <v>NGM-207</v>
      </c>
      <c r="M1556" t="str">
        <f t="shared" si="131"/>
        <v>19970626</v>
      </c>
      <c r="N1556" t="str">
        <f t="shared" si="131"/>
        <v/>
      </c>
      <c r="O1556" t="str">
        <f t="shared" si="131"/>
        <v/>
      </c>
      <c r="P1556" t="str">
        <f t="shared" si="131"/>
        <v/>
      </c>
      <c r="S1556" t="s">
        <v>36</v>
      </c>
      <c r="T1556" t="str">
        <f t="shared" si="130"/>
        <v>neomrdocompatibility</v>
      </c>
      <c r="U1556" t="s">
        <v>218</v>
      </c>
      <c r="V1556" t="str">
        <f t="shared" si="127"/>
        <v>MVS</v>
      </c>
      <c r="W1556" t="str">
        <f t="shared" si="127"/>
        <v>MVS,AES</v>
      </c>
      <c r="AB1556" t="s">
        <v>29</v>
      </c>
      <c r="AE1556" t="s">
        <v>27</v>
      </c>
      <c r="AH1556" t="s">
        <v>3841</v>
      </c>
      <c r="AI1556" t="s">
        <v>9</v>
      </c>
      <c r="AJ1556" t="s">
        <v>27</v>
      </c>
      <c r="AK1556" t="s">
        <v>3840</v>
      </c>
      <c r="AL1556" t="s">
        <v>3839</v>
      </c>
    </row>
    <row r="1557" spans="5:38" x14ac:dyDescent="0.25">
      <c r="I1557" t="str">
        <f t="shared" si="128"/>
        <v>neomrdo</v>
      </c>
      <c r="J1557" t="str">
        <f t="shared" si="129"/>
        <v/>
      </c>
      <c r="L1557" t="str">
        <f t="shared" si="131"/>
        <v>NGM-207</v>
      </c>
      <c r="M1557" t="str">
        <f t="shared" si="131"/>
        <v>19970626</v>
      </c>
      <c r="N1557" t="str">
        <f t="shared" si="131"/>
        <v/>
      </c>
      <c r="O1557" t="str">
        <f t="shared" si="131"/>
        <v/>
      </c>
      <c r="P1557" t="str">
        <f t="shared" si="131"/>
        <v/>
      </c>
      <c r="T1557" t="str">
        <f t="shared" si="130"/>
        <v/>
      </c>
      <c r="V1557" t="str">
        <f t="shared" si="127"/>
        <v>MVS</v>
      </c>
      <c r="W1557" t="str">
        <f t="shared" si="127"/>
        <v>MVS,AES</v>
      </c>
      <c r="AB1557" t="s">
        <v>24</v>
      </c>
      <c r="AE1557" t="s">
        <v>3</v>
      </c>
      <c r="AH1557" t="s">
        <v>3838</v>
      </c>
      <c r="AI1557" t="s">
        <v>9</v>
      </c>
      <c r="AJ1557" t="s">
        <v>3</v>
      </c>
      <c r="AK1557" t="s">
        <v>3837</v>
      </c>
      <c r="AL1557" t="s">
        <v>3836</v>
      </c>
    </row>
    <row r="1558" spans="5:38" x14ac:dyDescent="0.25">
      <c r="I1558" t="str">
        <f t="shared" si="128"/>
        <v>neomrdo</v>
      </c>
      <c r="J1558" t="str">
        <f t="shared" si="129"/>
        <v/>
      </c>
      <c r="L1558" t="str">
        <f t="shared" si="131"/>
        <v>NGM-207</v>
      </c>
      <c r="M1558" t="str">
        <f t="shared" si="131"/>
        <v>19970626</v>
      </c>
      <c r="N1558" t="str">
        <f t="shared" si="131"/>
        <v/>
      </c>
      <c r="O1558" t="str">
        <f t="shared" si="131"/>
        <v/>
      </c>
      <c r="P1558" t="str">
        <f t="shared" si="131"/>
        <v/>
      </c>
      <c r="T1558" t="str">
        <f t="shared" si="130"/>
        <v/>
      </c>
      <c r="V1558" t="str">
        <f t="shared" si="127"/>
        <v>MVS</v>
      </c>
      <c r="W1558" t="str">
        <f t="shared" si="127"/>
        <v>MVS,AES</v>
      </c>
      <c r="AB1558" t="s">
        <v>12</v>
      </c>
      <c r="AE1558" t="s">
        <v>11</v>
      </c>
      <c r="AG1558" t="s">
        <v>6</v>
      </c>
      <c r="AH1558" t="s">
        <v>3835</v>
      </c>
      <c r="AI1558" t="s">
        <v>9</v>
      </c>
      <c r="AJ1558" t="s">
        <v>3</v>
      </c>
      <c r="AK1558" t="s">
        <v>3834</v>
      </c>
      <c r="AL1558" t="s">
        <v>3833</v>
      </c>
    </row>
    <row r="1559" spans="5:38" x14ac:dyDescent="0.25">
      <c r="I1559" t="str">
        <f t="shared" si="128"/>
        <v>neomrdo</v>
      </c>
      <c r="J1559" t="str">
        <f t="shared" si="129"/>
        <v/>
      </c>
      <c r="L1559" t="str">
        <f t="shared" si="131"/>
        <v>NGM-207</v>
      </c>
      <c r="M1559" t="str">
        <f t="shared" si="131"/>
        <v>19970626</v>
      </c>
      <c r="N1559" t="str">
        <f t="shared" si="131"/>
        <v/>
      </c>
      <c r="O1559" t="str">
        <f t="shared" si="131"/>
        <v/>
      </c>
      <c r="P1559" t="str">
        <f t="shared" si="131"/>
        <v/>
      </c>
      <c r="T1559" t="str">
        <f t="shared" si="130"/>
        <v/>
      </c>
      <c r="V1559" t="str">
        <f t="shared" ref="V1559:W1622" si="132">IFERROR(VLOOKUP($I1559&amp;V$1,$T:$AA,2,0),"")</f>
        <v>MVS</v>
      </c>
      <c r="W1559" t="str">
        <f t="shared" si="132"/>
        <v>MVS,AES</v>
      </c>
      <c r="AG1559" t="s">
        <v>6</v>
      </c>
      <c r="AH1559" t="s">
        <v>3832</v>
      </c>
      <c r="AI1559" t="s">
        <v>4</v>
      </c>
      <c r="AJ1559" t="s">
        <v>3</v>
      </c>
      <c r="AK1559" t="s">
        <v>3831</v>
      </c>
      <c r="AL1559" t="s">
        <v>3830</v>
      </c>
    </row>
    <row r="1560" spans="5:38" x14ac:dyDescent="0.25">
      <c r="E1560" t="s">
        <v>3829</v>
      </c>
      <c r="F1560" t="s">
        <v>3828</v>
      </c>
      <c r="G1560" t="s">
        <v>1280</v>
      </c>
      <c r="H1560" t="s">
        <v>3827</v>
      </c>
      <c r="I1560" t="str">
        <f t="shared" si="128"/>
        <v>sdodgeb</v>
      </c>
      <c r="J1560" t="str">
        <f t="shared" si="129"/>
        <v>sdodgebserial</v>
      </c>
      <c r="K1560" t="s">
        <v>1373</v>
      </c>
      <c r="L1560" t="str">
        <f t="shared" si="131"/>
        <v>NGM-208</v>
      </c>
      <c r="M1560" t="str">
        <f t="shared" si="131"/>
        <v/>
      </c>
      <c r="N1560" t="str">
        <f t="shared" si="131"/>
        <v>くにおの熱血闘球伝説</v>
      </c>
      <c r="O1560" t="str">
        <f t="shared" si="131"/>
        <v/>
      </c>
      <c r="P1560" t="str">
        <f t="shared" si="131"/>
        <v/>
      </c>
      <c r="Q1560" t="s">
        <v>3826</v>
      </c>
      <c r="S1560" t="s">
        <v>46</v>
      </c>
      <c r="T1560" t="str">
        <f t="shared" si="130"/>
        <v>sdodgebrelease</v>
      </c>
      <c r="U1560" t="s">
        <v>106</v>
      </c>
      <c r="V1560" t="str">
        <f t="shared" si="132"/>
        <v>MVS</v>
      </c>
      <c r="W1560" t="str">
        <f t="shared" si="132"/>
        <v>MVS,AES</v>
      </c>
      <c r="Y1560" t="s">
        <v>45</v>
      </c>
      <c r="Z1560" t="s">
        <v>44</v>
      </c>
      <c r="AB1560" t="s">
        <v>43</v>
      </c>
      <c r="AC1560" t="s">
        <v>42</v>
      </c>
      <c r="AD1560" t="s">
        <v>41</v>
      </c>
      <c r="AE1560" t="s">
        <v>3</v>
      </c>
      <c r="AG1560" t="s">
        <v>40</v>
      </c>
      <c r="AH1560" t="s">
        <v>3825</v>
      </c>
      <c r="AI1560" t="s">
        <v>15</v>
      </c>
      <c r="AJ1560" t="s">
        <v>15</v>
      </c>
      <c r="AK1560" t="s">
        <v>3824</v>
      </c>
      <c r="AL1560" t="s">
        <v>3823</v>
      </c>
    </row>
    <row r="1561" spans="5:38" x14ac:dyDescent="0.25">
      <c r="I1561" t="str">
        <f t="shared" si="128"/>
        <v>sdodgeb</v>
      </c>
      <c r="J1561" t="str">
        <f t="shared" si="129"/>
        <v>sdodgebalt_title</v>
      </c>
      <c r="K1561" t="s">
        <v>1218</v>
      </c>
      <c r="L1561" t="str">
        <f t="shared" si="131"/>
        <v>NGM-208</v>
      </c>
      <c r="M1561" t="str">
        <f t="shared" si="131"/>
        <v/>
      </c>
      <c r="N1561" t="str">
        <f t="shared" si="131"/>
        <v>くにおの熱血闘球伝説</v>
      </c>
      <c r="O1561" t="str">
        <f t="shared" si="131"/>
        <v/>
      </c>
      <c r="P1561" t="str">
        <f t="shared" si="131"/>
        <v/>
      </c>
      <c r="Q1561" t="s">
        <v>3822</v>
      </c>
      <c r="T1561" t="str">
        <f t="shared" si="130"/>
        <v/>
      </c>
      <c r="V1561" t="str">
        <f t="shared" si="132"/>
        <v>MVS</v>
      </c>
      <c r="W1561" t="str">
        <f t="shared" si="132"/>
        <v>MVS,AES</v>
      </c>
      <c r="AG1561" t="s">
        <v>224</v>
      </c>
      <c r="AI1561" t="s">
        <v>9</v>
      </c>
      <c r="AJ1561" t="s">
        <v>15</v>
      </c>
    </row>
    <row r="1562" spans="5:38" x14ac:dyDescent="0.25">
      <c r="I1562" t="str">
        <f t="shared" si="128"/>
        <v>sdodgeb</v>
      </c>
      <c r="J1562" t="str">
        <f t="shared" si="129"/>
        <v/>
      </c>
      <c r="L1562" t="str">
        <f t="shared" si="131"/>
        <v>NGM-208</v>
      </c>
      <c r="M1562" t="str">
        <f t="shared" si="131"/>
        <v/>
      </c>
      <c r="N1562" t="str">
        <f t="shared" si="131"/>
        <v>くにおの熱血闘球伝説</v>
      </c>
      <c r="O1562" t="str">
        <f t="shared" si="131"/>
        <v/>
      </c>
      <c r="P1562" t="str">
        <f t="shared" si="131"/>
        <v/>
      </c>
      <c r="S1562" t="s">
        <v>36</v>
      </c>
      <c r="T1562" t="str">
        <f t="shared" si="130"/>
        <v>sdodgebcompatibility</v>
      </c>
      <c r="U1562" t="s">
        <v>218</v>
      </c>
      <c r="V1562" t="str">
        <f t="shared" si="132"/>
        <v>MVS</v>
      </c>
      <c r="W1562" t="str">
        <f t="shared" si="132"/>
        <v>MVS,AES</v>
      </c>
      <c r="AB1562" t="s">
        <v>34</v>
      </c>
      <c r="AE1562" t="s">
        <v>33</v>
      </c>
      <c r="AH1562" t="s">
        <v>3821</v>
      </c>
      <c r="AI1562" t="s">
        <v>9</v>
      </c>
      <c r="AJ1562" t="s">
        <v>27</v>
      </c>
      <c r="AK1562" t="s">
        <v>3820</v>
      </c>
      <c r="AL1562" t="s">
        <v>3819</v>
      </c>
    </row>
    <row r="1563" spans="5:38" x14ac:dyDescent="0.25">
      <c r="I1563" t="str">
        <f t="shared" si="128"/>
        <v>sdodgeb</v>
      </c>
      <c r="J1563" t="str">
        <f t="shared" si="129"/>
        <v/>
      </c>
      <c r="L1563" t="str">
        <f t="shared" si="131"/>
        <v>NGM-208</v>
      </c>
      <c r="M1563" t="str">
        <f t="shared" si="131"/>
        <v/>
      </c>
      <c r="N1563" t="str">
        <f t="shared" si="131"/>
        <v>くにおの熱血闘球伝説</v>
      </c>
      <c r="O1563" t="str">
        <f t="shared" si="131"/>
        <v/>
      </c>
      <c r="P1563" t="str">
        <f t="shared" si="131"/>
        <v/>
      </c>
      <c r="T1563" t="str">
        <f t="shared" si="130"/>
        <v/>
      </c>
      <c r="V1563" t="str">
        <f t="shared" si="132"/>
        <v>MVS</v>
      </c>
      <c r="W1563" t="str">
        <f t="shared" si="132"/>
        <v>MVS,AES</v>
      </c>
      <c r="AB1563" t="s">
        <v>29</v>
      </c>
      <c r="AE1563" t="s">
        <v>27</v>
      </c>
      <c r="AH1563" t="s">
        <v>3818</v>
      </c>
      <c r="AI1563" t="s">
        <v>9</v>
      </c>
      <c r="AJ1563" t="s">
        <v>27</v>
      </c>
      <c r="AK1563" t="s">
        <v>3817</v>
      </c>
      <c r="AL1563" t="s">
        <v>3816</v>
      </c>
    </row>
    <row r="1564" spans="5:38" x14ac:dyDescent="0.25">
      <c r="I1564" t="str">
        <f t="shared" si="128"/>
        <v>sdodgeb</v>
      </c>
      <c r="J1564" t="str">
        <f t="shared" si="129"/>
        <v/>
      </c>
      <c r="L1564" t="str">
        <f t="shared" si="131"/>
        <v>NGM-208</v>
      </c>
      <c r="M1564" t="str">
        <f t="shared" si="131"/>
        <v/>
      </c>
      <c r="N1564" t="str">
        <f t="shared" si="131"/>
        <v>くにおの熱血闘球伝説</v>
      </c>
      <c r="O1564" t="str">
        <f t="shared" si="131"/>
        <v/>
      </c>
      <c r="P1564" t="str">
        <f t="shared" si="131"/>
        <v/>
      </c>
      <c r="T1564" t="str">
        <f t="shared" si="130"/>
        <v/>
      </c>
      <c r="V1564" t="str">
        <f t="shared" si="132"/>
        <v>MVS</v>
      </c>
      <c r="W1564" t="str">
        <f t="shared" si="132"/>
        <v>MVS,AES</v>
      </c>
      <c r="AB1564" t="s">
        <v>24</v>
      </c>
      <c r="AE1564" t="s">
        <v>11</v>
      </c>
      <c r="AH1564" t="s">
        <v>3815</v>
      </c>
      <c r="AI1564" t="s">
        <v>9</v>
      </c>
      <c r="AJ1564" t="s">
        <v>11</v>
      </c>
      <c r="AK1564" t="s">
        <v>3814</v>
      </c>
      <c r="AL1564" t="s">
        <v>3813</v>
      </c>
    </row>
    <row r="1565" spans="5:38" x14ac:dyDescent="0.25">
      <c r="I1565" t="str">
        <f t="shared" si="128"/>
        <v>sdodgeb</v>
      </c>
      <c r="J1565" t="str">
        <f t="shared" si="129"/>
        <v/>
      </c>
      <c r="L1565" t="str">
        <f t="shared" si="131"/>
        <v>NGM-208</v>
      </c>
      <c r="M1565" t="str">
        <f t="shared" si="131"/>
        <v/>
      </c>
      <c r="N1565" t="str">
        <f t="shared" si="131"/>
        <v>くにおの熱血闘球伝説</v>
      </c>
      <c r="O1565" t="str">
        <f t="shared" si="131"/>
        <v/>
      </c>
      <c r="P1565" t="str">
        <f t="shared" si="131"/>
        <v/>
      </c>
      <c r="T1565" t="str">
        <f t="shared" si="130"/>
        <v/>
      </c>
      <c r="V1565" t="str">
        <f t="shared" si="132"/>
        <v>MVS</v>
      </c>
      <c r="W1565" t="str">
        <f t="shared" si="132"/>
        <v>MVS,AES</v>
      </c>
      <c r="AB1565" t="s">
        <v>12</v>
      </c>
      <c r="AE1565" t="s">
        <v>250</v>
      </c>
      <c r="AG1565" t="s">
        <v>6</v>
      </c>
      <c r="AH1565" t="s">
        <v>3812</v>
      </c>
      <c r="AI1565" t="s">
        <v>9</v>
      </c>
      <c r="AJ1565" t="s">
        <v>11</v>
      </c>
      <c r="AK1565" t="s">
        <v>3811</v>
      </c>
      <c r="AL1565" t="s">
        <v>3810</v>
      </c>
    </row>
    <row r="1566" spans="5:38" x14ac:dyDescent="0.25">
      <c r="I1566" t="str">
        <f t="shared" si="128"/>
        <v>sdodgeb</v>
      </c>
      <c r="J1566" t="str">
        <f t="shared" si="129"/>
        <v/>
      </c>
      <c r="L1566" t="str">
        <f t="shared" si="131"/>
        <v>NGM-208</v>
      </c>
      <c r="M1566" t="str">
        <f t="shared" si="131"/>
        <v/>
      </c>
      <c r="N1566" t="str">
        <f t="shared" si="131"/>
        <v>くにおの熱血闘球伝説</v>
      </c>
      <c r="O1566" t="str">
        <f t="shared" si="131"/>
        <v/>
      </c>
      <c r="P1566" t="str">
        <f t="shared" si="131"/>
        <v/>
      </c>
      <c r="T1566" t="str">
        <f t="shared" si="130"/>
        <v/>
      </c>
      <c r="V1566" t="str">
        <f t="shared" si="132"/>
        <v>MVS</v>
      </c>
      <c r="W1566" t="str">
        <f t="shared" si="132"/>
        <v>MVS,AES</v>
      </c>
      <c r="AG1566" t="s">
        <v>6</v>
      </c>
      <c r="AH1566" t="s">
        <v>3809</v>
      </c>
      <c r="AI1566" t="s">
        <v>4</v>
      </c>
      <c r="AJ1566" t="s">
        <v>11</v>
      </c>
      <c r="AK1566" t="s">
        <v>3808</v>
      </c>
      <c r="AL1566" t="s">
        <v>3807</v>
      </c>
    </row>
    <row r="1567" spans="5:38" x14ac:dyDescent="0.25">
      <c r="I1567" t="str">
        <f t="shared" si="128"/>
        <v>sdodgeb</v>
      </c>
      <c r="J1567" t="str">
        <f t="shared" si="129"/>
        <v/>
      </c>
      <c r="L1567" t="str">
        <f t="shared" si="131"/>
        <v>NGM-208</v>
      </c>
      <c r="M1567" t="str">
        <f t="shared" si="131"/>
        <v/>
      </c>
      <c r="N1567" t="str">
        <f t="shared" si="131"/>
        <v>くにおの熱血闘球伝説</v>
      </c>
      <c r="O1567" t="str">
        <f t="shared" si="131"/>
        <v/>
      </c>
      <c r="P1567" t="str">
        <f t="shared" si="131"/>
        <v/>
      </c>
      <c r="T1567" t="str">
        <f t="shared" si="130"/>
        <v/>
      </c>
      <c r="V1567" t="str">
        <f t="shared" si="132"/>
        <v>MVS</v>
      </c>
      <c r="W1567" t="str">
        <f t="shared" si="132"/>
        <v>MVS,AES</v>
      </c>
      <c r="AG1567" t="s">
        <v>6</v>
      </c>
      <c r="AH1567" t="s">
        <v>3806</v>
      </c>
      <c r="AI1567" t="s">
        <v>57</v>
      </c>
      <c r="AJ1567" t="s">
        <v>3</v>
      </c>
      <c r="AK1567" t="s">
        <v>3805</v>
      </c>
      <c r="AL1567" t="s">
        <v>3804</v>
      </c>
    </row>
    <row r="1568" spans="5:38" x14ac:dyDescent="0.25">
      <c r="I1568" t="str">
        <f t="shared" si="128"/>
        <v>sdodgeb</v>
      </c>
      <c r="J1568" t="str">
        <f t="shared" si="129"/>
        <v/>
      </c>
      <c r="L1568" t="str">
        <f t="shared" si="131"/>
        <v>NGM-208</v>
      </c>
      <c r="M1568" t="str">
        <f t="shared" si="131"/>
        <v/>
      </c>
      <c r="N1568" t="str">
        <f t="shared" si="131"/>
        <v>くにおの熱血闘球伝説</v>
      </c>
      <c r="O1568" t="str">
        <f t="shared" si="131"/>
        <v/>
      </c>
      <c r="P1568" t="str">
        <f t="shared" si="131"/>
        <v/>
      </c>
      <c r="T1568" t="str">
        <f t="shared" si="130"/>
        <v/>
      </c>
      <c r="V1568" t="str">
        <f t="shared" si="132"/>
        <v>MVS</v>
      </c>
      <c r="W1568" t="str">
        <f t="shared" si="132"/>
        <v>MVS,AES</v>
      </c>
      <c r="AG1568" t="s">
        <v>6</v>
      </c>
      <c r="AH1568" t="s">
        <v>3803</v>
      </c>
      <c r="AI1568" t="s">
        <v>53</v>
      </c>
      <c r="AJ1568" t="s">
        <v>3</v>
      </c>
      <c r="AK1568" t="s">
        <v>3802</v>
      </c>
      <c r="AL1568" t="s">
        <v>3801</v>
      </c>
    </row>
    <row r="1569" spans="5:38" x14ac:dyDescent="0.25">
      <c r="E1569" t="s">
        <v>3800</v>
      </c>
      <c r="F1569" t="s">
        <v>3799</v>
      </c>
      <c r="G1569" t="s">
        <v>1239</v>
      </c>
      <c r="H1569" t="s">
        <v>1859</v>
      </c>
      <c r="I1569" t="str">
        <f t="shared" si="128"/>
        <v>goalx3</v>
      </c>
      <c r="J1569" t="str">
        <f t="shared" si="129"/>
        <v>goalx3serial</v>
      </c>
      <c r="K1569" t="s">
        <v>1373</v>
      </c>
      <c r="L1569" t="str">
        <f t="shared" si="131"/>
        <v>NGM-209</v>
      </c>
      <c r="M1569" t="str">
        <f t="shared" si="131"/>
        <v/>
      </c>
      <c r="N1569" t="str">
        <f t="shared" si="131"/>
        <v>ゴール! ゴール! ゴール!</v>
      </c>
      <c r="O1569" t="str">
        <f t="shared" si="131"/>
        <v/>
      </c>
      <c r="P1569" t="str">
        <f t="shared" si="131"/>
        <v/>
      </c>
      <c r="Q1569" t="s">
        <v>3798</v>
      </c>
      <c r="S1569" t="s">
        <v>46</v>
      </c>
      <c r="T1569" t="str">
        <f t="shared" si="130"/>
        <v>goalx3release</v>
      </c>
      <c r="U1569" t="s">
        <v>106</v>
      </c>
      <c r="V1569" t="str">
        <f t="shared" si="132"/>
        <v>MVS</v>
      </c>
      <c r="W1569" t="str">
        <f t="shared" si="132"/>
        <v>MVS,AES</v>
      </c>
      <c r="Y1569" t="s">
        <v>45</v>
      </c>
      <c r="Z1569" t="s">
        <v>44</v>
      </c>
      <c r="AB1569" t="s">
        <v>43</v>
      </c>
      <c r="AC1569" t="s">
        <v>42</v>
      </c>
      <c r="AD1569" t="s">
        <v>41</v>
      </c>
      <c r="AE1569" t="s">
        <v>3</v>
      </c>
      <c r="AG1569" t="s">
        <v>40</v>
      </c>
      <c r="AH1569" t="s">
        <v>3797</v>
      </c>
      <c r="AI1569" t="s">
        <v>15</v>
      </c>
      <c r="AJ1569" t="s">
        <v>15</v>
      </c>
      <c r="AK1569" t="s">
        <v>3796</v>
      </c>
      <c r="AL1569" t="s">
        <v>3795</v>
      </c>
    </row>
    <row r="1570" spans="5:38" x14ac:dyDescent="0.25">
      <c r="I1570" t="str">
        <f t="shared" si="128"/>
        <v>goalx3</v>
      </c>
      <c r="J1570" t="str">
        <f t="shared" si="129"/>
        <v>goalx3alt_title</v>
      </c>
      <c r="K1570" t="s">
        <v>1218</v>
      </c>
      <c r="L1570" t="str">
        <f t="shared" si="131"/>
        <v>NGM-209</v>
      </c>
      <c r="M1570" t="str">
        <f t="shared" si="131"/>
        <v/>
      </c>
      <c r="N1570" t="str">
        <f t="shared" si="131"/>
        <v>ゴール! ゴール! ゴール!</v>
      </c>
      <c r="O1570" t="str">
        <f t="shared" si="131"/>
        <v/>
      </c>
      <c r="P1570" t="str">
        <f t="shared" si="131"/>
        <v/>
      </c>
      <c r="Q1570" t="s">
        <v>3794</v>
      </c>
      <c r="T1570" t="str">
        <f t="shared" si="130"/>
        <v/>
      </c>
      <c r="V1570" t="str">
        <f t="shared" si="132"/>
        <v>MVS</v>
      </c>
      <c r="W1570" t="str">
        <f t="shared" si="132"/>
        <v>MVS,AES</v>
      </c>
      <c r="AG1570" t="s">
        <v>224</v>
      </c>
      <c r="AI1570" t="s">
        <v>9</v>
      </c>
      <c r="AJ1570" t="s">
        <v>15</v>
      </c>
    </row>
    <row r="1571" spans="5:38" x14ac:dyDescent="0.25">
      <c r="I1571" t="str">
        <f t="shared" si="128"/>
        <v>goalx3</v>
      </c>
      <c r="J1571" t="str">
        <f t="shared" si="129"/>
        <v/>
      </c>
      <c r="L1571" t="str">
        <f t="shared" si="131"/>
        <v>NGM-209</v>
      </c>
      <c r="M1571" t="str">
        <f t="shared" si="131"/>
        <v/>
      </c>
      <c r="N1571" t="str">
        <f t="shared" si="131"/>
        <v>ゴール! ゴール! ゴール!</v>
      </c>
      <c r="O1571" t="str">
        <f t="shared" si="131"/>
        <v/>
      </c>
      <c r="P1571" t="str">
        <f t="shared" si="131"/>
        <v/>
      </c>
      <c r="S1571" t="s">
        <v>36</v>
      </c>
      <c r="T1571" t="str">
        <f t="shared" si="130"/>
        <v>goalx3compatibility</v>
      </c>
      <c r="U1571" t="s">
        <v>218</v>
      </c>
      <c r="V1571" t="str">
        <f t="shared" si="132"/>
        <v>MVS</v>
      </c>
      <c r="W1571" t="str">
        <f t="shared" si="132"/>
        <v>MVS,AES</v>
      </c>
      <c r="AB1571" t="s">
        <v>34</v>
      </c>
      <c r="AE1571" t="s">
        <v>33</v>
      </c>
      <c r="AH1571" t="s">
        <v>3793</v>
      </c>
      <c r="AI1571" t="s">
        <v>9</v>
      </c>
      <c r="AJ1571" t="s">
        <v>27</v>
      </c>
      <c r="AK1571" t="s">
        <v>3792</v>
      </c>
      <c r="AL1571" t="s">
        <v>3791</v>
      </c>
    </row>
    <row r="1572" spans="5:38" x14ac:dyDescent="0.25">
      <c r="I1572" t="str">
        <f t="shared" si="128"/>
        <v>goalx3</v>
      </c>
      <c r="J1572" t="str">
        <f t="shared" si="129"/>
        <v/>
      </c>
      <c r="L1572" t="str">
        <f t="shared" si="131"/>
        <v>NGM-209</v>
      </c>
      <c r="M1572" t="str">
        <f t="shared" si="131"/>
        <v/>
      </c>
      <c r="N1572" t="str">
        <f t="shared" si="131"/>
        <v>ゴール! ゴール! ゴール!</v>
      </c>
      <c r="O1572" t="str">
        <f t="shared" si="131"/>
        <v/>
      </c>
      <c r="P1572" t="str">
        <f t="shared" si="131"/>
        <v/>
      </c>
      <c r="T1572" t="str">
        <f t="shared" si="130"/>
        <v/>
      </c>
      <c r="V1572" t="str">
        <f t="shared" si="132"/>
        <v>MVS</v>
      </c>
      <c r="W1572" t="str">
        <f t="shared" si="132"/>
        <v>MVS,AES</v>
      </c>
      <c r="AB1572" t="s">
        <v>29</v>
      </c>
      <c r="AE1572" t="s">
        <v>27</v>
      </c>
      <c r="AH1572" t="s">
        <v>3790</v>
      </c>
      <c r="AI1572" t="s">
        <v>9</v>
      </c>
      <c r="AJ1572" t="s">
        <v>27</v>
      </c>
      <c r="AK1572" t="s">
        <v>3789</v>
      </c>
      <c r="AL1572" t="s">
        <v>3788</v>
      </c>
    </row>
    <row r="1573" spans="5:38" x14ac:dyDescent="0.25">
      <c r="I1573" t="str">
        <f t="shared" si="128"/>
        <v>goalx3</v>
      </c>
      <c r="J1573" t="str">
        <f t="shared" si="129"/>
        <v/>
      </c>
      <c r="L1573" t="str">
        <f t="shared" si="131"/>
        <v>NGM-209</v>
      </c>
      <c r="M1573" t="str">
        <f t="shared" si="131"/>
        <v/>
      </c>
      <c r="N1573" t="str">
        <f t="shared" si="131"/>
        <v>ゴール! ゴール! ゴール!</v>
      </c>
      <c r="O1573" t="str">
        <f t="shared" si="131"/>
        <v/>
      </c>
      <c r="P1573" t="str">
        <f t="shared" si="131"/>
        <v/>
      </c>
      <c r="T1573" t="str">
        <f t="shared" si="130"/>
        <v/>
      </c>
      <c r="V1573" t="str">
        <f t="shared" si="132"/>
        <v>MVS</v>
      </c>
      <c r="W1573" t="str">
        <f t="shared" si="132"/>
        <v>MVS,AES</v>
      </c>
      <c r="AB1573" t="s">
        <v>24</v>
      </c>
      <c r="AE1573" t="s">
        <v>3</v>
      </c>
      <c r="AH1573" t="s">
        <v>3787</v>
      </c>
      <c r="AI1573" t="s">
        <v>9</v>
      </c>
      <c r="AJ1573" t="s">
        <v>3</v>
      </c>
      <c r="AK1573" t="s">
        <v>3786</v>
      </c>
      <c r="AL1573" t="s">
        <v>3785</v>
      </c>
    </row>
    <row r="1574" spans="5:38" x14ac:dyDescent="0.25">
      <c r="I1574" t="str">
        <f t="shared" si="128"/>
        <v>goalx3</v>
      </c>
      <c r="J1574" t="str">
        <f t="shared" si="129"/>
        <v/>
      </c>
      <c r="L1574" t="str">
        <f t="shared" si="131"/>
        <v>NGM-209</v>
      </c>
      <c r="M1574" t="str">
        <f t="shared" si="131"/>
        <v/>
      </c>
      <c r="N1574" t="str">
        <f t="shared" si="131"/>
        <v>ゴール! ゴール! ゴール!</v>
      </c>
      <c r="O1574" t="str">
        <f t="shared" si="131"/>
        <v/>
      </c>
      <c r="P1574" t="str">
        <f t="shared" si="131"/>
        <v/>
      </c>
      <c r="T1574" t="str">
        <f t="shared" si="130"/>
        <v/>
      </c>
      <c r="V1574" t="str">
        <f t="shared" si="132"/>
        <v>MVS</v>
      </c>
      <c r="W1574" t="str">
        <f t="shared" si="132"/>
        <v>MVS,AES</v>
      </c>
      <c r="AB1574" t="s">
        <v>12</v>
      </c>
      <c r="AE1574" t="s">
        <v>1083</v>
      </c>
      <c r="AG1574" t="s">
        <v>6</v>
      </c>
      <c r="AH1574" t="s">
        <v>3784</v>
      </c>
      <c r="AI1574" t="s">
        <v>9</v>
      </c>
      <c r="AJ1574" t="s">
        <v>11</v>
      </c>
      <c r="AK1574" t="s">
        <v>3783</v>
      </c>
      <c r="AL1574" t="s">
        <v>3782</v>
      </c>
    </row>
    <row r="1575" spans="5:38" x14ac:dyDescent="0.25">
      <c r="I1575" t="str">
        <f t="shared" si="128"/>
        <v>goalx3</v>
      </c>
      <c r="J1575" t="str">
        <f t="shared" si="129"/>
        <v/>
      </c>
      <c r="L1575" t="str">
        <f t="shared" si="131"/>
        <v>NGM-209</v>
      </c>
      <c r="M1575" t="str">
        <f t="shared" si="131"/>
        <v/>
      </c>
      <c r="N1575" t="str">
        <f t="shared" si="131"/>
        <v>ゴール! ゴール! ゴール!</v>
      </c>
      <c r="O1575" t="str">
        <f t="shared" si="131"/>
        <v/>
      </c>
      <c r="P1575" t="str">
        <f t="shared" si="131"/>
        <v/>
      </c>
      <c r="T1575" t="str">
        <f t="shared" si="130"/>
        <v/>
      </c>
      <c r="V1575" t="str">
        <f t="shared" si="132"/>
        <v>MVS</v>
      </c>
      <c r="W1575" t="str">
        <f t="shared" si="132"/>
        <v>MVS,AES</v>
      </c>
      <c r="AG1575" t="s">
        <v>6</v>
      </c>
      <c r="AH1575" t="s">
        <v>3781</v>
      </c>
      <c r="AI1575" t="s">
        <v>4</v>
      </c>
      <c r="AJ1575" t="s">
        <v>11</v>
      </c>
      <c r="AK1575" t="s">
        <v>3780</v>
      </c>
      <c r="AL1575" t="s">
        <v>3779</v>
      </c>
    </row>
    <row r="1576" spans="5:38" x14ac:dyDescent="0.25">
      <c r="I1576" t="str">
        <f t="shared" si="128"/>
        <v>goalx3</v>
      </c>
      <c r="J1576" t="str">
        <f t="shared" si="129"/>
        <v/>
      </c>
      <c r="L1576" t="str">
        <f t="shared" si="131"/>
        <v>NGM-209</v>
      </c>
      <c r="M1576" t="str">
        <f t="shared" si="131"/>
        <v/>
      </c>
      <c r="N1576" t="str">
        <f t="shared" si="131"/>
        <v>ゴール! ゴール! ゴール!</v>
      </c>
      <c r="O1576" t="str">
        <f t="shared" si="131"/>
        <v/>
      </c>
      <c r="P1576" t="str">
        <f t="shared" si="131"/>
        <v/>
      </c>
      <c r="T1576" t="str">
        <f t="shared" si="130"/>
        <v/>
      </c>
      <c r="V1576" t="str">
        <f t="shared" si="132"/>
        <v>MVS</v>
      </c>
      <c r="W1576" t="str">
        <f t="shared" si="132"/>
        <v>MVS,AES</v>
      </c>
      <c r="AG1576" t="s">
        <v>6</v>
      </c>
      <c r="AH1576" t="s">
        <v>3778</v>
      </c>
      <c r="AI1576" t="s">
        <v>57</v>
      </c>
      <c r="AJ1576" t="s">
        <v>15</v>
      </c>
      <c r="AK1576" t="s">
        <v>3777</v>
      </c>
      <c r="AL1576" t="s">
        <v>3776</v>
      </c>
    </row>
    <row r="1577" spans="5:38" x14ac:dyDescent="0.25">
      <c r="I1577" t="str">
        <f t="shared" si="128"/>
        <v>goalx3</v>
      </c>
      <c r="J1577" t="str">
        <f t="shared" si="129"/>
        <v/>
      </c>
      <c r="L1577" t="str">
        <f t="shared" si="131"/>
        <v>NGM-209</v>
      </c>
      <c r="M1577" t="str">
        <f t="shared" si="131"/>
        <v/>
      </c>
      <c r="N1577" t="str">
        <f t="shared" si="131"/>
        <v>ゴール! ゴール! ゴール!</v>
      </c>
      <c r="O1577" t="str">
        <f t="shared" si="131"/>
        <v/>
      </c>
      <c r="P1577" t="str">
        <f t="shared" si="131"/>
        <v/>
      </c>
      <c r="T1577" t="str">
        <f t="shared" si="130"/>
        <v/>
      </c>
      <c r="V1577" t="str">
        <f t="shared" si="132"/>
        <v>MVS</v>
      </c>
      <c r="W1577" t="str">
        <f t="shared" si="132"/>
        <v>MVS,AES</v>
      </c>
      <c r="AG1577" t="s">
        <v>6</v>
      </c>
      <c r="AH1577" t="s">
        <v>3775</v>
      </c>
      <c r="AI1577" t="s">
        <v>53</v>
      </c>
      <c r="AJ1577" t="s">
        <v>15</v>
      </c>
      <c r="AK1577" t="s">
        <v>3774</v>
      </c>
      <c r="AL1577" t="s">
        <v>3773</v>
      </c>
    </row>
    <row r="1578" spans="5:38" x14ac:dyDescent="0.25">
      <c r="E1578" t="s">
        <v>3772</v>
      </c>
      <c r="F1578" t="s">
        <v>3771</v>
      </c>
      <c r="G1578" t="s">
        <v>1280</v>
      </c>
      <c r="H1578" t="s">
        <v>3770</v>
      </c>
      <c r="I1578" t="str">
        <f t="shared" si="128"/>
        <v>overtop</v>
      </c>
      <c r="J1578" t="str">
        <f t="shared" si="129"/>
        <v>overtopserial</v>
      </c>
      <c r="K1578" t="s">
        <v>1373</v>
      </c>
      <c r="L1578" t="str">
        <f t="shared" si="131"/>
        <v>NGM-212 / ADM-011 (MVS), NGH-212 / ADH-011 (AES)</v>
      </c>
      <c r="M1578" t="str">
        <f t="shared" si="131"/>
        <v>19960426 (MVS), 19960524 (AES)</v>
      </c>
      <c r="N1578" t="str">
        <f t="shared" si="131"/>
        <v>オーバートップ</v>
      </c>
      <c r="O1578" t="str">
        <f t="shared" si="131"/>
        <v/>
      </c>
      <c r="P1578" t="str">
        <f t="shared" si="131"/>
        <v/>
      </c>
      <c r="Q1578" t="s">
        <v>3769</v>
      </c>
      <c r="S1578" t="s">
        <v>46</v>
      </c>
      <c r="T1578" t="str">
        <f t="shared" si="130"/>
        <v>overtoprelease</v>
      </c>
      <c r="U1578" t="s">
        <v>218</v>
      </c>
      <c r="V1578" t="str">
        <f t="shared" si="132"/>
        <v>MVS,AES</v>
      </c>
      <c r="W1578" t="str">
        <f t="shared" si="132"/>
        <v>MVS,AES</v>
      </c>
      <c r="Y1578" t="s">
        <v>45</v>
      </c>
      <c r="Z1578" t="s">
        <v>44</v>
      </c>
      <c r="AB1578" t="s">
        <v>43</v>
      </c>
      <c r="AC1578" t="s">
        <v>42</v>
      </c>
      <c r="AD1578" t="s">
        <v>41</v>
      </c>
      <c r="AE1578" t="s">
        <v>3</v>
      </c>
      <c r="AG1578" t="s">
        <v>40</v>
      </c>
      <c r="AH1578" t="s">
        <v>3768</v>
      </c>
      <c r="AI1578" t="s">
        <v>15</v>
      </c>
      <c r="AJ1578" t="s">
        <v>15</v>
      </c>
      <c r="AK1578" t="s">
        <v>3767</v>
      </c>
      <c r="AL1578" t="s">
        <v>3766</v>
      </c>
    </row>
    <row r="1579" spans="5:38" x14ac:dyDescent="0.25">
      <c r="I1579" t="str">
        <f t="shared" si="128"/>
        <v>overtop</v>
      </c>
      <c r="J1579" t="str">
        <f t="shared" si="129"/>
        <v>overtoprelease</v>
      </c>
      <c r="K1579" t="s">
        <v>46</v>
      </c>
      <c r="L1579" t="str">
        <f t="shared" si="131"/>
        <v>NGM-212 / ADM-011 (MVS), NGH-212 / ADH-011 (AES)</v>
      </c>
      <c r="M1579" t="str">
        <f t="shared" si="131"/>
        <v>19960426 (MVS), 19960524 (AES)</v>
      </c>
      <c r="N1579" t="str">
        <f t="shared" si="131"/>
        <v>オーバートップ</v>
      </c>
      <c r="O1579" t="str">
        <f t="shared" si="131"/>
        <v/>
      </c>
      <c r="P1579" t="str">
        <f t="shared" si="131"/>
        <v/>
      </c>
      <c r="Q1579" t="s">
        <v>3765</v>
      </c>
      <c r="T1579" t="str">
        <f t="shared" si="130"/>
        <v/>
      </c>
      <c r="V1579" t="str">
        <f t="shared" si="132"/>
        <v>MVS,AES</v>
      </c>
      <c r="W1579" t="str">
        <f t="shared" si="132"/>
        <v>MVS,AES</v>
      </c>
      <c r="AG1579" t="s">
        <v>224</v>
      </c>
      <c r="AI1579" t="s">
        <v>9</v>
      </c>
      <c r="AJ1579" t="s">
        <v>15</v>
      </c>
    </row>
    <row r="1580" spans="5:38" x14ac:dyDescent="0.25">
      <c r="I1580" t="str">
        <f t="shared" si="128"/>
        <v>overtop</v>
      </c>
      <c r="J1580" t="str">
        <f t="shared" si="129"/>
        <v>overtopalt_title</v>
      </c>
      <c r="K1580" t="s">
        <v>1218</v>
      </c>
      <c r="L1580" t="str">
        <f t="shared" si="131"/>
        <v>NGM-212 / ADM-011 (MVS), NGH-212 / ADH-011 (AES)</v>
      </c>
      <c r="M1580" t="str">
        <f t="shared" si="131"/>
        <v>19960426 (MVS), 19960524 (AES)</v>
      </c>
      <c r="N1580" t="str">
        <f t="shared" si="131"/>
        <v>オーバートップ</v>
      </c>
      <c r="O1580" t="str">
        <f t="shared" si="131"/>
        <v/>
      </c>
      <c r="P1580" t="str">
        <f t="shared" si="131"/>
        <v/>
      </c>
      <c r="Q1580" t="s">
        <v>3764</v>
      </c>
      <c r="T1580" t="str">
        <f t="shared" si="130"/>
        <v/>
      </c>
      <c r="V1580" t="str">
        <f t="shared" si="132"/>
        <v>MVS,AES</v>
      </c>
      <c r="W1580" t="str">
        <f t="shared" si="132"/>
        <v>MVS,AES</v>
      </c>
      <c r="AB1580" t="s">
        <v>34</v>
      </c>
      <c r="AE1580" t="s">
        <v>33</v>
      </c>
      <c r="AH1580" t="s">
        <v>3763</v>
      </c>
      <c r="AI1580" t="s">
        <v>9</v>
      </c>
      <c r="AJ1580" t="s">
        <v>27</v>
      </c>
      <c r="AK1580" t="s">
        <v>3762</v>
      </c>
      <c r="AL1580" t="s">
        <v>3761</v>
      </c>
    </row>
    <row r="1581" spans="5:38" x14ac:dyDescent="0.25">
      <c r="I1581" t="str">
        <f t="shared" si="128"/>
        <v>overtop</v>
      </c>
      <c r="J1581" t="str">
        <f t="shared" si="129"/>
        <v/>
      </c>
      <c r="L1581" t="str">
        <f t="shared" si="131"/>
        <v>NGM-212 / ADM-011 (MVS), NGH-212 / ADH-011 (AES)</v>
      </c>
      <c r="M1581" t="str">
        <f t="shared" si="131"/>
        <v>19960426 (MVS), 19960524 (AES)</v>
      </c>
      <c r="N1581" t="str">
        <f t="shared" si="131"/>
        <v>オーバートップ</v>
      </c>
      <c r="O1581" t="str">
        <f t="shared" si="131"/>
        <v/>
      </c>
      <c r="P1581" t="str">
        <f t="shared" si="131"/>
        <v/>
      </c>
      <c r="S1581" t="s">
        <v>36</v>
      </c>
      <c r="T1581" t="str">
        <f t="shared" si="130"/>
        <v>overtopcompatibility</v>
      </c>
      <c r="U1581" t="s">
        <v>218</v>
      </c>
      <c r="V1581" t="str">
        <f t="shared" si="132"/>
        <v>MVS,AES</v>
      </c>
      <c r="W1581" t="str">
        <f t="shared" si="132"/>
        <v>MVS,AES</v>
      </c>
      <c r="AB1581" t="s">
        <v>29</v>
      </c>
      <c r="AE1581" t="s">
        <v>27</v>
      </c>
      <c r="AH1581" t="s">
        <v>3760</v>
      </c>
      <c r="AI1581" t="s">
        <v>9</v>
      </c>
      <c r="AJ1581" t="s">
        <v>27</v>
      </c>
      <c r="AK1581" t="s">
        <v>3759</v>
      </c>
      <c r="AL1581" t="s">
        <v>3758</v>
      </c>
    </row>
    <row r="1582" spans="5:38" x14ac:dyDescent="0.25">
      <c r="I1582" t="str">
        <f t="shared" si="128"/>
        <v>overtop</v>
      </c>
      <c r="J1582" t="str">
        <f t="shared" si="129"/>
        <v/>
      </c>
      <c r="L1582" t="str">
        <f t="shared" si="131"/>
        <v>NGM-212 / ADM-011 (MVS), NGH-212 / ADH-011 (AES)</v>
      </c>
      <c r="M1582" t="str">
        <f t="shared" si="131"/>
        <v>19960426 (MVS), 19960524 (AES)</v>
      </c>
      <c r="N1582" t="str">
        <f t="shared" si="131"/>
        <v>オーバートップ</v>
      </c>
      <c r="O1582" t="str">
        <f t="shared" si="131"/>
        <v/>
      </c>
      <c r="P1582" t="str">
        <f t="shared" si="131"/>
        <v/>
      </c>
      <c r="T1582" t="str">
        <f t="shared" si="130"/>
        <v/>
      </c>
      <c r="V1582" t="str">
        <f t="shared" si="132"/>
        <v>MVS,AES</v>
      </c>
      <c r="W1582" t="str">
        <f t="shared" si="132"/>
        <v>MVS,AES</v>
      </c>
      <c r="AB1582" t="s">
        <v>24</v>
      </c>
      <c r="AE1582" t="s">
        <v>11</v>
      </c>
      <c r="AH1582" t="s">
        <v>3757</v>
      </c>
      <c r="AI1582" t="s">
        <v>9</v>
      </c>
      <c r="AJ1582" t="s">
        <v>11</v>
      </c>
      <c r="AK1582" t="s">
        <v>3756</v>
      </c>
      <c r="AL1582" t="s">
        <v>3755</v>
      </c>
    </row>
    <row r="1583" spans="5:38" x14ac:dyDescent="0.25">
      <c r="I1583" t="str">
        <f t="shared" si="128"/>
        <v>overtop</v>
      </c>
      <c r="J1583" t="str">
        <f t="shared" si="129"/>
        <v/>
      </c>
      <c r="L1583" t="str">
        <f t="shared" si="131"/>
        <v>NGM-212 / ADM-011 (MVS), NGH-212 / ADH-011 (AES)</v>
      </c>
      <c r="M1583" t="str">
        <f t="shared" si="131"/>
        <v>19960426 (MVS), 19960524 (AES)</v>
      </c>
      <c r="N1583" t="str">
        <f t="shared" si="131"/>
        <v>オーバートップ</v>
      </c>
      <c r="O1583" t="str">
        <f t="shared" si="131"/>
        <v/>
      </c>
      <c r="P1583" t="str">
        <f t="shared" si="131"/>
        <v/>
      </c>
      <c r="T1583" t="str">
        <f t="shared" si="130"/>
        <v/>
      </c>
      <c r="V1583" t="str">
        <f t="shared" si="132"/>
        <v>MVS,AES</v>
      </c>
      <c r="W1583" t="str">
        <f t="shared" si="132"/>
        <v>MVS,AES</v>
      </c>
      <c r="AB1583" t="s">
        <v>12</v>
      </c>
      <c r="AE1583" t="s">
        <v>3633</v>
      </c>
      <c r="AG1583" t="s">
        <v>6</v>
      </c>
      <c r="AH1583" t="s">
        <v>3754</v>
      </c>
      <c r="AI1583" t="s">
        <v>9</v>
      </c>
      <c r="AJ1583" t="s">
        <v>11</v>
      </c>
      <c r="AK1583" t="s">
        <v>3753</v>
      </c>
      <c r="AL1583" t="s">
        <v>3752</v>
      </c>
    </row>
    <row r="1584" spans="5:38" x14ac:dyDescent="0.25">
      <c r="I1584" t="str">
        <f t="shared" si="128"/>
        <v>overtop</v>
      </c>
      <c r="J1584" t="str">
        <f t="shared" si="129"/>
        <v/>
      </c>
      <c r="L1584" t="str">
        <f t="shared" si="131"/>
        <v>NGM-212 / ADM-011 (MVS), NGH-212 / ADH-011 (AES)</v>
      </c>
      <c r="M1584" t="str">
        <f t="shared" si="131"/>
        <v>19960426 (MVS), 19960524 (AES)</v>
      </c>
      <c r="N1584" t="str">
        <f t="shared" si="131"/>
        <v>オーバートップ</v>
      </c>
      <c r="O1584" t="str">
        <f t="shared" si="131"/>
        <v/>
      </c>
      <c r="P1584" t="str">
        <f t="shared" si="131"/>
        <v/>
      </c>
      <c r="T1584" t="str">
        <f t="shared" si="130"/>
        <v/>
      </c>
      <c r="V1584" t="str">
        <f t="shared" si="132"/>
        <v>MVS,AES</v>
      </c>
      <c r="W1584" t="str">
        <f t="shared" si="132"/>
        <v>MVS,AES</v>
      </c>
      <c r="AG1584" t="s">
        <v>6</v>
      </c>
      <c r="AH1584" t="s">
        <v>3751</v>
      </c>
      <c r="AI1584" t="s">
        <v>4</v>
      </c>
      <c r="AJ1584" t="s">
        <v>11</v>
      </c>
      <c r="AK1584" t="s">
        <v>3750</v>
      </c>
      <c r="AL1584" t="s">
        <v>3749</v>
      </c>
    </row>
    <row r="1585" spans="5:38" x14ac:dyDescent="0.25">
      <c r="I1585" t="str">
        <f t="shared" si="128"/>
        <v>overtop</v>
      </c>
      <c r="J1585" t="str">
        <f t="shared" si="129"/>
        <v/>
      </c>
      <c r="L1585" t="str">
        <f t="shared" si="131"/>
        <v>NGM-212 / ADM-011 (MVS), NGH-212 / ADH-011 (AES)</v>
      </c>
      <c r="M1585" t="str">
        <f t="shared" si="131"/>
        <v>19960426 (MVS), 19960524 (AES)</v>
      </c>
      <c r="N1585" t="str">
        <f t="shared" si="131"/>
        <v>オーバートップ</v>
      </c>
      <c r="O1585" t="str">
        <f t="shared" si="131"/>
        <v/>
      </c>
      <c r="P1585" t="str">
        <f t="shared" si="131"/>
        <v/>
      </c>
      <c r="T1585" t="str">
        <f t="shared" si="130"/>
        <v/>
      </c>
      <c r="V1585" t="str">
        <f t="shared" si="132"/>
        <v>MVS,AES</v>
      </c>
      <c r="W1585" t="str">
        <f t="shared" si="132"/>
        <v>MVS,AES</v>
      </c>
      <c r="AG1585" t="s">
        <v>6</v>
      </c>
      <c r="AH1585" t="s">
        <v>3748</v>
      </c>
      <c r="AI1585" t="s">
        <v>57</v>
      </c>
      <c r="AJ1585" t="s">
        <v>11</v>
      </c>
      <c r="AK1585" t="s">
        <v>3747</v>
      </c>
      <c r="AL1585" t="s">
        <v>3746</v>
      </c>
    </row>
    <row r="1586" spans="5:38" x14ac:dyDescent="0.25">
      <c r="I1586" t="str">
        <f t="shared" si="128"/>
        <v>overtop</v>
      </c>
      <c r="J1586" t="str">
        <f t="shared" si="129"/>
        <v/>
      </c>
      <c r="L1586" t="str">
        <f t="shared" si="131"/>
        <v>NGM-212 / ADM-011 (MVS), NGH-212 / ADH-011 (AES)</v>
      </c>
      <c r="M1586" t="str">
        <f t="shared" si="131"/>
        <v>19960426 (MVS), 19960524 (AES)</v>
      </c>
      <c r="N1586" t="str">
        <f t="shared" si="131"/>
        <v>オーバートップ</v>
      </c>
      <c r="O1586" t="str">
        <f t="shared" si="131"/>
        <v/>
      </c>
      <c r="P1586" t="str">
        <f t="shared" si="131"/>
        <v/>
      </c>
      <c r="T1586" t="str">
        <f t="shared" si="130"/>
        <v/>
      </c>
      <c r="V1586" t="str">
        <f t="shared" si="132"/>
        <v>MVS,AES</v>
      </c>
      <c r="W1586" t="str">
        <f t="shared" si="132"/>
        <v>MVS,AES</v>
      </c>
      <c r="AG1586" t="s">
        <v>6</v>
      </c>
      <c r="AH1586" t="s">
        <v>3745</v>
      </c>
      <c r="AI1586" t="s">
        <v>53</v>
      </c>
      <c r="AJ1586" t="s">
        <v>11</v>
      </c>
      <c r="AK1586" t="s">
        <v>3744</v>
      </c>
      <c r="AL1586" t="s">
        <v>3743</v>
      </c>
    </row>
    <row r="1587" spans="5:38" x14ac:dyDescent="0.25">
      <c r="I1587" t="str">
        <f t="shared" si="128"/>
        <v>overtop</v>
      </c>
      <c r="J1587" t="str">
        <f t="shared" si="129"/>
        <v/>
      </c>
      <c r="L1587" t="str">
        <f t="shared" si="131"/>
        <v>NGM-212 / ADM-011 (MVS), NGH-212 / ADH-011 (AES)</v>
      </c>
      <c r="M1587" t="str">
        <f t="shared" si="131"/>
        <v>19960426 (MVS), 19960524 (AES)</v>
      </c>
      <c r="N1587" t="str">
        <f t="shared" si="131"/>
        <v>オーバートップ</v>
      </c>
      <c r="O1587" t="str">
        <f t="shared" si="131"/>
        <v/>
      </c>
      <c r="P1587" t="str">
        <f t="shared" si="131"/>
        <v/>
      </c>
      <c r="T1587" t="str">
        <f t="shared" si="130"/>
        <v/>
      </c>
      <c r="V1587" t="str">
        <f t="shared" si="132"/>
        <v>MVS,AES</v>
      </c>
      <c r="W1587" t="str">
        <f t="shared" si="132"/>
        <v>MVS,AES</v>
      </c>
      <c r="AG1587" t="s">
        <v>6</v>
      </c>
      <c r="AH1587" t="s">
        <v>3742</v>
      </c>
      <c r="AI1587" t="s">
        <v>65</v>
      </c>
      <c r="AJ1587" t="s">
        <v>3</v>
      </c>
      <c r="AK1587" t="s">
        <v>3741</v>
      </c>
      <c r="AL1587" t="s">
        <v>3740</v>
      </c>
    </row>
    <row r="1588" spans="5:38" x14ac:dyDescent="0.25">
      <c r="I1588" t="str">
        <f t="shared" si="128"/>
        <v>overtop</v>
      </c>
      <c r="J1588" t="str">
        <f t="shared" si="129"/>
        <v/>
      </c>
      <c r="L1588" t="str">
        <f t="shared" si="131"/>
        <v>NGM-212 / ADM-011 (MVS), NGH-212 / ADH-011 (AES)</v>
      </c>
      <c r="M1588" t="str">
        <f t="shared" si="131"/>
        <v>19960426 (MVS), 19960524 (AES)</v>
      </c>
      <c r="N1588" t="str">
        <f t="shared" si="131"/>
        <v>オーバートップ</v>
      </c>
      <c r="O1588" t="str">
        <f t="shared" si="131"/>
        <v/>
      </c>
      <c r="P1588" t="str">
        <f t="shared" si="131"/>
        <v/>
      </c>
      <c r="T1588" t="str">
        <f t="shared" si="130"/>
        <v/>
      </c>
      <c r="V1588" t="str">
        <f t="shared" si="132"/>
        <v>MVS,AES</v>
      </c>
      <c r="W1588" t="str">
        <f t="shared" si="132"/>
        <v>MVS,AES</v>
      </c>
      <c r="AG1588" t="s">
        <v>6</v>
      </c>
      <c r="AH1588" t="s">
        <v>3739</v>
      </c>
      <c r="AI1588" t="s">
        <v>164</v>
      </c>
      <c r="AJ1588" t="s">
        <v>3</v>
      </c>
      <c r="AK1588" t="s">
        <v>3738</v>
      </c>
      <c r="AL1588" t="s">
        <v>3737</v>
      </c>
    </row>
    <row r="1589" spans="5:38" x14ac:dyDescent="0.25">
      <c r="E1589" t="s">
        <v>3736</v>
      </c>
      <c r="F1589" t="s">
        <v>3735</v>
      </c>
      <c r="G1589" t="s">
        <v>1280</v>
      </c>
      <c r="H1589" t="s">
        <v>1859</v>
      </c>
      <c r="I1589" t="str">
        <f t="shared" si="128"/>
        <v>neodrift</v>
      </c>
      <c r="J1589" t="str">
        <f t="shared" si="129"/>
        <v>neodriftserial</v>
      </c>
      <c r="K1589" t="s">
        <v>1373</v>
      </c>
      <c r="L1589" t="str">
        <f t="shared" si="131"/>
        <v>NGM-213</v>
      </c>
      <c r="M1589" t="str">
        <f t="shared" si="131"/>
        <v>19960328</v>
      </c>
      <c r="N1589" t="str">
        <f t="shared" si="131"/>
        <v>NEOドリフトアウト</v>
      </c>
      <c r="O1589" t="str">
        <f t="shared" si="131"/>
        <v/>
      </c>
      <c r="P1589" t="str">
        <f t="shared" si="131"/>
        <v/>
      </c>
      <c r="Q1589" t="s">
        <v>3734</v>
      </c>
      <c r="S1589" t="s">
        <v>46</v>
      </c>
      <c r="T1589" t="str">
        <f t="shared" si="130"/>
        <v>neodriftrelease</v>
      </c>
      <c r="U1589" t="s">
        <v>106</v>
      </c>
      <c r="V1589" t="str">
        <f t="shared" si="132"/>
        <v>MVS</v>
      </c>
      <c r="W1589" t="str">
        <f t="shared" si="132"/>
        <v>MVS,AES</v>
      </c>
      <c r="Y1589" t="s">
        <v>45</v>
      </c>
      <c r="Z1589" t="s">
        <v>44</v>
      </c>
      <c r="AB1589" t="s">
        <v>43</v>
      </c>
      <c r="AC1589" t="s">
        <v>42</v>
      </c>
      <c r="AD1589" t="s">
        <v>41</v>
      </c>
      <c r="AE1589" t="s">
        <v>3</v>
      </c>
      <c r="AG1589" t="s">
        <v>40</v>
      </c>
      <c r="AH1589" t="s">
        <v>3733</v>
      </c>
      <c r="AI1589" t="s">
        <v>15</v>
      </c>
      <c r="AJ1589" t="s">
        <v>15</v>
      </c>
      <c r="AK1589" t="s">
        <v>3732</v>
      </c>
      <c r="AL1589" t="s">
        <v>3731</v>
      </c>
    </row>
    <row r="1590" spans="5:38" x14ac:dyDescent="0.25">
      <c r="I1590" t="str">
        <f t="shared" si="128"/>
        <v>neodrift</v>
      </c>
      <c r="J1590" t="str">
        <f t="shared" si="129"/>
        <v>neodriftrelease</v>
      </c>
      <c r="K1590" t="s">
        <v>46</v>
      </c>
      <c r="L1590" t="str">
        <f t="shared" si="131"/>
        <v>NGM-213</v>
      </c>
      <c r="M1590" t="str">
        <f t="shared" si="131"/>
        <v>19960328</v>
      </c>
      <c r="N1590" t="str">
        <f t="shared" si="131"/>
        <v>NEOドリフトアウト</v>
      </c>
      <c r="O1590" t="str">
        <f t="shared" si="131"/>
        <v/>
      </c>
      <c r="P1590" t="str">
        <f t="shared" si="131"/>
        <v/>
      </c>
      <c r="Q1590" t="s">
        <v>3730</v>
      </c>
      <c r="T1590" t="str">
        <f t="shared" si="130"/>
        <v/>
      </c>
      <c r="V1590" t="str">
        <f t="shared" si="132"/>
        <v>MVS</v>
      </c>
      <c r="W1590" t="str">
        <f t="shared" si="132"/>
        <v>MVS,AES</v>
      </c>
      <c r="AG1590" t="s">
        <v>224</v>
      </c>
      <c r="AI1590" t="s">
        <v>9</v>
      </c>
      <c r="AJ1590" t="s">
        <v>15</v>
      </c>
    </row>
    <row r="1591" spans="5:38" x14ac:dyDescent="0.25">
      <c r="I1591" t="str">
        <f t="shared" si="128"/>
        <v>neodrift</v>
      </c>
      <c r="J1591" t="str">
        <f t="shared" si="129"/>
        <v>neodriftalt_title</v>
      </c>
      <c r="K1591" t="s">
        <v>1218</v>
      </c>
      <c r="L1591" t="str">
        <f t="shared" si="131"/>
        <v>NGM-213</v>
      </c>
      <c r="M1591" t="str">
        <f t="shared" si="131"/>
        <v>19960328</v>
      </c>
      <c r="N1591" t="str">
        <f t="shared" si="131"/>
        <v>NEOドリフトアウト</v>
      </c>
      <c r="O1591" t="str">
        <f t="shared" si="131"/>
        <v/>
      </c>
      <c r="P1591" t="str">
        <f t="shared" si="131"/>
        <v/>
      </c>
      <c r="Q1591" t="s">
        <v>3729</v>
      </c>
      <c r="T1591" t="str">
        <f t="shared" si="130"/>
        <v/>
      </c>
      <c r="V1591" t="str">
        <f t="shared" si="132"/>
        <v>MVS</v>
      </c>
      <c r="W1591" t="str">
        <f t="shared" si="132"/>
        <v>MVS,AES</v>
      </c>
      <c r="AB1591" t="s">
        <v>34</v>
      </c>
      <c r="AE1591" t="s">
        <v>33</v>
      </c>
      <c r="AH1591" t="s">
        <v>3728</v>
      </c>
      <c r="AI1591" t="s">
        <v>9</v>
      </c>
      <c r="AJ1591" t="s">
        <v>27</v>
      </c>
      <c r="AK1591" t="s">
        <v>3727</v>
      </c>
      <c r="AL1591" t="s">
        <v>3726</v>
      </c>
    </row>
    <row r="1592" spans="5:38" x14ac:dyDescent="0.25">
      <c r="I1592" t="str">
        <f t="shared" si="128"/>
        <v>neodrift</v>
      </c>
      <c r="J1592" t="str">
        <f t="shared" si="129"/>
        <v/>
      </c>
      <c r="L1592" t="str">
        <f t="shared" si="131"/>
        <v>NGM-213</v>
      </c>
      <c r="M1592" t="str">
        <f t="shared" si="131"/>
        <v>19960328</v>
      </c>
      <c r="N1592" t="str">
        <f t="shared" si="131"/>
        <v>NEOドリフトアウト</v>
      </c>
      <c r="O1592" t="str">
        <f t="shared" si="131"/>
        <v/>
      </c>
      <c r="P1592" t="str">
        <f t="shared" si="131"/>
        <v/>
      </c>
      <c r="S1592" t="s">
        <v>36</v>
      </c>
      <c r="T1592" t="str">
        <f t="shared" si="130"/>
        <v>neodriftcompatibility</v>
      </c>
      <c r="U1592" t="s">
        <v>218</v>
      </c>
      <c r="V1592" t="str">
        <f t="shared" si="132"/>
        <v>MVS</v>
      </c>
      <c r="W1592" t="str">
        <f t="shared" si="132"/>
        <v>MVS,AES</v>
      </c>
      <c r="AB1592" t="s">
        <v>29</v>
      </c>
      <c r="AE1592" t="s">
        <v>27</v>
      </c>
      <c r="AH1592" t="s">
        <v>3725</v>
      </c>
      <c r="AI1592" t="s">
        <v>9</v>
      </c>
      <c r="AJ1592" t="s">
        <v>27</v>
      </c>
      <c r="AK1592" t="s">
        <v>3724</v>
      </c>
      <c r="AL1592" t="s">
        <v>3723</v>
      </c>
    </row>
    <row r="1593" spans="5:38" x14ac:dyDescent="0.25">
      <c r="I1593" t="str">
        <f t="shared" si="128"/>
        <v>neodrift</v>
      </c>
      <c r="J1593" t="str">
        <f t="shared" si="129"/>
        <v/>
      </c>
      <c r="L1593" t="str">
        <f t="shared" si="131"/>
        <v>NGM-213</v>
      </c>
      <c r="M1593" t="str">
        <f t="shared" si="131"/>
        <v>19960328</v>
      </c>
      <c r="N1593" t="str">
        <f t="shared" si="131"/>
        <v>NEOドリフトアウト</v>
      </c>
      <c r="O1593" t="str">
        <f t="shared" si="131"/>
        <v/>
      </c>
      <c r="P1593" t="str">
        <f t="shared" si="131"/>
        <v/>
      </c>
      <c r="T1593" t="str">
        <f t="shared" si="130"/>
        <v/>
      </c>
      <c r="V1593" t="str">
        <f t="shared" si="132"/>
        <v>MVS</v>
      </c>
      <c r="W1593" t="str">
        <f t="shared" si="132"/>
        <v>MVS,AES</v>
      </c>
      <c r="AB1593" t="s">
        <v>24</v>
      </c>
      <c r="AE1593" t="s">
        <v>11</v>
      </c>
      <c r="AH1593" t="s">
        <v>3722</v>
      </c>
      <c r="AI1593" t="s">
        <v>9</v>
      </c>
      <c r="AJ1593" t="s">
        <v>3</v>
      </c>
      <c r="AK1593" t="s">
        <v>3721</v>
      </c>
      <c r="AL1593" t="s">
        <v>3720</v>
      </c>
    </row>
    <row r="1594" spans="5:38" x14ac:dyDescent="0.25">
      <c r="I1594" t="str">
        <f t="shared" si="128"/>
        <v>neodrift</v>
      </c>
      <c r="J1594" t="str">
        <f t="shared" si="129"/>
        <v/>
      </c>
      <c r="L1594" t="str">
        <f t="shared" si="131"/>
        <v>NGM-213</v>
      </c>
      <c r="M1594" t="str">
        <f t="shared" si="131"/>
        <v>19960328</v>
      </c>
      <c r="N1594" t="str">
        <f t="shared" si="131"/>
        <v>NEOドリフトアウト</v>
      </c>
      <c r="O1594" t="str">
        <f t="shared" si="131"/>
        <v/>
      </c>
      <c r="P1594" t="str">
        <f t="shared" si="131"/>
        <v/>
      </c>
      <c r="T1594" t="str">
        <f t="shared" si="130"/>
        <v/>
      </c>
      <c r="V1594" t="str">
        <f t="shared" si="132"/>
        <v>MVS</v>
      </c>
      <c r="W1594" t="str">
        <f t="shared" si="132"/>
        <v>MVS,AES</v>
      </c>
      <c r="AH1594" t="s">
        <v>3719</v>
      </c>
      <c r="AI1594" t="s">
        <v>3</v>
      </c>
      <c r="AJ1594" t="s">
        <v>3</v>
      </c>
      <c r="AK1594" t="s">
        <v>3718</v>
      </c>
      <c r="AL1594" t="s">
        <v>3717</v>
      </c>
    </row>
    <row r="1595" spans="5:38" x14ac:dyDescent="0.25">
      <c r="I1595" t="str">
        <f t="shared" si="128"/>
        <v>neodrift</v>
      </c>
      <c r="J1595" t="str">
        <f t="shared" si="129"/>
        <v/>
      </c>
      <c r="L1595" t="str">
        <f t="shared" si="131"/>
        <v>NGM-213</v>
      </c>
      <c r="M1595" t="str">
        <f t="shared" si="131"/>
        <v>19960328</v>
      </c>
      <c r="N1595" t="str">
        <f t="shared" si="131"/>
        <v>NEOドリフトアウト</v>
      </c>
      <c r="O1595" t="str">
        <f t="shared" si="131"/>
        <v/>
      </c>
      <c r="P1595" t="str">
        <f t="shared" si="131"/>
        <v/>
      </c>
      <c r="T1595" t="str">
        <f t="shared" si="130"/>
        <v/>
      </c>
      <c r="V1595" t="str">
        <f t="shared" si="132"/>
        <v>MVS</v>
      </c>
      <c r="W1595" t="str">
        <f t="shared" si="132"/>
        <v>MVS,AES</v>
      </c>
      <c r="AB1595" t="s">
        <v>12</v>
      </c>
      <c r="AE1595" t="s">
        <v>57</v>
      </c>
      <c r="AG1595" t="s">
        <v>6</v>
      </c>
      <c r="AH1595" t="s">
        <v>3716</v>
      </c>
      <c r="AI1595" t="s">
        <v>9</v>
      </c>
      <c r="AJ1595" t="s">
        <v>11</v>
      </c>
      <c r="AK1595" t="s">
        <v>3715</v>
      </c>
      <c r="AL1595" t="s">
        <v>3714</v>
      </c>
    </row>
    <row r="1596" spans="5:38" x14ac:dyDescent="0.25">
      <c r="I1596" t="str">
        <f t="shared" si="128"/>
        <v>neodrift</v>
      </c>
      <c r="J1596" t="str">
        <f t="shared" si="129"/>
        <v/>
      </c>
      <c r="L1596" t="str">
        <f t="shared" ref="L1596:P1646" si="133">IFERROR(VLOOKUP($I1596&amp;L$1,$J:$Q,8,0),"")</f>
        <v>NGM-213</v>
      </c>
      <c r="M1596" t="str">
        <f t="shared" si="133"/>
        <v>19960328</v>
      </c>
      <c r="N1596" t="str">
        <f t="shared" si="133"/>
        <v>NEOドリフトアウト</v>
      </c>
      <c r="O1596" t="str">
        <f t="shared" si="133"/>
        <v/>
      </c>
      <c r="P1596" t="str">
        <f t="shared" si="133"/>
        <v/>
      </c>
      <c r="T1596" t="str">
        <f t="shared" si="130"/>
        <v/>
      </c>
      <c r="V1596" t="str">
        <f t="shared" si="132"/>
        <v>MVS</v>
      </c>
      <c r="W1596" t="str">
        <f t="shared" si="132"/>
        <v>MVS,AES</v>
      </c>
      <c r="AG1596" t="s">
        <v>6</v>
      </c>
      <c r="AH1596" t="s">
        <v>3713</v>
      </c>
      <c r="AI1596" t="s">
        <v>4</v>
      </c>
      <c r="AJ1596" t="s">
        <v>11</v>
      </c>
      <c r="AK1596" t="s">
        <v>3712</v>
      </c>
      <c r="AL1596" t="s">
        <v>3711</v>
      </c>
    </row>
    <row r="1597" spans="5:38" x14ac:dyDescent="0.25">
      <c r="E1597" t="s">
        <v>3698</v>
      </c>
      <c r="F1597" t="s">
        <v>3710</v>
      </c>
      <c r="G1597" t="s">
        <v>1280</v>
      </c>
      <c r="H1597" t="s">
        <v>1912</v>
      </c>
      <c r="I1597" t="str">
        <f t="shared" si="128"/>
        <v>kof96</v>
      </c>
      <c r="J1597" t="str">
        <f t="shared" si="129"/>
        <v>kof96serial</v>
      </c>
      <c r="K1597" t="s">
        <v>1373</v>
      </c>
      <c r="L1597" t="str">
        <f t="shared" si="133"/>
        <v>NGM-214</v>
      </c>
      <c r="M1597" t="str">
        <f t="shared" si="133"/>
        <v>19960730</v>
      </c>
      <c r="N1597" t="str">
        <f t="shared" si="133"/>
        <v>ザ・キング・オブ・ファイターズ '96</v>
      </c>
      <c r="O1597" t="str">
        <f t="shared" si="133"/>
        <v/>
      </c>
      <c r="P1597" t="str">
        <f t="shared" si="133"/>
        <v/>
      </c>
      <c r="Q1597" t="s">
        <v>3709</v>
      </c>
      <c r="S1597" t="s">
        <v>46</v>
      </c>
      <c r="T1597" t="str">
        <f t="shared" si="130"/>
        <v>kof96release</v>
      </c>
      <c r="U1597" t="s">
        <v>106</v>
      </c>
      <c r="V1597" t="str">
        <f t="shared" si="132"/>
        <v>MVS</v>
      </c>
      <c r="W1597" t="str">
        <f t="shared" si="132"/>
        <v>MVS,AES</v>
      </c>
      <c r="Y1597" t="s">
        <v>45</v>
      </c>
      <c r="Z1597" t="s">
        <v>44</v>
      </c>
      <c r="AB1597" t="s">
        <v>43</v>
      </c>
      <c r="AC1597" t="s">
        <v>42</v>
      </c>
      <c r="AD1597" t="s">
        <v>41</v>
      </c>
      <c r="AE1597" t="s">
        <v>377</v>
      </c>
      <c r="AG1597" t="s">
        <v>40</v>
      </c>
      <c r="AH1597" t="s">
        <v>3708</v>
      </c>
      <c r="AI1597" t="s">
        <v>9</v>
      </c>
      <c r="AJ1597" t="s">
        <v>15</v>
      </c>
      <c r="AK1597" t="s">
        <v>3707</v>
      </c>
      <c r="AL1597" t="s">
        <v>3706</v>
      </c>
    </row>
    <row r="1598" spans="5:38" x14ac:dyDescent="0.25">
      <c r="I1598" t="str">
        <f t="shared" si="128"/>
        <v>kof96</v>
      </c>
      <c r="J1598" t="str">
        <f t="shared" si="129"/>
        <v>kof96release</v>
      </c>
      <c r="K1598" t="s">
        <v>46</v>
      </c>
      <c r="L1598" t="str">
        <f t="shared" si="133"/>
        <v>NGM-214</v>
      </c>
      <c r="M1598" t="str">
        <f t="shared" si="133"/>
        <v>19960730</v>
      </c>
      <c r="N1598" t="str">
        <f t="shared" si="133"/>
        <v>ザ・キング・オブ・ファイターズ '96</v>
      </c>
      <c r="O1598" t="str">
        <f t="shared" si="133"/>
        <v/>
      </c>
      <c r="P1598" t="str">
        <f t="shared" si="133"/>
        <v/>
      </c>
      <c r="Q1598" t="s">
        <v>3705</v>
      </c>
      <c r="T1598" t="str">
        <f t="shared" si="130"/>
        <v/>
      </c>
      <c r="V1598" t="str">
        <f t="shared" si="132"/>
        <v>MVS</v>
      </c>
      <c r="W1598" t="str">
        <f t="shared" si="132"/>
        <v>MVS,AES</v>
      </c>
      <c r="AG1598" t="s">
        <v>40</v>
      </c>
      <c r="AH1598" t="s">
        <v>3696</v>
      </c>
      <c r="AI1598" t="s">
        <v>15</v>
      </c>
      <c r="AJ1598" t="s">
        <v>3</v>
      </c>
      <c r="AK1598" t="s">
        <v>3695</v>
      </c>
      <c r="AL1598" t="s">
        <v>3694</v>
      </c>
    </row>
    <row r="1599" spans="5:38" x14ac:dyDescent="0.25">
      <c r="I1599" t="str">
        <f t="shared" si="128"/>
        <v>kof96</v>
      </c>
      <c r="J1599" t="str">
        <f t="shared" si="129"/>
        <v>kof96alt_title</v>
      </c>
      <c r="K1599" t="s">
        <v>1218</v>
      </c>
      <c r="L1599" t="str">
        <f t="shared" si="133"/>
        <v>NGM-214</v>
      </c>
      <c r="M1599" t="str">
        <f t="shared" si="133"/>
        <v>19960730</v>
      </c>
      <c r="N1599" t="str">
        <f t="shared" si="133"/>
        <v>ザ・キング・オブ・ファイターズ '96</v>
      </c>
      <c r="O1599" t="str">
        <f t="shared" si="133"/>
        <v/>
      </c>
      <c r="P1599" t="str">
        <f t="shared" si="133"/>
        <v/>
      </c>
      <c r="Q1599" t="s">
        <v>3693</v>
      </c>
      <c r="T1599" t="str">
        <f t="shared" si="130"/>
        <v/>
      </c>
      <c r="V1599" t="str">
        <f t="shared" si="132"/>
        <v>MVS</v>
      </c>
      <c r="W1599" t="str">
        <f t="shared" si="132"/>
        <v>MVS,AES</v>
      </c>
      <c r="AB1599" t="s">
        <v>34</v>
      </c>
      <c r="AE1599" t="s">
        <v>33</v>
      </c>
      <c r="AH1599" t="s">
        <v>3692</v>
      </c>
      <c r="AI1599" t="s">
        <v>9</v>
      </c>
      <c r="AJ1599" t="s">
        <v>27</v>
      </c>
      <c r="AK1599" t="s">
        <v>3691</v>
      </c>
      <c r="AL1599" t="s">
        <v>3690</v>
      </c>
    </row>
    <row r="1600" spans="5:38" x14ac:dyDescent="0.25">
      <c r="I1600" t="str">
        <f t="shared" si="128"/>
        <v>kof96</v>
      </c>
      <c r="J1600" t="str">
        <f t="shared" si="129"/>
        <v/>
      </c>
      <c r="L1600" t="str">
        <f t="shared" si="133"/>
        <v>NGM-214</v>
      </c>
      <c r="M1600" t="str">
        <f t="shared" si="133"/>
        <v>19960730</v>
      </c>
      <c r="N1600" t="str">
        <f t="shared" si="133"/>
        <v>ザ・キング・オブ・ファイターズ '96</v>
      </c>
      <c r="O1600" t="str">
        <f t="shared" si="133"/>
        <v/>
      </c>
      <c r="P1600" t="str">
        <f t="shared" si="133"/>
        <v/>
      </c>
      <c r="S1600" t="s">
        <v>36</v>
      </c>
      <c r="T1600" t="str">
        <f t="shared" si="130"/>
        <v>kof96compatibility</v>
      </c>
      <c r="U1600" t="s">
        <v>218</v>
      </c>
      <c r="V1600" t="str">
        <f t="shared" si="132"/>
        <v>MVS</v>
      </c>
      <c r="W1600" t="str">
        <f t="shared" si="132"/>
        <v>MVS,AES</v>
      </c>
      <c r="AB1600" t="s">
        <v>29</v>
      </c>
      <c r="AE1600" t="s">
        <v>27</v>
      </c>
      <c r="AH1600" t="s">
        <v>3689</v>
      </c>
      <c r="AI1600" t="s">
        <v>9</v>
      </c>
      <c r="AJ1600" t="s">
        <v>27</v>
      </c>
      <c r="AK1600" t="s">
        <v>3688</v>
      </c>
      <c r="AL1600" t="s">
        <v>3687</v>
      </c>
    </row>
    <row r="1601" spans="5:44" x14ac:dyDescent="0.25">
      <c r="I1601" t="str">
        <f t="shared" si="128"/>
        <v>kof96</v>
      </c>
      <c r="J1601" t="str">
        <f t="shared" si="129"/>
        <v/>
      </c>
      <c r="L1601" t="str">
        <f t="shared" si="133"/>
        <v>NGM-214</v>
      </c>
      <c r="M1601" t="str">
        <f t="shared" si="133"/>
        <v>19960730</v>
      </c>
      <c r="N1601" t="str">
        <f t="shared" si="133"/>
        <v>ザ・キング・オブ・ファイターズ '96</v>
      </c>
      <c r="O1601" t="str">
        <f t="shared" si="133"/>
        <v/>
      </c>
      <c r="P1601" t="str">
        <f t="shared" si="133"/>
        <v/>
      </c>
      <c r="T1601" t="str">
        <f t="shared" si="130"/>
        <v/>
      </c>
      <c r="V1601" t="str">
        <f t="shared" si="132"/>
        <v>MVS</v>
      </c>
      <c r="W1601" t="str">
        <f t="shared" si="132"/>
        <v>MVS,AES</v>
      </c>
      <c r="AB1601" t="s">
        <v>24</v>
      </c>
      <c r="AE1601" t="s">
        <v>1083</v>
      </c>
      <c r="AH1601" t="s">
        <v>3686</v>
      </c>
      <c r="AI1601" t="s">
        <v>9</v>
      </c>
      <c r="AJ1601" t="s">
        <v>11</v>
      </c>
      <c r="AK1601" t="s">
        <v>3685</v>
      </c>
      <c r="AL1601" t="s">
        <v>3684</v>
      </c>
    </row>
    <row r="1602" spans="5:44" x14ac:dyDescent="0.25">
      <c r="I1602" t="str">
        <f t="shared" si="128"/>
        <v>kof96</v>
      </c>
      <c r="J1602" t="str">
        <f t="shared" si="129"/>
        <v/>
      </c>
      <c r="L1602" t="str">
        <f t="shared" si="133"/>
        <v>NGM-214</v>
      </c>
      <c r="M1602" t="str">
        <f t="shared" si="133"/>
        <v>19960730</v>
      </c>
      <c r="N1602" t="str">
        <f t="shared" si="133"/>
        <v>ザ・キング・オブ・ファイターズ '96</v>
      </c>
      <c r="O1602" t="str">
        <f t="shared" si="133"/>
        <v/>
      </c>
      <c r="P1602" t="str">
        <f t="shared" si="133"/>
        <v/>
      </c>
      <c r="T1602" t="str">
        <f t="shared" si="130"/>
        <v/>
      </c>
      <c r="V1602" t="str">
        <f t="shared" si="132"/>
        <v>MVS</v>
      </c>
      <c r="W1602" t="str">
        <f t="shared" si="132"/>
        <v>MVS,AES</v>
      </c>
      <c r="AH1602" t="s">
        <v>3683</v>
      </c>
      <c r="AI1602" t="s">
        <v>11</v>
      </c>
      <c r="AJ1602" t="s">
        <v>11</v>
      </c>
      <c r="AK1602" t="s">
        <v>3682</v>
      </c>
      <c r="AL1602" t="s">
        <v>3681</v>
      </c>
    </row>
    <row r="1603" spans="5:44" x14ac:dyDescent="0.25">
      <c r="I1603" t="str">
        <f t="shared" ref="I1603:I1666" si="134">IF(E1603="",I1602,E1603)</f>
        <v>kof96</v>
      </c>
      <c r="J1603" t="str">
        <f t="shared" ref="J1603:J1666" si="135">IF(K1603="","",I1603&amp;K1603)</f>
        <v/>
      </c>
      <c r="L1603" t="str">
        <f t="shared" si="133"/>
        <v>NGM-214</v>
      </c>
      <c r="M1603" t="str">
        <f t="shared" si="133"/>
        <v>19960730</v>
      </c>
      <c r="N1603" t="str">
        <f t="shared" si="133"/>
        <v>ザ・キング・オブ・ファイターズ '96</v>
      </c>
      <c r="O1603" t="str">
        <f t="shared" si="133"/>
        <v/>
      </c>
      <c r="P1603" t="str">
        <f t="shared" si="133"/>
        <v/>
      </c>
      <c r="T1603" t="str">
        <f t="shared" ref="T1603:T1666" si="136">IF(S1603="","",I1603&amp;S1603)</f>
        <v/>
      </c>
      <c r="V1603" t="str">
        <f t="shared" si="132"/>
        <v>MVS</v>
      </c>
      <c r="W1603" t="str">
        <f t="shared" si="132"/>
        <v>MVS,AES</v>
      </c>
      <c r="AH1603" t="s">
        <v>3680</v>
      </c>
      <c r="AI1603" t="s">
        <v>57</v>
      </c>
      <c r="AJ1603" t="s">
        <v>3</v>
      </c>
      <c r="AK1603" t="s">
        <v>3679</v>
      </c>
      <c r="AL1603" t="s">
        <v>3678</v>
      </c>
    </row>
    <row r="1604" spans="5:44" x14ac:dyDescent="0.25">
      <c r="I1604" t="str">
        <f t="shared" si="134"/>
        <v>kof96</v>
      </c>
      <c r="J1604" t="str">
        <f t="shared" si="135"/>
        <v/>
      </c>
      <c r="L1604" t="str">
        <f t="shared" si="133"/>
        <v>NGM-214</v>
      </c>
      <c r="M1604" t="str">
        <f t="shared" si="133"/>
        <v>19960730</v>
      </c>
      <c r="N1604" t="str">
        <f t="shared" si="133"/>
        <v>ザ・キング・オブ・ファイターズ '96</v>
      </c>
      <c r="O1604" t="str">
        <f t="shared" si="133"/>
        <v/>
      </c>
      <c r="P1604" t="str">
        <f t="shared" si="133"/>
        <v/>
      </c>
      <c r="T1604" t="str">
        <f t="shared" si="136"/>
        <v/>
      </c>
      <c r="V1604" t="str">
        <f t="shared" si="132"/>
        <v>MVS</v>
      </c>
      <c r="W1604" t="str">
        <f t="shared" si="132"/>
        <v>MVS,AES</v>
      </c>
      <c r="AB1604" t="s">
        <v>12</v>
      </c>
      <c r="AE1604" t="s">
        <v>160</v>
      </c>
      <c r="AG1604" t="s">
        <v>6</v>
      </c>
      <c r="AH1604" t="s">
        <v>3677</v>
      </c>
      <c r="AI1604" t="s">
        <v>9</v>
      </c>
      <c r="AJ1604" t="s">
        <v>11</v>
      </c>
      <c r="AK1604" t="s">
        <v>3676</v>
      </c>
      <c r="AL1604" t="s">
        <v>3675</v>
      </c>
    </row>
    <row r="1605" spans="5:44" x14ac:dyDescent="0.25">
      <c r="I1605" t="str">
        <f t="shared" si="134"/>
        <v>kof96</v>
      </c>
      <c r="J1605" t="str">
        <f t="shared" si="135"/>
        <v/>
      </c>
      <c r="L1605" t="str">
        <f t="shared" si="133"/>
        <v>NGM-214</v>
      </c>
      <c r="M1605" t="str">
        <f t="shared" si="133"/>
        <v>19960730</v>
      </c>
      <c r="N1605" t="str">
        <f t="shared" si="133"/>
        <v>ザ・キング・オブ・ファイターズ '96</v>
      </c>
      <c r="O1605" t="str">
        <f t="shared" si="133"/>
        <v/>
      </c>
      <c r="P1605" t="str">
        <f t="shared" si="133"/>
        <v/>
      </c>
      <c r="T1605" t="str">
        <f t="shared" si="136"/>
        <v/>
      </c>
      <c r="V1605" t="str">
        <f t="shared" si="132"/>
        <v>MVS</v>
      </c>
      <c r="W1605" t="str">
        <f t="shared" si="132"/>
        <v>MVS,AES</v>
      </c>
      <c r="AG1605" t="s">
        <v>6</v>
      </c>
      <c r="AH1605" t="s">
        <v>3674</v>
      </c>
      <c r="AI1605" t="s">
        <v>4</v>
      </c>
      <c r="AJ1605" t="s">
        <v>11</v>
      </c>
      <c r="AK1605" t="s">
        <v>3673</v>
      </c>
      <c r="AL1605" t="s">
        <v>3672</v>
      </c>
    </row>
    <row r="1606" spans="5:44" x14ac:dyDescent="0.25">
      <c r="I1606" t="str">
        <f t="shared" si="134"/>
        <v>kof96</v>
      </c>
      <c r="J1606" t="str">
        <f t="shared" si="135"/>
        <v/>
      </c>
      <c r="L1606" t="str">
        <f t="shared" si="133"/>
        <v>NGM-214</v>
      </c>
      <c r="M1606" t="str">
        <f t="shared" si="133"/>
        <v>19960730</v>
      </c>
      <c r="N1606" t="str">
        <f t="shared" si="133"/>
        <v>ザ・キング・オブ・ファイターズ '96</v>
      </c>
      <c r="O1606" t="str">
        <f t="shared" si="133"/>
        <v/>
      </c>
      <c r="P1606" t="str">
        <f t="shared" si="133"/>
        <v/>
      </c>
      <c r="T1606" t="str">
        <f t="shared" si="136"/>
        <v/>
      </c>
      <c r="V1606" t="str">
        <f t="shared" si="132"/>
        <v>MVS</v>
      </c>
      <c r="W1606" t="str">
        <f t="shared" si="132"/>
        <v>MVS,AES</v>
      </c>
      <c r="AG1606" t="s">
        <v>6</v>
      </c>
      <c r="AH1606" t="s">
        <v>3671</v>
      </c>
      <c r="AI1606" t="s">
        <v>57</v>
      </c>
      <c r="AJ1606" t="s">
        <v>11</v>
      </c>
      <c r="AK1606" t="s">
        <v>3670</v>
      </c>
      <c r="AL1606" t="s">
        <v>3669</v>
      </c>
    </row>
    <row r="1607" spans="5:44" x14ac:dyDescent="0.25">
      <c r="I1607" t="str">
        <f t="shared" si="134"/>
        <v>kof96</v>
      </c>
      <c r="J1607" t="str">
        <f t="shared" si="135"/>
        <v/>
      </c>
      <c r="L1607" t="str">
        <f t="shared" si="133"/>
        <v>NGM-214</v>
      </c>
      <c r="M1607" t="str">
        <f t="shared" si="133"/>
        <v>19960730</v>
      </c>
      <c r="N1607" t="str">
        <f t="shared" si="133"/>
        <v>ザ・キング・オブ・ファイターズ '96</v>
      </c>
      <c r="O1607" t="str">
        <f t="shared" si="133"/>
        <v/>
      </c>
      <c r="P1607" t="str">
        <f t="shared" si="133"/>
        <v/>
      </c>
      <c r="T1607" t="str">
        <f t="shared" si="136"/>
        <v/>
      </c>
      <c r="V1607" t="str">
        <f t="shared" si="132"/>
        <v>MVS</v>
      </c>
      <c r="W1607" t="str">
        <f t="shared" si="132"/>
        <v>MVS,AES</v>
      </c>
      <c r="AG1607" t="s">
        <v>6</v>
      </c>
      <c r="AH1607" t="s">
        <v>3668</v>
      </c>
      <c r="AI1607" t="s">
        <v>53</v>
      </c>
      <c r="AJ1607" t="s">
        <v>11</v>
      </c>
      <c r="AK1607" t="s">
        <v>3667</v>
      </c>
      <c r="AL1607" t="s">
        <v>3666</v>
      </c>
    </row>
    <row r="1608" spans="5:44" x14ac:dyDescent="0.25">
      <c r="I1608" t="str">
        <f t="shared" si="134"/>
        <v>kof96</v>
      </c>
      <c r="J1608" t="str">
        <f t="shared" si="135"/>
        <v/>
      </c>
      <c r="L1608" t="str">
        <f t="shared" si="133"/>
        <v>NGM-214</v>
      </c>
      <c r="M1608" t="str">
        <f t="shared" si="133"/>
        <v>19960730</v>
      </c>
      <c r="N1608" t="str">
        <f t="shared" si="133"/>
        <v>ザ・キング・オブ・ファイターズ '96</v>
      </c>
      <c r="O1608" t="str">
        <f t="shared" si="133"/>
        <v/>
      </c>
      <c r="P1608" t="str">
        <f t="shared" si="133"/>
        <v/>
      </c>
      <c r="T1608" t="str">
        <f t="shared" si="136"/>
        <v/>
      </c>
      <c r="V1608" t="str">
        <f t="shared" si="132"/>
        <v>MVS</v>
      </c>
      <c r="W1608" t="str">
        <f t="shared" si="132"/>
        <v>MVS,AES</v>
      </c>
      <c r="AG1608" t="s">
        <v>6</v>
      </c>
      <c r="AH1608" t="s">
        <v>3665</v>
      </c>
      <c r="AI1608" t="s">
        <v>65</v>
      </c>
      <c r="AJ1608" t="s">
        <v>11</v>
      </c>
      <c r="AK1608" t="s">
        <v>3664</v>
      </c>
      <c r="AL1608" t="s">
        <v>3663</v>
      </c>
    </row>
    <row r="1609" spans="5:44" x14ac:dyDescent="0.25">
      <c r="I1609" t="str">
        <f t="shared" si="134"/>
        <v>kof96</v>
      </c>
      <c r="J1609" t="str">
        <f t="shared" si="135"/>
        <v/>
      </c>
      <c r="L1609" t="str">
        <f t="shared" si="133"/>
        <v>NGM-214</v>
      </c>
      <c r="M1609" t="str">
        <f t="shared" si="133"/>
        <v>19960730</v>
      </c>
      <c r="N1609" t="str">
        <f t="shared" si="133"/>
        <v>ザ・キング・オブ・ファイターズ '96</v>
      </c>
      <c r="O1609" t="str">
        <f t="shared" si="133"/>
        <v/>
      </c>
      <c r="P1609" t="str">
        <f t="shared" si="133"/>
        <v/>
      </c>
      <c r="T1609" t="str">
        <f t="shared" si="136"/>
        <v/>
      </c>
      <c r="V1609" t="str">
        <f t="shared" si="132"/>
        <v>MVS</v>
      </c>
      <c r="W1609" t="str">
        <f t="shared" si="132"/>
        <v>MVS,AES</v>
      </c>
      <c r="AG1609" t="s">
        <v>6</v>
      </c>
      <c r="AH1609" t="s">
        <v>3662</v>
      </c>
      <c r="AI1609" t="s">
        <v>164</v>
      </c>
      <c r="AJ1609" t="s">
        <v>11</v>
      </c>
      <c r="AK1609" t="s">
        <v>3661</v>
      </c>
      <c r="AL1609" t="s">
        <v>3660</v>
      </c>
    </row>
    <row r="1610" spans="5:44" x14ac:dyDescent="0.25">
      <c r="I1610" t="str">
        <f t="shared" si="134"/>
        <v>kof96</v>
      </c>
      <c r="J1610" t="str">
        <f t="shared" si="135"/>
        <v/>
      </c>
      <c r="L1610" t="str">
        <f t="shared" si="133"/>
        <v>NGM-214</v>
      </c>
      <c r="M1610" t="str">
        <f t="shared" si="133"/>
        <v>19960730</v>
      </c>
      <c r="N1610" t="str">
        <f t="shared" si="133"/>
        <v>ザ・キング・オブ・ファイターズ '96</v>
      </c>
      <c r="O1610" t="str">
        <f t="shared" si="133"/>
        <v/>
      </c>
      <c r="P1610" t="str">
        <f t="shared" si="133"/>
        <v/>
      </c>
      <c r="T1610" t="str">
        <f t="shared" si="136"/>
        <v/>
      </c>
      <c r="V1610" t="str">
        <f t="shared" si="132"/>
        <v>MVS</v>
      </c>
      <c r="W1610" t="str">
        <f t="shared" si="132"/>
        <v>MVS,AES</v>
      </c>
      <c r="AG1610" t="s">
        <v>6</v>
      </c>
      <c r="AH1610" t="s">
        <v>3659</v>
      </c>
      <c r="AI1610" t="s">
        <v>634</v>
      </c>
      <c r="AJ1610" t="s">
        <v>11</v>
      </c>
      <c r="AK1610" t="s">
        <v>3658</v>
      </c>
      <c r="AL1610" t="s">
        <v>3657</v>
      </c>
    </row>
    <row r="1611" spans="5:44" x14ac:dyDescent="0.25">
      <c r="I1611" t="str">
        <f t="shared" si="134"/>
        <v>kof96</v>
      </c>
      <c r="J1611" t="str">
        <f t="shared" si="135"/>
        <v/>
      </c>
      <c r="L1611" t="str">
        <f t="shared" si="133"/>
        <v>NGM-214</v>
      </c>
      <c r="M1611" t="str">
        <f t="shared" si="133"/>
        <v>19960730</v>
      </c>
      <c r="N1611" t="str">
        <f t="shared" si="133"/>
        <v>ザ・キング・オブ・ファイターズ '96</v>
      </c>
      <c r="O1611" t="str">
        <f t="shared" si="133"/>
        <v/>
      </c>
      <c r="P1611" t="str">
        <f t="shared" si="133"/>
        <v/>
      </c>
      <c r="T1611" t="str">
        <f t="shared" si="136"/>
        <v/>
      </c>
      <c r="V1611" t="str">
        <f t="shared" si="132"/>
        <v>MVS</v>
      </c>
      <c r="W1611" t="str">
        <f t="shared" si="132"/>
        <v>MVS,AES</v>
      </c>
      <c r="AG1611" t="s">
        <v>6</v>
      </c>
      <c r="AH1611" t="s">
        <v>3656</v>
      </c>
      <c r="AI1611" t="s">
        <v>630</v>
      </c>
      <c r="AJ1611" t="s">
        <v>11</v>
      </c>
      <c r="AK1611" t="s">
        <v>3655</v>
      </c>
      <c r="AL1611" t="s">
        <v>3654</v>
      </c>
    </row>
    <row r="1612" spans="5:44" x14ac:dyDescent="0.25">
      <c r="E1612" t="s">
        <v>3704</v>
      </c>
      <c r="F1612" t="s">
        <v>3703</v>
      </c>
      <c r="G1612" t="s">
        <v>1280</v>
      </c>
      <c r="H1612" t="s">
        <v>1912</v>
      </c>
      <c r="I1612" t="str">
        <f t="shared" si="134"/>
        <v>kof96h</v>
      </c>
      <c r="J1612" t="str">
        <f t="shared" si="135"/>
        <v>kof96hserial</v>
      </c>
      <c r="K1612" t="s">
        <v>1373</v>
      </c>
      <c r="L1612" t="str">
        <f t="shared" si="133"/>
        <v>NGH-214</v>
      </c>
      <c r="M1612" t="str">
        <f t="shared" si="133"/>
        <v>19960927</v>
      </c>
      <c r="N1612" t="str">
        <f t="shared" si="133"/>
        <v>ザ・キング・オブ・ファイターズ '96</v>
      </c>
      <c r="O1612" t="str">
        <f t="shared" si="133"/>
        <v/>
      </c>
      <c r="P1612" t="str">
        <f t="shared" si="133"/>
        <v/>
      </c>
      <c r="Q1612" t="s">
        <v>3702</v>
      </c>
      <c r="S1612" t="s">
        <v>46</v>
      </c>
      <c r="T1612" t="str">
        <f t="shared" si="136"/>
        <v>kof96hrelease</v>
      </c>
      <c r="U1612" t="s">
        <v>35</v>
      </c>
      <c r="V1612" t="str">
        <f t="shared" si="132"/>
        <v>AES</v>
      </c>
      <c r="W1612" t="str">
        <f t="shared" si="132"/>
        <v>MVS,AES</v>
      </c>
      <c r="Y1612" t="s">
        <v>45</v>
      </c>
      <c r="Z1612" t="s">
        <v>44</v>
      </c>
      <c r="AB1612" t="s">
        <v>43</v>
      </c>
      <c r="AC1612" t="s">
        <v>42</v>
      </c>
      <c r="AD1612" t="s">
        <v>41</v>
      </c>
      <c r="AE1612" t="s">
        <v>377</v>
      </c>
      <c r="AG1612" t="s">
        <v>40</v>
      </c>
      <c r="AH1612" t="s">
        <v>3701</v>
      </c>
      <c r="AI1612" t="s">
        <v>9</v>
      </c>
      <c r="AJ1612" t="s">
        <v>15</v>
      </c>
      <c r="AK1612" t="s">
        <v>3700</v>
      </c>
      <c r="AL1612" t="s">
        <v>3699</v>
      </c>
      <c r="AR1612" t="s">
        <v>3698</v>
      </c>
    </row>
    <row r="1613" spans="5:44" x14ac:dyDescent="0.25">
      <c r="I1613" t="str">
        <f t="shared" si="134"/>
        <v>kof96h</v>
      </c>
      <c r="J1613" t="str">
        <f t="shared" si="135"/>
        <v>kof96hrelease</v>
      </c>
      <c r="K1613" t="s">
        <v>46</v>
      </c>
      <c r="L1613" t="str">
        <f t="shared" si="133"/>
        <v>NGH-214</v>
      </c>
      <c r="M1613" t="str">
        <f t="shared" si="133"/>
        <v>19960927</v>
      </c>
      <c r="N1613" t="str">
        <f t="shared" si="133"/>
        <v>ザ・キング・オブ・ファイターズ '96</v>
      </c>
      <c r="O1613" t="str">
        <f t="shared" si="133"/>
        <v/>
      </c>
      <c r="P1613" t="str">
        <f t="shared" si="133"/>
        <v/>
      </c>
      <c r="Q1613" t="s">
        <v>3697</v>
      </c>
      <c r="T1613" t="str">
        <f t="shared" si="136"/>
        <v/>
      </c>
      <c r="V1613" t="str">
        <f t="shared" si="132"/>
        <v>AES</v>
      </c>
      <c r="W1613" t="str">
        <f t="shared" si="132"/>
        <v>MVS,AES</v>
      </c>
      <c r="AG1613" t="s">
        <v>40</v>
      </c>
      <c r="AH1613" t="s">
        <v>3696</v>
      </c>
      <c r="AI1613" t="s">
        <v>15</v>
      </c>
      <c r="AJ1613" t="s">
        <v>3</v>
      </c>
      <c r="AK1613" t="s">
        <v>3695</v>
      </c>
      <c r="AL1613" t="s">
        <v>3694</v>
      </c>
    </row>
    <row r="1614" spans="5:44" x14ac:dyDescent="0.25">
      <c r="I1614" t="str">
        <f t="shared" si="134"/>
        <v>kof96h</v>
      </c>
      <c r="J1614" t="str">
        <f t="shared" si="135"/>
        <v>kof96halt_title</v>
      </c>
      <c r="K1614" t="s">
        <v>1218</v>
      </c>
      <c r="L1614" t="str">
        <f t="shared" si="133"/>
        <v>NGH-214</v>
      </c>
      <c r="M1614" t="str">
        <f t="shared" si="133"/>
        <v>19960927</v>
      </c>
      <c r="N1614" t="str">
        <f t="shared" si="133"/>
        <v>ザ・キング・オブ・ファイターズ '96</v>
      </c>
      <c r="O1614" t="str">
        <f t="shared" si="133"/>
        <v/>
      </c>
      <c r="P1614" t="str">
        <f t="shared" si="133"/>
        <v/>
      </c>
      <c r="Q1614" t="s">
        <v>3693</v>
      </c>
      <c r="T1614" t="str">
        <f t="shared" si="136"/>
        <v/>
      </c>
      <c r="V1614" t="str">
        <f t="shared" si="132"/>
        <v>AES</v>
      </c>
      <c r="W1614" t="str">
        <f t="shared" si="132"/>
        <v>MVS,AES</v>
      </c>
      <c r="AB1614" t="s">
        <v>34</v>
      </c>
      <c r="AE1614" t="s">
        <v>33</v>
      </c>
      <c r="AH1614" t="s">
        <v>3692</v>
      </c>
      <c r="AI1614" t="s">
        <v>9</v>
      </c>
      <c r="AJ1614" t="s">
        <v>27</v>
      </c>
      <c r="AK1614" t="s">
        <v>3691</v>
      </c>
      <c r="AL1614" t="s">
        <v>3690</v>
      </c>
    </row>
    <row r="1615" spans="5:44" x14ac:dyDescent="0.25">
      <c r="I1615" t="str">
        <f t="shared" si="134"/>
        <v>kof96h</v>
      </c>
      <c r="J1615" t="str">
        <f t="shared" si="135"/>
        <v/>
      </c>
      <c r="L1615" t="str">
        <f t="shared" si="133"/>
        <v>NGH-214</v>
      </c>
      <c r="M1615" t="str">
        <f t="shared" si="133"/>
        <v>19960927</v>
      </c>
      <c r="N1615" t="str">
        <f t="shared" si="133"/>
        <v>ザ・キング・オブ・ファイターズ '96</v>
      </c>
      <c r="O1615" t="str">
        <f t="shared" si="133"/>
        <v/>
      </c>
      <c r="P1615" t="str">
        <f t="shared" si="133"/>
        <v/>
      </c>
      <c r="S1615" t="s">
        <v>36</v>
      </c>
      <c r="T1615" t="str">
        <f t="shared" si="136"/>
        <v>kof96hcompatibility</v>
      </c>
      <c r="U1615" t="s">
        <v>218</v>
      </c>
      <c r="V1615" t="str">
        <f t="shared" si="132"/>
        <v>AES</v>
      </c>
      <c r="W1615" t="str">
        <f t="shared" si="132"/>
        <v>MVS,AES</v>
      </c>
      <c r="AB1615" t="s">
        <v>29</v>
      </c>
      <c r="AE1615" t="s">
        <v>27</v>
      </c>
      <c r="AH1615" t="s">
        <v>3689</v>
      </c>
      <c r="AI1615" t="s">
        <v>9</v>
      </c>
      <c r="AJ1615" t="s">
        <v>27</v>
      </c>
      <c r="AK1615" t="s">
        <v>3688</v>
      </c>
      <c r="AL1615" t="s">
        <v>3687</v>
      </c>
    </row>
    <row r="1616" spans="5:44" x14ac:dyDescent="0.25">
      <c r="I1616" t="str">
        <f t="shared" si="134"/>
        <v>kof96h</v>
      </c>
      <c r="J1616" t="str">
        <f t="shared" si="135"/>
        <v/>
      </c>
      <c r="L1616" t="str">
        <f t="shared" si="133"/>
        <v>NGH-214</v>
      </c>
      <c r="M1616" t="str">
        <f t="shared" si="133"/>
        <v>19960927</v>
      </c>
      <c r="N1616" t="str">
        <f t="shared" si="133"/>
        <v>ザ・キング・オブ・ファイターズ '96</v>
      </c>
      <c r="O1616" t="str">
        <f t="shared" si="133"/>
        <v/>
      </c>
      <c r="P1616" t="str">
        <f t="shared" si="133"/>
        <v/>
      </c>
      <c r="T1616" t="str">
        <f t="shared" si="136"/>
        <v/>
      </c>
      <c r="V1616" t="str">
        <f t="shared" si="132"/>
        <v>AES</v>
      </c>
      <c r="W1616" t="str">
        <f t="shared" si="132"/>
        <v>MVS,AES</v>
      </c>
      <c r="AB1616" t="s">
        <v>24</v>
      </c>
      <c r="AE1616" t="s">
        <v>1083</v>
      </c>
      <c r="AH1616" t="s">
        <v>3686</v>
      </c>
      <c r="AI1616" t="s">
        <v>9</v>
      </c>
      <c r="AJ1616" t="s">
        <v>11</v>
      </c>
      <c r="AK1616" t="s">
        <v>3685</v>
      </c>
      <c r="AL1616" t="s">
        <v>3684</v>
      </c>
    </row>
    <row r="1617" spans="5:38" x14ac:dyDescent="0.25">
      <c r="I1617" t="str">
        <f t="shared" si="134"/>
        <v>kof96h</v>
      </c>
      <c r="J1617" t="str">
        <f t="shared" si="135"/>
        <v/>
      </c>
      <c r="L1617" t="str">
        <f t="shared" si="133"/>
        <v>NGH-214</v>
      </c>
      <c r="M1617" t="str">
        <f t="shared" si="133"/>
        <v>19960927</v>
      </c>
      <c r="N1617" t="str">
        <f t="shared" si="133"/>
        <v>ザ・キング・オブ・ファイターズ '96</v>
      </c>
      <c r="O1617" t="str">
        <f t="shared" si="133"/>
        <v/>
      </c>
      <c r="P1617" t="str">
        <f t="shared" si="133"/>
        <v/>
      </c>
      <c r="T1617" t="str">
        <f t="shared" si="136"/>
        <v/>
      </c>
      <c r="V1617" t="str">
        <f t="shared" si="132"/>
        <v>AES</v>
      </c>
      <c r="W1617" t="str">
        <f t="shared" si="132"/>
        <v>MVS,AES</v>
      </c>
      <c r="AH1617" t="s">
        <v>3683</v>
      </c>
      <c r="AI1617" t="s">
        <v>11</v>
      </c>
      <c r="AJ1617" t="s">
        <v>11</v>
      </c>
      <c r="AK1617" t="s">
        <v>3682</v>
      </c>
      <c r="AL1617" t="s">
        <v>3681</v>
      </c>
    </row>
    <row r="1618" spans="5:38" x14ac:dyDescent="0.25">
      <c r="I1618" t="str">
        <f t="shared" si="134"/>
        <v>kof96h</v>
      </c>
      <c r="J1618" t="str">
        <f t="shared" si="135"/>
        <v/>
      </c>
      <c r="L1618" t="str">
        <f t="shared" si="133"/>
        <v>NGH-214</v>
      </c>
      <c r="M1618" t="str">
        <f t="shared" si="133"/>
        <v>19960927</v>
      </c>
      <c r="N1618" t="str">
        <f t="shared" si="133"/>
        <v>ザ・キング・オブ・ファイターズ '96</v>
      </c>
      <c r="O1618" t="str">
        <f t="shared" si="133"/>
        <v/>
      </c>
      <c r="P1618" t="str">
        <f t="shared" si="133"/>
        <v/>
      </c>
      <c r="T1618" t="str">
        <f t="shared" si="136"/>
        <v/>
      </c>
      <c r="V1618" t="str">
        <f t="shared" si="132"/>
        <v>AES</v>
      </c>
      <c r="W1618" t="str">
        <f t="shared" si="132"/>
        <v>MVS,AES</v>
      </c>
      <c r="AH1618" t="s">
        <v>3680</v>
      </c>
      <c r="AI1618" t="s">
        <v>57</v>
      </c>
      <c r="AJ1618" t="s">
        <v>3</v>
      </c>
      <c r="AK1618" t="s">
        <v>3679</v>
      </c>
      <c r="AL1618" t="s">
        <v>3678</v>
      </c>
    </row>
    <row r="1619" spans="5:38" x14ac:dyDescent="0.25">
      <c r="I1619" t="str">
        <f t="shared" si="134"/>
        <v>kof96h</v>
      </c>
      <c r="J1619" t="str">
        <f t="shared" si="135"/>
        <v/>
      </c>
      <c r="L1619" t="str">
        <f t="shared" si="133"/>
        <v>NGH-214</v>
      </c>
      <c r="M1619" t="str">
        <f t="shared" si="133"/>
        <v>19960927</v>
      </c>
      <c r="N1619" t="str">
        <f t="shared" si="133"/>
        <v>ザ・キング・オブ・ファイターズ '96</v>
      </c>
      <c r="O1619" t="str">
        <f t="shared" si="133"/>
        <v/>
      </c>
      <c r="P1619" t="str">
        <f t="shared" si="133"/>
        <v/>
      </c>
      <c r="T1619" t="str">
        <f t="shared" si="136"/>
        <v/>
      </c>
      <c r="V1619" t="str">
        <f t="shared" si="132"/>
        <v>AES</v>
      </c>
      <c r="W1619" t="str">
        <f t="shared" si="132"/>
        <v>MVS,AES</v>
      </c>
      <c r="AB1619" t="s">
        <v>12</v>
      </c>
      <c r="AE1619" t="s">
        <v>160</v>
      </c>
      <c r="AG1619" t="s">
        <v>6</v>
      </c>
      <c r="AH1619" t="s">
        <v>3677</v>
      </c>
      <c r="AI1619" t="s">
        <v>9</v>
      </c>
      <c r="AJ1619" t="s">
        <v>11</v>
      </c>
      <c r="AK1619" t="s">
        <v>3676</v>
      </c>
      <c r="AL1619" t="s">
        <v>3675</v>
      </c>
    </row>
    <row r="1620" spans="5:38" x14ac:dyDescent="0.25">
      <c r="I1620" t="str">
        <f t="shared" si="134"/>
        <v>kof96h</v>
      </c>
      <c r="J1620" t="str">
        <f t="shared" si="135"/>
        <v/>
      </c>
      <c r="L1620" t="str">
        <f t="shared" si="133"/>
        <v>NGH-214</v>
      </c>
      <c r="M1620" t="str">
        <f t="shared" si="133"/>
        <v>19960927</v>
      </c>
      <c r="N1620" t="str">
        <f t="shared" si="133"/>
        <v>ザ・キング・オブ・ファイターズ '96</v>
      </c>
      <c r="O1620" t="str">
        <f t="shared" si="133"/>
        <v/>
      </c>
      <c r="P1620" t="str">
        <f t="shared" si="133"/>
        <v/>
      </c>
      <c r="T1620" t="str">
        <f t="shared" si="136"/>
        <v/>
      </c>
      <c r="V1620" t="str">
        <f t="shared" si="132"/>
        <v>AES</v>
      </c>
      <c r="W1620" t="str">
        <f t="shared" si="132"/>
        <v>MVS,AES</v>
      </c>
      <c r="AG1620" t="s">
        <v>6</v>
      </c>
      <c r="AH1620" t="s">
        <v>3674</v>
      </c>
      <c r="AI1620" t="s">
        <v>4</v>
      </c>
      <c r="AJ1620" t="s">
        <v>11</v>
      </c>
      <c r="AK1620" t="s">
        <v>3673</v>
      </c>
      <c r="AL1620" t="s">
        <v>3672</v>
      </c>
    </row>
    <row r="1621" spans="5:38" x14ac:dyDescent="0.25">
      <c r="I1621" t="str">
        <f t="shared" si="134"/>
        <v>kof96h</v>
      </c>
      <c r="J1621" t="str">
        <f t="shared" si="135"/>
        <v/>
      </c>
      <c r="L1621" t="str">
        <f t="shared" si="133"/>
        <v>NGH-214</v>
      </c>
      <c r="M1621" t="str">
        <f t="shared" si="133"/>
        <v>19960927</v>
      </c>
      <c r="N1621" t="str">
        <f t="shared" si="133"/>
        <v>ザ・キング・オブ・ファイターズ '96</v>
      </c>
      <c r="O1621" t="str">
        <f t="shared" si="133"/>
        <v/>
      </c>
      <c r="P1621" t="str">
        <f t="shared" si="133"/>
        <v/>
      </c>
      <c r="T1621" t="str">
        <f t="shared" si="136"/>
        <v/>
      </c>
      <c r="V1621" t="str">
        <f t="shared" si="132"/>
        <v>AES</v>
      </c>
      <c r="W1621" t="str">
        <f t="shared" si="132"/>
        <v>MVS,AES</v>
      </c>
      <c r="AG1621" t="s">
        <v>6</v>
      </c>
      <c r="AH1621" t="s">
        <v>3671</v>
      </c>
      <c r="AI1621" t="s">
        <v>57</v>
      </c>
      <c r="AJ1621" t="s">
        <v>11</v>
      </c>
      <c r="AK1621" t="s">
        <v>3670</v>
      </c>
      <c r="AL1621" t="s">
        <v>3669</v>
      </c>
    </row>
    <row r="1622" spans="5:38" x14ac:dyDescent="0.25">
      <c r="I1622" t="str">
        <f t="shared" si="134"/>
        <v>kof96h</v>
      </c>
      <c r="J1622" t="str">
        <f t="shared" si="135"/>
        <v/>
      </c>
      <c r="L1622" t="str">
        <f t="shared" si="133"/>
        <v>NGH-214</v>
      </c>
      <c r="M1622" t="str">
        <f t="shared" si="133"/>
        <v>19960927</v>
      </c>
      <c r="N1622" t="str">
        <f t="shared" si="133"/>
        <v>ザ・キング・オブ・ファイターズ '96</v>
      </c>
      <c r="O1622" t="str">
        <f t="shared" si="133"/>
        <v/>
      </c>
      <c r="P1622" t="str">
        <f t="shared" si="133"/>
        <v/>
      </c>
      <c r="T1622" t="str">
        <f t="shared" si="136"/>
        <v/>
      </c>
      <c r="V1622" t="str">
        <f t="shared" si="132"/>
        <v>AES</v>
      </c>
      <c r="W1622" t="str">
        <f t="shared" si="132"/>
        <v>MVS,AES</v>
      </c>
      <c r="AG1622" t="s">
        <v>6</v>
      </c>
      <c r="AH1622" t="s">
        <v>3668</v>
      </c>
      <c r="AI1622" t="s">
        <v>53</v>
      </c>
      <c r="AJ1622" t="s">
        <v>11</v>
      </c>
      <c r="AK1622" t="s">
        <v>3667</v>
      </c>
      <c r="AL1622" t="s">
        <v>3666</v>
      </c>
    </row>
    <row r="1623" spans="5:38" x14ac:dyDescent="0.25">
      <c r="I1623" t="str">
        <f t="shared" si="134"/>
        <v>kof96h</v>
      </c>
      <c r="J1623" t="str">
        <f t="shared" si="135"/>
        <v/>
      </c>
      <c r="L1623" t="str">
        <f t="shared" si="133"/>
        <v>NGH-214</v>
      </c>
      <c r="M1623" t="str">
        <f t="shared" si="133"/>
        <v>19960927</v>
      </c>
      <c r="N1623" t="str">
        <f t="shared" si="133"/>
        <v>ザ・キング・オブ・ファイターズ '96</v>
      </c>
      <c r="O1623" t="str">
        <f t="shared" si="133"/>
        <v/>
      </c>
      <c r="P1623" t="str">
        <f t="shared" si="133"/>
        <v/>
      </c>
      <c r="T1623" t="str">
        <f t="shared" si="136"/>
        <v/>
      </c>
      <c r="V1623" t="str">
        <f t="shared" ref="V1623:W1686" si="137">IFERROR(VLOOKUP($I1623&amp;V$1,$T:$AA,2,0),"")</f>
        <v>AES</v>
      </c>
      <c r="W1623" t="str">
        <f t="shared" si="137"/>
        <v>MVS,AES</v>
      </c>
      <c r="AG1623" t="s">
        <v>6</v>
      </c>
      <c r="AH1623" t="s">
        <v>3665</v>
      </c>
      <c r="AI1623" t="s">
        <v>65</v>
      </c>
      <c r="AJ1623" t="s">
        <v>11</v>
      </c>
      <c r="AK1623" t="s">
        <v>3664</v>
      </c>
      <c r="AL1623" t="s">
        <v>3663</v>
      </c>
    </row>
    <row r="1624" spans="5:38" x14ac:dyDescent="0.25">
      <c r="I1624" t="str">
        <f t="shared" si="134"/>
        <v>kof96h</v>
      </c>
      <c r="J1624" t="str">
        <f t="shared" si="135"/>
        <v/>
      </c>
      <c r="L1624" t="str">
        <f t="shared" si="133"/>
        <v>NGH-214</v>
      </c>
      <c r="M1624" t="str">
        <f t="shared" si="133"/>
        <v>19960927</v>
      </c>
      <c r="N1624" t="str">
        <f t="shared" si="133"/>
        <v>ザ・キング・オブ・ファイターズ '96</v>
      </c>
      <c r="O1624" t="str">
        <f t="shared" si="133"/>
        <v/>
      </c>
      <c r="P1624" t="str">
        <f t="shared" si="133"/>
        <v/>
      </c>
      <c r="T1624" t="str">
        <f t="shared" si="136"/>
        <v/>
      </c>
      <c r="V1624" t="str">
        <f t="shared" si="137"/>
        <v>AES</v>
      </c>
      <c r="W1624" t="str">
        <f t="shared" si="137"/>
        <v>MVS,AES</v>
      </c>
      <c r="AG1624" t="s">
        <v>6</v>
      </c>
      <c r="AH1624" t="s">
        <v>3662</v>
      </c>
      <c r="AI1624" t="s">
        <v>164</v>
      </c>
      <c r="AJ1624" t="s">
        <v>11</v>
      </c>
      <c r="AK1624" t="s">
        <v>3661</v>
      </c>
      <c r="AL1624" t="s">
        <v>3660</v>
      </c>
    </row>
    <row r="1625" spans="5:38" x14ac:dyDescent="0.25">
      <c r="I1625" t="str">
        <f t="shared" si="134"/>
        <v>kof96h</v>
      </c>
      <c r="J1625" t="str">
        <f t="shared" si="135"/>
        <v/>
      </c>
      <c r="L1625" t="str">
        <f t="shared" si="133"/>
        <v>NGH-214</v>
      </c>
      <c r="M1625" t="str">
        <f t="shared" si="133"/>
        <v>19960927</v>
      </c>
      <c r="N1625" t="str">
        <f t="shared" si="133"/>
        <v>ザ・キング・オブ・ファイターズ '96</v>
      </c>
      <c r="O1625" t="str">
        <f t="shared" si="133"/>
        <v/>
      </c>
      <c r="P1625" t="str">
        <f t="shared" si="133"/>
        <v/>
      </c>
      <c r="T1625" t="str">
        <f t="shared" si="136"/>
        <v/>
      </c>
      <c r="V1625" t="str">
        <f t="shared" si="137"/>
        <v>AES</v>
      </c>
      <c r="W1625" t="str">
        <f t="shared" si="137"/>
        <v>MVS,AES</v>
      </c>
      <c r="AG1625" t="s">
        <v>6</v>
      </c>
      <c r="AH1625" t="s">
        <v>3659</v>
      </c>
      <c r="AI1625" t="s">
        <v>634</v>
      </c>
      <c r="AJ1625" t="s">
        <v>11</v>
      </c>
      <c r="AK1625" t="s">
        <v>3658</v>
      </c>
      <c r="AL1625" t="s">
        <v>3657</v>
      </c>
    </row>
    <row r="1626" spans="5:38" x14ac:dyDescent="0.25">
      <c r="I1626" t="str">
        <f t="shared" si="134"/>
        <v>kof96h</v>
      </c>
      <c r="J1626" t="str">
        <f t="shared" si="135"/>
        <v/>
      </c>
      <c r="L1626" t="str">
        <f t="shared" si="133"/>
        <v>NGH-214</v>
      </c>
      <c r="M1626" t="str">
        <f t="shared" si="133"/>
        <v>19960927</v>
      </c>
      <c r="N1626" t="str">
        <f t="shared" si="133"/>
        <v>ザ・キング・オブ・ファイターズ '96</v>
      </c>
      <c r="O1626" t="str">
        <f t="shared" si="133"/>
        <v/>
      </c>
      <c r="P1626" t="str">
        <f t="shared" si="133"/>
        <v/>
      </c>
      <c r="T1626" t="str">
        <f t="shared" si="136"/>
        <v/>
      </c>
      <c r="V1626" t="str">
        <f t="shared" si="137"/>
        <v>AES</v>
      </c>
      <c r="W1626" t="str">
        <f t="shared" si="137"/>
        <v>MVS,AES</v>
      </c>
      <c r="AG1626" t="s">
        <v>6</v>
      </c>
      <c r="AH1626" t="s">
        <v>3656</v>
      </c>
      <c r="AI1626" t="s">
        <v>630</v>
      </c>
      <c r="AJ1626" t="s">
        <v>11</v>
      </c>
      <c r="AK1626" t="s">
        <v>3655</v>
      </c>
      <c r="AL1626" t="s">
        <v>3654</v>
      </c>
    </row>
    <row r="1627" spans="5:38" x14ac:dyDescent="0.25">
      <c r="E1627" t="s">
        <v>3653</v>
      </c>
      <c r="F1627" t="s">
        <v>3652</v>
      </c>
      <c r="G1627" t="s">
        <v>1280</v>
      </c>
      <c r="H1627" t="s">
        <v>1912</v>
      </c>
      <c r="I1627" t="str">
        <f t="shared" si="134"/>
        <v>ssideki4</v>
      </c>
      <c r="J1627" t="str">
        <f t="shared" si="135"/>
        <v>ssideki4serial</v>
      </c>
      <c r="K1627" t="s">
        <v>1373</v>
      </c>
      <c r="L1627" t="str">
        <f t="shared" si="133"/>
        <v>NGM-215 (MVS), NGH-215 (AES)</v>
      </c>
      <c r="M1627" t="str">
        <f t="shared" si="133"/>
        <v>19961016 (MVS), 19961220 (AES)</v>
      </c>
      <c r="N1627" t="str">
        <f t="shared" si="133"/>
        <v>得点王 ～炎のリベロ～</v>
      </c>
      <c r="O1627" t="str">
        <f t="shared" si="133"/>
        <v/>
      </c>
      <c r="P1627" t="str">
        <f t="shared" si="133"/>
        <v/>
      </c>
      <c r="Q1627" t="s">
        <v>3651</v>
      </c>
      <c r="S1627" t="s">
        <v>46</v>
      </c>
      <c r="T1627" t="str">
        <f t="shared" si="136"/>
        <v>ssideki4release</v>
      </c>
      <c r="U1627" t="s">
        <v>218</v>
      </c>
      <c r="V1627" t="str">
        <f t="shared" si="137"/>
        <v>MVS,AES</v>
      </c>
      <c r="W1627" t="str">
        <f t="shared" si="137"/>
        <v>MVS,AES</v>
      </c>
      <c r="Y1627" t="s">
        <v>45</v>
      </c>
      <c r="Z1627" t="s">
        <v>44</v>
      </c>
      <c r="AB1627" t="s">
        <v>43</v>
      </c>
      <c r="AC1627" t="s">
        <v>42</v>
      </c>
      <c r="AD1627" t="s">
        <v>41</v>
      </c>
      <c r="AE1627" t="s">
        <v>3</v>
      </c>
      <c r="AG1627" t="s">
        <v>40</v>
      </c>
      <c r="AH1627" t="s">
        <v>3650</v>
      </c>
      <c r="AI1627" t="s">
        <v>15</v>
      </c>
      <c r="AJ1627" t="s">
        <v>15</v>
      </c>
      <c r="AK1627" t="s">
        <v>3649</v>
      </c>
      <c r="AL1627" t="s">
        <v>3648</v>
      </c>
    </row>
    <row r="1628" spans="5:38" x14ac:dyDescent="0.25">
      <c r="I1628" t="str">
        <f t="shared" si="134"/>
        <v>ssideki4</v>
      </c>
      <c r="J1628" t="str">
        <f t="shared" si="135"/>
        <v>ssideki4release</v>
      </c>
      <c r="K1628" t="s">
        <v>46</v>
      </c>
      <c r="L1628" t="str">
        <f t="shared" si="133"/>
        <v>NGM-215 (MVS), NGH-215 (AES)</v>
      </c>
      <c r="M1628" t="str">
        <f t="shared" si="133"/>
        <v>19961016 (MVS), 19961220 (AES)</v>
      </c>
      <c r="N1628" t="str">
        <f t="shared" si="133"/>
        <v>得点王 ～炎のリベロ～</v>
      </c>
      <c r="O1628" t="str">
        <f t="shared" si="133"/>
        <v/>
      </c>
      <c r="P1628" t="str">
        <f t="shared" si="133"/>
        <v/>
      </c>
      <c r="Q1628" t="s">
        <v>3647</v>
      </c>
      <c r="T1628" t="str">
        <f t="shared" si="136"/>
        <v/>
      </c>
      <c r="V1628" t="str">
        <f t="shared" si="137"/>
        <v>MVS,AES</v>
      </c>
      <c r="W1628" t="str">
        <f t="shared" si="137"/>
        <v>MVS,AES</v>
      </c>
      <c r="AG1628" t="s">
        <v>224</v>
      </c>
      <c r="AI1628" t="s">
        <v>9</v>
      </c>
      <c r="AJ1628" t="s">
        <v>15</v>
      </c>
    </row>
    <row r="1629" spans="5:38" x14ac:dyDescent="0.25">
      <c r="I1629" t="str">
        <f t="shared" si="134"/>
        <v>ssideki4</v>
      </c>
      <c r="J1629" t="str">
        <f t="shared" si="135"/>
        <v>ssideki4alt_title</v>
      </c>
      <c r="K1629" t="s">
        <v>1218</v>
      </c>
      <c r="L1629" t="str">
        <f t="shared" si="133"/>
        <v>NGM-215 (MVS), NGH-215 (AES)</v>
      </c>
      <c r="M1629" t="str">
        <f t="shared" si="133"/>
        <v>19961016 (MVS), 19961220 (AES)</v>
      </c>
      <c r="N1629" t="str">
        <f t="shared" si="133"/>
        <v>得点王 ～炎のリベロ～</v>
      </c>
      <c r="O1629" t="str">
        <f t="shared" si="133"/>
        <v/>
      </c>
      <c r="P1629" t="str">
        <f t="shared" si="133"/>
        <v/>
      </c>
      <c r="Q1629" t="s">
        <v>3646</v>
      </c>
      <c r="T1629" t="str">
        <f t="shared" si="136"/>
        <v/>
      </c>
      <c r="V1629" t="str">
        <f t="shared" si="137"/>
        <v>MVS,AES</v>
      </c>
      <c r="W1629" t="str">
        <f t="shared" si="137"/>
        <v>MVS,AES</v>
      </c>
      <c r="AB1629" t="s">
        <v>34</v>
      </c>
      <c r="AE1629" t="s">
        <v>33</v>
      </c>
      <c r="AH1629" t="s">
        <v>3645</v>
      </c>
      <c r="AI1629" t="s">
        <v>9</v>
      </c>
      <c r="AJ1629" t="s">
        <v>27</v>
      </c>
      <c r="AK1629" t="s">
        <v>3644</v>
      </c>
      <c r="AL1629" t="s">
        <v>3643</v>
      </c>
    </row>
    <row r="1630" spans="5:38" x14ac:dyDescent="0.25">
      <c r="I1630" t="str">
        <f t="shared" si="134"/>
        <v>ssideki4</v>
      </c>
      <c r="J1630" t="str">
        <f t="shared" si="135"/>
        <v/>
      </c>
      <c r="L1630" t="str">
        <f t="shared" si="133"/>
        <v>NGM-215 (MVS), NGH-215 (AES)</v>
      </c>
      <c r="M1630" t="str">
        <f t="shared" si="133"/>
        <v>19961016 (MVS), 19961220 (AES)</v>
      </c>
      <c r="N1630" t="str">
        <f t="shared" si="133"/>
        <v>得点王 ～炎のリベロ～</v>
      </c>
      <c r="O1630" t="str">
        <f t="shared" si="133"/>
        <v/>
      </c>
      <c r="P1630" t="str">
        <f t="shared" si="133"/>
        <v/>
      </c>
      <c r="S1630" t="s">
        <v>36</v>
      </c>
      <c r="T1630" t="str">
        <f t="shared" si="136"/>
        <v>ssideki4compatibility</v>
      </c>
      <c r="U1630" t="s">
        <v>218</v>
      </c>
      <c r="V1630" t="str">
        <f t="shared" si="137"/>
        <v>MVS,AES</v>
      </c>
      <c r="W1630" t="str">
        <f t="shared" si="137"/>
        <v>MVS,AES</v>
      </c>
      <c r="AB1630" t="s">
        <v>29</v>
      </c>
      <c r="AE1630" t="s">
        <v>27</v>
      </c>
      <c r="AH1630" t="s">
        <v>3642</v>
      </c>
      <c r="AI1630" t="s">
        <v>9</v>
      </c>
      <c r="AJ1630" t="s">
        <v>27</v>
      </c>
      <c r="AK1630" t="s">
        <v>3641</v>
      </c>
      <c r="AL1630" t="s">
        <v>3640</v>
      </c>
    </row>
    <row r="1631" spans="5:38" x14ac:dyDescent="0.25">
      <c r="I1631" t="str">
        <f t="shared" si="134"/>
        <v>ssideki4</v>
      </c>
      <c r="J1631" t="str">
        <f t="shared" si="135"/>
        <v/>
      </c>
      <c r="L1631" t="str">
        <f t="shared" si="133"/>
        <v>NGM-215 (MVS), NGH-215 (AES)</v>
      </c>
      <c r="M1631" t="str">
        <f t="shared" si="133"/>
        <v>19961016 (MVS), 19961220 (AES)</v>
      </c>
      <c r="N1631" t="str">
        <f t="shared" si="133"/>
        <v>得点王 ～炎のリベロ～</v>
      </c>
      <c r="O1631" t="str">
        <f t="shared" si="133"/>
        <v/>
      </c>
      <c r="P1631" t="str">
        <f t="shared" si="133"/>
        <v/>
      </c>
      <c r="T1631" t="str">
        <f t="shared" si="136"/>
        <v/>
      </c>
      <c r="V1631" t="str">
        <f t="shared" si="137"/>
        <v>MVS,AES</v>
      </c>
      <c r="W1631" t="str">
        <f t="shared" si="137"/>
        <v>MVS,AES</v>
      </c>
      <c r="AB1631" t="s">
        <v>24</v>
      </c>
      <c r="AE1631" t="s">
        <v>75</v>
      </c>
      <c r="AH1631" t="s">
        <v>3639</v>
      </c>
      <c r="AI1631" t="s">
        <v>9</v>
      </c>
      <c r="AJ1631" t="s">
        <v>11</v>
      </c>
      <c r="AK1631" t="s">
        <v>3638</v>
      </c>
      <c r="AL1631" t="s">
        <v>3637</v>
      </c>
    </row>
    <row r="1632" spans="5:38" x14ac:dyDescent="0.25">
      <c r="I1632" t="str">
        <f t="shared" si="134"/>
        <v>ssideki4</v>
      </c>
      <c r="J1632" t="str">
        <f t="shared" si="135"/>
        <v/>
      </c>
      <c r="L1632" t="str">
        <f t="shared" si="133"/>
        <v>NGM-215 (MVS), NGH-215 (AES)</v>
      </c>
      <c r="M1632" t="str">
        <f t="shared" si="133"/>
        <v>19961016 (MVS), 19961220 (AES)</v>
      </c>
      <c r="N1632" t="str">
        <f t="shared" si="133"/>
        <v>得点王 ～炎のリベロ～</v>
      </c>
      <c r="O1632" t="str">
        <f t="shared" si="133"/>
        <v/>
      </c>
      <c r="P1632" t="str">
        <f t="shared" si="133"/>
        <v/>
      </c>
      <c r="T1632" t="str">
        <f t="shared" si="136"/>
        <v/>
      </c>
      <c r="V1632" t="str">
        <f t="shared" si="137"/>
        <v>MVS,AES</v>
      </c>
      <c r="W1632" t="str">
        <f t="shared" si="137"/>
        <v>MVS,AES</v>
      </c>
      <c r="AH1632" t="s">
        <v>3636</v>
      </c>
      <c r="AI1632" t="s">
        <v>11</v>
      </c>
      <c r="AJ1632" t="s">
        <v>3</v>
      </c>
      <c r="AK1632" t="s">
        <v>3635</v>
      </c>
      <c r="AL1632" t="s">
        <v>3634</v>
      </c>
    </row>
    <row r="1633" spans="5:38" x14ac:dyDescent="0.25">
      <c r="I1633" t="str">
        <f t="shared" si="134"/>
        <v>ssideki4</v>
      </c>
      <c r="J1633" t="str">
        <f t="shared" si="135"/>
        <v/>
      </c>
      <c r="L1633" t="str">
        <f t="shared" si="133"/>
        <v>NGM-215 (MVS), NGH-215 (AES)</v>
      </c>
      <c r="M1633" t="str">
        <f t="shared" si="133"/>
        <v>19961016 (MVS), 19961220 (AES)</v>
      </c>
      <c r="N1633" t="str">
        <f t="shared" si="133"/>
        <v>得点王 ～炎のリベロ～</v>
      </c>
      <c r="O1633" t="str">
        <f t="shared" si="133"/>
        <v/>
      </c>
      <c r="P1633" t="str">
        <f t="shared" si="133"/>
        <v/>
      </c>
      <c r="T1633" t="str">
        <f t="shared" si="136"/>
        <v/>
      </c>
      <c r="V1633" t="str">
        <f t="shared" si="137"/>
        <v>MVS,AES</v>
      </c>
      <c r="W1633" t="str">
        <f t="shared" si="137"/>
        <v>MVS,AES</v>
      </c>
      <c r="AB1633" t="s">
        <v>12</v>
      </c>
      <c r="AE1633" t="s">
        <v>3633</v>
      </c>
      <c r="AG1633" t="s">
        <v>6</v>
      </c>
      <c r="AH1633" t="s">
        <v>3632</v>
      </c>
      <c r="AI1633" t="s">
        <v>9</v>
      </c>
      <c r="AJ1633" t="s">
        <v>11</v>
      </c>
      <c r="AK1633" t="s">
        <v>3631</v>
      </c>
      <c r="AL1633" t="s">
        <v>3630</v>
      </c>
    </row>
    <row r="1634" spans="5:38" x14ac:dyDescent="0.25">
      <c r="I1634" t="str">
        <f t="shared" si="134"/>
        <v>ssideki4</v>
      </c>
      <c r="J1634" t="str">
        <f t="shared" si="135"/>
        <v/>
      </c>
      <c r="L1634" t="str">
        <f t="shared" si="133"/>
        <v>NGM-215 (MVS), NGH-215 (AES)</v>
      </c>
      <c r="M1634" t="str">
        <f t="shared" si="133"/>
        <v>19961016 (MVS), 19961220 (AES)</v>
      </c>
      <c r="N1634" t="str">
        <f t="shared" si="133"/>
        <v>得点王 ～炎のリベロ～</v>
      </c>
      <c r="O1634" t="str">
        <f t="shared" si="133"/>
        <v/>
      </c>
      <c r="P1634" t="str">
        <f t="shared" si="133"/>
        <v/>
      </c>
      <c r="T1634" t="str">
        <f t="shared" si="136"/>
        <v/>
      </c>
      <c r="V1634" t="str">
        <f t="shared" si="137"/>
        <v>MVS,AES</v>
      </c>
      <c r="W1634" t="str">
        <f t="shared" si="137"/>
        <v>MVS,AES</v>
      </c>
      <c r="AG1634" t="s">
        <v>6</v>
      </c>
      <c r="AH1634" t="s">
        <v>3629</v>
      </c>
      <c r="AI1634" t="s">
        <v>4</v>
      </c>
      <c r="AJ1634" t="s">
        <v>11</v>
      </c>
      <c r="AK1634" t="s">
        <v>3628</v>
      </c>
      <c r="AL1634" t="s">
        <v>3627</v>
      </c>
    </row>
    <row r="1635" spans="5:38" x14ac:dyDescent="0.25">
      <c r="I1635" t="str">
        <f t="shared" si="134"/>
        <v>ssideki4</v>
      </c>
      <c r="J1635" t="str">
        <f t="shared" si="135"/>
        <v/>
      </c>
      <c r="L1635" t="str">
        <f t="shared" si="133"/>
        <v>NGM-215 (MVS), NGH-215 (AES)</v>
      </c>
      <c r="M1635" t="str">
        <f t="shared" si="133"/>
        <v>19961016 (MVS), 19961220 (AES)</v>
      </c>
      <c r="N1635" t="str">
        <f t="shared" si="133"/>
        <v>得点王 ～炎のリベロ～</v>
      </c>
      <c r="O1635" t="str">
        <f t="shared" si="133"/>
        <v/>
      </c>
      <c r="P1635" t="str">
        <f t="shared" si="133"/>
        <v/>
      </c>
      <c r="T1635" t="str">
        <f t="shared" si="136"/>
        <v/>
      </c>
      <c r="V1635" t="str">
        <f t="shared" si="137"/>
        <v>MVS,AES</v>
      </c>
      <c r="W1635" t="str">
        <f t="shared" si="137"/>
        <v>MVS,AES</v>
      </c>
      <c r="AG1635" t="s">
        <v>6</v>
      </c>
      <c r="AH1635" t="s">
        <v>3626</v>
      </c>
      <c r="AI1635" t="s">
        <v>57</v>
      </c>
      <c r="AJ1635" t="s">
        <v>11</v>
      </c>
      <c r="AK1635" t="s">
        <v>3625</v>
      </c>
      <c r="AL1635" t="s">
        <v>3624</v>
      </c>
    </row>
    <row r="1636" spans="5:38" x14ac:dyDescent="0.25">
      <c r="I1636" t="str">
        <f t="shared" si="134"/>
        <v>ssideki4</v>
      </c>
      <c r="J1636" t="str">
        <f t="shared" si="135"/>
        <v/>
      </c>
      <c r="L1636" t="str">
        <f t="shared" si="133"/>
        <v>NGM-215 (MVS), NGH-215 (AES)</v>
      </c>
      <c r="M1636" t="str">
        <f t="shared" si="133"/>
        <v>19961016 (MVS), 19961220 (AES)</v>
      </c>
      <c r="N1636" t="str">
        <f t="shared" si="133"/>
        <v>得点王 ～炎のリベロ～</v>
      </c>
      <c r="O1636" t="str">
        <f t="shared" si="133"/>
        <v/>
      </c>
      <c r="P1636" t="str">
        <f t="shared" si="133"/>
        <v/>
      </c>
      <c r="T1636" t="str">
        <f t="shared" si="136"/>
        <v/>
      </c>
      <c r="V1636" t="str">
        <f t="shared" si="137"/>
        <v>MVS,AES</v>
      </c>
      <c r="W1636" t="str">
        <f t="shared" si="137"/>
        <v>MVS,AES</v>
      </c>
      <c r="AG1636" t="s">
        <v>6</v>
      </c>
      <c r="AH1636" t="s">
        <v>3623</v>
      </c>
      <c r="AI1636" t="s">
        <v>53</v>
      </c>
      <c r="AJ1636" t="s">
        <v>11</v>
      </c>
      <c r="AK1636" t="s">
        <v>3622</v>
      </c>
      <c r="AL1636" t="s">
        <v>3621</v>
      </c>
    </row>
    <row r="1637" spans="5:38" x14ac:dyDescent="0.25">
      <c r="I1637" t="str">
        <f t="shared" si="134"/>
        <v>ssideki4</v>
      </c>
      <c r="J1637" t="str">
        <f t="shared" si="135"/>
        <v/>
      </c>
      <c r="L1637" t="str">
        <f t="shared" si="133"/>
        <v>NGM-215 (MVS), NGH-215 (AES)</v>
      </c>
      <c r="M1637" t="str">
        <f t="shared" si="133"/>
        <v>19961016 (MVS), 19961220 (AES)</v>
      </c>
      <c r="N1637" t="str">
        <f t="shared" si="133"/>
        <v>得点王 ～炎のリベロ～</v>
      </c>
      <c r="O1637" t="str">
        <f t="shared" si="133"/>
        <v/>
      </c>
      <c r="P1637" t="str">
        <f t="shared" si="133"/>
        <v/>
      </c>
      <c r="T1637" t="str">
        <f t="shared" si="136"/>
        <v/>
      </c>
      <c r="V1637" t="str">
        <f t="shared" si="137"/>
        <v>MVS,AES</v>
      </c>
      <c r="W1637" t="str">
        <f t="shared" si="137"/>
        <v>MVS,AES</v>
      </c>
      <c r="AG1637" t="s">
        <v>6</v>
      </c>
      <c r="AH1637" t="s">
        <v>3620</v>
      </c>
      <c r="AI1637" t="s">
        <v>65</v>
      </c>
      <c r="AJ1637" t="s">
        <v>3</v>
      </c>
      <c r="AK1637" t="s">
        <v>3619</v>
      </c>
      <c r="AL1637" t="s">
        <v>3618</v>
      </c>
    </row>
    <row r="1638" spans="5:38" x14ac:dyDescent="0.25">
      <c r="I1638" t="str">
        <f t="shared" si="134"/>
        <v>ssideki4</v>
      </c>
      <c r="J1638" t="str">
        <f t="shared" si="135"/>
        <v/>
      </c>
      <c r="L1638" t="str">
        <f t="shared" si="133"/>
        <v>NGM-215 (MVS), NGH-215 (AES)</v>
      </c>
      <c r="M1638" t="str">
        <f t="shared" si="133"/>
        <v>19961016 (MVS), 19961220 (AES)</v>
      </c>
      <c r="N1638" t="str">
        <f t="shared" si="133"/>
        <v>得点王 ～炎のリベロ～</v>
      </c>
      <c r="O1638" t="str">
        <f t="shared" si="133"/>
        <v/>
      </c>
      <c r="P1638" t="str">
        <f t="shared" si="133"/>
        <v/>
      </c>
      <c r="T1638" t="str">
        <f t="shared" si="136"/>
        <v/>
      </c>
      <c r="V1638" t="str">
        <f t="shared" si="137"/>
        <v>MVS,AES</v>
      </c>
      <c r="W1638" t="str">
        <f t="shared" si="137"/>
        <v>MVS,AES</v>
      </c>
      <c r="AG1638" t="s">
        <v>6</v>
      </c>
      <c r="AH1638" t="s">
        <v>3617</v>
      </c>
      <c r="AI1638" t="s">
        <v>164</v>
      </c>
      <c r="AJ1638" t="s">
        <v>3</v>
      </c>
      <c r="AK1638" t="s">
        <v>3616</v>
      </c>
      <c r="AL1638" t="s">
        <v>3615</v>
      </c>
    </row>
    <row r="1639" spans="5:38" x14ac:dyDescent="0.25">
      <c r="E1639" t="s">
        <v>3614</v>
      </c>
      <c r="F1639" t="s">
        <v>3613</v>
      </c>
      <c r="G1639" t="s">
        <v>1280</v>
      </c>
      <c r="H1639" t="s">
        <v>1912</v>
      </c>
      <c r="I1639" t="str">
        <f t="shared" si="134"/>
        <v>kizuna</v>
      </c>
      <c r="J1639" t="str">
        <f t="shared" si="135"/>
        <v>kizunaserial</v>
      </c>
      <c r="K1639" t="s">
        <v>1373</v>
      </c>
      <c r="L1639" t="str">
        <f t="shared" si="133"/>
        <v>NGM-216 (MVS), NGH-216 (AES)</v>
      </c>
      <c r="M1639" t="str">
        <f t="shared" si="133"/>
        <v>19960920 (MVS), 19961108 (AES)</v>
      </c>
      <c r="N1639" t="str">
        <f t="shared" si="133"/>
        <v>風雲 スーパータッグバトル</v>
      </c>
      <c r="O1639" t="str">
        <f t="shared" si="133"/>
        <v/>
      </c>
      <c r="P1639" t="str">
        <f t="shared" si="133"/>
        <v/>
      </c>
      <c r="Q1639" t="s">
        <v>3612</v>
      </c>
      <c r="S1639" t="s">
        <v>46</v>
      </c>
      <c r="T1639" t="str">
        <f t="shared" si="136"/>
        <v>kizunarelease</v>
      </c>
      <c r="U1639" t="s">
        <v>218</v>
      </c>
      <c r="V1639" t="str">
        <f t="shared" si="137"/>
        <v>MVS,AES</v>
      </c>
      <c r="W1639" t="str">
        <f t="shared" si="137"/>
        <v>MVS,AES</v>
      </c>
      <c r="Y1639" t="s">
        <v>45</v>
      </c>
      <c r="Z1639" t="s">
        <v>44</v>
      </c>
      <c r="AB1639" t="s">
        <v>43</v>
      </c>
      <c r="AC1639" t="s">
        <v>42</v>
      </c>
      <c r="AD1639" t="s">
        <v>41</v>
      </c>
      <c r="AE1639" t="s">
        <v>3</v>
      </c>
      <c r="AG1639" t="s">
        <v>40</v>
      </c>
      <c r="AH1639" t="s">
        <v>3611</v>
      </c>
      <c r="AI1639" t="s">
        <v>15</v>
      </c>
      <c r="AJ1639" t="s">
        <v>15</v>
      </c>
      <c r="AK1639" t="s">
        <v>3610</v>
      </c>
      <c r="AL1639" t="s">
        <v>3609</v>
      </c>
    </row>
    <row r="1640" spans="5:38" x14ac:dyDescent="0.25">
      <c r="I1640" t="str">
        <f t="shared" si="134"/>
        <v>kizuna</v>
      </c>
      <c r="J1640" t="str">
        <f t="shared" si="135"/>
        <v>kizunarelease</v>
      </c>
      <c r="K1640" t="s">
        <v>46</v>
      </c>
      <c r="L1640" t="str">
        <f t="shared" si="133"/>
        <v>NGM-216 (MVS), NGH-216 (AES)</v>
      </c>
      <c r="M1640" t="str">
        <f t="shared" si="133"/>
        <v>19960920 (MVS), 19961108 (AES)</v>
      </c>
      <c r="N1640" t="str">
        <f t="shared" si="133"/>
        <v>風雲 スーパータッグバトル</v>
      </c>
      <c r="O1640" t="str">
        <f t="shared" si="133"/>
        <v/>
      </c>
      <c r="P1640" t="str">
        <f t="shared" si="133"/>
        <v/>
      </c>
      <c r="Q1640" t="s">
        <v>3608</v>
      </c>
      <c r="T1640" t="str">
        <f t="shared" si="136"/>
        <v/>
      </c>
      <c r="V1640" t="str">
        <f t="shared" si="137"/>
        <v>MVS,AES</v>
      </c>
      <c r="W1640" t="str">
        <f t="shared" si="137"/>
        <v>MVS,AES</v>
      </c>
      <c r="AG1640" t="s">
        <v>224</v>
      </c>
      <c r="AI1640" t="s">
        <v>9</v>
      </c>
      <c r="AJ1640" t="s">
        <v>15</v>
      </c>
    </row>
    <row r="1641" spans="5:38" x14ac:dyDescent="0.25">
      <c r="I1641" t="str">
        <f t="shared" si="134"/>
        <v>kizuna</v>
      </c>
      <c r="J1641" t="str">
        <f t="shared" si="135"/>
        <v>kizunaalt_title</v>
      </c>
      <c r="K1641" t="s">
        <v>1218</v>
      </c>
      <c r="L1641" t="str">
        <f t="shared" si="133"/>
        <v>NGM-216 (MVS), NGH-216 (AES)</v>
      </c>
      <c r="M1641" t="str">
        <f t="shared" si="133"/>
        <v>19960920 (MVS), 19961108 (AES)</v>
      </c>
      <c r="N1641" t="str">
        <f t="shared" si="133"/>
        <v>風雲 スーパータッグバトル</v>
      </c>
      <c r="O1641" t="str">
        <f t="shared" si="133"/>
        <v/>
      </c>
      <c r="P1641" t="str">
        <f t="shared" si="133"/>
        <v/>
      </c>
      <c r="Q1641" t="s">
        <v>3607</v>
      </c>
      <c r="T1641" t="str">
        <f t="shared" si="136"/>
        <v/>
      </c>
      <c r="V1641" t="str">
        <f t="shared" si="137"/>
        <v>MVS,AES</v>
      </c>
      <c r="W1641" t="str">
        <f t="shared" si="137"/>
        <v>MVS,AES</v>
      </c>
      <c r="AB1641" t="s">
        <v>34</v>
      </c>
      <c r="AE1641" t="s">
        <v>33</v>
      </c>
      <c r="AH1641" t="s">
        <v>3606</v>
      </c>
      <c r="AI1641" t="s">
        <v>9</v>
      </c>
      <c r="AJ1641" t="s">
        <v>27</v>
      </c>
      <c r="AK1641" t="s">
        <v>3605</v>
      </c>
      <c r="AL1641" t="s">
        <v>3604</v>
      </c>
    </row>
    <row r="1642" spans="5:38" x14ac:dyDescent="0.25">
      <c r="I1642" t="str">
        <f t="shared" si="134"/>
        <v>kizuna</v>
      </c>
      <c r="J1642" t="str">
        <f t="shared" si="135"/>
        <v/>
      </c>
      <c r="L1642" t="str">
        <f t="shared" si="133"/>
        <v>NGM-216 (MVS), NGH-216 (AES)</v>
      </c>
      <c r="M1642" t="str">
        <f t="shared" si="133"/>
        <v>19960920 (MVS), 19961108 (AES)</v>
      </c>
      <c r="N1642" t="str">
        <f t="shared" si="133"/>
        <v>風雲 スーパータッグバトル</v>
      </c>
      <c r="O1642" t="str">
        <f t="shared" si="133"/>
        <v/>
      </c>
      <c r="P1642" t="str">
        <f t="shared" si="133"/>
        <v/>
      </c>
      <c r="S1642" t="s">
        <v>36</v>
      </c>
      <c r="T1642" t="str">
        <f t="shared" si="136"/>
        <v>kizunacompatibility</v>
      </c>
      <c r="U1642" t="s">
        <v>218</v>
      </c>
      <c r="V1642" t="str">
        <f t="shared" si="137"/>
        <v>MVS,AES</v>
      </c>
      <c r="W1642" t="str">
        <f t="shared" si="137"/>
        <v>MVS,AES</v>
      </c>
      <c r="AB1642" t="s">
        <v>29</v>
      </c>
      <c r="AE1642" t="s">
        <v>27</v>
      </c>
      <c r="AH1642" t="s">
        <v>3603</v>
      </c>
      <c r="AI1642" t="s">
        <v>9</v>
      </c>
      <c r="AJ1642" t="s">
        <v>27</v>
      </c>
      <c r="AK1642" t="s">
        <v>3602</v>
      </c>
      <c r="AL1642" t="s">
        <v>3601</v>
      </c>
    </row>
    <row r="1643" spans="5:38" x14ac:dyDescent="0.25">
      <c r="I1643" t="str">
        <f t="shared" si="134"/>
        <v>kizuna</v>
      </c>
      <c r="J1643" t="str">
        <f t="shared" si="135"/>
        <v/>
      </c>
      <c r="L1643" t="str">
        <f t="shared" si="133"/>
        <v>NGM-216 (MVS), NGH-216 (AES)</v>
      </c>
      <c r="M1643" t="str">
        <f t="shared" si="133"/>
        <v>19960920 (MVS), 19961108 (AES)</v>
      </c>
      <c r="N1643" t="str">
        <f t="shared" si="133"/>
        <v>風雲 スーパータッグバトル</v>
      </c>
      <c r="O1643" t="str">
        <f t="shared" si="133"/>
        <v/>
      </c>
      <c r="P1643" t="str">
        <f t="shared" si="133"/>
        <v/>
      </c>
      <c r="T1643" t="str">
        <f t="shared" si="136"/>
        <v/>
      </c>
      <c r="V1643" t="str">
        <f t="shared" si="137"/>
        <v>MVS,AES</v>
      </c>
      <c r="W1643" t="str">
        <f t="shared" si="137"/>
        <v>MVS,AES</v>
      </c>
      <c r="AB1643" t="s">
        <v>24</v>
      </c>
      <c r="AE1643" t="s">
        <v>57</v>
      </c>
      <c r="AH1643" t="s">
        <v>3600</v>
      </c>
      <c r="AI1643" t="s">
        <v>9</v>
      </c>
      <c r="AJ1643" t="s">
        <v>3</v>
      </c>
      <c r="AK1643" t="s">
        <v>3599</v>
      </c>
      <c r="AL1643" t="s">
        <v>3598</v>
      </c>
    </row>
    <row r="1644" spans="5:38" x14ac:dyDescent="0.25">
      <c r="I1644" t="str">
        <f t="shared" si="134"/>
        <v>kizuna</v>
      </c>
      <c r="J1644" t="str">
        <f t="shared" si="135"/>
        <v/>
      </c>
      <c r="L1644" t="str">
        <f t="shared" si="133"/>
        <v>NGM-216 (MVS), NGH-216 (AES)</v>
      </c>
      <c r="M1644" t="str">
        <f t="shared" si="133"/>
        <v>19960920 (MVS), 19961108 (AES)</v>
      </c>
      <c r="N1644" t="str">
        <f t="shared" si="133"/>
        <v>風雲 スーパータッグバトル</v>
      </c>
      <c r="O1644" t="str">
        <f t="shared" si="133"/>
        <v/>
      </c>
      <c r="P1644" t="str">
        <f t="shared" si="133"/>
        <v/>
      </c>
      <c r="T1644" t="str">
        <f t="shared" si="136"/>
        <v/>
      </c>
      <c r="V1644" t="str">
        <f t="shared" si="137"/>
        <v>MVS,AES</v>
      </c>
      <c r="W1644" t="str">
        <f t="shared" si="137"/>
        <v>MVS,AES</v>
      </c>
      <c r="AH1644" t="s">
        <v>3597</v>
      </c>
      <c r="AI1644" t="s">
        <v>3</v>
      </c>
      <c r="AJ1644" t="s">
        <v>3</v>
      </c>
      <c r="AK1644" t="s">
        <v>3596</v>
      </c>
      <c r="AL1644" t="s">
        <v>3595</v>
      </c>
    </row>
    <row r="1645" spans="5:38" x14ac:dyDescent="0.25">
      <c r="I1645" t="str">
        <f t="shared" si="134"/>
        <v>kizuna</v>
      </c>
      <c r="J1645" t="str">
        <f t="shared" si="135"/>
        <v/>
      </c>
      <c r="L1645" t="str">
        <f t="shared" si="133"/>
        <v>NGM-216 (MVS), NGH-216 (AES)</v>
      </c>
      <c r="M1645" t="str">
        <f t="shared" si="133"/>
        <v>19960920 (MVS), 19961108 (AES)</v>
      </c>
      <c r="N1645" t="str">
        <f t="shared" si="133"/>
        <v>風雲 スーパータッグバトル</v>
      </c>
      <c r="O1645" t="str">
        <f t="shared" si="133"/>
        <v/>
      </c>
      <c r="P1645" t="str">
        <f t="shared" si="133"/>
        <v/>
      </c>
      <c r="T1645" t="str">
        <f t="shared" si="136"/>
        <v/>
      </c>
      <c r="V1645" t="str">
        <f t="shared" si="137"/>
        <v>MVS,AES</v>
      </c>
      <c r="W1645" t="str">
        <f t="shared" si="137"/>
        <v>MVS,AES</v>
      </c>
      <c r="AH1645" t="s">
        <v>3594</v>
      </c>
      <c r="AI1645" t="s">
        <v>11</v>
      </c>
      <c r="AJ1645" t="s">
        <v>3</v>
      </c>
      <c r="AK1645" t="s">
        <v>3593</v>
      </c>
      <c r="AL1645" t="s">
        <v>3592</v>
      </c>
    </row>
    <row r="1646" spans="5:38" x14ac:dyDescent="0.25">
      <c r="I1646" t="str">
        <f t="shared" si="134"/>
        <v>kizuna</v>
      </c>
      <c r="J1646" t="str">
        <f t="shared" si="135"/>
        <v/>
      </c>
      <c r="L1646" t="str">
        <f t="shared" si="133"/>
        <v>NGM-216 (MVS), NGH-216 (AES)</v>
      </c>
      <c r="M1646" t="str">
        <f t="shared" si="133"/>
        <v>19960920 (MVS), 19961108 (AES)</v>
      </c>
      <c r="N1646" t="str">
        <f t="shared" si="133"/>
        <v>風雲 スーパータッグバトル</v>
      </c>
      <c r="O1646" t="str">
        <f t="shared" si="133"/>
        <v/>
      </c>
      <c r="P1646" t="str">
        <f t="shared" si="133"/>
        <v/>
      </c>
      <c r="T1646" t="str">
        <f t="shared" si="136"/>
        <v/>
      </c>
      <c r="V1646" t="str">
        <f t="shared" si="137"/>
        <v>MVS,AES</v>
      </c>
      <c r="W1646" t="str">
        <f t="shared" si="137"/>
        <v>MVS,AES</v>
      </c>
      <c r="AH1646" t="s">
        <v>3591</v>
      </c>
      <c r="AI1646" t="s">
        <v>75</v>
      </c>
      <c r="AJ1646" t="s">
        <v>3</v>
      </c>
      <c r="AK1646" t="s">
        <v>3590</v>
      </c>
      <c r="AL1646" t="s">
        <v>3589</v>
      </c>
    </row>
    <row r="1647" spans="5:38" x14ac:dyDescent="0.25">
      <c r="I1647" t="str">
        <f t="shared" si="134"/>
        <v>kizuna</v>
      </c>
      <c r="J1647" t="str">
        <f t="shared" si="135"/>
        <v/>
      </c>
      <c r="L1647" t="str">
        <f t="shared" ref="L1647:P1697" si="138">IFERROR(VLOOKUP($I1647&amp;L$1,$J:$Q,8,0),"")</f>
        <v>NGM-216 (MVS), NGH-216 (AES)</v>
      </c>
      <c r="M1647" t="str">
        <f t="shared" si="138"/>
        <v>19960920 (MVS), 19961108 (AES)</v>
      </c>
      <c r="N1647" t="str">
        <f t="shared" si="138"/>
        <v>風雲 スーパータッグバトル</v>
      </c>
      <c r="O1647" t="str">
        <f t="shared" si="138"/>
        <v/>
      </c>
      <c r="P1647" t="str">
        <f t="shared" si="138"/>
        <v/>
      </c>
      <c r="T1647" t="str">
        <f t="shared" si="136"/>
        <v/>
      </c>
      <c r="V1647" t="str">
        <f t="shared" si="137"/>
        <v>MVS,AES</v>
      </c>
      <c r="W1647" t="str">
        <f t="shared" si="137"/>
        <v>MVS,AES</v>
      </c>
      <c r="AB1647" t="s">
        <v>12</v>
      </c>
      <c r="AE1647" t="s">
        <v>3588</v>
      </c>
      <c r="AG1647" t="s">
        <v>6</v>
      </c>
      <c r="AH1647" t="s">
        <v>3587</v>
      </c>
      <c r="AI1647" t="s">
        <v>9</v>
      </c>
      <c r="AJ1647" t="s">
        <v>3</v>
      </c>
      <c r="AK1647" t="s">
        <v>3586</v>
      </c>
      <c r="AL1647" t="s">
        <v>3585</v>
      </c>
    </row>
    <row r="1648" spans="5:38" x14ac:dyDescent="0.25">
      <c r="I1648" t="str">
        <f t="shared" si="134"/>
        <v>kizuna</v>
      </c>
      <c r="J1648" t="str">
        <f t="shared" si="135"/>
        <v/>
      </c>
      <c r="L1648" t="str">
        <f t="shared" si="138"/>
        <v>NGM-216 (MVS), NGH-216 (AES)</v>
      </c>
      <c r="M1648" t="str">
        <f t="shared" si="138"/>
        <v>19960920 (MVS), 19961108 (AES)</v>
      </c>
      <c r="N1648" t="str">
        <f t="shared" si="138"/>
        <v>風雲 スーパータッグバトル</v>
      </c>
      <c r="O1648" t="str">
        <f t="shared" si="138"/>
        <v/>
      </c>
      <c r="P1648" t="str">
        <f t="shared" si="138"/>
        <v/>
      </c>
      <c r="T1648" t="str">
        <f t="shared" si="136"/>
        <v/>
      </c>
      <c r="V1648" t="str">
        <f t="shared" si="137"/>
        <v>MVS,AES</v>
      </c>
      <c r="W1648" t="str">
        <f t="shared" si="137"/>
        <v>MVS,AES</v>
      </c>
      <c r="AG1648" t="s">
        <v>6</v>
      </c>
      <c r="AH1648" t="s">
        <v>3584</v>
      </c>
      <c r="AI1648" t="s">
        <v>4</v>
      </c>
      <c r="AJ1648" t="s">
        <v>3</v>
      </c>
      <c r="AK1648" t="s">
        <v>3583</v>
      </c>
      <c r="AL1648" t="s">
        <v>3582</v>
      </c>
    </row>
    <row r="1649" spans="5:38" x14ac:dyDescent="0.25">
      <c r="I1649" t="str">
        <f t="shared" si="134"/>
        <v>kizuna</v>
      </c>
      <c r="J1649" t="str">
        <f t="shared" si="135"/>
        <v/>
      </c>
      <c r="L1649" t="str">
        <f t="shared" si="138"/>
        <v>NGM-216 (MVS), NGH-216 (AES)</v>
      </c>
      <c r="M1649" t="str">
        <f t="shared" si="138"/>
        <v>19960920 (MVS), 19961108 (AES)</v>
      </c>
      <c r="N1649" t="str">
        <f t="shared" si="138"/>
        <v>風雲 スーパータッグバトル</v>
      </c>
      <c r="O1649" t="str">
        <f t="shared" si="138"/>
        <v/>
      </c>
      <c r="P1649" t="str">
        <f t="shared" si="138"/>
        <v/>
      </c>
      <c r="T1649" t="str">
        <f t="shared" si="136"/>
        <v/>
      </c>
      <c r="V1649" t="str">
        <f t="shared" si="137"/>
        <v>MVS,AES</v>
      </c>
      <c r="W1649" t="str">
        <f t="shared" si="137"/>
        <v>MVS,AES</v>
      </c>
      <c r="AG1649" t="s">
        <v>6</v>
      </c>
      <c r="AH1649" t="s">
        <v>3581</v>
      </c>
      <c r="AI1649" t="s">
        <v>57</v>
      </c>
      <c r="AJ1649" t="s">
        <v>11</v>
      </c>
      <c r="AK1649" t="s">
        <v>3580</v>
      </c>
      <c r="AL1649" t="s">
        <v>3579</v>
      </c>
    </row>
    <row r="1650" spans="5:38" x14ac:dyDescent="0.25">
      <c r="I1650" t="str">
        <f t="shared" si="134"/>
        <v>kizuna</v>
      </c>
      <c r="J1650" t="str">
        <f t="shared" si="135"/>
        <v/>
      </c>
      <c r="L1650" t="str">
        <f t="shared" si="138"/>
        <v>NGM-216 (MVS), NGH-216 (AES)</v>
      </c>
      <c r="M1650" t="str">
        <f t="shared" si="138"/>
        <v>19960920 (MVS), 19961108 (AES)</v>
      </c>
      <c r="N1650" t="str">
        <f t="shared" si="138"/>
        <v>風雲 スーパータッグバトル</v>
      </c>
      <c r="O1650" t="str">
        <f t="shared" si="138"/>
        <v/>
      </c>
      <c r="P1650" t="str">
        <f t="shared" si="138"/>
        <v/>
      </c>
      <c r="T1650" t="str">
        <f t="shared" si="136"/>
        <v/>
      </c>
      <c r="V1650" t="str">
        <f t="shared" si="137"/>
        <v>MVS,AES</v>
      </c>
      <c r="W1650" t="str">
        <f t="shared" si="137"/>
        <v>MVS,AES</v>
      </c>
      <c r="AG1650" t="s">
        <v>6</v>
      </c>
      <c r="AH1650" t="s">
        <v>3578</v>
      </c>
      <c r="AI1650" t="s">
        <v>53</v>
      </c>
      <c r="AJ1650" t="s">
        <v>11</v>
      </c>
      <c r="AK1650" t="s">
        <v>3577</v>
      </c>
      <c r="AL1650" t="s">
        <v>3576</v>
      </c>
    </row>
    <row r="1651" spans="5:38" x14ac:dyDescent="0.25">
      <c r="I1651" t="str">
        <f t="shared" si="134"/>
        <v>kizuna</v>
      </c>
      <c r="J1651" t="str">
        <f t="shared" si="135"/>
        <v/>
      </c>
      <c r="L1651" t="str">
        <f t="shared" si="138"/>
        <v>NGM-216 (MVS), NGH-216 (AES)</v>
      </c>
      <c r="M1651" t="str">
        <f t="shared" si="138"/>
        <v>19960920 (MVS), 19961108 (AES)</v>
      </c>
      <c r="N1651" t="str">
        <f t="shared" si="138"/>
        <v>風雲 スーパータッグバトル</v>
      </c>
      <c r="O1651" t="str">
        <f t="shared" si="138"/>
        <v/>
      </c>
      <c r="P1651" t="str">
        <f t="shared" si="138"/>
        <v/>
      </c>
      <c r="T1651" t="str">
        <f t="shared" si="136"/>
        <v/>
      </c>
      <c r="V1651" t="str">
        <f t="shared" si="137"/>
        <v>MVS,AES</v>
      </c>
      <c r="W1651" t="str">
        <f t="shared" si="137"/>
        <v>MVS,AES</v>
      </c>
      <c r="AG1651" t="s">
        <v>6</v>
      </c>
      <c r="AH1651" t="s">
        <v>3575</v>
      </c>
      <c r="AI1651" t="s">
        <v>65</v>
      </c>
      <c r="AJ1651" t="s">
        <v>3</v>
      </c>
      <c r="AK1651" t="s">
        <v>3574</v>
      </c>
      <c r="AL1651" t="s">
        <v>3573</v>
      </c>
    </row>
    <row r="1652" spans="5:38" x14ac:dyDescent="0.25">
      <c r="I1652" t="str">
        <f t="shared" si="134"/>
        <v>kizuna</v>
      </c>
      <c r="J1652" t="str">
        <f t="shared" si="135"/>
        <v/>
      </c>
      <c r="L1652" t="str">
        <f t="shared" si="138"/>
        <v>NGM-216 (MVS), NGH-216 (AES)</v>
      </c>
      <c r="M1652" t="str">
        <f t="shared" si="138"/>
        <v>19960920 (MVS), 19961108 (AES)</v>
      </c>
      <c r="N1652" t="str">
        <f t="shared" si="138"/>
        <v>風雲 スーパータッグバトル</v>
      </c>
      <c r="O1652" t="str">
        <f t="shared" si="138"/>
        <v/>
      </c>
      <c r="P1652" t="str">
        <f t="shared" si="138"/>
        <v/>
      </c>
      <c r="T1652" t="str">
        <f t="shared" si="136"/>
        <v/>
      </c>
      <c r="V1652" t="str">
        <f t="shared" si="137"/>
        <v>MVS,AES</v>
      </c>
      <c r="W1652" t="str">
        <f t="shared" si="137"/>
        <v>MVS,AES</v>
      </c>
      <c r="AG1652" t="s">
        <v>6</v>
      </c>
      <c r="AH1652" t="s">
        <v>3572</v>
      </c>
      <c r="AI1652" t="s">
        <v>164</v>
      </c>
      <c r="AJ1652" t="s">
        <v>3</v>
      </c>
      <c r="AK1652" t="s">
        <v>3571</v>
      </c>
      <c r="AL1652" t="s">
        <v>3570</v>
      </c>
    </row>
    <row r="1653" spans="5:38" x14ac:dyDescent="0.25">
      <c r="I1653" t="str">
        <f t="shared" si="134"/>
        <v>kizuna</v>
      </c>
      <c r="J1653" t="str">
        <f t="shared" si="135"/>
        <v/>
      </c>
      <c r="L1653" t="str">
        <f t="shared" si="138"/>
        <v>NGM-216 (MVS), NGH-216 (AES)</v>
      </c>
      <c r="M1653" t="str">
        <f t="shared" si="138"/>
        <v>19960920 (MVS), 19961108 (AES)</v>
      </c>
      <c r="N1653" t="str">
        <f t="shared" si="138"/>
        <v>風雲 スーパータッグバトル</v>
      </c>
      <c r="O1653" t="str">
        <f t="shared" si="138"/>
        <v/>
      </c>
      <c r="P1653" t="str">
        <f t="shared" si="138"/>
        <v/>
      </c>
      <c r="T1653" t="str">
        <f t="shared" si="136"/>
        <v/>
      </c>
      <c r="V1653" t="str">
        <f t="shared" si="137"/>
        <v>MVS,AES</v>
      </c>
      <c r="W1653" t="str">
        <f t="shared" si="137"/>
        <v>MVS,AES</v>
      </c>
      <c r="AG1653" t="s">
        <v>6</v>
      </c>
      <c r="AH1653" t="s">
        <v>3569</v>
      </c>
      <c r="AI1653" t="s">
        <v>634</v>
      </c>
      <c r="AJ1653" t="s">
        <v>3</v>
      </c>
      <c r="AK1653" t="s">
        <v>3568</v>
      </c>
      <c r="AL1653" t="s">
        <v>3567</v>
      </c>
    </row>
    <row r="1654" spans="5:38" x14ac:dyDescent="0.25">
      <c r="I1654" t="str">
        <f t="shared" si="134"/>
        <v>kizuna</v>
      </c>
      <c r="J1654" t="str">
        <f t="shared" si="135"/>
        <v/>
      </c>
      <c r="L1654" t="str">
        <f t="shared" si="138"/>
        <v>NGM-216 (MVS), NGH-216 (AES)</v>
      </c>
      <c r="M1654" t="str">
        <f t="shared" si="138"/>
        <v>19960920 (MVS), 19961108 (AES)</v>
      </c>
      <c r="N1654" t="str">
        <f t="shared" si="138"/>
        <v>風雲 スーパータッグバトル</v>
      </c>
      <c r="O1654" t="str">
        <f t="shared" si="138"/>
        <v/>
      </c>
      <c r="P1654" t="str">
        <f t="shared" si="138"/>
        <v/>
      </c>
      <c r="T1654" t="str">
        <f t="shared" si="136"/>
        <v/>
      </c>
      <c r="V1654" t="str">
        <f t="shared" si="137"/>
        <v>MVS,AES</v>
      </c>
      <c r="W1654" t="str">
        <f t="shared" si="137"/>
        <v>MVS,AES</v>
      </c>
      <c r="AG1654" t="s">
        <v>6</v>
      </c>
      <c r="AH1654" t="s">
        <v>3566</v>
      </c>
      <c r="AI1654" t="s">
        <v>630</v>
      </c>
      <c r="AJ1654" t="s">
        <v>3</v>
      </c>
      <c r="AK1654" t="s">
        <v>3565</v>
      </c>
      <c r="AL1654" t="s">
        <v>3564</v>
      </c>
    </row>
    <row r="1655" spans="5:38" x14ac:dyDescent="0.25">
      <c r="E1655" t="s">
        <v>3563</v>
      </c>
      <c r="F1655" t="s">
        <v>3562</v>
      </c>
      <c r="G1655" t="s">
        <v>1280</v>
      </c>
      <c r="H1655" t="s">
        <v>3275</v>
      </c>
      <c r="I1655" t="str">
        <f t="shared" si="134"/>
        <v>ninjamas</v>
      </c>
      <c r="J1655" t="str">
        <f t="shared" si="135"/>
        <v>ninjamasserial</v>
      </c>
      <c r="K1655" t="s">
        <v>1373</v>
      </c>
      <c r="L1655" t="str">
        <f t="shared" si="138"/>
        <v>NGM-217 / ADM-012 (MVS), NGH-217 / ADH-012 (AES)</v>
      </c>
      <c r="M1655" t="str">
        <f t="shared" si="138"/>
        <v>19960527 (MVS), 19960628 (AES)</v>
      </c>
      <c r="N1655" t="str">
        <f t="shared" si="138"/>
        <v>ニンジャマスターズ 覇王忍法帖</v>
      </c>
      <c r="O1655" t="str">
        <f t="shared" si="138"/>
        <v/>
      </c>
      <c r="P1655" t="str">
        <f t="shared" si="138"/>
        <v/>
      </c>
      <c r="Q1655" t="s">
        <v>3561</v>
      </c>
      <c r="S1655" t="s">
        <v>46</v>
      </c>
      <c r="T1655" t="str">
        <f t="shared" si="136"/>
        <v>ninjamasrelease</v>
      </c>
      <c r="U1655" t="s">
        <v>218</v>
      </c>
      <c r="V1655" t="str">
        <f t="shared" si="137"/>
        <v>MVS,AES</v>
      </c>
      <c r="W1655" t="str">
        <f t="shared" si="137"/>
        <v>MVS,AES</v>
      </c>
      <c r="Y1655" t="s">
        <v>45</v>
      </c>
      <c r="Z1655" t="s">
        <v>44</v>
      </c>
      <c r="AB1655" t="s">
        <v>43</v>
      </c>
      <c r="AC1655" t="s">
        <v>42</v>
      </c>
      <c r="AD1655" t="s">
        <v>41</v>
      </c>
      <c r="AE1655" t="s">
        <v>377</v>
      </c>
      <c r="AG1655" t="s">
        <v>40</v>
      </c>
      <c r="AH1655" t="s">
        <v>3560</v>
      </c>
      <c r="AI1655" t="s">
        <v>9</v>
      </c>
      <c r="AJ1655" t="s">
        <v>15</v>
      </c>
      <c r="AK1655" t="s">
        <v>3559</v>
      </c>
      <c r="AL1655" t="s">
        <v>3558</v>
      </c>
    </row>
    <row r="1656" spans="5:38" x14ac:dyDescent="0.25">
      <c r="I1656" t="str">
        <f t="shared" si="134"/>
        <v>ninjamas</v>
      </c>
      <c r="J1656" t="str">
        <f t="shared" si="135"/>
        <v>ninjamasrelease</v>
      </c>
      <c r="K1656" t="s">
        <v>46</v>
      </c>
      <c r="L1656" t="str">
        <f t="shared" si="138"/>
        <v>NGM-217 / ADM-012 (MVS), NGH-217 / ADH-012 (AES)</v>
      </c>
      <c r="M1656" t="str">
        <f t="shared" si="138"/>
        <v>19960527 (MVS), 19960628 (AES)</v>
      </c>
      <c r="N1656" t="str">
        <f t="shared" si="138"/>
        <v>ニンジャマスターズ 覇王忍法帖</v>
      </c>
      <c r="O1656" t="str">
        <f t="shared" si="138"/>
        <v/>
      </c>
      <c r="P1656" t="str">
        <f t="shared" si="138"/>
        <v/>
      </c>
      <c r="Q1656" t="s">
        <v>3557</v>
      </c>
      <c r="T1656" t="str">
        <f t="shared" si="136"/>
        <v/>
      </c>
      <c r="V1656" t="str">
        <f t="shared" si="137"/>
        <v>MVS,AES</v>
      </c>
      <c r="W1656" t="str">
        <f t="shared" si="137"/>
        <v>MVS,AES</v>
      </c>
      <c r="AG1656" t="s">
        <v>40</v>
      </c>
      <c r="AH1656" t="s">
        <v>3556</v>
      </c>
      <c r="AI1656" t="s">
        <v>15</v>
      </c>
      <c r="AJ1656" t="s">
        <v>3</v>
      </c>
      <c r="AK1656" t="s">
        <v>3555</v>
      </c>
      <c r="AL1656" t="s">
        <v>3554</v>
      </c>
    </row>
    <row r="1657" spans="5:38" x14ac:dyDescent="0.25">
      <c r="I1657" t="str">
        <f t="shared" si="134"/>
        <v>ninjamas</v>
      </c>
      <c r="J1657" t="str">
        <f t="shared" si="135"/>
        <v>ninjamasalt_title</v>
      </c>
      <c r="K1657" t="s">
        <v>1218</v>
      </c>
      <c r="L1657" t="str">
        <f t="shared" si="138"/>
        <v>NGM-217 / ADM-012 (MVS), NGH-217 / ADH-012 (AES)</v>
      </c>
      <c r="M1657" t="str">
        <f t="shared" si="138"/>
        <v>19960527 (MVS), 19960628 (AES)</v>
      </c>
      <c r="N1657" t="str">
        <f t="shared" si="138"/>
        <v>ニンジャマスターズ 覇王忍法帖</v>
      </c>
      <c r="O1657" t="str">
        <f t="shared" si="138"/>
        <v/>
      </c>
      <c r="P1657" t="str">
        <f t="shared" si="138"/>
        <v/>
      </c>
      <c r="Q1657" t="s">
        <v>3553</v>
      </c>
      <c r="T1657" t="str">
        <f t="shared" si="136"/>
        <v/>
      </c>
      <c r="V1657" t="str">
        <f t="shared" si="137"/>
        <v>MVS,AES</v>
      </c>
      <c r="W1657" t="str">
        <f t="shared" si="137"/>
        <v>MVS,AES</v>
      </c>
      <c r="AB1657" t="s">
        <v>34</v>
      </c>
      <c r="AE1657" t="s">
        <v>33</v>
      </c>
      <c r="AH1657" t="s">
        <v>3552</v>
      </c>
      <c r="AI1657" t="s">
        <v>9</v>
      </c>
      <c r="AJ1657" t="s">
        <v>27</v>
      </c>
      <c r="AK1657" t="s">
        <v>3551</v>
      </c>
      <c r="AL1657" t="s">
        <v>3550</v>
      </c>
    </row>
    <row r="1658" spans="5:38" x14ac:dyDescent="0.25">
      <c r="I1658" t="str">
        <f t="shared" si="134"/>
        <v>ninjamas</v>
      </c>
      <c r="J1658" t="str">
        <f t="shared" si="135"/>
        <v/>
      </c>
      <c r="L1658" t="str">
        <f t="shared" si="138"/>
        <v>NGM-217 / ADM-012 (MVS), NGH-217 / ADH-012 (AES)</v>
      </c>
      <c r="M1658" t="str">
        <f t="shared" si="138"/>
        <v>19960527 (MVS), 19960628 (AES)</v>
      </c>
      <c r="N1658" t="str">
        <f t="shared" si="138"/>
        <v>ニンジャマスターズ 覇王忍法帖</v>
      </c>
      <c r="O1658" t="str">
        <f t="shared" si="138"/>
        <v/>
      </c>
      <c r="P1658" t="str">
        <f t="shared" si="138"/>
        <v/>
      </c>
      <c r="S1658" t="s">
        <v>36</v>
      </c>
      <c r="T1658" t="str">
        <f t="shared" si="136"/>
        <v>ninjamascompatibility</v>
      </c>
      <c r="U1658" t="s">
        <v>218</v>
      </c>
      <c r="V1658" t="str">
        <f t="shared" si="137"/>
        <v>MVS,AES</v>
      </c>
      <c r="W1658" t="str">
        <f t="shared" si="137"/>
        <v>MVS,AES</v>
      </c>
      <c r="AB1658" t="s">
        <v>29</v>
      </c>
      <c r="AE1658" t="s">
        <v>27</v>
      </c>
      <c r="AH1658" t="s">
        <v>3549</v>
      </c>
      <c r="AI1658" t="s">
        <v>9</v>
      </c>
      <c r="AJ1658" t="s">
        <v>27</v>
      </c>
      <c r="AK1658" t="s">
        <v>3548</v>
      </c>
      <c r="AL1658" t="s">
        <v>3547</v>
      </c>
    </row>
    <row r="1659" spans="5:38" x14ac:dyDescent="0.25">
      <c r="I1659" t="str">
        <f t="shared" si="134"/>
        <v>ninjamas</v>
      </c>
      <c r="J1659" t="str">
        <f t="shared" si="135"/>
        <v/>
      </c>
      <c r="L1659" t="str">
        <f t="shared" si="138"/>
        <v>NGM-217 / ADM-012 (MVS), NGH-217 / ADH-012 (AES)</v>
      </c>
      <c r="M1659" t="str">
        <f t="shared" si="138"/>
        <v>19960527 (MVS), 19960628 (AES)</v>
      </c>
      <c r="N1659" t="str">
        <f t="shared" si="138"/>
        <v>ニンジャマスターズ 覇王忍法帖</v>
      </c>
      <c r="O1659" t="str">
        <f t="shared" si="138"/>
        <v/>
      </c>
      <c r="P1659" t="str">
        <f t="shared" si="138"/>
        <v/>
      </c>
      <c r="T1659" t="str">
        <f t="shared" si="136"/>
        <v/>
      </c>
      <c r="V1659" t="str">
        <f t="shared" si="137"/>
        <v>MVS,AES</v>
      </c>
      <c r="W1659" t="str">
        <f t="shared" si="137"/>
        <v>MVS,AES</v>
      </c>
      <c r="AB1659" t="s">
        <v>24</v>
      </c>
      <c r="AE1659" t="s">
        <v>75</v>
      </c>
      <c r="AH1659" t="s">
        <v>3546</v>
      </c>
      <c r="AI1659" t="s">
        <v>9</v>
      </c>
      <c r="AJ1659" t="s">
        <v>11</v>
      </c>
      <c r="AK1659" t="s">
        <v>3545</v>
      </c>
      <c r="AL1659" t="s">
        <v>3544</v>
      </c>
    </row>
    <row r="1660" spans="5:38" x14ac:dyDescent="0.25">
      <c r="I1660" t="str">
        <f t="shared" si="134"/>
        <v>ninjamas</v>
      </c>
      <c r="J1660" t="str">
        <f t="shared" si="135"/>
        <v/>
      </c>
      <c r="L1660" t="str">
        <f t="shared" si="138"/>
        <v>NGM-217 / ADM-012 (MVS), NGH-217 / ADH-012 (AES)</v>
      </c>
      <c r="M1660" t="str">
        <f t="shared" si="138"/>
        <v>19960527 (MVS), 19960628 (AES)</v>
      </c>
      <c r="N1660" t="str">
        <f t="shared" si="138"/>
        <v>ニンジャマスターズ 覇王忍法帖</v>
      </c>
      <c r="O1660" t="str">
        <f t="shared" si="138"/>
        <v/>
      </c>
      <c r="P1660" t="str">
        <f t="shared" si="138"/>
        <v/>
      </c>
      <c r="T1660" t="str">
        <f t="shared" si="136"/>
        <v/>
      </c>
      <c r="V1660" t="str">
        <f t="shared" si="137"/>
        <v>MVS,AES</v>
      </c>
      <c r="W1660" t="str">
        <f t="shared" si="137"/>
        <v>MVS,AES</v>
      </c>
      <c r="AH1660" t="s">
        <v>3543</v>
      </c>
      <c r="AI1660" t="s">
        <v>11</v>
      </c>
      <c r="AJ1660" t="s">
        <v>3</v>
      </c>
      <c r="AK1660" t="s">
        <v>3542</v>
      </c>
      <c r="AL1660" t="s">
        <v>3541</v>
      </c>
    </row>
    <row r="1661" spans="5:38" x14ac:dyDescent="0.25">
      <c r="I1661" t="str">
        <f t="shared" si="134"/>
        <v>ninjamas</v>
      </c>
      <c r="J1661" t="str">
        <f t="shared" si="135"/>
        <v/>
      </c>
      <c r="L1661" t="str">
        <f t="shared" si="138"/>
        <v>NGM-217 / ADM-012 (MVS), NGH-217 / ADH-012 (AES)</v>
      </c>
      <c r="M1661" t="str">
        <f t="shared" si="138"/>
        <v>19960527 (MVS), 19960628 (AES)</v>
      </c>
      <c r="N1661" t="str">
        <f t="shared" si="138"/>
        <v>ニンジャマスターズ 覇王忍法帖</v>
      </c>
      <c r="O1661" t="str">
        <f t="shared" si="138"/>
        <v/>
      </c>
      <c r="P1661" t="str">
        <f t="shared" si="138"/>
        <v/>
      </c>
      <c r="T1661" t="str">
        <f t="shared" si="136"/>
        <v/>
      </c>
      <c r="V1661" t="str">
        <f t="shared" si="137"/>
        <v>MVS,AES</v>
      </c>
      <c r="W1661" t="str">
        <f t="shared" si="137"/>
        <v>MVS,AES</v>
      </c>
      <c r="AB1661" t="s">
        <v>12</v>
      </c>
      <c r="AE1661" t="s">
        <v>160</v>
      </c>
      <c r="AG1661" t="s">
        <v>6</v>
      </c>
      <c r="AH1661" t="s">
        <v>3540</v>
      </c>
      <c r="AI1661" t="s">
        <v>9</v>
      </c>
      <c r="AJ1661" t="s">
        <v>11</v>
      </c>
      <c r="AK1661" t="s">
        <v>3539</v>
      </c>
      <c r="AL1661" t="s">
        <v>3538</v>
      </c>
    </row>
    <row r="1662" spans="5:38" x14ac:dyDescent="0.25">
      <c r="I1662" t="str">
        <f t="shared" si="134"/>
        <v>ninjamas</v>
      </c>
      <c r="J1662" t="str">
        <f t="shared" si="135"/>
        <v/>
      </c>
      <c r="L1662" t="str">
        <f t="shared" si="138"/>
        <v>NGM-217 / ADM-012 (MVS), NGH-217 / ADH-012 (AES)</v>
      </c>
      <c r="M1662" t="str">
        <f t="shared" si="138"/>
        <v>19960527 (MVS), 19960628 (AES)</v>
      </c>
      <c r="N1662" t="str">
        <f t="shared" si="138"/>
        <v>ニンジャマスターズ 覇王忍法帖</v>
      </c>
      <c r="O1662" t="str">
        <f t="shared" si="138"/>
        <v/>
      </c>
      <c r="P1662" t="str">
        <f t="shared" si="138"/>
        <v/>
      </c>
      <c r="T1662" t="str">
        <f t="shared" si="136"/>
        <v/>
      </c>
      <c r="V1662" t="str">
        <f t="shared" si="137"/>
        <v>MVS,AES</v>
      </c>
      <c r="W1662" t="str">
        <f t="shared" si="137"/>
        <v>MVS,AES</v>
      </c>
      <c r="AG1662" t="s">
        <v>6</v>
      </c>
      <c r="AH1662" t="s">
        <v>3537</v>
      </c>
      <c r="AI1662" t="s">
        <v>4</v>
      </c>
      <c r="AJ1662" t="s">
        <v>11</v>
      </c>
      <c r="AK1662" t="s">
        <v>3536</v>
      </c>
      <c r="AL1662" t="s">
        <v>3535</v>
      </c>
    </row>
    <row r="1663" spans="5:38" x14ac:dyDescent="0.25">
      <c r="I1663" t="str">
        <f t="shared" si="134"/>
        <v>ninjamas</v>
      </c>
      <c r="J1663" t="str">
        <f t="shared" si="135"/>
        <v/>
      </c>
      <c r="L1663" t="str">
        <f t="shared" si="138"/>
        <v>NGM-217 / ADM-012 (MVS), NGH-217 / ADH-012 (AES)</v>
      </c>
      <c r="M1663" t="str">
        <f t="shared" si="138"/>
        <v>19960527 (MVS), 19960628 (AES)</v>
      </c>
      <c r="N1663" t="str">
        <f t="shared" si="138"/>
        <v>ニンジャマスターズ 覇王忍法帖</v>
      </c>
      <c r="O1663" t="str">
        <f t="shared" si="138"/>
        <v/>
      </c>
      <c r="P1663" t="str">
        <f t="shared" si="138"/>
        <v/>
      </c>
      <c r="T1663" t="str">
        <f t="shared" si="136"/>
        <v/>
      </c>
      <c r="V1663" t="str">
        <f t="shared" si="137"/>
        <v>MVS,AES</v>
      </c>
      <c r="W1663" t="str">
        <f t="shared" si="137"/>
        <v>MVS,AES</v>
      </c>
      <c r="AG1663" t="s">
        <v>6</v>
      </c>
      <c r="AH1663" t="s">
        <v>3534</v>
      </c>
      <c r="AI1663" t="s">
        <v>57</v>
      </c>
      <c r="AJ1663" t="s">
        <v>11</v>
      </c>
      <c r="AK1663" t="s">
        <v>3533</v>
      </c>
      <c r="AL1663" t="s">
        <v>3532</v>
      </c>
    </row>
    <row r="1664" spans="5:38" x14ac:dyDescent="0.25">
      <c r="I1664" t="str">
        <f t="shared" si="134"/>
        <v>ninjamas</v>
      </c>
      <c r="J1664" t="str">
        <f t="shared" si="135"/>
        <v/>
      </c>
      <c r="L1664" t="str">
        <f t="shared" si="138"/>
        <v>NGM-217 / ADM-012 (MVS), NGH-217 / ADH-012 (AES)</v>
      </c>
      <c r="M1664" t="str">
        <f t="shared" si="138"/>
        <v>19960527 (MVS), 19960628 (AES)</v>
      </c>
      <c r="N1664" t="str">
        <f t="shared" si="138"/>
        <v>ニンジャマスターズ 覇王忍法帖</v>
      </c>
      <c r="O1664" t="str">
        <f t="shared" si="138"/>
        <v/>
      </c>
      <c r="P1664" t="str">
        <f t="shared" si="138"/>
        <v/>
      </c>
      <c r="T1664" t="str">
        <f t="shared" si="136"/>
        <v/>
      </c>
      <c r="V1664" t="str">
        <f t="shared" si="137"/>
        <v>MVS,AES</v>
      </c>
      <c r="W1664" t="str">
        <f t="shared" si="137"/>
        <v>MVS,AES</v>
      </c>
      <c r="AG1664" t="s">
        <v>6</v>
      </c>
      <c r="AH1664" t="s">
        <v>3531</v>
      </c>
      <c r="AI1664" t="s">
        <v>53</v>
      </c>
      <c r="AJ1664" t="s">
        <v>11</v>
      </c>
      <c r="AK1664" t="s">
        <v>3530</v>
      </c>
      <c r="AL1664" t="s">
        <v>3529</v>
      </c>
    </row>
    <row r="1665" spans="5:38" x14ac:dyDescent="0.25">
      <c r="I1665" t="str">
        <f t="shared" si="134"/>
        <v>ninjamas</v>
      </c>
      <c r="J1665" t="str">
        <f t="shared" si="135"/>
        <v/>
      </c>
      <c r="L1665" t="str">
        <f t="shared" si="138"/>
        <v>NGM-217 / ADM-012 (MVS), NGH-217 / ADH-012 (AES)</v>
      </c>
      <c r="M1665" t="str">
        <f t="shared" si="138"/>
        <v>19960527 (MVS), 19960628 (AES)</v>
      </c>
      <c r="N1665" t="str">
        <f t="shared" si="138"/>
        <v>ニンジャマスターズ 覇王忍法帖</v>
      </c>
      <c r="O1665" t="str">
        <f t="shared" si="138"/>
        <v/>
      </c>
      <c r="P1665" t="str">
        <f t="shared" si="138"/>
        <v/>
      </c>
      <c r="T1665" t="str">
        <f t="shared" si="136"/>
        <v/>
      </c>
      <c r="V1665" t="str">
        <f t="shared" si="137"/>
        <v>MVS,AES</v>
      </c>
      <c r="W1665" t="str">
        <f t="shared" si="137"/>
        <v>MVS,AES</v>
      </c>
      <c r="AG1665" t="s">
        <v>6</v>
      </c>
      <c r="AH1665" t="s">
        <v>3528</v>
      </c>
      <c r="AI1665" t="s">
        <v>65</v>
      </c>
      <c r="AJ1665" t="s">
        <v>11</v>
      </c>
      <c r="AK1665" t="s">
        <v>3527</v>
      </c>
      <c r="AL1665" t="s">
        <v>3526</v>
      </c>
    </row>
    <row r="1666" spans="5:38" x14ac:dyDescent="0.25">
      <c r="I1666" t="str">
        <f t="shared" si="134"/>
        <v>ninjamas</v>
      </c>
      <c r="J1666" t="str">
        <f t="shared" si="135"/>
        <v/>
      </c>
      <c r="L1666" t="str">
        <f t="shared" si="138"/>
        <v>NGM-217 / ADM-012 (MVS), NGH-217 / ADH-012 (AES)</v>
      </c>
      <c r="M1666" t="str">
        <f t="shared" si="138"/>
        <v>19960527 (MVS), 19960628 (AES)</v>
      </c>
      <c r="N1666" t="str">
        <f t="shared" si="138"/>
        <v>ニンジャマスターズ 覇王忍法帖</v>
      </c>
      <c r="O1666" t="str">
        <f t="shared" si="138"/>
        <v/>
      </c>
      <c r="P1666" t="str">
        <f t="shared" si="138"/>
        <v/>
      </c>
      <c r="T1666" t="str">
        <f t="shared" si="136"/>
        <v/>
      </c>
      <c r="V1666" t="str">
        <f t="shared" si="137"/>
        <v>MVS,AES</v>
      </c>
      <c r="W1666" t="str">
        <f t="shared" si="137"/>
        <v>MVS,AES</v>
      </c>
      <c r="AG1666" t="s">
        <v>6</v>
      </c>
      <c r="AH1666" t="s">
        <v>3525</v>
      </c>
      <c r="AI1666" t="s">
        <v>164</v>
      </c>
      <c r="AJ1666" t="s">
        <v>11</v>
      </c>
      <c r="AK1666" t="s">
        <v>3524</v>
      </c>
      <c r="AL1666" t="s">
        <v>3523</v>
      </c>
    </row>
    <row r="1667" spans="5:38" x14ac:dyDescent="0.25">
      <c r="I1667" t="str">
        <f t="shared" ref="I1667:I1730" si="139">IF(E1667="",I1666,E1667)</f>
        <v>ninjamas</v>
      </c>
      <c r="J1667" t="str">
        <f t="shared" ref="J1667:J1730" si="140">IF(K1667="","",I1667&amp;K1667)</f>
        <v/>
      </c>
      <c r="L1667" t="str">
        <f t="shared" si="138"/>
        <v>NGM-217 / ADM-012 (MVS), NGH-217 / ADH-012 (AES)</v>
      </c>
      <c r="M1667" t="str">
        <f t="shared" si="138"/>
        <v>19960527 (MVS), 19960628 (AES)</v>
      </c>
      <c r="N1667" t="str">
        <f t="shared" si="138"/>
        <v>ニンジャマスターズ 覇王忍法帖</v>
      </c>
      <c r="O1667" t="str">
        <f t="shared" si="138"/>
        <v/>
      </c>
      <c r="P1667" t="str">
        <f t="shared" si="138"/>
        <v/>
      </c>
      <c r="T1667" t="str">
        <f t="shared" ref="T1667:T1730" si="141">IF(S1667="","",I1667&amp;S1667)</f>
        <v/>
      </c>
      <c r="V1667" t="str">
        <f t="shared" si="137"/>
        <v>MVS,AES</v>
      </c>
      <c r="W1667" t="str">
        <f t="shared" si="137"/>
        <v>MVS,AES</v>
      </c>
      <c r="AG1667" t="s">
        <v>6</v>
      </c>
      <c r="AH1667" t="s">
        <v>3522</v>
      </c>
      <c r="AI1667" t="s">
        <v>634</v>
      </c>
      <c r="AJ1667" t="s">
        <v>11</v>
      </c>
      <c r="AK1667" t="s">
        <v>3521</v>
      </c>
      <c r="AL1667" t="s">
        <v>3520</v>
      </c>
    </row>
    <row r="1668" spans="5:38" x14ac:dyDescent="0.25">
      <c r="I1668" t="str">
        <f t="shared" si="139"/>
        <v>ninjamas</v>
      </c>
      <c r="J1668" t="str">
        <f t="shared" si="140"/>
        <v/>
      </c>
      <c r="L1668" t="str">
        <f t="shared" si="138"/>
        <v>NGM-217 / ADM-012 (MVS), NGH-217 / ADH-012 (AES)</v>
      </c>
      <c r="M1668" t="str">
        <f t="shared" si="138"/>
        <v>19960527 (MVS), 19960628 (AES)</v>
      </c>
      <c r="N1668" t="str">
        <f t="shared" si="138"/>
        <v>ニンジャマスターズ 覇王忍法帖</v>
      </c>
      <c r="O1668" t="str">
        <f t="shared" si="138"/>
        <v/>
      </c>
      <c r="P1668" t="str">
        <f t="shared" si="138"/>
        <v/>
      </c>
      <c r="T1668" t="str">
        <f t="shared" si="141"/>
        <v/>
      </c>
      <c r="V1668" t="str">
        <f t="shared" si="137"/>
        <v>MVS,AES</v>
      </c>
      <c r="W1668" t="str">
        <f t="shared" si="137"/>
        <v>MVS,AES</v>
      </c>
      <c r="AG1668" t="s">
        <v>6</v>
      </c>
      <c r="AH1668" t="s">
        <v>3519</v>
      </c>
      <c r="AI1668" t="s">
        <v>630</v>
      </c>
      <c r="AJ1668" t="s">
        <v>11</v>
      </c>
      <c r="AK1668" t="s">
        <v>3518</v>
      </c>
      <c r="AL1668" t="s">
        <v>3517</v>
      </c>
    </row>
    <row r="1669" spans="5:38" x14ac:dyDescent="0.25">
      <c r="E1669" t="s">
        <v>3516</v>
      </c>
      <c r="F1669" t="s">
        <v>3515</v>
      </c>
      <c r="G1669" t="s">
        <v>1280</v>
      </c>
      <c r="H1669" t="s">
        <v>2520</v>
      </c>
      <c r="I1669" t="str">
        <f t="shared" si="139"/>
        <v>ragnagrd</v>
      </c>
      <c r="J1669" t="str">
        <f t="shared" si="140"/>
        <v>ragnagrdserial</v>
      </c>
      <c r="K1669" t="s">
        <v>1373</v>
      </c>
      <c r="L1669" t="str">
        <f t="shared" si="138"/>
        <v>NGM-218 (MVS), NGH-218 (AES)</v>
      </c>
      <c r="M1669" t="str">
        <f t="shared" si="138"/>
        <v>19960613 (MVS), 19960726 (AES)</v>
      </c>
      <c r="N1669" t="str">
        <f t="shared" si="138"/>
        <v>神凰拳</v>
      </c>
      <c r="O1669" t="str">
        <f t="shared" si="138"/>
        <v/>
      </c>
      <c r="P1669" t="str">
        <f t="shared" si="138"/>
        <v/>
      </c>
      <c r="Q1669" t="s">
        <v>3514</v>
      </c>
      <c r="S1669" t="s">
        <v>46</v>
      </c>
      <c r="T1669" t="str">
        <f t="shared" si="141"/>
        <v>ragnagrdrelease</v>
      </c>
      <c r="U1669" t="s">
        <v>218</v>
      </c>
      <c r="V1669" t="str">
        <f t="shared" si="137"/>
        <v>MVS,AES</v>
      </c>
      <c r="W1669" t="str">
        <f t="shared" si="137"/>
        <v>MVS,AES</v>
      </c>
      <c r="Y1669" t="s">
        <v>45</v>
      </c>
      <c r="Z1669" t="s">
        <v>44</v>
      </c>
      <c r="AB1669" t="s">
        <v>43</v>
      </c>
      <c r="AC1669" t="s">
        <v>42</v>
      </c>
      <c r="AD1669" t="s">
        <v>41</v>
      </c>
      <c r="AE1669" t="s">
        <v>3</v>
      </c>
      <c r="AG1669" t="s">
        <v>40</v>
      </c>
      <c r="AH1669" t="s">
        <v>3513</v>
      </c>
      <c r="AI1669" t="s">
        <v>15</v>
      </c>
      <c r="AJ1669" t="s">
        <v>15</v>
      </c>
      <c r="AK1669" t="s">
        <v>3512</v>
      </c>
      <c r="AL1669" t="s">
        <v>3511</v>
      </c>
    </row>
    <row r="1670" spans="5:38" x14ac:dyDescent="0.25">
      <c r="I1670" t="str">
        <f t="shared" si="139"/>
        <v>ragnagrd</v>
      </c>
      <c r="J1670" t="str">
        <f t="shared" si="140"/>
        <v>ragnagrdrelease</v>
      </c>
      <c r="K1670" t="s">
        <v>46</v>
      </c>
      <c r="L1670" t="str">
        <f t="shared" si="138"/>
        <v>NGM-218 (MVS), NGH-218 (AES)</v>
      </c>
      <c r="M1670" t="str">
        <f t="shared" si="138"/>
        <v>19960613 (MVS), 19960726 (AES)</v>
      </c>
      <c r="N1670" t="str">
        <f t="shared" si="138"/>
        <v>神凰拳</v>
      </c>
      <c r="O1670" t="str">
        <f t="shared" si="138"/>
        <v/>
      </c>
      <c r="P1670" t="str">
        <f t="shared" si="138"/>
        <v/>
      </c>
      <c r="Q1670" t="s">
        <v>3510</v>
      </c>
      <c r="T1670" t="str">
        <f t="shared" si="141"/>
        <v/>
      </c>
      <c r="V1670" t="str">
        <f t="shared" si="137"/>
        <v>MVS,AES</v>
      </c>
      <c r="W1670" t="str">
        <f t="shared" si="137"/>
        <v>MVS,AES</v>
      </c>
      <c r="AG1670" t="s">
        <v>224</v>
      </c>
      <c r="AI1670" t="s">
        <v>9</v>
      </c>
      <c r="AJ1670" t="s">
        <v>15</v>
      </c>
    </row>
    <row r="1671" spans="5:38" x14ac:dyDescent="0.25">
      <c r="I1671" t="str">
        <f t="shared" si="139"/>
        <v>ragnagrd</v>
      </c>
      <c r="J1671" t="str">
        <f t="shared" si="140"/>
        <v>ragnagrdalt_title</v>
      </c>
      <c r="K1671" t="s">
        <v>1218</v>
      </c>
      <c r="L1671" t="str">
        <f t="shared" si="138"/>
        <v>NGM-218 (MVS), NGH-218 (AES)</v>
      </c>
      <c r="M1671" t="str">
        <f t="shared" si="138"/>
        <v>19960613 (MVS), 19960726 (AES)</v>
      </c>
      <c r="N1671" t="str">
        <f t="shared" si="138"/>
        <v>神凰拳</v>
      </c>
      <c r="O1671" t="str">
        <f t="shared" si="138"/>
        <v/>
      </c>
      <c r="P1671" t="str">
        <f t="shared" si="138"/>
        <v/>
      </c>
      <c r="Q1671" t="s">
        <v>3509</v>
      </c>
      <c r="T1671" t="str">
        <f t="shared" si="141"/>
        <v/>
      </c>
      <c r="V1671" t="str">
        <f t="shared" si="137"/>
        <v>MVS,AES</v>
      </c>
      <c r="W1671" t="str">
        <f t="shared" si="137"/>
        <v>MVS,AES</v>
      </c>
      <c r="AB1671" t="s">
        <v>34</v>
      </c>
      <c r="AE1671" t="s">
        <v>33</v>
      </c>
      <c r="AH1671" t="s">
        <v>3508</v>
      </c>
      <c r="AI1671" t="s">
        <v>9</v>
      </c>
      <c r="AJ1671" t="s">
        <v>27</v>
      </c>
      <c r="AK1671" t="s">
        <v>3507</v>
      </c>
      <c r="AL1671" t="s">
        <v>3506</v>
      </c>
    </row>
    <row r="1672" spans="5:38" x14ac:dyDescent="0.25">
      <c r="I1672" t="str">
        <f t="shared" si="139"/>
        <v>ragnagrd</v>
      </c>
      <c r="J1672" t="str">
        <f t="shared" si="140"/>
        <v/>
      </c>
      <c r="L1672" t="str">
        <f t="shared" si="138"/>
        <v>NGM-218 (MVS), NGH-218 (AES)</v>
      </c>
      <c r="M1672" t="str">
        <f t="shared" si="138"/>
        <v>19960613 (MVS), 19960726 (AES)</v>
      </c>
      <c r="N1672" t="str">
        <f t="shared" si="138"/>
        <v>神凰拳</v>
      </c>
      <c r="O1672" t="str">
        <f t="shared" si="138"/>
        <v/>
      </c>
      <c r="P1672" t="str">
        <f t="shared" si="138"/>
        <v/>
      </c>
      <c r="S1672" t="s">
        <v>36</v>
      </c>
      <c r="T1672" t="str">
        <f t="shared" si="141"/>
        <v>ragnagrdcompatibility</v>
      </c>
      <c r="U1672" t="s">
        <v>218</v>
      </c>
      <c r="V1672" t="str">
        <f t="shared" si="137"/>
        <v>MVS,AES</v>
      </c>
      <c r="W1672" t="str">
        <f t="shared" si="137"/>
        <v>MVS,AES</v>
      </c>
      <c r="AB1672" t="s">
        <v>29</v>
      </c>
      <c r="AE1672" t="s">
        <v>27</v>
      </c>
      <c r="AH1672" t="s">
        <v>3505</v>
      </c>
      <c r="AI1672" t="s">
        <v>9</v>
      </c>
      <c r="AJ1672" t="s">
        <v>27</v>
      </c>
      <c r="AK1672" t="s">
        <v>3504</v>
      </c>
      <c r="AL1672" t="s">
        <v>3503</v>
      </c>
    </row>
    <row r="1673" spans="5:38" x14ac:dyDescent="0.25">
      <c r="I1673" t="str">
        <f t="shared" si="139"/>
        <v>ragnagrd</v>
      </c>
      <c r="J1673" t="str">
        <f t="shared" si="140"/>
        <v/>
      </c>
      <c r="L1673" t="str">
        <f t="shared" si="138"/>
        <v>NGM-218 (MVS), NGH-218 (AES)</v>
      </c>
      <c r="M1673" t="str">
        <f t="shared" si="138"/>
        <v>19960613 (MVS), 19960726 (AES)</v>
      </c>
      <c r="N1673" t="str">
        <f t="shared" si="138"/>
        <v>神凰拳</v>
      </c>
      <c r="O1673" t="str">
        <f t="shared" si="138"/>
        <v/>
      </c>
      <c r="P1673" t="str">
        <f t="shared" si="138"/>
        <v/>
      </c>
      <c r="T1673" t="str">
        <f t="shared" si="141"/>
        <v/>
      </c>
      <c r="V1673" t="str">
        <f t="shared" si="137"/>
        <v>MVS,AES</v>
      </c>
      <c r="W1673" t="str">
        <f t="shared" si="137"/>
        <v>MVS,AES</v>
      </c>
      <c r="AB1673" t="s">
        <v>24</v>
      </c>
      <c r="AE1673" t="s">
        <v>57</v>
      </c>
      <c r="AH1673" t="s">
        <v>3502</v>
      </c>
      <c r="AI1673" t="s">
        <v>9</v>
      </c>
      <c r="AJ1673" t="s">
        <v>11</v>
      </c>
      <c r="AK1673" t="s">
        <v>3501</v>
      </c>
      <c r="AL1673" t="s">
        <v>3500</v>
      </c>
    </row>
    <row r="1674" spans="5:38" x14ac:dyDescent="0.25">
      <c r="I1674" t="str">
        <f t="shared" si="139"/>
        <v>ragnagrd</v>
      </c>
      <c r="J1674" t="str">
        <f t="shared" si="140"/>
        <v/>
      </c>
      <c r="L1674" t="str">
        <f t="shared" si="138"/>
        <v>NGM-218 (MVS), NGH-218 (AES)</v>
      </c>
      <c r="M1674" t="str">
        <f t="shared" si="138"/>
        <v>19960613 (MVS), 19960726 (AES)</v>
      </c>
      <c r="N1674" t="str">
        <f t="shared" si="138"/>
        <v>神凰拳</v>
      </c>
      <c r="O1674" t="str">
        <f t="shared" si="138"/>
        <v/>
      </c>
      <c r="P1674" t="str">
        <f t="shared" si="138"/>
        <v/>
      </c>
      <c r="T1674" t="str">
        <f t="shared" si="141"/>
        <v/>
      </c>
      <c r="V1674" t="str">
        <f t="shared" si="137"/>
        <v>MVS,AES</v>
      </c>
      <c r="W1674" t="str">
        <f t="shared" si="137"/>
        <v>MVS,AES</v>
      </c>
      <c r="AH1674" t="s">
        <v>3499</v>
      </c>
      <c r="AI1674" t="s">
        <v>11</v>
      </c>
      <c r="AJ1674" t="s">
        <v>11</v>
      </c>
      <c r="AK1674" t="s">
        <v>3498</v>
      </c>
      <c r="AL1674" t="s">
        <v>3497</v>
      </c>
    </row>
    <row r="1675" spans="5:38" x14ac:dyDescent="0.25">
      <c r="I1675" t="str">
        <f t="shared" si="139"/>
        <v>ragnagrd</v>
      </c>
      <c r="J1675" t="str">
        <f t="shared" si="140"/>
        <v/>
      </c>
      <c r="L1675" t="str">
        <f t="shared" si="138"/>
        <v>NGM-218 (MVS), NGH-218 (AES)</v>
      </c>
      <c r="M1675" t="str">
        <f t="shared" si="138"/>
        <v>19960613 (MVS), 19960726 (AES)</v>
      </c>
      <c r="N1675" t="str">
        <f t="shared" si="138"/>
        <v>神凰拳</v>
      </c>
      <c r="O1675" t="str">
        <f t="shared" si="138"/>
        <v/>
      </c>
      <c r="P1675" t="str">
        <f t="shared" si="138"/>
        <v/>
      </c>
      <c r="T1675" t="str">
        <f t="shared" si="141"/>
        <v/>
      </c>
      <c r="V1675" t="str">
        <f t="shared" si="137"/>
        <v>MVS,AES</v>
      </c>
      <c r="W1675" t="str">
        <f t="shared" si="137"/>
        <v>MVS,AES</v>
      </c>
      <c r="AB1675" t="s">
        <v>12</v>
      </c>
      <c r="AE1675" t="s">
        <v>160</v>
      </c>
      <c r="AG1675" t="s">
        <v>6</v>
      </c>
      <c r="AH1675" t="s">
        <v>3496</v>
      </c>
      <c r="AI1675" t="s">
        <v>9</v>
      </c>
      <c r="AJ1675" t="s">
        <v>11</v>
      </c>
      <c r="AK1675" t="s">
        <v>3495</v>
      </c>
      <c r="AL1675" t="s">
        <v>3494</v>
      </c>
    </row>
    <row r="1676" spans="5:38" x14ac:dyDescent="0.25">
      <c r="I1676" t="str">
        <f t="shared" si="139"/>
        <v>ragnagrd</v>
      </c>
      <c r="J1676" t="str">
        <f t="shared" si="140"/>
        <v/>
      </c>
      <c r="L1676" t="str">
        <f t="shared" si="138"/>
        <v>NGM-218 (MVS), NGH-218 (AES)</v>
      </c>
      <c r="M1676" t="str">
        <f t="shared" si="138"/>
        <v>19960613 (MVS), 19960726 (AES)</v>
      </c>
      <c r="N1676" t="str">
        <f t="shared" si="138"/>
        <v>神凰拳</v>
      </c>
      <c r="O1676" t="str">
        <f t="shared" si="138"/>
        <v/>
      </c>
      <c r="P1676" t="str">
        <f t="shared" si="138"/>
        <v/>
      </c>
      <c r="T1676" t="str">
        <f t="shared" si="141"/>
        <v/>
      </c>
      <c r="V1676" t="str">
        <f t="shared" si="137"/>
        <v>MVS,AES</v>
      </c>
      <c r="W1676" t="str">
        <f t="shared" si="137"/>
        <v>MVS,AES</v>
      </c>
      <c r="AG1676" t="s">
        <v>6</v>
      </c>
      <c r="AH1676" t="s">
        <v>3493</v>
      </c>
      <c r="AI1676" t="s">
        <v>4</v>
      </c>
      <c r="AJ1676" t="s">
        <v>11</v>
      </c>
      <c r="AK1676" t="s">
        <v>3492</v>
      </c>
      <c r="AL1676" t="s">
        <v>3491</v>
      </c>
    </row>
    <row r="1677" spans="5:38" x14ac:dyDescent="0.25">
      <c r="I1677" t="str">
        <f t="shared" si="139"/>
        <v>ragnagrd</v>
      </c>
      <c r="J1677" t="str">
        <f t="shared" si="140"/>
        <v/>
      </c>
      <c r="L1677" t="str">
        <f t="shared" si="138"/>
        <v>NGM-218 (MVS), NGH-218 (AES)</v>
      </c>
      <c r="M1677" t="str">
        <f t="shared" si="138"/>
        <v>19960613 (MVS), 19960726 (AES)</v>
      </c>
      <c r="N1677" t="str">
        <f t="shared" si="138"/>
        <v>神凰拳</v>
      </c>
      <c r="O1677" t="str">
        <f t="shared" si="138"/>
        <v/>
      </c>
      <c r="P1677" t="str">
        <f t="shared" si="138"/>
        <v/>
      </c>
      <c r="T1677" t="str">
        <f t="shared" si="141"/>
        <v/>
      </c>
      <c r="V1677" t="str">
        <f t="shared" si="137"/>
        <v>MVS,AES</v>
      </c>
      <c r="W1677" t="str">
        <f t="shared" si="137"/>
        <v>MVS,AES</v>
      </c>
      <c r="AG1677" t="s">
        <v>6</v>
      </c>
      <c r="AH1677" t="s">
        <v>3490</v>
      </c>
      <c r="AI1677" t="s">
        <v>57</v>
      </c>
      <c r="AJ1677" t="s">
        <v>11</v>
      </c>
      <c r="AK1677" t="s">
        <v>3489</v>
      </c>
      <c r="AL1677" t="s">
        <v>3488</v>
      </c>
    </row>
    <row r="1678" spans="5:38" x14ac:dyDescent="0.25">
      <c r="I1678" t="str">
        <f t="shared" si="139"/>
        <v>ragnagrd</v>
      </c>
      <c r="J1678" t="str">
        <f t="shared" si="140"/>
        <v/>
      </c>
      <c r="L1678" t="str">
        <f t="shared" si="138"/>
        <v>NGM-218 (MVS), NGH-218 (AES)</v>
      </c>
      <c r="M1678" t="str">
        <f t="shared" si="138"/>
        <v>19960613 (MVS), 19960726 (AES)</v>
      </c>
      <c r="N1678" t="str">
        <f t="shared" si="138"/>
        <v>神凰拳</v>
      </c>
      <c r="O1678" t="str">
        <f t="shared" si="138"/>
        <v/>
      </c>
      <c r="P1678" t="str">
        <f t="shared" si="138"/>
        <v/>
      </c>
      <c r="T1678" t="str">
        <f t="shared" si="141"/>
        <v/>
      </c>
      <c r="V1678" t="str">
        <f t="shared" si="137"/>
        <v>MVS,AES</v>
      </c>
      <c r="W1678" t="str">
        <f t="shared" si="137"/>
        <v>MVS,AES</v>
      </c>
      <c r="AG1678" t="s">
        <v>6</v>
      </c>
      <c r="AH1678" t="s">
        <v>3487</v>
      </c>
      <c r="AI1678" t="s">
        <v>53</v>
      </c>
      <c r="AJ1678" t="s">
        <v>11</v>
      </c>
      <c r="AK1678" t="s">
        <v>3486</v>
      </c>
      <c r="AL1678" t="s">
        <v>3485</v>
      </c>
    </row>
    <row r="1679" spans="5:38" x14ac:dyDescent="0.25">
      <c r="I1679" t="str">
        <f t="shared" si="139"/>
        <v>ragnagrd</v>
      </c>
      <c r="J1679" t="str">
        <f t="shared" si="140"/>
        <v/>
      </c>
      <c r="L1679" t="str">
        <f t="shared" si="138"/>
        <v>NGM-218 (MVS), NGH-218 (AES)</v>
      </c>
      <c r="M1679" t="str">
        <f t="shared" si="138"/>
        <v>19960613 (MVS), 19960726 (AES)</v>
      </c>
      <c r="N1679" t="str">
        <f t="shared" si="138"/>
        <v>神凰拳</v>
      </c>
      <c r="O1679" t="str">
        <f t="shared" si="138"/>
        <v/>
      </c>
      <c r="P1679" t="str">
        <f t="shared" si="138"/>
        <v/>
      </c>
      <c r="T1679" t="str">
        <f t="shared" si="141"/>
        <v/>
      </c>
      <c r="V1679" t="str">
        <f t="shared" si="137"/>
        <v>MVS,AES</v>
      </c>
      <c r="W1679" t="str">
        <f t="shared" si="137"/>
        <v>MVS,AES</v>
      </c>
      <c r="AG1679" t="s">
        <v>6</v>
      </c>
      <c r="AH1679" t="s">
        <v>3484</v>
      </c>
      <c r="AI1679" t="s">
        <v>65</v>
      </c>
      <c r="AJ1679" t="s">
        <v>11</v>
      </c>
      <c r="AK1679" t="s">
        <v>3483</v>
      </c>
      <c r="AL1679" t="s">
        <v>3482</v>
      </c>
    </row>
    <row r="1680" spans="5:38" x14ac:dyDescent="0.25">
      <c r="I1680" t="str">
        <f t="shared" si="139"/>
        <v>ragnagrd</v>
      </c>
      <c r="J1680" t="str">
        <f t="shared" si="140"/>
        <v/>
      </c>
      <c r="L1680" t="str">
        <f t="shared" si="138"/>
        <v>NGM-218 (MVS), NGH-218 (AES)</v>
      </c>
      <c r="M1680" t="str">
        <f t="shared" si="138"/>
        <v>19960613 (MVS), 19960726 (AES)</v>
      </c>
      <c r="N1680" t="str">
        <f t="shared" si="138"/>
        <v>神凰拳</v>
      </c>
      <c r="O1680" t="str">
        <f t="shared" si="138"/>
        <v/>
      </c>
      <c r="P1680" t="str">
        <f t="shared" si="138"/>
        <v/>
      </c>
      <c r="T1680" t="str">
        <f t="shared" si="141"/>
        <v/>
      </c>
      <c r="V1680" t="str">
        <f t="shared" si="137"/>
        <v>MVS,AES</v>
      </c>
      <c r="W1680" t="str">
        <f t="shared" si="137"/>
        <v>MVS,AES</v>
      </c>
      <c r="AG1680" t="s">
        <v>6</v>
      </c>
      <c r="AH1680" t="s">
        <v>3481</v>
      </c>
      <c r="AI1680" t="s">
        <v>164</v>
      </c>
      <c r="AJ1680" t="s">
        <v>11</v>
      </c>
      <c r="AK1680" t="s">
        <v>3480</v>
      </c>
      <c r="AL1680" t="s">
        <v>3479</v>
      </c>
    </row>
    <row r="1681" spans="5:38" x14ac:dyDescent="0.25">
      <c r="I1681" t="str">
        <f t="shared" si="139"/>
        <v>ragnagrd</v>
      </c>
      <c r="J1681" t="str">
        <f t="shared" si="140"/>
        <v/>
      </c>
      <c r="L1681" t="str">
        <f t="shared" si="138"/>
        <v>NGM-218 (MVS), NGH-218 (AES)</v>
      </c>
      <c r="M1681" t="str">
        <f t="shared" si="138"/>
        <v>19960613 (MVS), 19960726 (AES)</v>
      </c>
      <c r="N1681" t="str">
        <f t="shared" si="138"/>
        <v>神凰拳</v>
      </c>
      <c r="O1681" t="str">
        <f t="shared" si="138"/>
        <v/>
      </c>
      <c r="P1681" t="str">
        <f t="shared" si="138"/>
        <v/>
      </c>
      <c r="T1681" t="str">
        <f t="shared" si="141"/>
        <v/>
      </c>
      <c r="V1681" t="str">
        <f t="shared" si="137"/>
        <v>MVS,AES</v>
      </c>
      <c r="W1681" t="str">
        <f t="shared" si="137"/>
        <v>MVS,AES</v>
      </c>
      <c r="AG1681" t="s">
        <v>6</v>
      </c>
      <c r="AH1681" t="s">
        <v>3478</v>
      </c>
      <c r="AI1681" t="s">
        <v>634</v>
      </c>
      <c r="AJ1681" t="s">
        <v>11</v>
      </c>
      <c r="AK1681" t="s">
        <v>3477</v>
      </c>
      <c r="AL1681" t="s">
        <v>3476</v>
      </c>
    </row>
    <row r="1682" spans="5:38" x14ac:dyDescent="0.25">
      <c r="I1682" t="str">
        <f t="shared" si="139"/>
        <v>ragnagrd</v>
      </c>
      <c r="J1682" t="str">
        <f t="shared" si="140"/>
        <v/>
      </c>
      <c r="L1682" t="str">
        <f t="shared" si="138"/>
        <v>NGM-218 (MVS), NGH-218 (AES)</v>
      </c>
      <c r="M1682" t="str">
        <f t="shared" si="138"/>
        <v>19960613 (MVS), 19960726 (AES)</v>
      </c>
      <c r="N1682" t="str">
        <f t="shared" si="138"/>
        <v>神凰拳</v>
      </c>
      <c r="O1682" t="str">
        <f t="shared" si="138"/>
        <v/>
      </c>
      <c r="P1682" t="str">
        <f t="shared" si="138"/>
        <v/>
      </c>
      <c r="T1682" t="str">
        <f t="shared" si="141"/>
        <v/>
      </c>
      <c r="V1682" t="str">
        <f t="shared" si="137"/>
        <v>MVS,AES</v>
      </c>
      <c r="W1682" t="str">
        <f t="shared" si="137"/>
        <v>MVS,AES</v>
      </c>
      <c r="AG1682" t="s">
        <v>6</v>
      </c>
      <c r="AH1682" t="s">
        <v>3475</v>
      </c>
      <c r="AI1682" t="s">
        <v>630</v>
      </c>
      <c r="AJ1682" t="s">
        <v>11</v>
      </c>
      <c r="AK1682" t="s">
        <v>3474</v>
      </c>
      <c r="AL1682" t="s">
        <v>3473</v>
      </c>
    </row>
    <row r="1683" spans="5:38" x14ac:dyDescent="0.25">
      <c r="E1683" t="s">
        <v>3472</v>
      </c>
      <c r="F1683" t="s">
        <v>3471</v>
      </c>
      <c r="G1683" t="s">
        <v>1280</v>
      </c>
      <c r="H1683" t="s">
        <v>2520</v>
      </c>
      <c r="I1683" t="str">
        <f t="shared" si="139"/>
        <v>pgoal</v>
      </c>
      <c r="J1683" t="str">
        <f t="shared" si="140"/>
        <v>pgoalserial</v>
      </c>
      <c r="K1683" t="s">
        <v>1373</v>
      </c>
      <c r="L1683" t="str">
        <f t="shared" si="138"/>
        <v>NGM-219</v>
      </c>
      <c r="M1683" t="str">
        <f t="shared" si="138"/>
        <v/>
      </c>
      <c r="N1683" t="str">
        <f t="shared" si="138"/>
        <v>フットサル</v>
      </c>
      <c r="O1683" t="str">
        <f t="shared" si="138"/>
        <v/>
      </c>
      <c r="P1683" t="str">
        <f t="shared" si="138"/>
        <v/>
      </c>
      <c r="Q1683" t="s">
        <v>3470</v>
      </c>
      <c r="S1683" t="s">
        <v>46</v>
      </c>
      <c r="T1683" t="str">
        <f t="shared" si="141"/>
        <v>pgoalrelease</v>
      </c>
      <c r="U1683" t="s">
        <v>106</v>
      </c>
      <c r="V1683" t="str">
        <f t="shared" si="137"/>
        <v>MVS</v>
      </c>
      <c r="W1683" t="str">
        <f t="shared" si="137"/>
        <v>MVS,AES</v>
      </c>
      <c r="Y1683" t="s">
        <v>45</v>
      </c>
      <c r="Z1683" t="s">
        <v>44</v>
      </c>
      <c r="AB1683" t="s">
        <v>43</v>
      </c>
      <c r="AC1683" t="s">
        <v>42</v>
      </c>
      <c r="AD1683" t="s">
        <v>41</v>
      </c>
      <c r="AE1683" t="s">
        <v>3</v>
      </c>
      <c r="AG1683" t="s">
        <v>40</v>
      </c>
      <c r="AH1683" t="s">
        <v>3469</v>
      </c>
      <c r="AI1683" t="s">
        <v>15</v>
      </c>
      <c r="AJ1683" t="s">
        <v>15</v>
      </c>
      <c r="AK1683" t="s">
        <v>3468</v>
      </c>
      <c r="AL1683" t="s">
        <v>3467</v>
      </c>
    </row>
    <row r="1684" spans="5:38" x14ac:dyDescent="0.25">
      <c r="I1684" t="str">
        <f t="shared" si="139"/>
        <v>pgoal</v>
      </c>
      <c r="J1684" t="str">
        <f t="shared" si="140"/>
        <v>pgoalalt_title</v>
      </c>
      <c r="K1684" t="s">
        <v>1218</v>
      </c>
      <c r="L1684" t="str">
        <f t="shared" si="138"/>
        <v>NGM-219</v>
      </c>
      <c r="M1684" t="str">
        <f t="shared" si="138"/>
        <v/>
      </c>
      <c r="N1684" t="str">
        <f t="shared" si="138"/>
        <v>フットサル</v>
      </c>
      <c r="O1684" t="str">
        <f t="shared" si="138"/>
        <v/>
      </c>
      <c r="P1684" t="str">
        <f t="shared" si="138"/>
        <v/>
      </c>
      <c r="Q1684" t="s">
        <v>3466</v>
      </c>
      <c r="T1684" t="str">
        <f t="shared" si="141"/>
        <v/>
      </c>
      <c r="V1684" t="str">
        <f t="shared" si="137"/>
        <v>MVS</v>
      </c>
      <c r="W1684" t="str">
        <f t="shared" si="137"/>
        <v>MVS,AES</v>
      </c>
      <c r="AG1684" t="s">
        <v>224</v>
      </c>
      <c r="AI1684" t="s">
        <v>9</v>
      </c>
      <c r="AJ1684" t="s">
        <v>15</v>
      </c>
    </row>
    <row r="1685" spans="5:38" x14ac:dyDescent="0.25">
      <c r="I1685" t="str">
        <f t="shared" si="139"/>
        <v>pgoal</v>
      </c>
      <c r="J1685" t="str">
        <f t="shared" si="140"/>
        <v/>
      </c>
      <c r="L1685" t="str">
        <f t="shared" si="138"/>
        <v>NGM-219</v>
      </c>
      <c r="M1685" t="str">
        <f t="shared" si="138"/>
        <v/>
      </c>
      <c r="N1685" t="str">
        <f t="shared" si="138"/>
        <v>フットサル</v>
      </c>
      <c r="O1685" t="str">
        <f t="shared" si="138"/>
        <v/>
      </c>
      <c r="P1685" t="str">
        <f t="shared" si="138"/>
        <v/>
      </c>
      <c r="S1685" t="s">
        <v>36</v>
      </c>
      <c r="T1685" t="str">
        <f t="shared" si="141"/>
        <v>pgoalcompatibility</v>
      </c>
      <c r="U1685" t="s">
        <v>218</v>
      </c>
      <c r="V1685" t="str">
        <f t="shared" si="137"/>
        <v>MVS</v>
      </c>
      <c r="W1685" t="str">
        <f t="shared" si="137"/>
        <v>MVS,AES</v>
      </c>
      <c r="AB1685" t="s">
        <v>34</v>
      </c>
      <c r="AE1685" t="s">
        <v>33</v>
      </c>
      <c r="AH1685" t="s">
        <v>3465</v>
      </c>
      <c r="AI1685" t="s">
        <v>9</v>
      </c>
      <c r="AJ1685" t="s">
        <v>27</v>
      </c>
      <c r="AK1685" t="s">
        <v>3464</v>
      </c>
      <c r="AL1685" t="s">
        <v>3463</v>
      </c>
    </row>
    <row r="1686" spans="5:38" x14ac:dyDescent="0.25">
      <c r="I1686" t="str">
        <f t="shared" si="139"/>
        <v>pgoal</v>
      </c>
      <c r="J1686" t="str">
        <f t="shared" si="140"/>
        <v/>
      </c>
      <c r="L1686" t="str">
        <f t="shared" si="138"/>
        <v>NGM-219</v>
      </c>
      <c r="M1686" t="str">
        <f t="shared" si="138"/>
        <v/>
      </c>
      <c r="N1686" t="str">
        <f t="shared" si="138"/>
        <v>フットサル</v>
      </c>
      <c r="O1686" t="str">
        <f t="shared" si="138"/>
        <v/>
      </c>
      <c r="P1686" t="str">
        <f t="shared" si="138"/>
        <v/>
      </c>
      <c r="T1686" t="str">
        <f t="shared" si="141"/>
        <v/>
      </c>
      <c r="V1686" t="str">
        <f t="shared" si="137"/>
        <v>MVS</v>
      </c>
      <c r="W1686" t="str">
        <f t="shared" si="137"/>
        <v>MVS,AES</v>
      </c>
      <c r="AB1686" t="s">
        <v>29</v>
      </c>
      <c r="AE1686" t="s">
        <v>27</v>
      </c>
      <c r="AH1686" t="s">
        <v>3462</v>
      </c>
      <c r="AI1686" t="s">
        <v>9</v>
      </c>
      <c r="AJ1686" t="s">
        <v>27</v>
      </c>
      <c r="AK1686" t="s">
        <v>3461</v>
      </c>
      <c r="AL1686" t="s">
        <v>3460</v>
      </c>
    </row>
    <row r="1687" spans="5:38" x14ac:dyDescent="0.25">
      <c r="I1687" t="str">
        <f t="shared" si="139"/>
        <v>pgoal</v>
      </c>
      <c r="J1687" t="str">
        <f t="shared" si="140"/>
        <v/>
      </c>
      <c r="L1687" t="str">
        <f t="shared" si="138"/>
        <v>NGM-219</v>
      </c>
      <c r="M1687" t="str">
        <f t="shared" si="138"/>
        <v/>
      </c>
      <c r="N1687" t="str">
        <f t="shared" si="138"/>
        <v>フットサル</v>
      </c>
      <c r="O1687" t="str">
        <f t="shared" si="138"/>
        <v/>
      </c>
      <c r="P1687" t="str">
        <f t="shared" si="138"/>
        <v/>
      </c>
      <c r="T1687" t="str">
        <f t="shared" si="141"/>
        <v/>
      </c>
      <c r="V1687" t="str">
        <f t="shared" ref="V1687:W1750" si="142">IFERROR(VLOOKUP($I1687&amp;V$1,$T:$AA,2,0),"")</f>
        <v>MVS</v>
      </c>
      <c r="W1687" t="str">
        <f t="shared" si="142"/>
        <v>MVS,AES</v>
      </c>
      <c r="AB1687" t="s">
        <v>24</v>
      </c>
      <c r="AE1687" t="s">
        <v>11</v>
      </c>
      <c r="AH1687" t="s">
        <v>3459</v>
      </c>
      <c r="AI1687" t="s">
        <v>9</v>
      </c>
      <c r="AJ1687" t="s">
        <v>11</v>
      </c>
      <c r="AK1687" t="s">
        <v>3458</v>
      </c>
      <c r="AL1687" t="s">
        <v>3457</v>
      </c>
    </row>
    <row r="1688" spans="5:38" x14ac:dyDescent="0.25">
      <c r="I1688" t="str">
        <f t="shared" si="139"/>
        <v>pgoal</v>
      </c>
      <c r="J1688" t="str">
        <f t="shared" si="140"/>
        <v/>
      </c>
      <c r="L1688" t="str">
        <f t="shared" si="138"/>
        <v>NGM-219</v>
      </c>
      <c r="M1688" t="str">
        <f t="shared" si="138"/>
        <v/>
      </c>
      <c r="N1688" t="str">
        <f t="shared" si="138"/>
        <v>フットサル</v>
      </c>
      <c r="O1688" t="str">
        <f t="shared" si="138"/>
        <v/>
      </c>
      <c r="P1688" t="str">
        <f t="shared" si="138"/>
        <v/>
      </c>
      <c r="T1688" t="str">
        <f t="shared" si="141"/>
        <v/>
      </c>
      <c r="V1688" t="str">
        <f t="shared" si="142"/>
        <v>MVS</v>
      </c>
      <c r="W1688" t="str">
        <f t="shared" si="142"/>
        <v>MVS,AES</v>
      </c>
      <c r="AB1688" t="s">
        <v>12</v>
      </c>
      <c r="AE1688" t="s">
        <v>250</v>
      </c>
      <c r="AG1688" t="s">
        <v>6</v>
      </c>
      <c r="AH1688" t="s">
        <v>3456</v>
      </c>
      <c r="AI1688" t="s">
        <v>9</v>
      </c>
      <c r="AJ1688" t="s">
        <v>11</v>
      </c>
      <c r="AK1688" t="s">
        <v>3455</v>
      </c>
      <c r="AL1688" t="s">
        <v>3454</v>
      </c>
    </row>
    <row r="1689" spans="5:38" x14ac:dyDescent="0.25">
      <c r="I1689" t="str">
        <f t="shared" si="139"/>
        <v>pgoal</v>
      </c>
      <c r="J1689" t="str">
        <f t="shared" si="140"/>
        <v/>
      </c>
      <c r="L1689" t="str">
        <f t="shared" si="138"/>
        <v>NGM-219</v>
      </c>
      <c r="M1689" t="str">
        <f t="shared" si="138"/>
        <v/>
      </c>
      <c r="N1689" t="str">
        <f t="shared" si="138"/>
        <v>フットサル</v>
      </c>
      <c r="O1689" t="str">
        <f t="shared" si="138"/>
        <v/>
      </c>
      <c r="P1689" t="str">
        <f t="shared" si="138"/>
        <v/>
      </c>
      <c r="T1689" t="str">
        <f t="shared" si="141"/>
        <v/>
      </c>
      <c r="V1689" t="str">
        <f t="shared" si="142"/>
        <v>MVS</v>
      </c>
      <c r="W1689" t="str">
        <f t="shared" si="142"/>
        <v>MVS,AES</v>
      </c>
      <c r="AG1689" t="s">
        <v>6</v>
      </c>
      <c r="AH1689" t="s">
        <v>3453</v>
      </c>
      <c r="AI1689" t="s">
        <v>4</v>
      </c>
      <c r="AJ1689" t="s">
        <v>11</v>
      </c>
      <c r="AK1689" t="s">
        <v>3452</v>
      </c>
      <c r="AL1689" t="s">
        <v>3451</v>
      </c>
    </row>
    <row r="1690" spans="5:38" x14ac:dyDescent="0.25">
      <c r="I1690" t="str">
        <f t="shared" si="139"/>
        <v>pgoal</v>
      </c>
      <c r="J1690" t="str">
        <f t="shared" si="140"/>
        <v/>
      </c>
      <c r="L1690" t="str">
        <f t="shared" si="138"/>
        <v>NGM-219</v>
      </c>
      <c r="M1690" t="str">
        <f t="shared" si="138"/>
        <v/>
      </c>
      <c r="N1690" t="str">
        <f t="shared" si="138"/>
        <v>フットサル</v>
      </c>
      <c r="O1690" t="str">
        <f t="shared" si="138"/>
        <v/>
      </c>
      <c r="P1690" t="str">
        <f t="shared" si="138"/>
        <v/>
      </c>
      <c r="T1690" t="str">
        <f t="shared" si="141"/>
        <v/>
      </c>
      <c r="V1690" t="str">
        <f t="shared" si="142"/>
        <v>MVS</v>
      </c>
      <c r="W1690" t="str">
        <f t="shared" si="142"/>
        <v>MVS,AES</v>
      </c>
      <c r="AG1690" t="s">
        <v>6</v>
      </c>
      <c r="AH1690" t="s">
        <v>3450</v>
      </c>
      <c r="AI1690" t="s">
        <v>57</v>
      </c>
      <c r="AJ1690" t="s">
        <v>3</v>
      </c>
      <c r="AK1690" t="s">
        <v>3449</v>
      </c>
      <c r="AL1690" t="s">
        <v>3448</v>
      </c>
    </row>
    <row r="1691" spans="5:38" x14ac:dyDescent="0.25">
      <c r="I1691" t="str">
        <f t="shared" si="139"/>
        <v>pgoal</v>
      </c>
      <c r="J1691" t="str">
        <f t="shared" si="140"/>
        <v/>
      </c>
      <c r="L1691" t="str">
        <f t="shared" si="138"/>
        <v>NGM-219</v>
      </c>
      <c r="M1691" t="str">
        <f t="shared" si="138"/>
        <v/>
      </c>
      <c r="N1691" t="str">
        <f t="shared" si="138"/>
        <v>フットサル</v>
      </c>
      <c r="O1691" t="str">
        <f t="shared" si="138"/>
        <v/>
      </c>
      <c r="P1691" t="str">
        <f t="shared" si="138"/>
        <v/>
      </c>
      <c r="T1691" t="str">
        <f t="shared" si="141"/>
        <v/>
      </c>
      <c r="V1691" t="str">
        <f t="shared" si="142"/>
        <v>MVS</v>
      </c>
      <c r="W1691" t="str">
        <f t="shared" si="142"/>
        <v>MVS,AES</v>
      </c>
      <c r="AG1691" t="s">
        <v>6</v>
      </c>
      <c r="AH1691" t="s">
        <v>3447</v>
      </c>
      <c r="AI1691" t="s">
        <v>53</v>
      </c>
      <c r="AJ1691" t="s">
        <v>3</v>
      </c>
      <c r="AK1691" t="s">
        <v>3446</v>
      </c>
      <c r="AL1691" t="s">
        <v>3445</v>
      </c>
    </row>
    <row r="1692" spans="5:38" x14ac:dyDescent="0.25">
      <c r="E1692" t="s">
        <v>3435</v>
      </c>
      <c r="F1692" t="s">
        <v>3444</v>
      </c>
      <c r="G1692" t="s">
        <v>1280</v>
      </c>
      <c r="H1692" t="s">
        <v>2520</v>
      </c>
      <c r="I1692" t="str">
        <f t="shared" si="139"/>
        <v>ironclad</v>
      </c>
      <c r="J1692" t="str">
        <f t="shared" si="140"/>
        <v/>
      </c>
      <c r="L1692" t="str">
        <f t="shared" si="138"/>
        <v/>
      </c>
      <c r="M1692" t="str">
        <f t="shared" si="138"/>
        <v/>
      </c>
      <c r="N1692" t="str">
        <f t="shared" si="138"/>
        <v/>
      </c>
      <c r="O1692" t="str">
        <f t="shared" si="138"/>
        <v/>
      </c>
      <c r="P1692" t="str">
        <f t="shared" si="138"/>
        <v/>
      </c>
      <c r="S1692" t="s">
        <v>46</v>
      </c>
      <c r="T1692" t="str">
        <f t="shared" si="141"/>
        <v>ironcladrelease</v>
      </c>
      <c r="U1692" t="s">
        <v>218</v>
      </c>
      <c r="V1692" t="str">
        <f t="shared" si="142"/>
        <v>MVS,AES</v>
      </c>
      <c r="W1692" t="str">
        <f t="shared" si="142"/>
        <v>MVS,AES</v>
      </c>
      <c r="Y1692" t="s">
        <v>45</v>
      </c>
      <c r="Z1692" t="s">
        <v>44</v>
      </c>
      <c r="AB1692" t="s">
        <v>43</v>
      </c>
      <c r="AC1692" t="s">
        <v>42</v>
      </c>
      <c r="AD1692" t="s">
        <v>41</v>
      </c>
      <c r="AE1692" t="s">
        <v>3</v>
      </c>
      <c r="AG1692" t="s">
        <v>40</v>
      </c>
      <c r="AH1692" t="s">
        <v>3443</v>
      </c>
      <c r="AI1692" t="s">
        <v>15</v>
      </c>
      <c r="AJ1692" t="s">
        <v>15</v>
      </c>
      <c r="AK1692" t="s">
        <v>3442</v>
      </c>
      <c r="AL1692" t="s">
        <v>3441</v>
      </c>
    </row>
    <row r="1693" spans="5:38" x14ac:dyDescent="0.25">
      <c r="I1693" t="str">
        <f t="shared" si="139"/>
        <v>ironclad</v>
      </c>
      <c r="J1693" t="str">
        <f t="shared" si="140"/>
        <v/>
      </c>
      <c r="L1693" t="str">
        <f t="shared" si="138"/>
        <v/>
      </c>
      <c r="M1693" t="str">
        <f t="shared" si="138"/>
        <v/>
      </c>
      <c r="N1693" t="str">
        <f t="shared" si="138"/>
        <v/>
      </c>
      <c r="O1693" t="str">
        <f t="shared" si="138"/>
        <v/>
      </c>
      <c r="P1693" t="str">
        <f t="shared" si="138"/>
        <v/>
      </c>
      <c r="S1693" t="s">
        <v>36</v>
      </c>
      <c r="T1693" t="str">
        <f t="shared" si="141"/>
        <v>ironcladcompatibility</v>
      </c>
      <c r="U1693" t="s">
        <v>218</v>
      </c>
      <c r="V1693" t="str">
        <f t="shared" si="142"/>
        <v>MVS,AES</v>
      </c>
      <c r="W1693" t="str">
        <f t="shared" si="142"/>
        <v>MVS,AES</v>
      </c>
      <c r="AG1693" t="s">
        <v>224</v>
      </c>
      <c r="AI1693" t="s">
        <v>9</v>
      </c>
      <c r="AJ1693" t="s">
        <v>15</v>
      </c>
    </row>
    <row r="1694" spans="5:38" x14ac:dyDescent="0.25">
      <c r="I1694" t="str">
        <f t="shared" si="139"/>
        <v>ironclad</v>
      </c>
      <c r="J1694" t="str">
        <f t="shared" si="140"/>
        <v/>
      </c>
      <c r="L1694" t="str">
        <f t="shared" si="138"/>
        <v/>
      </c>
      <c r="M1694" t="str">
        <f t="shared" si="138"/>
        <v/>
      </c>
      <c r="N1694" t="str">
        <f t="shared" si="138"/>
        <v/>
      </c>
      <c r="O1694" t="str">
        <f t="shared" si="138"/>
        <v/>
      </c>
      <c r="P1694" t="str">
        <f t="shared" si="138"/>
        <v/>
      </c>
      <c r="T1694" t="str">
        <f t="shared" si="141"/>
        <v/>
      </c>
      <c r="V1694" t="str">
        <f t="shared" si="142"/>
        <v>MVS,AES</v>
      </c>
      <c r="W1694" t="str">
        <f t="shared" si="142"/>
        <v>MVS,AES</v>
      </c>
      <c r="AB1694" t="s">
        <v>34</v>
      </c>
      <c r="AE1694" t="s">
        <v>33</v>
      </c>
      <c r="AH1694" t="s">
        <v>3434</v>
      </c>
      <c r="AI1694" t="s">
        <v>9</v>
      </c>
      <c r="AJ1694" t="s">
        <v>27</v>
      </c>
      <c r="AK1694" t="s">
        <v>3433</v>
      </c>
      <c r="AL1694" t="s">
        <v>3432</v>
      </c>
    </row>
    <row r="1695" spans="5:38" x14ac:dyDescent="0.25">
      <c r="I1695" t="str">
        <f t="shared" si="139"/>
        <v>ironclad</v>
      </c>
      <c r="J1695" t="str">
        <f t="shared" si="140"/>
        <v/>
      </c>
      <c r="L1695" t="str">
        <f t="shared" si="138"/>
        <v/>
      </c>
      <c r="M1695" t="str">
        <f t="shared" si="138"/>
        <v/>
      </c>
      <c r="N1695" t="str">
        <f t="shared" si="138"/>
        <v/>
      </c>
      <c r="O1695" t="str">
        <f t="shared" si="138"/>
        <v/>
      </c>
      <c r="P1695" t="str">
        <f t="shared" si="138"/>
        <v/>
      </c>
      <c r="T1695" t="str">
        <f t="shared" si="141"/>
        <v/>
      </c>
      <c r="V1695" t="str">
        <f t="shared" si="142"/>
        <v>MVS,AES</v>
      </c>
      <c r="W1695" t="str">
        <f t="shared" si="142"/>
        <v>MVS,AES</v>
      </c>
      <c r="AB1695" t="s">
        <v>29</v>
      </c>
      <c r="AE1695" t="s">
        <v>27</v>
      </c>
      <c r="AH1695" t="s">
        <v>3431</v>
      </c>
      <c r="AI1695" t="s">
        <v>9</v>
      </c>
      <c r="AJ1695" t="s">
        <v>27</v>
      </c>
      <c r="AK1695" t="s">
        <v>3430</v>
      </c>
      <c r="AL1695" t="s">
        <v>3429</v>
      </c>
    </row>
    <row r="1696" spans="5:38" x14ac:dyDescent="0.25">
      <c r="I1696" t="str">
        <f t="shared" si="139"/>
        <v>ironclad</v>
      </c>
      <c r="J1696" t="str">
        <f t="shared" si="140"/>
        <v/>
      </c>
      <c r="L1696" t="str">
        <f t="shared" si="138"/>
        <v/>
      </c>
      <c r="M1696" t="str">
        <f t="shared" si="138"/>
        <v/>
      </c>
      <c r="N1696" t="str">
        <f t="shared" si="138"/>
        <v/>
      </c>
      <c r="O1696" t="str">
        <f t="shared" si="138"/>
        <v/>
      </c>
      <c r="P1696" t="str">
        <f t="shared" si="138"/>
        <v/>
      </c>
      <c r="T1696" t="str">
        <f t="shared" si="141"/>
        <v/>
      </c>
      <c r="V1696" t="str">
        <f t="shared" si="142"/>
        <v>MVS,AES</v>
      </c>
      <c r="W1696" t="str">
        <f t="shared" si="142"/>
        <v>MVS,AES</v>
      </c>
      <c r="AB1696" t="s">
        <v>24</v>
      </c>
      <c r="AE1696" t="s">
        <v>11</v>
      </c>
      <c r="AH1696" t="s">
        <v>3428</v>
      </c>
      <c r="AI1696" t="s">
        <v>9</v>
      </c>
      <c r="AJ1696" t="s">
        <v>11</v>
      </c>
      <c r="AK1696" t="s">
        <v>3427</v>
      </c>
      <c r="AL1696" t="s">
        <v>3426</v>
      </c>
    </row>
    <row r="1697" spans="5:44" x14ac:dyDescent="0.25">
      <c r="I1697" t="str">
        <f t="shared" si="139"/>
        <v>ironclad</v>
      </c>
      <c r="J1697" t="str">
        <f t="shared" si="140"/>
        <v/>
      </c>
      <c r="L1697" t="str">
        <f t="shared" si="138"/>
        <v/>
      </c>
      <c r="M1697" t="str">
        <f t="shared" si="138"/>
        <v/>
      </c>
      <c r="N1697" t="str">
        <f t="shared" si="138"/>
        <v/>
      </c>
      <c r="O1697" t="str">
        <f t="shared" si="138"/>
        <v/>
      </c>
      <c r="P1697" t="str">
        <f t="shared" si="138"/>
        <v/>
      </c>
      <c r="T1697" t="str">
        <f t="shared" si="141"/>
        <v/>
      </c>
      <c r="V1697" t="str">
        <f t="shared" si="142"/>
        <v>MVS,AES</v>
      </c>
      <c r="W1697" t="str">
        <f t="shared" si="142"/>
        <v>MVS,AES</v>
      </c>
      <c r="AB1697" t="s">
        <v>12</v>
      </c>
      <c r="AE1697" t="s">
        <v>65</v>
      </c>
      <c r="AG1697" t="s">
        <v>6</v>
      </c>
      <c r="AH1697" t="s">
        <v>3425</v>
      </c>
      <c r="AI1697" t="s">
        <v>9</v>
      </c>
      <c r="AJ1697" t="s">
        <v>11</v>
      </c>
      <c r="AK1697" t="s">
        <v>3424</v>
      </c>
      <c r="AL1697" t="s">
        <v>3423</v>
      </c>
    </row>
    <row r="1698" spans="5:44" x14ac:dyDescent="0.25">
      <c r="I1698" t="str">
        <f t="shared" si="139"/>
        <v>ironclad</v>
      </c>
      <c r="J1698" t="str">
        <f t="shared" si="140"/>
        <v/>
      </c>
      <c r="L1698" t="str">
        <f t="shared" ref="L1698:P1748" si="143">IFERROR(VLOOKUP($I1698&amp;L$1,$J:$Q,8,0),"")</f>
        <v/>
      </c>
      <c r="M1698" t="str">
        <f t="shared" si="143"/>
        <v/>
      </c>
      <c r="N1698" t="str">
        <f t="shared" si="143"/>
        <v/>
      </c>
      <c r="O1698" t="str">
        <f t="shared" si="143"/>
        <v/>
      </c>
      <c r="P1698" t="str">
        <f t="shared" si="143"/>
        <v/>
      </c>
      <c r="T1698" t="str">
        <f t="shared" si="141"/>
        <v/>
      </c>
      <c r="V1698" t="str">
        <f t="shared" si="142"/>
        <v>MVS,AES</v>
      </c>
      <c r="W1698" t="str">
        <f t="shared" si="142"/>
        <v>MVS,AES</v>
      </c>
      <c r="AG1698" t="s">
        <v>6</v>
      </c>
      <c r="AH1698" t="s">
        <v>3422</v>
      </c>
      <c r="AI1698" t="s">
        <v>4</v>
      </c>
      <c r="AJ1698" t="s">
        <v>11</v>
      </c>
      <c r="AK1698" t="s">
        <v>3421</v>
      </c>
      <c r="AL1698" t="s">
        <v>3420</v>
      </c>
    </row>
    <row r="1699" spans="5:44" x14ac:dyDescent="0.25">
      <c r="I1699" t="str">
        <f t="shared" si="139"/>
        <v>ironclad</v>
      </c>
      <c r="J1699" t="str">
        <f t="shared" si="140"/>
        <v/>
      </c>
      <c r="L1699" t="str">
        <f t="shared" si="143"/>
        <v/>
      </c>
      <c r="M1699" t="str">
        <f t="shared" si="143"/>
        <v/>
      </c>
      <c r="N1699" t="str">
        <f t="shared" si="143"/>
        <v/>
      </c>
      <c r="O1699" t="str">
        <f t="shared" si="143"/>
        <v/>
      </c>
      <c r="P1699" t="str">
        <f t="shared" si="143"/>
        <v/>
      </c>
      <c r="T1699" t="str">
        <f t="shared" si="141"/>
        <v/>
      </c>
      <c r="V1699" t="str">
        <f t="shared" si="142"/>
        <v>MVS,AES</v>
      </c>
      <c r="W1699" t="str">
        <f t="shared" si="142"/>
        <v>MVS,AES</v>
      </c>
      <c r="AG1699" t="s">
        <v>6</v>
      </c>
      <c r="AH1699" t="s">
        <v>3419</v>
      </c>
      <c r="AI1699" t="s">
        <v>57</v>
      </c>
      <c r="AJ1699" t="s">
        <v>11</v>
      </c>
      <c r="AK1699" t="s">
        <v>3418</v>
      </c>
      <c r="AL1699" t="s">
        <v>3417</v>
      </c>
    </row>
    <row r="1700" spans="5:44" x14ac:dyDescent="0.25">
      <c r="I1700" t="str">
        <f t="shared" si="139"/>
        <v>ironclad</v>
      </c>
      <c r="J1700" t="str">
        <f t="shared" si="140"/>
        <v/>
      </c>
      <c r="L1700" t="str">
        <f t="shared" si="143"/>
        <v/>
      </c>
      <c r="M1700" t="str">
        <f t="shared" si="143"/>
        <v/>
      </c>
      <c r="N1700" t="str">
        <f t="shared" si="143"/>
        <v/>
      </c>
      <c r="O1700" t="str">
        <f t="shared" si="143"/>
        <v/>
      </c>
      <c r="P1700" t="str">
        <f t="shared" si="143"/>
        <v/>
      </c>
      <c r="T1700" t="str">
        <f t="shared" si="141"/>
        <v/>
      </c>
      <c r="V1700" t="str">
        <f t="shared" si="142"/>
        <v>MVS,AES</v>
      </c>
      <c r="W1700" t="str">
        <f t="shared" si="142"/>
        <v>MVS,AES</v>
      </c>
      <c r="AG1700" t="s">
        <v>6</v>
      </c>
      <c r="AH1700" t="s">
        <v>3416</v>
      </c>
      <c r="AI1700" t="s">
        <v>53</v>
      </c>
      <c r="AJ1700" t="s">
        <v>11</v>
      </c>
      <c r="AK1700" t="s">
        <v>3415</v>
      </c>
      <c r="AL1700" t="s">
        <v>3414</v>
      </c>
    </row>
    <row r="1701" spans="5:44" x14ac:dyDescent="0.25">
      <c r="E1701" t="s">
        <v>3440</v>
      </c>
      <c r="F1701" t="s">
        <v>3439</v>
      </c>
      <c r="G1701" t="s">
        <v>1280</v>
      </c>
      <c r="H1701" t="s">
        <v>194</v>
      </c>
      <c r="I1701" t="str">
        <f t="shared" si="139"/>
        <v>ironclado</v>
      </c>
      <c r="J1701" t="str">
        <f t="shared" si="140"/>
        <v/>
      </c>
      <c r="L1701" t="str">
        <f t="shared" si="143"/>
        <v/>
      </c>
      <c r="M1701" t="str">
        <f t="shared" si="143"/>
        <v/>
      </c>
      <c r="N1701" t="str">
        <f t="shared" si="143"/>
        <v/>
      </c>
      <c r="O1701" t="str">
        <f t="shared" si="143"/>
        <v/>
      </c>
      <c r="P1701" t="str">
        <f t="shared" si="143"/>
        <v/>
      </c>
      <c r="S1701" t="s">
        <v>46</v>
      </c>
      <c r="T1701" t="str">
        <f t="shared" si="141"/>
        <v>ironcladorelease</v>
      </c>
      <c r="U1701" t="s">
        <v>218</v>
      </c>
      <c r="V1701" t="str">
        <f t="shared" si="142"/>
        <v>MVS,AES</v>
      </c>
      <c r="W1701" t="str">
        <f t="shared" si="142"/>
        <v>MVS,AES</v>
      </c>
      <c r="Y1701" t="s">
        <v>45</v>
      </c>
      <c r="Z1701" t="s">
        <v>44</v>
      </c>
      <c r="AB1701" t="s">
        <v>43</v>
      </c>
      <c r="AC1701" t="s">
        <v>42</v>
      </c>
      <c r="AD1701" t="s">
        <v>41</v>
      </c>
      <c r="AE1701" t="s">
        <v>3</v>
      </c>
      <c r="AG1701" t="s">
        <v>40</v>
      </c>
      <c r="AH1701" t="s">
        <v>3438</v>
      </c>
      <c r="AI1701" t="s">
        <v>15</v>
      </c>
      <c r="AJ1701" t="s">
        <v>15</v>
      </c>
      <c r="AK1701" t="s">
        <v>3437</v>
      </c>
      <c r="AL1701" t="s">
        <v>3436</v>
      </c>
      <c r="AR1701" t="s">
        <v>3435</v>
      </c>
    </row>
    <row r="1702" spans="5:44" x14ac:dyDescent="0.25">
      <c r="I1702" t="str">
        <f t="shared" si="139"/>
        <v>ironclado</v>
      </c>
      <c r="J1702" t="str">
        <f t="shared" si="140"/>
        <v/>
      </c>
      <c r="L1702" t="str">
        <f t="shared" si="143"/>
        <v/>
      </c>
      <c r="M1702" t="str">
        <f t="shared" si="143"/>
        <v/>
      </c>
      <c r="N1702" t="str">
        <f t="shared" si="143"/>
        <v/>
      </c>
      <c r="O1702" t="str">
        <f t="shared" si="143"/>
        <v/>
      </c>
      <c r="P1702" t="str">
        <f t="shared" si="143"/>
        <v/>
      </c>
      <c r="S1702" t="s">
        <v>36</v>
      </c>
      <c r="T1702" t="str">
        <f t="shared" si="141"/>
        <v>ironcladocompatibility</v>
      </c>
      <c r="U1702" t="s">
        <v>218</v>
      </c>
      <c r="V1702" t="str">
        <f t="shared" si="142"/>
        <v>MVS,AES</v>
      </c>
      <c r="W1702" t="str">
        <f t="shared" si="142"/>
        <v>MVS,AES</v>
      </c>
      <c r="AG1702" t="s">
        <v>224</v>
      </c>
      <c r="AI1702" t="s">
        <v>9</v>
      </c>
      <c r="AJ1702" t="s">
        <v>15</v>
      </c>
    </row>
    <row r="1703" spans="5:44" x14ac:dyDescent="0.25">
      <c r="I1703" t="str">
        <f t="shared" si="139"/>
        <v>ironclado</v>
      </c>
      <c r="J1703" t="str">
        <f t="shared" si="140"/>
        <v/>
      </c>
      <c r="L1703" t="str">
        <f t="shared" si="143"/>
        <v/>
      </c>
      <c r="M1703" t="str">
        <f t="shared" si="143"/>
        <v/>
      </c>
      <c r="N1703" t="str">
        <f t="shared" si="143"/>
        <v/>
      </c>
      <c r="O1703" t="str">
        <f t="shared" si="143"/>
        <v/>
      </c>
      <c r="P1703" t="str">
        <f t="shared" si="143"/>
        <v/>
      </c>
      <c r="T1703" t="str">
        <f t="shared" si="141"/>
        <v/>
      </c>
      <c r="V1703" t="str">
        <f t="shared" si="142"/>
        <v>MVS,AES</v>
      </c>
      <c r="W1703" t="str">
        <f t="shared" si="142"/>
        <v>MVS,AES</v>
      </c>
      <c r="AB1703" t="s">
        <v>34</v>
      </c>
      <c r="AE1703" t="s">
        <v>33</v>
      </c>
      <c r="AH1703" t="s">
        <v>3434</v>
      </c>
      <c r="AI1703" t="s">
        <v>9</v>
      </c>
      <c r="AJ1703" t="s">
        <v>27</v>
      </c>
      <c r="AK1703" t="s">
        <v>3433</v>
      </c>
      <c r="AL1703" t="s">
        <v>3432</v>
      </c>
    </row>
    <row r="1704" spans="5:44" x14ac:dyDescent="0.25">
      <c r="I1704" t="str">
        <f t="shared" si="139"/>
        <v>ironclado</v>
      </c>
      <c r="J1704" t="str">
        <f t="shared" si="140"/>
        <v/>
      </c>
      <c r="L1704" t="str">
        <f t="shared" si="143"/>
        <v/>
      </c>
      <c r="M1704" t="str">
        <f t="shared" si="143"/>
        <v/>
      </c>
      <c r="N1704" t="str">
        <f t="shared" si="143"/>
        <v/>
      </c>
      <c r="O1704" t="str">
        <f t="shared" si="143"/>
        <v/>
      </c>
      <c r="P1704" t="str">
        <f t="shared" si="143"/>
        <v/>
      </c>
      <c r="T1704" t="str">
        <f t="shared" si="141"/>
        <v/>
      </c>
      <c r="V1704" t="str">
        <f t="shared" si="142"/>
        <v>MVS,AES</v>
      </c>
      <c r="W1704" t="str">
        <f t="shared" si="142"/>
        <v>MVS,AES</v>
      </c>
      <c r="AB1704" t="s">
        <v>29</v>
      </c>
      <c r="AE1704" t="s">
        <v>27</v>
      </c>
      <c r="AH1704" t="s">
        <v>3431</v>
      </c>
      <c r="AI1704" t="s">
        <v>9</v>
      </c>
      <c r="AJ1704" t="s">
        <v>27</v>
      </c>
      <c r="AK1704" t="s">
        <v>3430</v>
      </c>
      <c r="AL1704" t="s">
        <v>3429</v>
      </c>
    </row>
    <row r="1705" spans="5:44" x14ac:dyDescent="0.25">
      <c r="I1705" t="str">
        <f t="shared" si="139"/>
        <v>ironclado</v>
      </c>
      <c r="J1705" t="str">
        <f t="shared" si="140"/>
        <v/>
      </c>
      <c r="L1705" t="str">
        <f t="shared" si="143"/>
        <v/>
      </c>
      <c r="M1705" t="str">
        <f t="shared" si="143"/>
        <v/>
      </c>
      <c r="N1705" t="str">
        <f t="shared" si="143"/>
        <v/>
      </c>
      <c r="O1705" t="str">
        <f t="shared" si="143"/>
        <v/>
      </c>
      <c r="P1705" t="str">
        <f t="shared" si="143"/>
        <v/>
      </c>
      <c r="T1705" t="str">
        <f t="shared" si="141"/>
        <v/>
      </c>
      <c r="V1705" t="str">
        <f t="shared" si="142"/>
        <v>MVS,AES</v>
      </c>
      <c r="W1705" t="str">
        <f t="shared" si="142"/>
        <v>MVS,AES</v>
      </c>
      <c r="AB1705" t="s">
        <v>24</v>
      </c>
      <c r="AE1705" t="s">
        <v>11</v>
      </c>
      <c r="AH1705" t="s">
        <v>3428</v>
      </c>
      <c r="AI1705" t="s">
        <v>9</v>
      </c>
      <c r="AJ1705" t="s">
        <v>11</v>
      </c>
      <c r="AK1705" t="s">
        <v>3427</v>
      </c>
      <c r="AL1705" t="s">
        <v>3426</v>
      </c>
    </row>
    <row r="1706" spans="5:44" x14ac:dyDescent="0.25">
      <c r="I1706" t="str">
        <f t="shared" si="139"/>
        <v>ironclado</v>
      </c>
      <c r="J1706" t="str">
        <f t="shared" si="140"/>
        <v/>
      </c>
      <c r="L1706" t="str">
        <f t="shared" si="143"/>
        <v/>
      </c>
      <c r="M1706" t="str">
        <f t="shared" si="143"/>
        <v/>
      </c>
      <c r="N1706" t="str">
        <f t="shared" si="143"/>
        <v/>
      </c>
      <c r="O1706" t="str">
        <f t="shared" si="143"/>
        <v/>
      </c>
      <c r="P1706" t="str">
        <f t="shared" si="143"/>
        <v/>
      </c>
      <c r="T1706" t="str">
        <f t="shared" si="141"/>
        <v/>
      </c>
      <c r="V1706" t="str">
        <f t="shared" si="142"/>
        <v>MVS,AES</v>
      </c>
      <c r="W1706" t="str">
        <f t="shared" si="142"/>
        <v>MVS,AES</v>
      </c>
      <c r="AB1706" t="s">
        <v>12</v>
      </c>
      <c r="AE1706" t="s">
        <v>65</v>
      </c>
      <c r="AG1706" t="s">
        <v>6</v>
      </c>
      <c r="AH1706" t="s">
        <v>3425</v>
      </c>
      <c r="AI1706" t="s">
        <v>9</v>
      </c>
      <c r="AJ1706" t="s">
        <v>11</v>
      </c>
      <c r="AK1706" t="s">
        <v>3424</v>
      </c>
      <c r="AL1706" t="s">
        <v>3423</v>
      </c>
    </row>
    <row r="1707" spans="5:44" x14ac:dyDescent="0.25">
      <c r="I1707" t="str">
        <f t="shared" si="139"/>
        <v>ironclado</v>
      </c>
      <c r="J1707" t="str">
        <f t="shared" si="140"/>
        <v/>
      </c>
      <c r="L1707" t="str">
        <f t="shared" si="143"/>
        <v/>
      </c>
      <c r="M1707" t="str">
        <f t="shared" si="143"/>
        <v/>
      </c>
      <c r="N1707" t="str">
        <f t="shared" si="143"/>
        <v/>
      </c>
      <c r="O1707" t="str">
        <f t="shared" si="143"/>
        <v/>
      </c>
      <c r="P1707" t="str">
        <f t="shared" si="143"/>
        <v/>
      </c>
      <c r="T1707" t="str">
        <f t="shared" si="141"/>
        <v/>
      </c>
      <c r="V1707" t="str">
        <f t="shared" si="142"/>
        <v>MVS,AES</v>
      </c>
      <c r="W1707" t="str">
        <f t="shared" si="142"/>
        <v>MVS,AES</v>
      </c>
      <c r="AG1707" t="s">
        <v>6</v>
      </c>
      <c r="AH1707" t="s">
        <v>3422</v>
      </c>
      <c r="AI1707" t="s">
        <v>4</v>
      </c>
      <c r="AJ1707" t="s">
        <v>11</v>
      </c>
      <c r="AK1707" t="s">
        <v>3421</v>
      </c>
      <c r="AL1707" t="s">
        <v>3420</v>
      </c>
    </row>
    <row r="1708" spans="5:44" x14ac:dyDescent="0.25">
      <c r="I1708" t="str">
        <f t="shared" si="139"/>
        <v>ironclado</v>
      </c>
      <c r="J1708" t="str">
        <f t="shared" si="140"/>
        <v/>
      </c>
      <c r="L1708" t="str">
        <f t="shared" si="143"/>
        <v/>
      </c>
      <c r="M1708" t="str">
        <f t="shared" si="143"/>
        <v/>
      </c>
      <c r="N1708" t="str">
        <f t="shared" si="143"/>
        <v/>
      </c>
      <c r="O1708" t="str">
        <f t="shared" si="143"/>
        <v/>
      </c>
      <c r="P1708" t="str">
        <f t="shared" si="143"/>
        <v/>
      </c>
      <c r="T1708" t="str">
        <f t="shared" si="141"/>
        <v/>
      </c>
      <c r="V1708" t="str">
        <f t="shared" si="142"/>
        <v>MVS,AES</v>
      </c>
      <c r="W1708" t="str">
        <f t="shared" si="142"/>
        <v>MVS,AES</v>
      </c>
      <c r="AG1708" t="s">
        <v>6</v>
      </c>
      <c r="AH1708" t="s">
        <v>3419</v>
      </c>
      <c r="AI1708" t="s">
        <v>57</v>
      </c>
      <c r="AJ1708" t="s">
        <v>11</v>
      </c>
      <c r="AK1708" t="s">
        <v>3418</v>
      </c>
      <c r="AL1708" t="s">
        <v>3417</v>
      </c>
    </row>
    <row r="1709" spans="5:44" x14ac:dyDescent="0.25">
      <c r="I1709" t="str">
        <f t="shared" si="139"/>
        <v>ironclado</v>
      </c>
      <c r="J1709" t="str">
        <f t="shared" si="140"/>
        <v/>
      </c>
      <c r="L1709" t="str">
        <f t="shared" si="143"/>
        <v/>
      </c>
      <c r="M1709" t="str">
        <f t="shared" si="143"/>
        <v/>
      </c>
      <c r="N1709" t="str">
        <f t="shared" si="143"/>
        <v/>
      </c>
      <c r="O1709" t="str">
        <f t="shared" si="143"/>
        <v/>
      </c>
      <c r="P1709" t="str">
        <f t="shared" si="143"/>
        <v/>
      </c>
      <c r="T1709" t="str">
        <f t="shared" si="141"/>
        <v/>
      </c>
      <c r="V1709" t="str">
        <f t="shared" si="142"/>
        <v>MVS,AES</v>
      </c>
      <c r="W1709" t="str">
        <f t="shared" si="142"/>
        <v>MVS,AES</v>
      </c>
      <c r="AG1709" t="s">
        <v>6</v>
      </c>
      <c r="AH1709" t="s">
        <v>3416</v>
      </c>
      <c r="AI1709" t="s">
        <v>53</v>
      </c>
      <c r="AJ1709" t="s">
        <v>11</v>
      </c>
      <c r="AK1709" t="s">
        <v>3415</v>
      </c>
      <c r="AL1709" t="s">
        <v>3414</v>
      </c>
    </row>
    <row r="1710" spans="5:44" x14ac:dyDescent="0.25">
      <c r="E1710" t="s">
        <v>3413</v>
      </c>
      <c r="F1710" t="s">
        <v>3412</v>
      </c>
      <c r="G1710" t="s">
        <v>1280</v>
      </c>
      <c r="H1710" t="s">
        <v>3073</v>
      </c>
      <c r="I1710" t="str">
        <f t="shared" si="139"/>
        <v>magdrop2</v>
      </c>
      <c r="J1710" t="str">
        <f t="shared" si="140"/>
        <v>magdrop2serial</v>
      </c>
      <c r="K1710" t="s">
        <v>1373</v>
      </c>
      <c r="L1710" t="str">
        <f t="shared" si="143"/>
        <v>NGM-221 (MVS), NGH-221 (AES)</v>
      </c>
      <c r="M1710" t="str">
        <f t="shared" si="143"/>
        <v>19960321 (MVS), 19960419 (AES)</v>
      </c>
      <c r="N1710" t="str">
        <f t="shared" si="143"/>
        <v>マジカルドロップ2</v>
      </c>
      <c r="O1710" t="str">
        <f t="shared" si="143"/>
        <v/>
      </c>
      <c r="P1710" t="str">
        <f t="shared" si="143"/>
        <v/>
      </c>
      <c r="Q1710" t="s">
        <v>3411</v>
      </c>
      <c r="S1710" t="s">
        <v>46</v>
      </c>
      <c r="T1710" t="str">
        <f t="shared" si="141"/>
        <v>magdrop2release</v>
      </c>
      <c r="U1710" t="s">
        <v>218</v>
      </c>
      <c r="V1710" t="str">
        <f t="shared" si="142"/>
        <v>MVS,AES</v>
      </c>
      <c r="W1710" t="str">
        <f t="shared" si="142"/>
        <v>MVS,AES</v>
      </c>
      <c r="Y1710" t="s">
        <v>45</v>
      </c>
      <c r="Z1710" t="s">
        <v>44</v>
      </c>
      <c r="AB1710" t="s">
        <v>43</v>
      </c>
      <c r="AC1710" t="s">
        <v>42</v>
      </c>
      <c r="AD1710" t="s">
        <v>41</v>
      </c>
      <c r="AE1710" t="s">
        <v>15</v>
      </c>
      <c r="AG1710" t="s">
        <v>40</v>
      </c>
      <c r="AH1710" t="s">
        <v>3410</v>
      </c>
      <c r="AI1710" t="s">
        <v>9</v>
      </c>
      <c r="AJ1710" t="s">
        <v>92</v>
      </c>
      <c r="AK1710" t="s">
        <v>3409</v>
      </c>
      <c r="AL1710" t="s">
        <v>3408</v>
      </c>
    </row>
    <row r="1711" spans="5:44" x14ac:dyDescent="0.25">
      <c r="I1711" t="str">
        <f t="shared" si="139"/>
        <v>magdrop2</v>
      </c>
      <c r="J1711" t="str">
        <f t="shared" si="140"/>
        <v>magdrop2release</v>
      </c>
      <c r="K1711" t="s">
        <v>46</v>
      </c>
      <c r="L1711" t="str">
        <f t="shared" si="143"/>
        <v>NGM-221 (MVS), NGH-221 (AES)</v>
      </c>
      <c r="M1711" t="str">
        <f t="shared" si="143"/>
        <v>19960321 (MVS), 19960419 (AES)</v>
      </c>
      <c r="N1711" t="str">
        <f t="shared" si="143"/>
        <v>マジカルドロップ2</v>
      </c>
      <c r="O1711" t="str">
        <f t="shared" si="143"/>
        <v/>
      </c>
      <c r="P1711" t="str">
        <f t="shared" si="143"/>
        <v/>
      </c>
      <c r="Q1711" t="s">
        <v>3407</v>
      </c>
      <c r="T1711" t="str">
        <f t="shared" si="141"/>
        <v/>
      </c>
      <c r="V1711" t="str">
        <f t="shared" si="142"/>
        <v>MVS,AES</v>
      </c>
      <c r="W1711" t="str">
        <f t="shared" si="142"/>
        <v>MVS,AES</v>
      </c>
      <c r="AB1711" t="s">
        <v>34</v>
      </c>
      <c r="AE1711" t="s">
        <v>33</v>
      </c>
      <c r="AH1711" t="s">
        <v>3406</v>
      </c>
      <c r="AI1711" t="s">
        <v>9</v>
      </c>
      <c r="AJ1711" t="s">
        <v>27</v>
      </c>
      <c r="AK1711" t="s">
        <v>3405</v>
      </c>
      <c r="AL1711" t="s">
        <v>3404</v>
      </c>
    </row>
    <row r="1712" spans="5:44" x14ac:dyDescent="0.25">
      <c r="I1712" t="str">
        <f t="shared" si="139"/>
        <v>magdrop2</v>
      </c>
      <c r="J1712" t="str">
        <f t="shared" si="140"/>
        <v>magdrop2alt_title</v>
      </c>
      <c r="K1712" t="s">
        <v>1218</v>
      </c>
      <c r="L1712" t="str">
        <f t="shared" si="143"/>
        <v>NGM-221 (MVS), NGH-221 (AES)</v>
      </c>
      <c r="M1712" t="str">
        <f t="shared" si="143"/>
        <v>19960321 (MVS), 19960419 (AES)</v>
      </c>
      <c r="N1712" t="str">
        <f t="shared" si="143"/>
        <v>マジカルドロップ2</v>
      </c>
      <c r="O1712" t="str">
        <f t="shared" si="143"/>
        <v/>
      </c>
      <c r="P1712" t="str">
        <f t="shared" si="143"/>
        <v/>
      </c>
      <c r="Q1712" t="s">
        <v>3403</v>
      </c>
      <c r="T1712" t="str">
        <f t="shared" si="141"/>
        <v/>
      </c>
      <c r="V1712" t="str">
        <f t="shared" si="142"/>
        <v>MVS,AES</v>
      </c>
      <c r="W1712" t="str">
        <f t="shared" si="142"/>
        <v>MVS,AES</v>
      </c>
      <c r="AB1712" t="s">
        <v>29</v>
      </c>
      <c r="AE1712" t="s">
        <v>27</v>
      </c>
      <c r="AH1712" t="s">
        <v>3402</v>
      </c>
      <c r="AI1712" t="s">
        <v>9</v>
      </c>
      <c r="AJ1712" t="s">
        <v>27</v>
      </c>
      <c r="AK1712" t="s">
        <v>3401</v>
      </c>
      <c r="AL1712" t="s">
        <v>3400</v>
      </c>
    </row>
    <row r="1713" spans="5:38" x14ac:dyDescent="0.25">
      <c r="I1713" t="str">
        <f t="shared" si="139"/>
        <v>magdrop2</v>
      </c>
      <c r="J1713" t="str">
        <f t="shared" si="140"/>
        <v/>
      </c>
      <c r="L1713" t="str">
        <f t="shared" si="143"/>
        <v>NGM-221 (MVS), NGH-221 (AES)</v>
      </c>
      <c r="M1713" t="str">
        <f t="shared" si="143"/>
        <v>19960321 (MVS), 19960419 (AES)</v>
      </c>
      <c r="N1713" t="str">
        <f t="shared" si="143"/>
        <v>マジカルドロップ2</v>
      </c>
      <c r="O1713" t="str">
        <f t="shared" si="143"/>
        <v/>
      </c>
      <c r="P1713" t="str">
        <f t="shared" si="143"/>
        <v/>
      </c>
      <c r="S1713" t="s">
        <v>36</v>
      </c>
      <c r="T1713" t="str">
        <f t="shared" si="141"/>
        <v>magdrop2compatibility</v>
      </c>
      <c r="U1713" t="s">
        <v>218</v>
      </c>
      <c r="V1713" t="str">
        <f t="shared" si="142"/>
        <v>MVS,AES</v>
      </c>
      <c r="W1713" t="str">
        <f t="shared" si="142"/>
        <v>MVS,AES</v>
      </c>
      <c r="AB1713" t="s">
        <v>24</v>
      </c>
      <c r="AE1713" t="s">
        <v>3</v>
      </c>
      <c r="AH1713" t="s">
        <v>3399</v>
      </c>
      <c r="AI1713" t="s">
        <v>9</v>
      </c>
      <c r="AJ1713" t="s">
        <v>3</v>
      </c>
      <c r="AK1713" t="s">
        <v>3398</v>
      </c>
      <c r="AL1713" t="s">
        <v>3397</v>
      </c>
    </row>
    <row r="1714" spans="5:38" x14ac:dyDescent="0.25">
      <c r="I1714" t="str">
        <f t="shared" si="139"/>
        <v>magdrop2</v>
      </c>
      <c r="J1714" t="str">
        <f t="shared" si="140"/>
        <v/>
      </c>
      <c r="L1714" t="str">
        <f t="shared" si="143"/>
        <v>NGM-221 (MVS), NGH-221 (AES)</v>
      </c>
      <c r="M1714" t="str">
        <f t="shared" si="143"/>
        <v>19960321 (MVS), 19960419 (AES)</v>
      </c>
      <c r="N1714" t="str">
        <f t="shared" si="143"/>
        <v>マジカルドロップ2</v>
      </c>
      <c r="O1714" t="str">
        <f t="shared" si="143"/>
        <v/>
      </c>
      <c r="P1714" t="str">
        <f t="shared" si="143"/>
        <v/>
      </c>
      <c r="T1714" t="str">
        <f t="shared" si="141"/>
        <v/>
      </c>
      <c r="V1714" t="str">
        <f t="shared" si="142"/>
        <v>MVS,AES</v>
      </c>
      <c r="W1714" t="str">
        <f t="shared" si="142"/>
        <v>MVS,AES</v>
      </c>
      <c r="AB1714" t="s">
        <v>12</v>
      </c>
      <c r="AE1714" t="s">
        <v>57</v>
      </c>
      <c r="AG1714" t="s">
        <v>6</v>
      </c>
      <c r="AH1714" t="s">
        <v>3396</v>
      </c>
      <c r="AI1714" t="s">
        <v>9</v>
      </c>
      <c r="AJ1714" t="s">
        <v>11</v>
      </c>
      <c r="AK1714" t="s">
        <v>3395</v>
      </c>
      <c r="AL1714" t="s">
        <v>3394</v>
      </c>
    </row>
    <row r="1715" spans="5:38" x14ac:dyDescent="0.25">
      <c r="I1715" t="str">
        <f t="shared" si="139"/>
        <v>magdrop2</v>
      </c>
      <c r="J1715" t="str">
        <f t="shared" si="140"/>
        <v/>
      </c>
      <c r="L1715" t="str">
        <f t="shared" si="143"/>
        <v>NGM-221 (MVS), NGH-221 (AES)</v>
      </c>
      <c r="M1715" t="str">
        <f t="shared" si="143"/>
        <v>19960321 (MVS), 19960419 (AES)</v>
      </c>
      <c r="N1715" t="str">
        <f t="shared" si="143"/>
        <v>マジカルドロップ2</v>
      </c>
      <c r="O1715" t="str">
        <f t="shared" si="143"/>
        <v/>
      </c>
      <c r="P1715" t="str">
        <f t="shared" si="143"/>
        <v/>
      </c>
      <c r="T1715" t="str">
        <f t="shared" si="141"/>
        <v/>
      </c>
      <c r="V1715" t="str">
        <f t="shared" si="142"/>
        <v>MVS,AES</v>
      </c>
      <c r="W1715" t="str">
        <f t="shared" si="142"/>
        <v>MVS,AES</v>
      </c>
      <c r="AG1715" t="s">
        <v>6</v>
      </c>
      <c r="AH1715" t="s">
        <v>3393</v>
      </c>
      <c r="AI1715" t="s">
        <v>4</v>
      </c>
      <c r="AJ1715" t="s">
        <v>11</v>
      </c>
      <c r="AK1715" t="s">
        <v>3392</v>
      </c>
      <c r="AL1715" t="s">
        <v>3391</v>
      </c>
    </row>
    <row r="1716" spans="5:38" x14ac:dyDescent="0.25">
      <c r="E1716" t="s">
        <v>3375</v>
      </c>
      <c r="F1716" t="s">
        <v>3390</v>
      </c>
      <c r="G1716" t="s">
        <v>1280</v>
      </c>
      <c r="H1716" t="s">
        <v>1912</v>
      </c>
      <c r="I1716" t="str">
        <f t="shared" si="139"/>
        <v>samsho4</v>
      </c>
      <c r="J1716" t="str">
        <f t="shared" si="140"/>
        <v>samsho4serial</v>
      </c>
      <c r="K1716" t="s">
        <v>1373</v>
      </c>
      <c r="L1716" t="str">
        <f t="shared" si="143"/>
        <v>NGM-222 (MVS), NGH-222 (AES)</v>
      </c>
      <c r="M1716" t="str">
        <f t="shared" si="143"/>
        <v>19961025 (MVS), 19961129 (AES)</v>
      </c>
      <c r="N1716" t="str">
        <f t="shared" si="143"/>
        <v>サムライスピリッツ 天草降臨</v>
      </c>
      <c r="O1716" t="str">
        <f t="shared" si="143"/>
        <v/>
      </c>
      <c r="P1716" t="str">
        <f t="shared" si="143"/>
        <v/>
      </c>
      <c r="Q1716" t="s">
        <v>3389</v>
      </c>
      <c r="S1716" t="s">
        <v>46</v>
      </c>
      <c r="T1716" t="str">
        <f t="shared" si="141"/>
        <v>samsho4release</v>
      </c>
      <c r="U1716" t="s">
        <v>218</v>
      </c>
      <c r="V1716" t="str">
        <f t="shared" si="142"/>
        <v>MVS,AES</v>
      </c>
      <c r="W1716" t="str">
        <f t="shared" si="142"/>
        <v>MVS,AES</v>
      </c>
      <c r="Y1716" t="s">
        <v>45</v>
      </c>
      <c r="Z1716" t="s">
        <v>44</v>
      </c>
      <c r="AB1716" t="s">
        <v>43</v>
      </c>
      <c r="AC1716" t="s">
        <v>42</v>
      </c>
      <c r="AD1716" t="s">
        <v>41</v>
      </c>
      <c r="AE1716" t="s">
        <v>23</v>
      </c>
      <c r="AG1716" t="s">
        <v>40</v>
      </c>
      <c r="AH1716" t="s">
        <v>3388</v>
      </c>
      <c r="AI1716" t="s">
        <v>9</v>
      </c>
      <c r="AJ1716" t="s">
        <v>15</v>
      </c>
      <c r="AK1716" t="s">
        <v>3387</v>
      </c>
      <c r="AL1716" t="s">
        <v>3386</v>
      </c>
    </row>
    <row r="1717" spans="5:38" x14ac:dyDescent="0.25">
      <c r="I1717" t="str">
        <f t="shared" si="139"/>
        <v>samsho4</v>
      </c>
      <c r="J1717" t="str">
        <f t="shared" si="140"/>
        <v>samsho4release</v>
      </c>
      <c r="K1717" t="s">
        <v>46</v>
      </c>
      <c r="L1717" t="str">
        <f t="shared" si="143"/>
        <v>NGM-222 (MVS), NGH-222 (AES)</v>
      </c>
      <c r="M1717" t="str">
        <f t="shared" si="143"/>
        <v>19961025 (MVS), 19961129 (AES)</v>
      </c>
      <c r="N1717" t="str">
        <f t="shared" si="143"/>
        <v>サムライスピリッツ 天草降臨</v>
      </c>
      <c r="O1717" t="str">
        <f t="shared" si="143"/>
        <v/>
      </c>
      <c r="P1717" t="str">
        <f t="shared" si="143"/>
        <v/>
      </c>
      <c r="Q1717" t="s">
        <v>3385</v>
      </c>
      <c r="T1717" t="str">
        <f t="shared" si="141"/>
        <v/>
      </c>
      <c r="V1717" t="str">
        <f t="shared" si="142"/>
        <v>MVS,AES</v>
      </c>
      <c r="W1717" t="str">
        <f t="shared" si="142"/>
        <v>MVS,AES</v>
      </c>
      <c r="AG1717" t="s">
        <v>40</v>
      </c>
      <c r="AH1717" t="s">
        <v>3374</v>
      </c>
      <c r="AI1717" t="s">
        <v>15</v>
      </c>
      <c r="AJ1717" t="s">
        <v>11</v>
      </c>
      <c r="AK1717" t="s">
        <v>3373</v>
      </c>
      <c r="AL1717" t="s">
        <v>3372</v>
      </c>
    </row>
    <row r="1718" spans="5:38" x14ac:dyDescent="0.25">
      <c r="I1718" t="str">
        <f t="shared" si="139"/>
        <v>samsho4</v>
      </c>
      <c r="J1718" t="str">
        <f t="shared" si="140"/>
        <v>samsho4alt_title</v>
      </c>
      <c r="K1718" t="s">
        <v>1218</v>
      </c>
      <c r="L1718" t="str">
        <f t="shared" si="143"/>
        <v>NGM-222 (MVS), NGH-222 (AES)</v>
      </c>
      <c r="M1718" t="str">
        <f t="shared" si="143"/>
        <v>19961025 (MVS), 19961129 (AES)</v>
      </c>
      <c r="N1718" t="str">
        <f t="shared" si="143"/>
        <v>サムライスピリッツ 天草降臨</v>
      </c>
      <c r="O1718" t="str">
        <f t="shared" si="143"/>
        <v/>
      </c>
      <c r="P1718" t="str">
        <f t="shared" si="143"/>
        <v/>
      </c>
      <c r="Q1718" t="s">
        <v>3384</v>
      </c>
      <c r="T1718" t="str">
        <f t="shared" si="141"/>
        <v/>
      </c>
      <c r="V1718" t="str">
        <f t="shared" si="142"/>
        <v>MVS,AES</v>
      </c>
      <c r="W1718" t="str">
        <f t="shared" si="142"/>
        <v>MVS,AES</v>
      </c>
      <c r="AB1718" t="s">
        <v>34</v>
      </c>
      <c r="AE1718" t="s">
        <v>33</v>
      </c>
      <c r="AH1718" t="s">
        <v>3383</v>
      </c>
      <c r="AI1718" t="s">
        <v>9</v>
      </c>
      <c r="AJ1718" t="s">
        <v>27</v>
      </c>
      <c r="AK1718" t="s">
        <v>3382</v>
      </c>
      <c r="AL1718" t="s">
        <v>3381</v>
      </c>
    </row>
    <row r="1719" spans="5:38" x14ac:dyDescent="0.25">
      <c r="I1719" t="str">
        <f t="shared" si="139"/>
        <v>samsho4</v>
      </c>
      <c r="J1719" t="str">
        <f t="shared" si="140"/>
        <v/>
      </c>
      <c r="L1719" t="str">
        <f t="shared" si="143"/>
        <v>NGM-222 (MVS), NGH-222 (AES)</v>
      </c>
      <c r="M1719" t="str">
        <f t="shared" si="143"/>
        <v>19961025 (MVS), 19961129 (AES)</v>
      </c>
      <c r="N1719" t="str">
        <f t="shared" si="143"/>
        <v>サムライスピリッツ 天草降臨</v>
      </c>
      <c r="O1719" t="str">
        <f t="shared" si="143"/>
        <v/>
      </c>
      <c r="P1719" t="str">
        <f t="shared" si="143"/>
        <v/>
      </c>
      <c r="S1719" t="s">
        <v>36</v>
      </c>
      <c r="T1719" t="str">
        <f t="shared" si="141"/>
        <v>samsho4compatibility</v>
      </c>
      <c r="U1719" t="s">
        <v>218</v>
      </c>
      <c r="V1719" t="str">
        <f t="shared" si="142"/>
        <v>MVS,AES</v>
      </c>
      <c r="W1719" t="str">
        <f t="shared" si="142"/>
        <v>MVS,AES</v>
      </c>
      <c r="AB1719" t="s">
        <v>29</v>
      </c>
      <c r="AE1719" t="s">
        <v>27</v>
      </c>
      <c r="AH1719" t="s">
        <v>3368</v>
      </c>
      <c r="AI1719" t="s">
        <v>9</v>
      </c>
      <c r="AJ1719" t="s">
        <v>27</v>
      </c>
      <c r="AK1719" t="s">
        <v>3367</v>
      </c>
      <c r="AL1719" t="s">
        <v>3366</v>
      </c>
    </row>
    <row r="1720" spans="5:38" x14ac:dyDescent="0.25">
      <c r="I1720" t="str">
        <f t="shared" si="139"/>
        <v>samsho4</v>
      </c>
      <c r="J1720" t="str">
        <f t="shared" si="140"/>
        <v/>
      </c>
      <c r="L1720" t="str">
        <f t="shared" si="143"/>
        <v>NGM-222 (MVS), NGH-222 (AES)</v>
      </c>
      <c r="M1720" t="str">
        <f t="shared" si="143"/>
        <v>19961025 (MVS), 19961129 (AES)</v>
      </c>
      <c r="N1720" t="str">
        <f t="shared" si="143"/>
        <v>サムライスピリッツ 天草降臨</v>
      </c>
      <c r="O1720" t="str">
        <f t="shared" si="143"/>
        <v/>
      </c>
      <c r="P1720" t="str">
        <f t="shared" si="143"/>
        <v/>
      </c>
      <c r="T1720" t="str">
        <f t="shared" si="141"/>
        <v/>
      </c>
      <c r="V1720" t="str">
        <f t="shared" si="142"/>
        <v>MVS,AES</v>
      </c>
      <c r="W1720" t="str">
        <f t="shared" si="142"/>
        <v>MVS,AES</v>
      </c>
      <c r="AB1720" t="s">
        <v>24</v>
      </c>
      <c r="AE1720" t="s">
        <v>1083</v>
      </c>
      <c r="AH1720" t="s">
        <v>3365</v>
      </c>
      <c r="AI1720" t="s">
        <v>9</v>
      </c>
      <c r="AJ1720" t="s">
        <v>11</v>
      </c>
      <c r="AK1720" t="s">
        <v>3364</v>
      </c>
      <c r="AL1720" t="s">
        <v>3363</v>
      </c>
    </row>
    <row r="1721" spans="5:38" x14ac:dyDescent="0.25">
      <c r="I1721" t="str">
        <f t="shared" si="139"/>
        <v>samsho4</v>
      </c>
      <c r="J1721" t="str">
        <f t="shared" si="140"/>
        <v/>
      </c>
      <c r="L1721" t="str">
        <f t="shared" si="143"/>
        <v>NGM-222 (MVS), NGH-222 (AES)</v>
      </c>
      <c r="M1721" t="str">
        <f t="shared" si="143"/>
        <v>19961025 (MVS), 19961129 (AES)</v>
      </c>
      <c r="N1721" t="str">
        <f t="shared" si="143"/>
        <v>サムライスピリッツ 天草降臨</v>
      </c>
      <c r="O1721" t="str">
        <f t="shared" si="143"/>
        <v/>
      </c>
      <c r="P1721" t="str">
        <f t="shared" si="143"/>
        <v/>
      </c>
      <c r="T1721" t="str">
        <f t="shared" si="141"/>
        <v/>
      </c>
      <c r="V1721" t="str">
        <f t="shared" si="142"/>
        <v>MVS,AES</v>
      </c>
      <c r="W1721" t="str">
        <f t="shared" si="142"/>
        <v>MVS,AES</v>
      </c>
      <c r="AH1721" t="s">
        <v>3362</v>
      </c>
      <c r="AI1721" t="s">
        <v>11</v>
      </c>
      <c r="AJ1721" t="s">
        <v>11</v>
      </c>
      <c r="AK1721" t="s">
        <v>3361</v>
      </c>
      <c r="AL1721" t="s">
        <v>3360</v>
      </c>
    </row>
    <row r="1722" spans="5:38" x14ac:dyDescent="0.25">
      <c r="I1722" t="str">
        <f t="shared" si="139"/>
        <v>samsho4</v>
      </c>
      <c r="J1722" t="str">
        <f t="shared" si="140"/>
        <v/>
      </c>
      <c r="L1722" t="str">
        <f t="shared" si="143"/>
        <v>NGM-222 (MVS), NGH-222 (AES)</v>
      </c>
      <c r="M1722" t="str">
        <f t="shared" si="143"/>
        <v>19961025 (MVS), 19961129 (AES)</v>
      </c>
      <c r="N1722" t="str">
        <f t="shared" si="143"/>
        <v>サムライスピリッツ 天草降臨</v>
      </c>
      <c r="O1722" t="str">
        <f t="shared" si="143"/>
        <v/>
      </c>
      <c r="P1722" t="str">
        <f t="shared" si="143"/>
        <v/>
      </c>
      <c r="T1722" t="str">
        <f t="shared" si="141"/>
        <v/>
      </c>
      <c r="V1722" t="str">
        <f t="shared" si="142"/>
        <v>MVS,AES</v>
      </c>
      <c r="W1722" t="str">
        <f t="shared" si="142"/>
        <v>MVS,AES</v>
      </c>
      <c r="AH1722" t="s">
        <v>3359</v>
      </c>
      <c r="AI1722" t="s">
        <v>57</v>
      </c>
      <c r="AJ1722" t="s">
        <v>3</v>
      </c>
      <c r="AK1722" t="s">
        <v>3358</v>
      </c>
      <c r="AL1722" t="s">
        <v>3357</v>
      </c>
    </row>
    <row r="1723" spans="5:38" x14ac:dyDescent="0.25">
      <c r="I1723" t="str">
        <f t="shared" si="139"/>
        <v>samsho4</v>
      </c>
      <c r="J1723" t="str">
        <f t="shared" si="140"/>
        <v/>
      </c>
      <c r="L1723" t="str">
        <f t="shared" si="143"/>
        <v>NGM-222 (MVS), NGH-222 (AES)</v>
      </c>
      <c r="M1723" t="str">
        <f t="shared" si="143"/>
        <v>19961025 (MVS), 19961129 (AES)</v>
      </c>
      <c r="N1723" t="str">
        <f t="shared" si="143"/>
        <v>サムライスピリッツ 天草降臨</v>
      </c>
      <c r="O1723" t="str">
        <f t="shared" si="143"/>
        <v/>
      </c>
      <c r="P1723" t="str">
        <f t="shared" si="143"/>
        <v/>
      </c>
      <c r="T1723" t="str">
        <f t="shared" si="141"/>
        <v/>
      </c>
      <c r="V1723" t="str">
        <f t="shared" si="142"/>
        <v>MVS,AES</v>
      </c>
      <c r="W1723" t="str">
        <f t="shared" si="142"/>
        <v>MVS,AES</v>
      </c>
      <c r="AB1723" t="s">
        <v>12</v>
      </c>
      <c r="AE1723" t="s">
        <v>160</v>
      </c>
      <c r="AG1723" t="s">
        <v>6</v>
      </c>
      <c r="AH1723" t="s">
        <v>3356</v>
      </c>
      <c r="AI1723" t="s">
        <v>9</v>
      </c>
      <c r="AJ1723" t="s">
        <v>11</v>
      </c>
      <c r="AK1723" t="s">
        <v>3355</v>
      </c>
      <c r="AL1723" t="s">
        <v>3354</v>
      </c>
    </row>
    <row r="1724" spans="5:38" x14ac:dyDescent="0.25">
      <c r="I1724" t="str">
        <f t="shared" si="139"/>
        <v>samsho4</v>
      </c>
      <c r="J1724" t="str">
        <f t="shared" si="140"/>
        <v/>
      </c>
      <c r="L1724" t="str">
        <f t="shared" si="143"/>
        <v>NGM-222 (MVS), NGH-222 (AES)</v>
      </c>
      <c r="M1724" t="str">
        <f t="shared" si="143"/>
        <v>19961025 (MVS), 19961129 (AES)</v>
      </c>
      <c r="N1724" t="str">
        <f t="shared" si="143"/>
        <v>サムライスピリッツ 天草降臨</v>
      </c>
      <c r="O1724" t="str">
        <f t="shared" si="143"/>
        <v/>
      </c>
      <c r="P1724" t="str">
        <f t="shared" si="143"/>
        <v/>
      </c>
      <c r="T1724" t="str">
        <f t="shared" si="141"/>
        <v/>
      </c>
      <c r="V1724" t="str">
        <f t="shared" si="142"/>
        <v>MVS,AES</v>
      </c>
      <c r="W1724" t="str">
        <f t="shared" si="142"/>
        <v>MVS,AES</v>
      </c>
      <c r="AG1724" t="s">
        <v>6</v>
      </c>
      <c r="AH1724" t="s">
        <v>3353</v>
      </c>
      <c r="AI1724" t="s">
        <v>4</v>
      </c>
      <c r="AJ1724" t="s">
        <v>11</v>
      </c>
      <c r="AK1724" t="s">
        <v>3352</v>
      </c>
      <c r="AL1724" t="s">
        <v>3351</v>
      </c>
    </row>
    <row r="1725" spans="5:38" x14ac:dyDescent="0.25">
      <c r="I1725" t="str">
        <f t="shared" si="139"/>
        <v>samsho4</v>
      </c>
      <c r="J1725" t="str">
        <f t="shared" si="140"/>
        <v/>
      </c>
      <c r="L1725" t="str">
        <f t="shared" si="143"/>
        <v>NGM-222 (MVS), NGH-222 (AES)</v>
      </c>
      <c r="M1725" t="str">
        <f t="shared" si="143"/>
        <v>19961025 (MVS), 19961129 (AES)</v>
      </c>
      <c r="N1725" t="str">
        <f t="shared" si="143"/>
        <v>サムライスピリッツ 天草降臨</v>
      </c>
      <c r="O1725" t="str">
        <f t="shared" si="143"/>
        <v/>
      </c>
      <c r="P1725" t="str">
        <f t="shared" si="143"/>
        <v/>
      </c>
      <c r="T1725" t="str">
        <f t="shared" si="141"/>
        <v/>
      </c>
      <c r="V1725" t="str">
        <f t="shared" si="142"/>
        <v>MVS,AES</v>
      </c>
      <c r="W1725" t="str">
        <f t="shared" si="142"/>
        <v>MVS,AES</v>
      </c>
      <c r="AG1725" t="s">
        <v>6</v>
      </c>
      <c r="AH1725" t="s">
        <v>3350</v>
      </c>
      <c r="AI1725" t="s">
        <v>57</v>
      </c>
      <c r="AJ1725" t="s">
        <v>11</v>
      </c>
      <c r="AK1725" t="s">
        <v>3349</v>
      </c>
      <c r="AL1725" t="s">
        <v>3348</v>
      </c>
    </row>
    <row r="1726" spans="5:38" x14ac:dyDescent="0.25">
      <c r="I1726" t="str">
        <f t="shared" si="139"/>
        <v>samsho4</v>
      </c>
      <c r="J1726" t="str">
        <f t="shared" si="140"/>
        <v/>
      </c>
      <c r="L1726" t="str">
        <f t="shared" si="143"/>
        <v>NGM-222 (MVS), NGH-222 (AES)</v>
      </c>
      <c r="M1726" t="str">
        <f t="shared" si="143"/>
        <v>19961025 (MVS), 19961129 (AES)</v>
      </c>
      <c r="N1726" t="str">
        <f t="shared" si="143"/>
        <v>サムライスピリッツ 天草降臨</v>
      </c>
      <c r="O1726" t="str">
        <f t="shared" si="143"/>
        <v/>
      </c>
      <c r="P1726" t="str">
        <f t="shared" si="143"/>
        <v/>
      </c>
      <c r="T1726" t="str">
        <f t="shared" si="141"/>
        <v/>
      </c>
      <c r="V1726" t="str">
        <f t="shared" si="142"/>
        <v>MVS,AES</v>
      </c>
      <c r="W1726" t="str">
        <f t="shared" si="142"/>
        <v>MVS,AES</v>
      </c>
      <c r="AG1726" t="s">
        <v>6</v>
      </c>
      <c r="AH1726" t="s">
        <v>3347</v>
      </c>
      <c r="AI1726" t="s">
        <v>53</v>
      </c>
      <c r="AJ1726" t="s">
        <v>11</v>
      </c>
      <c r="AK1726" t="s">
        <v>3346</v>
      </c>
      <c r="AL1726" t="s">
        <v>3345</v>
      </c>
    </row>
    <row r="1727" spans="5:38" x14ac:dyDescent="0.25">
      <c r="I1727" t="str">
        <f t="shared" si="139"/>
        <v>samsho4</v>
      </c>
      <c r="J1727" t="str">
        <f t="shared" si="140"/>
        <v/>
      </c>
      <c r="L1727" t="str">
        <f t="shared" si="143"/>
        <v>NGM-222 (MVS), NGH-222 (AES)</v>
      </c>
      <c r="M1727" t="str">
        <f t="shared" si="143"/>
        <v>19961025 (MVS), 19961129 (AES)</v>
      </c>
      <c r="N1727" t="str">
        <f t="shared" si="143"/>
        <v>サムライスピリッツ 天草降臨</v>
      </c>
      <c r="O1727" t="str">
        <f t="shared" si="143"/>
        <v/>
      </c>
      <c r="P1727" t="str">
        <f t="shared" si="143"/>
        <v/>
      </c>
      <c r="T1727" t="str">
        <f t="shared" si="141"/>
        <v/>
      </c>
      <c r="V1727" t="str">
        <f t="shared" si="142"/>
        <v>MVS,AES</v>
      </c>
      <c r="W1727" t="str">
        <f t="shared" si="142"/>
        <v>MVS,AES</v>
      </c>
      <c r="AG1727" t="s">
        <v>6</v>
      </c>
      <c r="AH1727" t="s">
        <v>3344</v>
      </c>
      <c r="AI1727" t="s">
        <v>65</v>
      </c>
      <c r="AJ1727" t="s">
        <v>11</v>
      </c>
      <c r="AK1727" t="s">
        <v>3343</v>
      </c>
      <c r="AL1727" t="s">
        <v>3342</v>
      </c>
    </row>
    <row r="1728" spans="5:38" x14ac:dyDescent="0.25">
      <c r="I1728" t="str">
        <f t="shared" si="139"/>
        <v>samsho4</v>
      </c>
      <c r="J1728" t="str">
        <f t="shared" si="140"/>
        <v/>
      </c>
      <c r="L1728" t="str">
        <f t="shared" si="143"/>
        <v>NGM-222 (MVS), NGH-222 (AES)</v>
      </c>
      <c r="M1728" t="str">
        <f t="shared" si="143"/>
        <v>19961025 (MVS), 19961129 (AES)</v>
      </c>
      <c r="N1728" t="str">
        <f t="shared" si="143"/>
        <v>サムライスピリッツ 天草降臨</v>
      </c>
      <c r="O1728" t="str">
        <f t="shared" si="143"/>
        <v/>
      </c>
      <c r="P1728" t="str">
        <f t="shared" si="143"/>
        <v/>
      </c>
      <c r="T1728" t="str">
        <f t="shared" si="141"/>
        <v/>
      </c>
      <c r="V1728" t="str">
        <f t="shared" si="142"/>
        <v>MVS,AES</v>
      </c>
      <c r="W1728" t="str">
        <f t="shared" si="142"/>
        <v>MVS,AES</v>
      </c>
      <c r="AG1728" t="s">
        <v>6</v>
      </c>
      <c r="AH1728" t="s">
        <v>3341</v>
      </c>
      <c r="AI1728" t="s">
        <v>164</v>
      </c>
      <c r="AJ1728" t="s">
        <v>11</v>
      </c>
      <c r="AK1728" t="s">
        <v>3340</v>
      </c>
      <c r="AL1728" t="s">
        <v>3339</v>
      </c>
    </row>
    <row r="1729" spans="5:44" x14ac:dyDescent="0.25">
      <c r="I1729" t="str">
        <f t="shared" si="139"/>
        <v>samsho4</v>
      </c>
      <c r="J1729" t="str">
        <f t="shared" si="140"/>
        <v/>
      </c>
      <c r="L1729" t="str">
        <f t="shared" si="143"/>
        <v>NGM-222 (MVS), NGH-222 (AES)</v>
      </c>
      <c r="M1729" t="str">
        <f t="shared" si="143"/>
        <v>19961025 (MVS), 19961129 (AES)</v>
      </c>
      <c r="N1729" t="str">
        <f t="shared" si="143"/>
        <v>サムライスピリッツ 天草降臨</v>
      </c>
      <c r="O1729" t="str">
        <f t="shared" si="143"/>
        <v/>
      </c>
      <c r="P1729" t="str">
        <f t="shared" si="143"/>
        <v/>
      </c>
      <c r="T1729" t="str">
        <f t="shared" si="141"/>
        <v/>
      </c>
      <c r="V1729" t="str">
        <f t="shared" si="142"/>
        <v>MVS,AES</v>
      </c>
      <c r="W1729" t="str">
        <f t="shared" si="142"/>
        <v>MVS,AES</v>
      </c>
      <c r="AG1729" t="s">
        <v>6</v>
      </c>
      <c r="AH1729" t="s">
        <v>3338</v>
      </c>
      <c r="AI1729" t="s">
        <v>634</v>
      </c>
      <c r="AJ1729" t="s">
        <v>11</v>
      </c>
      <c r="AK1729" t="s">
        <v>3337</v>
      </c>
      <c r="AL1729" t="s">
        <v>3336</v>
      </c>
    </row>
    <row r="1730" spans="5:44" x14ac:dyDescent="0.25">
      <c r="I1730" t="str">
        <f t="shared" si="139"/>
        <v>samsho4</v>
      </c>
      <c r="J1730" t="str">
        <f t="shared" si="140"/>
        <v/>
      </c>
      <c r="L1730" t="str">
        <f t="shared" si="143"/>
        <v>NGM-222 (MVS), NGH-222 (AES)</v>
      </c>
      <c r="M1730" t="str">
        <f t="shared" si="143"/>
        <v>19961025 (MVS), 19961129 (AES)</v>
      </c>
      <c r="N1730" t="str">
        <f t="shared" si="143"/>
        <v>サムライスピリッツ 天草降臨</v>
      </c>
      <c r="O1730" t="str">
        <f t="shared" si="143"/>
        <v/>
      </c>
      <c r="P1730" t="str">
        <f t="shared" si="143"/>
        <v/>
      </c>
      <c r="T1730" t="str">
        <f t="shared" si="141"/>
        <v/>
      </c>
      <c r="V1730" t="str">
        <f t="shared" si="142"/>
        <v>MVS,AES</v>
      </c>
      <c r="W1730" t="str">
        <f t="shared" si="142"/>
        <v>MVS,AES</v>
      </c>
      <c r="AG1730" t="s">
        <v>6</v>
      </c>
      <c r="AH1730" t="s">
        <v>3335</v>
      </c>
      <c r="AI1730" t="s">
        <v>630</v>
      </c>
      <c r="AJ1730" t="s">
        <v>11</v>
      </c>
      <c r="AK1730" t="s">
        <v>3334</v>
      </c>
      <c r="AL1730" t="s">
        <v>3333</v>
      </c>
    </row>
    <row r="1731" spans="5:44" x14ac:dyDescent="0.25">
      <c r="E1731" t="s">
        <v>3380</v>
      </c>
      <c r="F1731" t="s">
        <v>3379</v>
      </c>
      <c r="G1731" t="s">
        <v>1280</v>
      </c>
      <c r="H1731" t="s">
        <v>1912</v>
      </c>
      <c r="I1731" t="str">
        <f t="shared" ref="I1731:I1794" si="144">IF(E1731="",I1730,E1731)</f>
        <v>samsho4k</v>
      </c>
      <c r="J1731" t="str">
        <f t="shared" ref="J1731:J1794" si="145">IF(K1731="","",I1731&amp;K1731)</f>
        <v/>
      </c>
      <c r="L1731" t="str">
        <f t="shared" si="143"/>
        <v/>
      </c>
      <c r="M1731" t="str">
        <f t="shared" si="143"/>
        <v/>
      </c>
      <c r="N1731" t="str">
        <f t="shared" si="143"/>
        <v/>
      </c>
      <c r="O1731" t="str">
        <f t="shared" si="143"/>
        <v/>
      </c>
      <c r="P1731" t="str">
        <f t="shared" si="143"/>
        <v/>
      </c>
      <c r="S1731" t="s">
        <v>46</v>
      </c>
      <c r="T1731" t="str">
        <f t="shared" ref="T1731:T1794" si="146">IF(S1731="","",I1731&amp;S1731)</f>
        <v>samsho4krelease</v>
      </c>
      <c r="U1731" t="s">
        <v>106</v>
      </c>
      <c r="V1731" t="str">
        <f t="shared" si="142"/>
        <v>MVS</v>
      </c>
      <c r="W1731" t="str">
        <f t="shared" si="142"/>
        <v>MVS,AES</v>
      </c>
      <c r="Y1731" t="s">
        <v>45</v>
      </c>
      <c r="Z1731" t="s">
        <v>44</v>
      </c>
      <c r="AB1731" t="s">
        <v>43</v>
      </c>
      <c r="AC1731" t="s">
        <v>42</v>
      </c>
      <c r="AD1731" t="s">
        <v>41</v>
      </c>
      <c r="AE1731" t="s">
        <v>23</v>
      </c>
      <c r="AG1731" t="s">
        <v>40</v>
      </c>
      <c r="AH1731" t="s">
        <v>3378</v>
      </c>
      <c r="AI1731" t="s">
        <v>9</v>
      </c>
      <c r="AJ1731" t="s">
        <v>15</v>
      </c>
      <c r="AK1731" t="s">
        <v>3377</v>
      </c>
      <c r="AL1731" t="s">
        <v>3376</v>
      </c>
      <c r="AR1731" t="s">
        <v>3375</v>
      </c>
    </row>
    <row r="1732" spans="5:44" x14ac:dyDescent="0.25">
      <c r="I1732" t="str">
        <f t="shared" si="144"/>
        <v>samsho4k</v>
      </c>
      <c r="J1732" t="str">
        <f t="shared" si="145"/>
        <v/>
      </c>
      <c r="L1732" t="str">
        <f t="shared" si="143"/>
        <v/>
      </c>
      <c r="M1732" t="str">
        <f t="shared" si="143"/>
        <v/>
      </c>
      <c r="N1732" t="str">
        <f t="shared" si="143"/>
        <v/>
      </c>
      <c r="O1732" t="str">
        <f t="shared" si="143"/>
        <v/>
      </c>
      <c r="P1732" t="str">
        <f t="shared" si="143"/>
        <v/>
      </c>
      <c r="S1732" t="s">
        <v>36</v>
      </c>
      <c r="T1732" t="str">
        <f t="shared" si="146"/>
        <v>samsho4kcompatibility</v>
      </c>
      <c r="U1732" t="s">
        <v>218</v>
      </c>
      <c r="V1732" t="str">
        <f t="shared" si="142"/>
        <v>MVS</v>
      </c>
      <c r="W1732" t="str">
        <f t="shared" si="142"/>
        <v>MVS,AES</v>
      </c>
      <c r="AG1732" t="s">
        <v>40</v>
      </c>
      <c r="AH1732" t="s">
        <v>3374</v>
      </c>
      <c r="AI1732" t="s">
        <v>15</v>
      </c>
      <c r="AJ1732" t="s">
        <v>11</v>
      </c>
      <c r="AK1732" t="s">
        <v>3373</v>
      </c>
      <c r="AL1732" t="s">
        <v>3372</v>
      </c>
    </row>
    <row r="1733" spans="5:44" x14ac:dyDescent="0.25">
      <c r="I1733" t="str">
        <f t="shared" si="144"/>
        <v>samsho4k</v>
      </c>
      <c r="J1733" t="str">
        <f t="shared" si="145"/>
        <v/>
      </c>
      <c r="L1733" t="str">
        <f t="shared" si="143"/>
        <v/>
      </c>
      <c r="M1733" t="str">
        <f t="shared" si="143"/>
        <v/>
      </c>
      <c r="N1733" t="str">
        <f t="shared" si="143"/>
        <v/>
      </c>
      <c r="O1733" t="str">
        <f t="shared" si="143"/>
        <v/>
      </c>
      <c r="P1733" t="str">
        <f t="shared" si="143"/>
        <v/>
      </c>
      <c r="T1733" t="str">
        <f t="shared" si="146"/>
        <v/>
      </c>
      <c r="V1733" t="str">
        <f t="shared" si="142"/>
        <v>MVS</v>
      </c>
      <c r="W1733" t="str">
        <f t="shared" si="142"/>
        <v>MVS,AES</v>
      </c>
      <c r="AB1733" t="s">
        <v>34</v>
      </c>
      <c r="AE1733" t="s">
        <v>33</v>
      </c>
      <c r="AH1733" t="s">
        <v>3371</v>
      </c>
      <c r="AI1733" t="s">
        <v>9</v>
      </c>
      <c r="AJ1733" t="s">
        <v>27</v>
      </c>
      <c r="AK1733" t="s">
        <v>3370</v>
      </c>
      <c r="AL1733" t="s">
        <v>3369</v>
      </c>
    </row>
    <row r="1734" spans="5:44" x14ac:dyDescent="0.25">
      <c r="I1734" t="str">
        <f t="shared" si="144"/>
        <v>samsho4k</v>
      </c>
      <c r="J1734" t="str">
        <f t="shared" si="145"/>
        <v/>
      </c>
      <c r="L1734" t="str">
        <f t="shared" si="143"/>
        <v/>
      </c>
      <c r="M1734" t="str">
        <f t="shared" si="143"/>
        <v/>
      </c>
      <c r="N1734" t="str">
        <f t="shared" si="143"/>
        <v/>
      </c>
      <c r="O1734" t="str">
        <f t="shared" si="143"/>
        <v/>
      </c>
      <c r="P1734" t="str">
        <f t="shared" si="143"/>
        <v/>
      </c>
      <c r="T1734" t="str">
        <f t="shared" si="146"/>
        <v/>
      </c>
      <c r="V1734" t="str">
        <f t="shared" si="142"/>
        <v>MVS</v>
      </c>
      <c r="W1734" t="str">
        <f t="shared" si="142"/>
        <v>MVS,AES</v>
      </c>
      <c r="AB1734" t="s">
        <v>29</v>
      </c>
      <c r="AE1734" t="s">
        <v>27</v>
      </c>
      <c r="AH1734" t="s">
        <v>3368</v>
      </c>
      <c r="AI1734" t="s">
        <v>9</v>
      </c>
      <c r="AJ1734" t="s">
        <v>27</v>
      </c>
      <c r="AK1734" t="s">
        <v>3367</v>
      </c>
      <c r="AL1734" t="s">
        <v>3366</v>
      </c>
    </row>
    <row r="1735" spans="5:44" x14ac:dyDescent="0.25">
      <c r="I1735" t="str">
        <f t="shared" si="144"/>
        <v>samsho4k</v>
      </c>
      <c r="J1735" t="str">
        <f t="shared" si="145"/>
        <v/>
      </c>
      <c r="L1735" t="str">
        <f t="shared" si="143"/>
        <v/>
      </c>
      <c r="M1735" t="str">
        <f t="shared" si="143"/>
        <v/>
      </c>
      <c r="N1735" t="str">
        <f t="shared" si="143"/>
        <v/>
      </c>
      <c r="O1735" t="str">
        <f t="shared" si="143"/>
        <v/>
      </c>
      <c r="P1735" t="str">
        <f t="shared" si="143"/>
        <v/>
      </c>
      <c r="T1735" t="str">
        <f t="shared" si="146"/>
        <v/>
      </c>
      <c r="V1735" t="str">
        <f t="shared" si="142"/>
        <v>MVS</v>
      </c>
      <c r="W1735" t="str">
        <f t="shared" si="142"/>
        <v>MVS,AES</v>
      </c>
      <c r="AB1735" t="s">
        <v>24</v>
      </c>
      <c r="AE1735" t="s">
        <v>1083</v>
      </c>
      <c r="AH1735" t="s">
        <v>3365</v>
      </c>
      <c r="AI1735" t="s">
        <v>9</v>
      </c>
      <c r="AJ1735" t="s">
        <v>11</v>
      </c>
      <c r="AK1735" t="s">
        <v>3364</v>
      </c>
      <c r="AL1735" t="s">
        <v>3363</v>
      </c>
    </row>
    <row r="1736" spans="5:44" x14ac:dyDescent="0.25">
      <c r="I1736" t="str">
        <f t="shared" si="144"/>
        <v>samsho4k</v>
      </c>
      <c r="J1736" t="str">
        <f t="shared" si="145"/>
        <v/>
      </c>
      <c r="L1736" t="str">
        <f t="shared" si="143"/>
        <v/>
      </c>
      <c r="M1736" t="str">
        <f t="shared" si="143"/>
        <v/>
      </c>
      <c r="N1736" t="str">
        <f t="shared" si="143"/>
        <v/>
      </c>
      <c r="O1736" t="str">
        <f t="shared" si="143"/>
        <v/>
      </c>
      <c r="P1736" t="str">
        <f t="shared" si="143"/>
        <v/>
      </c>
      <c r="T1736" t="str">
        <f t="shared" si="146"/>
        <v/>
      </c>
      <c r="V1736" t="str">
        <f t="shared" si="142"/>
        <v>MVS</v>
      </c>
      <c r="W1736" t="str">
        <f t="shared" si="142"/>
        <v>MVS,AES</v>
      </c>
      <c r="AH1736" t="s">
        <v>3362</v>
      </c>
      <c r="AI1736" t="s">
        <v>11</v>
      </c>
      <c r="AJ1736" t="s">
        <v>11</v>
      </c>
      <c r="AK1736" t="s">
        <v>3361</v>
      </c>
      <c r="AL1736" t="s">
        <v>3360</v>
      </c>
    </row>
    <row r="1737" spans="5:44" x14ac:dyDescent="0.25">
      <c r="I1737" t="str">
        <f t="shared" si="144"/>
        <v>samsho4k</v>
      </c>
      <c r="J1737" t="str">
        <f t="shared" si="145"/>
        <v/>
      </c>
      <c r="L1737" t="str">
        <f t="shared" si="143"/>
        <v/>
      </c>
      <c r="M1737" t="str">
        <f t="shared" si="143"/>
        <v/>
      </c>
      <c r="N1737" t="str">
        <f t="shared" si="143"/>
        <v/>
      </c>
      <c r="O1737" t="str">
        <f t="shared" si="143"/>
        <v/>
      </c>
      <c r="P1737" t="str">
        <f t="shared" si="143"/>
        <v/>
      </c>
      <c r="T1737" t="str">
        <f t="shared" si="146"/>
        <v/>
      </c>
      <c r="V1737" t="str">
        <f t="shared" si="142"/>
        <v>MVS</v>
      </c>
      <c r="W1737" t="str">
        <f t="shared" si="142"/>
        <v>MVS,AES</v>
      </c>
      <c r="AH1737" t="s">
        <v>3359</v>
      </c>
      <c r="AI1737" t="s">
        <v>57</v>
      </c>
      <c r="AJ1737" t="s">
        <v>3</v>
      </c>
      <c r="AK1737" t="s">
        <v>3358</v>
      </c>
      <c r="AL1737" t="s">
        <v>3357</v>
      </c>
    </row>
    <row r="1738" spans="5:44" x14ac:dyDescent="0.25">
      <c r="I1738" t="str">
        <f t="shared" si="144"/>
        <v>samsho4k</v>
      </c>
      <c r="J1738" t="str">
        <f t="shared" si="145"/>
        <v/>
      </c>
      <c r="L1738" t="str">
        <f t="shared" si="143"/>
        <v/>
      </c>
      <c r="M1738" t="str">
        <f t="shared" si="143"/>
        <v/>
      </c>
      <c r="N1738" t="str">
        <f t="shared" si="143"/>
        <v/>
      </c>
      <c r="O1738" t="str">
        <f t="shared" si="143"/>
        <v/>
      </c>
      <c r="P1738" t="str">
        <f t="shared" si="143"/>
        <v/>
      </c>
      <c r="T1738" t="str">
        <f t="shared" si="146"/>
        <v/>
      </c>
      <c r="V1738" t="str">
        <f t="shared" si="142"/>
        <v>MVS</v>
      </c>
      <c r="W1738" t="str">
        <f t="shared" si="142"/>
        <v>MVS,AES</v>
      </c>
      <c r="AB1738" t="s">
        <v>12</v>
      </c>
      <c r="AE1738" t="s">
        <v>160</v>
      </c>
      <c r="AG1738" t="s">
        <v>6</v>
      </c>
      <c r="AH1738" t="s">
        <v>3356</v>
      </c>
      <c r="AI1738" t="s">
        <v>9</v>
      </c>
      <c r="AJ1738" t="s">
        <v>11</v>
      </c>
      <c r="AK1738" t="s">
        <v>3355</v>
      </c>
      <c r="AL1738" t="s">
        <v>3354</v>
      </c>
    </row>
    <row r="1739" spans="5:44" x14ac:dyDescent="0.25">
      <c r="I1739" t="str">
        <f t="shared" si="144"/>
        <v>samsho4k</v>
      </c>
      <c r="J1739" t="str">
        <f t="shared" si="145"/>
        <v/>
      </c>
      <c r="L1739" t="str">
        <f t="shared" si="143"/>
        <v/>
      </c>
      <c r="M1739" t="str">
        <f t="shared" si="143"/>
        <v/>
      </c>
      <c r="N1739" t="str">
        <f t="shared" si="143"/>
        <v/>
      </c>
      <c r="O1739" t="str">
        <f t="shared" si="143"/>
        <v/>
      </c>
      <c r="P1739" t="str">
        <f t="shared" si="143"/>
        <v/>
      </c>
      <c r="T1739" t="str">
        <f t="shared" si="146"/>
        <v/>
      </c>
      <c r="V1739" t="str">
        <f t="shared" si="142"/>
        <v>MVS</v>
      </c>
      <c r="W1739" t="str">
        <f t="shared" si="142"/>
        <v>MVS,AES</v>
      </c>
      <c r="AG1739" t="s">
        <v>6</v>
      </c>
      <c r="AH1739" t="s">
        <v>3353</v>
      </c>
      <c r="AI1739" t="s">
        <v>4</v>
      </c>
      <c r="AJ1739" t="s">
        <v>11</v>
      </c>
      <c r="AK1739" t="s">
        <v>3352</v>
      </c>
      <c r="AL1739" t="s">
        <v>3351</v>
      </c>
    </row>
    <row r="1740" spans="5:44" x14ac:dyDescent="0.25">
      <c r="I1740" t="str">
        <f t="shared" si="144"/>
        <v>samsho4k</v>
      </c>
      <c r="J1740" t="str">
        <f t="shared" si="145"/>
        <v/>
      </c>
      <c r="L1740" t="str">
        <f t="shared" si="143"/>
        <v/>
      </c>
      <c r="M1740" t="str">
        <f t="shared" si="143"/>
        <v/>
      </c>
      <c r="N1740" t="str">
        <f t="shared" si="143"/>
        <v/>
      </c>
      <c r="O1740" t="str">
        <f t="shared" si="143"/>
        <v/>
      </c>
      <c r="P1740" t="str">
        <f t="shared" si="143"/>
        <v/>
      </c>
      <c r="T1740" t="str">
        <f t="shared" si="146"/>
        <v/>
      </c>
      <c r="V1740" t="str">
        <f t="shared" si="142"/>
        <v>MVS</v>
      </c>
      <c r="W1740" t="str">
        <f t="shared" si="142"/>
        <v>MVS,AES</v>
      </c>
      <c r="AG1740" t="s">
        <v>6</v>
      </c>
      <c r="AH1740" t="s">
        <v>3350</v>
      </c>
      <c r="AI1740" t="s">
        <v>57</v>
      </c>
      <c r="AJ1740" t="s">
        <v>11</v>
      </c>
      <c r="AK1740" t="s">
        <v>3349</v>
      </c>
      <c r="AL1740" t="s">
        <v>3348</v>
      </c>
    </row>
    <row r="1741" spans="5:44" x14ac:dyDescent="0.25">
      <c r="I1741" t="str">
        <f t="shared" si="144"/>
        <v>samsho4k</v>
      </c>
      <c r="J1741" t="str">
        <f t="shared" si="145"/>
        <v/>
      </c>
      <c r="L1741" t="str">
        <f t="shared" si="143"/>
        <v/>
      </c>
      <c r="M1741" t="str">
        <f t="shared" si="143"/>
        <v/>
      </c>
      <c r="N1741" t="str">
        <f t="shared" si="143"/>
        <v/>
      </c>
      <c r="O1741" t="str">
        <f t="shared" si="143"/>
        <v/>
      </c>
      <c r="P1741" t="str">
        <f t="shared" si="143"/>
        <v/>
      </c>
      <c r="T1741" t="str">
        <f t="shared" si="146"/>
        <v/>
      </c>
      <c r="V1741" t="str">
        <f t="shared" si="142"/>
        <v>MVS</v>
      </c>
      <c r="W1741" t="str">
        <f t="shared" si="142"/>
        <v>MVS,AES</v>
      </c>
      <c r="AG1741" t="s">
        <v>6</v>
      </c>
      <c r="AH1741" t="s">
        <v>3347</v>
      </c>
      <c r="AI1741" t="s">
        <v>53</v>
      </c>
      <c r="AJ1741" t="s">
        <v>11</v>
      </c>
      <c r="AK1741" t="s">
        <v>3346</v>
      </c>
      <c r="AL1741" t="s">
        <v>3345</v>
      </c>
    </row>
    <row r="1742" spans="5:44" x14ac:dyDescent="0.25">
      <c r="I1742" t="str">
        <f t="shared" si="144"/>
        <v>samsho4k</v>
      </c>
      <c r="J1742" t="str">
        <f t="shared" si="145"/>
        <v/>
      </c>
      <c r="L1742" t="str">
        <f t="shared" si="143"/>
        <v/>
      </c>
      <c r="M1742" t="str">
        <f t="shared" si="143"/>
        <v/>
      </c>
      <c r="N1742" t="str">
        <f t="shared" si="143"/>
        <v/>
      </c>
      <c r="O1742" t="str">
        <f t="shared" si="143"/>
        <v/>
      </c>
      <c r="P1742" t="str">
        <f t="shared" si="143"/>
        <v/>
      </c>
      <c r="T1742" t="str">
        <f t="shared" si="146"/>
        <v/>
      </c>
      <c r="V1742" t="str">
        <f t="shared" si="142"/>
        <v>MVS</v>
      </c>
      <c r="W1742" t="str">
        <f t="shared" si="142"/>
        <v>MVS,AES</v>
      </c>
      <c r="AG1742" t="s">
        <v>6</v>
      </c>
      <c r="AH1742" t="s">
        <v>3344</v>
      </c>
      <c r="AI1742" t="s">
        <v>65</v>
      </c>
      <c r="AJ1742" t="s">
        <v>11</v>
      </c>
      <c r="AK1742" t="s">
        <v>3343</v>
      </c>
      <c r="AL1742" t="s">
        <v>3342</v>
      </c>
    </row>
    <row r="1743" spans="5:44" x14ac:dyDescent="0.25">
      <c r="I1743" t="str">
        <f t="shared" si="144"/>
        <v>samsho4k</v>
      </c>
      <c r="J1743" t="str">
        <f t="shared" si="145"/>
        <v/>
      </c>
      <c r="L1743" t="str">
        <f t="shared" si="143"/>
        <v/>
      </c>
      <c r="M1743" t="str">
        <f t="shared" si="143"/>
        <v/>
      </c>
      <c r="N1743" t="str">
        <f t="shared" si="143"/>
        <v/>
      </c>
      <c r="O1743" t="str">
        <f t="shared" si="143"/>
        <v/>
      </c>
      <c r="P1743" t="str">
        <f t="shared" si="143"/>
        <v/>
      </c>
      <c r="T1743" t="str">
        <f t="shared" si="146"/>
        <v/>
      </c>
      <c r="V1743" t="str">
        <f t="shared" si="142"/>
        <v>MVS</v>
      </c>
      <c r="W1743" t="str">
        <f t="shared" si="142"/>
        <v>MVS,AES</v>
      </c>
      <c r="AG1743" t="s">
        <v>6</v>
      </c>
      <c r="AH1743" t="s">
        <v>3341</v>
      </c>
      <c r="AI1743" t="s">
        <v>164</v>
      </c>
      <c r="AJ1743" t="s">
        <v>11</v>
      </c>
      <c r="AK1743" t="s">
        <v>3340</v>
      </c>
      <c r="AL1743" t="s">
        <v>3339</v>
      </c>
    </row>
    <row r="1744" spans="5:44" x14ac:dyDescent="0.25">
      <c r="I1744" t="str">
        <f t="shared" si="144"/>
        <v>samsho4k</v>
      </c>
      <c r="J1744" t="str">
        <f t="shared" si="145"/>
        <v/>
      </c>
      <c r="L1744" t="str">
        <f t="shared" si="143"/>
        <v/>
      </c>
      <c r="M1744" t="str">
        <f t="shared" si="143"/>
        <v/>
      </c>
      <c r="N1744" t="str">
        <f t="shared" si="143"/>
        <v/>
      </c>
      <c r="O1744" t="str">
        <f t="shared" si="143"/>
        <v/>
      </c>
      <c r="P1744" t="str">
        <f t="shared" si="143"/>
        <v/>
      </c>
      <c r="T1744" t="str">
        <f t="shared" si="146"/>
        <v/>
      </c>
      <c r="V1744" t="str">
        <f t="shared" si="142"/>
        <v>MVS</v>
      </c>
      <c r="W1744" t="str">
        <f t="shared" si="142"/>
        <v>MVS,AES</v>
      </c>
      <c r="AG1744" t="s">
        <v>6</v>
      </c>
      <c r="AH1744" t="s">
        <v>3338</v>
      </c>
      <c r="AI1744" t="s">
        <v>634</v>
      </c>
      <c r="AJ1744" t="s">
        <v>11</v>
      </c>
      <c r="AK1744" t="s">
        <v>3337</v>
      </c>
      <c r="AL1744" t="s">
        <v>3336</v>
      </c>
    </row>
    <row r="1745" spans="5:38" x14ac:dyDescent="0.25">
      <c r="I1745" t="str">
        <f t="shared" si="144"/>
        <v>samsho4k</v>
      </c>
      <c r="J1745" t="str">
        <f t="shared" si="145"/>
        <v/>
      </c>
      <c r="L1745" t="str">
        <f t="shared" si="143"/>
        <v/>
      </c>
      <c r="M1745" t="str">
        <f t="shared" si="143"/>
        <v/>
      </c>
      <c r="N1745" t="str">
        <f t="shared" si="143"/>
        <v/>
      </c>
      <c r="O1745" t="str">
        <f t="shared" si="143"/>
        <v/>
      </c>
      <c r="P1745" t="str">
        <f t="shared" si="143"/>
        <v/>
      </c>
      <c r="T1745" t="str">
        <f t="shared" si="146"/>
        <v/>
      </c>
      <c r="V1745" t="str">
        <f t="shared" si="142"/>
        <v>MVS</v>
      </c>
      <c r="W1745" t="str">
        <f t="shared" si="142"/>
        <v>MVS,AES</v>
      </c>
      <c r="AG1745" t="s">
        <v>6</v>
      </c>
      <c r="AH1745" t="s">
        <v>3335</v>
      </c>
      <c r="AI1745" t="s">
        <v>630</v>
      </c>
      <c r="AJ1745" t="s">
        <v>11</v>
      </c>
      <c r="AK1745" t="s">
        <v>3334</v>
      </c>
      <c r="AL1745" t="s">
        <v>3333</v>
      </c>
    </row>
    <row r="1746" spans="5:38" x14ac:dyDescent="0.25">
      <c r="E1746" t="s">
        <v>3320</v>
      </c>
      <c r="F1746" t="s">
        <v>3332</v>
      </c>
      <c r="G1746" t="s">
        <v>1280</v>
      </c>
      <c r="H1746" t="s">
        <v>1912</v>
      </c>
      <c r="I1746" t="str">
        <f t="shared" si="144"/>
        <v>rbffspec</v>
      </c>
      <c r="J1746" t="str">
        <f t="shared" si="145"/>
        <v>rbffspecserial</v>
      </c>
      <c r="K1746" t="s">
        <v>1373</v>
      </c>
      <c r="L1746" t="str">
        <f t="shared" si="143"/>
        <v>NGM-223 (MVS), NGH-223 (AES)</v>
      </c>
      <c r="M1746" t="str">
        <f t="shared" si="143"/>
        <v>19970128 (MVS), 19970228 (AES)</v>
      </c>
      <c r="N1746" t="str">
        <f t="shared" si="143"/>
        <v>リアルバウト餓狼伝説スペシャル</v>
      </c>
      <c r="O1746" t="str">
        <f t="shared" si="143"/>
        <v/>
      </c>
      <c r="P1746" t="str">
        <f t="shared" si="143"/>
        <v/>
      </c>
      <c r="Q1746" t="s">
        <v>3331</v>
      </c>
      <c r="S1746" t="s">
        <v>46</v>
      </c>
      <c r="T1746" t="str">
        <f t="shared" si="146"/>
        <v>rbffspecrelease</v>
      </c>
      <c r="U1746" t="s">
        <v>218</v>
      </c>
      <c r="V1746" t="str">
        <f t="shared" si="142"/>
        <v>MVS,AES</v>
      </c>
      <c r="W1746" t="str">
        <f t="shared" si="142"/>
        <v>MVS,AES</v>
      </c>
      <c r="Y1746" t="s">
        <v>45</v>
      </c>
      <c r="Z1746" t="s">
        <v>44</v>
      </c>
      <c r="AB1746" t="s">
        <v>43</v>
      </c>
      <c r="AC1746" t="s">
        <v>42</v>
      </c>
      <c r="AD1746" t="s">
        <v>41</v>
      </c>
      <c r="AE1746" t="s">
        <v>23</v>
      </c>
      <c r="AG1746" t="s">
        <v>40</v>
      </c>
      <c r="AH1746" t="s">
        <v>3330</v>
      </c>
      <c r="AI1746" t="s">
        <v>9</v>
      </c>
      <c r="AJ1746" t="s">
        <v>15</v>
      </c>
      <c r="AK1746" t="s">
        <v>3329</v>
      </c>
      <c r="AL1746" t="s">
        <v>3328</v>
      </c>
    </row>
    <row r="1747" spans="5:38" x14ac:dyDescent="0.25">
      <c r="I1747" t="str">
        <f t="shared" si="144"/>
        <v>rbffspec</v>
      </c>
      <c r="J1747" t="str">
        <f t="shared" si="145"/>
        <v>rbffspecrelease</v>
      </c>
      <c r="K1747" t="s">
        <v>46</v>
      </c>
      <c r="L1747" t="str">
        <f t="shared" si="143"/>
        <v>NGM-223 (MVS), NGH-223 (AES)</v>
      </c>
      <c r="M1747" t="str">
        <f t="shared" si="143"/>
        <v>19970128 (MVS), 19970228 (AES)</v>
      </c>
      <c r="N1747" t="str">
        <f t="shared" si="143"/>
        <v>リアルバウト餓狼伝説スペシャル</v>
      </c>
      <c r="O1747" t="str">
        <f t="shared" si="143"/>
        <v/>
      </c>
      <c r="P1747" t="str">
        <f t="shared" si="143"/>
        <v/>
      </c>
      <c r="Q1747" t="s">
        <v>3327</v>
      </c>
      <c r="T1747" t="str">
        <f t="shared" si="146"/>
        <v/>
      </c>
      <c r="V1747" t="str">
        <f t="shared" si="142"/>
        <v>MVS,AES</v>
      </c>
      <c r="W1747" t="str">
        <f t="shared" si="142"/>
        <v>MVS,AES</v>
      </c>
      <c r="AG1747" t="s">
        <v>40</v>
      </c>
      <c r="AH1747" t="s">
        <v>3319</v>
      </c>
      <c r="AI1747" t="s">
        <v>15</v>
      </c>
      <c r="AJ1747" t="s">
        <v>11</v>
      </c>
      <c r="AK1747" t="s">
        <v>3318</v>
      </c>
      <c r="AL1747" t="s">
        <v>3317</v>
      </c>
    </row>
    <row r="1748" spans="5:38" x14ac:dyDescent="0.25">
      <c r="I1748" t="str">
        <f t="shared" si="144"/>
        <v>rbffspec</v>
      </c>
      <c r="J1748" t="str">
        <f t="shared" si="145"/>
        <v>rbffspecalt_title</v>
      </c>
      <c r="K1748" t="s">
        <v>1218</v>
      </c>
      <c r="L1748" t="str">
        <f t="shared" si="143"/>
        <v>NGM-223 (MVS), NGH-223 (AES)</v>
      </c>
      <c r="M1748" t="str">
        <f t="shared" si="143"/>
        <v>19970128 (MVS), 19970228 (AES)</v>
      </c>
      <c r="N1748" t="str">
        <f t="shared" si="143"/>
        <v>リアルバウト餓狼伝説スペシャル</v>
      </c>
      <c r="O1748" t="str">
        <f t="shared" si="143"/>
        <v/>
      </c>
      <c r="P1748" t="str">
        <f t="shared" si="143"/>
        <v/>
      </c>
      <c r="Q1748" t="s">
        <v>3326</v>
      </c>
      <c r="T1748" t="str">
        <f t="shared" si="146"/>
        <v/>
      </c>
      <c r="V1748" t="str">
        <f t="shared" si="142"/>
        <v>MVS,AES</v>
      </c>
      <c r="W1748" t="str">
        <f t="shared" si="142"/>
        <v>MVS,AES</v>
      </c>
      <c r="AB1748" t="s">
        <v>34</v>
      </c>
      <c r="AE1748" t="s">
        <v>33</v>
      </c>
      <c r="AH1748" t="s">
        <v>3316</v>
      </c>
      <c r="AI1748" t="s">
        <v>9</v>
      </c>
      <c r="AJ1748" t="s">
        <v>27</v>
      </c>
      <c r="AK1748" t="s">
        <v>3315</v>
      </c>
      <c r="AL1748" t="s">
        <v>3314</v>
      </c>
    </row>
    <row r="1749" spans="5:38" x14ac:dyDescent="0.25">
      <c r="I1749" t="str">
        <f t="shared" si="144"/>
        <v>rbffspec</v>
      </c>
      <c r="J1749" t="str">
        <f t="shared" si="145"/>
        <v/>
      </c>
      <c r="L1749" t="str">
        <f t="shared" ref="L1749:P1799" si="147">IFERROR(VLOOKUP($I1749&amp;L$1,$J:$Q,8,0),"")</f>
        <v>NGM-223 (MVS), NGH-223 (AES)</v>
      </c>
      <c r="M1749" t="str">
        <f t="shared" si="147"/>
        <v>19970128 (MVS), 19970228 (AES)</v>
      </c>
      <c r="N1749" t="str">
        <f t="shared" si="147"/>
        <v>リアルバウト餓狼伝説スペシャル</v>
      </c>
      <c r="O1749" t="str">
        <f t="shared" si="147"/>
        <v/>
      </c>
      <c r="P1749" t="str">
        <f t="shared" si="147"/>
        <v/>
      </c>
      <c r="S1749" t="s">
        <v>36</v>
      </c>
      <c r="T1749" t="str">
        <f t="shared" si="146"/>
        <v>rbffspeccompatibility</v>
      </c>
      <c r="U1749" t="s">
        <v>218</v>
      </c>
      <c r="V1749" t="str">
        <f t="shared" si="142"/>
        <v>MVS,AES</v>
      </c>
      <c r="W1749" t="str">
        <f t="shared" si="142"/>
        <v>MVS,AES</v>
      </c>
      <c r="AB1749" t="s">
        <v>29</v>
      </c>
      <c r="AE1749" t="s">
        <v>27</v>
      </c>
      <c r="AH1749" t="s">
        <v>3313</v>
      </c>
      <c r="AI1749" t="s">
        <v>9</v>
      </c>
      <c r="AJ1749" t="s">
        <v>27</v>
      </c>
      <c r="AK1749" t="s">
        <v>3312</v>
      </c>
      <c r="AL1749" t="s">
        <v>3311</v>
      </c>
    </row>
    <row r="1750" spans="5:38" x14ac:dyDescent="0.25">
      <c r="I1750" t="str">
        <f t="shared" si="144"/>
        <v>rbffspec</v>
      </c>
      <c r="J1750" t="str">
        <f t="shared" si="145"/>
        <v/>
      </c>
      <c r="L1750" t="str">
        <f t="shared" si="147"/>
        <v>NGM-223 (MVS), NGH-223 (AES)</v>
      </c>
      <c r="M1750" t="str">
        <f t="shared" si="147"/>
        <v>19970128 (MVS), 19970228 (AES)</v>
      </c>
      <c r="N1750" t="str">
        <f t="shared" si="147"/>
        <v>リアルバウト餓狼伝説スペシャル</v>
      </c>
      <c r="O1750" t="str">
        <f t="shared" si="147"/>
        <v/>
      </c>
      <c r="P1750" t="str">
        <f t="shared" si="147"/>
        <v/>
      </c>
      <c r="T1750" t="str">
        <f t="shared" si="146"/>
        <v/>
      </c>
      <c r="V1750" t="str">
        <f t="shared" si="142"/>
        <v>MVS,AES</v>
      </c>
      <c r="W1750" t="str">
        <f t="shared" si="142"/>
        <v>MVS,AES</v>
      </c>
      <c r="AB1750" t="s">
        <v>24</v>
      </c>
      <c r="AE1750" t="s">
        <v>250</v>
      </c>
      <c r="AH1750" t="s">
        <v>3310</v>
      </c>
      <c r="AI1750" t="s">
        <v>9</v>
      </c>
      <c r="AJ1750" t="s">
        <v>11</v>
      </c>
      <c r="AK1750" t="s">
        <v>3309</v>
      </c>
      <c r="AL1750" t="s">
        <v>3308</v>
      </c>
    </row>
    <row r="1751" spans="5:38" x14ac:dyDescent="0.25">
      <c r="I1751" t="str">
        <f t="shared" si="144"/>
        <v>rbffspec</v>
      </c>
      <c r="J1751" t="str">
        <f t="shared" si="145"/>
        <v/>
      </c>
      <c r="L1751" t="str">
        <f t="shared" si="147"/>
        <v>NGM-223 (MVS), NGH-223 (AES)</v>
      </c>
      <c r="M1751" t="str">
        <f t="shared" si="147"/>
        <v>19970128 (MVS), 19970228 (AES)</v>
      </c>
      <c r="N1751" t="str">
        <f t="shared" si="147"/>
        <v>リアルバウト餓狼伝説スペシャル</v>
      </c>
      <c r="O1751" t="str">
        <f t="shared" si="147"/>
        <v/>
      </c>
      <c r="P1751" t="str">
        <f t="shared" si="147"/>
        <v/>
      </c>
      <c r="T1751" t="str">
        <f t="shared" si="146"/>
        <v/>
      </c>
      <c r="V1751" t="str">
        <f t="shared" ref="V1751:W1814" si="148">IFERROR(VLOOKUP($I1751&amp;V$1,$T:$AA,2,0),"")</f>
        <v>MVS,AES</v>
      </c>
      <c r="W1751" t="str">
        <f t="shared" si="148"/>
        <v>MVS,AES</v>
      </c>
      <c r="AH1751" t="s">
        <v>3307</v>
      </c>
      <c r="AI1751" t="s">
        <v>11</v>
      </c>
      <c r="AJ1751" t="s">
        <v>11</v>
      </c>
      <c r="AK1751" t="s">
        <v>3306</v>
      </c>
      <c r="AL1751" t="s">
        <v>3305</v>
      </c>
    </row>
    <row r="1752" spans="5:38" x14ac:dyDescent="0.25">
      <c r="I1752" t="str">
        <f t="shared" si="144"/>
        <v>rbffspec</v>
      </c>
      <c r="J1752" t="str">
        <f t="shared" si="145"/>
        <v/>
      </c>
      <c r="L1752" t="str">
        <f t="shared" si="147"/>
        <v>NGM-223 (MVS), NGH-223 (AES)</v>
      </c>
      <c r="M1752" t="str">
        <f t="shared" si="147"/>
        <v>19970128 (MVS), 19970228 (AES)</v>
      </c>
      <c r="N1752" t="str">
        <f t="shared" si="147"/>
        <v>リアルバウト餓狼伝説スペシャル</v>
      </c>
      <c r="O1752" t="str">
        <f t="shared" si="147"/>
        <v/>
      </c>
      <c r="P1752" t="str">
        <f t="shared" si="147"/>
        <v/>
      </c>
      <c r="T1752" t="str">
        <f t="shared" si="146"/>
        <v/>
      </c>
      <c r="V1752" t="str">
        <f t="shared" si="148"/>
        <v>MVS,AES</v>
      </c>
      <c r="W1752" t="str">
        <f t="shared" si="148"/>
        <v>MVS,AES</v>
      </c>
      <c r="AH1752" t="s">
        <v>3304</v>
      </c>
      <c r="AI1752" t="s">
        <v>57</v>
      </c>
      <c r="AJ1752" t="s">
        <v>11</v>
      </c>
      <c r="AK1752" t="s">
        <v>3303</v>
      </c>
      <c r="AL1752" t="s">
        <v>3302</v>
      </c>
    </row>
    <row r="1753" spans="5:38" x14ac:dyDescent="0.25">
      <c r="I1753" t="str">
        <f t="shared" si="144"/>
        <v>rbffspec</v>
      </c>
      <c r="J1753" t="str">
        <f t="shared" si="145"/>
        <v/>
      </c>
      <c r="L1753" t="str">
        <f t="shared" si="147"/>
        <v>NGM-223 (MVS), NGH-223 (AES)</v>
      </c>
      <c r="M1753" t="str">
        <f t="shared" si="147"/>
        <v>19970128 (MVS), 19970228 (AES)</v>
      </c>
      <c r="N1753" t="str">
        <f t="shared" si="147"/>
        <v>リアルバウト餓狼伝説スペシャル</v>
      </c>
      <c r="O1753" t="str">
        <f t="shared" si="147"/>
        <v/>
      </c>
      <c r="P1753" t="str">
        <f t="shared" si="147"/>
        <v/>
      </c>
      <c r="T1753" t="str">
        <f t="shared" si="146"/>
        <v/>
      </c>
      <c r="V1753" t="str">
        <f t="shared" si="148"/>
        <v>MVS,AES</v>
      </c>
      <c r="W1753" t="str">
        <f t="shared" si="148"/>
        <v>MVS,AES</v>
      </c>
      <c r="AB1753" t="s">
        <v>12</v>
      </c>
      <c r="AE1753" t="s">
        <v>160</v>
      </c>
      <c r="AG1753" t="s">
        <v>6</v>
      </c>
      <c r="AH1753" t="s">
        <v>3301</v>
      </c>
      <c r="AI1753" t="s">
        <v>9</v>
      </c>
      <c r="AJ1753" t="s">
        <v>11</v>
      </c>
      <c r="AK1753" t="s">
        <v>3300</v>
      </c>
      <c r="AL1753" t="s">
        <v>3299</v>
      </c>
    </row>
    <row r="1754" spans="5:38" x14ac:dyDescent="0.25">
      <c r="I1754" t="str">
        <f t="shared" si="144"/>
        <v>rbffspec</v>
      </c>
      <c r="J1754" t="str">
        <f t="shared" si="145"/>
        <v/>
      </c>
      <c r="L1754" t="str">
        <f t="shared" si="147"/>
        <v>NGM-223 (MVS), NGH-223 (AES)</v>
      </c>
      <c r="M1754" t="str">
        <f t="shared" si="147"/>
        <v>19970128 (MVS), 19970228 (AES)</v>
      </c>
      <c r="N1754" t="str">
        <f t="shared" si="147"/>
        <v>リアルバウト餓狼伝説スペシャル</v>
      </c>
      <c r="O1754" t="str">
        <f t="shared" si="147"/>
        <v/>
      </c>
      <c r="P1754" t="str">
        <f t="shared" si="147"/>
        <v/>
      </c>
      <c r="T1754" t="str">
        <f t="shared" si="146"/>
        <v/>
      </c>
      <c r="V1754" t="str">
        <f t="shared" si="148"/>
        <v>MVS,AES</v>
      </c>
      <c r="W1754" t="str">
        <f t="shared" si="148"/>
        <v>MVS,AES</v>
      </c>
      <c r="AG1754" t="s">
        <v>6</v>
      </c>
      <c r="AH1754" t="s">
        <v>3298</v>
      </c>
      <c r="AI1754" t="s">
        <v>4</v>
      </c>
      <c r="AJ1754" t="s">
        <v>11</v>
      </c>
      <c r="AK1754" t="s">
        <v>3297</v>
      </c>
      <c r="AL1754" t="s">
        <v>3296</v>
      </c>
    </row>
    <row r="1755" spans="5:38" x14ac:dyDescent="0.25">
      <c r="I1755" t="str">
        <f t="shared" si="144"/>
        <v>rbffspec</v>
      </c>
      <c r="J1755" t="str">
        <f t="shared" si="145"/>
        <v/>
      </c>
      <c r="L1755" t="str">
        <f t="shared" si="147"/>
        <v>NGM-223 (MVS), NGH-223 (AES)</v>
      </c>
      <c r="M1755" t="str">
        <f t="shared" si="147"/>
        <v>19970128 (MVS), 19970228 (AES)</v>
      </c>
      <c r="N1755" t="str">
        <f t="shared" si="147"/>
        <v>リアルバウト餓狼伝説スペシャル</v>
      </c>
      <c r="O1755" t="str">
        <f t="shared" si="147"/>
        <v/>
      </c>
      <c r="P1755" t="str">
        <f t="shared" si="147"/>
        <v/>
      </c>
      <c r="T1755" t="str">
        <f t="shared" si="146"/>
        <v/>
      </c>
      <c r="V1755" t="str">
        <f t="shared" si="148"/>
        <v>MVS,AES</v>
      </c>
      <c r="W1755" t="str">
        <f t="shared" si="148"/>
        <v>MVS,AES</v>
      </c>
      <c r="AG1755" t="s">
        <v>6</v>
      </c>
      <c r="AH1755" t="s">
        <v>3295</v>
      </c>
      <c r="AI1755" t="s">
        <v>57</v>
      </c>
      <c r="AJ1755" t="s">
        <v>11</v>
      </c>
      <c r="AK1755" t="s">
        <v>3294</v>
      </c>
      <c r="AL1755" t="s">
        <v>3293</v>
      </c>
    </row>
    <row r="1756" spans="5:38" x14ac:dyDescent="0.25">
      <c r="I1756" t="str">
        <f t="shared" si="144"/>
        <v>rbffspec</v>
      </c>
      <c r="J1756" t="str">
        <f t="shared" si="145"/>
        <v/>
      </c>
      <c r="L1756" t="str">
        <f t="shared" si="147"/>
        <v>NGM-223 (MVS), NGH-223 (AES)</v>
      </c>
      <c r="M1756" t="str">
        <f t="shared" si="147"/>
        <v>19970128 (MVS), 19970228 (AES)</v>
      </c>
      <c r="N1756" t="str">
        <f t="shared" si="147"/>
        <v>リアルバウト餓狼伝説スペシャル</v>
      </c>
      <c r="O1756" t="str">
        <f t="shared" si="147"/>
        <v/>
      </c>
      <c r="P1756" t="str">
        <f t="shared" si="147"/>
        <v/>
      </c>
      <c r="T1756" t="str">
        <f t="shared" si="146"/>
        <v/>
      </c>
      <c r="V1756" t="str">
        <f t="shared" si="148"/>
        <v>MVS,AES</v>
      </c>
      <c r="W1756" t="str">
        <f t="shared" si="148"/>
        <v>MVS,AES</v>
      </c>
      <c r="AG1756" t="s">
        <v>6</v>
      </c>
      <c r="AH1756" t="s">
        <v>3292</v>
      </c>
      <c r="AI1756" t="s">
        <v>53</v>
      </c>
      <c r="AJ1756" t="s">
        <v>11</v>
      </c>
      <c r="AK1756" t="s">
        <v>3291</v>
      </c>
      <c r="AL1756" t="s">
        <v>3290</v>
      </c>
    </row>
    <row r="1757" spans="5:38" x14ac:dyDescent="0.25">
      <c r="I1757" t="str">
        <f t="shared" si="144"/>
        <v>rbffspec</v>
      </c>
      <c r="J1757" t="str">
        <f t="shared" si="145"/>
        <v/>
      </c>
      <c r="L1757" t="str">
        <f t="shared" si="147"/>
        <v>NGM-223 (MVS), NGH-223 (AES)</v>
      </c>
      <c r="M1757" t="str">
        <f t="shared" si="147"/>
        <v>19970128 (MVS), 19970228 (AES)</v>
      </c>
      <c r="N1757" t="str">
        <f t="shared" si="147"/>
        <v>リアルバウト餓狼伝説スペシャル</v>
      </c>
      <c r="O1757" t="str">
        <f t="shared" si="147"/>
        <v/>
      </c>
      <c r="P1757" t="str">
        <f t="shared" si="147"/>
        <v/>
      </c>
      <c r="T1757" t="str">
        <f t="shared" si="146"/>
        <v/>
      </c>
      <c r="V1757" t="str">
        <f t="shared" si="148"/>
        <v>MVS,AES</v>
      </c>
      <c r="W1757" t="str">
        <f t="shared" si="148"/>
        <v>MVS,AES</v>
      </c>
      <c r="AG1757" t="s">
        <v>6</v>
      </c>
      <c r="AH1757" t="s">
        <v>3289</v>
      </c>
      <c r="AI1757" t="s">
        <v>65</v>
      </c>
      <c r="AJ1757" t="s">
        <v>11</v>
      </c>
      <c r="AK1757" t="s">
        <v>3288</v>
      </c>
      <c r="AL1757" t="s">
        <v>3287</v>
      </c>
    </row>
    <row r="1758" spans="5:38" x14ac:dyDescent="0.25">
      <c r="I1758" t="str">
        <f t="shared" si="144"/>
        <v>rbffspec</v>
      </c>
      <c r="J1758" t="str">
        <f t="shared" si="145"/>
        <v/>
      </c>
      <c r="L1758" t="str">
        <f t="shared" si="147"/>
        <v>NGM-223 (MVS), NGH-223 (AES)</v>
      </c>
      <c r="M1758" t="str">
        <f t="shared" si="147"/>
        <v>19970128 (MVS), 19970228 (AES)</v>
      </c>
      <c r="N1758" t="str">
        <f t="shared" si="147"/>
        <v>リアルバウト餓狼伝説スペシャル</v>
      </c>
      <c r="O1758" t="str">
        <f t="shared" si="147"/>
        <v/>
      </c>
      <c r="P1758" t="str">
        <f t="shared" si="147"/>
        <v/>
      </c>
      <c r="T1758" t="str">
        <f t="shared" si="146"/>
        <v/>
      </c>
      <c r="V1758" t="str">
        <f t="shared" si="148"/>
        <v>MVS,AES</v>
      </c>
      <c r="W1758" t="str">
        <f t="shared" si="148"/>
        <v>MVS,AES</v>
      </c>
      <c r="AG1758" t="s">
        <v>6</v>
      </c>
      <c r="AH1758" t="s">
        <v>3286</v>
      </c>
      <c r="AI1758" t="s">
        <v>164</v>
      </c>
      <c r="AJ1758" t="s">
        <v>11</v>
      </c>
      <c r="AK1758" t="s">
        <v>3285</v>
      </c>
      <c r="AL1758" t="s">
        <v>3284</v>
      </c>
    </row>
    <row r="1759" spans="5:38" x14ac:dyDescent="0.25">
      <c r="I1759" t="str">
        <f t="shared" si="144"/>
        <v>rbffspec</v>
      </c>
      <c r="J1759" t="str">
        <f t="shared" si="145"/>
        <v/>
      </c>
      <c r="L1759" t="str">
        <f t="shared" si="147"/>
        <v>NGM-223 (MVS), NGH-223 (AES)</v>
      </c>
      <c r="M1759" t="str">
        <f t="shared" si="147"/>
        <v>19970128 (MVS), 19970228 (AES)</v>
      </c>
      <c r="N1759" t="str">
        <f t="shared" si="147"/>
        <v>リアルバウト餓狼伝説スペシャル</v>
      </c>
      <c r="O1759" t="str">
        <f t="shared" si="147"/>
        <v/>
      </c>
      <c r="P1759" t="str">
        <f t="shared" si="147"/>
        <v/>
      </c>
      <c r="T1759" t="str">
        <f t="shared" si="146"/>
        <v/>
      </c>
      <c r="V1759" t="str">
        <f t="shared" si="148"/>
        <v>MVS,AES</v>
      </c>
      <c r="W1759" t="str">
        <f t="shared" si="148"/>
        <v>MVS,AES</v>
      </c>
      <c r="AG1759" t="s">
        <v>6</v>
      </c>
      <c r="AH1759" t="s">
        <v>3283</v>
      </c>
      <c r="AI1759" t="s">
        <v>634</v>
      </c>
      <c r="AJ1759" t="s">
        <v>11</v>
      </c>
      <c r="AK1759" t="s">
        <v>3282</v>
      </c>
      <c r="AL1759" t="s">
        <v>3281</v>
      </c>
    </row>
    <row r="1760" spans="5:38" x14ac:dyDescent="0.25">
      <c r="I1760" t="str">
        <f t="shared" si="144"/>
        <v>rbffspec</v>
      </c>
      <c r="J1760" t="str">
        <f t="shared" si="145"/>
        <v/>
      </c>
      <c r="L1760" t="str">
        <f t="shared" si="147"/>
        <v>NGM-223 (MVS), NGH-223 (AES)</v>
      </c>
      <c r="M1760" t="str">
        <f t="shared" si="147"/>
        <v>19970128 (MVS), 19970228 (AES)</v>
      </c>
      <c r="N1760" t="str">
        <f t="shared" si="147"/>
        <v>リアルバウト餓狼伝説スペシャル</v>
      </c>
      <c r="O1760" t="str">
        <f t="shared" si="147"/>
        <v/>
      </c>
      <c r="P1760" t="str">
        <f t="shared" si="147"/>
        <v/>
      </c>
      <c r="T1760" t="str">
        <f t="shared" si="146"/>
        <v/>
      </c>
      <c r="V1760" t="str">
        <f t="shared" si="148"/>
        <v>MVS,AES</v>
      </c>
      <c r="W1760" t="str">
        <f t="shared" si="148"/>
        <v>MVS,AES</v>
      </c>
      <c r="AG1760" t="s">
        <v>6</v>
      </c>
      <c r="AH1760" t="s">
        <v>3280</v>
      </c>
      <c r="AI1760" t="s">
        <v>630</v>
      </c>
      <c r="AJ1760" t="s">
        <v>11</v>
      </c>
      <c r="AK1760" t="s">
        <v>3279</v>
      </c>
      <c r="AL1760" t="s">
        <v>3278</v>
      </c>
    </row>
    <row r="1761" spans="5:44" x14ac:dyDescent="0.25">
      <c r="E1761" t="s">
        <v>3325</v>
      </c>
      <c r="F1761" t="s">
        <v>3324</v>
      </c>
      <c r="G1761" t="s">
        <v>1280</v>
      </c>
      <c r="H1761" t="s">
        <v>1912</v>
      </c>
      <c r="I1761" t="str">
        <f t="shared" si="144"/>
        <v>rbffspeck</v>
      </c>
      <c r="J1761" t="str">
        <f t="shared" si="145"/>
        <v/>
      </c>
      <c r="L1761" t="str">
        <f t="shared" si="147"/>
        <v/>
      </c>
      <c r="M1761" t="str">
        <f t="shared" si="147"/>
        <v/>
      </c>
      <c r="N1761" t="str">
        <f t="shared" si="147"/>
        <v/>
      </c>
      <c r="O1761" t="str">
        <f t="shared" si="147"/>
        <v/>
      </c>
      <c r="P1761" t="str">
        <f t="shared" si="147"/>
        <v/>
      </c>
      <c r="S1761" t="s">
        <v>46</v>
      </c>
      <c r="T1761" t="str">
        <f t="shared" si="146"/>
        <v>rbffspeckrelease</v>
      </c>
      <c r="U1761" t="s">
        <v>106</v>
      </c>
      <c r="V1761" t="str">
        <f t="shared" si="148"/>
        <v>MVS</v>
      </c>
      <c r="W1761" t="str">
        <f t="shared" si="148"/>
        <v>MVS,AES</v>
      </c>
      <c r="Y1761" t="s">
        <v>45</v>
      </c>
      <c r="Z1761" t="s">
        <v>44</v>
      </c>
      <c r="AB1761" t="s">
        <v>43</v>
      </c>
      <c r="AC1761" t="s">
        <v>42</v>
      </c>
      <c r="AD1761" t="s">
        <v>41</v>
      </c>
      <c r="AE1761" t="s">
        <v>23</v>
      </c>
      <c r="AG1761" t="s">
        <v>40</v>
      </c>
      <c r="AH1761" t="s">
        <v>3323</v>
      </c>
      <c r="AI1761" t="s">
        <v>9</v>
      </c>
      <c r="AJ1761" t="s">
        <v>15</v>
      </c>
      <c r="AK1761" t="s">
        <v>3322</v>
      </c>
      <c r="AL1761" t="s">
        <v>3321</v>
      </c>
      <c r="AR1761" t="s">
        <v>3320</v>
      </c>
    </row>
    <row r="1762" spans="5:44" x14ac:dyDescent="0.25">
      <c r="I1762" t="str">
        <f t="shared" si="144"/>
        <v>rbffspeck</v>
      </c>
      <c r="J1762" t="str">
        <f t="shared" si="145"/>
        <v/>
      </c>
      <c r="L1762" t="str">
        <f t="shared" si="147"/>
        <v/>
      </c>
      <c r="M1762" t="str">
        <f t="shared" si="147"/>
        <v/>
      </c>
      <c r="N1762" t="str">
        <f t="shared" si="147"/>
        <v/>
      </c>
      <c r="O1762" t="str">
        <f t="shared" si="147"/>
        <v/>
      </c>
      <c r="P1762" t="str">
        <f t="shared" si="147"/>
        <v/>
      </c>
      <c r="S1762" t="s">
        <v>36</v>
      </c>
      <c r="T1762" t="str">
        <f t="shared" si="146"/>
        <v>rbffspeckcompatibility</v>
      </c>
      <c r="U1762" t="s">
        <v>218</v>
      </c>
      <c r="V1762" t="str">
        <f t="shared" si="148"/>
        <v>MVS</v>
      </c>
      <c r="W1762" t="str">
        <f t="shared" si="148"/>
        <v>MVS,AES</v>
      </c>
      <c r="AG1762" t="s">
        <v>40</v>
      </c>
      <c r="AH1762" t="s">
        <v>3319</v>
      </c>
      <c r="AI1762" t="s">
        <v>15</v>
      </c>
      <c r="AJ1762" t="s">
        <v>11</v>
      </c>
      <c r="AK1762" t="s">
        <v>3318</v>
      </c>
      <c r="AL1762" t="s">
        <v>3317</v>
      </c>
    </row>
    <row r="1763" spans="5:44" x14ac:dyDescent="0.25">
      <c r="I1763" t="str">
        <f t="shared" si="144"/>
        <v>rbffspeck</v>
      </c>
      <c r="J1763" t="str">
        <f t="shared" si="145"/>
        <v/>
      </c>
      <c r="L1763" t="str">
        <f t="shared" si="147"/>
        <v/>
      </c>
      <c r="M1763" t="str">
        <f t="shared" si="147"/>
        <v/>
      </c>
      <c r="N1763" t="str">
        <f t="shared" si="147"/>
        <v/>
      </c>
      <c r="O1763" t="str">
        <f t="shared" si="147"/>
        <v/>
      </c>
      <c r="P1763" t="str">
        <f t="shared" si="147"/>
        <v/>
      </c>
      <c r="T1763" t="str">
        <f t="shared" si="146"/>
        <v/>
      </c>
      <c r="V1763" t="str">
        <f t="shared" si="148"/>
        <v>MVS</v>
      </c>
      <c r="W1763" t="str">
        <f t="shared" si="148"/>
        <v>MVS,AES</v>
      </c>
      <c r="AB1763" t="s">
        <v>34</v>
      </c>
      <c r="AE1763" t="s">
        <v>33</v>
      </c>
      <c r="AH1763" t="s">
        <v>3316</v>
      </c>
      <c r="AI1763" t="s">
        <v>9</v>
      </c>
      <c r="AJ1763" t="s">
        <v>27</v>
      </c>
      <c r="AK1763" t="s">
        <v>3315</v>
      </c>
      <c r="AL1763" t="s">
        <v>3314</v>
      </c>
    </row>
    <row r="1764" spans="5:44" x14ac:dyDescent="0.25">
      <c r="I1764" t="str">
        <f t="shared" si="144"/>
        <v>rbffspeck</v>
      </c>
      <c r="J1764" t="str">
        <f t="shared" si="145"/>
        <v/>
      </c>
      <c r="L1764" t="str">
        <f t="shared" si="147"/>
        <v/>
      </c>
      <c r="M1764" t="str">
        <f t="shared" si="147"/>
        <v/>
      </c>
      <c r="N1764" t="str">
        <f t="shared" si="147"/>
        <v/>
      </c>
      <c r="O1764" t="str">
        <f t="shared" si="147"/>
        <v/>
      </c>
      <c r="P1764" t="str">
        <f t="shared" si="147"/>
        <v/>
      </c>
      <c r="T1764" t="str">
        <f t="shared" si="146"/>
        <v/>
      </c>
      <c r="V1764" t="str">
        <f t="shared" si="148"/>
        <v>MVS</v>
      </c>
      <c r="W1764" t="str">
        <f t="shared" si="148"/>
        <v>MVS,AES</v>
      </c>
      <c r="AB1764" t="s">
        <v>29</v>
      </c>
      <c r="AE1764" t="s">
        <v>27</v>
      </c>
      <c r="AH1764" t="s">
        <v>3313</v>
      </c>
      <c r="AI1764" t="s">
        <v>9</v>
      </c>
      <c r="AJ1764" t="s">
        <v>27</v>
      </c>
      <c r="AK1764" t="s">
        <v>3312</v>
      </c>
      <c r="AL1764" t="s">
        <v>3311</v>
      </c>
    </row>
    <row r="1765" spans="5:44" x14ac:dyDescent="0.25">
      <c r="I1765" t="str">
        <f t="shared" si="144"/>
        <v>rbffspeck</v>
      </c>
      <c r="J1765" t="str">
        <f t="shared" si="145"/>
        <v/>
      </c>
      <c r="L1765" t="str">
        <f t="shared" si="147"/>
        <v/>
      </c>
      <c r="M1765" t="str">
        <f t="shared" si="147"/>
        <v/>
      </c>
      <c r="N1765" t="str">
        <f t="shared" si="147"/>
        <v/>
      </c>
      <c r="O1765" t="str">
        <f t="shared" si="147"/>
        <v/>
      </c>
      <c r="P1765" t="str">
        <f t="shared" si="147"/>
        <v/>
      </c>
      <c r="T1765" t="str">
        <f t="shared" si="146"/>
        <v/>
      </c>
      <c r="V1765" t="str">
        <f t="shared" si="148"/>
        <v>MVS</v>
      </c>
      <c r="W1765" t="str">
        <f t="shared" si="148"/>
        <v>MVS,AES</v>
      </c>
      <c r="AB1765" t="s">
        <v>24</v>
      </c>
      <c r="AE1765" t="s">
        <v>250</v>
      </c>
      <c r="AH1765" t="s">
        <v>3310</v>
      </c>
      <c r="AI1765" t="s">
        <v>9</v>
      </c>
      <c r="AJ1765" t="s">
        <v>11</v>
      </c>
      <c r="AK1765" t="s">
        <v>3309</v>
      </c>
      <c r="AL1765" t="s">
        <v>3308</v>
      </c>
    </row>
    <row r="1766" spans="5:44" x14ac:dyDescent="0.25">
      <c r="I1766" t="str">
        <f t="shared" si="144"/>
        <v>rbffspeck</v>
      </c>
      <c r="J1766" t="str">
        <f t="shared" si="145"/>
        <v/>
      </c>
      <c r="L1766" t="str">
        <f t="shared" si="147"/>
        <v/>
      </c>
      <c r="M1766" t="str">
        <f t="shared" si="147"/>
        <v/>
      </c>
      <c r="N1766" t="str">
        <f t="shared" si="147"/>
        <v/>
      </c>
      <c r="O1766" t="str">
        <f t="shared" si="147"/>
        <v/>
      </c>
      <c r="P1766" t="str">
        <f t="shared" si="147"/>
        <v/>
      </c>
      <c r="T1766" t="str">
        <f t="shared" si="146"/>
        <v/>
      </c>
      <c r="V1766" t="str">
        <f t="shared" si="148"/>
        <v>MVS</v>
      </c>
      <c r="W1766" t="str">
        <f t="shared" si="148"/>
        <v>MVS,AES</v>
      </c>
      <c r="AH1766" t="s">
        <v>3307</v>
      </c>
      <c r="AI1766" t="s">
        <v>11</v>
      </c>
      <c r="AJ1766" t="s">
        <v>11</v>
      </c>
      <c r="AK1766" t="s">
        <v>3306</v>
      </c>
      <c r="AL1766" t="s">
        <v>3305</v>
      </c>
    </row>
    <row r="1767" spans="5:44" x14ac:dyDescent="0.25">
      <c r="I1767" t="str">
        <f t="shared" si="144"/>
        <v>rbffspeck</v>
      </c>
      <c r="J1767" t="str">
        <f t="shared" si="145"/>
        <v/>
      </c>
      <c r="L1767" t="str">
        <f t="shared" si="147"/>
        <v/>
      </c>
      <c r="M1767" t="str">
        <f t="shared" si="147"/>
        <v/>
      </c>
      <c r="N1767" t="str">
        <f t="shared" si="147"/>
        <v/>
      </c>
      <c r="O1767" t="str">
        <f t="shared" si="147"/>
        <v/>
      </c>
      <c r="P1767" t="str">
        <f t="shared" si="147"/>
        <v/>
      </c>
      <c r="T1767" t="str">
        <f t="shared" si="146"/>
        <v/>
      </c>
      <c r="V1767" t="str">
        <f t="shared" si="148"/>
        <v>MVS</v>
      </c>
      <c r="W1767" t="str">
        <f t="shared" si="148"/>
        <v>MVS,AES</v>
      </c>
      <c r="AH1767" t="s">
        <v>3304</v>
      </c>
      <c r="AI1767" t="s">
        <v>57</v>
      </c>
      <c r="AJ1767" t="s">
        <v>11</v>
      </c>
      <c r="AK1767" t="s">
        <v>3303</v>
      </c>
      <c r="AL1767" t="s">
        <v>3302</v>
      </c>
    </row>
    <row r="1768" spans="5:44" x14ac:dyDescent="0.25">
      <c r="I1768" t="str">
        <f t="shared" si="144"/>
        <v>rbffspeck</v>
      </c>
      <c r="J1768" t="str">
        <f t="shared" si="145"/>
        <v/>
      </c>
      <c r="L1768" t="str">
        <f t="shared" si="147"/>
        <v/>
      </c>
      <c r="M1768" t="str">
        <f t="shared" si="147"/>
        <v/>
      </c>
      <c r="N1768" t="str">
        <f t="shared" si="147"/>
        <v/>
      </c>
      <c r="O1768" t="str">
        <f t="shared" si="147"/>
        <v/>
      </c>
      <c r="P1768" t="str">
        <f t="shared" si="147"/>
        <v/>
      </c>
      <c r="T1768" t="str">
        <f t="shared" si="146"/>
        <v/>
      </c>
      <c r="V1768" t="str">
        <f t="shared" si="148"/>
        <v>MVS</v>
      </c>
      <c r="W1768" t="str">
        <f t="shared" si="148"/>
        <v>MVS,AES</v>
      </c>
      <c r="AB1768" t="s">
        <v>12</v>
      </c>
      <c r="AE1768" t="s">
        <v>160</v>
      </c>
      <c r="AG1768" t="s">
        <v>6</v>
      </c>
      <c r="AH1768" t="s">
        <v>3301</v>
      </c>
      <c r="AI1768" t="s">
        <v>9</v>
      </c>
      <c r="AJ1768" t="s">
        <v>11</v>
      </c>
      <c r="AK1768" t="s">
        <v>3300</v>
      </c>
      <c r="AL1768" t="s">
        <v>3299</v>
      </c>
    </row>
    <row r="1769" spans="5:44" x14ac:dyDescent="0.25">
      <c r="I1769" t="str">
        <f t="shared" si="144"/>
        <v>rbffspeck</v>
      </c>
      <c r="J1769" t="str">
        <f t="shared" si="145"/>
        <v/>
      </c>
      <c r="L1769" t="str">
        <f t="shared" si="147"/>
        <v/>
      </c>
      <c r="M1769" t="str">
        <f t="shared" si="147"/>
        <v/>
      </c>
      <c r="N1769" t="str">
        <f t="shared" si="147"/>
        <v/>
      </c>
      <c r="O1769" t="str">
        <f t="shared" si="147"/>
        <v/>
      </c>
      <c r="P1769" t="str">
        <f t="shared" si="147"/>
        <v/>
      </c>
      <c r="T1769" t="str">
        <f t="shared" si="146"/>
        <v/>
      </c>
      <c r="V1769" t="str">
        <f t="shared" si="148"/>
        <v>MVS</v>
      </c>
      <c r="W1769" t="str">
        <f t="shared" si="148"/>
        <v>MVS,AES</v>
      </c>
      <c r="AG1769" t="s">
        <v>6</v>
      </c>
      <c r="AH1769" t="s">
        <v>3298</v>
      </c>
      <c r="AI1769" t="s">
        <v>4</v>
      </c>
      <c r="AJ1769" t="s">
        <v>11</v>
      </c>
      <c r="AK1769" t="s">
        <v>3297</v>
      </c>
      <c r="AL1769" t="s">
        <v>3296</v>
      </c>
    </row>
    <row r="1770" spans="5:44" x14ac:dyDescent="0.25">
      <c r="I1770" t="str">
        <f t="shared" si="144"/>
        <v>rbffspeck</v>
      </c>
      <c r="J1770" t="str">
        <f t="shared" si="145"/>
        <v/>
      </c>
      <c r="L1770" t="str">
        <f t="shared" si="147"/>
        <v/>
      </c>
      <c r="M1770" t="str">
        <f t="shared" si="147"/>
        <v/>
      </c>
      <c r="N1770" t="str">
        <f t="shared" si="147"/>
        <v/>
      </c>
      <c r="O1770" t="str">
        <f t="shared" si="147"/>
        <v/>
      </c>
      <c r="P1770" t="str">
        <f t="shared" si="147"/>
        <v/>
      </c>
      <c r="T1770" t="str">
        <f t="shared" si="146"/>
        <v/>
      </c>
      <c r="V1770" t="str">
        <f t="shared" si="148"/>
        <v>MVS</v>
      </c>
      <c r="W1770" t="str">
        <f t="shared" si="148"/>
        <v>MVS,AES</v>
      </c>
      <c r="AG1770" t="s">
        <v>6</v>
      </c>
      <c r="AH1770" t="s">
        <v>3295</v>
      </c>
      <c r="AI1770" t="s">
        <v>57</v>
      </c>
      <c r="AJ1770" t="s">
        <v>11</v>
      </c>
      <c r="AK1770" t="s">
        <v>3294</v>
      </c>
      <c r="AL1770" t="s">
        <v>3293</v>
      </c>
    </row>
    <row r="1771" spans="5:44" x14ac:dyDescent="0.25">
      <c r="I1771" t="str">
        <f t="shared" si="144"/>
        <v>rbffspeck</v>
      </c>
      <c r="J1771" t="str">
        <f t="shared" si="145"/>
        <v/>
      </c>
      <c r="L1771" t="str">
        <f t="shared" si="147"/>
        <v/>
      </c>
      <c r="M1771" t="str">
        <f t="shared" si="147"/>
        <v/>
      </c>
      <c r="N1771" t="str">
        <f t="shared" si="147"/>
        <v/>
      </c>
      <c r="O1771" t="str">
        <f t="shared" si="147"/>
        <v/>
      </c>
      <c r="P1771" t="str">
        <f t="shared" si="147"/>
        <v/>
      </c>
      <c r="T1771" t="str">
        <f t="shared" si="146"/>
        <v/>
      </c>
      <c r="V1771" t="str">
        <f t="shared" si="148"/>
        <v>MVS</v>
      </c>
      <c r="W1771" t="str">
        <f t="shared" si="148"/>
        <v>MVS,AES</v>
      </c>
      <c r="AG1771" t="s">
        <v>6</v>
      </c>
      <c r="AH1771" t="s">
        <v>3292</v>
      </c>
      <c r="AI1771" t="s">
        <v>53</v>
      </c>
      <c r="AJ1771" t="s">
        <v>11</v>
      </c>
      <c r="AK1771" t="s">
        <v>3291</v>
      </c>
      <c r="AL1771" t="s">
        <v>3290</v>
      </c>
    </row>
    <row r="1772" spans="5:44" x14ac:dyDescent="0.25">
      <c r="I1772" t="str">
        <f t="shared" si="144"/>
        <v>rbffspeck</v>
      </c>
      <c r="J1772" t="str">
        <f t="shared" si="145"/>
        <v/>
      </c>
      <c r="L1772" t="str">
        <f t="shared" si="147"/>
        <v/>
      </c>
      <c r="M1772" t="str">
        <f t="shared" si="147"/>
        <v/>
      </c>
      <c r="N1772" t="str">
        <f t="shared" si="147"/>
        <v/>
      </c>
      <c r="O1772" t="str">
        <f t="shared" si="147"/>
        <v/>
      </c>
      <c r="P1772" t="str">
        <f t="shared" si="147"/>
        <v/>
      </c>
      <c r="T1772" t="str">
        <f t="shared" si="146"/>
        <v/>
      </c>
      <c r="V1772" t="str">
        <f t="shared" si="148"/>
        <v>MVS</v>
      </c>
      <c r="W1772" t="str">
        <f t="shared" si="148"/>
        <v>MVS,AES</v>
      </c>
      <c r="AG1772" t="s">
        <v>6</v>
      </c>
      <c r="AH1772" t="s">
        <v>3289</v>
      </c>
      <c r="AI1772" t="s">
        <v>65</v>
      </c>
      <c r="AJ1772" t="s">
        <v>11</v>
      </c>
      <c r="AK1772" t="s">
        <v>3288</v>
      </c>
      <c r="AL1772" t="s">
        <v>3287</v>
      </c>
    </row>
    <row r="1773" spans="5:44" x14ac:dyDescent="0.25">
      <c r="I1773" t="str">
        <f t="shared" si="144"/>
        <v>rbffspeck</v>
      </c>
      <c r="J1773" t="str">
        <f t="shared" si="145"/>
        <v/>
      </c>
      <c r="L1773" t="str">
        <f t="shared" si="147"/>
        <v/>
      </c>
      <c r="M1773" t="str">
        <f t="shared" si="147"/>
        <v/>
      </c>
      <c r="N1773" t="str">
        <f t="shared" si="147"/>
        <v/>
      </c>
      <c r="O1773" t="str">
        <f t="shared" si="147"/>
        <v/>
      </c>
      <c r="P1773" t="str">
        <f t="shared" si="147"/>
        <v/>
      </c>
      <c r="T1773" t="str">
        <f t="shared" si="146"/>
        <v/>
      </c>
      <c r="V1773" t="str">
        <f t="shared" si="148"/>
        <v>MVS</v>
      </c>
      <c r="W1773" t="str">
        <f t="shared" si="148"/>
        <v>MVS,AES</v>
      </c>
      <c r="AG1773" t="s">
        <v>6</v>
      </c>
      <c r="AH1773" t="s">
        <v>3286</v>
      </c>
      <c r="AI1773" t="s">
        <v>164</v>
      </c>
      <c r="AJ1773" t="s">
        <v>11</v>
      </c>
      <c r="AK1773" t="s">
        <v>3285</v>
      </c>
      <c r="AL1773" t="s">
        <v>3284</v>
      </c>
    </row>
    <row r="1774" spans="5:44" x14ac:dyDescent="0.25">
      <c r="I1774" t="str">
        <f t="shared" si="144"/>
        <v>rbffspeck</v>
      </c>
      <c r="J1774" t="str">
        <f t="shared" si="145"/>
        <v/>
      </c>
      <c r="L1774" t="str">
        <f t="shared" si="147"/>
        <v/>
      </c>
      <c r="M1774" t="str">
        <f t="shared" si="147"/>
        <v/>
      </c>
      <c r="N1774" t="str">
        <f t="shared" si="147"/>
        <v/>
      </c>
      <c r="O1774" t="str">
        <f t="shared" si="147"/>
        <v/>
      </c>
      <c r="P1774" t="str">
        <f t="shared" si="147"/>
        <v/>
      </c>
      <c r="T1774" t="str">
        <f t="shared" si="146"/>
        <v/>
      </c>
      <c r="V1774" t="str">
        <f t="shared" si="148"/>
        <v>MVS</v>
      </c>
      <c r="W1774" t="str">
        <f t="shared" si="148"/>
        <v>MVS,AES</v>
      </c>
      <c r="AG1774" t="s">
        <v>6</v>
      </c>
      <c r="AH1774" t="s">
        <v>3283</v>
      </c>
      <c r="AI1774" t="s">
        <v>634</v>
      </c>
      <c r="AJ1774" t="s">
        <v>11</v>
      </c>
      <c r="AK1774" t="s">
        <v>3282</v>
      </c>
      <c r="AL1774" t="s">
        <v>3281</v>
      </c>
    </row>
    <row r="1775" spans="5:44" x14ac:dyDescent="0.25">
      <c r="I1775" t="str">
        <f t="shared" si="144"/>
        <v>rbffspeck</v>
      </c>
      <c r="J1775" t="str">
        <f t="shared" si="145"/>
        <v/>
      </c>
      <c r="L1775" t="str">
        <f t="shared" si="147"/>
        <v/>
      </c>
      <c r="M1775" t="str">
        <f t="shared" si="147"/>
        <v/>
      </c>
      <c r="N1775" t="str">
        <f t="shared" si="147"/>
        <v/>
      </c>
      <c r="O1775" t="str">
        <f t="shared" si="147"/>
        <v/>
      </c>
      <c r="P1775" t="str">
        <f t="shared" si="147"/>
        <v/>
      </c>
      <c r="T1775" t="str">
        <f t="shared" si="146"/>
        <v/>
      </c>
      <c r="V1775" t="str">
        <f t="shared" si="148"/>
        <v>MVS</v>
      </c>
      <c r="W1775" t="str">
        <f t="shared" si="148"/>
        <v>MVS,AES</v>
      </c>
      <c r="AG1775" t="s">
        <v>6</v>
      </c>
      <c r="AH1775" t="s">
        <v>3280</v>
      </c>
      <c r="AI1775" t="s">
        <v>630</v>
      </c>
      <c r="AJ1775" t="s">
        <v>11</v>
      </c>
      <c r="AK1775" t="s">
        <v>3279</v>
      </c>
      <c r="AL1775" t="s">
        <v>3278</v>
      </c>
    </row>
    <row r="1776" spans="5:44" x14ac:dyDescent="0.25">
      <c r="E1776" t="s">
        <v>3277</v>
      </c>
      <c r="F1776" t="s">
        <v>3276</v>
      </c>
      <c r="G1776" t="s">
        <v>1280</v>
      </c>
      <c r="H1776" t="s">
        <v>3275</v>
      </c>
      <c r="I1776" t="str">
        <f t="shared" si="144"/>
        <v>twinspri</v>
      </c>
      <c r="J1776" t="str">
        <f t="shared" si="145"/>
        <v>twinspriserial</v>
      </c>
      <c r="K1776" t="s">
        <v>1373</v>
      </c>
      <c r="L1776" t="str">
        <f t="shared" si="147"/>
        <v>NGM-224 / ADM-013 (MVS), NGH-224 / ADH-013 (AES)</v>
      </c>
      <c r="M1776" t="str">
        <f t="shared" si="147"/>
        <v>19961125 (MVS), 19970131 (AES)</v>
      </c>
      <c r="N1776" t="str">
        <f t="shared" si="147"/>
        <v>ティンクルスター スプライツ</v>
      </c>
      <c r="O1776" t="str">
        <f t="shared" si="147"/>
        <v/>
      </c>
      <c r="P1776" t="str">
        <f t="shared" si="147"/>
        <v/>
      </c>
      <c r="Q1776" t="s">
        <v>3274</v>
      </c>
      <c r="S1776" t="s">
        <v>46</v>
      </c>
      <c r="T1776" t="str">
        <f t="shared" si="146"/>
        <v>twinsprirelease</v>
      </c>
      <c r="U1776" t="s">
        <v>218</v>
      </c>
      <c r="V1776" t="str">
        <f t="shared" si="148"/>
        <v>MVS,AES</v>
      </c>
      <c r="W1776" t="str">
        <f t="shared" si="148"/>
        <v>MVS,AES</v>
      </c>
      <c r="Y1776" t="s">
        <v>45</v>
      </c>
      <c r="Z1776" t="s">
        <v>44</v>
      </c>
      <c r="AB1776" t="s">
        <v>43</v>
      </c>
      <c r="AC1776" t="s">
        <v>42</v>
      </c>
      <c r="AD1776" t="s">
        <v>41</v>
      </c>
      <c r="AE1776" t="s">
        <v>3</v>
      </c>
      <c r="AG1776" t="s">
        <v>40</v>
      </c>
      <c r="AH1776" t="s">
        <v>3273</v>
      </c>
      <c r="AI1776" t="s">
        <v>15</v>
      </c>
      <c r="AJ1776" t="s">
        <v>15</v>
      </c>
      <c r="AK1776" t="s">
        <v>3272</v>
      </c>
      <c r="AL1776" t="s">
        <v>3271</v>
      </c>
    </row>
    <row r="1777" spans="5:38" x14ac:dyDescent="0.25">
      <c r="I1777" t="str">
        <f t="shared" si="144"/>
        <v>twinspri</v>
      </c>
      <c r="J1777" t="str">
        <f t="shared" si="145"/>
        <v>twinsprirelease</v>
      </c>
      <c r="K1777" t="s">
        <v>46</v>
      </c>
      <c r="L1777" t="str">
        <f t="shared" si="147"/>
        <v>NGM-224 / ADM-013 (MVS), NGH-224 / ADH-013 (AES)</v>
      </c>
      <c r="M1777" t="str">
        <f t="shared" si="147"/>
        <v>19961125 (MVS), 19970131 (AES)</v>
      </c>
      <c r="N1777" t="str">
        <f t="shared" si="147"/>
        <v>ティンクルスター スプライツ</v>
      </c>
      <c r="O1777" t="str">
        <f t="shared" si="147"/>
        <v/>
      </c>
      <c r="P1777" t="str">
        <f t="shared" si="147"/>
        <v/>
      </c>
      <c r="Q1777" t="s">
        <v>3270</v>
      </c>
      <c r="T1777" t="str">
        <f t="shared" si="146"/>
        <v/>
      </c>
      <c r="V1777" t="str">
        <f t="shared" si="148"/>
        <v>MVS,AES</v>
      </c>
      <c r="W1777" t="str">
        <f t="shared" si="148"/>
        <v>MVS,AES</v>
      </c>
      <c r="AG1777" t="s">
        <v>224</v>
      </c>
      <c r="AI1777" t="s">
        <v>9</v>
      </c>
      <c r="AJ1777" t="s">
        <v>15</v>
      </c>
    </row>
    <row r="1778" spans="5:38" x14ac:dyDescent="0.25">
      <c r="I1778" t="str">
        <f t="shared" si="144"/>
        <v>twinspri</v>
      </c>
      <c r="J1778" t="str">
        <f t="shared" si="145"/>
        <v>twinsprialt_title</v>
      </c>
      <c r="K1778" t="s">
        <v>1218</v>
      </c>
      <c r="L1778" t="str">
        <f t="shared" si="147"/>
        <v>NGM-224 / ADM-013 (MVS), NGH-224 / ADH-013 (AES)</v>
      </c>
      <c r="M1778" t="str">
        <f t="shared" si="147"/>
        <v>19961125 (MVS), 19970131 (AES)</v>
      </c>
      <c r="N1778" t="str">
        <f t="shared" si="147"/>
        <v>ティンクルスター スプライツ</v>
      </c>
      <c r="O1778" t="str">
        <f t="shared" si="147"/>
        <v/>
      </c>
      <c r="P1778" t="str">
        <f t="shared" si="147"/>
        <v/>
      </c>
      <c r="Q1778" t="s">
        <v>3269</v>
      </c>
      <c r="T1778" t="str">
        <f t="shared" si="146"/>
        <v/>
      </c>
      <c r="V1778" t="str">
        <f t="shared" si="148"/>
        <v>MVS,AES</v>
      </c>
      <c r="W1778" t="str">
        <f t="shared" si="148"/>
        <v>MVS,AES</v>
      </c>
      <c r="AB1778" t="s">
        <v>34</v>
      </c>
      <c r="AE1778" t="s">
        <v>33</v>
      </c>
      <c r="AH1778" t="s">
        <v>3268</v>
      </c>
      <c r="AI1778" t="s">
        <v>9</v>
      </c>
      <c r="AJ1778" t="s">
        <v>27</v>
      </c>
      <c r="AK1778" t="s">
        <v>3267</v>
      </c>
      <c r="AL1778" t="s">
        <v>3266</v>
      </c>
    </row>
    <row r="1779" spans="5:38" x14ac:dyDescent="0.25">
      <c r="I1779" t="str">
        <f t="shared" si="144"/>
        <v>twinspri</v>
      </c>
      <c r="J1779" t="str">
        <f t="shared" si="145"/>
        <v/>
      </c>
      <c r="L1779" t="str">
        <f t="shared" si="147"/>
        <v>NGM-224 / ADM-013 (MVS), NGH-224 / ADH-013 (AES)</v>
      </c>
      <c r="M1779" t="str">
        <f t="shared" si="147"/>
        <v>19961125 (MVS), 19970131 (AES)</v>
      </c>
      <c r="N1779" t="str">
        <f t="shared" si="147"/>
        <v>ティンクルスター スプライツ</v>
      </c>
      <c r="O1779" t="str">
        <f t="shared" si="147"/>
        <v/>
      </c>
      <c r="P1779" t="str">
        <f t="shared" si="147"/>
        <v/>
      </c>
      <c r="S1779" t="s">
        <v>36</v>
      </c>
      <c r="T1779" t="str">
        <f t="shared" si="146"/>
        <v>twinspricompatibility</v>
      </c>
      <c r="U1779" t="s">
        <v>218</v>
      </c>
      <c r="V1779" t="str">
        <f t="shared" si="148"/>
        <v>MVS,AES</v>
      </c>
      <c r="W1779" t="str">
        <f t="shared" si="148"/>
        <v>MVS,AES</v>
      </c>
      <c r="AB1779" t="s">
        <v>29</v>
      </c>
      <c r="AE1779" t="s">
        <v>27</v>
      </c>
      <c r="AH1779" t="s">
        <v>3265</v>
      </c>
      <c r="AI1779" t="s">
        <v>9</v>
      </c>
      <c r="AJ1779" t="s">
        <v>27</v>
      </c>
      <c r="AK1779" t="s">
        <v>3264</v>
      </c>
      <c r="AL1779" t="s">
        <v>3263</v>
      </c>
    </row>
    <row r="1780" spans="5:38" x14ac:dyDescent="0.25">
      <c r="I1780" t="str">
        <f t="shared" si="144"/>
        <v>twinspri</v>
      </c>
      <c r="J1780" t="str">
        <f t="shared" si="145"/>
        <v/>
      </c>
      <c r="L1780" t="str">
        <f t="shared" si="147"/>
        <v>NGM-224 / ADM-013 (MVS), NGH-224 / ADH-013 (AES)</v>
      </c>
      <c r="M1780" t="str">
        <f t="shared" si="147"/>
        <v>19961125 (MVS), 19970131 (AES)</v>
      </c>
      <c r="N1780" t="str">
        <f t="shared" si="147"/>
        <v>ティンクルスター スプライツ</v>
      </c>
      <c r="O1780" t="str">
        <f t="shared" si="147"/>
        <v/>
      </c>
      <c r="P1780" t="str">
        <f t="shared" si="147"/>
        <v/>
      </c>
      <c r="T1780" t="str">
        <f t="shared" si="146"/>
        <v/>
      </c>
      <c r="V1780" t="str">
        <f t="shared" si="148"/>
        <v>MVS,AES</v>
      </c>
      <c r="W1780" t="str">
        <f t="shared" si="148"/>
        <v>MVS,AES</v>
      </c>
      <c r="AB1780" t="s">
        <v>24</v>
      </c>
      <c r="AE1780" t="s">
        <v>75</v>
      </c>
      <c r="AH1780" t="s">
        <v>3262</v>
      </c>
      <c r="AI1780" t="s">
        <v>9</v>
      </c>
      <c r="AJ1780" t="s">
        <v>11</v>
      </c>
      <c r="AK1780" t="s">
        <v>3261</v>
      </c>
      <c r="AL1780" t="s">
        <v>3260</v>
      </c>
    </row>
    <row r="1781" spans="5:38" x14ac:dyDescent="0.25">
      <c r="I1781" t="str">
        <f t="shared" si="144"/>
        <v>twinspri</v>
      </c>
      <c r="J1781" t="str">
        <f t="shared" si="145"/>
        <v/>
      </c>
      <c r="L1781" t="str">
        <f t="shared" si="147"/>
        <v>NGM-224 / ADM-013 (MVS), NGH-224 / ADH-013 (AES)</v>
      </c>
      <c r="M1781" t="str">
        <f t="shared" si="147"/>
        <v>19961125 (MVS), 19970131 (AES)</v>
      </c>
      <c r="N1781" t="str">
        <f t="shared" si="147"/>
        <v>ティンクルスター スプライツ</v>
      </c>
      <c r="O1781" t="str">
        <f t="shared" si="147"/>
        <v/>
      </c>
      <c r="P1781" t="str">
        <f t="shared" si="147"/>
        <v/>
      </c>
      <c r="T1781" t="str">
        <f t="shared" si="146"/>
        <v/>
      </c>
      <c r="V1781" t="str">
        <f t="shared" si="148"/>
        <v>MVS,AES</v>
      </c>
      <c r="W1781" t="str">
        <f t="shared" si="148"/>
        <v>MVS,AES</v>
      </c>
      <c r="AH1781" t="s">
        <v>3259</v>
      </c>
      <c r="AI1781" t="s">
        <v>11</v>
      </c>
      <c r="AJ1781" t="s">
        <v>3</v>
      </c>
      <c r="AK1781" t="s">
        <v>3258</v>
      </c>
      <c r="AL1781" t="s">
        <v>3257</v>
      </c>
    </row>
    <row r="1782" spans="5:38" x14ac:dyDescent="0.25">
      <c r="I1782" t="str">
        <f t="shared" si="144"/>
        <v>twinspri</v>
      </c>
      <c r="J1782" t="str">
        <f t="shared" si="145"/>
        <v/>
      </c>
      <c r="L1782" t="str">
        <f t="shared" si="147"/>
        <v>NGM-224 / ADM-013 (MVS), NGH-224 / ADH-013 (AES)</v>
      </c>
      <c r="M1782" t="str">
        <f t="shared" si="147"/>
        <v>19961125 (MVS), 19970131 (AES)</v>
      </c>
      <c r="N1782" t="str">
        <f t="shared" si="147"/>
        <v>ティンクルスター スプライツ</v>
      </c>
      <c r="O1782" t="str">
        <f t="shared" si="147"/>
        <v/>
      </c>
      <c r="P1782" t="str">
        <f t="shared" si="147"/>
        <v/>
      </c>
      <c r="T1782" t="str">
        <f t="shared" si="146"/>
        <v/>
      </c>
      <c r="V1782" t="str">
        <f t="shared" si="148"/>
        <v>MVS,AES</v>
      </c>
      <c r="W1782" t="str">
        <f t="shared" si="148"/>
        <v>MVS,AES</v>
      </c>
      <c r="AB1782" t="s">
        <v>12</v>
      </c>
      <c r="AE1782" t="s">
        <v>1083</v>
      </c>
      <c r="AG1782" t="s">
        <v>6</v>
      </c>
      <c r="AH1782" t="s">
        <v>3256</v>
      </c>
      <c r="AI1782" t="s">
        <v>9</v>
      </c>
      <c r="AJ1782" t="s">
        <v>11</v>
      </c>
      <c r="AK1782" t="s">
        <v>3255</v>
      </c>
      <c r="AL1782" t="s">
        <v>3254</v>
      </c>
    </row>
    <row r="1783" spans="5:38" x14ac:dyDescent="0.25">
      <c r="I1783" t="str">
        <f t="shared" si="144"/>
        <v>twinspri</v>
      </c>
      <c r="J1783" t="str">
        <f t="shared" si="145"/>
        <v/>
      </c>
      <c r="L1783" t="str">
        <f t="shared" si="147"/>
        <v>NGM-224 / ADM-013 (MVS), NGH-224 / ADH-013 (AES)</v>
      </c>
      <c r="M1783" t="str">
        <f t="shared" si="147"/>
        <v>19961125 (MVS), 19970131 (AES)</v>
      </c>
      <c r="N1783" t="str">
        <f t="shared" si="147"/>
        <v>ティンクルスター スプライツ</v>
      </c>
      <c r="O1783" t="str">
        <f t="shared" si="147"/>
        <v/>
      </c>
      <c r="P1783" t="str">
        <f t="shared" si="147"/>
        <v/>
      </c>
      <c r="T1783" t="str">
        <f t="shared" si="146"/>
        <v/>
      </c>
      <c r="V1783" t="str">
        <f t="shared" si="148"/>
        <v>MVS,AES</v>
      </c>
      <c r="W1783" t="str">
        <f t="shared" si="148"/>
        <v>MVS,AES</v>
      </c>
      <c r="AG1783" t="s">
        <v>6</v>
      </c>
      <c r="AH1783" t="s">
        <v>3253</v>
      </c>
      <c r="AI1783" t="s">
        <v>4</v>
      </c>
      <c r="AJ1783" t="s">
        <v>11</v>
      </c>
      <c r="AK1783" t="s">
        <v>3252</v>
      </c>
      <c r="AL1783" t="s">
        <v>3251</v>
      </c>
    </row>
    <row r="1784" spans="5:38" x14ac:dyDescent="0.25">
      <c r="I1784" t="str">
        <f t="shared" si="144"/>
        <v>twinspri</v>
      </c>
      <c r="J1784" t="str">
        <f t="shared" si="145"/>
        <v/>
      </c>
      <c r="L1784" t="str">
        <f t="shared" si="147"/>
        <v>NGM-224 / ADM-013 (MVS), NGH-224 / ADH-013 (AES)</v>
      </c>
      <c r="M1784" t="str">
        <f t="shared" si="147"/>
        <v>19961125 (MVS), 19970131 (AES)</v>
      </c>
      <c r="N1784" t="str">
        <f t="shared" si="147"/>
        <v>ティンクルスター スプライツ</v>
      </c>
      <c r="O1784" t="str">
        <f t="shared" si="147"/>
        <v/>
      </c>
      <c r="P1784" t="str">
        <f t="shared" si="147"/>
        <v/>
      </c>
      <c r="T1784" t="str">
        <f t="shared" si="146"/>
        <v/>
      </c>
      <c r="V1784" t="str">
        <f t="shared" si="148"/>
        <v>MVS,AES</v>
      </c>
      <c r="W1784" t="str">
        <f t="shared" si="148"/>
        <v>MVS,AES</v>
      </c>
      <c r="AG1784" t="s">
        <v>6</v>
      </c>
      <c r="AH1784" t="s">
        <v>3250</v>
      </c>
      <c r="AI1784" t="s">
        <v>57</v>
      </c>
      <c r="AJ1784" t="s">
        <v>15</v>
      </c>
      <c r="AK1784" t="s">
        <v>3249</v>
      </c>
      <c r="AL1784" t="s">
        <v>3248</v>
      </c>
    </row>
    <row r="1785" spans="5:38" x14ac:dyDescent="0.25">
      <c r="I1785" t="str">
        <f t="shared" si="144"/>
        <v>twinspri</v>
      </c>
      <c r="J1785" t="str">
        <f t="shared" si="145"/>
        <v/>
      </c>
      <c r="L1785" t="str">
        <f t="shared" si="147"/>
        <v>NGM-224 / ADM-013 (MVS), NGH-224 / ADH-013 (AES)</v>
      </c>
      <c r="M1785" t="str">
        <f t="shared" si="147"/>
        <v>19961125 (MVS), 19970131 (AES)</v>
      </c>
      <c r="N1785" t="str">
        <f t="shared" si="147"/>
        <v>ティンクルスター スプライツ</v>
      </c>
      <c r="O1785" t="str">
        <f t="shared" si="147"/>
        <v/>
      </c>
      <c r="P1785" t="str">
        <f t="shared" si="147"/>
        <v/>
      </c>
      <c r="T1785" t="str">
        <f t="shared" si="146"/>
        <v/>
      </c>
      <c r="V1785" t="str">
        <f t="shared" si="148"/>
        <v>MVS,AES</v>
      </c>
      <c r="W1785" t="str">
        <f t="shared" si="148"/>
        <v>MVS,AES</v>
      </c>
      <c r="AG1785" t="s">
        <v>6</v>
      </c>
      <c r="AH1785" t="s">
        <v>3247</v>
      </c>
      <c r="AI1785" t="s">
        <v>53</v>
      </c>
      <c r="AJ1785" t="s">
        <v>15</v>
      </c>
      <c r="AK1785" t="s">
        <v>3246</v>
      </c>
      <c r="AL1785" t="s">
        <v>3245</v>
      </c>
    </row>
    <row r="1786" spans="5:38" x14ac:dyDescent="0.25">
      <c r="E1786" t="s">
        <v>3244</v>
      </c>
      <c r="F1786" t="s">
        <v>3243</v>
      </c>
      <c r="G1786" t="s">
        <v>1280</v>
      </c>
      <c r="H1786" t="s">
        <v>3242</v>
      </c>
      <c r="I1786" t="str">
        <f t="shared" si="144"/>
        <v>wakuwak7</v>
      </c>
      <c r="J1786" t="str">
        <f t="shared" si="145"/>
        <v>wakuwak7serial</v>
      </c>
      <c r="K1786" t="s">
        <v>1373</v>
      </c>
      <c r="L1786" t="str">
        <f t="shared" si="147"/>
        <v>NGM-225 (MVS), NGH-225 (AES)</v>
      </c>
      <c r="M1786" t="str">
        <f t="shared" si="147"/>
        <v>19961121 (MVS), 19961227 (AES)</v>
      </c>
      <c r="N1786" t="str">
        <f t="shared" si="147"/>
        <v>わくわく7</v>
      </c>
      <c r="O1786" t="str">
        <f t="shared" si="147"/>
        <v/>
      </c>
      <c r="P1786" t="str">
        <f t="shared" si="147"/>
        <v/>
      </c>
      <c r="Q1786" t="s">
        <v>3241</v>
      </c>
      <c r="S1786" t="s">
        <v>46</v>
      </c>
      <c r="T1786" t="str">
        <f t="shared" si="146"/>
        <v>wakuwak7release</v>
      </c>
      <c r="U1786" t="s">
        <v>218</v>
      </c>
      <c r="V1786" t="str">
        <f t="shared" si="148"/>
        <v>MVS,AES</v>
      </c>
      <c r="W1786" t="str">
        <f t="shared" si="148"/>
        <v>MVS,AES</v>
      </c>
      <c r="Y1786" t="s">
        <v>45</v>
      </c>
      <c r="Z1786" t="s">
        <v>44</v>
      </c>
      <c r="AB1786" t="s">
        <v>43</v>
      </c>
      <c r="AC1786" t="s">
        <v>42</v>
      </c>
      <c r="AD1786" t="s">
        <v>41</v>
      </c>
      <c r="AE1786" t="s">
        <v>377</v>
      </c>
      <c r="AG1786" t="s">
        <v>40</v>
      </c>
      <c r="AH1786" t="s">
        <v>3240</v>
      </c>
      <c r="AI1786" t="s">
        <v>9</v>
      </c>
      <c r="AJ1786" t="s">
        <v>15</v>
      </c>
      <c r="AK1786" t="s">
        <v>3239</v>
      </c>
      <c r="AL1786" t="s">
        <v>3238</v>
      </c>
    </row>
    <row r="1787" spans="5:38" x14ac:dyDescent="0.25">
      <c r="I1787" t="str">
        <f t="shared" si="144"/>
        <v>wakuwak7</v>
      </c>
      <c r="J1787" t="str">
        <f t="shared" si="145"/>
        <v>wakuwak7release</v>
      </c>
      <c r="K1787" t="s">
        <v>46</v>
      </c>
      <c r="L1787" t="str">
        <f t="shared" si="147"/>
        <v>NGM-225 (MVS), NGH-225 (AES)</v>
      </c>
      <c r="M1787" t="str">
        <f t="shared" si="147"/>
        <v>19961121 (MVS), 19961227 (AES)</v>
      </c>
      <c r="N1787" t="str">
        <f t="shared" si="147"/>
        <v>わくわく7</v>
      </c>
      <c r="O1787" t="str">
        <f t="shared" si="147"/>
        <v/>
      </c>
      <c r="P1787" t="str">
        <f t="shared" si="147"/>
        <v/>
      </c>
      <c r="Q1787" t="s">
        <v>3237</v>
      </c>
      <c r="T1787" t="str">
        <f t="shared" si="146"/>
        <v/>
      </c>
      <c r="V1787" t="str">
        <f t="shared" si="148"/>
        <v>MVS,AES</v>
      </c>
      <c r="W1787" t="str">
        <f t="shared" si="148"/>
        <v>MVS,AES</v>
      </c>
      <c r="AG1787" t="s">
        <v>40</v>
      </c>
      <c r="AH1787" t="s">
        <v>3236</v>
      </c>
      <c r="AI1787" t="s">
        <v>15</v>
      </c>
      <c r="AJ1787" t="s">
        <v>3</v>
      </c>
      <c r="AK1787" t="s">
        <v>3235</v>
      </c>
      <c r="AL1787" t="s">
        <v>3234</v>
      </c>
    </row>
    <row r="1788" spans="5:38" x14ac:dyDescent="0.25">
      <c r="I1788" t="str">
        <f t="shared" si="144"/>
        <v>wakuwak7</v>
      </c>
      <c r="J1788" t="str">
        <f t="shared" si="145"/>
        <v>wakuwak7alt_title</v>
      </c>
      <c r="K1788" t="s">
        <v>1218</v>
      </c>
      <c r="L1788" t="str">
        <f t="shared" si="147"/>
        <v>NGM-225 (MVS), NGH-225 (AES)</v>
      </c>
      <c r="M1788" t="str">
        <f t="shared" si="147"/>
        <v>19961121 (MVS), 19961227 (AES)</v>
      </c>
      <c r="N1788" t="str">
        <f t="shared" si="147"/>
        <v>わくわく7</v>
      </c>
      <c r="O1788" t="str">
        <f t="shared" si="147"/>
        <v/>
      </c>
      <c r="P1788" t="str">
        <f t="shared" si="147"/>
        <v/>
      </c>
      <c r="Q1788" t="s">
        <v>3233</v>
      </c>
      <c r="T1788" t="str">
        <f t="shared" si="146"/>
        <v/>
      </c>
      <c r="V1788" t="str">
        <f t="shared" si="148"/>
        <v>MVS,AES</v>
      </c>
      <c r="W1788" t="str">
        <f t="shared" si="148"/>
        <v>MVS,AES</v>
      </c>
      <c r="AB1788" t="s">
        <v>34</v>
      </c>
      <c r="AE1788" t="s">
        <v>33</v>
      </c>
      <c r="AH1788" t="s">
        <v>3232</v>
      </c>
      <c r="AI1788" t="s">
        <v>9</v>
      </c>
      <c r="AJ1788" t="s">
        <v>27</v>
      </c>
      <c r="AK1788" t="s">
        <v>3231</v>
      </c>
      <c r="AL1788" t="s">
        <v>3230</v>
      </c>
    </row>
    <row r="1789" spans="5:38" x14ac:dyDescent="0.25">
      <c r="I1789" t="str">
        <f t="shared" si="144"/>
        <v>wakuwak7</v>
      </c>
      <c r="J1789" t="str">
        <f t="shared" si="145"/>
        <v/>
      </c>
      <c r="L1789" t="str">
        <f t="shared" si="147"/>
        <v>NGM-225 (MVS), NGH-225 (AES)</v>
      </c>
      <c r="M1789" t="str">
        <f t="shared" si="147"/>
        <v>19961121 (MVS), 19961227 (AES)</v>
      </c>
      <c r="N1789" t="str">
        <f t="shared" si="147"/>
        <v>わくわく7</v>
      </c>
      <c r="O1789" t="str">
        <f t="shared" si="147"/>
        <v/>
      </c>
      <c r="P1789" t="str">
        <f t="shared" si="147"/>
        <v/>
      </c>
      <c r="S1789" t="s">
        <v>36</v>
      </c>
      <c r="T1789" t="str">
        <f t="shared" si="146"/>
        <v>wakuwak7compatibility</v>
      </c>
      <c r="U1789" t="s">
        <v>218</v>
      </c>
      <c r="V1789" t="str">
        <f t="shared" si="148"/>
        <v>MVS,AES</v>
      </c>
      <c r="W1789" t="str">
        <f t="shared" si="148"/>
        <v>MVS,AES</v>
      </c>
      <c r="AB1789" t="s">
        <v>29</v>
      </c>
      <c r="AE1789" t="s">
        <v>27</v>
      </c>
      <c r="AH1789" t="s">
        <v>3229</v>
      </c>
      <c r="AI1789" t="s">
        <v>9</v>
      </c>
      <c r="AJ1789" t="s">
        <v>27</v>
      </c>
      <c r="AK1789" t="s">
        <v>3228</v>
      </c>
      <c r="AL1789" t="s">
        <v>3227</v>
      </c>
    </row>
    <row r="1790" spans="5:38" x14ac:dyDescent="0.25">
      <c r="I1790" t="str">
        <f t="shared" si="144"/>
        <v>wakuwak7</v>
      </c>
      <c r="J1790" t="str">
        <f t="shared" si="145"/>
        <v/>
      </c>
      <c r="L1790" t="str">
        <f t="shared" si="147"/>
        <v>NGM-225 (MVS), NGH-225 (AES)</v>
      </c>
      <c r="M1790" t="str">
        <f t="shared" si="147"/>
        <v>19961121 (MVS), 19961227 (AES)</v>
      </c>
      <c r="N1790" t="str">
        <f t="shared" si="147"/>
        <v>わくわく7</v>
      </c>
      <c r="O1790" t="str">
        <f t="shared" si="147"/>
        <v/>
      </c>
      <c r="P1790" t="str">
        <f t="shared" si="147"/>
        <v/>
      </c>
      <c r="T1790" t="str">
        <f t="shared" si="146"/>
        <v/>
      </c>
      <c r="V1790" t="str">
        <f t="shared" si="148"/>
        <v>MVS,AES</v>
      </c>
      <c r="W1790" t="str">
        <f t="shared" si="148"/>
        <v>MVS,AES</v>
      </c>
      <c r="AB1790" t="s">
        <v>24</v>
      </c>
      <c r="AE1790" t="s">
        <v>57</v>
      </c>
      <c r="AH1790" t="s">
        <v>3226</v>
      </c>
      <c r="AI1790" t="s">
        <v>9</v>
      </c>
      <c r="AJ1790" t="s">
        <v>11</v>
      </c>
      <c r="AK1790" t="s">
        <v>3225</v>
      </c>
      <c r="AL1790" t="s">
        <v>3224</v>
      </c>
    </row>
    <row r="1791" spans="5:38" x14ac:dyDescent="0.25">
      <c r="I1791" t="str">
        <f t="shared" si="144"/>
        <v>wakuwak7</v>
      </c>
      <c r="J1791" t="str">
        <f t="shared" si="145"/>
        <v/>
      </c>
      <c r="L1791" t="str">
        <f t="shared" si="147"/>
        <v>NGM-225 (MVS), NGH-225 (AES)</v>
      </c>
      <c r="M1791" t="str">
        <f t="shared" si="147"/>
        <v>19961121 (MVS), 19961227 (AES)</v>
      </c>
      <c r="N1791" t="str">
        <f t="shared" si="147"/>
        <v>わくわく7</v>
      </c>
      <c r="O1791" t="str">
        <f t="shared" si="147"/>
        <v/>
      </c>
      <c r="P1791" t="str">
        <f t="shared" si="147"/>
        <v/>
      </c>
      <c r="T1791" t="str">
        <f t="shared" si="146"/>
        <v/>
      </c>
      <c r="V1791" t="str">
        <f t="shared" si="148"/>
        <v>MVS,AES</v>
      </c>
      <c r="W1791" t="str">
        <f t="shared" si="148"/>
        <v>MVS,AES</v>
      </c>
      <c r="AH1791" t="s">
        <v>3223</v>
      </c>
      <c r="AI1791" t="s">
        <v>11</v>
      </c>
      <c r="AJ1791" t="s">
        <v>11</v>
      </c>
      <c r="AK1791" t="s">
        <v>3222</v>
      </c>
      <c r="AL1791" t="s">
        <v>3221</v>
      </c>
    </row>
    <row r="1792" spans="5:38" x14ac:dyDescent="0.25">
      <c r="I1792" t="str">
        <f t="shared" si="144"/>
        <v>wakuwak7</v>
      </c>
      <c r="J1792" t="str">
        <f t="shared" si="145"/>
        <v/>
      </c>
      <c r="L1792" t="str">
        <f t="shared" si="147"/>
        <v>NGM-225 (MVS), NGH-225 (AES)</v>
      </c>
      <c r="M1792" t="str">
        <f t="shared" si="147"/>
        <v>19961121 (MVS), 19961227 (AES)</v>
      </c>
      <c r="N1792" t="str">
        <f t="shared" si="147"/>
        <v>わくわく7</v>
      </c>
      <c r="O1792" t="str">
        <f t="shared" si="147"/>
        <v/>
      </c>
      <c r="P1792" t="str">
        <f t="shared" si="147"/>
        <v/>
      </c>
      <c r="T1792" t="str">
        <f t="shared" si="146"/>
        <v/>
      </c>
      <c r="V1792" t="str">
        <f t="shared" si="148"/>
        <v>MVS,AES</v>
      </c>
      <c r="W1792" t="str">
        <f t="shared" si="148"/>
        <v>MVS,AES</v>
      </c>
      <c r="AB1792" t="s">
        <v>12</v>
      </c>
      <c r="AE1792" t="s">
        <v>634</v>
      </c>
      <c r="AG1792" t="s">
        <v>6</v>
      </c>
      <c r="AH1792" t="s">
        <v>3220</v>
      </c>
      <c r="AI1792" t="s">
        <v>9</v>
      </c>
      <c r="AJ1792" t="s">
        <v>11</v>
      </c>
      <c r="AK1792" t="s">
        <v>3219</v>
      </c>
      <c r="AL1792" t="s">
        <v>3218</v>
      </c>
    </row>
    <row r="1793" spans="5:38" x14ac:dyDescent="0.25">
      <c r="I1793" t="str">
        <f t="shared" si="144"/>
        <v>wakuwak7</v>
      </c>
      <c r="J1793" t="str">
        <f t="shared" si="145"/>
        <v/>
      </c>
      <c r="L1793" t="str">
        <f t="shared" si="147"/>
        <v>NGM-225 (MVS), NGH-225 (AES)</v>
      </c>
      <c r="M1793" t="str">
        <f t="shared" si="147"/>
        <v>19961121 (MVS), 19961227 (AES)</v>
      </c>
      <c r="N1793" t="str">
        <f t="shared" si="147"/>
        <v>わくわく7</v>
      </c>
      <c r="O1793" t="str">
        <f t="shared" si="147"/>
        <v/>
      </c>
      <c r="P1793" t="str">
        <f t="shared" si="147"/>
        <v/>
      </c>
      <c r="T1793" t="str">
        <f t="shared" si="146"/>
        <v/>
      </c>
      <c r="V1793" t="str">
        <f t="shared" si="148"/>
        <v>MVS,AES</v>
      </c>
      <c r="W1793" t="str">
        <f t="shared" si="148"/>
        <v>MVS,AES</v>
      </c>
      <c r="AG1793" t="s">
        <v>6</v>
      </c>
      <c r="AH1793" t="s">
        <v>3217</v>
      </c>
      <c r="AI1793" t="s">
        <v>4</v>
      </c>
      <c r="AJ1793" t="s">
        <v>11</v>
      </c>
      <c r="AK1793" t="s">
        <v>3216</v>
      </c>
      <c r="AL1793" t="s">
        <v>3215</v>
      </c>
    </row>
    <row r="1794" spans="5:38" x14ac:dyDescent="0.25">
      <c r="I1794" t="str">
        <f t="shared" si="144"/>
        <v>wakuwak7</v>
      </c>
      <c r="J1794" t="str">
        <f t="shared" si="145"/>
        <v/>
      </c>
      <c r="L1794" t="str">
        <f t="shared" si="147"/>
        <v>NGM-225 (MVS), NGH-225 (AES)</v>
      </c>
      <c r="M1794" t="str">
        <f t="shared" si="147"/>
        <v>19961121 (MVS), 19961227 (AES)</v>
      </c>
      <c r="N1794" t="str">
        <f t="shared" si="147"/>
        <v>わくわく7</v>
      </c>
      <c r="O1794" t="str">
        <f t="shared" si="147"/>
        <v/>
      </c>
      <c r="P1794" t="str">
        <f t="shared" si="147"/>
        <v/>
      </c>
      <c r="T1794" t="str">
        <f t="shared" si="146"/>
        <v/>
      </c>
      <c r="V1794" t="str">
        <f t="shared" si="148"/>
        <v>MVS,AES</v>
      </c>
      <c r="W1794" t="str">
        <f t="shared" si="148"/>
        <v>MVS,AES</v>
      </c>
      <c r="AG1794" t="s">
        <v>6</v>
      </c>
      <c r="AH1794" t="s">
        <v>3214</v>
      </c>
      <c r="AI1794" t="s">
        <v>57</v>
      </c>
      <c r="AJ1794" t="s">
        <v>11</v>
      </c>
      <c r="AK1794" t="s">
        <v>3213</v>
      </c>
      <c r="AL1794" t="s">
        <v>3212</v>
      </c>
    </row>
    <row r="1795" spans="5:38" x14ac:dyDescent="0.25">
      <c r="I1795" t="str">
        <f t="shared" ref="I1795:I1858" si="149">IF(E1795="",I1794,E1795)</f>
        <v>wakuwak7</v>
      </c>
      <c r="J1795" t="str">
        <f t="shared" ref="J1795:J1858" si="150">IF(K1795="","",I1795&amp;K1795)</f>
        <v/>
      </c>
      <c r="L1795" t="str">
        <f t="shared" si="147"/>
        <v>NGM-225 (MVS), NGH-225 (AES)</v>
      </c>
      <c r="M1795" t="str">
        <f t="shared" si="147"/>
        <v>19961121 (MVS), 19961227 (AES)</v>
      </c>
      <c r="N1795" t="str">
        <f t="shared" si="147"/>
        <v>わくわく7</v>
      </c>
      <c r="O1795" t="str">
        <f t="shared" si="147"/>
        <v/>
      </c>
      <c r="P1795" t="str">
        <f t="shared" si="147"/>
        <v/>
      </c>
      <c r="T1795" t="str">
        <f t="shared" ref="T1795:T1858" si="151">IF(S1795="","",I1795&amp;S1795)</f>
        <v/>
      </c>
      <c r="V1795" t="str">
        <f t="shared" si="148"/>
        <v>MVS,AES</v>
      </c>
      <c r="W1795" t="str">
        <f t="shared" si="148"/>
        <v>MVS,AES</v>
      </c>
      <c r="AG1795" t="s">
        <v>6</v>
      </c>
      <c r="AH1795" t="s">
        <v>3211</v>
      </c>
      <c r="AI1795" t="s">
        <v>53</v>
      </c>
      <c r="AJ1795" t="s">
        <v>11</v>
      </c>
      <c r="AK1795" t="s">
        <v>3210</v>
      </c>
      <c r="AL1795" t="s">
        <v>3209</v>
      </c>
    </row>
    <row r="1796" spans="5:38" x14ac:dyDescent="0.25">
      <c r="I1796" t="str">
        <f t="shared" si="149"/>
        <v>wakuwak7</v>
      </c>
      <c r="J1796" t="str">
        <f t="shared" si="150"/>
        <v/>
      </c>
      <c r="L1796" t="str">
        <f t="shared" si="147"/>
        <v>NGM-225 (MVS), NGH-225 (AES)</v>
      </c>
      <c r="M1796" t="str">
        <f t="shared" si="147"/>
        <v>19961121 (MVS), 19961227 (AES)</v>
      </c>
      <c r="N1796" t="str">
        <f t="shared" si="147"/>
        <v>わくわく7</v>
      </c>
      <c r="O1796" t="str">
        <f t="shared" si="147"/>
        <v/>
      </c>
      <c r="P1796" t="str">
        <f t="shared" si="147"/>
        <v/>
      </c>
      <c r="T1796" t="str">
        <f t="shared" si="151"/>
        <v/>
      </c>
      <c r="V1796" t="str">
        <f t="shared" si="148"/>
        <v>MVS,AES</v>
      </c>
      <c r="W1796" t="str">
        <f t="shared" si="148"/>
        <v>MVS,AES</v>
      </c>
      <c r="AG1796" t="s">
        <v>6</v>
      </c>
      <c r="AH1796" t="s">
        <v>3208</v>
      </c>
      <c r="AI1796" t="s">
        <v>65</v>
      </c>
      <c r="AJ1796" t="s">
        <v>11</v>
      </c>
      <c r="AK1796" t="s">
        <v>3207</v>
      </c>
      <c r="AL1796" t="s">
        <v>3206</v>
      </c>
    </row>
    <row r="1797" spans="5:38" x14ac:dyDescent="0.25">
      <c r="I1797" t="str">
        <f t="shared" si="149"/>
        <v>wakuwak7</v>
      </c>
      <c r="J1797" t="str">
        <f t="shared" si="150"/>
        <v/>
      </c>
      <c r="L1797" t="str">
        <f t="shared" si="147"/>
        <v>NGM-225 (MVS), NGH-225 (AES)</v>
      </c>
      <c r="M1797" t="str">
        <f t="shared" si="147"/>
        <v>19961121 (MVS), 19961227 (AES)</v>
      </c>
      <c r="N1797" t="str">
        <f t="shared" si="147"/>
        <v>わくわく7</v>
      </c>
      <c r="O1797" t="str">
        <f t="shared" si="147"/>
        <v/>
      </c>
      <c r="P1797" t="str">
        <f t="shared" si="147"/>
        <v/>
      </c>
      <c r="T1797" t="str">
        <f t="shared" si="151"/>
        <v/>
      </c>
      <c r="V1797" t="str">
        <f t="shared" si="148"/>
        <v>MVS,AES</v>
      </c>
      <c r="W1797" t="str">
        <f t="shared" si="148"/>
        <v>MVS,AES</v>
      </c>
      <c r="AG1797" t="s">
        <v>6</v>
      </c>
      <c r="AH1797" t="s">
        <v>3205</v>
      </c>
      <c r="AI1797" t="s">
        <v>164</v>
      </c>
      <c r="AJ1797" t="s">
        <v>11</v>
      </c>
      <c r="AK1797" t="s">
        <v>3204</v>
      </c>
      <c r="AL1797" t="s">
        <v>3203</v>
      </c>
    </row>
    <row r="1798" spans="5:38" x14ac:dyDescent="0.25">
      <c r="E1798" t="s">
        <v>3202</v>
      </c>
      <c r="F1798" t="s">
        <v>3201</v>
      </c>
      <c r="G1798" t="s">
        <v>1280</v>
      </c>
      <c r="H1798" t="s">
        <v>2520</v>
      </c>
      <c r="I1798" t="str">
        <f t="shared" si="149"/>
        <v>stakwin2</v>
      </c>
      <c r="J1798" t="str">
        <f t="shared" si="150"/>
        <v>stakwin2serial</v>
      </c>
      <c r="K1798" t="s">
        <v>1373</v>
      </c>
      <c r="L1798" t="str">
        <f t="shared" si="147"/>
        <v>NGM-227 (MVS), NGH-227 (AES)</v>
      </c>
      <c r="M1798" t="str">
        <f t="shared" si="147"/>
        <v>19960924 (MVS), 19961213 (AES)</v>
      </c>
      <c r="N1798" t="str">
        <f t="shared" si="147"/>
        <v>ステークスウィナー2</v>
      </c>
      <c r="O1798" t="str">
        <f t="shared" si="147"/>
        <v/>
      </c>
      <c r="P1798" t="str">
        <f t="shared" si="147"/>
        <v/>
      </c>
      <c r="Q1798" t="s">
        <v>3200</v>
      </c>
      <c r="S1798" t="s">
        <v>46</v>
      </c>
      <c r="T1798" t="str">
        <f t="shared" si="151"/>
        <v>stakwin2release</v>
      </c>
      <c r="U1798" t="s">
        <v>218</v>
      </c>
      <c r="V1798" t="str">
        <f t="shared" si="148"/>
        <v>MVS,AES</v>
      </c>
      <c r="W1798" t="str">
        <f t="shared" si="148"/>
        <v>MVS,AES</v>
      </c>
      <c r="Y1798" t="s">
        <v>45</v>
      </c>
      <c r="Z1798" t="s">
        <v>44</v>
      </c>
      <c r="AB1798" t="s">
        <v>43</v>
      </c>
      <c r="AC1798" t="s">
        <v>42</v>
      </c>
      <c r="AD1798" t="s">
        <v>41</v>
      </c>
      <c r="AE1798" t="s">
        <v>3</v>
      </c>
      <c r="AG1798" t="s">
        <v>40</v>
      </c>
      <c r="AH1798" t="s">
        <v>3199</v>
      </c>
      <c r="AI1798" t="s">
        <v>15</v>
      </c>
      <c r="AJ1798" t="s">
        <v>15</v>
      </c>
      <c r="AK1798" t="s">
        <v>3198</v>
      </c>
      <c r="AL1798" t="s">
        <v>3197</v>
      </c>
    </row>
    <row r="1799" spans="5:38" x14ac:dyDescent="0.25">
      <c r="I1799" t="str">
        <f t="shared" si="149"/>
        <v>stakwin2</v>
      </c>
      <c r="J1799" t="str">
        <f t="shared" si="150"/>
        <v>stakwin2release</v>
      </c>
      <c r="K1799" t="s">
        <v>46</v>
      </c>
      <c r="L1799" t="str">
        <f t="shared" si="147"/>
        <v>NGM-227 (MVS), NGH-227 (AES)</v>
      </c>
      <c r="M1799" t="str">
        <f t="shared" si="147"/>
        <v>19960924 (MVS), 19961213 (AES)</v>
      </c>
      <c r="N1799" t="str">
        <f t="shared" si="147"/>
        <v>ステークスウィナー2</v>
      </c>
      <c r="O1799" t="str">
        <f t="shared" si="147"/>
        <v/>
      </c>
      <c r="P1799" t="str">
        <f t="shared" si="147"/>
        <v/>
      </c>
      <c r="Q1799" t="s">
        <v>3196</v>
      </c>
      <c r="T1799" t="str">
        <f t="shared" si="151"/>
        <v/>
      </c>
      <c r="V1799" t="str">
        <f t="shared" si="148"/>
        <v>MVS,AES</v>
      </c>
      <c r="W1799" t="str">
        <f t="shared" si="148"/>
        <v>MVS,AES</v>
      </c>
      <c r="AG1799" t="s">
        <v>224</v>
      </c>
      <c r="AI1799" t="s">
        <v>9</v>
      </c>
      <c r="AJ1799" t="s">
        <v>15</v>
      </c>
    </row>
    <row r="1800" spans="5:38" x14ac:dyDescent="0.25">
      <c r="I1800" t="str">
        <f t="shared" si="149"/>
        <v>stakwin2</v>
      </c>
      <c r="J1800" t="str">
        <f t="shared" si="150"/>
        <v>stakwin2alt_title</v>
      </c>
      <c r="K1800" t="s">
        <v>1218</v>
      </c>
      <c r="L1800" t="str">
        <f t="shared" ref="L1800:P1850" si="152">IFERROR(VLOOKUP($I1800&amp;L$1,$J:$Q,8,0),"")</f>
        <v>NGM-227 (MVS), NGH-227 (AES)</v>
      </c>
      <c r="M1800" t="str">
        <f t="shared" si="152"/>
        <v>19960924 (MVS), 19961213 (AES)</v>
      </c>
      <c r="N1800" t="str">
        <f t="shared" si="152"/>
        <v>ステークスウィナー2</v>
      </c>
      <c r="O1800" t="str">
        <f t="shared" si="152"/>
        <v/>
      </c>
      <c r="P1800" t="str">
        <f t="shared" si="152"/>
        <v/>
      </c>
      <c r="Q1800" t="s">
        <v>3195</v>
      </c>
      <c r="T1800" t="str">
        <f t="shared" si="151"/>
        <v/>
      </c>
      <c r="V1800" t="str">
        <f t="shared" si="148"/>
        <v>MVS,AES</v>
      </c>
      <c r="W1800" t="str">
        <f t="shared" si="148"/>
        <v>MVS,AES</v>
      </c>
      <c r="AB1800" t="s">
        <v>34</v>
      </c>
      <c r="AE1800" t="s">
        <v>33</v>
      </c>
      <c r="AH1800" t="s">
        <v>3194</v>
      </c>
      <c r="AI1800" t="s">
        <v>9</v>
      </c>
      <c r="AJ1800" t="s">
        <v>27</v>
      </c>
      <c r="AK1800" t="s">
        <v>3193</v>
      </c>
      <c r="AL1800" t="s">
        <v>3192</v>
      </c>
    </row>
    <row r="1801" spans="5:38" x14ac:dyDescent="0.25">
      <c r="I1801" t="str">
        <f t="shared" si="149"/>
        <v>stakwin2</v>
      </c>
      <c r="J1801" t="str">
        <f t="shared" si="150"/>
        <v/>
      </c>
      <c r="L1801" t="str">
        <f t="shared" si="152"/>
        <v>NGM-227 (MVS), NGH-227 (AES)</v>
      </c>
      <c r="M1801" t="str">
        <f t="shared" si="152"/>
        <v>19960924 (MVS), 19961213 (AES)</v>
      </c>
      <c r="N1801" t="str">
        <f t="shared" si="152"/>
        <v>ステークスウィナー2</v>
      </c>
      <c r="O1801" t="str">
        <f t="shared" si="152"/>
        <v/>
      </c>
      <c r="P1801" t="str">
        <f t="shared" si="152"/>
        <v/>
      </c>
      <c r="S1801" t="s">
        <v>36</v>
      </c>
      <c r="T1801" t="str">
        <f t="shared" si="151"/>
        <v>stakwin2compatibility</v>
      </c>
      <c r="U1801" t="s">
        <v>218</v>
      </c>
      <c r="V1801" t="str">
        <f t="shared" si="148"/>
        <v>MVS,AES</v>
      </c>
      <c r="W1801" t="str">
        <f t="shared" si="148"/>
        <v>MVS,AES</v>
      </c>
      <c r="AB1801" t="s">
        <v>29</v>
      </c>
      <c r="AE1801" t="s">
        <v>27</v>
      </c>
      <c r="AH1801" t="s">
        <v>3191</v>
      </c>
      <c r="AI1801" t="s">
        <v>9</v>
      </c>
      <c r="AJ1801" t="s">
        <v>27</v>
      </c>
      <c r="AK1801" t="s">
        <v>3190</v>
      </c>
      <c r="AL1801" t="s">
        <v>3189</v>
      </c>
    </row>
    <row r="1802" spans="5:38" x14ac:dyDescent="0.25">
      <c r="I1802" t="str">
        <f t="shared" si="149"/>
        <v>stakwin2</v>
      </c>
      <c r="J1802" t="str">
        <f t="shared" si="150"/>
        <v/>
      </c>
      <c r="L1802" t="str">
        <f t="shared" si="152"/>
        <v>NGM-227 (MVS), NGH-227 (AES)</v>
      </c>
      <c r="M1802" t="str">
        <f t="shared" si="152"/>
        <v>19960924 (MVS), 19961213 (AES)</v>
      </c>
      <c r="N1802" t="str">
        <f t="shared" si="152"/>
        <v>ステークスウィナー2</v>
      </c>
      <c r="O1802" t="str">
        <f t="shared" si="152"/>
        <v/>
      </c>
      <c r="P1802" t="str">
        <f t="shared" si="152"/>
        <v/>
      </c>
      <c r="T1802" t="str">
        <f t="shared" si="151"/>
        <v/>
      </c>
      <c r="V1802" t="str">
        <f t="shared" si="148"/>
        <v>MVS,AES</v>
      </c>
      <c r="W1802" t="str">
        <f t="shared" si="148"/>
        <v>MVS,AES</v>
      </c>
      <c r="AB1802" t="s">
        <v>24</v>
      </c>
      <c r="AE1802" t="s">
        <v>57</v>
      </c>
      <c r="AH1802" t="s">
        <v>3188</v>
      </c>
      <c r="AI1802" t="s">
        <v>9</v>
      </c>
      <c r="AJ1802" t="s">
        <v>11</v>
      </c>
      <c r="AK1802" t="s">
        <v>3187</v>
      </c>
      <c r="AL1802" t="s">
        <v>3186</v>
      </c>
    </row>
    <row r="1803" spans="5:38" x14ac:dyDescent="0.25">
      <c r="I1803" t="str">
        <f t="shared" si="149"/>
        <v>stakwin2</v>
      </c>
      <c r="J1803" t="str">
        <f t="shared" si="150"/>
        <v/>
      </c>
      <c r="L1803" t="str">
        <f t="shared" si="152"/>
        <v>NGM-227 (MVS), NGH-227 (AES)</v>
      </c>
      <c r="M1803" t="str">
        <f t="shared" si="152"/>
        <v>19960924 (MVS), 19961213 (AES)</v>
      </c>
      <c r="N1803" t="str">
        <f t="shared" si="152"/>
        <v>ステークスウィナー2</v>
      </c>
      <c r="O1803" t="str">
        <f t="shared" si="152"/>
        <v/>
      </c>
      <c r="P1803" t="str">
        <f t="shared" si="152"/>
        <v/>
      </c>
      <c r="T1803" t="str">
        <f t="shared" si="151"/>
        <v/>
      </c>
      <c r="V1803" t="str">
        <f t="shared" si="148"/>
        <v>MVS,AES</v>
      </c>
      <c r="W1803" t="str">
        <f t="shared" si="148"/>
        <v>MVS,AES</v>
      </c>
      <c r="AH1803" t="s">
        <v>3185</v>
      </c>
      <c r="AI1803" t="s">
        <v>11</v>
      </c>
      <c r="AJ1803" t="s">
        <v>11</v>
      </c>
      <c r="AK1803" t="s">
        <v>3184</v>
      </c>
      <c r="AL1803" t="s">
        <v>3183</v>
      </c>
    </row>
    <row r="1804" spans="5:38" x14ac:dyDescent="0.25">
      <c r="I1804" t="str">
        <f t="shared" si="149"/>
        <v>stakwin2</v>
      </c>
      <c r="J1804" t="str">
        <f t="shared" si="150"/>
        <v/>
      </c>
      <c r="L1804" t="str">
        <f t="shared" si="152"/>
        <v>NGM-227 (MVS), NGH-227 (AES)</v>
      </c>
      <c r="M1804" t="str">
        <f t="shared" si="152"/>
        <v>19960924 (MVS), 19961213 (AES)</v>
      </c>
      <c r="N1804" t="str">
        <f t="shared" si="152"/>
        <v>ステークスウィナー2</v>
      </c>
      <c r="O1804" t="str">
        <f t="shared" si="152"/>
        <v/>
      </c>
      <c r="P1804" t="str">
        <f t="shared" si="152"/>
        <v/>
      </c>
      <c r="T1804" t="str">
        <f t="shared" si="151"/>
        <v/>
      </c>
      <c r="V1804" t="str">
        <f t="shared" si="148"/>
        <v>MVS,AES</v>
      </c>
      <c r="W1804" t="str">
        <f t="shared" si="148"/>
        <v>MVS,AES</v>
      </c>
      <c r="AB1804" t="s">
        <v>12</v>
      </c>
      <c r="AE1804" t="s">
        <v>250</v>
      </c>
      <c r="AG1804" t="s">
        <v>6</v>
      </c>
      <c r="AH1804" t="s">
        <v>3182</v>
      </c>
      <c r="AI1804" t="s">
        <v>9</v>
      </c>
      <c r="AJ1804" t="s">
        <v>11</v>
      </c>
      <c r="AK1804" t="s">
        <v>3181</v>
      </c>
      <c r="AL1804" t="s">
        <v>3180</v>
      </c>
    </row>
    <row r="1805" spans="5:38" x14ac:dyDescent="0.25">
      <c r="I1805" t="str">
        <f t="shared" si="149"/>
        <v>stakwin2</v>
      </c>
      <c r="J1805" t="str">
        <f t="shared" si="150"/>
        <v/>
      </c>
      <c r="L1805" t="str">
        <f t="shared" si="152"/>
        <v>NGM-227 (MVS), NGH-227 (AES)</v>
      </c>
      <c r="M1805" t="str">
        <f t="shared" si="152"/>
        <v>19960924 (MVS), 19961213 (AES)</v>
      </c>
      <c r="N1805" t="str">
        <f t="shared" si="152"/>
        <v>ステークスウィナー2</v>
      </c>
      <c r="O1805" t="str">
        <f t="shared" si="152"/>
        <v/>
      </c>
      <c r="P1805" t="str">
        <f t="shared" si="152"/>
        <v/>
      </c>
      <c r="T1805" t="str">
        <f t="shared" si="151"/>
        <v/>
      </c>
      <c r="V1805" t="str">
        <f t="shared" si="148"/>
        <v>MVS,AES</v>
      </c>
      <c r="W1805" t="str">
        <f t="shared" si="148"/>
        <v>MVS,AES</v>
      </c>
      <c r="AG1805" t="s">
        <v>6</v>
      </c>
      <c r="AH1805" t="s">
        <v>3179</v>
      </c>
      <c r="AI1805" t="s">
        <v>4</v>
      </c>
      <c r="AJ1805" t="s">
        <v>11</v>
      </c>
      <c r="AK1805" t="s">
        <v>3178</v>
      </c>
      <c r="AL1805" t="s">
        <v>3177</v>
      </c>
    </row>
    <row r="1806" spans="5:38" x14ac:dyDescent="0.25">
      <c r="I1806" t="str">
        <f t="shared" si="149"/>
        <v>stakwin2</v>
      </c>
      <c r="J1806" t="str">
        <f t="shared" si="150"/>
        <v/>
      </c>
      <c r="L1806" t="str">
        <f t="shared" si="152"/>
        <v>NGM-227 (MVS), NGH-227 (AES)</v>
      </c>
      <c r="M1806" t="str">
        <f t="shared" si="152"/>
        <v>19960924 (MVS), 19961213 (AES)</v>
      </c>
      <c r="N1806" t="str">
        <f t="shared" si="152"/>
        <v>ステークスウィナー2</v>
      </c>
      <c r="O1806" t="str">
        <f t="shared" si="152"/>
        <v/>
      </c>
      <c r="P1806" t="str">
        <f t="shared" si="152"/>
        <v/>
      </c>
      <c r="T1806" t="str">
        <f t="shared" si="151"/>
        <v/>
      </c>
      <c r="V1806" t="str">
        <f t="shared" si="148"/>
        <v>MVS,AES</v>
      </c>
      <c r="W1806" t="str">
        <f t="shared" si="148"/>
        <v>MVS,AES</v>
      </c>
      <c r="AG1806" t="s">
        <v>6</v>
      </c>
      <c r="AH1806" t="s">
        <v>3176</v>
      </c>
      <c r="AI1806" t="s">
        <v>57</v>
      </c>
      <c r="AJ1806" t="s">
        <v>3</v>
      </c>
      <c r="AK1806" t="s">
        <v>3175</v>
      </c>
      <c r="AL1806" t="s">
        <v>3174</v>
      </c>
    </row>
    <row r="1807" spans="5:38" x14ac:dyDescent="0.25">
      <c r="I1807" t="str">
        <f t="shared" si="149"/>
        <v>stakwin2</v>
      </c>
      <c r="J1807" t="str">
        <f t="shared" si="150"/>
        <v/>
      </c>
      <c r="L1807" t="str">
        <f t="shared" si="152"/>
        <v>NGM-227 (MVS), NGH-227 (AES)</v>
      </c>
      <c r="M1807" t="str">
        <f t="shared" si="152"/>
        <v>19960924 (MVS), 19961213 (AES)</v>
      </c>
      <c r="N1807" t="str">
        <f t="shared" si="152"/>
        <v>ステークスウィナー2</v>
      </c>
      <c r="O1807" t="str">
        <f t="shared" si="152"/>
        <v/>
      </c>
      <c r="P1807" t="str">
        <f t="shared" si="152"/>
        <v/>
      </c>
      <c r="T1807" t="str">
        <f t="shared" si="151"/>
        <v/>
      </c>
      <c r="V1807" t="str">
        <f t="shared" si="148"/>
        <v>MVS,AES</v>
      </c>
      <c r="W1807" t="str">
        <f t="shared" si="148"/>
        <v>MVS,AES</v>
      </c>
      <c r="AG1807" t="s">
        <v>6</v>
      </c>
      <c r="AH1807" t="s">
        <v>3173</v>
      </c>
      <c r="AI1807" t="s">
        <v>53</v>
      </c>
      <c r="AJ1807" t="s">
        <v>3</v>
      </c>
      <c r="AK1807" t="s">
        <v>3172</v>
      </c>
      <c r="AL1807" t="s">
        <v>3171</v>
      </c>
    </row>
    <row r="1808" spans="5:38" x14ac:dyDescent="0.25">
      <c r="E1808" t="s">
        <v>3170</v>
      </c>
      <c r="F1808" t="s">
        <v>3169</v>
      </c>
      <c r="G1808" t="s">
        <v>1280</v>
      </c>
      <c r="H1808" t="s">
        <v>3073</v>
      </c>
      <c r="I1808" t="str">
        <f t="shared" si="149"/>
        <v>ghostlop</v>
      </c>
      <c r="J1808" t="str">
        <f t="shared" si="150"/>
        <v/>
      </c>
      <c r="L1808" t="str">
        <f t="shared" si="152"/>
        <v/>
      </c>
      <c r="M1808" t="str">
        <f t="shared" si="152"/>
        <v/>
      </c>
      <c r="N1808" t="str">
        <f t="shared" si="152"/>
        <v/>
      </c>
      <c r="O1808" t="str">
        <f t="shared" si="152"/>
        <v/>
      </c>
      <c r="P1808" t="str">
        <f t="shared" si="152"/>
        <v/>
      </c>
      <c r="S1808" t="s">
        <v>46</v>
      </c>
      <c r="T1808" t="str">
        <f t="shared" si="151"/>
        <v>ghostloprelease</v>
      </c>
      <c r="U1808" t="s">
        <v>106</v>
      </c>
      <c r="V1808" t="str">
        <f t="shared" si="148"/>
        <v>MVS</v>
      </c>
      <c r="W1808" t="str">
        <f t="shared" si="148"/>
        <v>MVS,AES</v>
      </c>
      <c r="Y1808" t="s">
        <v>45</v>
      </c>
      <c r="Z1808" t="s">
        <v>44</v>
      </c>
      <c r="AB1808" t="s">
        <v>43</v>
      </c>
      <c r="AC1808" t="s">
        <v>42</v>
      </c>
      <c r="AD1808" t="s">
        <v>41</v>
      </c>
      <c r="AE1808" t="s">
        <v>15</v>
      </c>
      <c r="AG1808" t="s">
        <v>40</v>
      </c>
      <c r="AH1808" t="s">
        <v>3168</v>
      </c>
      <c r="AI1808" t="s">
        <v>9</v>
      </c>
      <c r="AJ1808" t="s">
        <v>15</v>
      </c>
      <c r="AK1808" t="s">
        <v>3167</v>
      </c>
      <c r="AL1808" t="s">
        <v>3166</v>
      </c>
    </row>
    <row r="1809" spans="5:38" x14ac:dyDescent="0.25">
      <c r="I1809" t="str">
        <f t="shared" si="149"/>
        <v>ghostlop</v>
      </c>
      <c r="J1809" t="str">
        <f t="shared" si="150"/>
        <v/>
      </c>
      <c r="L1809" t="str">
        <f t="shared" si="152"/>
        <v/>
      </c>
      <c r="M1809" t="str">
        <f t="shared" si="152"/>
        <v/>
      </c>
      <c r="N1809" t="str">
        <f t="shared" si="152"/>
        <v/>
      </c>
      <c r="O1809" t="str">
        <f t="shared" si="152"/>
        <v/>
      </c>
      <c r="P1809" t="str">
        <f t="shared" si="152"/>
        <v/>
      </c>
      <c r="S1809" t="s">
        <v>36</v>
      </c>
      <c r="T1809" t="str">
        <f t="shared" si="151"/>
        <v>ghostlopcompatibility</v>
      </c>
      <c r="U1809" t="s">
        <v>218</v>
      </c>
      <c r="V1809" t="str">
        <f t="shared" si="148"/>
        <v>MVS</v>
      </c>
      <c r="W1809" t="str">
        <f t="shared" si="148"/>
        <v>MVS,AES</v>
      </c>
      <c r="AB1809" t="s">
        <v>34</v>
      </c>
      <c r="AE1809" t="s">
        <v>33</v>
      </c>
      <c r="AH1809" t="s">
        <v>3165</v>
      </c>
      <c r="AI1809" t="s">
        <v>9</v>
      </c>
      <c r="AJ1809" t="s">
        <v>27</v>
      </c>
      <c r="AK1809" t="s">
        <v>3164</v>
      </c>
      <c r="AL1809" t="s">
        <v>3163</v>
      </c>
    </row>
    <row r="1810" spans="5:38" x14ac:dyDescent="0.25">
      <c r="I1810" t="str">
        <f t="shared" si="149"/>
        <v>ghostlop</v>
      </c>
      <c r="J1810" t="str">
        <f t="shared" si="150"/>
        <v/>
      </c>
      <c r="L1810" t="str">
        <f t="shared" si="152"/>
        <v/>
      </c>
      <c r="M1810" t="str">
        <f t="shared" si="152"/>
        <v/>
      </c>
      <c r="N1810" t="str">
        <f t="shared" si="152"/>
        <v/>
      </c>
      <c r="O1810" t="str">
        <f t="shared" si="152"/>
        <v/>
      </c>
      <c r="P1810" t="str">
        <f t="shared" si="152"/>
        <v/>
      </c>
      <c r="T1810" t="str">
        <f t="shared" si="151"/>
        <v/>
      </c>
      <c r="V1810" t="str">
        <f t="shared" si="148"/>
        <v>MVS</v>
      </c>
      <c r="W1810" t="str">
        <f t="shared" si="148"/>
        <v>MVS,AES</v>
      </c>
      <c r="AB1810" t="s">
        <v>29</v>
      </c>
      <c r="AE1810" t="s">
        <v>27</v>
      </c>
      <c r="AH1810" t="s">
        <v>3162</v>
      </c>
      <c r="AI1810" t="s">
        <v>9</v>
      </c>
      <c r="AJ1810" t="s">
        <v>27</v>
      </c>
      <c r="AK1810" t="s">
        <v>3161</v>
      </c>
      <c r="AL1810" t="s">
        <v>3160</v>
      </c>
    </row>
    <row r="1811" spans="5:38" x14ac:dyDescent="0.25">
      <c r="I1811" t="str">
        <f t="shared" si="149"/>
        <v>ghostlop</v>
      </c>
      <c r="J1811" t="str">
        <f t="shared" si="150"/>
        <v/>
      </c>
      <c r="L1811" t="str">
        <f t="shared" si="152"/>
        <v/>
      </c>
      <c r="M1811" t="str">
        <f t="shared" si="152"/>
        <v/>
      </c>
      <c r="N1811" t="str">
        <f t="shared" si="152"/>
        <v/>
      </c>
      <c r="O1811" t="str">
        <f t="shared" si="152"/>
        <v/>
      </c>
      <c r="P1811" t="str">
        <f t="shared" si="152"/>
        <v/>
      </c>
      <c r="T1811" t="str">
        <f t="shared" si="151"/>
        <v/>
      </c>
      <c r="V1811" t="str">
        <f t="shared" si="148"/>
        <v>MVS</v>
      </c>
      <c r="W1811" t="str">
        <f t="shared" si="148"/>
        <v>MVS,AES</v>
      </c>
      <c r="AB1811" t="s">
        <v>24</v>
      </c>
      <c r="AE1811" t="s">
        <v>3</v>
      </c>
      <c r="AH1811" t="s">
        <v>3159</v>
      </c>
      <c r="AI1811" t="s">
        <v>9</v>
      </c>
      <c r="AJ1811" t="s">
        <v>3</v>
      </c>
      <c r="AK1811" t="s">
        <v>3158</v>
      </c>
      <c r="AL1811" t="s">
        <v>3157</v>
      </c>
    </row>
    <row r="1812" spans="5:38" x14ac:dyDescent="0.25">
      <c r="I1812" t="str">
        <f t="shared" si="149"/>
        <v>ghostlop</v>
      </c>
      <c r="J1812" t="str">
        <f t="shared" si="150"/>
        <v/>
      </c>
      <c r="L1812" t="str">
        <f t="shared" si="152"/>
        <v/>
      </c>
      <c r="M1812" t="str">
        <f t="shared" si="152"/>
        <v/>
      </c>
      <c r="N1812" t="str">
        <f t="shared" si="152"/>
        <v/>
      </c>
      <c r="O1812" t="str">
        <f t="shared" si="152"/>
        <v/>
      </c>
      <c r="P1812" t="str">
        <f t="shared" si="152"/>
        <v/>
      </c>
      <c r="T1812" t="str">
        <f t="shared" si="151"/>
        <v/>
      </c>
      <c r="V1812" t="str">
        <f t="shared" si="148"/>
        <v>MVS</v>
      </c>
      <c r="W1812" t="str">
        <f t="shared" si="148"/>
        <v>MVS,AES</v>
      </c>
      <c r="AB1812" t="s">
        <v>12</v>
      </c>
      <c r="AE1812" t="s">
        <v>57</v>
      </c>
      <c r="AG1812" t="s">
        <v>6</v>
      </c>
      <c r="AH1812" t="s">
        <v>3156</v>
      </c>
      <c r="AI1812" t="s">
        <v>9</v>
      </c>
      <c r="AJ1812" t="s">
        <v>11</v>
      </c>
      <c r="AK1812" t="s">
        <v>3155</v>
      </c>
      <c r="AL1812" t="s">
        <v>3154</v>
      </c>
    </row>
    <row r="1813" spans="5:38" x14ac:dyDescent="0.25">
      <c r="I1813" t="str">
        <f t="shared" si="149"/>
        <v>ghostlop</v>
      </c>
      <c r="J1813" t="str">
        <f t="shared" si="150"/>
        <v/>
      </c>
      <c r="L1813" t="str">
        <f t="shared" si="152"/>
        <v/>
      </c>
      <c r="M1813" t="str">
        <f t="shared" si="152"/>
        <v/>
      </c>
      <c r="N1813" t="str">
        <f t="shared" si="152"/>
        <v/>
      </c>
      <c r="O1813" t="str">
        <f t="shared" si="152"/>
        <v/>
      </c>
      <c r="P1813" t="str">
        <f t="shared" si="152"/>
        <v/>
      </c>
      <c r="T1813" t="str">
        <f t="shared" si="151"/>
        <v/>
      </c>
      <c r="V1813" t="str">
        <f t="shared" si="148"/>
        <v>MVS</v>
      </c>
      <c r="W1813" t="str">
        <f t="shared" si="148"/>
        <v>MVS,AES</v>
      </c>
      <c r="AG1813" t="s">
        <v>6</v>
      </c>
      <c r="AH1813" t="s">
        <v>3153</v>
      </c>
      <c r="AI1813" t="s">
        <v>4</v>
      </c>
      <c r="AJ1813" t="s">
        <v>11</v>
      </c>
      <c r="AK1813" t="s">
        <v>3152</v>
      </c>
      <c r="AL1813" t="s">
        <v>3151</v>
      </c>
    </row>
    <row r="1814" spans="5:38" x14ac:dyDescent="0.25">
      <c r="E1814" t="s">
        <v>3150</v>
      </c>
      <c r="F1814" t="s">
        <v>3149</v>
      </c>
      <c r="G1814" t="s">
        <v>1280</v>
      </c>
      <c r="H1814" t="s">
        <v>1859</v>
      </c>
      <c r="I1814" t="str">
        <f t="shared" si="149"/>
        <v>breakers</v>
      </c>
      <c r="J1814" t="str">
        <f t="shared" si="150"/>
        <v>breakersserial</v>
      </c>
      <c r="K1814" t="s">
        <v>1373</v>
      </c>
      <c r="L1814" t="str">
        <f t="shared" si="152"/>
        <v>NGM-2300 (MVS), NGH-2300 (AES)</v>
      </c>
      <c r="M1814" t="str">
        <f t="shared" si="152"/>
        <v>19961217 (MVS), 19970321 (AES)</v>
      </c>
      <c r="N1814" t="str">
        <f t="shared" si="152"/>
        <v>ブレイカーズ</v>
      </c>
      <c r="O1814" t="str">
        <f t="shared" si="152"/>
        <v/>
      </c>
      <c r="P1814" t="str">
        <f t="shared" si="152"/>
        <v/>
      </c>
      <c r="Q1814" t="s">
        <v>3148</v>
      </c>
      <c r="S1814" t="s">
        <v>46</v>
      </c>
      <c r="T1814" t="str">
        <f t="shared" si="151"/>
        <v>breakersrelease</v>
      </c>
      <c r="U1814" t="s">
        <v>218</v>
      </c>
      <c r="V1814" t="str">
        <f t="shared" si="148"/>
        <v>MVS,AES</v>
      </c>
      <c r="W1814" t="str">
        <f t="shared" si="148"/>
        <v>MVS,AES</v>
      </c>
      <c r="Y1814" t="s">
        <v>45</v>
      </c>
      <c r="Z1814" t="s">
        <v>44</v>
      </c>
      <c r="AB1814" t="s">
        <v>43</v>
      </c>
      <c r="AC1814" t="s">
        <v>42</v>
      </c>
      <c r="AD1814" t="s">
        <v>41</v>
      </c>
      <c r="AE1814" t="s">
        <v>3</v>
      </c>
      <c r="AG1814" t="s">
        <v>40</v>
      </c>
      <c r="AH1814" t="s">
        <v>3147</v>
      </c>
      <c r="AI1814" t="s">
        <v>15</v>
      </c>
      <c r="AJ1814" t="s">
        <v>15</v>
      </c>
      <c r="AK1814" t="s">
        <v>3146</v>
      </c>
      <c r="AL1814" t="s">
        <v>3145</v>
      </c>
    </row>
    <row r="1815" spans="5:38" x14ac:dyDescent="0.25">
      <c r="I1815" t="str">
        <f t="shared" si="149"/>
        <v>breakers</v>
      </c>
      <c r="J1815" t="str">
        <f t="shared" si="150"/>
        <v>breakersrelease</v>
      </c>
      <c r="K1815" t="s">
        <v>46</v>
      </c>
      <c r="L1815" t="str">
        <f t="shared" si="152"/>
        <v>NGM-2300 (MVS), NGH-2300 (AES)</v>
      </c>
      <c r="M1815" t="str">
        <f t="shared" si="152"/>
        <v>19961217 (MVS), 19970321 (AES)</v>
      </c>
      <c r="N1815" t="str">
        <f t="shared" si="152"/>
        <v>ブレイカーズ</v>
      </c>
      <c r="O1815" t="str">
        <f t="shared" si="152"/>
        <v/>
      </c>
      <c r="P1815" t="str">
        <f t="shared" si="152"/>
        <v/>
      </c>
      <c r="Q1815" t="s">
        <v>3144</v>
      </c>
      <c r="T1815" t="str">
        <f t="shared" si="151"/>
        <v/>
      </c>
      <c r="V1815" t="str">
        <f t="shared" ref="V1815:W1878" si="153">IFERROR(VLOOKUP($I1815&amp;V$1,$T:$AA,2,0),"")</f>
        <v>MVS,AES</v>
      </c>
      <c r="W1815" t="str">
        <f t="shared" si="153"/>
        <v>MVS,AES</v>
      </c>
      <c r="AG1815" t="s">
        <v>224</v>
      </c>
      <c r="AI1815" t="s">
        <v>9</v>
      </c>
      <c r="AJ1815" t="s">
        <v>15</v>
      </c>
    </row>
    <row r="1816" spans="5:38" x14ac:dyDescent="0.25">
      <c r="I1816" t="str">
        <f t="shared" si="149"/>
        <v>breakers</v>
      </c>
      <c r="J1816" t="str">
        <f t="shared" si="150"/>
        <v>breakersalt_title</v>
      </c>
      <c r="K1816" t="s">
        <v>1218</v>
      </c>
      <c r="L1816" t="str">
        <f t="shared" si="152"/>
        <v>NGM-2300 (MVS), NGH-2300 (AES)</v>
      </c>
      <c r="M1816" t="str">
        <f t="shared" si="152"/>
        <v>19961217 (MVS), 19970321 (AES)</v>
      </c>
      <c r="N1816" t="str">
        <f t="shared" si="152"/>
        <v>ブレイカーズ</v>
      </c>
      <c r="O1816" t="str">
        <f t="shared" si="152"/>
        <v/>
      </c>
      <c r="P1816" t="str">
        <f t="shared" si="152"/>
        <v/>
      </c>
      <c r="Q1816" t="s">
        <v>3143</v>
      </c>
      <c r="T1816" t="str">
        <f t="shared" si="151"/>
        <v/>
      </c>
      <c r="V1816" t="str">
        <f t="shared" si="153"/>
        <v>MVS,AES</v>
      </c>
      <c r="W1816" t="str">
        <f t="shared" si="153"/>
        <v>MVS,AES</v>
      </c>
      <c r="AB1816" t="s">
        <v>34</v>
      </c>
      <c r="AE1816" t="s">
        <v>33</v>
      </c>
      <c r="AH1816" t="s">
        <v>3142</v>
      </c>
      <c r="AI1816" t="s">
        <v>9</v>
      </c>
      <c r="AJ1816" t="s">
        <v>27</v>
      </c>
      <c r="AK1816" t="s">
        <v>3141</v>
      </c>
      <c r="AL1816" t="s">
        <v>3140</v>
      </c>
    </row>
    <row r="1817" spans="5:38" x14ac:dyDescent="0.25">
      <c r="I1817" t="str">
        <f t="shared" si="149"/>
        <v>breakers</v>
      </c>
      <c r="J1817" t="str">
        <f t="shared" si="150"/>
        <v/>
      </c>
      <c r="L1817" t="str">
        <f t="shared" si="152"/>
        <v>NGM-2300 (MVS), NGH-2300 (AES)</v>
      </c>
      <c r="M1817" t="str">
        <f t="shared" si="152"/>
        <v>19961217 (MVS), 19970321 (AES)</v>
      </c>
      <c r="N1817" t="str">
        <f t="shared" si="152"/>
        <v>ブレイカーズ</v>
      </c>
      <c r="O1817" t="str">
        <f t="shared" si="152"/>
        <v/>
      </c>
      <c r="P1817" t="str">
        <f t="shared" si="152"/>
        <v/>
      </c>
      <c r="S1817" t="s">
        <v>36</v>
      </c>
      <c r="T1817" t="str">
        <f t="shared" si="151"/>
        <v>breakerscompatibility</v>
      </c>
      <c r="U1817" t="s">
        <v>218</v>
      </c>
      <c r="V1817" t="str">
        <f t="shared" si="153"/>
        <v>MVS,AES</v>
      </c>
      <c r="W1817" t="str">
        <f t="shared" si="153"/>
        <v>MVS,AES</v>
      </c>
      <c r="AB1817" t="s">
        <v>29</v>
      </c>
      <c r="AE1817" t="s">
        <v>27</v>
      </c>
      <c r="AH1817" t="s">
        <v>3139</v>
      </c>
      <c r="AI1817" t="s">
        <v>9</v>
      </c>
      <c r="AJ1817" t="s">
        <v>27</v>
      </c>
      <c r="AK1817" t="s">
        <v>3138</v>
      </c>
      <c r="AL1817" t="s">
        <v>3137</v>
      </c>
    </row>
    <row r="1818" spans="5:38" x14ac:dyDescent="0.25">
      <c r="I1818" t="str">
        <f t="shared" si="149"/>
        <v>breakers</v>
      </c>
      <c r="J1818" t="str">
        <f t="shared" si="150"/>
        <v/>
      </c>
      <c r="L1818" t="str">
        <f t="shared" si="152"/>
        <v>NGM-2300 (MVS), NGH-2300 (AES)</v>
      </c>
      <c r="M1818" t="str">
        <f t="shared" si="152"/>
        <v>19961217 (MVS), 19970321 (AES)</v>
      </c>
      <c r="N1818" t="str">
        <f t="shared" si="152"/>
        <v>ブレイカーズ</v>
      </c>
      <c r="O1818" t="str">
        <f t="shared" si="152"/>
        <v/>
      </c>
      <c r="P1818" t="str">
        <f t="shared" si="152"/>
        <v/>
      </c>
      <c r="T1818" t="str">
        <f t="shared" si="151"/>
        <v/>
      </c>
      <c r="V1818" t="str">
        <f t="shared" si="153"/>
        <v>MVS,AES</v>
      </c>
      <c r="W1818" t="str">
        <f t="shared" si="153"/>
        <v>MVS,AES</v>
      </c>
      <c r="AB1818" t="s">
        <v>24</v>
      </c>
      <c r="AE1818" t="s">
        <v>57</v>
      </c>
      <c r="AH1818" t="s">
        <v>3136</v>
      </c>
      <c r="AI1818" t="s">
        <v>9</v>
      </c>
      <c r="AJ1818" t="s">
        <v>11</v>
      </c>
      <c r="AK1818" t="s">
        <v>3135</v>
      </c>
      <c r="AL1818" t="s">
        <v>3134</v>
      </c>
    </row>
    <row r="1819" spans="5:38" x14ac:dyDescent="0.25">
      <c r="I1819" t="str">
        <f t="shared" si="149"/>
        <v>breakers</v>
      </c>
      <c r="J1819" t="str">
        <f t="shared" si="150"/>
        <v/>
      </c>
      <c r="L1819" t="str">
        <f t="shared" si="152"/>
        <v>NGM-2300 (MVS), NGH-2300 (AES)</v>
      </c>
      <c r="M1819" t="str">
        <f t="shared" si="152"/>
        <v>19961217 (MVS), 19970321 (AES)</v>
      </c>
      <c r="N1819" t="str">
        <f t="shared" si="152"/>
        <v>ブレイカーズ</v>
      </c>
      <c r="O1819" t="str">
        <f t="shared" si="152"/>
        <v/>
      </c>
      <c r="P1819" t="str">
        <f t="shared" si="152"/>
        <v/>
      </c>
      <c r="T1819" t="str">
        <f t="shared" si="151"/>
        <v/>
      </c>
      <c r="V1819" t="str">
        <f t="shared" si="153"/>
        <v>MVS,AES</v>
      </c>
      <c r="W1819" t="str">
        <f t="shared" si="153"/>
        <v>MVS,AES</v>
      </c>
      <c r="AH1819" t="s">
        <v>3133</v>
      </c>
      <c r="AI1819" t="s">
        <v>11</v>
      </c>
      <c r="AJ1819" t="s">
        <v>11</v>
      </c>
      <c r="AK1819" t="s">
        <v>3132</v>
      </c>
      <c r="AL1819" t="s">
        <v>3131</v>
      </c>
    </row>
    <row r="1820" spans="5:38" x14ac:dyDescent="0.25">
      <c r="I1820" t="str">
        <f t="shared" si="149"/>
        <v>breakers</v>
      </c>
      <c r="J1820" t="str">
        <f t="shared" si="150"/>
        <v/>
      </c>
      <c r="L1820" t="str">
        <f t="shared" si="152"/>
        <v>NGM-2300 (MVS), NGH-2300 (AES)</v>
      </c>
      <c r="M1820" t="str">
        <f t="shared" si="152"/>
        <v>19961217 (MVS), 19970321 (AES)</v>
      </c>
      <c r="N1820" t="str">
        <f t="shared" si="152"/>
        <v>ブレイカーズ</v>
      </c>
      <c r="O1820" t="str">
        <f t="shared" si="152"/>
        <v/>
      </c>
      <c r="P1820" t="str">
        <f t="shared" si="152"/>
        <v/>
      </c>
      <c r="T1820" t="str">
        <f t="shared" si="151"/>
        <v/>
      </c>
      <c r="V1820" t="str">
        <f t="shared" si="153"/>
        <v>MVS,AES</v>
      </c>
      <c r="W1820" t="str">
        <f t="shared" si="153"/>
        <v>MVS,AES</v>
      </c>
      <c r="AB1820" t="s">
        <v>12</v>
      </c>
      <c r="AE1820" t="s">
        <v>65</v>
      </c>
      <c r="AG1820" t="s">
        <v>6</v>
      </c>
      <c r="AH1820" t="s">
        <v>3130</v>
      </c>
      <c r="AI1820" t="s">
        <v>9</v>
      </c>
      <c r="AJ1820" t="s">
        <v>11</v>
      </c>
      <c r="AK1820" t="s">
        <v>2538</v>
      </c>
      <c r="AL1820" t="s">
        <v>2537</v>
      </c>
    </row>
    <row r="1821" spans="5:38" x14ac:dyDescent="0.25">
      <c r="I1821" t="str">
        <f t="shared" si="149"/>
        <v>breakers</v>
      </c>
      <c r="J1821" t="str">
        <f t="shared" si="150"/>
        <v/>
      </c>
      <c r="L1821" t="str">
        <f t="shared" si="152"/>
        <v>NGM-2300 (MVS), NGH-2300 (AES)</v>
      </c>
      <c r="M1821" t="str">
        <f t="shared" si="152"/>
        <v>19961217 (MVS), 19970321 (AES)</v>
      </c>
      <c r="N1821" t="str">
        <f t="shared" si="152"/>
        <v>ブレイカーズ</v>
      </c>
      <c r="O1821" t="str">
        <f t="shared" si="152"/>
        <v/>
      </c>
      <c r="P1821" t="str">
        <f t="shared" si="152"/>
        <v/>
      </c>
      <c r="T1821" t="str">
        <f t="shared" si="151"/>
        <v/>
      </c>
      <c r="V1821" t="str">
        <f t="shared" si="153"/>
        <v>MVS,AES</v>
      </c>
      <c r="W1821" t="str">
        <f t="shared" si="153"/>
        <v>MVS,AES</v>
      </c>
      <c r="AG1821" t="s">
        <v>6</v>
      </c>
      <c r="AH1821" t="s">
        <v>3129</v>
      </c>
      <c r="AI1821" t="s">
        <v>4</v>
      </c>
      <c r="AJ1821" t="s">
        <v>11</v>
      </c>
      <c r="AK1821" t="s">
        <v>2535</v>
      </c>
      <c r="AL1821" t="s">
        <v>2534</v>
      </c>
    </row>
    <row r="1822" spans="5:38" x14ac:dyDescent="0.25">
      <c r="I1822" t="str">
        <f t="shared" si="149"/>
        <v>breakers</v>
      </c>
      <c r="J1822" t="str">
        <f t="shared" si="150"/>
        <v/>
      </c>
      <c r="L1822" t="str">
        <f t="shared" si="152"/>
        <v>NGM-2300 (MVS), NGH-2300 (AES)</v>
      </c>
      <c r="M1822" t="str">
        <f t="shared" si="152"/>
        <v>19961217 (MVS), 19970321 (AES)</v>
      </c>
      <c r="N1822" t="str">
        <f t="shared" si="152"/>
        <v>ブレイカーズ</v>
      </c>
      <c r="O1822" t="str">
        <f t="shared" si="152"/>
        <v/>
      </c>
      <c r="P1822" t="str">
        <f t="shared" si="152"/>
        <v/>
      </c>
      <c r="T1822" t="str">
        <f t="shared" si="151"/>
        <v/>
      </c>
      <c r="V1822" t="str">
        <f t="shared" si="153"/>
        <v>MVS,AES</v>
      </c>
      <c r="W1822" t="str">
        <f t="shared" si="153"/>
        <v>MVS,AES</v>
      </c>
      <c r="AG1822" t="s">
        <v>6</v>
      </c>
      <c r="AH1822" t="s">
        <v>3128</v>
      </c>
      <c r="AI1822" t="s">
        <v>57</v>
      </c>
      <c r="AJ1822" t="s">
        <v>11</v>
      </c>
      <c r="AK1822" t="s">
        <v>2532</v>
      </c>
      <c r="AL1822" t="s">
        <v>2531</v>
      </c>
    </row>
    <row r="1823" spans="5:38" x14ac:dyDescent="0.25">
      <c r="I1823" t="str">
        <f t="shared" si="149"/>
        <v>breakers</v>
      </c>
      <c r="J1823" t="str">
        <f t="shared" si="150"/>
        <v/>
      </c>
      <c r="L1823" t="str">
        <f t="shared" si="152"/>
        <v>NGM-2300 (MVS), NGH-2300 (AES)</v>
      </c>
      <c r="M1823" t="str">
        <f t="shared" si="152"/>
        <v>19961217 (MVS), 19970321 (AES)</v>
      </c>
      <c r="N1823" t="str">
        <f t="shared" si="152"/>
        <v>ブレイカーズ</v>
      </c>
      <c r="O1823" t="str">
        <f t="shared" si="152"/>
        <v/>
      </c>
      <c r="P1823" t="str">
        <f t="shared" si="152"/>
        <v/>
      </c>
      <c r="T1823" t="str">
        <f t="shared" si="151"/>
        <v/>
      </c>
      <c r="V1823" t="str">
        <f t="shared" si="153"/>
        <v>MVS,AES</v>
      </c>
      <c r="W1823" t="str">
        <f t="shared" si="153"/>
        <v>MVS,AES</v>
      </c>
      <c r="AG1823" t="s">
        <v>6</v>
      </c>
      <c r="AH1823" t="s">
        <v>3127</v>
      </c>
      <c r="AI1823" t="s">
        <v>53</v>
      </c>
      <c r="AJ1823" t="s">
        <v>11</v>
      </c>
      <c r="AK1823" t="s">
        <v>2529</v>
      </c>
      <c r="AL1823" t="s">
        <v>2528</v>
      </c>
    </row>
    <row r="1824" spans="5:38" x14ac:dyDescent="0.25">
      <c r="E1824" t="s">
        <v>3126</v>
      </c>
      <c r="F1824" t="s">
        <v>3125</v>
      </c>
      <c r="G1824" t="s">
        <v>1145</v>
      </c>
      <c r="H1824" t="s">
        <v>1302</v>
      </c>
      <c r="I1824" t="str">
        <f t="shared" si="149"/>
        <v>miexchng</v>
      </c>
      <c r="J1824" t="str">
        <f t="shared" si="150"/>
        <v>miexchngserial</v>
      </c>
      <c r="K1824" t="s">
        <v>1373</v>
      </c>
      <c r="L1824" t="str">
        <f t="shared" si="152"/>
        <v>NGM-2310</v>
      </c>
      <c r="M1824" t="str">
        <f t="shared" si="152"/>
        <v>19970115</v>
      </c>
      <c r="N1824" t="str">
        <f t="shared" si="152"/>
        <v>マネーアイドルエクスチェンジャー</v>
      </c>
      <c r="O1824" t="str">
        <f t="shared" si="152"/>
        <v/>
      </c>
      <c r="P1824" t="str">
        <f t="shared" si="152"/>
        <v/>
      </c>
      <c r="Q1824" t="s">
        <v>3124</v>
      </c>
      <c r="S1824" t="s">
        <v>46</v>
      </c>
      <c r="T1824" t="str">
        <f t="shared" si="151"/>
        <v>miexchngrelease</v>
      </c>
      <c r="U1824" t="s">
        <v>106</v>
      </c>
      <c r="V1824" t="str">
        <f t="shared" si="153"/>
        <v>MVS</v>
      </c>
      <c r="W1824" t="str">
        <f t="shared" si="153"/>
        <v>MVS,AES</v>
      </c>
      <c r="Y1824" t="s">
        <v>45</v>
      </c>
      <c r="Z1824" t="s">
        <v>44</v>
      </c>
      <c r="AB1824" t="s">
        <v>43</v>
      </c>
      <c r="AC1824" t="s">
        <v>42</v>
      </c>
      <c r="AD1824" t="s">
        <v>41</v>
      </c>
      <c r="AE1824" t="s">
        <v>15</v>
      </c>
      <c r="AG1824" t="s">
        <v>40</v>
      </c>
      <c r="AH1824" t="s">
        <v>3123</v>
      </c>
      <c r="AI1824" t="s">
        <v>9</v>
      </c>
      <c r="AJ1824" t="s">
        <v>92</v>
      </c>
      <c r="AK1824" t="s">
        <v>3122</v>
      </c>
      <c r="AL1824" t="s">
        <v>3121</v>
      </c>
    </row>
    <row r="1825" spans="5:38" x14ac:dyDescent="0.25">
      <c r="I1825" t="str">
        <f t="shared" si="149"/>
        <v>miexchng</v>
      </c>
      <c r="J1825" t="str">
        <f t="shared" si="150"/>
        <v>miexchngrelease</v>
      </c>
      <c r="K1825" t="s">
        <v>46</v>
      </c>
      <c r="L1825" t="str">
        <f t="shared" si="152"/>
        <v>NGM-2310</v>
      </c>
      <c r="M1825" t="str">
        <f t="shared" si="152"/>
        <v>19970115</v>
      </c>
      <c r="N1825" t="str">
        <f t="shared" si="152"/>
        <v>マネーアイドルエクスチェンジャー</v>
      </c>
      <c r="O1825" t="str">
        <f t="shared" si="152"/>
        <v/>
      </c>
      <c r="P1825" t="str">
        <f t="shared" si="152"/>
        <v/>
      </c>
      <c r="Q1825" t="s">
        <v>3120</v>
      </c>
      <c r="T1825" t="str">
        <f t="shared" si="151"/>
        <v/>
      </c>
      <c r="V1825" t="str">
        <f t="shared" si="153"/>
        <v>MVS</v>
      </c>
      <c r="W1825" t="str">
        <f t="shared" si="153"/>
        <v>MVS,AES</v>
      </c>
      <c r="AB1825" t="s">
        <v>34</v>
      </c>
      <c r="AE1825" t="s">
        <v>33</v>
      </c>
      <c r="AH1825" t="s">
        <v>3119</v>
      </c>
      <c r="AI1825" t="s">
        <v>9</v>
      </c>
      <c r="AJ1825" t="s">
        <v>27</v>
      </c>
      <c r="AK1825" t="s">
        <v>3118</v>
      </c>
      <c r="AL1825" t="s">
        <v>3117</v>
      </c>
    </row>
    <row r="1826" spans="5:38" x14ac:dyDescent="0.25">
      <c r="I1826" t="str">
        <f t="shared" si="149"/>
        <v>miexchng</v>
      </c>
      <c r="J1826" t="str">
        <f t="shared" si="150"/>
        <v>miexchngalt_title</v>
      </c>
      <c r="K1826" t="s">
        <v>1218</v>
      </c>
      <c r="L1826" t="str">
        <f t="shared" si="152"/>
        <v>NGM-2310</v>
      </c>
      <c r="M1826" t="str">
        <f t="shared" si="152"/>
        <v>19970115</v>
      </c>
      <c r="N1826" t="str">
        <f t="shared" si="152"/>
        <v>マネーアイドルエクスチェンジャー</v>
      </c>
      <c r="O1826" t="str">
        <f t="shared" si="152"/>
        <v/>
      </c>
      <c r="P1826" t="str">
        <f t="shared" si="152"/>
        <v/>
      </c>
      <c r="Q1826" t="s">
        <v>3116</v>
      </c>
      <c r="T1826" t="str">
        <f t="shared" si="151"/>
        <v/>
      </c>
      <c r="V1826" t="str">
        <f t="shared" si="153"/>
        <v>MVS</v>
      </c>
      <c r="W1826" t="str">
        <f t="shared" si="153"/>
        <v>MVS,AES</v>
      </c>
      <c r="AB1826" t="s">
        <v>29</v>
      </c>
      <c r="AE1826" t="s">
        <v>27</v>
      </c>
      <c r="AH1826" t="s">
        <v>3115</v>
      </c>
      <c r="AI1826" t="s">
        <v>9</v>
      </c>
      <c r="AJ1826" t="s">
        <v>27</v>
      </c>
      <c r="AK1826" t="s">
        <v>3114</v>
      </c>
      <c r="AL1826" t="s">
        <v>3113</v>
      </c>
    </row>
    <row r="1827" spans="5:38" x14ac:dyDescent="0.25">
      <c r="I1827" t="str">
        <f t="shared" si="149"/>
        <v>miexchng</v>
      </c>
      <c r="J1827" t="str">
        <f t="shared" si="150"/>
        <v/>
      </c>
      <c r="L1827" t="str">
        <f t="shared" si="152"/>
        <v>NGM-2310</v>
      </c>
      <c r="M1827" t="str">
        <f t="shared" si="152"/>
        <v>19970115</v>
      </c>
      <c r="N1827" t="str">
        <f t="shared" si="152"/>
        <v>マネーアイドルエクスチェンジャー</v>
      </c>
      <c r="O1827" t="str">
        <f t="shared" si="152"/>
        <v/>
      </c>
      <c r="P1827" t="str">
        <f t="shared" si="152"/>
        <v/>
      </c>
      <c r="S1827" t="s">
        <v>36</v>
      </c>
      <c r="T1827" t="str">
        <f t="shared" si="151"/>
        <v>miexchngcompatibility</v>
      </c>
      <c r="U1827" t="s">
        <v>218</v>
      </c>
      <c r="V1827" t="str">
        <f t="shared" si="153"/>
        <v>MVS</v>
      </c>
      <c r="W1827" t="str">
        <f t="shared" si="153"/>
        <v>MVS,AES</v>
      </c>
      <c r="AB1827" t="s">
        <v>24</v>
      </c>
      <c r="AE1827" t="s">
        <v>11</v>
      </c>
      <c r="AH1827" t="s">
        <v>3112</v>
      </c>
      <c r="AI1827" t="s">
        <v>9</v>
      </c>
      <c r="AJ1827" t="s">
        <v>11</v>
      </c>
      <c r="AK1827" t="s">
        <v>3111</v>
      </c>
      <c r="AL1827" t="s">
        <v>3110</v>
      </c>
    </row>
    <row r="1828" spans="5:38" x14ac:dyDescent="0.25">
      <c r="I1828" t="str">
        <f t="shared" si="149"/>
        <v>miexchng</v>
      </c>
      <c r="J1828" t="str">
        <f t="shared" si="150"/>
        <v/>
      </c>
      <c r="L1828" t="str">
        <f t="shared" si="152"/>
        <v>NGM-2310</v>
      </c>
      <c r="M1828" t="str">
        <f t="shared" si="152"/>
        <v>19970115</v>
      </c>
      <c r="N1828" t="str">
        <f t="shared" si="152"/>
        <v>マネーアイドルエクスチェンジャー</v>
      </c>
      <c r="O1828" t="str">
        <f t="shared" si="152"/>
        <v/>
      </c>
      <c r="P1828" t="str">
        <f t="shared" si="152"/>
        <v/>
      </c>
      <c r="T1828" t="str">
        <f t="shared" si="151"/>
        <v/>
      </c>
      <c r="V1828" t="str">
        <f t="shared" si="153"/>
        <v>MVS</v>
      </c>
      <c r="W1828" t="str">
        <f t="shared" si="153"/>
        <v>MVS,AES</v>
      </c>
      <c r="AB1828" t="s">
        <v>12</v>
      </c>
      <c r="AE1828" t="s">
        <v>75</v>
      </c>
      <c r="AG1828" t="s">
        <v>6</v>
      </c>
      <c r="AH1828" t="s">
        <v>3109</v>
      </c>
      <c r="AI1828" t="s">
        <v>9</v>
      </c>
      <c r="AJ1828" t="s">
        <v>3</v>
      </c>
      <c r="AK1828" t="s">
        <v>3108</v>
      </c>
      <c r="AL1828" t="s">
        <v>3107</v>
      </c>
    </row>
    <row r="1829" spans="5:38" x14ac:dyDescent="0.25">
      <c r="I1829" t="str">
        <f t="shared" si="149"/>
        <v>miexchng</v>
      </c>
      <c r="J1829" t="str">
        <f t="shared" si="150"/>
        <v/>
      </c>
      <c r="L1829" t="str">
        <f t="shared" si="152"/>
        <v>NGM-2310</v>
      </c>
      <c r="M1829" t="str">
        <f t="shared" si="152"/>
        <v>19970115</v>
      </c>
      <c r="N1829" t="str">
        <f t="shared" si="152"/>
        <v>マネーアイドルエクスチェンジャー</v>
      </c>
      <c r="O1829" t="str">
        <f t="shared" si="152"/>
        <v/>
      </c>
      <c r="P1829" t="str">
        <f t="shared" si="152"/>
        <v/>
      </c>
      <c r="T1829" t="str">
        <f t="shared" si="151"/>
        <v/>
      </c>
      <c r="V1829" t="str">
        <f t="shared" si="153"/>
        <v>MVS</v>
      </c>
      <c r="W1829" t="str">
        <f t="shared" si="153"/>
        <v>MVS,AES</v>
      </c>
      <c r="AG1829" t="s">
        <v>6</v>
      </c>
      <c r="AH1829" t="s">
        <v>3106</v>
      </c>
      <c r="AI1829" t="s">
        <v>4</v>
      </c>
      <c r="AJ1829" t="s">
        <v>3</v>
      </c>
      <c r="AK1829" t="s">
        <v>3105</v>
      </c>
      <c r="AL1829" t="s">
        <v>3104</v>
      </c>
    </row>
    <row r="1830" spans="5:38" x14ac:dyDescent="0.25">
      <c r="I1830" t="str">
        <f t="shared" si="149"/>
        <v>miexchng</v>
      </c>
      <c r="J1830" t="str">
        <f t="shared" si="150"/>
        <v/>
      </c>
      <c r="L1830" t="str">
        <f t="shared" si="152"/>
        <v>NGM-2310</v>
      </c>
      <c r="M1830" t="str">
        <f t="shared" si="152"/>
        <v>19970115</v>
      </c>
      <c r="N1830" t="str">
        <f t="shared" si="152"/>
        <v>マネーアイドルエクスチェンジャー</v>
      </c>
      <c r="O1830" t="str">
        <f t="shared" si="152"/>
        <v/>
      </c>
      <c r="P1830" t="str">
        <f t="shared" si="152"/>
        <v/>
      </c>
      <c r="T1830" t="str">
        <f t="shared" si="151"/>
        <v/>
      </c>
      <c r="V1830" t="str">
        <f t="shared" si="153"/>
        <v>MVS</v>
      </c>
      <c r="W1830" t="str">
        <f t="shared" si="153"/>
        <v>MVS,AES</v>
      </c>
      <c r="AG1830" t="s">
        <v>6</v>
      </c>
      <c r="AH1830" t="s">
        <v>3103</v>
      </c>
      <c r="AI1830" t="s">
        <v>11</v>
      </c>
      <c r="AJ1830" t="s">
        <v>15</v>
      </c>
      <c r="AK1830" t="s">
        <v>3102</v>
      </c>
      <c r="AL1830" t="s">
        <v>3101</v>
      </c>
    </row>
    <row r="1831" spans="5:38" x14ac:dyDescent="0.25">
      <c r="I1831" t="str">
        <f t="shared" si="149"/>
        <v>miexchng</v>
      </c>
      <c r="J1831" t="str">
        <f t="shared" si="150"/>
        <v/>
      </c>
      <c r="L1831" t="str">
        <f t="shared" si="152"/>
        <v>NGM-2310</v>
      </c>
      <c r="M1831" t="str">
        <f t="shared" si="152"/>
        <v>19970115</v>
      </c>
      <c r="N1831" t="str">
        <f t="shared" si="152"/>
        <v>マネーアイドルエクスチェンジャー</v>
      </c>
      <c r="O1831" t="str">
        <f t="shared" si="152"/>
        <v/>
      </c>
      <c r="P1831" t="str">
        <f t="shared" si="152"/>
        <v/>
      </c>
      <c r="T1831" t="str">
        <f t="shared" si="151"/>
        <v/>
      </c>
      <c r="V1831" t="str">
        <f t="shared" si="153"/>
        <v>MVS</v>
      </c>
      <c r="W1831" t="str">
        <f t="shared" si="153"/>
        <v>MVS,AES</v>
      </c>
      <c r="AG1831" t="s">
        <v>6</v>
      </c>
      <c r="AH1831" t="s">
        <v>3100</v>
      </c>
      <c r="AI1831" t="s">
        <v>932</v>
      </c>
      <c r="AJ1831" t="s">
        <v>15</v>
      </c>
      <c r="AK1831" t="s">
        <v>3099</v>
      </c>
      <c r="AL1831" t="s">
        <v>3098</v>
      </c>
    </row>
    <row r="1832" spans="5:38" x14ac:dyDescent="0.25">
      <c r="E1832" t="s">
        <v>1140</v>
      </c>
      <c r="F1832" t="s">
        <v>3097</v>
      </c>
      <c r="G1832" t="s">
        <v>1145</v>
      </c>
      <c r="H1832" t="s">
        <v>1912</v>
      </c>
      <c r="I1832" t="str">
        <f t="shared" si="149"/>
        <v>kof97</v>
      </c>
      <c r="J1832" t="str">
        <f t="shared" si="150"/>
        <v>kof97serial</v>
      </c>
      <c r="K1832" t="s">
        <v>1373</v>
      </c>
      <c r="L1832" t="str">
        <f t="shared" si="152"/>
        <v>NGM-2320</v>
      </c>
      <c r="M1832" t="str">
        <f t="shared" si="152"/>
        <v>1990728</v>
      </c>
      <c r="N1832" t="str">
        <f t="shared" si="152"/>
        <v>ザ・キング・オブ・ファイターズ '97</v>
      </c>
      <c r="O1832" t="str">
        <f t="shared" si="152"/>
        <v/>
      </c>
      <c r="P1832" t="str">
        <f t="shared" si="152"/>
        <v/>
      </c>
      <c r="Q1832" t="s">
        <v>3096</v>
      </c>
      <c r="S1832" t="s">
        <v>46</v>
      </c>
      <c r="T1832" t="str">
        <f t="shared" si="151"/>
        <v>kof97release</v>
      </c>
      <c r="U1832" t="s">
        <v>106</v>
      </c>
      <c r="V1832" t="str">
        <f t="shared" si="153"/>
        <v>MVS</v>
      </c>
      <c r="W1832" t="str">
        <f t="shared" si="153"/>
        <v>MVS,AES</v>
      </c>
      <c r="Y1832" t="s">
        <v>45</v>
      </c>
      <c r="Z1832" t="s">
        <v>44</v>
      </c>
      <c r="AB1832" t="s">
        <v>43</v>
      </c>
      <c r="AC1832" t="s">
        <v>42</v>
      </c>
      <c r="AD1832" t="s">
        <v>41</v>
      </c>
      <c r="AE1832" t="s">
        <v>23</v>
      </c>
      <c r="AG1832" t="s">
        <v>40</v>
      </c>
      <c r="AH1832" t="s">
        <v>3084</v>
      </c>
      <c r="AI1832" t="s">
        <v>9</v>
      </c>
      <c r="AJ1832" t="s">
        <v>15</v>
      </c>
      <c r="AK1832" t="s">
        <v>3083</v>
      </c>
      <c r="AL1832" t="s">
        <v>3082</v>
      </c>
    </row>
    <row r="1833" spans="5:38" x14ac:dyDescent="0.25">
      <c r="I1833" t="str">
        <f t="shared" si="149"/>
        <v>kof97</v>
      </c>
      <c r="J1833" t="str">
        <f t="shared" si="150"/>
        <v>kof97release</v>
      </c>
      <c r="K1833" t="s">
        <v>46</v>
      </c>
      <c r="L1833" t="str">
        <f t="shared" si="152"/>
        <v>NGM-2320</v>
      </c>
      <c r="M1833" t="str">
        <f t="shared" si="152"/>
        <v>1990728</v>
      </c>
      <c r="N1833" t="str">
        <f t="shared" si="152"/>
        <v>ザ・キング・オブ・ファイターズ '97</v>
      </c>
      <c r="O1833" t="str">
        <f t="shared" si="152"/>
        <v/>
      </c>
      <c r="P1833" t="str">
        <f t="shared" si="152"/>
        <v/>
      </c>
      <c r="Q1833" t="s">
        <v>3095</v>
      </c>
      <c r="T1833" t="str">
        <f t="shared" si="151"/>
        <v/>
      </c>
      <c r="V1833" t="str">
        <f t="shared" si="153"/>
        <v>MVS</v>
      </c>
      <c r="W1833" t="str">
        <f t="shared" si="153"/>
        <v>MVS,AES</v>
      </c>
      <c r="AG1833" t="s">
        <v>40</v>
      </c>
      <c r="AH1833" t="s">
        <v>1139</v>
      </c>
      <c r="AI1833" t="s">
        <v>15</v>
      </c>
      <c r="AJ1833" t="s">
        <v>11</v>
      </c>
      <c r="AK1833" t="s">
        <v>1138</v>
      </c>
      <c r="AL1833" t="s">
        <v>1137</v>
      </c>
    </row>
    <row r="1834" spans="5:38" x14ac:dyDescent="0.25">
      <c r="I1834" t="str">
        <f t="shared" si="149"/>
        <v>kof97</v>
      </c>
      <c r="J1834" t="str">
        <f t="shared" si="150"/>
        <v>kof97alt_title</v>
      </c>
      <c r="K1834" t="s">
        <v>1218</v>
      </c>
      <c r="L1834" t="str">
        <f t="shared" si="152"/>
        <v>NGM-2320</v>
      </c>
      <c r="M1834" t="str">
        <f t="shared" si="152"/>
        <v>1990728</v>
      </c>
      <c r="N1834" t="str">
        <f t="shared" si="152"/>
        <v>ザ・キング・オブ・ファイターズ '97</v>
      </c>
      <c r="O1834" t="str">
        <f t="shared" si="152"/>
        <v/>
      </c>
      <c r="P1834" t="str">
        <f t="shared" si="152"/>
        <v/>
      </c>
      <c r="Q1834" t="s">
        <v>3087</v>
      </c>
      <c r="T1834" t="str">
        <f t="shared" si="151"/>
        <v/>
      </c>
      <c r="V1834" t="str">
        <f t="shared" si="153"/>
        <v>MVS</v>
      </c>
      <c r="W1834" t="str">
        <f t="shared" si="153"/>
        <v>MVS,AES</v>
      </c>
      <c r="AB1834" t="s">
        <v>34</v>
      </c>
      <c r="AE1834" t="s">
        <v>33</v>
      </c>
      <c r="AH1834" t="s">
        <v>3081</v>
      </c>
      <c r="AI1834" t="s">
        <v>9</v>
      </c>
      <c r="AJ1834" t="s">
        <v>27</v>
      </c>
      <c r="AK1834" t="s">
        <v>3080</v>
      </c>
      <c r="AL1834" t="s">
        <v>3079</v>
      </c>
    </row>
    <row r="1835" spans="5:38" x14ac:dyDescent="0.25">
      <c r="I1835" t="str">
        <f t="shared" si="149"/>
        <v>kof97</v>
      </c>
      <c r="J1835" t="str">
        <f t="shared" si="150"/>
        <v/>
      </c>
      <c r="L1835" t="str">
        <f t="shared" si="152"/>
        <v>NGM-2320</v>
      </c>
      <c r="M1835" t="str">
        <f t="shared" si="152"/>
        <v>1990728</v>
      </c>
      <c r="N1835" t="str">
        <f t="shared" si="152"/>
        <v>ザ・キング・オブ・ファイターズ '97</v>
      </c>
      <c r="O1835" t="str">
        <f t="shared" si="152"/>
        <v/>
      </c>
      <c r="P1835" t="str">
        <f t="shared" si="152"/>
        <v/>
      </c>
      <c r="S1835" t="s">
        <v>36</v>
      </c>
      <c r="T1835" t="str">
        <f t="shared" si="151"/>
        <v>kof97compatibility</v>
      </c>
      <c r="U1835" t="s">
        <v>218</v>
      </c>
      <c r="V1835" t="str">
        <f t="shared" si="153"/>
        <v>MVS</v>
      </c>
      <c r="W1835" t="str">
        <f t="shared" si="153"/>
        <v>MVS,AES</v>
      </c>
      <c r="AB1835" t="s">
        <v>29</v>
      </c>
      <c r="AE1835" t="s">
        <v>27</v>
      </c>
      <c r="AH1835" t="s">
        <v>1133</v>
      </c>
      <c r="AI1835" t="s">
        <v>9</v>
      </c>
      <c r="AJ1835" t="s">
        <v>27</v>
      </c>
      <c r="AK1835" t="s">
        <v>1132</v>
      </c>
      <c r="AL1835" t="s">
        <v>1131</v>
      </c>
    </row>
    <row r="1836" spans="5:38" x14ac:dyDescent="0.25">
      <c r="I1836" t="str">
        <f t="shared" si="149"/>
        <v>kof97</v>
      </c>
      <c r="J1836" t="str">
        <f t="shared" si="150"/>
        <v/>
      </c>
      <c r="L1836" t="str">
        <f t="shared" si="152"/>
        <v>NGM-2320</v>
      </c>
      <c r="M1836" t="str">
        <f t="shared" si="152"/>
        <v>1990728</v>
      </c>
      <c r="N1836" t="str">
        <f t="shared" si="152"/>
        <v>ザ・キング・オブ・ファイターズ '97</v>
      </c>
      <c r="O1836" t="str">
        <f t="shared" si="152"/>
        <v/>
      </c>
      <c r="P1836" t="str">
        <f t="shared" si="152"/>
        <v/>
      </c>
      <c r="T1836" t="str">
        <f t="shared" si="151"/>
        <v/>
      </c>
      <c r="V1836" t="str">
        <f t="shared" si="153"/>
        <v>MVS</v>
      </c>
      <c r="W1836" t="str">
        <f t="shared" si="153"/>
        <v>MVS,AES</v>
      </c>
      <c r="AB1836" t="s">
        <v>24</v>
      </c>
      <c r="AE1836" t="s">
        <v>250</v>
      </c>
      <c r="AH1836" t="s">
        <v>1130</v>
      </c>
      <c r="AI1836" t="s">
        <v>9</v>
      </c>
      <c r="AJ1836" t="s">
        <v>11</v>
      </c>
      <c r="AK1836" t="s">
        <v>1129</v>
      </c>
      <c r="AL1836" t="s">
        <v>1128</v>
      </c>
    </row>
    <row r="1837" spans="5:38" x14ac:dyDescent="0.25">
      <c r="I1837" t="str">
        <f t="shared" si="149"/>
        <v>kof97</v>
      </c>
      <c r="J1837" t="str">
        <f t="shared" si="150"/>
        <v/>
      </c>
      <c r="L1837" t="str">
        <f t="shared" si="152"/>
        <v>NGM-2320</v>
      </c>
      <c r="M1837" t="str">
        <f t="shared" si="152"/>
        <v>1990728</v>
      </c>
      <c r="N1837" t="str">
        <f t="shared" si="152"/>
        <v>ザ・キング・オブ・ファイターズ '97</v>
      </c>
      <c r="O1837" t="str">
        <f t="shared" si="152"/>
        <v/>
      </c>
      <c r="P1837" t="str">
        <f t="shared" si="152"/>
        <v/>
      </c>
      <c r="T1837" t="str">
        <f t="shared" si="151"/>
        <v/>
      </c>
      <c r="V1837" t="str">
        <f t="shared" si="153"/>
        <v>MVS</v>
      </c>
      <c r="W1837" t="str">
        <f t="shared" si="153"/>
        <v>MVS,AES</v>
      </c>
      <c r="AH1837" t="s">
        <v>1127</v>
      </c>
      <c r="AI1837" t="s">
        <v>11</v>
      </c>
      <c r="AJ1837" t="s">
        <v>11</v>
      </c>
      <c r="AK1837" t="s">
        <v>1126</v>
      </c>
      <c r="AL1837" t="s">
        <v>1125</v>
      </c>
    </row>
    <row r="1838" spans="5:38" x14ac:dyDescent="0.25">
      <c r="I1838" t="str">
        <f t="shared" si="149"/>
        <v>kof97</v>
      </c>
      <c r="J1838" t="str">
        <f t="shared" si="150"/>
        <v/>
      </c>
      <c r="L1838" t="str">
        <f t="shared" si="152"/>
        <v>NGM-2320</v>
      </c>
      <c r="M1838" t="str">
        <f t="shared" si="152"/>
        <v>1990728</v>
      </c>
      <c r="N1838" t="str">
        <f t="shared" si="152"/>
        <v>ザ・キング・オブ・ファイターズ '97</v>
      </c>
      <c r="O1838" t="str">
        <f t="shared" si="152"/>
        <v/>
      </c>
      <c r="P1838" t="str">
        <f t="shared" si="152"/>
        <v/>
      </c>
      <c r="T1838" t="str">
        <f t="shared" si="151"/>
        <v/>
      </c>
      <c r="V1838" t="str">
        <f t="shared" si="153"/>
        <v>MVS</v>
      </c>
      <c r="W1838" t="str">
        <f t="shared" si="153"/>
        <v>MVS,AES</v>
      </c>
      <c r="AH1838" t="s">
        <v>1124</v>
      </c>
      <c r="AI1838" t="s">
        <v>57</v>
      </c>
      <c r="AJ1838" t="s">
        <v>11</v>
      </c>
      <c r="AK1838" t="s">
        <v>1123</v>
      </c>
      <c r="AL1838" t="s">
        <v>1122</v>
      </c>
    </row>
    <row r="1839" spans="5:38" x14ac:dyDescent="0.25">
      <c r="I1839" t="str">
        <f t="shared" si="149"/>
        <v>kof97</v>
      </c>
      <c r="J1839" t="str">
        <f t="shared" si="150"/>
        <v/>
      </c>
      <c r="L1839" t="str">
        <f t="shared" si="152"/>
        <v>NGM-2320</v>
      </c>
      <c r="M1839" t="str">
        <f t="shared" si="152"/>
        <v>1990728</v>
      </c>
      <c r="N1839" t="str">
        <f t="shared" si="152"/>
        <v>ザ・キング・オブ・ファイターズ '97</v>
      </c>
      <c r="O1839" t="str">
        <f t="shared" si="152"/>
        <v/>
      </c>
      <c r="P1839" t="str">
        <f t="shared" si="152"/>
        <v/>
      </c>
      <c r="T1839" t="str">
        <f t="shared" si="151"/>
        <v/>
      </c>
      <c r="V1839" t="str">
        <f t="shared" si="153"/>
        <v>MVS</v>
      </c>
      <c r="W1839" t="str">
        <f t="shared" si="153"/>
        <v>MVS,AES</v>
      </c>
      <c r="AB1839" t="s">
        <v>12</v>
      </c>
      <c r="AE1839" t="s">
        <v>620</v>
      </c>
      <c r="AG1839" t="s">
        <v>6</v>
      </c>
      <c r="AH1839" t="s">
        <v>1165</v>
      </c>
      <c r="AI1839" t="s">
        <v>9</v>
      </c>
      <c r="AJ1839" t="s">
        <v>57</v>
      </c>
      <c r="AK1839" t="s">
        <v>1164</v>
      </c>
      <c r="AL1839" t="s">
        <v>1163</v>
      </c>
    </row>
    <row r="1840" spans="5:38" x14ac:dyDescent="0.25">
      <c r="I1840" t="str">
        <f t="shared" si="149"/>
        <v>kof97</v>
      </c>
      <c r="J1840" t="str">
        <f t="shared" si="150"/>
        <v/>
      </c>
      <c r="L1840" t="str">
        <f t="shared" si="152"/>
        <v>NGM-2320</v>
      </c>
      <c r="M1840" t="str">
        <f t="shared" si="152"/>
        <v>1990728</v>
      </c>
      <c r="N1840" t="str">
        <f t="shared" si="152"/>
        <v>ザ・キング・オブ・ファイターズ '97</v>
      </c>
      <c r="O1840" t="str">
        <f t="shared" si="152"/>
        <v/>
      </c>
      <c r="P1840" t="str">
        <f t="shared" si="152"/>
        <v/>
      </c>
      <c r="T1840" t="str">
        <f t="shared" si="151"/>
        <v/>
      </c>
      <c r="V1840" t="str">
        <f t="shared" si="153"/>
        <v>MVS</v>
      </c>
      <c r="W1840" t="str">
        <f t="shared" si="153"/>
        <v>MVS,AES</v>
      </c>
      <c r="AG1840" t="s">
        <v>6</v>
      </c>
      <c r="AH1840" t="s">
        <v>1162</v>
      </c>
      <c r="AI1840" t="s">
        <v>4</v>
      </c>
      <c r="AJ1840" t="s">
        <v>57</v>
      </c>
      <c r="AK1840" t="s">
        <v>1161</v>
      </c>
      <c r="AL1840" t="s">
        <v>1160</v>
      </c>
    </row>
    <row r="1841" spans="5:44" x14ac:dyDescent="0.25">
      <c r="I1841" t="str">
        <f t="shared" si="149"/>
        <v>kof97</v>
      </c>
      <c r="J1841" t="str">
        <f t="shared" si="150"/>
        <v/>
      </c>
      <c r="L1841" t="str">
        <f t="shared" si="152"/>
        <v>NGM-2320</v>
      </c>
      <c r="M1841" t="str">
        <f t="shared" si="152"/>
        <v>1990728</v>
      </c>
      <c r="N1841" t="str">
        <f t="shared" si="152"/>
        <v>ザ・キング・オブ・ファイターズ '97</v>
      </c>
      <c r="O1841" t="str">
        <f t="shared" si="152"/>
        <v/>
      </c>
      <c r="P1841" t="str">
        <f t="shared" si="152"/>
        <v/>
      </c>
      <c r="T1841" t="str">
        <f t="shared" si="151"/>
        <v/>
      </c>
      <c r="V1841" t="str">
        <f t="shared" si="153"/>
        <v>MVS</v>
      </c>
      <c r="W1841" t="str">
        <f t="shared" si="153"/>
        <v>MVS,AES</v>
      </c>
      <c r="AG1841" t="s">
        <v>6</v>
      </c>
      <c r="AH1841" t="s">
        <v>1159</v>
      </c>
      <c r="AI1841" t="s">
        <v>65</v>
      </c>
      <c r="AJ1841" t="s">
        <v>57</v>
      </c>
      <c r="AK1841" t="s">
        <v>1158</v>
      </c>
      <c r="AL1841" t="s">
        <v>1157</v>
      </c>
    </row>
    <row r="1842" spans="5:44" x14ac:dyDescent="0.25">
      <c r="I1842" t="str">
        <f t="shared" si="149"/>
        <v>kof97</v>
      </c>
      <c r="J1842" t="str">
        <f t="shared" si="150"/>
        <v/>
      </c>
      <c r="L1842" t="str">
        <f t="shared" si="152"/>
        <v>NGM-2320</v>
      </c>
      <c r="M1842" t="str">
        <f t="shared" si="152"/>
        <v>1990728</v>
      </c>
      <c r="N1842" t="str">
        <f t="shared" si="152"/>
        <v>ザ・キング・オブ・ファイターズ '97</v>
      </c>
      <c r="O1842" t="str">
        <f t="shared" si="152"/>
        <v/>
      </c>
      <c r="P1842" t="str">
        <f t="shared" si="152"/>
        <v/>
      </c>
      <c r="T1842" t="str">
        <f t="shared" si="151"/>
        <v/>
      </c>
      <c r="V1842" t="str">
        <f t="shared" si="153"/>
        <v>MVS</v>
      </c>
      <c r="W1842" t="str">
        <f t="shared" si="153"/>
        <v>MVS,AES</v>
      </c>
      <c r="AG1842" t="s">
        <v>6</v>
      </c>
      <c r="AH1842" t="s">
        <v>1156</v>
      </c>
      <c r="AI1842" t="s">
        <v>164</v>
      </c>
      <c r="AJ1842" t="s">
        <v>57</v>
      </c>
      <c r="AK1842" t="s">
        <v>1155</v>
      </c>
      <c r="AL1842" t="s">
        <v>1154</v>
      </c>
    </row>
    <row r="1843" spans="5:44" x14ac:dyDescent="0.25">
      <c r="I1843" t="str">
        <f t="shared" si="149"/>
        <v>kof97</v>
      </c>
      <c r="J1843" t="str">
        <f t="shared" si="150"/>
        <v/>
      </c>
      <c r="L1843" t="str">
        <f t="shared" si="152"/>
        <v>NGM-2320</v>
      </c>
      <c r="M1843" t="str">
        <f t="shared" si="152"/>
        <v>1990728</v>
      </c>
      <c r="N1843" t="str">
        <f t="shared" si="152"/>
        <v>ザ・キング・オブ・ファイターズ '97</v>
      </c>
      <c r="O1843" t="str">
        <f t="shared" si="152"/>
        <v/>
      </c>
      <c r="P1843" t="str">
        <f t="shared" si="152"/>
        <v/>
      </c>
      <c r="T1843" t="str">
        <f t="shared" si="151"/>
        <v/>
      </c>
      <c r="V1843" t="str">
        <f t="shared" si="153"/>
        <v>MVS</v>
      </c>
      <c r="W1843" t="str">
        <f t="shared" si="153"/>
        <v>MVS,AES</v>
      </c>
      <c r="AG1843" t="s">
        <v>6</v>
      </c>
      <c r="AH1843" t="s">
        <v>1153</v>
      </c>
      <c r="AI1843" t="s">
        <v>160</v>
      </c>
      <c r="AJ1843" t="s">
        <v>11</v>
      </c>
      <c r="AK1843" t="s">
        <v>1152</v>
      </c>
      <c r="AL1843" t="s">
        <v>1151</v>
      </c>
    </row>
    <row r="1844" spans="5:44" x14ac:dyDescent="0.25">
      <c r="I1844" t="str">
        <f t="shared" si="149"/>
        <v>kof97</v>
      </c>
      <c r="J1844" t="str">
        <f t="shared" si="150"/>
        <v/>
      </c>
      <c r="L1844" t="str">
        <f t="shared" si="152"/>
        <v>NGM-2320</v>
      </c>
      <c r="M1844" t="str">
        <f t="shared" si="152"/>
        <v>1990728</v>
      </c>
      <c r="N1844" t="str">
        <f t="shared" si="152"/>
        <v>ザ・キング・オブ・ファイターズ '97</v>
      </c>
      <c r="O1844" t="str">
        <f t="shared" si="152"/>
        <v/>
      </c>
      <c r="P1844" t="str">
        <f t="shared" si="152"/>
        <v/>
      </c>
      <c r="T1844" t="str">
        <f t="shared" si="151"/>
        <v/>
      </c>
      <c r="V1844" t="str">
        <f t="shared" si="153"/>
        <v>MVS</v>
      </c>
      <c r="W1844" t="str">
        <f t="shared" si="153"/>
        <v>MVS,AES</v>
      </c>
      <c r="AG1844" t="s">
        <v>6</v>
      </c>
      <c r="AH1844" t="s">
        <v>1150</v>
      </c>
      <c r="AI1844" t="s">
        <v>156</v>
      </c>
      <c r="AJ1844" t="s">
        <v>11</v>
      </c>
      <c r="AK1844" t="s">
        <v>1149</v>
      </c>
      <c r="AL1844" t="s">
        <v>1148</v>
      </c>
    </row>
    <row r="1845" spans="5:44" x14ac:dyDescent="0.25">
      <c r="E1845" t="s">
        <v>3094</v>
      </c>
      <c r="F1845" t="s">
        <v>3093</v>
      </c>
      <c r="G1845" t="s">
        <v>1145</v>
      </c>
      <c r="H1845" t="s">
        <v>1912</v>
      </c>
      <c r="I1845" t="str">
        <f t="shared" si="149"/>
        <v>kof97h</v>
      </c>
      <c r="J1845" t="str">
        <f t="shared" si="150"/>
        <v>kof97hserial</v>
      </c>
      <c r="K1845" t="s">
        <v>1373</v>
      </c>
      <c r="L1845" t="str">
        <f t="shared" si="152"/>
        <v>NGH-2320</v>
      </c>
      <c r="M1845" t="str">
        <f t="shared" si="152"/>
        <v>19970321</v>
      </c>
      <c r="N1845" t="str">
        <f t="shared" si="152"/>
        <v>ザ・キング・オブ・ファイターズ '97</v>
      </c>
      <c r="O1845" t="str">
        <f t="shared" si="152"/>
        <v/>
      </c>
      <c r="P1845" t="str">
        <f t="shared" si="152"/>
        <v/>
      </c>
      <c r="Q1845" t="s">
        <v>3092</v>
      </c>
      <c r="S1845" t="s">
        <v>46</v>
      </c>
      <c r="T1845" t="str">
        <f t="shared" si="151"/>
        <v>kof97hrelease</v>
      </c>
      <c r="U1845" t="s">
        <v>35</v>
      </c>
      <c r="V1845" t="str">
        <f t="shared" si="153"/>
        <v>AES</v>
      </c>
      <c r="W1845" t="str">
        <f t="shared" si="153"/>
        <v>MVS,AES</v>
      </c>
      <c r="Y1845" t="s">
        <v>45</v>
      </c>
      <c r="Z1845" t="s">
        <v>44</v>
      </c>
      <c r="AB1845" t="s">
        <v>43</v>
      </c>
      <c r="AC1845" t="s">
        <v>42</v>
      </c>
      <c r="AD1845" t="s">
        <v>41</v>
      </c>
      <c r="AE1845" t="s">
        <v>23</v>
      </c>
      <c r="AG1845" t="s">
        <v>40</v>
      </c>
      <c r="AH1845" t="s">
        <v>3091</v>
      </c>
      <c r="AI1845" t="s">
        <v>9</v>
      </c>
      <c r="AJ1845" t="s">
        <v>15</v>
      </c>
      <c r="AK1845" t="s">
        <v>3090</v>
      </c>
      <c r="AL1845" t="s">
        <v>3089</v>
      </c>
      <c r="AR1845" t="s">
        <v>1140</v>
      </c>
    </row>
    <row r="1846" spans="5:44" x14ac:dyDescent="0.25">
      <c r="I1846" t="str">
        <f t="shared" si="149"/>
        <v>kof97h</v>
      </c>
      <c r="J1846" t="str">
        <f t="shared" si="150"/>
        <v>kof97hrelease</v>
      </c>
      <c r="K1846" t="s">
        <v>46</v>
      </c>
      <c r="L1846" t="str">
        <f t="shared" si="152"/>
        <v>NGH-2320</v>
      </c>
      <c r="M1846" t="str">
        <f t="shared" si="152"/>
        <v>19970321</v>
      </c>
      <c r="N1846" t="str">
        <f t="shared" si="152"/>
        <v>ザ・キング・オブ・ファイターズ '97</v>
      </c>
      <c r="O1846" t="str">
        <f t="shared" si="152"/>
        <v/>
      </c>
      <c r="P1846" t="str">
        <f t="shared" si="152"/>
        <v/>
      </c>
      <c r="Q1846" t="s">
        <v>3088</v>
      </c>
      <c r="T1846" t="str">
        <f t="shared" si="151"/>
        <v/>
      </c>
      <c r="V1846" t="str">
        <f t="shared" si="153"/>
        <v>AES</v>
      </c>
      <c r="W1846" t="str">
        <f t="shared" si="153"/>
        <v>MVS,AES</v>
      </c>
      <c r="AG1846" t="s">
        <v>40</v>
      </c>
      <c r="AH1846" t="s">
        <v>1139</v>
      </c>
      <c r="AI1846" t="s">
        <v>15</v>
      </c>
      <c r="AJ1846" t="s">
        <v>11</v>
      </c>
      <c r="AK1846" t="s">
        <v>1138</v>
      </c>
      <c r="AL1846" t="s">
        <v>1137</v>
      </c>
    </row>
    <row r="1847" spans="5:44" x14ac:dyDescent="0.25">
      <c r="I1847" t="str">
        <f t="shared" si="149"/>
        <v>kof97h</v>
      </c>
      <c r="J1847" t="str">
        <f t="shared" si="150"/>
        <v>kof97halt_title</v>
      </c>
      <c r="K1847" t="s">
        <v>1218</v>
      </c>
      <c r="L1847" t="str">
        <f t="shared" si="152"/>
        <v>NGH-2320</v>
      </c>
      <c r="M1847" t="str">
        <f t="shared" si="152"/>
        <v>19970321</v>
      </c>
      <c r="N1847" t="str">
        <f t="shared" si="152"/>
        <v>ザ・キング・オブ・ファイターズ '97</v>
      </c>
      <c r="O1847" t="str">
        <f t="shared" si="152"/>
        <v/>
      </c>
      <c r="P1847" t="str">
        <f t="shared" si="152"/>
        <v/>
      </c>
      <c r="Q1847" t="s">
        <v>3087</v>
      </c>
      <c r="T1847" t="str">
        <f t="shared" si="151"/>
        <v/>
      </c>
      <c r="V1847" t="str">
        <f t="shared" si="153"/>
        <v>AES</v>
      </c>
      <c r="W1847" t="str">
        <f t="shared" si="153"/>
        <v>MVS,AES</v>
      </c>
      <c r="AB1847" t="s">
        <v>34</v>
      </c>
      <c r="AE1847" t="s">
        <v>33</v>
      </c>
      <c r="AH1847" t="s">
        <v>3081</v>
      </c>
      <c r="AI1847" t="s">
        <v>9</v>
      </c>
      <c r="AJ1847" t="s">
        <v>27</v>
      </c>
      <c r="AK1847" t="s">
        <v>3080</v>
      </c>
      <c r="AL1847" t="s">
        <v>3079</v>
      </c>
    </row>
    <row r="1848" spans="5:44" x14ac:dyDescent="0.25">
      <c r="I1848" t="str">
        <f t="shared" si="149"/>
        <v>kof97h</v>
      </c>
      <c r="J1848" t="str">
        <f t="shared" si="150"/>
        <v/>
      </c>
      <c r="L1848" t="str">
        <f t="shared" si="152"/>
        <v>NGH-2320</v>
      </c>
      <c r="M1848" t="str">
        <f t="shared" si="152"/>
        <v>19970321</v>
      </c>
      <c r="N1848" t="str">
        <f t="shared" si="152"/>
        <v>ザ・キング・オブ・ファイターズ '97</v>
      </c>
      <c r="O1848" t="str">
        <f t="shared" si="152"/>
        <v/>
      </c>
      <c r="P1848" t="str">
        <f t="shared" si="152"/>
        <v/>
      </c>
      <c r="S1848" t="s">
        <v>36</v>
      </c>
      <c r="T1848" t="str">
        <f t="shared" si="151"/>
        <v>kof97hcompatibility</v>
      </c>
      <c r="U1848" t="s">
        <v>218</v>
      </c>
      <c r="V1848" t="str">
        <f t="shared" si="153"/>
        <v>AES</v>
      </c>
      <c r="W1848" t="str">
        <f t="shared" si="153"/>
        <v>MVS,AES</v>
      </c>
      <c r="AB1848" t="s">
        <v>29</v>
      </c>
      <c r="AE1848" t="s">
        <v>27</v>
      </c>
      <c r="AH1848" t="s">
        <v>1133</v>
      </c>
      <c r="AI1848" t="s">
        <v>9</v>
      </c>
      <c r="AJ1848" t="s">
        <v>27</v>
      </c>
      <c r="AK1848" t="s">
        <v>1132</v>
      </c>
      <c r="AL1848" t="s">
        <v>1131</v>
      </c>
    </row>
    <row r="1849" spans="5:44" x14ac:dyDescent="0.25">
      <c r="I1849" t="str">
        <f t="shared" si="149"/>
        <v>kof97h</v>
      </c>
      <c r="J1849" t="str">
        <f t="shared" si="150"/>
        <v/>
      </c>
      <c r="L1849" t="str">
        <f t="shared" si="152"/>
        <v>NGH-2320</v>
      </c>
      <c r="M1849" t="str">
        <f t="shared" si="152"/>
        <v>19970321</v>
      </c>
      <c r="N1849" t="str">
        <f t="shared" si="152"/>
        <v>ザ・キング・オブ・ファイターズ '97</v>
      </c>
      <c r="O1849" t="str">
        <f t="shared" si="152"/>
        <v/>
      </c>
      <c r="P1849" t="str">
        <f t="shared" si="152"/>
        <v/>
      </c>
      <c r="T1849" t="str">
        <f t="shared" si="151"/>
        <v/>
      </c>
      <c r="V1849" t="str">
        <f t="shared" si="153"/>
        <v>AES</v>
      </c>
      <c r="W1849" t="str">
        <f t="shared" si="153"/>
        <v>MVS,AES</v>
      </c>
      <c r="AB1849" t="s">
        <v>24</v>
      </c>
      <c r="AE1849" t="s">
        <v>250</v>
      </c>
      <c r="AH1849" t="s">
        <v>1130</v>
      </c>
      <c r="AI1849" t="s">
        <v>9</v>
      </c>
      <c r="AJ1849" t="s">
        <v>11</v>
      </c>
      <c r="AK1849" t="s">
        <v>1129</v>
      </c>
      <c r="AL1849" t="s">
        <v>1128</v>
      </c>
    </row>
    <row r="1850" spans="5:44" x14ac:dyDescent="0.25">
      <c r="I1850" t="str">
        <f t="shared" si="149"/>
        <v>kof97h</v>
      </c>
      <c r="J1850" t="str">
        <f t="shared" si="150"/>
        <v/>
      </c>
      <c r="L1850" t="str">
        <f t="shared" si="152"/>
        <v>NGH-2320</v>
      </c>
      <c r="M1850" t="str">
        <f t="shared" si="152"/>
        <v>19970321</v>
      </c>
      <c r="N1850" t="str">
        <f t="shared" si="152"/>
        <v>ザ・キング・オブ・ファイターズ '97</v>
      </c>
      <c r="O1850" t="str">
        <f t="shared" si="152"/>
        <v/>
      </c>
      <c r="P1850" t="str">
        <f t="shared" si="152"/>
        <v/>
      </c>
      <c r="T1850" t="str">
        <f t="shared" si="151"/>
        <v/>
      </c>
      <c r="V1850" t="str">
        <f t="shared" si="153"/>
        <v>AES</v>
      </c>
      <c r="W1850" t="str">
        <f t="shared" si="153"/>
        <v>MVS,AES</v>
      </c>
      <c r="AH1850" t="s">
        <v>1127</v>
      </c>
      <c r="AI1850" t="s">
        <v>11</v>
      </c>
      <c r="AJ1850" t="s">
        <v>11</v>
      </c>
      <c r="AK1850" t="s">
        <v>1126</v>
      </c>
      <c r="AL1850" t="s">
        <v>1125</v>
      </c>
    </row>
    <row r="1851" spans="5:44" x14ac:dyDescent="0.25">
      <c r="I1851" t="str">
        <f t="shared" si="149"/>
        <v>kof97h</v>
      </c>
      <c r="J1851" t="str">
        <f t="shared" si="150"/>
        <v/>
      </c>
      <c r="L1851" t="str">
        <f t="shared" ref="L1851:P1901" si="154">IFERROR(VLOOKUP($I1851&amp;L$1,$J:$Q,8,0),"")</f>
        <v>NGH-2320</v>
      </c>
      <c r="M1851" t="str">
        <f t="shared" si="154"/>
        <v>19970321</v>
      </c>
      <c r="N1851" t="str">
        <f t="shared" si="154"/>
        <v>ザ・キング・オブ・ファイターズ '97</v>
      </c>
      <c r="O1851" t="str">
        <f t="shared" si="154"/>
        <v/>
      </c>
      <c r="P1851" t="str">
        <f t="shared" si="154"/>
        <v/>
      </c>
      <c r="T1851" t="str">
        <f t="shared" si="151"/>
        <v/>
      </c>
      <c r="V1851" t="str">
        <f t="shared" si="153"/>
        <v>AES</v>
      </c>
      <c r="W1851" t="str">
        <f t="shared" si="153"/>
        <v>MVS,AES</v>
      </c>
      <c r="AH1851" t="s">
        <v>1124</v>
      </c>
      <c r="AI1851" t="s">
        <v>57</v>
      </c>
      <c r="AJ1851" t="s">
        <v>11</v>
      </c>
      <c r="AK1851" t="s">
        <v>1123</v>
      </c>
      <c r="AL1851" t="s">
        <v>1122</v>
      </c>
    </row>
    <row r="1852" spans="5:44" x14ac:dyDescent="0.25">
      <c r="I1852" t="str">
        <f t="shared" si="149"/>
        <v>kof97h</v>
      </c>
      <c r="J1852" t="str">
        <f t="shared" si="150"/>
        <v/>
      </c>
      <c r="L1852" t="str">
        <f t="shared" si="154"/>
        <v>NGH-2320</v>
      </c>
      <c r="M1852" t="str">
        <f t="shared" si="154"/>
        <v>19970321</v>
      </c>
      <c r="N1852" t="str">
        <f t="shared" si="154"/>
        <v>ザ・キング・オブ・ファイターズ '97</v>
      </c>
      <c r="O1852" t="str">
        <f t="shared" si="154"/>
        <v/>
      </c>
      <c r="P1852" t="str">
        <f t="shared" si="154"/>
        <v/>
      </c>
      <c r="T1852" t="str">
        <f t="shared" si="151"/>
        <v/>
      </c>
      <c r="V1852" t="str">
        <f t="shared" si="153"/>
        <v>AES</v>
      </c>
      <c r="W1852" t="str">
        <f t="shared" si="153"/>
        <v>MVS,AES</v>
      </c>
      <c r="AB1852" t="s">
        <v>12</v>
      </c>
      <c r="AE1852" t="s">
        <v>620</v>
      </c>
      <c r="AG1852" t="s">
        <v>6</v>
      </c>
      <c r="AH1852" t="s">
        <v>1165</v>
      </c>
      <c r="AI1852" t="s">
        <v>9</v>
      </c>
      <c r="AJ1852" t="s">
        <v>57</v>
      </c>
      <c r="AK1852" t="s">
        <v>1164</v>
      </c>
      <c r="AL1852" t="s">
        <v>1163</v>
      </c>
    </row>
    <row r="1853" spans="5:44" x14ac:dyDescent="0.25">
      <c r="I1853" t="str">
        <f t="shared" si="149"/>
        <v>kof97h</v>
      </c>
      <c r="J1853" t="str">
        <f t="shared" si="150"/>
        <v/>
      </c>
      <c r="L1853" t="str">
        <f t="shared" si="154"/>
        <v>NGH-2320</v>
      </c>
      <c r="M1853" t="str">
        <f t="shared" si="154"/>
        <v>19970321</v>
      </c>
      <c r="N1853" t="str">
        <f t="shared" si="154"/>
        <v>ザ・キング・オブ・ファイターズ '97</v>
      </c>
      <c r="O1853" t="str">
        <f t="shared" si="154"/>
        <v/>
      </c>
      <c r="P1853" t="str">
        <f t="shared" si="154"/>
        <v/>
      </c>
      <c r="T1853" t="str">
        <f t="shared" si="151"/>
        <v/>
      </c>
      <c r="V1853" t="str">
        <f t="shared" si="153"/>
        <v>AES</v>
      </c>
      <c r="W1853" t="str">
        <f t="shared" si="153"/>
        <v>MVS,AES</v>
      </c>
      <c r="AG1853" t="s">
        <v>6</v>
      </c>
      <c r="AH1853" t="s">
        <v>1162</v>
      </c>
      <c r="AI1853" t="s">
        <v>4</v>
      </c>
      <c r="AJ1853" t="s">
        <v>57</v>
      </c>
      <c r="AK1853" t="s">
        <v>1161</v>
      </c>
      <c r="AL1853" t="s">
        <v>1160</v>
      </c>
    </row>
    <row r="1854" spans="5:44" x14ac:dyDescent="0.25">
      <c r="I1854" t="str">
        <f t="shared" si="149"/>
        <v>kof97h</v>
      </c>
      <c r="J1854" t="str">
        <f t="shared" si="150"/>
        <v/>
      </c>
      <c r="L1854" t="str">
        <f t="shared" si="154"/>
        <v>NGH-2320</v>
      </c>
      <c r="M1854" t="str">
        <f t="shared" si="154"/>
        <v>19970321</v>
      </c>
      <c r="N1854" t="str">
        <f t="shared" si="154"/>
        <v>ザ・キング・オブ・ファイターズ '97</v>
      </c>
      <c r="O1854" t="str">
        <f t="shared" si="154"/>
        <v/>
      </c>
      <c r="P1854" t="str">
        <f t="shared" si="154"/>
        <v/>
      </c>
      <c r="T1854" t="str">
        <f t="shared" si="151"/>
        <v/>
      </c>
      <c r="V1854" t="str">
        <f t="shared" si="153"/>
        <v>AES</v>
      </c>
      <c r="W1854" t="str">
        <f t="shared" si="153"/>
        <v>MVS,AES</v>
      </c>
      <c r="AG1854" t="s">
        <v>6</v>
      </c>
      <c r="AH1854" t="s">
        <v>1159</v>
      </c>
      <c r="AI1854" t="s">
        <v>65</v>
      </c>
      <c r="AJ1854" t="s">
        <v>57</v>
      </c>
      <c r="AK1854" t="s">
        <v>1158</v>
      </c>
      <c r="AL1854" t="s">
        <v>1157</v>
      </c>
    </row>
    <row r="1855" spans="5:44" x14ac:dyDescent="0.25">
      <c r="I1855" t="str">
        <f t="shared" si="149"/>
        <v>kof97h</v>
      </c>
      <c r="J1855" t="str">
        <f t="shared" si="150"/>
        <v/>
      </c>
      <c r="L1855" t="str">
        <f t="shared" si="154"/>
        <v>NGH-2320</v>
      </c>
      <c r="M1855" t="str">
        <f t="shared" si="154"/>
        <v>19970321</v>
      </c>
      <c r="N1855" t="str">
        <f t="shared" si="154"/>
        <v>ザ・キング・オブ・ファイターズ '97</v>
      </c>
      <c r="O1855" t="str">
        <f t="shared" si="154"/>
        <v/>
      </c>
      <c r="P1855" t="str">
        <f t="shared" si="154"/>
        <v/>
      </c>
      <c r="T1855" t="str">
        <f t="shared" si="151"/>
        <v/>
      </c>
      <c r="V1855" t="str">
        <f t="shared" si="153"/>
        <v>AES</v>
      </c>
      <c r="W1855" t="str">
        <f t="shared" si="153"/>
        <v>MVS,AES</v>
      </c>
      <c r="AG1855" t="s">
        <v>6</v>
      </c>
      <c r="AH1855" t="s">
        <v>1156</v>
      </c>
      <c r="AI1855" t="s">
        <v>164</v>
      </c>
      <c r="AJ1855" t="s">
        <v>57</v>
      </c>
      <c r="AK1855" t="s">
        <v>1155</v>
      </c>
      <c r="AL1855" t="s">
        <v>1154</v>
      </c>
    </row>
    <row r="1856" spans="5:44" x14ac:dyDescent="0.25">
      <c r="I1856" t="str">
        <f t="shared" si="149"/>
        <v>kof97h</v>
      </c>
      <c r="J1856" t="str">
        <f t="shared" si="150"/>
        <v/>
      </c>
      <c r="L1856" t="str">
        <f t="shared" si="154"/>
        <v>NGH-2320</v>
      </c>
      <c r="M1856" t="str">
        <f t="shared" si="154"/>
        <v>19970321</v>
      </c>
      <c r="N1856" t="str">
        <f t="shared" si="154"/>
        <v>ザ・キング・オブ・ファイターズ '97</v>
      </c>
      <c r="O1856" t="str">
        <f t="shared" si="154"/>
        <v/>
      </c>
      <c r="P1856" t="str">
        <f t="shared" si="154"/>
        <v/>
      </c>
      <c r="T1856" t="str">
        <f t="shared" si="151"/>
        <v/>
      </c>
      <c r="V1856" t="str">
        <f t="shared" si="153"/>
        <v>AES</v>
      </c>
      <c r="W1856" t="str">
        <f t="shared" si="153"/>
        <v>MVS,AES</v>
      </c>
      <c r="AG1856" t="s">
        <v>6</v>
      </c>
      <c r="AH1856" t="s">
        <v>1153</v>
      </c>
      <c r="AI1856" t="s">
        <v>160</v>
      </c>
      <c r="AJ1856" t="s">
        <v>11</v>
      </c>
      <c r="AK1856" t="s">
        <v>1152</v>
      </c>
      <c r="AL1856" t="s">
        <v>1151</v>
      </c>
    </row>
    <row r="1857" spans="5:44" x14ac:dyDescent="0.25">
      <c r="I1857" t="str">
        <f t="shared" si="149"/>
        <v>kof97h</v>
      </c>
      <c r="J1857" t="str">
        <f t="shared" si="150"/>
        <v/>
      </c>
      <c r="L1857" t="str">
        <f t="shared" si="154"/>
        <v>NGH-2320</v>
      </c>
      <c r="M1857" t="str">
        <f t="shared" si="154"/>
        <v>19970321</v>
      </c>
      <c r="N1857" t="str">
        <f t="shared" si="154"/>
        <v>ザ・キング・オブ・ファイターズ '97</v>
      </c>
      <c r="O1857" t="str">
        <f t="shared" si="154"/>
        <v/>
      </c>
      <c r="P1857" t="str">
        <f t="shared" si="154"/>
        <v/>
      </c>
      <c r="T1857" t="str">
        <f t="shared" si="151"/>
        <v/>
      </c>
      <c r="V1857" t="str">
        <f t="shared" si="153"/>
        <v>AES</v>
      </c>
      <c r="W1857" t="str">
        <f t="shared" si="153"/>
        <v>MVS,AES</v>
      </c>
      <c r="AG1857" t="s">
        <v>6</v>
      </c>
      <c r="AH1857" t="s">
        <v>1150</v>
      </c>
      <c r="AI1857" t="s">
        <v>156</v>
      </c>
      <c r="AJ1857" t="s">
        <v>11</v>
      </c>
      <c r="AK1857" t="s">
        <v>1149</v>
      </c>
      <c r="AL1857" t="s">
        <v>1148</v>
      </c>
    </row>
    <row r="1858" spans="5:44" x14ac:dyDescent="0.25">
      <c r="E1858" t="s">
        <v>3086</v>
      </c>
      <c r="F1858" t="s">
        <v>3085</v>
      </c>
      <c r="G1858" t="s">
        <v>1145</v>
      </c>
      <c r="H1858" t="s">
        <v>1912</v>
      </c>
      <c r="I1858" t="str">
        <f t="shared" si="149"/>
        <v>kof97k</v>
      </c>
      <c r="J1858" t="str">
        <f t="shared" si="150"/>
        <v/>
      </c>
      <c r="L1858" t="str">
        <f t="shared" si="154"/>
        <v/>
      </c>
      <c r="M1858" t="str">
        <f t="shared" si="154"/>
        <v/>
      </c>
      <c r="N1858" t="str">
        <f t="shared" si="154"/>
        <v/>
      </c>
      <c r="O1858" t="str">
        <f t="shared" si="154"/>
        <v/>
      </c>
      <c r="P1858" t="str">
        <f t="shared" si="154"/>
        <v/>
      </c>
      <c r="S1858" t="s">
        <v>46</v>
      </c>
      <c r="T1858" t="str">
        <f t="shared" si="151"/>
        <v>kof97krelease</v>
      </c>
      <c r="U1858" t="s">
        <v>106</v>
      </c>
      <c r="V1858" t="str">
        <f t="shared" si="153"/>
        <v>MVS</v>
      </c>
      <c r="W1858" t="str">
        <f t="shared" si="153"/>
        <v>MVS,AES</v>
      </c>
      <c r="Y1858" t="s">
        <v>45</v>
      </c>
      <c r="Z1858" t="s">
        <v>44</v>
      </c>
      <c r="AB1858" t="s">
        <v>43</v>
      </c>
      <c r="AC1858" t="s">
        <v>42</v>
      </c>
      <c r="AD1858" t="s">
        <v>41</v>
      </c>
      <c r="AE1858" t="s">
        <v>23</v>
      </c>
      <c r="AG1858" t="s">
        <v>40</v>
      </c>
      <c r="AH1858" t="s">
        <v>3084</v>
      </c>
      <c r="AI1858" t="s">
        <v>9</v>
      </c>
      <c r="AJ1858" t="s">
        <v>15</v>
      </c>
      <c r="AK1858" t="s">
        <v>3083</v>
      </c>
      <c r="AL1858" t="s">
        <v>3082</v>
      </c>
      <c r="AR1858" t="s">
        <v>1140</v>
      </c>
    </row>
    <row r="1859" spans="5:44" x14ac:dyDescent="0.25">
      <c r="I1859" t="str">
        <f t="shared" ref="I1859:I1922" si="155">IF(E1859="",I1858,E1859)</f>
        <v>kof97k</v>
      </c>
      <c r="J1859" t="str">
        <f t="shared" ref="J1859:J1922" si="156">IF(K1859="","",I1859&amp;K1859)</f>
        <v/>
      </c>
      <c r="L1859" t="str">
        <f t="shared" si="154"/>
        <v/>
      </c>
      <c r="M1859" t="str">
        <f t="shared" si="154"/>
        <v/>
      </c>
      <c r="N1859" t="str">
        <f t="shared" si="154"/>
        <v/>
      </c>
      <c r="O1859" t="str">
        <f t="shared" si="154"/>
        <v/>
      </c>
      <c r="P1859" t="str">
        <f t="shared" si="154"/>
        <v/>
      </c>
      <c r="S1859" t="s">
        <v>36</v>
      </c>
      <c r="T1859" t="str">
        <f t="shared" ref="T1859:T1922" si="157">IF(S1859="","",I1859&amp;S1859)</f>
        <v>kof97kcompatibility</v>
      </c>
      <c r="U1859" t="s">
        <v>218</v>
      </c>
      <c r="V1859" t="str">
        <f t="shared" si="153"/>
        <v>MVS</v>
      </c>
      <c r="W1859" t="str">
        <f t="shared" si="153"/>
        <v>MVS,AES</v>
      </c>
      <c r="AG1859" t="s">
        <v>40</v>
      </c>
      <c r="AH1859" t="s">
        <v>1139</v>
      </c>
      <c r="AI1859" t="s">
        <v>15</v>
      </c>
      <c r="AJ1859" t="s">
        <v>11</v>
      </c>
      <c r="AK1859" t="s">
        <v>1138</v>
      </c>
      <c r="AL1859" t="s">
        <v>1137</v>
      </c>
    </row>
    <row r="1860" spans="5:44" x14ac:dyDescent="0.25">
      <c r="I1860" t="str">
        <f t="shared" si="155"/>
        <v>kof97k</v>
      </c>
      <c r="J1860" t="str">
        <f t="shared" si="156"/>
        <v/>
      </c>
      <c r="L1860" t="str">
        <f t="shared" si="154"/>
        <v/>
      </c>
      <c r="M1860" t="str">
        <f t="shared" si="154"/>
        <v/>
      </c>
      <c r="N1860" t="str">
        <f t="shared" si="154"/>
        <v/>
      </c>
      <c r="O1860" t="str">
        <f t="shared" si="154"/>
        <v/>
      </c>
      <c r="P1860" t="str">
        <f t="shared" si="154"/>
        <v/>
      </c>
      <c r="T1860" t="str">
        <f t="shared" si="157"/>
        <v/>
      </c>
      <c r="V1860" t="str">
        <f t="shared" si="153"/>
        <v>MVS</v>
      </c>
      <c r="W1860" t="str">
        <f t="shared" si="153"/>
        <v>MVS,AES</v>
      </c>
      <c r="AB1860" t="s">
        <v>34</v>
      </c>
      <c r="AE1860" t="s">
        <v>33</v>
      </c>
      <c r="AH1860" t="s">
        <v>3081</v>
      </c>
      <c r="AI1860" t="s">
        <v>9</v>
      </c>
      <c r="AJ1860" t="s">
        <v>27</v>
      </c>
      <c r="AK1860" t="s">
        <v>3080</v>
      </c>
      <c r="AL1860" t="s">
        <v>3079</v>
      </c>
    </row>
    <row r="1861" spans="5:44" x14ac:dyDescent="0.25">
      <c r="I1861" t="str">
        <f t="shared" si="155"/>
        <v>kof97k</v>
      </c>
      <c r="J1861" t="str">
        <f t="shared" si="156"/>
        <v/>
      </c>
      <c r="L1861" t="str">
        <f t="shared" si="154"/>
        <v/>
      </c>
      <c r="M1861" t="str">
        <f t="shared" si="154"/>
        <v/>
      </c>
      <c r="N1861" t="str">
        <f t="shared" si="154"/>
        <v/>
      </c>
      <c r="O1861" t="str">
        <f t="shared" si="154"/>
        <v/>
      </c>
      <c r="P1861" t="str">
        <f t="shared" si="154"/>
        <v/>
      </c>
      <c r="T1861" t="str">
        <f t="shared" si="157"/>
        <v/>
      </c>
      <c r="V1861" t="str">
        <f t="shared" si="153"/>
        <v>MVS</v>
      </c>
      <c r="W1861" t="str">
        <f t="shared" si="153"/>
        <v>MVS,AES</v>
      </c>
      <c r="AB1861" t="s">
        <v>29</v>
      </c>
      <c r="AE1861" t="s">
        <v>27</v>
      </c>
      <c r="AH1861" t="s">
        <v>3078</v>
      </c>
      <c r="AI1861" t="s">
        <v>9</v>
      </c>
      <c r="AJ1861" t="s">
        <v>27</v>
      </c>
      <c r="AK1861" t="s">
        <v>3077</v>
      </c>
      <c r="AL1861" t="s">
        <v>3076</v>
      </c>
    </row>
    <row r="1862" spans="5:44" x14ac:dyDescent="0.25">
      <c r="I1862" t="str">
        <f t="shared" si="155"/>
        <v>kof97k</v>
      </c>
      <c r="J1862" t="str">
        <f t="shared" si="156"/>
        <v/>
      </c>
      <c r="L1862" t="str">
        <f t="shared" si="154"/>
        <v/>
      </c>
      <c r="M1862" t="str">
        <f t="shared" si="154"/>
        <v/>
      </c>
      <c r="N1862" t="str">
        <f t="shared" si="154"/>
        <v/>
      </c>
      <c r="O1862" t="str">
        <f t="shared" si="154"/>
        <v/>
      </c>
      <c r="P1862" t="str">
        <f t="shared" si="154"/>
        <v/>
      </c>
      <c r="T1862" t="str">
        <f t="shared" si="157"/>
        <v/>
      </c>
      <c r="V1862" t="str">
        <f t="shared" si="153"/>
        <v>MVS</v>
      </c>
      <c r="W1862" t="str">
        <f t="shared" si="153"/>
        <v>MVS,AES</v>
      </c>
      <c r="AB1862" t="s">
        <v>24</v>
      </c>
      <c r="AE1862" t="s">
        <v>250</v>
      </c>
      <c r="AH1862" t="s">
        <v>1130</v>
      </c>
      <c r="AI1862" t="s">
        <v>9</v>
      </c>
      <c r="AJ1862" t="s">
        <v>11</v>
      </c>
      <c r="AK1862" t="s">
        <v>1129</v>
      </c>
      <c r="AL1862" t="s">
        <v>1128</v>
      </c>
    </row>
    <row r="1863" spans="5:44" x14ac:dyDescent="0.25">
      <c r="I1863" t="str">
        <f t="shared" si="155"/>
        <v>kof97k</v>
      </c>
      <c r="J1863" t="str">
        <f t="shared" si="156"/>
        <v/>
      </c>
      <c r="L1863" t="str">
        <f t="shared" si="154"/>
        <v/>
      </c>
      <c r="M1863" t="str">
        <f t="shared" si="154"/>
        <v/>
      </c>
      <c r="N1863" t="str">
        <f t="shared" si="154"/>
        <v/>
      </c>
      <c r="O1863" t="str">
        <f t="shared" si="154"/>
        <v/>
      </c>
      <c r="P1863" t="str">
        <f t="shared" si="154"/>
        <v/>
      </c>
      <c r="T1863" t="str">
        <f t="shared" si="157"/>
        <v/>
      </c>
      <c r="V1863" t="str">
        <f t="shared" si="153"/>
        <v>MVS</v>
      </c>
      <c r="W1863" t="str">
        <f t="shared" si="153"/>
        <v>MVS,AES</v>
      </c>
      <c r="AH1863" t="s">
        <v>1127</v>
      </c>
      <c r="AI1863" t="s">
        <v>11</v>
      </c>
      <c r="AJ1863" t="s">
        <v>11</v>
      </c>
      <c r="AK1863" t="s">
        <v>1126</v>
      </c>
      <c r="AL1863" t="s">
        <v>1125</v>
      </c>
    </row>
    <row r="1864" spans="5:44" x14ac:dyDescent="0.25">
      <c r="I1864" t="str">
        <f t="shared" si="155"/>
        <v>kof97k</v>
      </c>
      <c r="J1864" t="str">
        <f t="shared" si="156"/>
        <v/>
      </c>
      <c r="L1864" t="str">
        <f t="shared" si="154"/>
        <v/>
      </c>
      <c r="M1864" t="str">
        <f t="shared" si="154"/>
        <v/>
      </c>
      <c r="N1864" t="str">
        <f t="shared" si="154"/>
        <v/>
      </c>
      <c r="O1864" t="str">
        <f t="shared" si="154"/>
        <v/>
      </c>
      <c r="P1864" t="str">
        <f t="shared" si="154"/>
        <v/>
      </c>
      <c r="T1864" t="str">
        <f t="shared" si="157"/>
        <v/>
      </c>
      <c r="V1864" t="str">
        <f t="shared" si="153"/>
        <v>MVS</v>
      </c>
      <c r="W1864" t="str">
        <f t="shared" si="153"/>
        <v>MVS,AES</v>
      </c>
      <c r="AH1864" t="s">
        <v>1124</v>
      </c>
      <c r="AI1864" t="s">
        <v>57</v>
      </c>
      <c r="AJ1864" t="s">
        <v>11</v>
      </c>
      <c r="AK1864" t="s">
        <v>1123</v>
      </c>
      <c r="AL1864" t="s">
        <v>1122</v>
      </c>
    </row>
    <row r="1865" spans="5:44" x14ac:dyDescent="0.25">
      <c r="I1865" t="str">
        <f t="shared" si="155"/>
        <v>kof97k</v>
      </c>
      <c r="J1865" t="str">
        <f t="shared" si="156"/>
        <v/>
      </c>
      <c r="L1865" t="str">
        <f t="shared" si="154"/>
        <v/>
      </c>
      <c r="M1865" t="str">
        <f t="shared" si="154"/>
        <v/>
      </c>
      <c r="N1865" t="str">
        <f t="shared" si="154"/>
        <v/>
      </c>
      <c r="O1865" t="str">
        <f t="shared" si="154"/>
        <v/>
      </c>
      <c r="P1865" t="str">
        <f t="shared" si="154"/>
        <v/>
      </c>
      <c r="T1865" t="str">
        <f t="shared" si="157"/>
        <v/>
      </c>
      <c r="V1865" t="str">
        <f t="shared" si="153"/>
        <v>MVS</v>
      </c>
      <c r="W1865" t="str">
        <f t="shared" si="153"/>
        <v>MVS,AES</v>
      </c>
      <c r="AB1865" t="s">
        <v>12</v>
      </c>
      <c r="AE1865" t="s">
        <v>620</v>
      </c>
      <c r="AG1865" t="s">
        <v>6</v>
      </c>
      <c r="AH1865" t="s">
        <v>1165</v>
      </c>
      <c r="AI1865" t="s">
        <v>9</v>
      </c>
      <c r="AJ1865" t="s">
        <v>57</v>
      </c>
      <c r="AK1865" t="s">
        <v>1164</v>
      </c>
      <c r="AL1865" t="s">
        <v>1163</v>
      </c>
    </row>
    <row r="1866" spans="5:44" x14ac:dyDescent="0.25">
      <c r="I1866" t="str">
        <f t="shared" si="155"/>
        <v>kof97k</v>
      </c>
      <c r="J1866" t="str">
        <f t="shared" si="156"/>
        <v/>
      </c>
      <c r="L1866" t="str">
        <f t="shared" si="154"/>
        <v/>
      </c>
      <c r="M1866" t="str">
        <f t="shared" si="154"/>
        <v/>
      </c>
      <c r="N1866" t="str">
        <f t="shared" si="154"/>
        <v/>
      </c>
      <c r="O1866" t="str">
        <f t="shared" si="154"/>
        <v/>
      </c>
      <c r="P1866" t="str">
        <f t="shared" si="154"/>
        <v/>
      </c>
      <c r="T1866" t="str">
        <f t="shared" si="157"/>
        <v/>
      </c>
      <c r="V1866" t="str">
        <f t="shared" si="153"/>
        <v>MVS</v>
      </c>
      <c r="W1866" t="str">
        <f t="shared" si="153"/>
        <v>MVS,AES</v>
      </c>
      <c r="AG1866" t="s">
        <v>6</v>
      </c>
      <c r="AH1866" t="s">
        <v>1162</v>
      </c>
      <c r="AI1866" t="s">
        <v>4</v>
      </c>
      <c r="AJ1866" t="s">
        <v>57</v>
      </c>
      <c r="AK1866" t="s">
        <v>1161</v>
      </c>
      <c r="AL1866" t="s">
        <v>1160</v>
      </c>
    </row>
    <row r="1867" spans="5:44" x14ac:dyDescent="0.25">
      <c r="I1867" t="str">
        <f t="shared" si="155"/>
        <v>kof97k</v>
      </c>
      <c r="J1867" t="str">
        <f t="shared" si="156"/>
        <v/>
      </c>
      <c r="L1867" t="str">
        <f t="shared" si="154"/>
        <v/>
      </c>
      <c r="M1867" t="str">
        <f t="shared" si="154"/>
        <v/>
      </c>
      <c r="N1867" t="str">
        <f t="shared" si="154"/>
        <v/>
      </c>
      <c r="O1867" t="str">
        <f t="shared" si="154"/>
        <v/>
      </c>
      <c r="P1867" t="str">
        <f t="shared" si="154"/>
        <v/>
      </c>
      <c r="T1867" t="str">
        <f t="shared" si="157"/>
        <v/>
      </c>
      <c r="V1867" t="str">
        <f t="shared" si="153"/>
        <v>MVS</v>
      </c>
      <c r="W1867" t="str">
        <f t="shared" si="153"/>
        <v>MVS,AES</v>
      </c>
      <c r="AG1867" t="s">
        <v>6</v>
      </c>
      <c r="AH1867" t="s">
        <v>1159</v>
      </c>
      <c r="AI1867" t="s">
        <v>65</v>
      </c>
      <c r="AJ1867" t="s">
        <v>57</v>
      </c>
      <c r="AK1867" t="s">
        <v>1158</v>
      </c>
      <c r="AL1867" t="s">
        <v>1157</v>
      </c>
    </row>
    <row r="1868" spans="5:44" x14ac:dyDescent="0.25">
      <c r="I1868" t="str">
        <f t="shared" si="155"/>
        <v>kof97k</v>
      </c>
      <c r="J1868" t="str">
        <f t="shared" si="156"/>
        <v/>
      </c>
      <c r="L1868" t="str">
        <f t="shared" si="154"/>
        <v/>
      </c>
      <c r="M1868" t="str">
        <f t="shared" si="154"/>
        <v/>
      </c>
      <c r="N1868" t="str">
        <f t="shared" si="154"/>
        <v/>
      </c>
      <c r="O1868" t="str">
        <f t="shared" si="154"/>
        <v/>
      </c>
      <c r="P1868" t="str">
        <f t="shared" si="154"/>
        <v/>
      </c>
      <c r="T1868" t="str">
        <f t="shared" si="157"/>
        <v/>
      </c>
      <c r="V1868" t="str">
        <f t="shared" si="153"/>
        <v>MVS</v>
      </c>
      <c r="W1868" t="str">
        <f t="shared" si="153"/>
        <v>MVS,AES</v>
      </c>
      <c r="AG1868" t="s">
        <v>6</v>
      </c>
      <c r="AH1868" t="s">
        <v>1156</v>
      </c>
      <c r="AI1868" t="s">
        <v>164</v>
      </c>
      <c r="AJ1868" t="s">
        <v>57</v>
      </c>
      <c r="AK1868" t="s">
        <v>1155</v>
      </c>
      <c r="AL1868" t="s">
        <v>1154</v>
      </c>
    </row>
    <row r="1869" spans="5:44" x14ac:dyDescent="0.25">
      <c r="I1869" t="str">
        <f t="shared" si="155"/>
        <v>kof97k</v>
      </c>
      <c r="J1869" t="str">
        <f t="shared" si="156"/>
        <v/>
      </c>
      <c r="L1869" t="str">
        <f t="shared" si="154"/>
        <v/>
      </c>
      <c r="M1869" t="str">
        <f t="shared" si="154"/>
        <v/>
      </c>
      <c r="N1869" t="str">
        <f t="shared" si="154"/>
        <v/>
      </c>
      <c r="O1869" t="str">
        <f t="shared" si="154"/>
        <v/>
      </c>
      <c r="P1869" t="str">
        <f t="shared" si="154"/>
        <v/>
      </c>
      <c r="T1869" t="str">
        <f t="shared" si="157"/>
        <v/>
      </c>
      <c r="V1869" t="str">
        <f t="shared" si="153"/>
        <v>MVS</v>
      </c>
      <c r="W1869" t="str">
        <f t="shared" si="153"/>
        <v>MVS,AES</v>
      </c>
      <c r="AG1869" t="s">
        <v>6</v>
      </c>
      <c r="AH1869" t="s">
        <v>1153</v>
      </c>
      <c r="AI1869" t="s">
        <v>160</v>
      </c>
      <c r="AJ1869" t="s">
        <v>11</v>
      </c>
      <c r="AK1869" t="s">
        <v>1152</v>
      </c>
      <c r="AL1869" t="s">
        <v>1151</v>
      </c>
    </row>
    <row r="1870" spans="5:44" x14ac:dyDescent="0.25">
      <c r="I1870" t="str">
        <f t="shared" si="155"/>
        <v>kof97k</v>
      </c>
      <c r="J1870" t="str">
        <f t="shared" si="156"/>
        <v/>
      </c>
      <c r="L1870" t="str">
        <f t="shared" si="154"/>
        <v/>
      </c>
      <c r="M1870" t="str">
        <f t="shared" si="154"/>
        <v/>
      </c>
      <c r="N1870" t="str">
        <f t="shared" si="154"/>
        <v/>
      </c>
      <c r="O1870" t="str">
        <f t="shared" si="154"/>
        <v/>
      </c>
      <c r="P1870" t="str">
        <f t="shared" si="154"/>
        <v/>
      </c>
      <c r="T1870" t="str">
        <f t="shared" si="157"/>
        <v/>
      </c>
      <c r="V1870" t="str">
        <f t="shared" si="153"/>
        <v>MVS</v>
      </c>
      <c r="W1870" t="str">
        <f t="shared" si="153"/>
        <v>MVS,AES</v>
      </c>
      <c r="AG1870" t="s">
        <v>6</v>
      </c>
      <c r="AH1870" t="s">
        <v>1150</v>
      </c>
      <c r="AI1870" t="s">
        <v>156</v>
      </c>
      <c r="AJ1870" t="s">
        <v>11</v>
      </c>
      <c r="AK1870" t="s">
        <v>1149</v>
      </c>
      <c r="AL1870" t="s">
        <v>1148</v>
      </c>
    </row>
    <row r="1871" spans="5:44" x14ac:dyDescent="0.25">
      <c r="E1871" t="s">
        <v>3075</v>
      </c>
      <c r="F1871" t="s">
        <v>3074</v>
      </c>
      <c r="G1871" t="s">
        <v>1145</v>
      </c>
      <c r="H1871" t="s">
        <v>3073</v>
      </c>
      <c r="I1871" t="str">
        <f t="shared" si="155"/>
        <v>magdrop3</v>
      </c>
      <c r="J1871" t="str">
        <f t="shared" si="156"/>
        <v>magdrop3serial</v>
      </c>
      <c r="K1871" t="s">
        <v>1373</v>
      </c>
      <c r="L1871" t="str">
        <f t="shared" si="154"/>
        <v>NGM-2330 (MVS), NGH-2330 (AES)</v>
      </c>
      <c r="M1871" t="str">
        <f t="shared" si="154"/>
        <v>19970225 (MVS), 19970425 (AES)</v>
      </c>
      <c r="N1871" t="str">
        <f t="shared" si="154"/>
        <v>マジカルドロップIII</v>
      </c>
      <c r="O1871" t="str">
        <f t="shared" si="154"/>
        <v/>
      </c>
      <c r="P1871" t="str">
        <f t="shared" si="154"/>
        <v/>
      </c>
      <c r="Q1871" t="s">
        <v>3072</v>
      </c>
      <c r="S1871" t="s">
        <v>46</v>
      </c>
      <c r="T1871" t="str">
        <f t="shared" si="157"/>
        <v>magdrop3release</v>
      </c>
      <c r="U1871" t="s">
        <v>218</v>
      </c>
      <c r="V1871" t="str">
        <f t="shared" si="153"/>
        <v>MVS,AES</v>
      </c>
      <c r="W1871" t="str">
        <f t="shared" si="153"/>
        <v>MVS,AES</v>
      </c>
      <c r="Y1871" t="s">
        <v>45</v>
      </c>
      <c r="Z1871" t="s">
        <v>44</v>
      </c>
      <c r="AB1871" t="s">
        <v>43</v>
      </c>
      <c r="AC1871" t="s">
        <v>42</v>
      </c>
      <c r="AD1871" t="s">
        <v>41</v>
      </c>
      <c r="AE1871" t="s">
        <v>15</v>
      </c>
      <c r="AG1871" t="s">
        <v>40</v>
      </c>
      <c r="AH1871" t="s">
        <v>3071</v>
      </c>
      <c r="AI1871" t="s">
        <v>9</v>
      </c>
      <c r="AJ1871" t="s">
        <v>15</v>
      </c>
      <c r="AK1871" t="s">
        <v>3070</v>
      </c>
      <c r="AL1871" t="s">
        <v>3069</v>
      </c>
    </row>
    <row r="1872" spans="5:44" x14ac:dyDescent="0.25">
      <c r="I1872" t="str">
        <f t="shared" si="155"/>
        <v>magdrop3</v>
      </c>
      <c r="J1872" t="str">
        <f t="shared" si="156"/>
        <v>magdrop3release</v>
      </c>
      <c r="K1872" t="s">
        <v>46</v>
      </c>
      <c r="L1872" t="str">
        <f t="shared" si="154"/>
        <v>NGM-2330 (MVS), NGH-2330 (AES)</v>
      </c>
      <c r="M1872" t="str">
        <f t="shared" si="154"/>
        <v>19970225 (MVS), 19970425 (AES)</v>
      </c>
      <c r="N1872" t="str">
        <f t="shared" si="154"/>
        <v>マジカルドロップIII</v>
      </c>
      <c r="O1872" t="str">
        <f t="shared" si="154"/>
        <v/>
      </c>
      <c r="P1872" t="str">
        <f t="shared" si="154"/>
        <v/>
      </c>
      <c r="Q1872" t="s">
        <v>3068</v>
      </c>
      <c r="T1872" t="str">
        <f t="shared" si="157"/>
        <v/>
      </c>
      <c r="V1872" t="str">
        <f t="shared" si="153"/>
        <v>MVS,AES</v>
      </c>
      <c r="W1872" t="str">
        <f t="shared" si="153"/>
        <v>MVS,AES</v>
      </c>
      <c r="AB1872" t="s">
        <v>34</v>
      </c>
      <c r="AE1872" t="s">
        <v>33</v>
      </c>
      <c r="AH1872" t="s">
        <v>3067</v>
      </c>
      <c r="AI1872" t="s">
        <v>9</v>
      </c>
      <c r="AJ1872" t="s">
        <v>27</v>
      </c>
      <c r="AK1872" t="s">
        <v>3066</v>
      </c>
      <c r="AL1872" t="s">
        <v>3065</v>
      </c>
    </row>
    <row r="1873" spans="5:38" x14ac:dyDescent="0.25">
      <c r="I1873" t="str">
        <f t="shared" si="155"/>
        <v>magdrop3</v>
      </c>
      <c r="J1873" t="str">
        <f t="shared" si="156"/>
        <v>magdrop3alt_title</v>
      </c>
      <c r="K1873" t="s">
        <v>1218</v>
      </c>
      <c r="L1873" t="str">
        <f t="shared" si="154"/>
        <v>NGM-2330 (MVS), NGH-2330 (AES)</v>
      </c>
      <c r="M1873" t="str">
        <f t="shared" si="154"/>
        <v>19970225 (MVS), 19970425 (AES)</v>
      </c>
      <c r="N1873" t="str">
        <f t="shared" si="154"/>
        <v>マジカルドロップIII</v>
      </c>
      <c r="O1873" t="str">
        <f t="shared" si="154"/>
        <v/>
      </c>
      <c r="P1873" t="str">
        <f t="shared" si="154"/>
        <v/>
      </c>
      <c r="Q1873" t="s">
        <v>3064</v>
      </c>
      <c r="T1873" t="str">
        <f t="shared" si="157"/>
        <v/>
      </c>
      <c r="V1873" t="str">
        <f t="shared" si="153"/>
        <v>MVS,AES</v>
      </c>
      <c r="W1873" t="str">
        <f t="shared" si="153"/>
        <v>MVS,AES</v>
      </c>
      <c r="AB1873" t="s">
        <v>29</v>
      </c>
      <c r="AE1873" t="s">
        <v>27</v>
      </c>
      <c r="AH1873" t="s">
        <v>3063</v>
      </c>
      <c r="AI1873" t="s">
        <v>9</v>
      </c>
      <c r="AJ1873" t="s">
        <v>27</v>
      </c>
      <c r="AK1873" t="s">
        <v>3062</v>
      </c>
      <c r="AL1873" t="s">
        <v>3061</v>
      </c>
    </row>
    <row r="1874" spans="5:38" x14ac:dyDescent="0.25">
      <c r="I1874" t="str">
        <f t="shared" si="155"/>
        <v>magdrop3</v>
      </c>
      <c r="J1874" t="str">
        <f t="shared" si="156"/>
        <v/>
      </c>
      <c r="L1874" t="str">
        <f t="shared" si="154"/>
        <v>NGM-2330 (MVS), NGH-2330 (AES)</v>
      </c>
      <c r="M1874" t="str">
        <f t="shared" si="154"/>
        <v>19970225 (MVS), 19970425 (AES)</v>
      </c>
      <c r="N1874" t="str">
        <f t="shared" si="154"/>
        <v>マジカルドロップIII</v>
      </c>
      <c r="O1874" t="str">
        <f t="shared" si="154"/>
        <v/>
      </c>
      <c r="P1874" t="str">
        <f t="shared" si="154"/>
        <v/>
      </c>
      <c r="S1874" t="s">
        <v>36</v>
      </c>
      <c r="T1874" t="str">
        <f t="shared" si="157"/>
        <v>magdrop3compatibility</v>
      </c>
      <c r="U1874" t="s">
        <v>218</v>
      </c>
      <c r="V1874" t="str">
        <f t="shared" si="153"/>
        <v>MVS,AES</v>
      </c>
      <c r="W1874" t="str">
        <f t="shared" si="153"/>
        <v>MVS,AES</v>
      </c>
      <c r="AB1874" t="s">
        <v>24</v>
      </c>
      <c r="AE1874" t="s">
        <v>3060</v>
      </c>
      <c r="AH1874" t="s">
        <v>3059</v>
      </c>
      <c r="AI1874" t="s">
        <v>9</v>
      </c>
      <c r="AJ1874" t="s">
        <v>11</v>
      </c>
      <c r="AK1874" t="s">
        <v>3058</v>
      </c>
      <c r="AL1874" t="s">
        <v>3057</v>
      </c>
    </row>
    <row r="1875" spans="5:38" x14ac:dyDescent="0.25">
      <c r="I1875" t="str">
        <f t="shared" si="155"/>
        <v>magdrop3</v>
      </c>
      <c r="J1875" t="str">
        <f t="shared" si="156"/>
        <v/>
      </c>
      <c r="L1875" t="str">
        <f t="shared" si="154"/>
        <v>NGM-2330 (MVS), NGH-2330 (AES)</v>
      </c>
      <c r="M1875" t="str">
        <f t="shared" si="154"/>
        <v>19970225 (MVS), 19970425 (AES)</v>
      </c>
      <c r="N1875" t="str">
        <f t="shared" si="154"/>
        <v>マジカルドロップIII</v>
      </c>
      <c r="O1875" t="str">
        <f t="shared" si="154"/>
        <v/>
      </c>
      <c r="P1875" t="str">
        <f t="shared" si="154"/>
        <v/>
      </c>
      <c r="T1875" t="str">
        <f t="shared" si="157"/>
        <v/>
      </c>
      <c r="V1875" t="str">
        <f t="shared" si="153"/>
        <v>MVS,AES</v>
      </c>
      <c r="W1875" t="str">
        <f t="shared" si="153"/>
        <v>MVS,AES</v>
      </c>
      <c r="AH1875" t="s">
        <v>3056</v>
      </c>
      <c r="AI1875" t="s">
        <v>11</v>
      </c>
      <c r="AJ1875" t="s">
        <v>92</v>
      </c>
      <c r="AK1875" t="s">
        <v>3055</v>
      </c>
      <c r="AL1875" t="s">
        <v>3054</v>
      </c>
    </row>
    <row r="1876" spans="5:38" x14ac:dyDescent="0.25">
      <c r="I1876" t="str">
        <f t="shared" si="155"/>
        <v>magdrop3</v>
      </c>
      <c r="J1876" t="str">
        <f t="shared" si="156"/>
        <v/>
      </c>
      <c r="L1876" t="str">
        <f t="shared" si="154"/>
        <v>NGM-2330 (MVS), NGH-2330 (AES)</v>
      </c>
      <c r="M1876" t="str">
        <f t="shared" si="154"/>
        <v>19970225 (MVS), 19970425 (AES)</v>
      </c>
      <c r="N1876" t="str">
        <f t="shared" si="154"/>
        <v>マジカルドロップIII</v>
      </c>
      <c r="O1876" t="str">
        <f t="shared" si="154"/>
        <v/>
      </c>
      <c r="P1876" t="str">
        <f t="shared" si="154"/>
        <v/>
      </c>
      <c r="T1876" t="str">
        <f t="shared" si="157"/>
        <v/>
      </c>
      <c r="V1876" t="str">
        <f t="shared" si="153"/>
        <v>MVS,AES</v>
      </c>
      <c r="W1876" t="str">
        <f t="shared" si="153"/>
        <v>MVS,AES</v>
      </c>
      <c r="AB1876" t="s">
        <v>12</v>
      </c>
      <c r="AE1876" t="s">
        <v>65</v>
      </c>
      <c r="AG1876" t="s">
        <v>6</v>
      </c>
      <c r="AH1876" t="s">
        <v>3053</v>
      </c>
      <c r="AI1876" t="s">
        <v>9</v>
      </c>
      <c r="AJ1876" t="s">
        <v>11</v>
      </c>
      <c r="AK1876" t="s">
        <v>3052</v>
      </c>
      <c r="AL1876" t="s">
        <v>3051</v>
      </c>
    </row>
    <row r="1877" spans="5:38" x14ac:dyDescent="0.25">
      <c r="I1877" t="str">
        <f t="shared" si="155"/>
        <v>magdrop3</v>
      </c>
      <c r="J1877" t="str">
        <f t="shared" si="156"/>
        <v/>
      </c>
      <c r="L1877" t="str">
        <f t="shared" si="154"/>
        <v>NGM-2330 (MVS), NGH-2330 (AES)</v>
      </c>
      <c r="M1877" t="str">
        <f t="shared" si="154"/>
        <v>19970225 (MVS), 19970425 (AES)</v>
      </c>
      <c r="N1877" t="str">
        <f t="shared" si="154"/>
        <v>マジカルドロップIII</v>
      </c>
      <c r="O1877" t="str">
        <f t="shared" si="154"/>
        <v/>
      </c>
      <c r="P1877" t="str">
        <f t="shared" si="154"/>
        <v/>
      </c>
      <c r="T1877" t="str">
        <f t="shared" si="157"/>
        <v/>
      </c>
      <c r="V1877" t="str">
        <f t="shared" si="153"/>
        <v>MVS,AES</v>
      </c>
      <c r="W1877" t="str">
        <f t="shared" si="153"/>
        <v>MVS,AES</v>
      </c>
      <c r="AG1877" t="s">
        <v>6</v>
      </c>
      <c r="AH1877" t="s">
        <v>3050</v>
      </c>
      <c r="AI1877" t="s">
        <v>4</v>
      </c>
      <c r="AJ1877" t="s">
        <v>11</v>
      </c>
      <c r="AK1877" t="s">
        <v>3049</v>
      </c>
      <c r="AL1877" t="s">
        <v>3048</v>
      </c>
    </row>
    <row r="1878" spans="5:38" x14ac:dyDescent="0.25">
      <c r="I1878" t="str">
        <f t="shared" si="155"/>
        <v>magdrop3</v>
      </c>
      <c r="J1878" t="str">
        <f t="shared" si="156"/>
        <v/>
      </c>
      <c r="L1878" t="str">
        <f t="shared" si="154"/>
        <v>NGM-2330 (MVS), NGH-2330 (AES)</v>
      </c>
      <c r="M1878" t="str">
        <f t="shared" si="154"/>
        <v>19970225 (MVS), 19970425 (AES)</v>
      </c>
      <c r="N1878" t="str">
        <f t="shared" si="154"/>
        <v>マジカルドロップIII</v>
      </c>
      <c r="O1878" t="str">
        <f t="shared" si="154"/>
        <v/>
      </c>
      <c r="P1878" t="str">
        <f t="shared" si="154"/>
        <v/>
      </c>
      <c r="T1878" t="str">
        <f t="shared" si="157"/>
        <v/>
      </c>
      <c r="V1878" t="str">
        <f t="shared" si="153"/>
        <v>MVS,AES</v>
      </c>
      <c r="W1878" t="str">
        <f t="shared" si="153"/>
        <v>MVS,AES</v>
      </c>
      <c r="AG1878" t="s">
        <v>6</v>
      </c>
      <c r="AH1878" t="s">
        <v>3047</v>
      </c>
      <c r="AI1878" t="s">
        <v>57</v>
      </c>
      <c r="AJ1878" t="s">
        <v>11</v>
      </c>
      <c r="AK1878" t="s">
        <v>3046</v>
      </c>
      <c r="AL1878" t="s">
        <v>3045</v>
      </c>
    </row>
    <row r="1879" spans="5:38" x14ac:dyDescent="0.25">
      <c r="I1879" t="str">
        <f t="shared" si="155"/>
        <v>magdrop3</v>
      </c>
      <c r="J1879" t="str">
        <f t="shared" si="156"/>
        <v/>
      </c>
      <c r="L1879" t="str">
        <f t="shared" si="154"/>
        <v>NGM-2330 (MVS), NGH-2330 (AES)</v>
      </c>
      <c r="M1879" t="str">
        <f t="shared" si="154"/>
        <v>19970225 (MVS), 19970425 (AES)</v>
      </c>
      <c r="N1879" t="str">
        <f t="shared" si="154"/>
        <v>マジカルドロップIII</v>
      </c>
      <c r="O1879" t="str">
        <f t="shared" si="154"/>
        <v/>
      </c>
      <c r="P1879" t="str">
        <f t="shared" si="154"/>
        <v/>
      </c>
      <c r="T1879" t="str">
        <f t="shared" si="157"/>
        <v/>
      </c>
      <c r="V1879" t="str">
        <f t="shared" ref="V1879:W1942" si="158">IFERROR(VLOOKUP($I1879&amp;V$1,$T:$AA,2,0),"")</f>
        <v>MVS,AES</v>
      </c>
      <c r="W1879" t="str">
        <f t="shared" si="158"/>
        <v>MVS,AES</v>
      </c>
      <c r="AG1879" t="s">
        <v>6</v>
      </c>
      <c r="AH1879" t="s">
        <v>3044</v>
      </c>
      <c r="AI1879" t="s">
        <v>53</v>
      </c>
      <c r="AJ1879" t="s">
        <v>11</v>
      </c>
      <c r="AK1879" t="s">
        <v>3043</v>
      </c>
      <c r="AL1879" t="s">
        <v>3042</v>
      </c>
    </row>
    <row r="1880" spans="5:38" x14ac:dyDescent="0.25">
      <c r="E1880" t="s">
        <v>3022</v>
      </c>
      <c r="F1880" t="s">
        <v>3041</v>
      </c>
      <c r="G1880" t="s">
        <v>1145</v>
      </c>
      <c r="H1880" t="s">
        <v>1912</v>
      </c>
      <c r="I1880" t="str">
        <f t="shared" si="155"/>
        <v>lastblad</v>
      </c>
      <c r="J1880" t="str">
        <f t="shared" si="156"/>
        <v>lastbladserial</v>
      </c>
      <c r="K1880" t="s">
        <v>1373</v>
      </c>
      <c r="L1880" t="str">
        <f t="shared" si="154"/>
        <v>NGM-2340</v>
      </c>
      <c r="M1880" t="str">
        <f t="shared" si="154"/>
        <v>19971205</v>
      </c>
      <c r="N1880">
        <f t="shared" si="154"/>
        <v>0</v>
      </c>
      <c r="O1880" t="str">
        <f t="shared" si="154"/>
        <v/>
      </c>
      <c r="P1880" t="str">
        <f t="shared" si="154"/>
        <v/>
      </c>
      <c r="Q1880" t="s">
        <v>3040</v>
      </c>
      <c r="S1880" t="s">
        <v>46</v>
      </c>
      <c r="T1880" t="str">
        <f t="shared" si="157"/>
        <v>lastbladrelease</v>
      </c>
      <c r="U1880" t="s">
        <v>106</v>
      </c>
      <c r="V1880" t="str">
        <f t="shared" si="158"/>
        <v>MVS</v>
      </c>
      <c r="W1880" t="str">
        <f t="shared" si="158"/>
        <v>MVS,AES</v>
      </c>
      <c r="Y1880" t="s">
        <v>45</v>
      </c>
      <c r="Z1880" t="s">
        <v>44</v>
      </c>
      <c r="AB1880" t="s">
        <v>43</v>
      </c>
      <c r="AC1880" t="s">
        <v>42</v>
      </c>
      <c r="AD1880" t="s">
        <v>41</v>
      </c>
      <c r="AE1880" t="s">
        <v>23</v>
      </c>
      <c r="AG1880" t="s">
        <v>40</v>
      </c>
      <c r="AH1880" t="s">
        <v>3039</v>
      </c>
      <c r="AI1880" t="s">
        <v>9</v>
      </c>
      <c r="AJ1880" t="s">
        <v>15</v>
      </c>
      <c r="AK1880" t="s">
        <v>3038</v>
      </c>
      <c r="AL1880" t="s">
        <v>3037</v>
      </c>
    </row>
    <row r="1881" spans="5:38" x14ac:dyDescent="0.25">
      <c r="I1881" t="str">
        <f t="shared" si="155"/>
        <v>lastblad</v>
      </c>
      <c r="J1881" t="str">
        <f t="shared" si="156"/>
        <v>lastbladrelease</v>
      </c>
      <c r="K1881" t="s">
        <v>46</v>
      </c>
      <c r="L1881" t="str">
        <f t="shared" si="154"/>
        <v>NGM-2340</v>
      </c>
      <c r="M1881" t="str">
        <f t="shared" si="154"/>
        <v>19971205</v>
      </c>
      <c r="N1881">
        <f t="shared" si="154"/>
        <v>0</v>
      </c>
      <c r="O1881" t="str">
        <f t="shared" si="154"/>
        <v/>
      </c>
      <c r="P1881" t="str">
        <f t="shared" si="154"/>
        <v/>
      </c>
      <c r="Q1881" t="s">
        <v>3036</v>
      </c>
      <c r="T1881" t="str">
        <f t="shared" si="157"/>
        <v/>
      </c>
      <c r="V1881" t="str">
        <f t="shared" si="158"/>
        <v>MVS</v>
      </c>
      <c r="W1881" t="str">
        <f t="shared" si="158"/>
        <v>MVS,AES</v>
      </c>
      <c r="AG1881" t="s">
        <v>40</v>
      </c>
      <c r="AH1881" t="s">
        <v>3021</v>
      </c>
      <c r="AI1881" t="s">
        <v>15</v>
      </c>
      <c r="AJ1881" t="s">
        <v>11</v>
      </c>
      <c r="AK1881" t="s">
        <v>3020</v>
      </c>
      <c r="AL1881" t="s">
        <v>3019</v>
      </c>
    </row>
    <row r="1882" spans="5:38" x14ac:dyDescent="0.25">
      <c r="I1882" t="str">
        <f t="shared" si="155"/>
        <v>lastblad</v>
      </c>
      <c r="J1882" t="str">
        <f t="shared" si="156"/>
        <v>lastbladalt_title</v>
      </c>
      <c r="K1882" t="s">
        <v>1218</v>
      </c>
      <c r="L1882" t="str">
        <f t="shared" si="154"/>
        <v>NGM-2340</v>
      </c>
      <c r="M1882" t="str">
        <f t="shared" si="154"/>
        <v>19971205</v>
      </c>
      <c r="N1882">
        <f t="shared" si="154"/>
        <v>0</v>
      </c>
      <c r="O1882" t="str">
        <f t="shared" si="154"/>
        <v/>
      </c>
      <c r="P1882" t="str">
        <f t="shared" si="154"/>
        <v/>
      </c>
      <c r="T1882" t="str">
        <f t="shared" si="157"/>
        <v/>
      </c>
      <c r="V1882" t="str">
        <f t="shared" si="158"/>
        <v>MVS</v>
      </c>
      <c r="W1882" t="str">
        <f t="shared" si="158"/>
        <v>MVS,AES</v>
      </c>
      <c r="AB1882" t="s">
        <v>34</v>
      </c>
      <c r="AE1882" t="s">
        <v>33</v>
      </c>
      <c r="AH1882" t="s">
        <v>3018</v>
      </c>
      <c r="AI1882" t="s">
        <v>9</v>
      </c>
      <c r="AJ1882" t="s">
        <v>27</v>
      </c>
      <c r="AK1882" t="s">
        <v>3017</v>
      </c>
      <c r="AL1882" t="s">
        <v>3016</v>
      </c>
    </row>
    <row r="1883" spans="5:38" x14ac:dyDescent="0.25">
      <c r="I1883" t="str">
        <f t="shared" si="155"/>
        <v>lastblad</v>
      </c>
      <c r="J1883" t="str">
        <f t="shared" si="156"/>
        <v/>
      </c>
      <c r="L1883" t="str">
        <f t="shared" si="154"/>
        <v>NGM-2340</v>
      </c>
      <c r="M1883" t="str">
        <f t="shared" si="154"/>
        <v>19971205</v>
      </c>
      <c r="N1883">
        <f t="shared" si="154"/>
        <v>0</v>
      </c>
      <c r="O1883" t="str">
        <f t="shared" si="154"/>
        <v/>
      </c>
      <c r="P1883" t="str">
        <f t="shared" si="154"/>
        <v/>
      </c>
      <c r="S1883" t="s">
        <v>36</v>
      </c>
      <c r="T1883" t="str">
        <f t="shared" si="157"/>
        <v>lastbladcompatibility</v>
      </c>
      <c r="U1883" t="s">
        <v>218</v>
      </c>
      <c r="V1883" t="str">
        <f t="shared" si="158"/>
        <v>MVS</v>
      </c>
      <c r="W1883" t="str">
        <f t="shared" si="158"/>
        <v>MVS,AES</v>
      </c>
      <c r="AB1883" t="s">
        <v>29</v>
      </c>
      <c r="AE1883" t="s">
        <v>27</v>
      </c>
      <c r="AH1883" t="s">
        <v>3015</v>
      </c>
      <c r="AI1883" t="s">
        <v>9</v>
      </c>
      <c r="AJ1883" t="s">
        <v>27</v>
      </c>
      <c r="AK1883" t="s">
        <v>3014</v>
      </c>
      <c r="AL1883" t="s">
        <v>3013</v>
      </c>
    </row>
    <row r="1884" spans="5:38" x14ac:dyDescent="0.25">
      <c r="I1884" t="str">
        <f t="shared" si="155"/>
        <v>lastblad</v>
      </c>
      <c r="J1884" t="str">
        <f t="shared" si="156"/>
        <v/>
      </c>
      <c r="L1884" t="str">
        <f t="shared" si="154"/>
        <v>NGM-2340</v>
      </c>
      <c r="M1884" t="str">
        <f t="shared" si="154"/>
        <v>19971205</v>
      </c>
      <c r="N1884">
        <f t="shared" si="154"/>
        <v>0</v>
      </c>
      <c r="O1884" t="str">
        <f t="shared" si="154"/>
        <v/>
      </c>
      <c r="P1884" t="str">
        <f t="shared" si="154"/>
        <v/>
      </c>
      <c r="T1884" t="str">
        <f t="shared" si="157"/>
        <v/>
      </c>
      <c r="V1884" t="str">
        <f t="shared" si="158"/>
        <v>MVS</v>
      </c>
      <c r="W1884" t="str">
        <f t="shared" si="158"/>
        <v>MVS,AES</v>
      </c>
      <c r="AB1884" t="s">
        <v>24</v>
      </c>
      <c r="AE1884" t="s">
        <v>65</v>
      </c>
      <c r="AH1884" t="s">
        <v>3012</v>
      </c>
      <c r="AI1884" t="s">
        <v>9</v>
      </c>
      <c r="AJ1884" t="s">
        <v>11</v>
      </c>
      <c r="AK1884" t="s">
        <v>3011</v>
      </c>
      <c r="AL1884" t="s">
        <v>3010</v>
      </c>
    </row>
    <row r="1885" spans="5:38" x14ac:dyDescent="0.25">
      <c r="I1885" t="str">
        <f t="shared" si="155"/>
        <v>lastblad</v>
      </c>
      <c r="J1885" t="str">
        <f t="shared" si="156"/>
        <v/>
      </c>
      <c r="L1885" t="str">
        <f t="shared" si="154"/>
        <v>NGM-2340</v>
      </c>
      <c r="M1885" t="str">
        <f t="shared" si="154"/>
        <v>19971205</v>
      </c>
      <c r="N1885">
        <f t="shared" si="154"/>
        <v>0</v>
      </c>
      <c r="O1885" t="str">
        <f t="shared" si="154"/>
        <v/>
      </c>
      <c r="P1885" t="str">
        <f t="shared" si="154"/>
        <v/>
      </c>
      <c r="T1885" t="str">
        <f t="shared" si="157"/>
        <v/>
      </c>
      <c r="V1885" t="str">
        <f t="shared" si="158"/>
        <v>MVS</v>
      </c>
      <c r="W1885" t="str">
        <f t="shared" si="158"/>
        <v>MVS,AES</v>
      </c>
      <c r="AH1885" t="s">
        <v>3009</v>
      </c>
      <c r="AI1885" t="s">
        <v>11</v>
      </c>
      <c r="AJ1885" t="s">
        <v>11</v>
      </c>
      <c r="AK1885" t="s">
        <v>3008</v>
      </c>
      <c r="AL1885" t="s">
        <v>3007</v>
      </c>
    </row>
    <row r="1886" spans="5:38" x14ac:dyDescent="0.25">
      <c r="I1886" t="str">
        <f t="shared" si="155"/>
        <v>lastblad</v>
      </c>
      <c r="J1886" t="str">
        <f t="shared" si="156"/>
        <v/>
      </c>
      <c r="L1886" t="str">
        <f t="shared" si="154"/>
        <v>NGM-2340</v>
      </c>
      <c r="M1886" t="str">
        <f t="shared" si="154"/>
        <v>19971205</v>
      </c>
      <c r="N1886">
        <f t="shared" si="154"/>
        <v>0</v>
      </c>
      <c r="O1886" t="str">
        <f t="shared" si="154"/>
        <v/>
      </c>
      <c r="P1886" t="str">
        <f t="shared" si="154"/>
        <v/>
      </c>
      <c r="T1886" t="str">
        <f t="shared" si="157"/>
        <v/>
      </c>
      <c r="V1886" t="str">
        <f t="shared" si="158"/>
        <v>MVS</v>
      </c>
      <c r="W1886" t="str">
        <f t="shared" si="158"/>
        <v>MVS,AES</v>
      </c>
      <c r="AH1886" t="s">
        <v>3006</v>
      </c>
      <c r="AI1886" t="s">
        <v>57</v>
      </c>
      <c r="AJ1886" t="s">
        <v>11</v>
      </c>
      <c r="AK1886" t="s">
        <v>3005</v>
      </c>
      <c r="AL1886" t="s">
        <v>3004</v>
      </c>
    </row>
    <row r="1887" spans="5:38" x14ac:dyDescent="0.25">
      <c r="I1887" t="str">
        <f t="shared" si="155"/>
        <v>lastblad</v>
      </c>
      <c r="J1887" t="str">
        <f t="shared" si="156"/>
        <v/>
      </c>
      <c r="L1887" t="str">
        <f t="shared" si="154"/>
        <v>NGM-2340</v>
      </c>
      <c r="M1887" t="str">
        <f t="shared" si="154"/>
        <v>19971205</v>
      </c>
      <c r="N1887">
        <f t="shared" si="154"/>
        <v>0</v>
      </c>
      <c r="O1887" t="str">
        <f t="shared" si="154"/>
        <v/>
      </c>
      <c r="P1887" t="str">
        <f t="shared" si="154"/>
        <v/>
      </c>
      <c r="T1887" t="str">
        <f t="shared" si="157"/>
        <v/>
      </c>
      <c r="V1887" t="str">
        <f t="shared" si="158"/>
        <v>MVS</v>
      </c>
      <c r="W1887" t="str">
        <f t="shared" si="158"/>
        <v>MVS,AES</v>
      </c>
      <c r="AH1887" t="s">
        <v>3003</v>
      </c>
      <c r="AI1887" t="s">
        <v>250</v>
      </c>
      <c r="AJ1887" t="s">
        <v>11</v>
      </c>
      <c r="AK1887" t="s">
        <v>3002</v>
      </c>
      <c r="AL1887" t="s">
        <v>3001</v>
      </c>
    </row>
    <row r="1888" spans="5:38" x14ac:dyDescent="0.25">
      <c r="I1888" t="str">
        <f t="shared" si="155"/>
        <v>lastblad</v>
      </c>
      <c r="J1888" t="str">
        <f t="shared" si="156"/>
        <v/>
      </c>
      <c r="L1888" t="str">
        <f t="shared" si="154"/>
        <v>NGM-2340</v>
      </c>
      <c r="M1888" t="str">
        <f t="shared" si="154"/>
        <v>19971205</v>
      </c>
      <c r="N1888">
        <f t="shared" si="154"/>
        <v>0</v>
      </c>
      <c r="O1888" t="str">
        <f t="shared" si="154"/>
        <v/>
      </c>
      <c r="P1888" t="str">
        <f t="shared" si="154"/>
        <v/>
      </c>
      <c r="T1888" t="str">
        <f t="shared" si="157"/>
        <v/>
      </c>
      <c r="V1888" t="str">
        <f t="shared" si="158"/>
        <v>MVS</v>
      </c>
      <c r="W1888" t="str">
        <f t="shared" si="158"/>
        <v>MVS,AES</v>
      </c>
      <c r="AB1888" t="s">
        <v>12</v>
      </c>
      <c r="AE1888" t="s">
        <v>620</v>
      </c>
      <c r="AG1888" t="s">
        <v>6</v>
      </c>
      <c r="AH1888" t="s">
        <v>3000</v>
      </c>
      <c r="AI1888" t="s">
        <v>9</v>
      </c>
      <c r="AJ1888" t="s">
        <v>57</v>
      </c>
      <c r="AK1888" t="s">
        <v>2999</v>
      </c>
      <c r="AL1888" t="s">
        <v>2998</v>
      </c>
    </row>
    <row r="1889" spans="5:44" x14ac:dyDescent="0.25">
      <c r="I1889" t="str">
        <f t="shared" si="155"/>
        <v>lastblad</v>
      </c>
      <c r="J1889" t="str">
        <f t="shared" si="156"/>
        <v/>
      </c>
      <c r="L1889" t="str">
        <f t="shared" si="154"/>
        <v>NGM-2340</v>
      </c>
      <c r="M1889" t="str">
        <f t="shared" si="154"/>
        <v>19971205</v>
      </c>
      <c r="N1889">
        <f t="shared" si="154"/>
        <v>0</v>
      </c>
      <c r="O1889" t="str">
        <f t="shared" si="154"/>
        <v/>
      </c>
      <c r="P1889" t="str">
        <f t="shared" si="154"/>
        <v/>
      </c>
      <c r="T1889" t="str">
        <f t="shared" si="157"/>
        <v/>
      </c>
      <c r="V1889" t="str">
        <f t="shared" si="158"/>
        <v>MVS</v>
      </c>
      <c r="W1889" t="str">
        <f t="shared" si="158"/>
        <v>MVS,AES</v>
      </c>
      <c r="AG1889" t="s">
        <v>6</v>
      </c>
      <c r="AH1889" t="s">
        <v>2997</v>
      </c>
      <c r="AI1889" t="s">
        <v>4</v>
      </c>
      <c r="AJ1889" t="s">
        <v>57</v>
      </c>
      <c r="AK1889" t="s">
        <v>2996</v>
      </c>
      <c r="AL1889" t="s">
        <v>2995</v>
      </c>
    </row>
    <row r="1890" spans="5:44" x14ac:dyDescent="0.25">
      <c r="I1890" t="str">
        <f t="shared" si="155"/>
        <v>lastblad</v>
      </c>
      <c r="J1890" t="str">
        <f t="shared" si="156"/>
        <v/>
      </c>
      <c r="L1890" t="str">
        <f t="shared" si="154"/>
        <v>NGM-2340</v>
      </c>
      <c r="M1890" t="str">
        <f t="shared" si="154"/>
        <v>19971205</v>
      </c>
      <c r="N1890">
        <f t="shared" si="154"/>
        <v>0</v>
      </c>
      <c r="O1890" t="str">
        <f t="shared" si="154"/>
        <v/>
      </c>
      <c r="P1890" t="str">
        <f t="shared" si="154"/>
        <v/>
      </c>
      <c r="T1890" t="str">
        <f t="shared" si="157"/>
        <v/>
      </c>
      <c r="V1890" t="str">
        <f t="shared" si="158"/>
        <v>MVS</v>
      </c>
      <c r="W1890" t="str">
        <f t="shared" si="158"/>
        <v>MVS,AES</v>
      </c>
      <c r="AG1890" t="s">
        <v>6</v>
      </c>
      <c r="AH1890" t="s">
        <v>2994</v>
      </c>
      <c r="AI1890" t="s">
        <v>65</v>
      </c>
      <c r="AJ1890" t="s">
        <v>57</v>
      </c>
      <c r="AK1890" t="s">
        <v>2993</v>
      </c>
      <c r="AL1890" t="s">
        <v>2992</v>
      </c>
    </row>
    <row r="1891" spans="5:44" x14ac:dyDescent="0.25">
      <c r="I1891" t="str">
        <f t="shared" si="155"/>
        <v>lastblad</v>
      </c>
      <c r="J1891" t="str">
        <f t="shared" si="156"/>
        <v/>
      </c>
      <c r="L1891" t="str">
        <f t="shared" si="154"/>
        <v>NGM-2340</v>
      </c>
      <c r="M1891" t="str">
        <f t="shared" si="154"/>
        <v>19971205</v>
      </c>
      <c r="N1891">
        <f t="shared" si="154"/>
        <v>0</v>
      </c>
      <c r="O1891" t="str">
        <f t="shared" si="154"/>
        <v/>
      </c>
      <c r="P1891" t="str">
        <f t="shared" si="154"/>
        <v/>
      </c>
      <c r="T1891" t="str">
        <f t="shared" si="157"/>
        <v/>
      </c>
      <c r="V1891" t="str">
        <f t="shared" si="158"/>
        <v>MVS</v>
      </c>
      <c r="W1891" t="str">
        <f t="shared" si="158"/>
        <v>MVS,AES</v>
      </c>
      <c r="AG1891" t="s">
        <v>6</v>
      </c>
      <c r="AH1891" t="s">
        <v>2991</v>
      </c>
      <c r="AI1891" t="s">
        <v>164</v>
      </c>
      <c r="AJ1891" t="s">
        <v>57</v>
      </c>
      <c r="AK1891" t="s">
        <v>2990</v>
      </c>
      <c r="AL1891" t="s">
        <v>2989</v>
      </c>
    </row>
    <row r="1892" spans="5:44" x14ac:dyDescent="0.25">
      <c r="I1892" t="str">
        <f t="shared" si="155"/>
        <v>lastblad</v>
      </c>
      <c r="J1892" t="str">
        <f t="shared" si="156"/>
        <v/>
      </c>
      <c r="L1892" t="str">
        <f t="shared" si="154"/>
        <v>NGM-2340</v>
      </c>
      <c r="M1892" t="str">
        <f t="shared" si="154"/>
        <v>19971205</v>
      </c>
      <c r="N1892">
        <f t="shared" si="154"/>
        <v>0</v>
      </c>
      <c r="O1892" t="str">
        <f t="shared" si="154"/>
        <v/>
      </c>
      <c r="P1892" t="str">
        <f t="shared" si="154"/>
        <v/>
      </c>
      <c r="T1892" t="str">
        <f t="shared" si="157"/>
        <v/>
      </c>
      <c r="V1892" t="str">
        <f t="shared" si="158"/>
        <v>MVS</v>
      </c>
      <c r="W1892" t="str">
        <f t="shared" si="158"/>
        <v>MVS,AES</v>
      </c>
      <c r="AG1892" t="s">
        <v>6</v>
      </c>
      <c r="AH1892" t="s">
        <v>2988</v>
      </c>
      <c r="AI1892" t="s">
        <v>160</v>
      </c>
      <c r="AJ1892" t="s">
        <v>11</v>
      </c>
      <c r="AK1892" t="s">
        <v>2987</v>
      </c>
      <c r="AL1892" t="s">
        <v>2986</v>
      </c>
    </row>
    <row r="1893" spans="5:44" x14ac:dyDescent="0.25">
      <c r="I1893" t="str">
        <f t="shared" si="155"/>
        <v>lastblad</v>
      </c>
      <c r="J1893" t="str">
        <f t="shared" si="156"/>
        <v/>
      </c>
      <c r="L1893" t="str">
        <f t="shared" si="154"/>
        <v>NGM-2340</v>
      </c>
      <c r="M1893" t="str">
        <f t="shared" si="154"/>
        <v>19971205</v>
      </c>
      <c r="N1893">
        <f t="shared" si="154"/>
        <v>0</v>
      </c>
      <c r="O1893" t="str">
        <f t="shared" si="154"/>
        <v/>
      </c>
      <c r="P1893" t="str">
        <f t="shared" si="154"/>
        <v/>
      </c>
      <c r="T1893" t="str">
        <f t="shared" si="157"/>
        <v/>
      </c>
      <c r="V1893" t="str">
        <f t="shared" si="158"/>
        <v>MVS</v>
      </c>
      <c r="W1893" t="str">
        <f t="shared" si="158"/>
        <v>MVS,AES</v>
      </c>
      <c r="AG1893" t="s">
        <v>6</v>
      </c>
      <c r="AH1893" t="s">
        <v>2985</v>
      </c>
      <c r="AI1893" t="s">
        <v>156</v>
      </c>
      <c r="AJ1893" t="s">
        <v>11</v>
      </c>
      <c r="AK1893" t="s">
        <v>2984</v>
      </c>
      <c r="AL1893" t="s">
        <v>2983</v>
      </c>
    </row>
    <row r="1894" spans="5:44" x14ac:dyDescent="0.25">
      <c r="E1894" t="s">
        <v>3035</v>
      </c>
      <c r="F1894" t="s">
        <v>3034</v>
      </c>
      <c r="G1894" t="s">
        <v>1145</v>
      </c>
      <c r="H1894" t="s">
        <v>1912</v>
      </c>
      <c r="I1894" t="str">
        <f t="shared" si="155"/>
        <v>lastbladh</v>
      </c>
      <c r="J1894" t="str">
        <f t="shared" si="156"/>
        <v>lastbladhserial</v>
      </c>
      <c r="K1894" t="s">
        <v>1373</v>
      </c>
      <c r="L1894" t="str">
        <f t="shared" si="154"/>
        <v>NGH-2340</v>
      </c>
      <c r="M1894" t="str">
        <f t="shared" si="154"/>
        <v>19900129</v>
      </c>
      <c r="N1894" t="str">
        <f t="shared" si="154"/>
        <v>幕末浪漫 月華の剣士</v>
      </c>
      <c r="O1894" t="str">
        <f t="shared" si="154"/>
        <v/>
      </c>
      <c r="P1894" t="str">
        <f t="shared" si="154"/>
        <v/>
      </c>
      <c r="Q1894" t="s">
        <v>3033</v>
      </c>
      <c r="S1894" t="s">
        <v>46</v>
      </c>
      <c r="T1894" t="str">
        <f t="shared" si="157"/>
        <v>lastbladhrelease</v>
      </c>
      <c r="U1894" t="s">
        <v>35</v>
      </c>
      <c r="V1894" t="str">
        <f t="shared" si="158"/>
        <v>AES</v>
      </c>
      <c r="W1894" t="str">
        <f t="shared" si="158"/>
        <v>MVS,AES</v>
      </c>
      <c r="Y1894" t="s">
        <v>45</v>
      </c>
      <c r="Z1894" t="s">
        <v>44</v>
      </c>
      <c r="AB1894" t="s">
        <v>43</v>
      </c>
      <c r="AC1894" t="s">
        <v>42</v>
      </c>
      <c r="AD1894" t="s">
        <v>41</v>
      </c>
      <c r="AE1894" t="s">
        <v>23</v>
      </c>
      <c r="AG1894" t="s">
        <v>40</v>
      </c>
      <c r="AH1894" t="s">
        <v>3032</v>
      </c>
      <c r="AI1894" t="s">
        <v>9</v>
      </c>
      <c r="AJ1894" t="s">
        <v>15</v>
      </c>
      <c r="AK1894" t="s">
        <v>3031</v>
      </c>
      <c r="AL1894" t="s">
        <v>3030</v>
      </c>
      <c r="AR1894" t="s">
        <v>3022</v>
      </c>
    </row>
    <row r="1895" spans="5:44" x14ac:dyDescent="0.25">
      <c r="I1895" t="str">
        <f t="shared" si="155"/>
        <v>lastbladh</v>
      </c>
      <c r="J1895" t="str">
        <f t="shared" si="156"/>
        <v>lastbladhrelease</v>
      </c>
      <c r="K1895" t="s">
        <v>46</v>
      </c>
      <c r="L1895" t="str">
        <f t="shared" si="154"/>
        <v>NGH-2340</v>
      </c>
      <c r="M1895" t="str">
        <f t="shared" si="154"/>
        <v>19900129</v>
      </c>
      <c r="N1895" t="str">
        <f t="shared" si="154"/>
        <v>幕末浪漫 月華の剣士</v>
      </c>
      <c r="O1895" t="str">
        <f t="shared" si="154"/>
        <v/>
      </c>
      <c r="P1895" t="str">
        <f t="shared" si="154"/>
        <v/>
      </c>
      <c r="Q1895" t="s">
        <v>3029</v>
      </c>
      <c r="T1895" t="str">
        <f t="shared" si="157"/>
        <v/>
      </c>
      <c r="V1895" t="str">
        <f t="shared" si="158"/>
        <v>AES</v>
      </c>
      <c r="W1895" t="str">
        <f t="shared" si="158"/>
        <v>MVS,AES</v>
      </c>
      <c r="AG1895" t="s">
        <v>40</v>
      </c>
      <c r="AH1895" t="s">
        <v>3021</v>
      </c>
      <c r="AI1895" t="s">
        <v>15</v>
      </c>
      <c r="AJ1895" t="s">
        <v>11</v>
      </c>
      <c r="AK1895" t="s">
        <v>3020</v>
      </c>
      <c r="AL1895" t="s">
        <v>3019</v>
      </c>
    </row>
    <row r="1896" spans="5:44" x14ac:dyDescent="0.25">
      <c r="I1896" t="str">
        <f t="shared" si="155"/>
        <v>lastbladh</v>
      </c>
      <c r="J1896" t="str">
        <f t="shared" si="156"/>
        <v>lastbladhalt_title</v>
      </c>
      <c r="K1896" t="s">
        <v>1218</v>
      </c>
      <c r="L1896" t="str">
        <f t="shared" si="154"/>
        <v>NGH-2340</v>
      </c>
      <c r="M1896" t="str">
        <f t="shared" si="154"/>
        <v>19900129</v>
      </c>
      <c r="N1896" t="str">
        <f t="shared" si="154"/>
        <v>幕末浪漫 月華の剣士</v>
      </c>
      <c r="O1896" t="str">
        <f t="shared" si="154"/>
        <v/>
      </c>
      <c r="P1896" t="str">
        <f t="shared" si="154"/>
        <v/>
      </c>
      <c r="Q1896" t="s">
        <v>3028</v>
      </c>
      <c r="T1896" t="str">
        <f t="shared" si="157"/>
        <v/>
      </c>
      <c r="V1896" t="str">
        <f t="shared" si="158"/>
        <v>AES</v>
      </c>
      <c r="W1896" t="str">
        <f t="shared" si="158"/>
        <v>MVS,AES</v>
      </c>
      <c r="AB1896" t="s">
        <v>34</v>
      </c>
      <c r="AE1896" t="s">
        <v>33</v>
      </c>
      <c r="AH1896" t="s">
        <v>3018</v>
      </c>
      <c r="AI1896" t="s">
        <v>9</v>
      </c>
      <c r="AJ1896" t="s">
        <v>27</v>
      </c>
      <c r="AK1896" t="s">
        <v>3017</v>
      </c>
      <c r="AL1896" t="s">
        <v>3016</v>
      </c>
    </row>
    <row r="1897" spans="5:44" x14ac:dyDescent="0.25">
      <c r="I1897" t="str">
        <f t="shared" si="155"/>
        <v>lastbladh</v>
      </c>
      <c r="J1897" t="str">
        <f t="shared" si="156"/>
        <v/>
      </c>
      <c r="L1897" t="str">
        <f t="shared" si="154"/>
        <v>NGH-2340</v>
      </c>
      <c r="M1897" t="str">
        <f t="shared" si="154"/>
        <v>19900129</v>
      </c>
      <c r="N1897" t="str">
        <f t="shared" si="154"/>
        <v>幕末浪漫 月華の剣士</v>
      </c>
      <c r="O1897" t="str">
        <f t="shared" si="154"/>
        <v/>
      </c>
      <c r="P1897" t="str">
        <f t="shared" si="154"/>
        <v/>
      </c>
      <c r="S1897" t="s">
        <v>36</v>
      </c>
      <c r="T1897" t="str">
        <f t="shared" si="157"/>
        <v>lastbladhcompatibility</v>
      </c>
      <c r="U1897" t="s">
        <v>218</v>
      </c>
      <c r="V1897" t="str">
        <f t="shared" si="158"/>
        <v>AES</v>
      </c>
      <c r="W1897" t="str">
        <f t="shared" si="158"/>
        <v>MVS,AES</v>
      </c>
      <c r="AB1897" t="s">
        <v>29</v>
      </c>
      <c r="AE1897" t="s">
        <v>27</v>
      </c>
      <c r="AH1897" t="s">
        <v>3015</v>
      </c>
      <c r="AI1897" t="s">
        <v>9</v>
      </c>
      <c r="AJ1897" t="s">
        <v>27</v>
      </c>
      <c r="AK1897" t="s">
        <v>3014</v>
      </c>
      <c r="AL1897" t="s">
        <v>3013</v>
      </c>
    </row>
    <row r="1898" spans="5:44" x14ac:dyDescent="0.25">
      <c r="I1898" t="str">
        <f t="shared" si="155"/>
        <v>lastbladh</v>
      </c>
      <c r="J1898" t="str">
        <f t="shared" si="156"/>
        <v/>
      </c>
      <c r="L1898" t="str">
        <f t="shared" si="154"/>
        <v>NGH-2340</v>
      </c>
      <c r="M1898" t="str">
        <f t="shared" si="154"/>
        <v>19900129</v>
      </c>
      <c r="N1898" t="str">
        <f t="shared" si="154"/>
        <v>幕末浪漫 月華の剣士</v>
      </c>
      <c r="O1898" t="str">
        <f t="shared" si="154"/>
        <v/>
      </c>
      <c r="P1898" t="str">
        <f t="shared" si="154"/>
        <v/>
      </c>
      <c r="T1898" t="str">
        <f t="shared" si="157"/>
        <v/>
      </c>
      <c r="V1898" t="str">
        <f t="shared" si="158"/>
        <v>AES</v>
      </c>
      <c r="W1898" t="str">
        <f t="shared" si="158"/>
        <v>MVS,AES</v>
      </c>
      <c r="AB1898" t="s">
        <v>24</v>
      </c>
      <c r="AE1898" t="s">
        <v>65</v>
      </c>
      <c r="AH1898" t="s">
        <v>3012</v>
      </c>
      <c r="AI1898" t="s">
        <v>9</v>
      </c>
      <c r="AJ1898" t="s">
        <v>11</v>
      </c>
      <c r="AK1898" t="s">
        <v>3011</v>
      </c>
      <c r="AL1898" t="s">
        <v>3010</v>
      </c>
    </row>
    <row r="1899" spans="5:44" x14ac:dyDescent="0.25">
      <c r="I1899" t="str">
        <f t="shared" si="155"/>
        <v>lastbladh</v>
      </c>
      <c r="J1899" t="str">
        <f t="shared" si="156"/>
        <v/>
      </c>
      <c r="L1899" t="str">
        <f t="shared" si="154"/>
        <v>NGH-2340</v>
      </c>
      <c r="M1899" t="str">
        <f t="shared" si="154"/>
        <v>19900129</v>
      </c>
      <c r="N1899" t="str">
        <f t="shared" si="154"/>
        <v>幕末浪漫 月華の剣士</v>
      </c>
      <c r="O1899" t="str">
        <f t="shared" si="154"/>
        <v/>
      </c>
      <c r="P1899" t="str">
        <f t="shared" si="154"/>
        <v/>
      </c>
      <c r="T1899" t="str">
        <f t="shared" si="157"/>
        <v/>
      </c>
      <c r="V1899" t="str">
        <f t="shared" si="158"/>
        <v>AES</v>
      </c>
      <c r="W1899" t="str">
        <f t="shared" si="158"/>
        <v>MVS,AES</v>
      </c>
      <c r="AH1899" t="s">
        <v>3009</v>
      </c>
      <c r="AI1899" t="s">
        <v>11</v>
      </c>
      <c r="AJ1899" t="s">
        <v>11</v>
      </c>
      <c r="AK1899" t="s">
        <v>3008</v>
      </c>
      <c r="AL1899" t="s">
        <v>3007</v>
      </c>
    </row>
    <row r="1900" spans="5:44" x14ac:dyDescent="0.25">
      <c r="I1900" t="str">
        <f t="shared" si="155"/>
        <v>lastbladh</v>
      </c>
      <c r="J1900" t="str">
        <f t="shared" si="156"/>
        <v/>
      </c>
      <c r="L1900" t="str">
        <f t="shared" si="154"/>
        <v>NGH-2340</v>
      </c>
      <c r="M1900" t="str">
        <f t="shared" si="154"/>
        <v>19900129</v>
      </c>
      <c r="N1900" t="str">
        <f t="shared" si="154"/>
        <v>幕末浪漫 月華の剣士</v>
      </c>
      <c r="O1900" t="str">
        <f t="shared" si="154"/>
        <v/>
      </c>
      <c r="P1900" t="str">
        <f t="shared" si="154"/>
        <v/>
      </c>
      <c r="T1900" t="str">
        <f t="shared" si="157"/>
        <v/>
      </c>
      <c r="V1900" t="str">
        <f t="shared" si="158"/>
        <v>AES</v>
      </c>
      <c r="W1900" t="str">
        <f t="shared" si="158"/>
        <v>MVS,AES</v>
      </c>
      <c r="AH1900" t="s">
        <v>3006</v>
      </c>
      <c r="AI1900" t="s">
        <v>57</v>
      </c>
      <c r="AJ1900" t="s">
        <v>11</v>
      </c>
      <c r="AK1900" t="s">
        <v>3005</v>
      </c>
      <c r="AL1900" t="s">
        <v>3004</v>
      </c>
    </row>
    <row r="1901" spans="5:44" x14ac:dyDescent="0.25">
      <c r="I1901" t="str">
        <f t="shared" si="155"/>
        <v>lastbladh</v>
      </c>
      <c r="J1901" t="str">
        <f t="shared" si="156"/>
        <v/>
      </c>
      <c r="L1901" t="str">
        <f t="shared" si="154"/>
        <v>NGH-2340</v>
      </c>
      <c r="M1901" t="str">
        <f t="shared" si="154"/>
        <v>19900129</v>
      </c>
      <c r="N1901" t="str">
        <f t="shared" si="154"/>
        <v>幕末浪漫 月華の剣士</v>
      </c>
      <c r="O1901" t="str">
        <f t="shared" si="154"/>
        <v/>
      </c>
      <c r="P1901" t="str">
        <f t="shared" si="154"/>
        <v/>
      </c>
      <c r="T1901" t="str">
        <f t="shared" si="157"/>
        <v/>
      </c>
      <c r="V1901" t="str">
        <f t="shared" si="158"/>
        <v>AES</v>
      </c>
      <c r="W1901" t="str">
        <f t="shared" si="158"/>
        <v>MVS,AES</v>
      </c>
      <c r="AH1901" t="s">
        <v>3003</v>
      </c>
      <c r="AI1901" t="s">
        <v>250</v>
      </c>
      <c r="AJ1901" t="s">
        <v>11</v>
      </c>
      <c r="AK1901" t="s">
        <v>3002</v>
      </c>
      <c r="AL1901" t="s">
        <v>3001</v>
      </c>
    </row>
    <row r="1902" spans="5:44" x14ac:dyDescent="0.25">
      <c r="I1902" t="str">
        <f t="shared" si="155"/>
        <v>lastbladh</v>
      </c>
      <c r="J1902" t="str">
        <f t="shared" si="156"/>
        <v/>
      </c>
      <c r="L1902" t="str">
        <f t="shared" ref="L1902:P1952" si="159">IFERROR(VLOOKUP($I1902&amp;L$1,$J:$Q,8,0),"")</f>
        <v>NGH-2340</v>
      </c>
      <c r="M1902" t="str">
        <f t="shared" si="159"/>
        <v>19900129</v>
      </c>
      <c r="N1902" t="str">
        <f t="shared" si="159"/>
        <v>幕末浪漫 月華の剣士</v>
      </c>
      <c r="O1902" t="str">
        <f t="shared" si="159"/>
        <v/>
      </c>
      <c r="P1902" t="str">
        <f t="shared" si="159"/>
        <v/>
      </c>
      <c r="T1902" t="str">
        <f t="shared" si="157"/>
        <v/>
      </c>
      <c r="V1902" t="str">
        <f t="shared" si="158"/>
        <v>AES</v>
      </c>
      <c r="W1902" t="str">
        <f t="shared" si="158"/>
        <v>MVS,AES</v>
      </c>
      <c r="AB1902" t="s">
        <v>12</v>
      </c>
      <c r="AE1902" t="s">
        <v>620</v>
      </c>
      <c r="AG1902" t="s">
        <v>6</v>
      </c>
      <c r="AH1902" t="s">
        <v>3000</v>
      </c>
      <c r="AI1902" t="s">
        <v>9</v>
      </c>
      <c r="AJ1902" t="s">
        <v>57</v>
      </c>
      <c r="AK1902" t="s">
        <v>2999</v>
      </c>
      <c r="AL1902" t="s">
        <v>2998</v>
      </c>
    </row>
    <row r="1903" spans="5:44" x14ac:dyDescent="0.25">
      <c r="I1903" t="str">
        <f t="shared" si="155"/>
        <v>lastbladh</v>
      </c>
      <c r="J1903" t="str">
        <f t="shared" si="156"/>
        <v/>
      </c>
      <c r="L1903" t="str">
        <f t="shared" si="159"/>
        <v>NGH-2340</v>
      </c>
      <c r="M1903" t="str">
        <f t="shared" si="159"/>
        <v>19900129</v>
      </c>
      <c r="N1903" t="str">
        <f t="shared" si="159"/>
        <v>幕末浪漫 月華の剣士</v>
      </c>
      <c r="O1903" t="str">
        <f t="shared" si="159"/>
        <v/>
      </c>
      <c r="P1903" t="str">
        <f t="shared" si="159"/>
        <v/>
      </c>
      <c r="T1903" t="str">
        <f t="shared" si="157"/>
        <v/>
      </c>
      <c r="V1903" t="str">
        <f t="shared" si="158"/>
        <v>AES</v>
      </c>
      <c r="W1903" t="str">
        <f t="shared" si="158"/>
        <v>MVS,AES</v>
      </c>
      <c r="AG1903" t="s">
        <v>6</v>
      </c>
      <c r="AH1903" t="s">
        <v>2997</v>
      </c>
      <c r="AI1903" t="s">
        <v>4</v>
      </c>
      <c r="AJ1903" t="s">
        <v>57</v>
      </c>
      <c r="AK1903" t="s">
        <v>2996</v>
      </c>
      <c r="AL1903" t="s">
        <v>2995</v>
      </c>
    </row>
    <row r="1904" spans="5:44" x14ac:dyDescent="0.25">
      <c r="I1904" t="str">
        <f t="shared" si="155"/>
        <v>lastbladh</v>
      </c>
      <c r="J1904" t="str">
        <f t="shared" si="156"/>
        <v/>
      </c>
      <c r="L1904" t="str">
        <f t="shared" si="159"/>
        <v>NGH-2340</v>
      </c>
      <c r="M1904" t="str">
        <f t="shared" si="159"/>
        <v>19900129</v>
      </c>
      <c r="N1904" t="str">
        <f t="shared" si="159"/>
        <v>幕末浪漫 月華の剣士</v>
      </c>
      <c r="O1904" t="str">
        <f t="shared" si="159"/>
        <v/>
      </c>
      <c r="P1904" t="str">
        <f t="shared" si="159"/>
        <v/>
      </c>
      <c r="T1904" t="str">
        <f t="shared" si="157"/>
        <v/>
      </c>
      <c r="V1904" t="str">
        <f t="shared" si="158"/>
        <v>AES</v>
      </c>
      <c r="W1904" t="str">
        <f t="shared" si="158"/>
        <v>MVS,AES</v>
      </c>
      <c r="AG1904" t="s">
        <v>6</v>
      </c>
      <c r="AH1904" t="s">
        <v>2994</v>
      </c>
      <c r="AI1904" t="s">
        <v>65</v>
      </c>
      <c r="AJ1904" t="s">
        <v>57</v>
      </c>
      <c r="AK1904" t="s">
        <v>2993</v>
      </c>
      <c r="AL1904" t="s">
        <v>2992</v>
      </c>
    </row>
    <row r="1905" spans="5:44" x14ac:dyDescent="0.25">
      <c r="I1905" t="str">
        <f t="shared" si="155"/>
        <v>lastbladh</v>
      </c>
      <c r="J1905" t="str">
        <f t="shared" si="156"/>
        <v/>
      </c>
      <c r="L1905" t="str">
        <f t="shared" si="159"/>
        <v>NGH-2340</v>
      </c>
      <c r="M1905" t="str">
        <f t="shared" si="159"/>
        <v>19900129</v>
      </c>
      <c r="N1905" t="str">
        <f t="shared" si="159"/>
        <v>幕末浪漫 月華の剣士</v>
      </c>
      <c r="O1905" t="str">
        <f t="shared" si="159"/>
        <v/>
      </c>
      <c r="P1905" t="str">
        <f t="shared" si="159"/>
        <v/>
      </c>
      <c r="T1905" t="str">
        <f t="shared" si="157"/>
        <v/>
      </c>
      <c r="V1905" t="str">
        <f t="shared" si="158"/>
        <v>AES</v>
      </c>
      <c r="W1905" t="str">
        <f t="shared" si="158"/>
        <v>MVS,AES</v>
      </c>
      <c r="AG1905" t="s">
        <v>6</v>
      </c>
      <c r="AH1905" t="s">
        <v>2991</v>
      </c>
      <c r="AI1905" t="s">
        <v>164</v>
      </c>
      <c r="AJ1905" t="s">
        <v>57</v>
      </c>
      <c r="AK1905" t="s">
        <v>2990</v>
      </c>
      <c r="AL1905" t="s">
        <v>2989</v>
      </c>
    </row>
    <row r="1906" spans="5:44" x14ac:dyDescent="0.25">
      <c r="I1906" t="str">
        <f t="shared" si="155"/>
        <v>lastbladh</v>
      </c>
      <c r="J1906" t="str">
        <f t="shared" si="156"/>
        <v/>
      </c>
      <c r="L1906" t="str">
        <f t="shared" si="159"/>
        <v>NGH-2340</v>
      </c>
      <c r="M1906" t="str">
        <f t="shared" si="159"/>
        <v>19900129</v>
      </c>
      <c r="N1906" t="str">
        <f t="shared" si="159"/>
        <v>幕末浪漫 月華の剣士</v>
      </c>
      <c r="O1906" t="str">
        <f t="shared" si="159"/>
        <v/>
      </c>
      <c r="P1906" t="str">
        <f t="shared" si="159"/>
        <v/>
      </c>
      <c r="T1906" t="str">
        <f t="shared" si="157"/>
        <v/>
      </c>
      <c r="V1906" t="str">
        <f t="shared" si="158"/>
        <v>AES</v>
      </c>
      <c r="W1906" t="str">
        <f t="shared" si="158"/>
        <v>MVS,AES</v>
      </c>
      <c r="AG1906" t="s">
        <v>6</v>
      </c>
      <c r="AH1906" t="s">
        <v>2988</v>
      </c>
      <c r="AI1906" t="s">
        <v>160</v>
      </c>
      <c r="AJ1906" t="s">
        <v>11</v>
      </c>
      <c r="AK1906" t="s">
        <v>2987</v>
      </c>
      <c r="AL1906" t="s">
        <v>2986</v>
      </c>
    </row>
    <row r="1907" spans="5:44" x14ac:dyDescent="0.25">
      <c r="I1907" t="str">
        <f t="shared" si="155"/>
        <v>lastbladh</v>
      </c>
      <c r="J1907" t="str">
        <f t="shared" si="156"/>
        <v/>
      </c>
      <c r="L1907" t="str">
        <f t="shared" si="159"/>
        <v>NGH-2340</v>
      </c>
      <c r="M1907" t="str">
        <f t="shared" si="159"/>
        <v>19900129</v>
      </c>
      <c r="N1907" t="str">
        <f t="shared" si="159"/>
        <v>幕末浪漫 月華の剣士</v>
      </c>
      <c r="O1907" t="str">
        <f t="shared" si="159"/>
        <v/>
      </c>
      <c r="P1907" t="str">
        <f t="shared" si="159"/>
        <v/>
      </c>
      <c r="T1907" t="str">
        <f t="shared" si="157"/>
        <v/>
      </c>
      <c r="V1907" t="str">
        <f t="shared" si="158"/>
        <v>AES</v>
      </c>
      <c r="W1907" t="str">
        <f t="shared" si="158"/>
        <v>MVS,AES</v>
      </c>
      <c r="AG1907" t="s">
        <v>6</v>
      </c>
      <c r="AH1907" t="s">
        <v>2985</v>
      </c>
      <c r="AI1907" t="s">
        <v>156</v>
      </c>
      <c r="AJ1907" t="s">
        <v>11</v>
      </c>
      <c r="AK1907" t="s">
        <v>2984</v>
      </c>
      <c r="AL1907" t="s">
        <v>2983</v>
      </c>
    </row>
    <row r="1908" spans="5:44" x14ac:dyDescent="0.25">
      <c r="E1908" t="s">
        <v>3027</v>
      </c>
      <c r="F1908" t="s">
        <v>3026</v>
      </c>
      <c r="G1908" t="s">
        <v>1145</v>
      </c>
      <c r="H1908" t="s">
        <v>1912</v>
      </c>
      <c r="I1908" t="str">
        <f t="shared" si="155"/>
        <v>lastsold</v>
      </c>
      <c r="J1908" t="str">
        <f t="shared" si="156"/>
        <v/>
      </c>
      <c r="L1908" t="str">
        <f t="shared" si="159"/>
        <v/>
      </c>
      <c r="M1908" t="str">
        <f t="shared" si="159"/>
        <v/>
      </c>
      <c r="N1908" t="str">
        <f t="shared" si="159"/>
        <v/>
      </c>
      <c r="O1908" t="str">
        <f t="shared" si="159"/>
        <v/>
      </c>
      <c r="P1908" t="str">
        <f t="shared" si="159"/>
        <v/>
      </c>
      <c r="S1908" t="s">
        <v>46</v>
      </c>
      <c r="T1908" t="str">
        <f t="shared" si="157"/>
        <v>lastsoldrelease</v>
      </c>
      <c r="U1908" t="s">
        <v>106</v>
      </c>
      <c r="V1908" t="str">
        <f t="shared" si="158"/>
        <v>MVS</v>
      </c>
      <c r="W1908" t="str">
        <f t="shared" si="158"/>
        <v>MVS,AES</v>
      </c>
      <c r="Y1908" t="s">
        <v>45</v>
      </c>
      <c r="Z1908" t="s">
        <v>44</v>
      </c>
      <c r="AB1908" t="s">
        <v>43</v>
      </c>
      <c r="AC1908" t="s">
        <v>42</v>
      </c>
      <c r="AD1908" t="s">
        <v>41</v>
      </c>
      <c r="AE1908" t="s">
        <v>23</v>
      </c>
      <c r="AG1908" t="s">
        <v>40</v>
      </c>
      <c r="AH1908" t="s">
        <v>3025</v>
      </c>
      <c r="AI1908" t="s">
        <v>9</v>
      </c>
      <c r="AJ1908" t="s">
        <v>15</v>
      </c>
      <c r="AK1908" t="s">
        <v>3024</v>
      </c>
      <c r="AL1908" t="s">
        <v>3023</v>
      </c>
      <c r="AR1908" t="s">
        <v>3022</v>
      </c>
    </row>
    <row r="1909" spans="5:44" x14ac:dyDescent="0.25">
      <c r="I1909" t="str">
        <f t="shared" si="155"/>
        <v>lastsold</v>
      </c>
      <c r="J1909" t="str">
        <f t="shared" si="156"/>
        <v/>
      </c>
      <c r="L1909" t="str">
        <f t="shared" si="159"/>
        <v/>
      </c>
      <c r="M1909" t="str">
        <f t="shared" si="159"/>
        <v/>
      </c>
      <c r="N1909" t="str">
        <f t="shared" si="159"/>
        <v/>
      </c>
      <c r="O1909" t="str">
        <f t="shared" si="159"/>
        <v/>
      </c>
      <c r="P1909" t="str">
        <f t="shared" si="159"/>
        <v/>
      </c>
      <c r="S1909" t="s">
        <v>36</v>
      </c>
      <c r="T1909" t="str">
        <f t="shared" si="157"/>
        <v>lastsoldcompatibility</v>
      </c>
      <c r="U1909" t="s">
        <v>218</v>
      </c>
      <c r="V1909" t="str">
        <f t="shared" si="158"/>
        <v>MVS</v>
      </c>
      <c r="W1909" t="str">
        <f t="shared" si="158"/>
        <v>MVS,AES</v>
      </c>
      <c r="AG1909" t="s">
        <v>40</v>
      </c>
      <c r="AH1909" t="s">
        <v>3021</v>
      </c>
      <c r="AI1909" t="s">
        <v>15</v>
      </c>
      <c r="AJ1909" t="s">
        <v>11</v>
      </c>
      <c r="AK1909" t="s">
        <v>3020</v>
      </c>
      <c r="AL1909" t="s">
        <v>3019</v>
      </c>
    </row>
    <row r="1910" spans="5:44" x14ac:dyDescent="0.25">
      <c r="I1910" t="str">
        <f t="shared" si="155"/>
        <v>lastsold</v>
      </c>
      <c r="J1910" t="str">
        <f t="shared" si="156"/>
        <v/>
      </c>
      <c r="L1910" t="str">
        <f t="shared" si="159"/>
        <v/>
      </c>
      <c r="M1910" t="str">
        <f t="shared" si="159"/>
        <v/>
      </c>
      <c r="N1910" t="str">
        <f t="shared" si="159"/>
        <v/>
      </c>
      <c r="O1910" t="str">
        <f t="shared" si="159"/>
        <v/>
      </c>
      <c r="P1910" t="str">
        <f t="shared" si="159"/>
        <v/>
      </c>
      <c r="T1910" t="str">
        <f t="shared" si="157"/>
        <v/>
      </c>
      <c r="V1910" t="str">
        <f t="shared" si="158"/>
        <v>MVS</v>
      </c>
      <c r="W1910" t="str">
        <f t="shared" si="158"/>
        <v>MVS,AES</v>
      </c>
      <c r="AB1910" t="s">
        <v>34</v>
      </c>
      <c r="AE1910" t="s">
        <v>33</v>
      </c>
      <c r="AH1910" t="s">
        <v>3018</v>
      </c>
      <c r="AI1910" t="s">
        <v>9</v>
      </c>
      <c r="AJ1910" t="s">
        <v>27</v>
      </c>
      <c r="AK1910" t="s">
        <v>3017</v>
      </c>
      <c r="AL1910" t="s">
        <v>3016</v>
      </c>
    </row>
    <row r="1911" spans="5:44" x14ac:dyDescent="0.25">
      <c r="I1911" t="str">
        <f t="shared" si="155"/>
        <v>lastsold</v>
      </c>
      <c r="J1911" t="str">
        <f t="shared" si="156"/>
        <v/>
      </c>
      <c r="L1911" t="str">
        <f t="shared" si="159"/>
        <v/>
      </c>
      <c r="M1911" t="str">
        <f t="shared" si="159"/>
        <v/>
      </c>
      <c r="N1911" t="str">
        <f t="shared" si="159"/>
        <v/>
      </c>
      <c r="O1911" t="str">
        <f t="shared" si="159"/>
        <v/>
      </c>
      <c r="P1911" t="str">
        <f t="shared" si="159"/>
        <v/>
      </c>
      <c r="T1911" t="str">
        <f t="shared" si="157"/>
        <v/>
      </c>
      <c r="V1911" t="str">
        <f t="shared" si="158"/>
        <v>MVS</v>
      </c>
      <c r="W1911" t="str">
        <f t="shared" si="158"/>
        <v>MVS,AES</v>
      </c>
      <c r="AB1911" t="s">
        <v>29</v>
      </c>
      <c r="AE1911" t="s">
        <v>27</v>
      </c>
      <c r="AH1911" t="s">
        <v>3015</v>
      </c>
      <c r="AI1911" t="s">
        <v>9</v>
      </c>
      <c r="AJ1911" t="s">
        <v>27</v>
      </c>
      <c r="AK1911" t="s">
        <v>3014</v>
      </c>
      <c r="AL1911" t="s">
        <v>3013</v>
      </c>
    </row>
    <row r="1912" spans="5:44" x14ac:dyDescent="0.25">
      <c r="I1912" t="str">
        <f t="shared" si="155"/>
        <v>lastsold</v>
      </c>
      <c r="J1912" t="str">
        <f t="shared" si="156"/>
        <v/>
      </c>
      <c r="L1912" t="str">
        <f t="shared" si="159"/>
        <v/>
      </c>
      <c r="M1912" t="str">
        <f t="shared" si="159"/>
        <v/>
      </c>
      <c r="N1912" t="str">
        <f t="shared" si="159"/>
        <v/>
      </c>
      <c r="O1912" t="str">
        <f t="shared" si="159"/>
        <v/>
      </c>
      <c r="P1912" t="str">
        <f t="shared" si="159"/>
        <v/>
      </c>
      <c r="T1912" t="str">
        <f t="shared" si="157"/>
        <v/>
      </c>
      <c r="V1912" t="str">
        <f t="shared" si="158"/>
        <v>MVS</v>
      </c>
      <c r="W1912" t="str">
        <f t="shared" si="158"/>
        <v>MVS,AES</v>
      </c>
      <c r="AB1912" t="s">
        <v>24</v>
      </c>
      <c r="AE1912" t="s">
        <v>65</v>
      </c>
      <c r="AH1912" t="s">
        <v>3012</v>
      </c>
      <c r="AI1912" t="s">
        <v>9</v>
      </c>
      <c r="AJ1912" t="s">
        <v>11</v>
      </c>
      <c r="AK1912" t="s">
        <v>3011</v>
      </c>
      <c r="AL1912" t="s">
        <v>3010</v>
      </c>
    </row>
    <row r="1913" spans="5:44" x14ac:dyDescent="0.25">
      <c r="I1913" t="str">
        <f t="shared" si="155"/>
        <v>lastsold</v>
      </c>
      <c r="J1913" t="str">
        <f t="shared" si="156"/>
        <v/>
      </c>
      <c r="L1913" t="str">
        <f t="shared" si="159"/>
        <v/>
      </c>
      <c r="M1913" t="str">
        <f t="shared" si="159"/>
        <v/>
      </c>
      <c r="N1913" t="str">
        <f t="shared" si="159"/>
        <v/>
      </c>
      <c r="O1913" t="str">
        <f t="shared" si="159"/>
        <v/>
      </c>
      <c r="P1913" t="str">
        <f t="shared" si="159"/>
        <v/>
      </c>
      <c r="T1913" t="str">
        <f t="shared" si="157"/>
        <v/>
      </c>
      <c r="V1913" t="str">
        <f t="shared" si="158"/>
        <v>MVS</v>
      </c>
      <c r="W1913" t="str">
        <f t="shared" si="158"/>
        <v>MVS,AES</v>
      </c>
      <c r="AH1913" t="s">
        <v>3009</v>
      </c>
      <c r="AI1913" t="s">
        <v>11</v>
      </c>
      <c r="AJ1913" t="s">
        <v>11</v>
      </c>
      <c r="AK1913" t="s">
        <v>3008</v>
      </c>
      <c r="AL1913" t="s">
        <v>3007</v>
      </c>
    </row>
    <row r="1914" spans="5:44" x14ac:dyDescent="0.25">
      <c r="I1914" t="str">
        <f t="shared" si="155"/>
        <v>lastsold</v>
      </c>
      <c r="J1914" t="str">
        <f t="shared" si="156"/>
        <v/>
      </c>
      <c r="L1914" t="str">
        <f t="shared" si="159"/>
        <v/>
      </c>
      <c r="M1914" t="str">
        <f t="shared" si="159"/>
        <v/>
      </c>
      <c r="N1914" t="str">
        <f t="shared" si="159"/>
        <v/>
      </c>
      <c r="O1914" t="str">
        <f t="shared" si="159"/>
        <v/>
      </c>
      <c r="P1914" t="str">
        <f t="shared" si="159"/>
        <v/>
      </c>
      <c r="T1914" t="str">
        <f t="shared" si="157"/>
        <v/>
      </c>
      <c r="V1914" t="str">
        <f t="shared" si="158"/>
        <v>MVS</v>
      </c>
      <c r="W1914" t="str">
        <f t="shared" si="158"/>
        <v>MVS,AES</v>
      </c>
      <c r="AH1914" t="s">
        <v>3006</v>
      </c>
      <c r="AI1914" t="s">
        <v>57</v>
      </c>
      <c r="AJ1914" t="s">
        <v>11</v>
      </c>
      <c r="AK1914" t="s">
        <v>3005</v>
      </c>
      <c r="AL1914" t="s">
        <v>3004</v>
      </c>
    </row>
    <row r="1915" spans="5:44" x14ac:dyDescent="0.25">
      <c r="I1915" t="str">
        <f t="shared" si="155"/>
        <v>lastsold</v>
      </c>
      <c r="J1915" t="str">
        <f t="shared" si="156"/>
        <v/>
      </c>
      <c r="L1915" t="str">
        <f t="shared" si="159"/>
        <v/>
      </c>
      <c r="M1915" t="str">
        <f t="shared" si="159"/>
        <v/>
      </c>
      <c r="N1915" t="str">
        <f t="shared" si="159"/>
        <v/>
      </c>
      <c r="O1915" t="str">
        <f t="shared" si="159"/>
        <v/>
      </c>
      <c r="P1915" t="str">
        <f t="shared" si="159"/>
        <v/>
      </c>
      <c r="T1915" t="str">
        <f t="shared" si="157"/>
        <v/>
      </c>
      <c r="V1915" t="str">
        <f t="shared" si="158"/>
        <v>MVS</v>
      </c>
      <c r="W1915" t="str">
        <f t="shared" si="158"/>
        <v>MVS,AES</v>
      </c>
      <c r="AH1915" t="s">
        <v>3003</v>
      </c>
      <c r="AI1915" t="s">
        <v>250</v>
      </c>
      <c r="AJ1915" t="s">
        <v>11</v>
      </c>
      <c r="AK1915" t="s">
        <v>3002</v>
      </c>
      <c r="AL1915" t="s">
        <v>3001</v>
      </c>
    </row>
    <row r="1916" spans="5:44" x14ac:dyDescent="0.25">
      <c r="I1916" t="str">
        <f t="shared" si="155"/>
        <v>lastsold</v>
      </c>
      <c r="J1916" t="str">
        <f t="shared" si="156"/>
        <v/>
      </c>
      <c r="L1916" t="str">
        <f t="shared" si="159"/>
        <v/>
      </c>
      <c r="M1916" t="str">
        <f t="shared" si="159"/>
        <v/>
      </c>
      <c r="N1916" t="str">
        <f t="shared" si="159"/>
        <v/>
      </c>
      <c r="O1916" t="str">
        <f t="shared" si="159"/>
        <v/>
      </c>
      <c r="P1916" t="str">
        <f t="shared" si="159"/>
        <v/>
      </c>
      <c r="T1916" t="str">
        <f t="shared" si="157"/>
        <v/>
      </c>
      <c r="V1916" t="str">
        <f t="shared" si="158"/>
        <v>MVS</v>
      </c>
      <c r="W1916" t="str">
        <f t="shared" si="158"/>
        <v>MVS,AES</v>
      </c>
      <c r="AB1916" t="s">
        <v>12</v>
      </c>
      <c r="AE1916" t="s">
        <v>620</v>
      </c>
      <c r="AG1916" t="s">
        <v>6</v>
      </c>
      <c r="AH1916" t="s">
        <v>3000</v>
      </c>
      <c r="AI1916" t="s">
        <v>9</v>
      </c>
      <c r="AJ1916" t="s">
        <v>57</v>
      </c>
      <c r="AK1916" t="s">
        <v>2999</v>
      </c>
      <c r="AL1916" t="s">
        <v>2998</v>
      </c>
    </row>
    <row r="1917" spans="5:44" x14ac:dyDescent="0.25">
      <c r="I1917" t="str">
        <f t="shared" si="155"/>
        <v>lastsold</v>
      </c>
      <c r="J1917" t="str">
        <f t="shared" si="156"/>
        <v/>
      </c>
      <c r="L1917" t="str">
        <f t="shared" si="159"/>
        <v/>
      </c>
      <c r="M1917" t="str">
        <f t="shared" si="159"/>
        <v/>
      </c>
      <c r="N1917" t="str">
        <f t="shared" si="159"/>
        <v/>
      </c>
      <c r="O1917" t="str">
        <f t="shared" si="159"/>
        <v/>
      </c>
      <c r="P1917" t="str">
        <f t="shared" si="159"/>
        <v/>
      </c>
      <c r="T1917" t="str">
        <f t="shared" si="157"/>
        <v/>
      </c>
      <c r="V1917" t="str">
        <f t="shared" si="158"/>
        <v>MVS</v>
      </c>
      <c r="W1917" t="str">
        <f t="shared" si="158"/>
        <v>MVS,AES</v>
      </c>
      <c r="AG1917" t="s">
        <v>6</v>
      </c>
      <c r="AH1917" t="s">
        <v>2997</v>
      </c>
      <c r="AI1917" t="s">
        <v>4</v>
      </c>
      <c r="AJ1917" t="s">
        <v>57</v>
      </c>
      <c r="AK1917" t="s">
        <v>2996</v>
      </c>
      <c r="AL1917" t="s">
        <v>2995</v>
      </c>
    </row>
    <row r="1918" spans="5:44" x14ac:dyDescent="0.25">
      <c r="I1918" t="str">
        <f t="shared" si="155"/>
        <v>lastsold</v>
      </c>
      <c r="J1918" t="str">
        <f t="shared" si="156"/>
        <v/>
      </c>
      <c r="L1918" t="str">
        <f t="shared" si="159"/>
        <v/>
      </c>
      <c r="M1918" t="str">
        <f t="shared" si="159"/>
        <v/>
      </c>
      <c r="N1918" t="str">
        <f t="shared" si="159"/>
        <v/>
      </c>
      <c r="O1918" t="str">
        <f t="shared" si="159"/>
        <v/>
      </c>
      <c r="P1918" t="str">
        <f t="shared" si="159"/>
        <v/>
      </c>
      <c r="T1918" t="str">
        <f t="shared" si="157"/>
        <v/>
      </c>
      <c r="V1918" t="str">
        <f t="shared" si="158"/>
        <v>MVS</v>
      </c>
      <c r="W1918" t="str">
        <f t="shared" si="158"/>
        <v>MVS,AES</v>
      </c>
      <c r="AG1918" t="s">
        <v>6</v>
      </c>
      <c r="AH1918" t="s">
        <v>2994</v>
      </c>
      <c r="AI1918" t="s">
        <v>65</v>
      </c>
      <c r="AJ1918" t="s">
        <v>57</v>
      </c>
      <c r="AK1918" t="s">
        <v>2993</v>
      </c>
      <c r="AL1918" t="s">
        <v>2992</v>
      </c>
    </row>
    <row r="1919" spans="5:44" x14ac:dyDescent="0.25">
      <c r="I1919" t="str">
        <f t="shared" si="155"/>
        <v>lastsold</v>
      </c>
      <c r="J1919" t="str">
        <f t="shared" si="156"/>
        <v/>
      </c>
      <c r="L1919" t="str">
        <f t="shared" si="159"/>
        <v/>
      </c>
      <c r="M1919" t="str">
        <f t="shared" si="159"/>
        <v/>
      </c>
      <c r="N1919" t="str">
        <f t="shared" si="159"/>
        <v/>
      </c>
      <c r="O1919" t="str">
        <f t="shared" si="159"/>
        <v/>
      </c>
      <c r="P1919" t="str">
        <f t="shared" si="159"/>
        <v/>
      </c>
      <c r="T1919" t="str">
        <f t="shared" si="157"/>
        <v/>
      </c>
      <c r="V1919" t="str">
        <f t="shared" si="158"/>
        <v>MVS</v>
      </c>
      <c r="W1919" t="str">
        <f t="shared" si="158"/>
        <v>MVS,AES</v>
      </c>
      <c r="AG1919" t="s">
        <v>6</v>
      </c>
      <c r="AH1919" t="s">
        <v>2991</v>
      </c>
      <c r="AI1919" t="s">
        <v>164</v>
      </c>
      <c r="AJ1919" t="s">
        <v>57</v>
      </c>
      <c r="AK1919" t="s">
        <v>2990</v>
      </c>
      <c r="AL1919" t="s">
        <v>2989</v>
      </c>
    </row>
    <row r="1920" spans="5:44" x14ac:dyDescent="0.25">
      <c r="I1920" t="str">
        <f t="shared" si="155"/>
        <v>lastsold</v>
      </c>
      <c r="J1920" t="str">
        <f t="shared" si="156"/>
        <v/>
      </c>
      <c r="L1920" t="str">
        <f t="shared" si="159"/>
        <v/>
      </c>
      <c r="M1920" t="str">
        <f t="shared" si="159"/>
        <v/>
      </c>
      <c r="N1920" t="str">
        <f t="shared" si="159"/>
        <v/>
      </c>
      <c r="O1920" t="str">
        <f t="shared" si="159"/>
        <v/>
      </c>
      <c r="P1920" t="str">
        <f t="shared" si="159"/>
        <v/>
      </c>
      <c r="T1920" t="str">
        <f t="shared" si="157"/>
        <v/>
      </c>
      <c r="V1920" t="str">
        <f t="shared" si="158"/>
        <v>MVS</v>
      </c>
      <c r="W1920" t="str">
        <f t="shared" si="158"/>
        <v>MVS,AES</v>
      </c>
      <c r="AG1920" t="s">
        <v>6</v>
      </c>
      <c r="AH1920" t="s">
        <v>2988</v>
      </c>
      <c r="AI1920" t="s">
        <v>160</v>
      </c>
      <c r="AJ1920" t="s">
        <v>11</v>
      </c>
      <c r="AK1920" t="s">
        <v>2987</v>
      </c>
      <c r="AL1920" t="s">
        <v>2986</v>
      </c>
    </row>
    <row r="1921" spans="5:44" x14ac:dyDescent="0.25">
      <c r="I1921" t="str">
        <f t="shared" si="155"/>
        <v>lastsold</v>
      </c>
      <c r="J1921" t="str">
        <f t="shared" si="156"/>
        <v/>
      </c>
      <c r="L1921" t="str">
        <f t="shared" si="159"/>
        <v/>
      </c>
      <c r="M1921" t="str">
        <f t="shared" si="159"/>
        <v/>
      </c>
      <c r="N1921" t="str">
        <f t="shared" si="159"/>
        <v/>
      </c>
      <c r="O1921" t="str">
        <f t="shared" si="159"/>
        <v/>
      </c>
      <c r="P1921" t="str">
        <f t="shared" si="159"/>
        <v/>
      </c>
      <c r="T1921" t="str">
        <f t="shared" si="157"/>
        <v/>
      </c>
      <c r="V1921" t="str">
        <f t="shared" si="158"/>
        <v>MVS</v>
      </c>
      <c r="W1921" t="str">
        <f t="shared" si="158"/>
        <v>MVS,AES</v>
      </c>
      <c r="AG1921" t="s">
        <v>6</v>
      </c>
      <c r="AH1921" t="s">
        <v>2985</v>
      </c>
      <c r="AI1921" t="s">
        <v>156</v>
      </c>
      <c r="AJ1921" t="s">
        <v>11</v>
      </c>
      <c r="AK1921" t="s">
        <v>2984</v>
      </c>
      <c r="AL1921" t="s">
        <v>2983</v>
      </c>
    </row>
    <row r="1922" spans="5:44" x14ac:dyDescent="0.25">
      <c r="E1922" t="s">
        <v>2982</v>
      </c>
      <c r="F1922" t="s">
        <v>2981</v>
      </c>
      <c r="G1922" t="s">
        <v>1145</v>
      </c>
      <c r="H1922" t="s">
        <v>1859</v>
      </c>
      <c r="I1922" t="str">
        <f t="shared" si="155"/>
        <v>puzzldpr</v>
      </c>
      <c r="J1922" t="str">
        <f t="shared" si="156"/>
        <v>puzzldprserial</v>
      </c>
      <c r="K1922" t="s">
        <v>1373</v>
      </c>
      <c r="L1922" t="str">
        <f t="shared" si="159"/>
        <v>NGM-2350?</v>
      </c>
      <c r="M1922" t="str">
        <f t="shared" si="159"/>
        <v/>
      </c>
      <c r="N1922" t="str">
        <f t="shared" si="159"/>
        <v>パズル de ポン! R</v>
      </c>
      <c r="O1922" t="str">
        <f t="shared" si="159"/>
        <v/>
      </c>
      <c r="P1922" t="str">
        <f t="shared" si="159"/>
        <v/>
      </c>
      <c r="Q1922" t="s">
        <v>2980</v>
      </c>
      <c r="S1922" t="s">
        <v>46</v>
      </c>
      <c r="T1922" t="str">
        <f t="shared" si="157"/>
        <v>puzzldprrelease</v>
      </c>
      <c r="U1922" t="s">
        <v>106</v>
      </c>
      <c r="V1922" t="str">
        <f t="shared" si="158"/>
        <v>MVS</v>
      </c>
      <c r="W1922" t="str">
        <f t="shared" si="158"/>
        <v>MVS,AES</v>
      </c>
      <c r="Y1922" t="s">
        <v>45</v>
      </c>
      <c r="Z1922" t="s">
        <v>44</v>
      </c>
      <c r="AB1922" t="s">
        <v>43</v>
      </c>
      <c r="AC1922" t="s">
        <v>42</v>
      </c>
      <c r="AD1922" t="s">
        <v>41</v>
      </c>
      <c r="AE1922" t="s">
        <v>15</v>
      </c>
      <c r="AG1922" t="s">
        <v>40</v>
      </c>
      <c r="AH1922" t="s">
        <v>2979</v>
      </c>
      <c r="AI1922" t="s">
        <v>9</v>
      </c>
      <c r="AJ1922" t="s">
        <v>92</v>
      </c>
      <c r="AK1922" t="s">
        <v>2978</v>
      </c>
      <c r="AL1922" t="s">
        <v>2977</v>
      </c>
      <c r="AR1922" t="s">
        <v>2976</v>
      </c>
    </row>
    <row r="1923" spans="5:44" x14ac:dyDescent="0.25">
      <c r="I1923" t="str">
        <f t="shared" ref="I1923:I1986" si="160">IF(E1923="",I1922,E1923)</f>
        <v>puzzldpr</v>
      </c>
      <c r="J1923" t="str">
        <f t="shared" ref="J1923:J1986" si="161">IF(K1923="","",I1923&amp;K1923)</f>
        <v>puzzldpralt_title</v>
      </c>
      <c r="K1923" t="s">
        <v>1218</v>
      </c>
      <c r="L1923" t="str">
        <f t="shared" si="159"/>
        <v>NGM-2350?</v>
      </c>
      <c r="M1923" t="str">
        <f t="shared" si="159"/>
        <v/>
      </c>
      <c r="N1923" t="str">
        <f t="shared" si="159"/>
        <v>パズル de ポン! R</v>
      </c>
      <c r="O1923" t="str">
        <f t="shared" si="159"/>
        <v/>
      </c>
      <c r="P1923" t="str">
        <f t="shared" si="159"/>
        <v/>
      </c>
      <c r="Q1923" t="s">
        <v>2975</v>
      </c>
      <c r="T1923" t="str">
        <f t="shared" ref="T1923:T1986" si="162">IF(S1923="","",I1923&amp;S1923)</f>
        <v/>
      </c>
      <c r="V1923" t="str">
        <f t="shared" si="158"/>
        <v>MVS</v>
      </c>
      <c r="W1923" t="str">
        <f t="shared" si="158"/>
        <v>MVS,AES</v>
      </c>
      <c r="AB1923" t="s">
        <v>34</v>
      </c>
      <c r="AE1923" t="s">
        <v>33</v>
      </c>
      <c r="AH1923" t="s">
        <v>2974</v>
      </c>
      <c r="AI1923" t="s">
        <v>9</v>
      </c>
      <c r="AJ1923" t="s">
        <v>27</v>
      </c>
      <c r="AK1923" t="s">
        <v>2973</v>
      </c>
      <c r="AL1923" t="s">
        <v>2972</v>
      </c>
    </row>
    <row r="1924" spans="5:44" x14ac:dyDescent="0.25">
      <c r="I1924" t="str">
        <f t="shared" si="160"/>
        <v>puzzldpr</v>
      </c>
      <c r="J1924" t="str">
        <f t="shared" si="161"/>
        <v/>
      </c>
      <c r="L1924" t="str">
        <f t="shared" si="159"/>
        <v>NGM-2350?</v>
      </c>
      <c r="M1924" t="str">
        <f t="shared" si="159"/>
        <v/>
      </c>
      <c r="N1924" t="str">
        <f t="shared" si="159"/>
        <v>パズル de ポン! R</v>
      </c>
      <c r="O1924" t="str">
        <f t="shared" si="159"/>
        <v/>
      </c>
      <c r="P1924" t="str">
        <f t="shared" si="159"/>
        <v/>
      </c>
      <c r="S1924" t="s">
        <v>36</v>
      </c>
      <c r="T1924" t="str">
        <f t="shared" si="162"/>
        <v>puzzldprcompatibility</v>
      </c>
      <c r="U1924" t="s">
        <v>218</v>
      </c>
      <c r="V1924" t="str">
        <f t="shared" si="158"/>
        <v>MVS</v>
      </c>
      <c r="W1924" t="str">
        <f t="shared" si="158"/>
        <v>MVS,AES</v>
      </c>
      <c r="AB1924" t="s">
        <v>29</v>
      </c>
      <c r="AE1924" t="s">
        <v>27</v>
      </c>
      <c r="AH1924" t="s">
        <v>2971</v>
      </c>
      <c r="AI1924" t="s">
        <v>9</v>
      </c>
      <c r="AJ1924" t="s">
        <v>27</v>
      </c>
      <c r="AK1924" t="s">
        <v>2970</v>
      </c>
      <c r="AL1924" t="s">
        <v>2969</v>
      </c>
    </row>
    <row r="1925" spans="5:44" x14ac:dyDescent="0.25">
      <c r="I1925" t="str">
        <f t="shared" si="160"/>
        <v>puzzldpr</v>
      </c>
      <c r="J1925" t="str">
        <f t="shared" si="161"/>
        <v/>
      </c>
      <c r="L1925" t="str">
        <f t="shared" si="159"/>
        <v>NGM-2350?</v>
      </c>
      <c r="M1925" t="str">
        <f t="shared" si="159"/>
        <v/>
      </c>
      <c r="N1925" t="str">
        <f t="shared" si="159"/>
        <v>パズル de ポン! R</v>
      </c>
      <c r="O1925" t="str">
        <f t="shared" si="159"/>
        <v/>
      </c>
      <c r="P1925" t="str">
        <f t="shared" si="159"/>
        <v/>
      </c>
      <c r="T1925" t="str">
        <f t="shared" si="162"/>
        <v/>
      </c>
      <c r="V1925" t="str">
        <f t="shared" si="158"/>
        <v>MVS</v>
      </c>
      <c r="W1925" t="str">
        <f t="shared" si="158"/>
        <v>MVS,AES</v>
      </c>
      <c r="AB1925" t="s">
        <v>24</v>
      </c>
      <c r="AE1925" t="s">
        <v>480</v>
      </c>
      <c r="AH1925" t="s">
        <v>2968</v>
      </c>
      <c r="AI1925" t="s">
        <v>9</v>
      </c>
      <c r="AJ1925" t="s">
        <v>92</v>
      </c>
      <c r="AK1925" t="s">
        <v>2967</v>
      </c>
      <c r="AL1925" t="s">
        <v>2966</v>
      </c>
    </row>
    <row r="1926" spans="5:44" x14ac:dyDescent="0.25">
      <c r="I1926" t="str">
        <f t="shared" si="160"/>
        <v>puzzldpr</v>
      </c>
      <c r="J1926" t="str">
        <f t="shared" si="161"/>
        <v/>
      </c>
      <c r="L1926" t="str">
        <f t="shared" si="159"/>
        <v>NGM-2350?</v>
      </c>
      <c r="M1926" t="str">
        <f t="shared" si="159"/>
        <v/>
      </c>
      <c r="N1926" t="str">
        <f t="shared" si="159"/>
        <v>パズル de ポン! R</v>
      </c>
      <c r="O1926" t="str">
        <f t="shared" si="159"/>
        <v/>
      </c>
      <c r="P1926" t="str">
        <f t="shared" si="159"/>
        <v/>
      </c>
      <c r="T1926" t="str">
        <f t="shared" si="162"/>
        <v/>
      </c>
      <c r="V1926" t="str">
        <f t="shared" si="158"/>
        <v>MVS</v>
      </c>
      <c r="W1926" t="str">
        <f t="shared" si="158"/>
        <v>MVS,AES</v>
      </c>
      <c r="AB1926" t="s">
        <v>12</v>
      </c>
      <c r="AE1926" t="s">
        <v>3</v>
      </c>
      <c r="AG1926" t="s">
        <v>6</v>
      </c>
      <c r="AH1926" t="s">
        <v>2965</v>
      </c>
      <c r="AI1926" t="s">
        <v>9</v>
      </c>
      <c r="AJ1926" t="s">
        <v>15</v>
      </c>
      <c r="AK1926" t="s">
        <v>2964</v>
      </c>
      <c r="AL1926" t="s">
        <v>2963</v>
      </c>
    </row>
    <row r="1927" spans="5:44" x14ac:dyDescent="0.25">
      <c r="I1927" t="str">
        <f t="shared" si="160"/>
        <v>puzzldpr</v>
      </c>
      <c r="J1927" t="str">
        <f t="shared" si="161"/>
        <v/>
      </c>
      <c r="L1927" t="str">
        <f t="shared" si="159"/>
        <v>NGM-2350?</v>
      </c>
      <c r="M1927" t="str">
        <f t="shared" si="159"/>
        <v/>
      </c>
      <c r="N1927" t="str">
        <f t="shared" si="159"/>
        <v>パズル de ポン! R</v>
      </c>
      <c r="O1927" t="str">
        <f t="shared" si="159"/>
        <v/>
      </c>
      <c r="P1927" t="str">
        <f t="shared" si="159"/>
        <v/>
      </c>
      <c r="T1927" t="str">
        <f t="shared" si="162"/>
        <v/>
      </c>
      <c r="V1927" t="str">
        <f t="shared" si="158"/>
        <v>MVS</v>
      </c>
      <c r="W1927" t="str">
        <f t="shared" si="158"/>
        <v>MVS,AES</v>
      </c>
      <c r="AG1927" t="s">
        <v>6</v>
      </c>
      <c r="AH1927" t="s">
        <v>2962</v>
      </c>
      <c r="AI1927" t="s">
        <v>4</v>
      </c>
      <c r="AJ1927" t="s">
        <v>15</v>
      </c>
      <c r="AK1927" t="s">
        <v>2961</v>
      </c>
      <c r="AL1927" t="s">
        <v>2960</v>
      </c>
    </row>
    <row r="1928" spans="5:44" x14ac:dyDescent="0.25">
      <c r="E1928" t="s">
        <v>2959</v>
      </c>
      <c r="F1928" t="s">
        <v>2958</v>
      </c>
      <c r="G1928" t="s">
        <v>1145</v>
      </c>
      <c r="H1928" t="s">
        <v>2957</v>
      </c>
      <c r="I1928" t="str">
        <f t="shared" si="160"/>
        <v>irrmaze</v>
      </c>
      <c r="J1928" t="str">
        <f t="shared" si="161"/>
        <v>irrmazeserial</v>
      </c>
      <c r="K1928" t="s">
        <v>1373</v>
      </c>
      <c r="L1928" t="str">
        <f t="shared" si="159"/>
        <v>??M-2360</v>
      </c>
      <c r="M1928" t="str">
        <f t="shared" si="159"/>
        <v/>
      </c>
      <c r="N1928" t="str">
        <f t="shared" si="159"/>
        <v>ウルトラ電流イライラ棒</v>
      </c>
      <c r="O1928" t="str">
        <f t="shared" si="159"/>
        <v/>
      </c>
      <c r="P1928" t="str">
        <f t="shared" si="159"/>
        <v>Universe BIOS 2.2 and later support joystick play as a cheat.</v>
      </c>
      <c r="Q1928" t="s">
        <v>2956</v>
      </c>
      <c r="S1928" t="s">
        <v>46</v>
      </c>
      <c r="T1928" t="str">
        <f t="shared" si="162"/>
        <v>irrmazerelease</v>
      </c>
      <c r="U1928" t="s">
        <v>106</v>
      </c>
      <c r="V1928" t="str">
        <f t="shared" si="158"/>
        <v>MVS</v>
      </c>
      <c r="W1928" t="str">
        <f t="shared" si="158"/>
        <v>MVS</v>
      </c>
      <c r="Y1928" t="s">
        <v>45</v>
      </c>
      <c r="Z1928" t="s">
        <v>44</v>
      </c>
      <c r="AB1928" t="s">
        <v>43</v>
      </c>
      <c r="AC1928" t="s">
        <v>42</v>
      </c>
      <c r="AD1928" t="s">
        <v>41</v>
      </c>
      <c r="AE1928" t="s">
        <v>3</v>
      </c>
      <c r="AG1928" t="s">
        <v>40</v>
      </c>
      <c r="AH1928" t="s">
        <v>2955</v>
      </c>
      <c r="AI1928" t="s">
        <v>15</v>
      </c>
      <c r="AJ1928" t="s">
        <v>15</v>
      </c>
      <c r="AK1928" t="s">
        <v>2954</v>
      </c>
      <c r="AL1928" t="s">
        <v>2953</v>
      </c>
    </row>
    <row r="1929" spans="5:44" x14ac:dyDescent="0.25">
      <c r="I1929" t="str">
        <f t="shared" si="160"/>
        <v>irrmaze</v>
      </c>
      <c r="J1929" t="str">
        <f t="shared" si="161"/>
        <v>irrmazealt_title</v>
      </c>
      <c r="K1929" t="s">
        <v>1218</v>
      </c>
      <c r="L1929" t="str">
        <f t="shared" si="159"/>
        <v>??M-2360</v>
      </c>
      <c r="M1929" t="str">
        <f t="shared" si="159"/>
        <v/>
      </c>
      <c r="N1929" t="str">
        <f t="shared" si="159"/>
        <v>ウルトラ電流イライラ棒</v>
      </c>
      <c r="O1929" t="str">
        <f t="shared" si="159"/>
        <v/>
      </c>
      <c r="P1929" t="str">
        <f t="shared" si="159"/>
        <v>Universe BIOS 2.2 and later support joystick play as a cheat.</v>
      </c>
      <c r="Q1929" t="s">
        <v>2952</v>
      </c>
      <c r="T1929" t="str">
        <f t="shared" si="162"/>
        <v/>
      </c>
      <c r="V1929" t="str">
        <f t="shared" si="158"/>
        <v>MVS</v>
      </c>
      <c r="W1929" t="str">
        <f t="shared" si="158"/>
        <v>MVS</v>
      </c>
      <c r="AG1929" t="s">
        <v>224</v>
      </c>
      <c r="AI1929" t="s">
        <v>9</v>
      </c>
      <c r="AJ1929" t="s">
        <v>15</v>
      </c>
    </row>
    <row r="1930" spans="5:44" x14ac:dyDescent="0.25">
      <c r="I1930" t="str">
        <f t="shared" si="160"/>
        <v>irrmaze</v>
      </c>
      <c r="J1930" t="str">
        <f t="shared" si="161"/>
        <v>irrmazeusage</v>
      </c>
      <c r="K1930" t="s">
        <v>2951</v>
      </c>
      <c r="L1930" t="str">
        <f t="shared" si="159"/>
        <v>??M-2360</v>
      </c>
      <c r="M1930" t="str">
        <f t="shared" si="159"/>
        <v/>
      </c>
      <c r="N1930" t="str">
        <f t="shared" si="159"/>
        <v>ウルトラ電流イライラ棒</v>
      </c>
      <c r="O1930" t="str">
        <f t="shared" si="159"/>
        <v/>
      </c>
      <c r="P1930" t="str">
        <f t="shared" si="159"/>
        <v>Universe BIOS 2.2 and later support joystick play as a cheat.</v>
      </c>
      <c r="Q1930" t="s">
        <v>2950</v>
      </c>
      <c r="T1930" t="str">
        <f t="shared" si="162"/>
        <v/>
      </c>
      <c r="V1930" t="str">
        <f t="shared" si="158"/>
        <v>MVS</v>
      </c>
      <c r="W1930" t="str">
        <f t="shared" si="158"/>
        <v>MVS</v>
      </c>
      <c r="AB1930" t="s">
        <v>34</v>
      </c>
      <c r="AE1930" t="s">
        <v>33</v>
      </c>
      <c r="AH1930" t="s">
        <v>2949</v>
      </c>
      <c r="AI1930" t="s">
        <v>9</v>
      </c>
      <c r="AJ1930" t="s">
        <v>27</v>
      </c>
      <c r="AK1930" t="s">
        <v>2948</v>
      </c>
      <c r="AL1930" t="s">
        <v>2947</v>
      </c>
    </row>
    <row r="1931" spans="5:44" x14ac:dyDescent="0.25">
      <c r="I1931" t="str">
        <f t="shared" si="160"/>
        <v>irrmaze</v>
      </c>
      <c r="J1931" t="str">
        <f t="shared" si="161"/>
        <v/>
      </c>
      <c r="L1931" t="str">
        <f t="shared" si="159"/>
        <v>??M-2360</v>
      </c>
      <c r="M1931" t="str">
        <f t="shared" si="159"/>
        <v/>
      </c>
      <c r="N1931" t="str">
        <f t="shared" si="159"/>
        <v>ウルトラ電流イライラ棒</v>
      </c>
      <c r="O1931" t="str">
        <f t="shared" si="159"/>
        <v/>
      </c>
      <c r="P1931" t="str">
        <f t="shared" si="159"/>
        <v>Universe BIOS 2.2 and later support joystick play as a cheat.</v>
      </c>
      <c r="S1931" t="s">
        <v>36</v>
      </c>
      <c r="T1931" t="str">
        <f t="shared" si="162"/>
        <v>irrmazecompatibility</v>
      </c>
      <c r="U1931" t="s">
        <v>106</v>
      </c>
      <c r="V1931" t="str">
        <f t="shared" si="158"/>
        <v>MVS</v>
      </c>
      <c r="W1931" t="str">
        <f t="shared" si="158"/>
        <v>MVS</v>
      </c>
      <c r="AB1931" t="s">
        <v>29</v>
      </c>
      <c r="AE1931" t="s">
        <v>27</v>
      </c>
      <c r="AH1931" t="s">
        <v>2946</v>
      </c>
      <c r="AI1931" t="s">
        <v>9</v>
      </c>
      <c r="AJ1931" t="s">
        <v>27</v>
      </c>
      <c r="AK1931" t="s">
        <v>2945</v>
      </c>
      <c r="AL1931" t="s">
        <v>2944</v>
      </c>
    </row>
    <row r="1932" spans="5:44" x14ac:dyDescent="0.25">
      <c r="I1932" t="str">
        <f t="shared" si="160"/>
        <v>irrmaze</v>
      </c>
      <c r="J1932" t="str">
        <f t="shared" si="161"/>
        <v/>
      </c>
      <c r="L1932" t="str">
        <f t="shared" si="159"/>
        <v>??M-2360</v>
      </c>
      <c r="M1932" t="str">
        <f t="shared" si="159"/>
        <v/>
      </c>
      <c r="N1932" t="str">
        <f t="shared" si="159"/>
        <v>ウルトラ電流イライラ棒</v>
      </c>
      <c r="O1932" t="str">
        <f t="shared" si="159"/>
        <v/>
      </c>
      <c r="P1932" t="str">
        <f t="shared" si="159"/>
        <v>Universe BIOS 2.2 and later support joystick play as a cheat.</v>
      </c>
      <c r="T1932" t="str">
        <f t="shared" si="162"/>
        <v/>
      </c>
      <c r="V1932" t="str">
        <f t="shared" si="158"/>
        <v>MVS</v>
      </c>
      <c r="W1932" t="str">
        <f t="shared" si="158"/>
        <v>MVS</v>
      </c>
      <c r="AB1932" t="s">
        <v>24</v>
      </c>
      <c r="AE1932" t="s">
        <v>377</v>
      </c>
      <c r="AH1932" t="s">
        <v>2943</v>
      </c>
      <c r="AI1932" t="s">
        <v>9</v>
      </c>
      <c r="AJ1932" t="s">
        <v>3</v>
      </c>
      <c r="AK1932" t="s">
        <v>2942</v>
      </c>
      <c r="AL1932" t="s">
        <v>2941</v>
      </c>
    </row>
    <row r="1933" spans="5:44" x14ac:dyDescent="0.25">
      <c r="I1933" t="str">
        <f t="shared" si="160"/>
        <v>irrmaze</v>
      </c>
      <c r="J1933" t="str">
        <f t="shared" si="161"/>
        <v/>
      </c>
      <c r="L1933" t="str">
        <f t="shared" si="159"/>
        <v>??M-2360</v>
      </c>
      <c r="M1933" t="str">
        <f t="shared" si="159"/>
        <v/>
      </c>
      <c r="N1933" t="str">
        <f t="shared" si="159"/>
        <v>ウルトラ電流イライラ棒</v>
      </c>
      <c r="O1933" t="str">
        <f t="shared" si="159"/>
        <v/>
      </c>
      <c r="P1933" t="str">
        <f t="shared" si="159"/>
        <v>Universe BIOS 2.2 and later support joystick play as a cheat.</v>
      </c>
      <c r="T1933" t="str">
        <f t="shared" si="162"/>
        <v/>
      </c>
      <c r="V1933" t="str">
        <f t="shared" si="158"/>
        <v>MVS</v>
      </c>
      <c r="W1933" t="str">
        <f t="shared" si="158"/>
        <v>MVS</v>
      </c>
      <c r="AH1933" t="s">
        <v>2940</v>
      </c>
      <c r="AI1933" t="s">
        <v>3</v>
      </c>
      <c r="AJ1933" t="s">
        <v>15</v>
      </c>
      <c r="AK1933" t="s">
        <v>2939</v>
      </c>
      <c r="AL1933" t="s">
        <v>2938</v>
      </c>
    </row>
    <row r="1934" spans="5:44" x14ac:dyDescent="0.25">
      <c r="I1934" t="str">
        <f t="shared" si="160"/>
        <v>irrmaze</v>
      </c>
      <c r="J1934" t="str">
        <f t="shared" si="161"/>
        <v/>
      </c>
      <c r="L1934" t="str">
        <f t="shared" si="159"/>
        <v>??M-2360</v>
      </c>
      <c r="M1934" t="str">
        <f t="shared" si="159"/>
        <v/>
      </c>
      <c r="N1934" t="str">
        <f t="shared" si="159"/>
        <v>ウルトラ電流イライラ棒</v>
      </c>
      <c r="O1934" t="str">
        <f t="shared" si="159"/>
        <v/>
      </c>
      <c r="P1934" t="str">
        <f t="shared" si="159"/>
        <v>Universe BIOS 2.2 and later support joystick play as a cheat.</v>
      </c>
      <c r="T1934" t="str">
        <f t="shared" si="162"/>
        <v/>
      </c>
      <c r="V1934" t="str">
        <f t="shared" si="158"/>
        <v>MVS</v>
      </c>
      <c r="W1934" t="str">
        <f t="shared" si="158"/>
        <v>MVS</v>
      </c>
      <c r="AB1934" t="s">
        <v>12</v>
      </c>
      <c r="AE1934" t="s">
        <v>57</v>
      </c>
      <c r="AG1934" t="s">
        <v>6</v>
      </c>
      <c r="AH1934" t="s">
        <v>2937</v>
      </c>
      <c r="AI1934" t="s">
        <v>9</v>
      </c>
      <c r="AJ1934" t="s">
        <v>11</v>
      </c>
      <c r="AK1934" t="s">
        <v>2936</v>
      </c>
      <c r="AL1934" t="s">
        <v>2935</v>
      </c>
    </row>
    <row r="1935" spans="5:44" x14ac:dyDescent="0.25">
      <c r="I1935" t="str">
        <f t="shared" si="160"/>
        <v>irrmaze</v>
      </c>
      <c r="J1935" t="str">
        <f t="shared" si="161"/>
        <v/>
      </c>
      <c r="L1935" t="str">
        <f t="shared" si="159"/>
        <v>??M-2360</v>
      </c>
      <c r="M1935" t="str">
        <f t="shared" si="159"/>
        <v/>
      </c>
      <c r="N1935" t="str">
        <f t="shared" si="159"/>
        <v>ウルトラ電流イライラ棒</v>
      </c>
      <c r="O1935" t="str">
        <f t="shared" si="159"/>
        <v/>
      </c>
      <c r="P1935" t="str">
        <f t="shared" si="159"/>
        <v>Universe BIOS 2.2 and later support joystick play as a cheat.</v>
      </c>
      <c r="T1935" t="str">
        <f t="shared" si="162"/>
        <v/>
      </c>
      <c r="V1935" t="str">
        <f t="shared" si="158"/>
        <v>MVS</v>
      </c>
      <c r="W1935" t="str">
        <f t="shared" si="158"/>
        <v>MVS</v>
      </c>
      <c r="AG1935" t="s">
        <v>6</v>
      </c>
      <c r="AH1935" t="s">
        <v>2934</v>
      </c>
      <c r="AI1935" t="s">
        <v>4</v>
      </c>
      <c r="AJ1935" t="s">
        <v>11</v>
      </c>
      <c r="AK1935" t="s">
        <v>2933</v>
      </c>
      <c r="AL1935" t="s">
        <v>2932</v>
      </c>
    </row>
    <row r="1936" spans="5:44" x14ac:dyDescent="0.25">
      <c r="E1936" t="s">
        <v>2931</v>
      </c>
      <c r="F1936" t="s">
        <v>2930</v>
      </c>
      <c r="G1936" t="s">
        <v>1145</v>
      </c>
      <c r="H1936" t="s">
        <v>2929</v>
      </c>
      <c r="I1936" t="str">
        <f t="shared" si="160"/>
        <v>popbounc</v>
      </c>
      <c r="J1936" t="str">
        <f t="shared" si="161"/>
        <v>popbouncserial</v>
      </c>
      <c r="K1936" t="s">
        <v>1373</v>
      </c>
      <c r="L1936" t="str">
        <f t="shared" si="159"/>
        <v>NGM-2370?</v>
      </c>
      <c r="M1936" t="str">
        <f t="shared" si="159"/>
        <v/>
      </c>
      <c r="N1936" t="str">
        <f t="shared" si="159"/>
        <v>ガッポリン</v>
      </c>
      <c r="O1936" t="str">
        <f t="shared" si="159"/>
        <v/>
      </c>
      <c r="P1936" t="str">
        <f t="shared" si="159"/>
        <v/>
      </c>
      <c r="Q1936" t="s">
        <v>2928</v>
      </c>
      <c r="S1936" t="s">
        <v>46</v>
      </c>
      <c r="T1936" t="str">
        <f t="shared" si="162"/>
        <v>popbouncrelease</v>
      </c>
      <c r="U1936" t="s">
        <v>106</v>
      </c>
      <c r="V1936" t="str">
        <f t="shared" si="158"/>
        <v>MVS</v>
      </c>
      <c r="W1936" t="str">
        <f t="shared" si="158"/>
        <v>MVS,AES</v>
      </c>
      <c r="Y1936" t="s">
        <v>45</v>
      </c>
      <c r="Z1936" t="s">
        <v>44</v>
      </c>
      <c r="AB1936" t="s">
        <v>43</v>
      </c>
      <c r="AC1936" t="s">
        <v>42</v>
      </c>
      <c r="AD1936" t="s">
        <v>41</v>
      </c>
      <c r="AE1936" t="s">
        <v>15</v>
      </c>
      <c r="AG1936" t="s">
        <v>40</v>
      </c>
      <c r="AH1936" t="s">
        <v>2927</v>
      </c>
      <c r="AI1936" t="s">
        <v>9</v>
      </c>
      <c r="AJ1936" t="s">
        <v>15</v>
      </c>
      <c r="AK1936" t="s">
        <v>2926</v>
      </c>
      <c r="AL1936" t="s">
        <v>2925</v>
      </c>
    </row>
    <row r="1937" spans="5:38" x14ac:dyDescent="0.25">
      <c r="I1937" t="str">
        <f t="shared" si="160"/>
        <v>popbounc</v>
      </c>
      <c r="J1937" t="str">
        <f t="shared" si="161"/>
        <v>popbouncalt_title</v>
      </c>
      <c r="K1937" t="s">
        <v>1218</v>
      </c>
      <c r="L1937" t="str">
        <f t="shared" si="159"/>
        <v>NGM-2370?</v>
      </c>
      <c r="M1937" t="str">
        <f t="shared" si="159"/>
        <v/>
      </c>
      <c r="N1937" t="str">
        <f t="shared" si="159"/>
        <v>ガッポリン</v>
      </c>
      <c r="O1937" t="str">
        <f t="shared" si="159"/>
        <v/>
      </c>
      <c r="P1937" t="str">
        <f t="shared" si="159"/>
        <v/>
      </c>
      <c r="Q1937" t="s">
        <v>2924</v>
      </c>
      <c r="T1937" t="str">
        <f t="shared" si="162"/>
        <v/>
      </c>
      <c r="V1937" t="str">
        <f t="shared" si="158"/>
        <v>MVS</v>
      </c>
      <c r="W1937" t="str">
        <f t="shared" si="158"/>
        <v>MVS,AES</v>
      </c>
      <c r="AB1937" t="s">
        <v>34</v>
      </c>
      <c r="AE1937" t="s">
        <v>33</v>
      </c>
      <c r="AH1937" t="s">
        <v>2923</v>
      </c>
      <c r="AI1937" t="s">
        <v>9</v>
      </c>
      <c r="AJ1937" t="s">
        <v>27</v>
      </c>
      <c r="AK1937" t="s">
        <v>2922</v>
      </c>
      <c r="AL1937" t="s">
        <v>2921</v>
      </c>
    </row>
    <row r="1938" spans="5:38" x14ac:dyDescent="0.25">
      <c r="I1938" t="str">
        <f t="shared" si="160"/>
        <v>popbounc</v>
      </c>
      <c r="J1938" t="str">
        <f t="shared" si="161"/>
        <v/>
      </c>
      <c r="L1938" t="str">
        <f t="shared" si="159"/>
        <v>NGM-2370?</v>
      </c>
      <c r="M1938" t="str">
        <f t="shared" si="159"/>
        <v/>
      </c>
      <c r="N1938" t="str">
        <f t="shared" si="159"/>
        <v>ガッポリン</v>
      </c>
      <c r="O1938" t="str">
        <f t="shared" si="159"/>
        <v/>
      </c>
      <c r="P1938" t="str">
        <f t="shared" si="159"/>
        <v/>
      </c>
      <c r="S1938" t="s">
        <v>36</v>
      </c>
      <c r="T1938" t="str">
        <f t="shared" si="162"/>
        <v>popbounccompatibility</v>
      </c>
      <c r="U1938" t="s">
        <v>218</v>
      </c>
      <c r="V1938" t="str">
        <f t="shared" si="158"/>
        <v>MVS</v>
      </c>
      <c r="W1938" t="str">
        <f t="shared" si="158"/>
        <v>MVS,AES</v>
      </c>
      <c r="AB1938" t="s">
        <v>29</v>
      </c>
      <c r="AE1938" t="s">
        <v>27</v>
      </c>
      <c r="AH1938" t="s">
        <v>2920</v>
      </c>
      <c r="AI1938" t="s">
        <v>9</v>
      </c>
      <c r="AJ1938" t="s">
        <v>27</v>
      </c>
      <c r="AK1938" t="s">
        <v>2919</v>
      </c>
      <c r="AL1938" t="s">
        <v>2918</v>
      </c>
    </row>
    <row r="1939" spans="5:38" x14ac:dyDescent="0.25">
      <c r="I1939" t="str">
        <f t="shared" si="160"/>
        <v>popbounc</v>
      </c>
      <c r="J1939" t="str">
        <f t="shared" si="161"/>
        <v/>
      </c>
      <c r="L1939" t="str">
        <f t="shared" si="159"/>
        <v>NGM-2370?</v>
      </c>
      <c r="M1939" t="str">
        <f t="shared" si="159"/>
        <v/>
      </c>
      <c r="N1939" t="str">
        <f t="shared" si="159"/>
        <v>ガッポリン</v>
      </c>
      <c r="O1939" t="str">
        <f t="shared" si="159"/>
        <v/>
      </c>
      <c r="P1939" t="str">
        <f t="shared" si="159"/>
        <v/>
      </c>
      <c r="T1939" t="str">
        <f t="shared" si="162"/>
        <v/>
      </c>
      <c r="V1939" t="str">
        <f t="shared" si="158"/>
        <v>MVS</v>
      </c>
      <c r="W1939" t="str">
        <f t="shared" si="158"/>
        <v>MVS,AES</v>
      </c>
      <c r="AB1939" t="s">
        <v>24</v>
      </c>
      <c r="AE1939" t="s">
        <v>3</v>
      </c>
      <c r="AH1939" t="s">
        <v>2917</v>
      </c>
      <c r="AI1939" t="s">
        <v>9</v>
      </c>
      <c r="AJ1939" t="s">
        <v>3</v>
      </c>
      <c r="AK1939" t="s">
        <v>2916</v>
      </c>
      <c r="AL1939" t="s">
        <v>2915</v>
      </c>
    </row>
    <row r="1940" spans="5:38" x14ac:dyDescent="0.25">
      <c r="I1940" t="str">
        <f t="shared" si="160"/>
        <v>popbounc</v>
      </c>
      <c r="J1940" t="str">
        <f t="shared" si="161"/>
        <v/>
      </c>
      <c r="L1940" t="str">
        <f t="shared" si="159"/>
        <v>NGM-2370?</v>
      </c>
      <c r="M1940" t="str">
        <f t="shared" si="159"/>
        <v/>
      </c>
      <c r="N1940" t="str">
        <f t="shared" si="159"/>
        <v>ガッポリン</v>
      </c>
      <c r="O1940" t="str">
        <f t="shared" si="159"/>
        <v/>
      </c>
      <c r="P1940" t="str">
        <f t="shared" si="159"/>
        <v/>
      </c>
      <c r="T1940" t="str">
        <f t="shared" si="162"/>
        <v/>
      </c>
      <c r="V1940" t="str">
        <f t="shared" si="158"/>
        <v>MVS</v>
      </c>
      <c r="W1940" t="str">
        <f t="shared" si="158"/>
        <v>MVS,AES</v>
      </c>
      <c r="AB1940" t="s">
        <v>12</v>
      </c>
      <c r="AE1940" t="s">
        <v>11</v>
      </c>
      <c r="AG1940" t="s">
        <v>6</v>
      </c>
      <c r="AH1940" t="s">
        <v>2914</v>
      </c>
      <c r="AI1940" t="s">
        <v>9</v>
      </c>
      <c r="AJ1940" t="s">
        <v>3</v>
      </c>
      <c r="AK1940" t="s">
        <v>2913</v>
      </c>
      <c r="AL1940" t="s">
        <v>2912</v>
      </c>
    </row>
    <row r="1941" spans="5:38" x14ac:dyDescent="0.25">
      <c r="I1941" t="str">
        <f t="shared" si="160"/>
        <v>popbounc</v>
      </c>
      <c r="J1941" t="str">
        <f t="shared" si="161"/>
        <v/>
      </c>
      <c r="L1941" t="str">
        <f t="shared" si="159"/>
        <v>NGM-2370?</v>
      </c>
      <c r="M1941" t="str">
        <f t="shared" si="159"/>
        <v/>
      </c>
      <c r="N1941" t="str">
        <f t="shared" si="159"/>
        <v>ガッポリン</v>
      </c>
      <c r="O1941" t="str">
        <f t="shared" si="159"/>
        <v/>
      </c>
      <c r="P1941" t="str">
        <f t="shared" si="159"/>
        <v/>
      </c>
      <c r="T1941" t="str">
        <f t="shared" si="162"/>
        <v/>
      </c>
      <c r="V1941" t="str">
        <f t="shared" si="158"/>
        <v>MVS</v>
      </c>
      <c r="W1941" t="str">
        <f t="shared" si="158"/>
        <v>MVS,AES</v>
      </c>
      <c r="AG1941" t="s">
        <v>6</v>
      </c>
      <c r="AH1941" t="s">
        <v>2911</v>
      </c>
      <c r="AI1941" t="s">
        <v>4</v>
      </c>
      <c r="AJ1941" t="s">
        <v>3</v>
      </c>
      <c r="AK1941" t="s">
        <v>2910</v>
      </c>
      <c r="AL1941" t="s">
        <v>2909</v>
      </c>
    </row>
    <row r="1942" spans="5:38" x14ac:dyDescent="0.25">
      <c r="E1942" t="s">
        <v>2898</v>
      </c>
      <c r="F1942" t="s">
        <v>2908</v>
      </c>
      <c r="G1942" t="s">
        <v>1145</v>
      </c>
      <c r="H1942" t="s">
        <v>2520</v>
      </c>
      <c r="I1942" t="str">
        <f t="shared" si="160"/>
        <v>shocktro</v>
      </c>
      <c r="J1942" t="str">
        <f t="shared" si="161"/>
        <v>shocktroserial</v>
      </c>
      <c r="K1942" t="s">
        <v>1373</v>
      </c>
      <c r="L1942" t="str">
        <f t="shared" si="159"/>
        <v>NGM-2380</v>
      </c>
      <c r="M1942" t="str">
        <f t="shared" si="159"/>
        <v>19971111</v>
      </c>
      <c r="N1942" t="str">
        <f t="shared" si="159"/>
        <v>ショックトルーパーズ</v>
      </c>
      <c r="O1942" t="str">
        <f t="shared" si="159"/>
        <v/>
      </c>
      <c r="P1942" t="str">
        <f t="shared" si="159"/>
        <v/>
      </c>
      <c r="Q1942" t="s">
        <v>2902</v>
      </c>
      <c r="S1942" t="s">
        <v>46</v>
      </c>
      <c r="T1942" t="str">
        <f t="shared" si="162"/>
        <v>shocktrorelease</v>
      </c>
      <c r="U1942" t="s">
        <v>106</v>
      </c>
      <c r="V1942" t="str">
        <f t="shared" si="158"/>
        <v>MVS</v>
      </c>
      <c r="W1942" t="str">
        <f t="shared" si="158"/>
        <v>MVS,AES</v>
      </c>
      <c r="Y1942" t="s">
        <v>45</v>
      </c>
      <c r="Z1942" t="s">
        <v>44</v>
      </c>
      <c r="AB1942" t="s">
        <v>43</v>
      </c>
      <c r="AC1942" t="s">
        <v>42</v>
      </c>
      <c r="AD1942" t="s">
        <v>41</v>
      </c>
      <c r="AE1942" t="s">
        <v>23</v>
      </c>
      <c r="AG1942" t="s">
        <v>40</v>
      </c>
      <c r="AH1942" t="s">
        <v>2907</v>
      </c>
      <c r="AI1942" t="s">
        <v>9</v>
      </c>
      <c r="AJ1942" t="s">
        <v>15</v>
      </c>
      <c r="AK1942" t="s">
        <v>2906</v>
      </c>
      <c r="AL1942" t="s">
        <v>2905</v>
      </c>
    </row>
    <row r="1943" spans="5:38" x14ac:dyDescent="0.25">
      <c r="I1943" t="str">
        <f t="shared" si="160"/>
        <v>shocktro</v>
      </c>
      <c r="J1943" t="str">
        <f t="shared" si="161"/>
        <v>shocktrorelease</v>
      </c>
      <c r="K1943" t="s">
        <v>46</v>
      </c>
      <c r="L1943" t="str">
        <f t="shared" si="159"/>
        <v>NGM-2380</v>
      </c>
      <c r="M1943" t="str">
        <f t="shared" si="159"/>
        <v>19971111</v>
      </c>
      <c r="N1943" t="str">
        <f t="shared" si="159"/>
        <v>ショックトルーパーズ</v>
      </c>
      <c r="O1943" t="str">
        <f t="shared" si="159"/>
        <v/>
      </c>
      <c r="P1943" t="str">
        <f t="shared" si="159"/>
        <v/>
      </c>
      <c r="Q1943" t="s">
        <v>2897</v>
      </c>
      <c r="T1943" t="str">
        <f t="shared" si="162"/>
        <v/>
      </c>
      <c r="V1943" t="str">
        <f t="shared" ref="V1943:W2006" si="163">IFERROR(VLOOKUP($I1943&amp;V$1,$T:$AA,2,0),"")</f>
        <v>MVS</v>
      </c>
      <c r="W1943" t="str">
        <f t="shared" si="163"/>
        <v>MVS,AES</v>
      </c>
      <c r="AG1943" t="s">
        <v>40</v>
      </c>
      <c r="AH1943" t="s">
        <v>2896</v>
      </c>
      <c r="AI1943" t="s">
        <v>15</v>
      </c>
      <c r="AJ1943" t="s">
        <v>11</v>
      </c>
      <c r="AK1943" t="s">
        <v>2895</v>
      </c>
      <c r="AL1943" t="s">
        <v>2894</v>
      </c>
    </row>
    <row r="1944" spans="5:38" x14ac:dyDescent="0.25">
      <c r="I1944" t="str">
        <f t="shared" si="160"/>
        <v>shocktro</v>
      </c>
      <c r="J1944" t="str">
        <f t="shared" si="161"/>
        <v>shocktroalt_title</v>
      </c>
      <c r="K1944" t="s">
        <v>1218</v>
      </c>
      <c r="L1944" t="str">
        <f t="shared" si="159"/>
        <v>NGM-2380</v>
      </c>
      <c r="M1944" t="str">
        <f t="shared" si="159"/>
        <v>19971111</v>
      </c>
      <c r="N1944" t="str">
        <f t="shared" si="159"/>
        <v>ショックトルーパーズ</v>
      </c>
      <c r="O1944" t="str">
        <f t="shared" si="159"/>
        <v/>
      </c>
      <c r="P1944" t="str">
        <f t="shared" si="159"/>
        <v/>
      </c>
      <c r="Q1944" t="s">
        <v>2893</v>
      </c>
      <c r="T1944" t="str">
        <f t="shared" si="162"/>
        <v/>
      </c>
      <c r="V1944" t="str">
        <f t="shared" si="163"/>
        <v>MVS</v>
      </c>
      <c r="W1944" t="str">
        <f t="shared" si="163"/>
        <v>MVS,AES</v>
      </c>
      <c r="AB1944" t="s">
        <v>34</v>
      </c>
      <c r="AE1944" t="s">
        <v>33</v>
      </c>
      <c r="AH1944" t="s">
        <v>2892</v>
      </c>
      <c r="AI1944" t="s">
        <v>9</v>
      </c>
      <c r="AJ1944" t="s">
        <v>27</v>
      </c>
      <c r="AK1944" t="s">
        <v>2891</v>
      </c>
      <c r="AL1944" t="s">
        <v>2890</v>
      </c>
    </row>
    <row r="1945" spans="5:38" x14ac:dyDescent="0.25">
      <c r="I1945" t="str">
        <f t="shared" si="160"/>
        <v>shocktro</v>
      </c>
      <c r="J1945" t="str">
        <f t="shared" si="161"/>
        <v/>
      </c>
      <c r="L1945" t="str">
        <f t="shared" si="159"/>
        <v>NGM-2380</v>
      </c>
      <c r="M1945" t="str">
        <f t="shared" si="159"/>
        <v>19971111</v>
      </c>
      <c r="N1945" t="str">
        <f t="shared" si="159"/>
        <v>ショックトルーパーズ</v>
      </c>
      <c r="O1945" t="str">
        <f t="shared" si="159"/>
        <v/>
      </c>
      <c r="P1945" t="str">
        <f t="shared" si="159"/>
        <v/>
      </c>
      <c r="S1945" t="s">
        <v>36</v>
      </c>
      <c r="T1945" t="str">
        <f t="shared" si="162"/>
        <v>shocktrocompatibility</v>
      </c>
      <c r="U1945" t="s">
        <v>218</v>
      </c>
      <c r="V1945" t="str">
        <f t="shared" si="163"/>
        <v>MVS</v>
      </c>
      <c r="W1945" t="str">
        <f t="shared" si="163"/>
        <v>MVS,AES</v>
      </c>
      <c r="AB1945" t="s">
        <v>29</v>
      </c>
      <c r="AE1945" t="s">
        <v>27</v>
      </c>
      <c r="AH1945" t="s">
        <v>2889</v>
      </c>
      <c r="AI1945" t="s">
        <v>9</v>
      </c>
      <c r="AJ1945" t="s">
        <v>27</v>
      </c>
      <c r="AK1945" t="s">
        <v>2888</v>
      </c>
      <c r="AL1945" t="s">
        <v>2887</v>
      </c>
    </row>
    <row r="1946" spans="5:38" x14ac:dyDescent="0.25">
      <c r="I1946" t="str">
        <f t="shared" si="160"/>
        <v>shocktro</v>
      </c>
      <c r="J1946" t="str">
        <f t="shared" si="161"/>
        <v/>
      </c>
      <c r="L1946" t="str">
        <f t="shared" si="159"/>
        <v>NGM-2380</v>
      </c>
      <c r="M1946" t="str">
        <f t="shared" si="159"/>
        <v>19971111</v>
      </c>
      <c r="N1946" t="str">
        <f t="shared" si="159"/>
        <v>ショックトルーパーズ</v>
      </c>
      <c r="O1946" t="str">
        <f t="shared" si="159"/>
        <v/>
      </c>
      <c r="P1946" t="str">
        <f t="shared" si="159"/>
        <v/>
      </c>
      <c r="T1946" t="str">
        <f t="shared" si="162"/>
        <v/>
      </c>
      <c r="V1946" t="str">
        <f t="shared" si="163"/>
        <v>MVS</v>
      </c>
      <c r="W1946" t="str">
        <f t="shared" si="163"/>
        <v>MVS,AES</v>
      </c>
      <c r="AB1946" t="s">
        <v>24</v>
      </c>
      <c r="AE1946" t="s">
        <v>75</v>
      </c>
      <c r="AH1946" t="s">
        <v>2886</v>
      </c>
      <c r="AI1946" t="s">
        <v>9</v>
      </c>
      <c r="AJ1946" t="s">
        <v>11</v>
      </c>
      <c r="AK1946" t="s">
        <v>2885</v>
      </c>
      <c r="AL1946" t="s">
        <v>2884</v>
      </c>
    </row>
    <row r="1947" spans="5:38" x14ac:dyDescent="0.25">
      <c r="I1947" t="str">
        <f t="shared" si="160"/>
        <v>shocktro</v>
      </c>
      <c r="J1947" t="str">
        <f t="shared" si="161"/>
        <v/>
      </c>
      <c r="L1947" t="str">
        <f t="shared" si="159"/>
        <v>NGM-2380</v>
      </c>
      <c r="M1947" t="str">
        <f t="shared" si="159"/>
        <v>19971111</v>
      </c>
      <c r="N1947" t="str">
        <f t="shared" si="159"/>
        <v>ショックトルーパーズ</v>
      </c>
      <c r="O1947" t="str">
        <f t="shared" si="159"/>
        <v/>
      </c>
      <c r="P1947" t="str">
        <f t="shared" si="159"/>
        <v/>
      </c>
      <c r="T1947" t="str">
        <f t="shared" si="162"/>
        <v/>
      </c>
      <c r="V1947" t="str">
        <f t="shared" si="163"/>
        <v>MVS</v>
      </c>
      <c r="W1947" t="str">
        <f t="shared" si="163"/>
        <v>MVS,AES</v>
      </c>
      <c r="AH1947" t="s">
        <v>2883</v>
      </c>
      <c r="AI1947" t="s">
        <v>11</v>
      </c>
      <c r="AJ1947" t="s">
        <v>3</v>
      </c>
      <c r="AK1947" t="s">
        <v>2882</v>
      </c>
      <c r="AL1947" t="s">
        <v>2881</v>
      </c>
    </row>
    <row r="1948" spans="5:38" x14ac:dyDescent="0.25">
      <c r="I1948" t="str">
        <f t="shared" si="160"/>
        <v>shocktro</v>
      </c>
      <c r="J1948" t="str">
        <f t="shared" si="161"/>
        <v/>
      </c>
      <c r="L1948" t="str">
        <f t="shared" si="159"/>
        <v>NGM-2380</v>
      </c>
      <c r="M1948" t="str">
        <f t="shared" si="159"/>
        <v>19971111</v>
      </c>
      <c r="N1948" t="str">
        <f t="shared" si="159"/>
        <v>ショックトルーパーズ</v>
      </c>
      <c r="O1948" t="str">
        <f t="shared" si="159"/>
        <v/>
      </c>
      <c r="P1948" t="str">
        <f t="shared" si="159"/>
        <v/>
      </c>
      <c r="T1948" t="str">
        <f t="shared" si="162"/>
        <v/>
      </c>
      <c r="V1948" t="str">
        <f t="shared" si="163"/>
        <v>MVS</v>
      </c>
      <c r="W1948" t="str">
        <f t="shared" si="163"/>
        <v>MVS,AES</v>
      </c>
      <c r="AB1948" t="s">
        <v>12</v>
      </c>
      <c r="AE1948" t="s">
        <v>160</v>
      </c>
      <c r="AG1948" t="s">
        <v>6</v>
      </c>
      <c r="AH1948" t="s">
        <v>2880</v>
      </c>
      <c r="AI1948" t="s">
        <v>9</v>
      </c>
      <c r="AJ1948" t="s">
        <v>11</v>
      </c>
      <c r="AK1948" t="s">
        <v>2879</v>
      </c>
      <c r="AL1948" t="s">
        <v>2878</v>
      </c>
    </row>
    <row r="1949" spans="5:38" x14ac:dyDescent="0.25">
      <c r="I1949" t="str">
        <f t="shared" si="160"/>
        <v>shocktro</v>
      </c>
      <c r="J1949" t="str">
        <f t="shared" si="161"/>
        <v/>
      </c>
      <c r="L1949" t="str">
        <f t="shared" si="159"/>
        <v>NGM-2380</v>
      </c>
      <c r="M1949" t="str">
        <f t="shared" si="159"/>
        <v>19971111</v>
      </c>
      <c r="N1949" t="str">
        <f t="shared" si="159"/>
        <v>ショックトルーパーズ</v>
      </c>
      <c r="O1949" t="str">
        <f t="shared" si="159"/>
        <v/>
      </c>
      <c r="P1949" t="str">
        <f t="shared" si="159"/>
        <v/>
      </c>
      <c r="T1949" t="str">
        <f t="shared" si="162"/>
        <v/>
      </c>
      <c r="V1949" t="str">
        <f t="shared" si="163"/>
        <v>MVS</v>
      </c>
      <c r="W1949" t="str">
        <f t="shared" si="163"/>
        <v>MVS,AES</v>
      </c>
      <c r="AG1949" t="s">
        <v>6</v>
      </c>
      <c r="AH1949" t="s">
        <v>2877</v>
      </c>
      <c r="AI1949" t="s">
        <v>4</v>
      </c>
      <c r="AJ1949" t="s">
        <v>11</v>
      </c>
      <c r="AK1949" t="s">
        <v>2876</v>
      </c>
      <c r="AL1949" t="s">
        <v>2875</v>
      </c>
    </row>
    <row r="1950" spans="5:38" x14ac:dyDescent="0.25">
      <c r="I1950" t="str">
        <f t="shared" si="160"/>
        <v>shocktro</v>
      </c>
      <c r="J1950" t="str">
        <f t="shared" si="161"/>
        <v/>
      </c>
      <c r="L1950" t="str">
        <f t="shared" si="159"/>
        <v>NGM-2380</v>
      </c>
      <c r="M1950" t="str">
        <f t="shared" si="159"/>
        <v>19971111</v>
      </c>
      <c r="N1950" t="str">
        <f t="shared" si="159"/>
        <v>ショックトルーパーズ</v>
      </c>
      <c r="O1950" t="str">
        <f t="shared" si="159"/>
        <v/>
      </c>
      <c r="P1950" t="str">
        <f t="shared" si="159"/>
        <v/>
      </c>
      <c r="T1950" t="str">
        <f t="shared" si="162"/>
        <v/>
      </c>
      <c r="V1950" t="str">
        <f t="shared" si="163"/>
        <v>MVS</v>
      </c>
      <c r="W1950" t="str">
        <f t="shared" si="163"/>
        <v>MVS,AES</v>
      </c>
      <c r="AG1950" t="s">
        <v>6</v>
      </c>
      <c r="AH1950" t="s">
        <v>2874</v>
      </c>
      <c r="AI1950" t="s">
        <v>57</v>
      </c>
      <c r="AJ1950" t="s">
        <v>11</v>
      </c>
      <c r="AK1950" t="s">
        <v>2873</v>
      </c>
      <c r="AL1950" t="s">
        <v>2872</v>
      </c>
    </row>
    <row r="1951" spans="5:38" x14ac:dyDescent="0.25">
      <c r="I1951" t="str">
        <f t="shared" si="160"/>
        <v>shocktro</v>
      </c>
      <c r="J1951" t="str">
        <f t="shared" si="161"/>
        <v/>
      </c>
      <c r="L1951" t="str">
        <f t="shared" si="159"/>
        <v>NGM-2380</v>
      </c>
      <c r="M1951" t="str">
        <f t="shared" si="159"/>
        <v>19971111</v>
      </c>
      <c r="N1951" t="str">
        <f t="shared" si="159"/>
        <v>ショックトルーパーズ</v>
      </c>
      <c r="O1951" t="str">
        <f t="shared" si="159"/>
        <v/>
      </c>
      <c r="P1951" t="str">
        <f t="shared" si="159"/>
        <v/>
      </c>
      <c r="T1951" t="str">
        <f t="shared" si="162"/>
        <v/>
      </c>
      <c r="V1951" t="str">
        <f t="shared" si="163"/>
        <v>MVS</v>
      </c>
      <c r="W1951" t="str">
        <f t="shared" si="163"/>
        <v>MVS,AES</v>
      </c>
      <c r="AG1951" t="s">
        <v>6</v>
      </c>
      <c r="AH1951" t="s">
        <v>2871</v>
      </c>
      <c r="AI1951" t="s">
        <v>53</v>
      </c>
      <c r="AJ1951" t="s">
        <v>11</v>
      </c>
      <c r="AK1951" t="s">
        <v>2870</v>
      </c>
      <c r="AL1951" t="s">
        <v>2869</v>
      </c>
    </row>
    <row r="1952" spans="5:38" x14ac:dyDescent="0.25">
      <c r="I1952" t="str">
        <f t="shared" si="160"/>
        <v>shocktro</v>
      </c>
      <c r="J1952" t="str">
        <f t="shared" si="161"/>
        <v/>
      </c>
      <c r="L1952" t="str">
        <f t="shared" si="159"/>
        <v>NGM-2380</v>
      </c>
      <c r="M1952" t="str">
        <f t="shared" si="159"/>
        <v>19971111</v>
      </c>
      <c r="N1952" t="str">
        <f t="shared" si="159"/>
        <v>ショックトルーパーズ</v>
      </c>
      <c r="O1952" t="str">
        <f t="shared" si="159"/>
        <v/>
      </c>
      <c r="P1952" t="str">
        <f t="shared" si="159"/>
        <v/>
      </c>
      <c r="T1952" t="str">
        <f t="shared" si="162"/>
        <v/>
      </c>
      <c r="V1952" t="str">
        <f t="shared" si="163"/>
        <v>MVS</v>
      </c>
      <c r="W1952" t="str">
        <f t="shared" si="163"/>
        <v>MVS,AES</v>
      </c>
      <c r="AG1952" t="s">
        <v>6</v>
      </c>
      <c r="AH1952" t="s">
        <v>2868</v>
      </c>
      <c r="AI1952" t="s">
        <v>65</v>
      </c>
      <c r="AJ1952" t="s">
        <v>11</v>
      </c>
      <c r="AK1952" t="s">
        <v>2867</v>
      </c>
      <c r="AL1952" t="s">
        <v>2866</v>
      </c>
    </row>
    <row r="1953" spans="5:44" x14ac:dyDescent="0.25">
      <c r="I1953" t="str">
        <f t="shared" si="160"/>
        <v>shocktro</v>
      </c>
      <c r="J1953" t="str">
        <f t="shared" si="161"/>
        <v/>
      </c>
      <c r="L1953" t="str">
        <f t="shared" ref="L1953:P2003" si="164">IFERROR(VLOOKUP($I1953&amp;L$1,$J:$Q,8,0),"")</f>
        <v>NGM-2380</v>
      </c>
      <c r="M1953" t="str">
        <f t="shared" si="164"/>
        <v>19971111</v>
      </c>
      <c r="N1953" t="str">
        <f t="shared" si="164"/>
        <v>ショックトルーパーズ</v>
      </c>
      <c r="O1953" t="str">
        <f t="shared" si="164"/>
        <v/>
      </c>
      <c r="P1953" t="str">
        <f t="shared" si="164"/>
        <v/>
      </c>
      <c r="T1953" t="str">
        <f t="shared" si="162"/>
        <v/>
      </c>
      <c r="V1953" t="str">
        <f t="shared" si="163"/>
        <v>MVS</v>
      </c>
      <c r="W1953" t="str">
        <f t="shared" si="163"/>
        <v>MVS,AES</v>
      </c>
      <c r="AG1953" t="s">
        <v>6</v>
      </c>
      <c r="AH1953" t="s">
        <v>2865</v>
      </c>
      <c r="AI1953" t="s">
        <v>164</v>
      </c>
      <c r="AJ1953" t="s">
        <v>11</v>
      </c>
      <c r="AK1953" t="s">
        <v>2864</v>
      </c>
      <c r="AL1953" t="s">
        <v>2863</v>
      </c>
    </row>
    <row r="1954" spans="5:44" x14ac:dyDescent="0.25">
      <c r="I1954" t="str">
        <f t="shared" si="160"/>
        <v>shocktro</v>
      </c>
      <c r="J1954" t="str">
        <f t="shared" si="161"/>
        <v/>
      </c>
      <c r="L1954" t="str">
        <f t="shared" si="164"/>
        <v>NGM-2380</v>
      </c>
      <c r="M1954" t="str">
        <f t="shared" si="164"/>
        <v>19971111</v>
      </c>
      <c r="N1954" t="str">
        <f t="shared" si="164"/>
        <v>ショックトルーパーズ</v>
      </c>
      <c r="O1954" t="str">
        <f t="shared" si="164"/>
        <v/>
      </c>
      <c r="P1954" t="str">
        <f t="shared" si="164"/>
        <v/>
      </c>
      <c r="T1954" t="str">
        <f t="shared" si="162"/>
        <v/>
      </c>
      <c r="V1954" t="str">
        <f t="shared" si="163"/>
        <v>MVS</v>
      </c>
      <c r="W1954" t="str">
        <f t="shared" si="163"/>
        <v>MVS,AES</v>
      </c>
      <c r="AG1954" t="s">
        <v>6</v>
      </c>
      <c r="AH1954" t="s">
        <v>2862</v>
      </c>
      <c r="AI1954" t="s">
        <v>634</v>
      </c>
      <c r="AJ1954" t="s">
        <v>11</v>
      </c>
      <c r="AK1954" t="s">
        <v>2861</v>
      </c>
      <c r="AL1954" t="s">
        <v>2860</v>
      </c>
    </row>
    <row r="1955" spans="5:44" x14ac:dyDescent="0.25">
      <c r="I1955" t="str">
        <f t="shared" si="160"/>
        <v>shocktro</v>
      </c>
      <c r="J1955" t="str">
        <f t="shared" si="161"/>
        <v/>
      </c>
      <c r="L1955" t="str">
        <f t="shared" si="164"/>
        <v>NGM-2380</v>
      </c>
      <c r="M1955" t="str">
        <f t="shared" si="164"/>
        <v>19971111</v>
      </c>
      <c r="N1955" t="str">
        <f t="shared" si="164"/>
        <v>ショックトルーパーズ</v>
      </c>
      <c r="O1955" t="str">
        <f t="shared" si="164"/>
        <v/>
      </c>
      <c r="P1955" t="str">
        <f t="shared" si="164"/>
        <v/>
      </c>
      <c r="T1955" t="str">
        <f t="shared" si="162"/>
        <v/>
      </c>
      <c r="V1955" t="str">
        <f t="shared" si="163"/>
        <v>MVS</v>
      </c>
      <c r="W1955" t="str">
        <f t="shared" si="163"/>
        <v>MVS,AES</v>
      </c>
      <c r="AG1955" t="s">
        <v>6</v>
      </c>
      <c r="AH1955" t="s">
        <v>2859</v>
      </c>
      <c r="AI1955" t="s">
        <v>630</v>
      </c>
      <c r="AJ1955" t="s">
        <v>11</v>
      </c>
      <c r="AK1955" t="s">
        <v>2858</v>
      </c>
      <c r="AL1955" t="s">
        <v>2857</v>
      </c>
    </row>
    <row r="1956" spans="5:44" x14ac:dyDescent="0.25">
      <c r="E1956" t="s">
        <v>2904</v>
      </c>
      <c r="F1956" t="s">
        <v>2903</v>
      </c>
      <c r="G1956" t="s">
        <v>1145</v>
      </c>
      <c r="H1956" t="s">
        <v>2520</v>
      </c>
      <c r="I1956" t="str">
        <f t="shared" si="160"/>
        <v>shocktroa</v>
      </c>
      <c r="J1956" t="str">
        <f t="shared" si="161"/>
        <v>shocktroaserial</v>
      </c>
      <c r="K1956" t="s">
        <v>1373</v>
      </c>
      <c r="L1956" t="str">
        <f t="shared" si="164"/>
        <v>NGM-2380</v>
      </c>
      <c r="M1956" t="str">
        <f t="shared" si="164"/>
        <v>19971111</v>
      </c>
      <c r="N1956" t="str">
        <f t="shared" si="164"/>
        <v>ショックトルーパーズ</v>
      </c>
      <c r="O1956" t="str">
        <f t="shared" si="164"/>
        <v/>
      </c>
      <c r="P1956" t="str">
        <f t="shared" si="164"/>
        <v/>
      </c>
      <c r="Q1956" t="s">
        <v>2902</v>
      </c>
      <c r="S1956" t="s">
        <v>46</v>
      </c>
      <c r="T1956" t="str">
        <f t="shared" si="162"/>
        <v>shocktroarelease</v>
      </c>
      <c r="U1956" t="s">
        <v>106</v>
      </c>
      <c r="V1956" t="str">
        <f t="shared" si="163"/>
        <v>MVS</v>
      </c>
      <c r="W1956" t="str">
        <f t="shared" si="163"/>
        <v>MVS,AES</v>
      </c>
      <c r="Y1956" t="s">
        <v>45</v>
      </c>
      <c r="Z1956" t="s">
        <v>44</v>
      </c>
      <c r="AB1956" t="s">
        <v>43</v>
      </c>
      <c r="AC1956" t="s">
        <v>42</v>
      </c>
      <c r="AD1956" t="s">
        <v>41</v>
      </c>
      <c r="AE1956" t="s">
        <v>23</v>
      </c>
      <c r="AG1956" t="s">
        <v>40</v>
      </c>
      <c r="AH1956" t="s">
        <v>2901</v>
      </c>
      <c r="AI1956" t="s">
        <v>9</v>
      </c>
      <c r="AJ1956" t="s">
        <v>15</v>
      </c>
      <c r="AK1956" t="s">
        <v>2900</v>
      </c>
      <c r="AL1956" t="s">
        <v>2899</v>
      </c>
      <c r="AR1956" t="s">
        <v>2898</v>
      </c>
    </row>
    <row r="1957" spans="5:44" x14ac:dyDescent="0.25">
      <c r="I1957" t="str">
        <f t="shared" si="160"/>
        <v>shocktroa</v>
      </c>
      <c r="J1957" t="str">
        <f t="shared" si="161"/>
        <v>shocktroarelease</v>
      </c>
      <c r="K1957" t="s">
        <v>46</v>
      </c>
      <c r="L1957" t="str">
        <f t="shared" si="164"/>
        <v>NGM-2380</v>
      </c>
      <c r="M1957" t="str">
        <f t="shared" si="164"/>
        <v>19971111</v>
      </c>
      <c r="N1957" t="str">
        <f t="shared" si="164"/>
        <v>ショックトルーパーズ</v>
      </c>
      <c r="O1957" t="str">
        <f t="shared" si="164"/>
        <v/>
      </c>
      <c r="P1957" t="str">
        <f t="shared" si="164"/>
        <v/>
      </c>
      <c r="Q1957" t="s">
        <v>2897</v>
      </c>
      <c r="T1957" t="str">
        <f t="shared" si="162"/>
        <v/>
      </c>
      <c r="V1957" t="str">
        <f t="shared" si="163"/>
        <v>MVS</v>
      </c>
      <c r="W1957" t="str">
        <f t="shared" si="163"/>
        <v>MVS,AES</v>
      </c>
      <c r="AG1957" t="s">
        <v>40</v>
      </c>
      <c r="AH1957" t="s">
        <v>2896</v>
      </c>
      <c r="AI1957" t="s">
        <v>15</v>
      </c>
      <c r="AJ1957" t="s">
        <v>11</v>
      </c>
      <c r="AK1957" t="s">
        <v>2895</v>
      </c>
      <c r="AL1957" t="s">
        <v>2894</v>
      </c>
    </row>
    <row r="1958" spans="5:44" x14ac:dyDescent="0.25">
      <c r="I1958" t="str">
        <f t="shared" si="160"/>
        <v>shocktroa</v>
      </c>
      <c r="J1958" t="str">
        <f t="shared" si="161"/>
        <v>shocktroaalt_title</v>
      </c>
      <c r="K1958" t="s">
        <v>1218</v>
      </c>
      <c r="L1958" t="str">
        <f t="shared" si="164"/>
        <v>NGM-2380</v>
      </c>
      <c r="M1958" t="str">
        <f t="shared" si="164"/>
        <v>19971111</v>
      </c>
      <c r="N1958" t="str">
        <f t="shared" si="164"/>
        <v>ショックトルーパーズ</v>
      </c>
      <c r="O1958" t="str">
        <f t="shared" si="164"/>
        <v/>
      </c>
      <c r="P1958" t="str">
        <f t="shared" si="164"/>
        <v/>
      </c>
      <c r="Q1958" t="s">
        <v>2893</v>
      </c>
      <c r="T1958" t="str">
        <f t="shared" si="162"/>
        <v/>
      </c>
      <c r="V1958" t="str">
        <f t="shared" si="163"/>
        <v>MVS</v>
      </c>
      <c r="W1958" t="str">
        <f t="shared" si="163"/>
        <v>MVS,AES</v>
      </c>
      <c r="AB1958" t="s">
        <v>34</v>
      </c>
      <c r="AE1958" t="s">
        <v>33</v>
      </c>
      <c r="AH1958" t="s">
        <v>2892</v>
      </c>
      <c r="AI1958" t="s">
        <v>9</v>
      </c>
      <c r="AJ1958" t="s">
        <v>27</v>
      </c>
      <c r="AK1958" t="s">
        <v>2891</v>
      </c>
      <c r="AL1958" t="s">
        <v>2890</v>
      </c>
    </row>
    <row r="1959" spans="5:44" x14ac:dyDescent="0.25">
      <c r="I1959" t="str">
        <f t="shared" si="160"/>
        <v>shocktroa</v>
      </c>
      <c r="J1959" t="str">
        <f t="shared" si="161"/>
        <v/>
      </c>
      <c r="L1959" t="str">
        <f t="shared" si="164"/>
        <v>NGM-2380</v>
      </c>
      <c r="M1959" t="str">
        <f t="shared" si="164"/>
        <v>19971111</v>
      </c>
      <c r="N1959" t="str">
        <f t="shared" si="164"/>
        <v>ショックトルーパーズ</v>
      </c>
      <c r="O1959" t="str">
        <f t="shared" si="164"/>
        <v/>
      </c>
      <c r="P1959" t="str">
        <f t="shared" si="164"/>
        <v/>
      </c>
      <c r="S1959" t="s">
        <v>36</v>
      </c>
      <c r="T1959" t="str">
        <f t="shared" si="162"/>
        <v>shocktroacompatibility</v>
      </c>
      <c r="U1959" t="s">
        <v>218</v>
      </c>
      <c r="V1959" t="str">
        <f t="shared" si="163"/>
        <v>MVS</v>
      </c>
      <c r="W1959" t="str">
        <f t="shared" si="163"/>
        <v>MVS,AES</v>
      </c>
      <c r="AB1959" t="s">
        <v>29</v>
      </c>
      <c r="AE1959" t="s">
        <v>27</v>
      </c>
      <c r="AH1959" t="s">
        <v>2889</v>
      </c>
      <c r="AI1959" t="s">
        <v>9</v>
      </c>
      <c r="AJ1959" t="s">
        <v>27</v>
      </c>
      <c r="AK1959" t="s">
        <v>2888</v>
      </c>
      <c r="AL1959" t="s">
        <v>2887</v>
      </c>
    </row>
    <row r="1960" spans="5:44" x14ac:dyDescent="0.25">
      <c r="I1960" t="str">
        <f t="shared" si="160"/>
        <v>shocktroa</v>
      </c>
      <c r="J1960" t="str">
        <f t="shared" si="161"/>
        <v/>
      </c>
      <c r="L1960" t="str">
        <f t="shared" si="164"/>
        <v>NGM-2380</v>
      </c>
      <c r="M1960" t="str">
        <f t="shared" si="164"/>
        <v>19971111</v>
      </c>
      <c r="N1960" t="str">
        <f t="shared" si="164"/>
        <v>ショックトルーパーズ</v>
      </c>
      <c r="O1960" t="str">
        <f t="shared" si="164"/>
        <v/>
      </c>
      <c r="P1960" t="str">
        <f t="shared" si="164"/>
        <v/>
      </c>
      <c r="T1960" t="str">
        <f t="shared" si="162"/>
        <v/>
      </c>
      <c r="V1960" t="str">
        <f t="shared" si="163"/>
        <v>MVS</v>
      </c>
      <c r="W1960" t="str">
        <f t="shared" si="163"/>
        <v>MVS,AES</v>
      </c>
      <c r="AB1960" t="s">
        <v>24</v>
      </c>
      <c r="AE1960" t="s">
        <v>75</v>
      </c>
      <c r="AH1960" t="s">
        <v>2886</v>
      </c>
      <c r="AI1960" t="s">
        <v>9</v>
      </c>
      <c r="AJ1960" t="s">
        <v>11</v>
      </c>
      <c r="AK1960" t="s">
        <v>2885</v>
      </c>
      <c r="AL1960" t="s">
        <v>2884</v>
      </c>
    </row>
    <row r="1961" spans="5:44" x14ac:dyDescent="0.25">
      <c r="I1961" t="str">
        <f t="shared" si="160"/>
        <v>shocktroa</v>
      </c>
      <c r="J1961" t="str">
        <f t="shared" si="161"/>
        <v/>
      </c>
      <c r="L1961" t="str">
        <f t="shared" si="164"/>
        <v>NGM-2380</v>
      </c>
      <c r="M1961" t="str">
        <f t="shared" si="164"/>
        <v>19971111</v>
      </c>
      <c r="N1961" t="str">
        <f t="shared" si="164"/>
        <v>ショックトルーパーズ</v>
      </c>
      <c r="O1961" t="str">
        <f t="shared" si="164"/>
        <v/>
      </c>
      <c r="P1961" t="str">
        <f t="shared" si="164"/>
        <v/>
      </c>
      <c r="T1961" t="str">
        <f t="shared" si="162"/>
        <v/>
      </c>
      <c r="V1961" t="str">
        <f t="shared" si="163"/>
        <v>MVS</v>
      </c>
      <c r="W1961" t="str">
        <f t="shared" si="163"/>
        <v>MVS,AES</v>
      </c>
      <c r="AH1961" t="s">
        <v>2883</v>
      </c>
      <c r="AI1961" t="s">
        <v>11</v>
      </c>
      <c r="AJ1961" t="s">
        <v>3</v>
      </c>
      <c r="AK1961" t="s">
        <v>2882</v>
      </c>
      <c r="AL1961" t="s">
        <v>2881</v>
      </c>
    </row>
    <row r="1962" spans="5:44" x14ac:dyDescent="0.25">
      <c r="I1962" t="str">
        <f t="shared" si="160"/>
        <v>shocktroa</v>
      </c>
      <c r="J1962" t="str">
        <f t="shared" si="161"/>
        <v/>
      </c>
      <c r="L1962" t="str">
        <f t="shared" si="164"/>
        <v>NGM-2380</v>
      </c>
      <c r="M1962" t="str">
        <f t="shared" si="164"/>
        <v>19971111</v>
      </c>
      <c r="N1962" t="str">
        <f t="shared" si="164"/>
        <v>ショックトルーパーズ</v>
      </c>
      <c r="O1962" t="str">
        <f t="shared" si="164"/>
        <v/>
      </c>
      <c r="P1962" t="str">
        <f t="shared" si="164"/>
        <v/>
      </c>
      <c r="T1962" t="str">
        <f t="shared" si="162"/>
        <v/>
      </c>
      <c r="V1962" t="str">
        <f t="shared" si="163"/>
        <v>MVS</v>
      </c>
      <c r="W1962" t="str">
        <f t="shared" si="163"/>
        <v>MVS,AES</v>
      </c>
      <c r="AB1962" t="s">
        <v>12</v>
      </c>
      <c r="AE1962" t="s">
        <v>160</v>
      </c>
      <c r="AG1962" t="s">
        <v>6</v>
      </c>
      <c r="AH1962" t="s">
        <v>2880</v>
      </c>
      <c r="AI1962" t="s">
        <v>9</v>
      </c>
      <c r="AJ1962" t="s">
        <v>11</v>
      </c>
      <c r="AK1962" t="s">
        <v>2879</v>
      </c>
      <c r="AL1962" t="s">
        <v>2878</v>
      </c>
    </row>
    <row r="1963" spans="5:44" x14ac:dyDescent="0.25">
      <c r="I1963" t="str">
        <f t="shared" si="160"/>
        <v>shocktroa</v>
      </c>
      <c r="J1963" t="str">
        <f t="shared" si="161"/>
        <v/>
      </c>
      <c r="L1963" t="str">
        <f t="shared" si="164"/>
        <v>NGM-2380</v>
      </c>
      <c r="M1963" t="str">
        <f t="shared" si="164"/>
        <v>19971111</v>
      </c>
      <c r="N1963" t="str">
        <f t="shared" si="164"/>
        <v>ショックトルーパーズ</v>
      </c>
      <c r="O1963" t="str">
        <f t="shared" si="164"/>
        <v/>
      </c>
      <c r="P1963" t="str">
        <f t="shared" si="164"/>
        <v/>
      </c>
      <c r="T1963" t="str">
        <f t="shared" si="162"/>
        <v/>
      </c>
      <c r="V1963" t="str">
        <f t="shared" si="163"/>
        <v>MVS</v>
      </c>
      <c r="W1963" t="str">
        <f t="shared" si="163"/>
        <v>MVS,AES</v>
      </c>
      <c r="AG1963" t="s">
        <v>6</v>
      </c>
      <c r="AH1963" t="s">
        <v>2877</v>
      </c>
      <c r="AI1963" t="s">
        <v>4</v>
      </c>
      <c r="AJ1963" t="s">
        <v>11</v>
      </c>
      <c r="AK1963" t="s">
        <v>2876</v>
      </c>
      <c r="AL1963" t="s">
        <v>2875</v>
      </c>
    </row>
    <row r="1964" spans="5:44" x14ac:dyDescent="0.25">
      <c r="I1964" t="str">
        <f t="shared" si="160"/>
        <v>shocktroa</v>
      </c>
      <c r="J1964" t="str">
        <f t="shared" si="161"/>
        <v/>
      </c>
      <c r="L1964" t="str">
        <f t="shared" si="164"/>
        <v>NGM-2380</v>
      </c>
      <c r="M1964" t="str">
        <f t="shared" si="164"/>
        <v>19971111</v>
      </c>
      <c r="N1964" t="str">
        <f t="shared" si="164"/>
        <v>ショックトルーパーズ</v>
      </c>
      <c r="O1964" t="str">
        <f t="shared" si="164"/>
        <v/>
      </c>
      <c r="P1964" t="str">
        <f t="shared" si="164"/>
        <v/>
      </c>
      <c r="T1964" t="str">
        <f t="shared" si="162"/>
        <v/>
      </c>
      <c r="V1964" t="str">
        <f t="shared" si="163"/>
        <v>MVS</v>
      </c>
      <c r="W1964" t="str">
        <f t="shared" si="163"/>
        <v>MVS,AES</v>
      </c>
      <c r="AG1964" t="s">
        <v>6</v>
      </c>
      <c r="AH1964" t="s">
        <v>2874</v>
      </c>
      <c r="AI1964" t="s">
        <v>57</v>
      </c>
      <c r="AJ1964" t="s">
        <v>11</v>
      </c>
      <c r="AK1964" t="s">
        <v>2873</v>
      </c>
      <c r="AL1964" t="s">
        <v>2872</v>
      </c>
    </row>
    <row r="1965" spans="5:44" x14ac:dyDescent="0.25">
      <c r="I1965" t="str">
        <f t="shared" si="160"/>
        <v>shocktroa</v>
      </c>
      <c r="J1965" t="str">
        <f t="shared" si="161"/>
        <v/>
      </c>
      <c r="L1965" t="str">
        <f t="shared" si="164"/>
        <v>NGM-2380</v>
      </c>
      <c r="M1965" t="str">
        <f t="shared" si="164"/>
        <v>19971111</v>
      </c>
      <c r="N1965" t="str">
        <f t="shared" si="164"/>
        <v>ショックトルーパーズ</v>
      </c>
      <c r="O1965" t="str">
        <f t="shared" si="164"/>
        <v/>
      </c>
      <c r="P1965" t="str">
        <f t="shared" si="164"/>
        <v/>
      </c>
      <c r="T1965" t="str">
        <f t="shared" si="162"/>
        <v/>
      </c>
      <c r="V1965" t="str">
        <f t="shared" si="163"/>
        <v>MVS</v>
      </c>
      <c r="W1965" t="str">
        <f t="shared" si="163"/>
        <v>MVS,AES</v>
      </c>
      <c r="AG1965" t="s">
        <v>6</v>
      </c>
      <c r="AH1965" t="s">
        <v>2871</v>
      </c>
      <c r="AI1965" t="s">
        <v>53</v>
      </c>
      <c r="AJ1965" t="s">
        <v>11</v>
      </c>
      <c r="AK1965" t="s">
        <v>2870</v>
      </c>
      <c r="AL1965" t="s">
        <v>2869</v>
      </c>
    </row>
    <row r="1966" spans="5:44" x14ac:dyDescent="0.25">
      <c r="I1966" t="str">
        <f t="shared" si="160"/>
        <v>shocktroa</v>
      </c>
      <c r="J1966" t="str">
        <f t="shared" si="161"/>
        <v/>
      </c>
      <c r="L1966" t="str">
        <f t="shared" si="164"/>
        <v>NGM-2380</v>
      </c>
      <c r="M1966" t="str">
        <f t="shared" si="164"/>
        <v>19971111</v>
      </c>
      <c r="N1966" t="str">
        <f t="shared" si="164"/>
        <v>ショックトルーパーズ</v>
      </c>
      <c r="O1966" t="str">
        <f t="shared" si="164"/>
        <v/>
      </c>
      <c r="P1966" t="str">
        <f t="shared" si="164"/>
        <v/>
      </c>
      <c r="T1966" t="str">
        <f t="shared" si="162"/>
        <v/>
      </c>
      <c r="V1966" t="str">
        <f t="shared" si="163"/>
        <v>MVS</v>
      </c>
      <c r="W1966" t="str">
        <f t="shared" si="163"/>
        <v>MVS,AES</v>
      </c>
      <c r="AG1966" t="s">
        <v>6</v>
      </c>
      <c r="AH1966" t="s">
        <v>2868</v>
      </c>
      <c r="AI1966" t="s">
        <v>65</v>
      </c>
      <c r="AJ1966" t="s">
        <v>11</v>
      </c>
      <c r="AK1966" t="s">
        <v>2867</v>
      </c>
      <c r="AL1966" t="s">
        <v>2866</v>
      </c>
    </row>
    <row r="1967" spans="5:44" x14ac:dyDescent="0.25">
      <c r="I1967" t="str">
        <f t="shared" si="160"/>
        <v>shocktroa</v>
      </c>
      <c r="J1967" t="str">
        <f t="shared" si="161"/>
        <v/>
      </c>
      <c r="L1967" t="str">
        <f t="shared" si="164"/>
        <v>NGM-2380</v>
      </c>
      <c r="M1967" t="str">
        <f t="shared" si="164"/>
        <v>19971111</v>
      </c>
      <c r="N1967" t="str">
        <f t="shared" si="164"/>
        <v>ショックトルーパーズ</v>
      </c>
      <c r="O1967" t="str">
        <f t="shared" si="164"/>
        <v/>
      </c>
      <c r="P1967" t="str">
        <f t="shared" si="164"/>
        <v/>
      </c>
      <c r="T1967" t="str">
        <f t="shared" si="162"/>
        <v/>
      </c>
      <c r="V1967" t="str">
        <f t="shared" si="163"/>
        <v>MVS</v>
      </c>
      <c r="W1967" t="str">
        <f t="shared" si="163"/>
        <v>MVS,AES</v>
      </c>
      <c r="AG1967" t="s">
        <v>6</v>
      </c>
      <c r="AH1967" t="s">
        <v>2865</v>
      </c>
      <c r="AI1967" t="s">
        <v>164</v>
      </c>
      <c r="AJ1967" t="s">
        <v>11</v>
      </c>
      <c r="AK1967" t="s">
        <v>2864</v>
      </c>
      <c r="AL1967" t="s">
        <v>2863</v>
      </c>
    </row>
    <row r="1968" spans="5:44" x14ac:dyDescent="0.25">
      <c r="I1968" t="str">
        <f t="shared" si="160"/>
        <v>shocktroa</v>
      </c>
      <c r="J1968" t="str">
        <f t="shared" si="161"/>
        <v/>
      </c>
      <c r="L1968" t="str">
        <f t="shared" si="164"/>
        <v>NGM-2380</v>
      </c>
      <c r="M1968" t="str">
        <f t="shared" si="164"/>
        <v>19971111</v>
      </c>
      <c r="N1968" t="str">
        <f t="shared" si="164"/>
        <v>ショックトルーパーズ</v>
      </c>
      <c r="O1968" t="str">
        <f t="shared" si="164"/>
        <v/>
      </c>
      <c r="P1968" t="str">
        <f t="shared" si="164"/>
        <v/>
      </c>
      <c r="T1968" t="str">
        <f t="shared" si="162"/>
        <v/>
      </c>
      <c r="V1968" t="str">
        <f t="shared" si="163"/>
        <v>MVS</v>
      </c>
      <c r="W1968" t="str">
        <f t="shared" si="163"/>
        <v>MVS,AES</v>
      </c>
      <c r="AG1968" t="s">
        <v>6</v>
      </c>
      <c r="AH1968" t="s">
        <v>2862</v>
      </c>
      <c r="AI1968" t="s">
        <v>634</v>
      </c>
      <c r="AJ1968" t="s">
        <v>11</v>
      </c>
      <c r="AK1968" t="s">
        <v>2861</v>
      </c>
      <c r="AL1968" t="s">
        <v>2860</v>
      </c>
    </row>
    <row r="1969" spans="5:38" x14ac:dyDescent="0.25">
      <c r="I1969" t="str">
        <f t="shared" si="160"/>
        <v>shocktroa</v>
      </c>
      <c r="J1969" t="str">
        <f t="shared" si="161"/>
        <v/>
      </c>
      <c r="L1969" t="str">
        <f t="shared" si="164"/>
        <v>NGM-2380</v>
      </c>
      <c r="M1969" t="str">
        <f t="shared" si="164"/>
        <v>19971111</v>
      </c>
      <c r="N1969" t="str">
        <f t="shared" si="164"/>
        <v>ショックトルーパーズ</v>
      </c>
      <c r="O1969" t="str">
        <f t="shared" si="164"/>
        <v/>
      </c>
      <c r="P1969" t="str">
        <f t="shared" si="164"/>
        <v/>
      </c>
      <c r="T1969" t="str">
        <f t="shared" si="162"/>
        <v/>
      </c>
      <c r="V1969" t="str">
        <f t="shared" si="163"/>
        <v>MVS</v>
      </c>
      <c r="W1969" t="str">
        <f t="shared" si="163"/>
        <v>MVS,AES</v>
      </c>
      <c r="AG1969" t="s">
        <v>6</v>
      </c>
      <c r="AH1969" t="s">
        <v>2859</v>
      </c>
      <c r="AI1969" t="s">
        <v>630</v>
      </c>
      <c r="AJ1969" t="s">
        <v>11</v>
      </c>
      <c r="AK1969" t="s">
        <v>2858</v>
      </c>
      <c r="AL1969" t="s">
        <v>2857</v>
      </c>
    </row>
    <row r="1970" spans="5:38" x14ac:dyDescent="0.25">
      <c r="E1970" t="s">
        <v>2856</v>
      </c>
      <c r="F1970" t="s">
        <v>2855</v>
      </c>
      <c r="G1970" t="s">
        <v>1101</v>
      </c>
      <c r="H1970" t="s">
        <v>2854</v>
      </c>
      <c r="I1970" t="str">
        <f t="shared" si="160"/>
        <v>blazstar</v>
      </c>
      <c r="J1970" t="str">
        <f t="shared" si="161"/>
        <v>blazstarserial</v>
      </c>
      <c r="K1970" t="s">
        <v>1373</v>
      </c>
      <c r="L1970" t="str">
        <f t="shared" si="164"/>
        <v>NGM-2390 (MVS), NGH-2390 (AES)</v>
      </c>
      <c r="M1970" t="str">
        <f t="shared" si="164"/>
        <v>19980119 (MVS), 19980226 (AES)</v>
      </c>
      <c r="N1970" t="str">
        <f t="shared" si="164"/>
        <v>ブレイジングスター</v>
      </c>
      <c r="O1970" t="str">
        <f t="shared" si="164"/>
        <v/>
      </c>
      <c r="P1970" t="str">
        <f t="shared" si="164"/>
        <v/>
      </c>
      <c r="Q1970" t="s">
        <v>2853</v>
      </c>
      <c r="S1970" t="s">
        <v>46</v>
      </c>
      <c r="T1970" t="str">
        <f t="shared" si="162"/>
        <v>blazstarrelease</v>
      </c>
      <c r="U1970" t="s">
        <v>218</v>
      </c>
      <c r="V1970" t="str">
        <f t="shared" si="163"/>
        <v>MVS,AES</v>
      </c>
      <c r="W1970" t="str">
        <f t="shared" si="163"/>
        <v>MVS,AES</v>
      </c>
      <c r="Y1970" t="s">
        <v>45</v>
      </c>
      <c r="Z1970" t="s">
        <v>44</v>
      </c>
      <c r="AB1970" t="s">
        <v>43</v>
      </c>
      <c r="AC1970" t="s">
        <v>42</v>
      </c>
      <c r="AD1970" t="s">
        <v>41</v>
      </c>
      <c r="AE1970" t="s">
        <v>377</v>
      </c>
      <c r="AG1970" t="s">
        <v>40</v>
      </c>
      <c r="AH1970" t="s">
        <v>2852</v>
      </c>
      <c r="AI1970" t="s">
        <v>9</v>
      </c>
      <c r="AJ1970" t="s">
        <v>15</v>
      </c>
      <c r="AK1970" t="s">
        <v>2851</v>
      </c>
      <c r="AL1970" t="s">
        <v>2850</v>
      </c>
    </row>
    <row r="1971" spans="5:38" x14ac:dyDescent="0.25">
      <c r="I1971" t="str">
        <f t="shared" si="160"/>
        <v>blazstar</v>
      </c>
      <c r="J1971" t="str">
        <f t="shared" si="161"/>
        <v>blazstarrelease</v>
      </c>
      <c r="K1971" t="s">
        <v>46</v>
      </c>
      <c r="L1971" t="str">
        <f t="shared" si="164"/>
        <v>NGM-2390 (MVS), NGH-2390 (AES)</v>
      </c>
      <c r="M1971" t="str">
        <f t="shared" si="164"/>
        <v>19980119 (MVS), 19980226 (AES)</v>
      </c>
      <c r="N1971" t="str">
        <f t="shared" si="164"/>
        <v>ブレイジングスター</v>
      </c>
      <c r="O1971" t="str">
        <f t="shared" si="164"/>
        <v/>
      </c>
      <c r="P1971" t="str">
        <f t="shared" si="164"/>
        <v/>
      </c>
      <c r="Q1971" t="s">
        <v>2849</v>
      </c>
      <c r="T1971" t="str">
        <f t="shared" si="162"/>
        <v/>
      </c>
      <c r="V1971" t="str">
        <f t="shared" si="163"/>
        <v>MVS,AES</v>
      </c>
      <c r="W1971" t="str">
        <f t="shared" si="163"/>
        <v>MVS,AES</v>
      </c>
      <c r="AG1971" t="s">
        <v>40</v>
      </c>
      <c r="AH1971" t="s">
        <v>2848</v>
      </c>
      <c r="AI1971" t="s">
        <v>15</v>
      </c>
      <c r="AJ1971" t="s">
        <v>3</v>
      </c>
      <c r="AK1971" t="s">
        <v>2847</v>
      </c>
      <c r="AL1971" t="s">
        <v>2846</v>
      </c>
    </row>
    <row r="1972" spans="5:38" x14ac:dyDescent="0.25">
      <c r="I1972" t="str">
        <f t="shared" si="160"/>
        <v>blazstar</v>
      </c>
      <c r="J1972" t="str">
        <f t="shared" si="161"/>
        <v>blazstaralt_title</v>
      </c>
      <c r="K1972" t="s">
        <v>1218</v>
      </c>
      <c r="L1972" t="str">
        <f t="shared" si="164"/>
        <v>NGM-2390 (MVS), NGH-2390 (AES)</v>
      </c>
      <c r="M1972" t="str">
        <f t="shared" si="164"/>
        <v>19980119 (MVS), 19980226 (AES)</v>
      </c>
      <c r="N1972" t="str">
        <f t="shared" si="164"/>
        <v>ブレイジングスター</v>
      </c>
      <c r="O1972" t="str">
        <f t="shared" si="164"/>
        <v/>
      </c>
      <c r="P1972" t="str">
        <f t="shared" si="164"/>
        <v/>
      </c>
      <c r="Q1972" t="s">
        <v>2845</v>
      </c>
      <c r="T1972" t="str">
        <f t="shared" si="162"/>
        <v/>
      </c>
      <c r="V1972" t="str">
        <f t="shared" si="163"/>
        <v>MVS,AES</v>
      </c>
      <c r="W1972" t="str">
        <f t="shared" si="163"/>
        <v>MVS,AES</v>
      </c>
      <c r="AB1972" t="s">
        <v>34</v>
      </c>
      <c r="AE1972" t="s">
        <v>33</v>
      </c>
      <c r="AH1972" t="s">
        <v>2844</v>
      </c>
      <c r="AI1972" t="s">
        <v>9</v>
      </c>
      <c r="AJ1972" t="s">
        <v>27</v>
      </c>
      <c r="AK1972" t="s">
        <v>2843</v>
      </c>
      <c r="AL1972" t="s">
        <v>2842</v>
      </c>
    </row>
    <row r="1973" spans="5:38" x14ac:dyDescent="0.25">
      <c r="I1973" t="str">
        <f t="shared" si="160"/>
        <v>blazstar</v>
      </c>
      <c r="J1973" t="str">
        <f t="shared" si="161"/>
        <v/>
      </c>
      <c r="L1973" t="str">
        <f t="shared" si="164"/>
        <v>NGM-2390 (MVS), NGH-2390 (AES)</v>
      </c>
      <c r="M1973" t="str">
        <f t="shared" si="164"/>
        <v>19980119 (MVS), 19980226 (AES)</v>
      </c>
      <c r="N1973" t="str">
        <f t="shared" si="164"/>
        <v>ブレイジングスター</v>
      </c>
      <c r="O1973" t="str">
        <f t="shared" si="164"/>
        <v/>
      </c>
      <c r="P1973" t="str">
        <f t="shared" si="164"/>
        <v/>
      </c>
      <c r="S1973" t="s">
        <v>36</v>
      </c>
      <c r="T1973" t="str">
        <f t="shared" si="162"/>
        <v>blazstarcompatibility</v>
      </c>
      <c r="U1973" t="s">
        <v>218</v>
      </c>
      <c r="V1973" t="str">
        <f t="shared" si="163"/>
        <v>MVS,AES</v>
      </c>
      <c r="W1973" t="str">
        <f t="shared" si="163"/>
        <v>MVS,AES</v>
      </c>
      <c r="AB1973" t="s">
        <v>29</v>
      </c>
      <c r="AE1973" t="s">
        <v>27</v>
      </c>
      <c r="AH1973" t="s">
        <v>2841</v>
      </c>
      <c r="AI1973" t="s">
        <v>9</v>
      </c>
      <c r="AJ1973" t="s">
        <v>27</v>
      </c>
      <c r="AK1973" t="s">
        <v>2840</v>
      </c>
      <c r="AL1973" t="s">
        <v>2839</v>
      </c>
    </row>
    <row r="1974" spans="5:38" x14ac:dyDescent="0.25">
      <c r="I1974" t="str">
        <f t="shared" si="160"/>
        <v>blazstar</v>
      </c>
      <c r="J1974" t="str">
        <f t="shared" si="161"/>
        <v/>
      </c>
      <c r="L1974" t="str">
        <f t="shared" si="164"/>
        <v>NGM-2390 (MVS), NGH-2390 (AES)</v>
      </c>
      <c r="M1974" t="str">
        <f t="shared" si="164"/>
        <v>19980119 (MVS), 19980226 (AES)</v>
      </c>
      <c r="N1974" t="str">
        <f t="shared" si="164"/>
        <v>ブレイジングスター</v>
      </c>
      <c r="O1974" t="str">
        <f t="shared" si="164"/>
        <v/>
      </c>
      <c r="P1974" t="str">
        <f t="shared" si="164"/>
        <v/>
      </c>
      <c r="T1974" t="str">
        <f t="shared" si="162"/>
        <v/>
      </c>
      <c r="V1974" t="str">
        <f t="shared" si="163"/>
        <v>MVS,AES</v>
      </c>
      <c r="W1974" t="str">
        <f t="shared" si="163"/>
        <v>MVS,AES</v>
      </c>
      <c r="AB1974" t="s">
        <v>24</v>
      </c>
      <c r="AE1974" t="s">
        <v>57</v>
      </c>
      <c r="AH1974" t="s">
        <v>2838</v>
      </c>
      <c r="AI1974" t="s">
        <v>9</v>
      </c>
      <c r="AJ1974" t="s">
        <v>11</v>
      </c>
      <c r="AK1974" t="s">
        <v>2837</v>
      </c>
      <c r="AL1974" t="s">
        <v>2836</v>
      </c>
    </row>
    <row r="1975" spans="5:38" x14ac:dyDescent="0.25">
      <c r="I1975" t="str">
        <f t="shared" si="160"/>
        <v>blazstar</v>
      </c>
      <c r="J1975" t="str">
        <f t="shared" si="161"/>
        <v/>
      </c>
      <c r="L1975" t="str">
        <f t="shared" si="164"/>
        <v>NGM-2390 (MVS), NGH-2390 (AES)</v>
      </c>
      <c r="M1975" t="str">
        <f t="shared" si="164"/>
        <v>19980119 (MVS), 19980226 (AES)</v>
      </c>
      <c r="N1975" t="str">
        <f t="shared" si="164"/>
        <v>ブレイジングスター</v>
      </c>
      <c r="O1975" t="str">
        <f t="shared" si="164"/>
        <v/>
      </c>
      <c r="P1975" t="str">
        <f t="shared" si="164"/>
        <v/>
      </c>
      <c r="T1975" t="str">
        <f t="shared" si="162"/>
        <v/>
      </c>
      <c r="V1975" t="str">
        <f t="shared" si="163"/>
        <v>MVS,AES</v>
      </c>
      <c r="W1975" t="str">
        <f t="shared" si="163"/>
        <v>MVS,AES</v>
      </c>
      <c r="AH1975" t="s">
        <v>2835</v>
      </c>
      <c r="AI1975" t="s">
        <v>11</v>
      </c>
      <c r="AJ1975" t="s">
        <v>11</v>
      </c>
      <c r="AK1975" t="s">
        <v>2834</v>
      </c>
      <c r="AL1975" t="s">
        <v>2833</v>
      </c>
    </row>
    <row r="1976" spans="5:38" x14ac:dyDescent="0.25">
      <c r="I1976" t="str">
        <f t="shared" si="160"/>
        <v>blazstar</v>
      </c>
      <c r="J1976" t="str">
        <f t="shared" si="161"/>
        <v/>
      </c>
      <c r="L1976" t="str">
        <f t="shared" si="164"/>
        <v>NGM-2390 (MVS), NGH-2390 (AES)</v>
      </c>
      <c r="M1976" t="str">
        <f t="shared" si="164"/>
        <v>19980119 (MVS), 19980226 (AES)</v>
      </c>
      <c r="N1976" t="str">
        <f t="shared" si="164"/>
        <v>ブレイジングスター</v>
      </c>
      <c r="O1976" t="str">
        <f t="shared" si="164"/>
        <v/>
      </c>
      <c r="P1976" t="str">
        <f t="shared" si="164"/>
        <v/>
      </c>
      <c r="T1976" t="str">
        <f t="shared" si="162"/>
        <v/>
      </c>
      <c r="V1976" t="str">
        <f t="shared" si="163"/>
        <v>MVS,AES</v>
      </c>
      <c r="W1976" t="str">
        <f t="shared" si="163"/>
        <v>MVS,AES</v>
      </c>
      <c r="AB1976" t="s">
        <v>12</v>
      </c>
      <c r="AE1976" t="s">
        <v>160</v>
      </c>
      <c r="AG1976" t="s">
        <v>6</v>
      </c>
      <c r="AH1976" t="s">
        <v>2832</v>
      </c>
      <c r="AI1976" t="s">
        <v>9</v>
      </c>
      <c r="AJ1976" t="s">
        <v>11</v>
      </c>
      <c r="AK1976" t="s">
        <v>2831</v>
      </c>
      <c r="AL1976" t="s">
        <v>2830</v>
      </c>
    </row>
    <row r="1977" spans="5:38" x14ac:dyDescent="0.25">
      <c r="I1977" t="str">
        <f t="shared" si="160"/>
        <v>blazstar</v>
      </c>
      <c r="J1977" t="str">
        <f t="shared" si="161"/>
        <v/>
      </c>
      <c r="L1977" t="str">
        <f t="shared" si="164"/>
        <v>NGM-2390 (MVS), NGH-2390 (AES)</v>
      </c>
      <c r="M1977" t="str">
        <f t="shared" si="164"/>
        <v>19980119 (MVS), 19980226 (AES)</v>
      </c>
      <c r="N1977" t="str">
        <f t="shared" si="164"/>
        <v>ブレイジングスター</v>
      </c>
      <c r="O1977" t="str">
        <f t="shared" si="164"/>
        <v/>
      </c>
      <c r="P1977" t="str">
        <f t="shared" si="164"/>
        <v/>
      </c>
      <c r="T1977" t="str">
        <f t="shared" si="162"/>
        <v/>
      </c>
      <c r="V1977" t="str">
        <f t="shared" si="163"/>
        <v>MVS,AES</v>
      </c>
      <c r="W1977" t="str">
        <f t="shared" si="163"/>
        <v>MVS,AES</v>
      </c>
      <c r="AG1977" t="s">
        <v>6</v>
      </c>
      <c r="AH1977" t="s">
        <v>2829</v>
      </c>
      <c r="AI1977" t="s">
        <v>4</v>
      </c>
      <c r="AJ1977" t="s">
        <v>11</v>
      </c>
      <c r="AK1977" t="s">
        <v>2828</v>
      </c>
      <c r="AL1977" t="s">
        <v>2827</v>
      </c>
    </row>
    <row r="1978" spans="5:38" x14ac:dyDescent="0.25">
      <c r="I1978" t="str">
        <f t="shared" si="160"/>
        <v>blazstar</v>
      </c>
      <c r="J1978" t="str">
        <f t="shared" si="161"/>
        <v/>
      </c>
      <c r="L1978" t="str">
        <f t="shared" si="164"/>
        <v>NGM-2390 (MVS), NGH-2390 (AES)</v>
      </c>
      <c r="M1978" t="str">
        <f t="shared" si="164"/>
        <v>19980119 (MVS), 19980226 (AES)</v>
      </c>
      <c r="N1978" t="str">
        <f t="shared" si="164"/>
        <v>ブレイジングスター</v>
      </c>
      <c r="O1978" t="str">
        <f t="shared" si="164"/>
        <v/>
      </c>
      <c r="P1978" t="str">
        <f t="shared" si="164"/>
        <v/>
      </c>
      <c r="T1978" t="str">
        <f t="shared" si="162"/>
        <v/>
      </c>
      <c r="V1978" t="str">
        <f t="shared" si="163"/>
        <v>MVS,AES</v>
      </c>
      <c r="W1978" t="str">
        <f t="shared" si="163"/>
        <v>MVS,AES</v>
      </c>
      <c r="AG1978" t="s">
        <v>6</v>
      </c>
      <c r="AH1978" t="s">
        <v>2826</v>
      </c>
      <c r="AI1978" t="s">
        <v>57</v>
      </c>
      <c r="AJ1978" t="s">
        <v>11</v>
      </c>
      <c r="AK1978" t="s">
        <v>2825</v>
      </c>
      <c r="AL1978" t="s">
        <v>2824</v>
      </c>
    </row>
    <row r="1979" spans="5:38" x14ac:dyDescent="0.25">
      <c r="I1979" t="str">
        <f t="shared" si="160"/>
        <v>blazstar</v>
      </c>
      <c r="J1979" t="str">
        <f t="shared" si="161"/>
        <v/>
      </c>
      <c r="L1979" t="str">
        <f t="shared" si="164"/>
        <v>NGM-2390 (MVS), NGH-2390 (AES)</v>
      </c>
      <c r="M1979" t="str">
        <f t="shared" si="164"/>
        <v>19980119 (MVS), 19980226 (AES)</v>
      </c>
      <c r="N1979" t="str">
        <f t="shared" si="164"/>
        <v>ブレイジングスター</v>
      </c>
      <c r="O1979" t="str">
        <f t="shared" si="164"/>
        <v/>
      </c>
      <c r="P1979" t="str">
        <f t="shared" si="164"/>
        <v/>
      </c>
      <c r="T1979" t="str">
        <f t="shared" si="162"/>
        <v/>
      </c>
      <c r="V1979" t="str">
        <f t="shared" si="163"/>
        <v>MVS,AES</v>
      </c>
      <c r="W1979" t="str">
        <f t="shared" si="163"/>
        <v>MVS,AES</v>
      </c>
      <c r="AG1979" t="s">
        <v>6</v>
      </c>
      <c r="AH1979" t="s">
        <v>2823</v>
      </c>
      <c r="AI1979" t="s">
        <v>53</v>
      </c>
      <c r="AJ1979" t="s">
        <v>11</v>
      </c>
      <c r="AK1979" t="s">
        <v>2822</v>
      </c>
      <c r="AL1979" t="s">
        <v>2821</v>
      </c>
    </row>
    <row r="1980" spans="5:38" x14ac:dyDescent="0.25">
      <c r="I1980" t="str">
        <f t="shared" si="160"/>
        <v>blazstar</v>
      </c>
      <c r="J1980" t="str">
        <f t="shared" si="161"/>
        <v/>
      </c>
      <c r="L1980" t="str">
        <f t="shared" si="164"/>
        <v>NGM-2390 (MVS), NGH-2390 (AES)</v>
      </c>
      <c r="M1980" t="str">
        <f t="shared" si="164"/>
        <v>19980119 (MVS), 19980226 (AES)</v>
      </c>
      <c r="N1980" t="str">
        <f t="shared" si="164"/>
        <v>ブレイジングスター</v>
      </c>
      <c r="O1980" t="str">
        <f t="shared" si="164"/>
        <v/>
      </c>
      <c r="P1980" t="str">
        <f t="shared" si="164"/>
        <v/>
      </c>
      <c r="T1980" t="str">
        <f t="shared" si="162"/>
        <v/>
      </c>
      <c r="V1980" t="str">
        <f t="shared" si="163"/>
        <v>MVS,AES</v>
      </c>
      <c r="W1980" t="str">
        <f t="shared" si="163"/>
        <v>MVS,AES</v>
      </c>
      <c r="AG1980" t="s">
        <v>6</v>
      </c>
      <c r="AH1980" t="s">
        <v>2820</v>
      </c>
      <c r="AI1980" t="s">
        <v>65</v>
      </c>
      <c r="AJ1980" t="s">
        <v>11</v>
      </c>
      <c r="AK1980" t="s">
        <v>2819</v>
      </c>
      <c r="AL1980" t="s">
        <v>2818</v>
      </c>
    </row>
    <row r="1981" spans="5:38" x14ac:dyDescent="0.25">
      <c r="I1981" t="str">
        <f t="shared" si="160"/>
        <v>blazstar</v>
      </c>
      <c r="J1981" t="str">
        <f t="shared" si="161"/>
        <v/>
      </c>
      <c r="L1981" t="str">
        <f t="shared" si="164"/>
        <v>NGM-2390 (MVS), NGH-2390 (AES)</v>
      </c>
      <c r="M1981" t="str">
        <f t="shared" si="164"/>
        <v>19980119 (MVS), 19980226 (AES)</v>
      </c>
      <c r="N1981" t="str">
        <f t="shared" si="164"/>
        <v>ブレイジングスター</v>
      </c>
      <c r="O1981" t="str">
        <f t="shared" si="164"/>
        <v/>
      </c>
      <c r="P1981" t="str">
        <f t="shared" si="164"/>
        <v/>
      </c>
      <c r="T1981" t="str">
        <f t="shared" si="162"/>
        <v/>
      </c>
      <c r="V1981" t="str">
        <f t="shared" si="163"/>
        <v>MVS,AES</v>
      </c>
      <c r="W1981" t="str">
        <f t="shared" si="163"/>
        <v>MVS,AES</v>
      </c>
      <c r="AG1981" t="s">
        <v>6</v>
      </c>
      <c r="AH1981" t="s">
        <v>2817</v>
      </c>
      <c r="AI1981" t="s">
        <v>164</v>
      </c>
      <c r="AJ1981" t="s">
        <v>11</v>
      </c>
      <c r="AK1981" t="s">
        <v>2816</v>
      </c>
      <c r="AL1981" t="s">
        <v>2815</v>
      </c>
    </row>
    <row r="1982" spans="5:38" x14ac:dyDescent="0.25">
      <c r="I1982" t="str">
        <f t="shared" si="160"/>
        <v>blazstar</v>
      </c>
      <c r="J1982" t="str">
        <f t="shared" si="161"/>
        <v/>
      </c>
      <c r="L1982" t="str">
        <f t="shared" si="164"/>
        <v>NGM-2390 (MVS), NGH-2390 (AES)</v>
      </c>
      <c r="M1982" t="str">
        <f t="shared" si="164"/>
        <v>19980119 (MVS), 19980226 (AES)</v>
      </c>
      <c r="N1982" t="str">
        <f t="shared" si="164"/>
        <v>ブレイジングスター</v>
      </c>
      <c r="O1982" t="str">
        <f t="shared" si="164"/>
        <v/>
      </c>
      <c r="P1982" t="str">
        <f t="shared" si="164"/>
        <v/>
      </c>
      <c r="T1982" t="str">
        <f t="shared" si="162"/>
        <v/>
      </c>
      <c r="V1982" t="str">
        <f t="shared" si="163"/>
        <v>MVS,AES</v>
      </c>
      <c r="W1982" t="str">
        <f t="shared" si="163"/>
        <v>MVS,AES</v>
      </c>
      <c r="AG1982" t="s">
        <v>6</v>
      </c>
      <c r="AH1982" t="s">
        <v>2814</v>
      </c>
      <c r="AI1982" t="s">
        <v>634</v>
      </c>
      <c r="AJ1982" t="s">
        <v>11</v>
      </c>
      <c r="AK1982" t="s">
        <v>2813</v>
      </c>
      <c r="AL1982" t="s">
        <v>2812</v>
      </c>
    </row>
    <row r="1983" spans="5:38" x14ac:dyDescent="0.25">
      <c r="I1983" t="str">
        <f t="shared" si="160"/>
        <v>blazstar</v>
      </c>
      <c r="J1983" t="str">
        <f t="shared" si="161"/>
        <v/>
      </c>
      <c r="L1983" t="str">
        <f t="shared" si="164"/>
        <v>NGM-2390 (MVS), NGH-2390 (AES)</v>
      </c>
      <c r="M1983" t="str">
        <f t="shared" si="164"/>
        <v>19980119 (MVS), 19980226 (AES)</v>
      </c>
      <c r="N1983" t="str">
        <f t="shared" si="164"/>
        <v>ブレイジングスター</v>
      </c>
      <c r="O1983" t="str">
        <f t="shared" si="164"/>
        <v/>
      </c>
      <c r="P1983" t="str">
        <f t="shared" si="164"/>
        <v/>
      </c>
      <c r="T1983" t="str">
        <f t="shared" si="162"/>
        <v/>
      </c>
      <c r="V1983" t="str">
        <f t="shared" si="163"/>
        <v>MVS,AES</v>
      </c>
      <c r="W1983" t="str">
        <f t="shared" si="163"/>
        <v>MVS,AES</v>
      </c>
      <c r="AG1983" t="s">
        <v>6</v>
      </c>
      <c r="AH1983" t="s">
        <v>2811</v>
      </c>
      <c r="AI1983" t="s">
        <v>630</v>
      </c>
      <c r="AJ1983" t="s">
        <v>11</v>
      </c>
      <c r="AK1983" t="s">
        <v>2810</v>
      </c>
      <c r="AL1983" t="s">
        <v>2809</v>
      </c>
    </row>
    <row r="1984" spans="5:38" x14ac:dyDescent="0.25">
      <c r="E1984" t="s">
        <v>2789</v>
      </c>
      <c r="F1984" t="s">
        <v>2808</v>
      </c>
      <c r="G1984" t="s">
        <v>1101</v>
      </c>
      <c r="H1984" t="s">
        <v>1912</v>
      </c>
      <c r="I1984" t="str">
        <f t="shared" si="160"/>
        <v>rbff2</v>
      </c>
      <c r="J1984" t="str">
        <f t="shared" si="161"/>
        <v>rbff2serial</v>
      </c>
      <c r="K1984" t="s">
        <v>1373</v>
      </c>
      <c r="L1984" t="str">
        <f t="shared" si="164"/>
        <v>NGM-2400</v>
      </c>
      <c r="M1984" t="str">
        <f t="shared" si="164"/>
        <v>19980320</v>
      </c>
      <c r="N1984" t="str">
        <f t="shared" si="164"/>
        <v>リアルバウト餓狼伝説2</v>
      </c>
      <c r="O1984" t="str">
        <f t="shared" si="164"/>
        <v/>
      </c>
      <c r="P1984" t="str">
        <f t="shared" si="164"/>
        <v/>
      </c>
      <c r="Q1984" t="s">
        <v>2807</v>
      </c>
      <c r="S1984" t="s">
        <v>46</v>
      </c>
      <c r="T1984" t="str">
        <f t="shared" si="162"/>
        <v>rbff2release</v>
      </c>
      <c r="U1984" t="s">
        <v>106</v>
      </c>
      <c r="V1984" t="str">
        <f t="shared" si="163"/>
        <v>MVS</v>
      </c>
      <c r="W1984" t="str">
        <f t="shared" si="163"/>
        <v>MVS,AES</v>
      </c>
      <c r="Y1984" t="s">
        <v>45</v>
      </c>
      <c r="Z1984" t="s">
        <v>44</v>
      </c>
      <c r="AB1984" t="s">
        <v>43</v>
      </c>
      <c r="AC1984" t="s">
        <v>42</v>
      </c>
      <c r="AD1984" t="s">
        <v>41</v>
      </c>
      <c r="AE1984" t="s">
        <v>23</v>
      </c>
      <c r="AG1984" t="s">
        <v>40</v>
      </c>
      <c r="AH1984" t="s">
        <v>2806</v>
      </c>
      <c r="AI1984" t="s">
        <v>9</v>
      </c>
      <c r="AJ1984" t="s">
        <v>15</v>
      </c>
      <c r="AK1984" t="s">
        <v>2805</v>
      </c>
      <c r="AL1984" t="s">
        <v>2804</v>
      </c>
    </row>
    <row r="1985" spans="5:44" x14ac:dyDescent="0.25">
      <c r="I1985" t="str">
        <f t="shared" si="160"/>
        <v>rbff2</v>
      </c>
      <c r="J1985" t="str">
        <f t="shared" si="161"/>
        <v>rbff2release</v>
      </c>
      <c r="K1985" t="s">
        <v>46</v>
      </c>
      <c r="L1985" t="str">
        <f t="shared" si="164"/>
        <v>NGM-2400</v>
      </c>
      <c r="M1985" t="str">
        <f t="shared" si="164"/>
        <v>19980320</v>
      </c>
      <c r="N1985" t="str">
        <f t="shared" si="164"/>
        <v>リアルバウト餓狼伝説2</v>
      </c>
      <c r="O1985" t="str">
        <f t="shared" si="164"/>
        <v/>
      </c>
      <c r="P1985" t="str">
        <f t="shared" si="164"/>
        <v/>
      </c>
      <c r="Q1985" t="s">
        <v>2803</v>
      </c>
      <c r="T1985" t="str">
        <f t="shared" si="162"/>
        <v/>
      </c>
      <c r="V1985" t="str">
        <f t="shared" si="163"/>
        <v>MVS</v>
      </c>
      <c r="W1985" t="str">
        <f t="shared" si="163"/>
        <v>MVS,AES</v>
      </c>
      <c r="AG1985" t="s">
        <v>40</v>
      </c>
      <c r="AH1985" t="s">
        <v>2788</v>
      </c>
      <c r="AI1985" t="s">
        <v>15</v>
      </c>
      <c r="AJ1985" t="s">
        <v>11</v>
      </c>
      <c r="AK1985" t="s">
        <v>2787</v>
      </c>
      <c r="AL1985" t="s">
        <v>2786</v>
      </c>
    </row>
    <row r="1986" spans="5:44" x14ac:dyDescent="0.25">
      <c r="I1986" t="str">
        <f t="shared" si="160"/>
        <v>rbff2</v>
      </c>
      <c r="J1986" t="str">
        <f t="shared" si="161"/>
        <v>rbff2alt_title</v>
      </c>
      <c r="K1986" t="s">
        <v>1218</v>
      </c>
      <c r="L1986" t="str">
        <f t="shared" si="164"/>
        <v>NGM-2400</v>
      </c>
      <c r="M1986" t="str">
        <f t="shared" si="164"/>
        <v>19980320</v>
      </c>
      <c r="N1986" t="str">
        <f t="shared" si="164"/>
        <v>リアルバウト餓狼伝説2</v>
      </c>
      <c r="O1986" t="str">
        <f t="shared" si="164"/>
        <v/>
      </c>
      <c r="P1986" t="str">
        <f t="shared" si="164"/>
        <v/>
      </c>
      <c r="Q1986" t="s">
        <v>2795</v>
      </c>
      <c r="T1986" t="str">
        <f t="shared" si="162"/>
        <v/>
      </c>
      <c r="V1986" t="str">
        <f t="shared" si="163"/>
        <v>MVS</v>
      </c>
      <c r="W1986" t="str">
        <f t="shared" si="163"/>
        <v>MVS,AES</v>
      </c>
      <c r="AB1986" t="s">
        <v>34</v>
      </c>
      <c r="AE1986" t="s">
        <v>33</v>
      </c>
      <c r="AH1986" t="s">
        <v>2785</v>
      </c>
      <c r="AI1986" t="s">
        <v>9</v>
      </c>
      <c r="AJ1986" t="s">
        <v>27</v>
      </c>
      <c r="AK1986" t="s">
        <v>2784</v>
      </c>
      <c r="AL1986" t="s">
        <v>2783</v>
      </c>
    </row>
    <row r="1987" spans="5:44" x14ac:dyDescent="0.25">
      <c r="I1987" t="str">
        <f t="shared" ref="I1987:I2050" si="165">IF(E1987="",I1986,E1987)</f>
        <v>rbff2</v>
      </c>
      <c r="J1987" t="str">
        <f t="shared" ref="J1987:J2050" si="166">IF(K1987="","",I1987&amp;K1987)</f>
        <v/>
      </c>
      <c r="L1987" t="str">
        <f t="shared" si="164"/>
        <v>NGM-2400</v>
      </c>
      <c r="M1987" t="str">
        <f t="shared" si="164"/>
        <v>19980320</v>
      </c>
      <c r="N1987" t="str">
        <f t="shared" si="164"/>
        <v>リアルバウト餓狼伝説2</v>
      </c>
      <c r="O1987" t="str">
        <f t="shared" si="164"/>
        <v/>
      </c>
      <c r="P1987" t="str">
        <f t="shared" si="164"/>
        <v/>
      </c>
      <c r="S1987" t="s">
        <v>36</v>
      </c>
      <c r="T1987" t="str">
        <f t="shared" ref="T1987:T2050" si="167">IF(S1987="","",I1987&amp;S1987)</f>
        <v>rbff2compatibility</v>
      </c>
      <c r="U1987" t="s">
        <v>218</v>
      </c>
      <c r="V1987" t="str">
        <f t="shared" si="163"/>
        <v>MVS</v>
      </c>
      <c r="W1987" t="str">
        <f t="shared" si="163"/>
        <v>MVS,AES</v>
      </c>
      <c r="AB1987" t="s">
        <v>29</v>
      </c>
      <c r="AE1987" t="s">
        <v>33</v>
      </c>
      <c r="AH1987" t="s">
        <v>2782</v>
      </c>
      <c r="AI1987" t="s">
        <v>9</v>
      </c>
      <c r="AJ1987" t="s">
        <v>33</v>
      </c>
      <c r="AK1987" t="s">
        <v>2781</v>
      </c>
      <c r="AL1987" t="s">
        <v>2780</v>
      </c>
    </row>
    <row r="1988" spans="5:44" x14ac:dyDescent="0.25">
      <c r="I1988" t="str">
        <f t="shared" si="165"/>
        <v>rbff2</v>
      </c>
      <c r="J1988" t="str">
        <f t="shared" si="166"/>
        <v/>
      </c>
      <c r="L1988" t="str">
        <f t="shared" si="164"/>
        <v>NGM-2400</v>
      </c>
      <c r="M1988" t="str">
        <f t="shared" si="164"/>
        <v>19980320</v>
      </c>
      <c r="N1988" t="str">
        <f t="shared" si="164"/>
        <v>リアルバウト餓狼伝説2</v>
      </c>
      <c r="O1988" t="str">
        <f t="shared" si="164"/>
        <v/>
      </c>
      <c r="P1988" t="str">
        <f t="shared" si="164"/>
        <v/>
      </c>
      <c r="T1988" t="str">
        <f t="shared" si="167"/>
        <v/>
      </c>
      <c r="V1988" t="str">
        <f t="shared" si="163"/>
        <v>MVS</v>
      </c>
      <c r="W1988" t="str">
        <f t="shared" si="163"/>
        <v>MVS,AES</v>
      </c>
      <c r="AB1988" t="s">
        <v>24</v>
      </c>
      <c r="AE1988" t="s">
        <v>1802</v>
      </c>
      <c r="AH1988" t="s">
        <v>2779</v>
      </c>
      <c r="AI1988" t="s">
        <v>9</v>
      </c>
      <c r="AJ1988" t="s">
        <v>11</v>
      </c>
      <c r="AK1988" t="s">
        <v>2778</v>
      </c>
      <c r="AL1988" t="s">
        <v>2777</v>
      </c>
    </row>
    <row r="1989" spans="5:44" x14ac:dyDescent="0.25">
      <c r="I1989" t="str">
        <f t="shared" si="165"/>
        <v>rbff2</v>
      </c>
      <c r="J1989" t="str">
        <f t="shared" si="166"/>
        <v/>
      </c>
      <c r="L1989" t="str">
        <f t="shared" si="164"/>
        <v>NGM-2400</v>
      </c>
      <c r="M1989" t="str">
        <f t="shared" si="164"/>
        <v>19980320</v>
      </c>
      <c r="N1989" t="str">
        <f t="shared" si="164"/>
        <v>リアルバウト餓狼伝説2</v>
      </c>
      <c r="O1989" t="str">
        <f t="shared" si="164"/>
        <v/>
      </c>
      <c r="P1989" t="str">
        <f t="shared" si="164"/>
        <v/>
      </c>
      <c r="T1989" t="str">
        <f t="shared" si="167"/>
        <v/>
      </c>
      <c r="V1989" t="str">
        <f t="shared" si="163"/>
        <v>MVS</v>
      </c>
      <c r="W1989" t="str">
        <f t="shared" si="163"/>
        <v>MVS,AES</v>
      </c>
      <c r="AH1989" t="s">
        <v>2776</v>
      </c>
      <c r="AI1989" t="s">
        <v>11</v>
      </c>
      <c r="AJ1989" t="s">
        <v>11</v>
      </c>
      <c r="AK1989" t="s">
        <v>2775</v>
      </c>
      <c r="AL1989" t="s">
        <v>2774</v>
      </c>
    </row>
    <row r="1990" spans="5:44" x14ac:dyDescent="0.25">
      <c r="I1990" t="str">
        <f t="shared" si="165"/>
        <v>rbff2</v>
      </c>
      <c r="J1990" t="str">
        <f t="shared" si="166"/>
        <v/>
      </c>
      <c r="L1990" t="str">
        <f t="shared" si="164"/>
        <v>NGM-2400</v>
      </c>
      <c r="M1990" t="str">
        <f t="shared" si="164"/>
        <v>19980320</v>
      </c>
      <c r="N1990" t="str">
        <f t="shared" si="164"/>
        <v>リアルバウト餓狼伝説2</v>
      </c>
      <c r="O1990" t="str">
        <f t="shared" si="164"/>
        <v/>
      </c>
      <c r="P1990" t="str">
        <f t="shared" si="164"/>
        <v/>
      </c>
      <c r="T1990" t="str">
        <f t="shared" si="167"/>
        <v/>
      </c>
      <c r="V1990" t="str">
        <f t="shared" si="163"/>
        <v>MVS</v>
      </c>
      <c r="W1990" t="str">
        <f t="shared" si="163"/>
        <v>MVS,AES</v>
      </c>
      <c r="AH1990" t="s">
        <v>2773</v>
      </c>
      <c r="AI1990" t="s">
        <v>57</v>
      </c>
      <c r="AJ1990" t="s">
        <v>11</v>
      </c>
      <c r="AK1990" t="s">
        <v>2772</v>
      </c>
      <c r="AL1990" t="s">
        <v>2771</v>
      </c>
    </row>
    <row r="1991" spans="5:44" x14ac:dyDescent="0.25">
      <c r="I1991" t="str">
        <f t="shared" si="165"/>
        <v>rbff2</v>
      </c>
      <c r="J1991" t="str">
        <f t="shared" si="166"/>
        <v/>
      </c>
      <c r="L1991" t="str">
        <f t="shared" si="164"/>
        <v>NGM-2400</v>
      </c>
      <c r="M1991" t="str">
        <f t="shared" si="164"/>
        <v>19980320</v>
      </c>
      <c r="N1991" t="str">
        <f t="shared" si="164"/>
        <v>リアルバウト餓狼伝説2</v>
      </c>
      <c r="O1991" t="str">
        <f t="shared" si="164"/>
        <v/>
      </c>
      <c r="P1991" t="str">
        <f t="shared" si="164"/>
        <v/>
      </c>
      <c r="T1991" t="str">
        <f t="shared" si="167"/>
        <v/>
      </c>
      <c r="V1991" t="str">
        <f t="shared" si="163"/>
        <v>MVS</v>
      </c>
      <c r="W1991" t="str">
        <f t="shared" si="163"/>
        <v>MVS,AES</v>
      </c>
      <c r="AH1991" t="s">
        <v>2770</v>
      </c>
      <c r="AI1991" t="s">
        <v>250</v>
      </c>
      <c r="AJ1991" t="s">
        <v>3</v>
      </c>
      <c r="AK1991" t="s">
        <v>2769</v>
      </c>
      <c r="AL1991" t="s">
        <v>2768</v>
      </c>
    </row>
    <row r="1992" spans="5:44" x14ac:dyDescent="0.25">
      <c r="I1992" t="str">
        <f t="shared" si="165"/>
        <v>rbff2</v>
      </c>
      <c r="J1992" t="str">
        <f t="shared" si="166"/>
        <v/>
      </c>
      <c r="L1992" t="str">
        <f t="shared" si="164"/>
        <v>NGM-2400</v>
      </c>
      <c r="M1992" t="str">
        <f t="shared" si="164"/>
        <v>19980320</v>
      </c>
      <c r="N1992" t="str">
        <f t="shared" si="164"/>
        <v>リアルバウト餓狼伝説2</v>
      </c>
      <c r="O1992" t="str">
        <f t="shared" si="164"/>
        <v/>
      </c>
      <c r="P1992" t="str">
        <f t="shared" si="164"/>
        <v/>
      </c>
      <c r="T1992" t="str">
        <f t="shared" si="167"/>
        <v/>
      </c>
      <c r="V1992" t="str">
        <f t="shared" si="163"/>
        <v>MVS</v>
      </c>
      <c r="W1992" t="str">
        <f t="shared" si="163"/>
        <v>MVS,AES</v>
      </c>
      <c r="AB1992" t="s">
        <v>12</v>
      </c>
      <c r="AE1992" t="s">
        <v>152</v>
      </c>
      <c r="AG1992" t="s">
        <v>6</v>
      </c>
      <c r="AH1992" t="s">
        <v>2767</v>
      </c>
      <c r="AI1992" t="s">
        <v>9</v>
      </c>
      <c r="AJ1992" t="s">
        <v>57</v>
      </c>
      <c r="AK1992" t="s">
        <v>2766</v>
      </c>
      <c r="AL1992" t="s">
        <v>2765</v>
      </c>
    </row>
    <row r="1993" spans="5:44" x14ac:dyDescent="0.25">
      <c r="I1993" t="str">
        <f t="shared" si="165"/>
        <v>rbff2</v>
      </c>
      <c r="J1993" t="str">
        <f t="shared" si="166"/>
        <v/>
      </c>
      <c r="L1993" t="str">
        <f t="shared" si="164"/>
        <v>NGM-2400</v>
      </c>
      <c r="M1993" t="str">
        <f t="shared" si="164"/>
        <v>19980320</v>
      </c>
      <c r="N1993" t="str">
        <f t="shared" si="164"/>
        <v>リアルバウト餓狼伝説2</v>
      </c>
      <c r="O1993" t="str">
        <f t="shared" si="164"/>
        <v/>
      </c>
      <c r="P1993" t="str">
        <f t="shared" si="164"/>
        <v/>
      </c>
      <c r="T1993" t="str">
        <f t="shared" si="167"/>
        <v/>
      </c>
      <c r="V1993" t="str">
        <f t="shared" si="163"/>
        <v>MVS</v>
      </c>
      <c r="W1993" t="str">
        <f t="shared" si="163"/>
        <v>MVS,AES</v>
      </c>
      <c r="AG1993" t="s">
        <v>6</v>
      </c>
      <c r="AH1993" t="s">
        <v>2764</v>
      </c>
      <c r="AI1993" t="s">
        <v>4</v>
      </c>
      <c r="AJ1993" t="s">
        <v>57</v>
      </c>
      <c r="AK1993" t="s">
        <v>2763</v>
      </c>
      <c r="AL1993" t="s">
        <v>2762</v>
      </c>
    </row>
    <row r="1994" spans="5:44" x14ac:dyDescent="0.25">
      <c r="I1994" t="str">
        <f t="shared" si="165"/>
        <v>rbff2</v>
      </c>
      <c r="J1994" t="str">
        <f t="shared" si="166"/>
        <v/>
      </c>
      <c r="L1994" t="str">
        <f t="shared" si="164"/>
        <v>NGM-2400</v>
      </c>
      <c r="M1994" t="str">
        <f t="shared" si="164"/>
        <v>19980320</v>
      </c>
      <c r="N1994" t="str">
        <f t="shared" si="164"/>
        <v>リアルバウト餓狼伝説2</v>
      </c>
      <c r="O1994" t="str">
        <f t="shared" si="164"/>
        <v/>
      </c>
      <c r="P1994" t="str">
        <f t="shared" si="164"/>
        <v/>
      </c>
      <c r="T1994" t="str">
        <f t="shared" si="167"/>
        <v/>
      </c>
      <c r="V1994" t="str">
        <f t="shared" si="163"/>
        <v>MVS</v>
      </c>
      <c r="W1994" t="str">
        <f t="shared" si="163"/>
        <v>MVS,AES</v>
      </c>
      <c r="AG1994" t="s">
        <v>6</v>
      </c>
      <c r="AH1994" t="s">
        <v>2761</v>
      </c>
      <c r="AI1994" t="s">
        <v>65</v>
      </c>
      <c r="AJ1994" t="s">
        <v>57</v>
      </c>
      <c r="AK1994" t="s">
        <v>2760</v>
      </c>
      <c r="AL1994" t="s">
        <v>2759</v>
      </c>
    </row>
    <row r="1995" spans="5:44" x14ac:dyDescent="0.25">
      <c r="I1995" t="str">
        <f t="shared" si="165"/>
        <v>rbff2</v>
      </c>
      <c r="J1995" t="str">
        <f t="shared" si="166"/>
        <v/>
      </c>
      <c r="L1995" t="str">
        <f t="shared" si="164"/>
        <v>NGM-2400</v>
      </c>
      <c r="M1995" t="str">
        <f t="shared" si="164"/>
        <v>19980320</v>
      </c>
      <c r="N1995" t="str">
        <f t="shared" si="164"/>
        <v>リアルバウト餓狼伝説2</v>
      </c>
      <c r="O1995" t="str">
        <f t="shared" si="164"/>
        <v/>
      </c>
      <c r="P1995" t="str">
        <f t="shared" si="164"/>
        <v/>
      </c>
      <c r="T1995" t="str">
        <f t="shared" si="167"/>
        <v/>
      </c>
      <c r="V1995" t="str">
        <f t="shared" si="163"/>
        <v>MVS</v>
      </c>
      <c r="W1995" t="str">
        <f t="shared" si="163"/>
        <v>MVS,AES</v>
      </c>
      <c r="AG1995" t="s">
        <v>6</v>
      </c>
      <c r="AH1995" t="s">
        <v>2758</v>
      </c>
      <c r="AI1995" t="s">
        <v>164</v>
      </c>
      <c r="AJ1995" t="s">
        <v>57</v>
      </c>
      <c r="AK1995" t="s">
        <v>2757</v>
      </c>
      <c r="AL1995" t="s">
        <v>2756</v>
      </c>
    </row>
    <row r="1996" spans="5:44" x14ac:dyDescent="0.25">
      <c r="I1996" t="str">
        <f t="shared" si="165"/>
        <v>rbff2</v>
      </c>
      <c r="J1996" t="str">
        <f t="shared" si="166"/>
        <v/>
      </c>
      <c r="L1996" t="str">
        <f t="shared" si="164"/>
        <v>NGM-2400</v>
      </c>
      <c r="M1996" t="str">
        <f t="shared" si="164"/>
        <v>19980320</v>
      </c>
      <c r="N1996" t="str">
        <f t="shared" si="164"/>
        <v>リアルバウト餓狼伝説2</v>
      </c>
      <c r="O1996" t="str">
        <f t="shared" si="164"/>
        <v/>
      </c>
      <c r="P1996" t="str">
        <f t="shared" si="164"/>
        <v/>
      </c>
      <c r="T1996" t="str">
        <f t="shared" si="167"/>
        <v/>
      </c>
      <c r="V1996" t="str">
        <f t="shared" si="163"/>
        <v>MVS</v>
      </c>
      <c r="W1996" t="str">
        <f t="shared" si="163"/>
        <v>MVS,AES</v>
      </c>
      <c r="AG1996" t="s">
        <v>6</v>
      </c>
      <c r="AH1996" t="s">
        <v>2755</v>
      </c>
      <c r="AI1996" t="s">
        <v>160</v>
      </c>
      <c r="AJ1996" t="s">
        <v>57</v>
      </c>
      <c r="AK1996" t="s">
        <v>2754</v>
      </c>
      <c r="AL1996" t="s">
        <v>2753</v>
      </c>
    </row>
    <row r="1997" spans="5:44" x14ac:dyDescent="0.25">
      <c r="I1997" t="str">
        <f t="shared" si="165"/>
        <v>rbff2</v>
      </c>
      <c r="J1997" t="str">
        <f t="shared" si="166"/>
        <v/>
      </c>
      <c r="L1997" t="str">
        <f t="shared" si="164"/>
        <v>NGM-2400</v>
      </c>
      <c r="M1997" t="str">
        <f t="shared" si="164"/>
        <v>19980320</v>
      </c>
      <c r="N1997" t="str">
        <f t="shared" si="164"/>
        <v>リアルバウト餓狼伝説2</v>
      </c>
      <c r="O1997" t="str">
        <f t="shared" si="164"/>
        <v/>
      </c>
      <c r="P1997" t="str">
        <f t="shared" si="164"/>
        <v/>
      </c>
      <c r="T1997" t="str">
        <f t="shared" si="167"/>
        <v/>
      </c>
      <c r="V1997" t="str">
        <f t="shared" si="163"/>
        <v>MVS</v>
      </c>
      <c r="W1997" t="str">
        <f t="shared" si="163"/>
        <v>MVS,AES</v>
      </c>
      <c r="AG1997" t="s">
        <v>6</v>
      </c>
      <c r="AH1997" t="s">
        <v>2752</v>
      </c>
      <c r="AI1997" t="s">
        <v>156</v>
      </c>
      <c r="AJ1997" t="s">
        <v>57</v>
      </c>
      <c r="AK1997" t="s">
        <v>2751</v>
      </c>
      <c r="AL1997" t="s">
        <v>2750</v>
      </c>
    </row>
    <row r="1998" spans="5:44" x14ac:dyDescent="0.25">
      <c r="E1998" t="s">
        <v>2802</v>
      </c>
      <c r="F1998" t="s">
        <v>2801</v>
      </c>
      <c r="G1998" t="s">
        <v>1101</v>
      </c>
      <c r="H1998" t="s">
        <v>1912</v>
      </c>
      <c r="I1998" t="str">
        <f t="shared" si="165"/>
        <v>rbff2h</v>
      </c>
      <c r="J1998" t="str">
        <f t="shared" si="166"/>
        <v>rbff2hserial</v>
      </c>
      <c r="K1998" t="s">
        <v>1373</v>
      </c>
      <c r="L1998" t="str">
        <f t="shared" si="164"/>
        <v>NGH-2400</v>
      </c>
      <c r="M1998" t="str">
        <f t="shared" si="164"/>
        <v>19980429</v>
      </c>
      <c r="N1998" t="str">
        <f t="shared" si="164"/>
        <v>リアルバウト餓狼伝説2</v>
      </c>
      <c r="O1998" t="str">
        <f t="shared" si="164"/>
        <v/>
      </c>
      <c r="P1998" t="str">
        <f t="shared" si="164"/>
        <v/>
      </c>
      <c r="Q1998" t="s">
        <v>2800</v>
      </c>
      <c r="S1998" t="s">
        <v>46</v>
      </c>
      <c r="T1998" t="str">
        <f t="shared" si="167"/>
        <v>rbff2hrelease</v>
      </c>
      <c r="U1998" t="s">
        <v>35</v>
      </c>
      <c r="V1998" t="str">
        <f t="shared" si="163"/>
        <v>AES</v>
      </c>
      <c r="W1998" t="str">
        <f t="shared" si="163"/>
        <v>MVS,AES</v>
      </c>
      <c r="Y1998" t="s">
        <v>45</v>
      </c>
      <c r="Z1998" t="s">
        <v>44</v>
      </c>
      <c r="AB1998" t="s">
        <v>43</v>
      </c>
      <c r="AC1998" t="s">
        <v>42</v>
      </c>
      <c r="AD1998" t="s">
        <v>41</v>
      </c>
      <c r="AE1998" t="s">
        <v>23</v>
      </c>
      <c r="AG1998" t="s">
        <v>40</v>
      </c>
      <c r="AH1998" t="s">
        <v>2799</v>
      </c>
      <c r="AI1998" t="s">
        <v>9</v>
      </c>
      <c r="AJ1998" t="s">
        <v>15</v>
      </c>
      <c r="AK1998" t="s">
        <v>2798</v>
      </c>
      <c r="AL1998" t="s">
        <v>2797</v>
      </c>
      <c r="AR1998" t="s">
        <v>2789</v>
      </c>
    </row>
    <row r="1999" spans="5:44" x14ac:dyDescent="0.25">
      <c r="I1999" t="str">
        <f t="shared" si="165"/>
        <v>rbff2h</v>
      </c>
      <c r="J1999" t="str">
        <f t="shared" si="166"/>
        <v>rbff2hrelease</v>
      </c>
      <c r="K1999" t="s">
        <v>46</v>
      </c>
      <c r="L1999" t="str">
        <f t="shared" si="164"/>
        <v>NGH-2400</v>
      </c>
      <c r="M1999" t="str">
        <f t="shared" si="164"/>
        <v>19980429</v>
      </c>
      <c r="N1999" t="str">
        <f t="shared" si="164"/>
        <v>リアルバウト餓狼伝説2</v>
      </c>
      <c r="O1999" t="str">
        <f t="shared" si="164"/>
        <v/>
      </c>
      <c r="P1999" t="str">
        <f t="shared" si="164"/>
        <v/>
      </c>
      <c r="Q1999" t="s">
        <v>2796</v>
      </c>
      <c r="T1999" t="str">
        <f t="shared" si="167"/>
        <v/>
      </c>
      <c r="V1999" t="str">
        <f t="shared" si="163"/>
        <v>AES</v>
      </c>
      <c r="W1999" t="str">
        <f t="shared" si="163"/>
        <v>MVS,AES</v>
      </c>
      <c r="AG1999" t="s">
        <v>40</v>
      </c>
      <c r="AH1999" t="s">
        <v>2788</v>
      </c>
      <c r="AI1999" t="s">
        <v>15</v>
      </c>
      <c r="AJ1999" t="s">
        <v>11</v>
      </c>
      <c r="AK1999" t="s">
        <v>2787</v>
      </c>
      <c r="AL1999" t="s">
        <v>2786</v>
      </c>
    </row>
    <row r="2000" spans="5:44" x14ac:dyDescent="0.25">
      <c r="I2000" t="str">
        <f t="shared" si="165"/>
        <v>rbff2h</v>
      </c>
      <c r="J2000" t="str">
        <f t="shared" si="166"/>
        <v>rbff2halt_title</v>
      </c>
      <c r="K2000" t="s">
        <v>1218</v>
      </c>
      <c r="L2000" t="str">
        <f t="shared" si="164"/>
        <v>NGH-2400</v>
      </c>
      <c r="M2000" t="str">
        <f t="shared" si="164"/>
        <v>19980429</v>
      </c>
      <c r="N2000" t="str">
        <f t="shared" si="164"/>
        <v>リアルバウト餓狼伝説2</v>
      </c>
      <c r="O2000" t="str">
        <f t="shared" si="164"/>
        <v/>
      </c>
      <c r="P2000" t="str">
        <f t="shared" si="164"/>
        <v/>
      </c>
      <c r="Q2000" t="s">
        <v>2795</v>
      </c>
      <c r="T2000" t="str">
        <f t="shared" si="167"/>
        <v/>
      </c>
      <c r="V2000" t="str">
        <f t="shared" si="163"/>
        <v>AES</v>
      </c>
      <c r="W2000" t="str">
        <f t="shared" si="163"/>
        <v>MVS,AES</v>
      </c>
      <c r="AB2000" t="s">
        <v>34</v>
      </c>
      <c r="AE2000" t="s">
        <v>33</v>
      </c>
      <c r="AH2000" t="s">
        <v>2785</v>
      </c>
      <c r="AI2000" t="s">
        <v>9</v>
      </c>
      <c r="AJ2000" t="s">
        <v>27</v>
      </c>
      <c r="AK2000" t="s">
        <v>2784</v>
      </c>
      <c r="AL2000" t="s">
        <v>2783</v>
      </c>
    </row>
    <row r="2001" spans="5:44" x14ac:dyDescent="0.25">
      <c r="I2001" t="str">
        <f t="shared" si="165"/>
        <v>rbff2h</v>
      </c>
      <c r="J2001" t="str">
        <f t="shared" si="166"/>
        <v/>
      </c>
      <c r="L2001" t="str">
        <f t="shared" si="164"/>
        <v>NGH-2400</v>
      </c>
      <c r="M2001" t="str">
        <f t="shared" si="164"/>
        <v>19980429</v>
      </c>
      <c r="N2001" t="str">
        <f t="shared" si="164"/>
        <v>リアルバウト餓狼伝説2</v>
      </c>
      <c r="O2001" t="str">
        <f t="shared" si="164"/>
        <v/>
      </c>
      <c r="P2001" t="str">
        <f t="shared" si="164"/>
        <v/>
      </c>
      <c r="S2001" t="s">
        <v>36</v>
      </c>
      <c r="T2001" t="str">
        <f t="shared" si="167"/>
        <v>rbff2hcompatibility</v>
      </c>
      <c r="U2001" t="s">
        <v>218</v>
      </c>
      <c r="V2001" t="str">
        <f t="shared" si="163"/>
        <v>AES</v>
      </c>
      <c r="W2001" t="str">
        <f t="shared" si="163"/>
        <v>MVS,AES</v>
      </c>
      <c r="AB2001" t="s">
        <v>29</v>
      </c>
      <c r="AE2001" t="s">
        <v>33</v>
      </c>
      <c r="AH2001" t="s">
        <v>2782</v>
      </c>
      <c r="AI2001" t="s">
        <v>9</v>
      </c>
      <c r="AJ2001" t="s">
        <v>33</v>
      </c>
      <c r="AK2001" t="s">
        <v>2781</v>
      </c>
      <c r="AL2001" t="s">
        <v>2780</v>
      </c>
    </row>
    <row r="2002" spans="5:44" x14ac:dyDescent="0.25">
      <c r="I2002" t="str">
        <f t="shared" si="165"/>
        <v>rbff2h</v>
      </c>
      <c r="J2002" t="str">
        <f t="shared" si="166"/>
        <v/>
      </c>
      <c r="L2002" t="str">
        <f t="shared" si="164"/>
        <v>NGH-2400</v>
      </c>
      <c r="M2002" t="str">
        <f t="shared" si="164"/>
        <v>19980429</v>
      </c>
      <c r="N2002" t="str">
        <f t="shared" si="164"/>
        <v>リアルバウト餓狼伝説2</v>
      </c>
      <c r="O2002" t="str">
        <f t="shared" si="164"/>
        <v/>
      </c>
      <c r="P2002" t="str">
        <f t="shared" si="164"/>
        <v/>
      </c>
      <c r="T2002" t="str">
        <f t="shared" si="167"/>
        <v/>
      </c>
      <c r="V2002" t="str">
        <f t="shared" si="163"/>
        <v>AES</v>
      </c>
      <c r="W2002" t="str">
        <f t="shared" si="163"/>
        <v>MVS,AES</v>
      </c>
      <c r="AB2002" t="s">
        <v>24</v>
      </c>
      <c r="AE2002" t="s">
        <v>1802</v>
      </c>
      <c r="AH2002" t="s">
        <v>2779</v>
      </c>
      <c r="AI2002" t="s">
        <v>9</v>
      </c>
      <c r="AJ2002" t="s">
        <v>11</v>
      </c>
      <c r="AK2002" t="s">
        <v>2778</v>
      </c>
      <c r="AL2002" t="s">
        <v>2777</v>
      </c>
    </row>
    <row r="2003" spans="5:44" x14ac:dyDescent="0.25">
      <c r="I2003" t="str">
        <f t="shared" si="165"/>
        <v>rbff2h</v>
      </c>
      <c r="J2003" t="str">
        <f t="shared" si="166"/>
        <v/>
      </c>
      <c r="L2003" t="str">
        <f t="shared" si="164"/>
        <v>NGH-2400</v>
      </c>
      <c r="M2003" t="str">
        <f t="shared" si="164"/>
        <v>19980429</v>
      </c>
      <c r="N2003" t="str">
        <f t="shared" si="164"/>
        <v>リアルバウト餓狼伝説2</v>
      </c>
      <c r="O2003" t="str">
        <f t="shared" si="164"/>
        <v/>
      </c>
      <c r="P2003" t="str">
        <f t="shared" si="164"/>
        <v/>
      </c>
      <c r="T2003" t="str">
        <f t="shared" si="167"/>
        <v/>
      </c>
      <c r="V2003" t="str">
        <f t="shared" si="163"/>
        <v>AES</v>
      </c>
      <c r="W2003" t="str">
        <f t="shared" si="163"/>
        <v>MVS,AES</v>
      </c>
      <c r="AH2003" t="s">
        <v>2776</v>
      </c>
      <c r="AI2003" t="s">
        <v>11</v>
      </c>
      <c r="AJ2003" t="s">
        <v>11</v>
      </c>
      <c r="AK2003" t="s">
        <v>2775</v>
      </c>
      <c r="AL2003" t="s">
        <v>2774</v>
      </c>
    </row>
    <row r="2004" spans="5:44" x14ac:dyDescent="0.25">
      <c r="I2004" t="str">
        <f t="shared" si="165"/>
        <v>rbff2h</v>
      </c>
      <c r="J2004" t="str">
        <f t="shared" si="166"/>
        <v/>
      </c>
      <c r="L2004" t="str">
        <f t="shared" ref="L2004:P2054" si="168">IFERROR(VLOOKUP($I2004&amp;L$1,$J:$Q,8,0),"")</f>
        <v>NGH-2400</v>
      </c>
      <c r="M2004" t="str">
        <f t="shared" si="168"/>
        <v>19980429</v>
      </c>
      <c r="N2004" t="str">
        <f t="shared" si="168"/>
        <v>リアルバウト餓狼伝説2</v>
      </c>
      <c r="O2004" t="str">
        <f t="shared" si="168"/>
        <v/>
      </c>
      <c r="P2004" t="str">
        <f t="shared" si="168"/>
        <v/>
      </c>
      <c r="T2004" t="str">
        <f t="shared" si="167"/>
        <v/>
      </c>
      <c r="V2004" t="str">
        <f t="shared" si="163"/>
        <v>AES</v>
      </c>
      <c r="W2004" t="str">
        <f t="shared" si="163"/>
        <v>MVS,AES</v>
      </c>
      <c r="AH2004" t="s">
        <v>2773</v>
      </c>
      <c r="AI2004" t="s">
        <v>57</v>
      </c>
      <c r="AJ2004" t="s">
        <v>11</v>
      </c>
      <c r="AK2004" t="s">
        <v>2772</v>
      </c>
      <c r="AL2004" t="s">
        <v>2771</v>
      </c>
    </row>
    <row r="2005" spans="5:44" x14ac:dyDescent="0.25">
      <c r="I2005" t="str">
        <f t="shared" si="165"/>
        <v>rbff2h</v>
      </c>
      <c r="J2005" t="str">
        <f t="shared" si="166"/>
        <v/>
      </c>
      <c r="L2005" t="str">
        <f t="shared" si="168"/>
        <v>NGH-2400</v>
      </c>
      <c r="M2005" t="str">
        <f t="shared" si="168"/>
        <v>19980429</v>
      </c>
      <c r="N2005" t="str">
        <f t="shared" si="168"/>
        <v>リアルバウト餓狼伝説2</v>
      </c>
      <c r="O2005" t="str">
        <f t="shared" si="168"/>
        <v/>
      </c>
      <c r="P2005" t="str">
        <f t="shared" si="168"/>
        <v/>
      </c>
      <c r="T2005" t="str">
        <f t="shared" si="167"/>
        <v/>
      </c>
      <c r="V2005" t="str">
        <f t="shared" si="163"/>
        <v>AES</v>
      </c>
      <c r="W2005" t="str">
        <f t="shared" si="163"/>
        <v>MVS,AES</v>
      </c>
      <c r="AH2005" t="s">
        <v>2770</v>
      </c>
      <c r="AI2005" t="s">
        <v>250</v>
      </c>
      <c r="AJ2005" t="s">
        <v>3</v>
      </c>
      <c r="AK2005" t="s">
        <v>2769</v>
      </c>
      <c r="AL2005" t="s">
        <v>2768</v>
      </c>
    </row>
    <row r="2006" spans="5:44" x14ac:dyDescent="0.25">
      <c r="I2006" t="str">
        <f t="shared" si="165"/>
        <v>rbff2h</v>
      </c>
      <c r="J2006" t="str">
        <f t="shared" si="166"/>
        <v/>
      </c>
      <c r="L2006" t="str">
        <f t="shared" si="168"/>
        <v>NGH-2400</v>
      </c>
      <c r="M2006" t="str">
        <f t="shared" si="168"/>
        <v>19980429</v>
      </c>
      <c r="N2006" t="str">
        <f t="shared" si="168"/>
        <v>リアルバウト餓狼伝説2</v>
      </c>
      <c r="O2006" t="str">
        <f t="shared" si="168"/>
        <v/>
      </c>
      <c r="P2006" t="str">
        <f t="shared" si="168"/>
        <v/>
      </c>
      <c r="T2006" t="str">
        <f t="shared" si="167"/>
        <v/>
      </c>
      <c r="V2006" t="str">
        <f t="shared" si="163"/>
        <v>AES</v>
      </c>
      <c r="W2006" t="str">
        <f t="shared" si="163"/>
        <v>MVS,AES</v>
      </c>
      <c r="AB2006" t="s">
        <v>12</v>
      </c>
      <c r="AE2006" t="s">
        <v>152</v>
      </c>
      <c r="AG2006" t="s">
        <v>6</v>
      </c>
      <c r="AH2006" t="s">
        <v>2767</v>
      </c>
      <c r="AI2006" t="s">
        <v>9</v>
      </c>
      <c r="AJ2006" t="s">
        <v>57</v>
      </c>
      <c r="AK2006" t="s">
        <v>2766</v>
      </c>
      <c r="AL2006" t="s">
        <v>2765</v>
      </c>
    </row>
    <row r="2007" spans="5:44" x14ac:dyDescent="0.25">
      <c r="I2007" t="str">
        <f t="shared" si="165"/>
        <v>rbff2h</v>
      </c>
      <c r="J2007" t="str">
        <f t="shared" si="166"/>
        <v/>
      </c>
      <c r="L2007" t="str">
        <f t="shared" si="168"/>
        <v>NGH-2400</v>
      </c>
      <c r="M2007" t="str">
        <f t="shared" si="168"/>
        <v>19980429</v>
      </c>
      <c r="N2007" t="str">
        <f t="shared" si="168"/>
        <v>リアルバウト餓狼伝説2</v>
      </c>
      <c r="O2007" t="str">
        <f t="shared" si="168"/>
        <v/>
      </c>
      <c r="P2007" t="str">
        <f t="shared" si="168"/>
        <v/>
      </c>
      <c r="T2007" t="str">
        <f t="shared" si="167"/>
        <v/>
      </c>
      <c r="V2007" t="str">
        <f t="shared" ref="V2007:W2070" si="169">IFERROR(VLOOKUP($I2007&amp;V$1,$T:$AA,2,0),"")</f>
        <v>AES</v>
      </c>
      <c r="W2007" t="str">
        <f t="shared" si="169"/>
        <v>MVS,AES</v>
      </c>
      <c r="AG2007" t="s">
        <v>6</v>
      </c>
      <c r="AH2007" t="s">
        <v>2764</v>
      </c>
      <c r="AI2007" t="s">
        <v>4</v>
      </c>
      <c r="AJ2007" t="s">
        <v>57</v>
      </c>
      <c r="AK2007" t="s">
        <v>2763</v>
      </c>
      <c r="AL2007" t="s">
        <v>2762</v>
      </c>
    </row>
    <row r="2008" spans="5:44" x14ac:dyDescent="0.25">
      <c r="I2008" t="str">
        <f t="shared" si="165"/>
        <v>rbff2h</v>
      </c>
      <c r="J2008" t="str">
        <f t="shared" si="166"/>
        <v/>
      </c>
      <c r="L2008" t="str">
        <f t="shared" si="168"/>
        <v>NGH-2400</v>
      </c>
      <c r="M2008" t="str">
        <f t="shared" si="168"/>
        <v>19980429</v>
      </c>
      <c r="N2008" t="str">
        <f t="shared" si="168"/>
        <v>リアルバウト餓狼伝説2</v>
      </c>
      <c r="O2008" t="str">
        <f t="shared" si="168"/>
        <v/>
      </c>
      <c r="P2008" t="str">
        <f t="shared" si="168"/>
        <v/>
      </c>
      <c r="T2008" t="str">
        <f t="shared" si="167"/>
        <v/>
      </c>
      <c r="V2008" t="str">
        <f t="shared" si="169"/>
        <v>AES</v>
      </c>
      <c r="W2008" t="str">
        <f t="shared" si="169"/>
        <v>MVS,AES</v>
      </c>
      <c r="AG2008" t="s">
        <v>6</v>
      </c>
      <c r="AH2008" t="s">
        <v>2761</v>
      </c>
      <c r="AI2008" t="s">
        <v>65</v>
      </c>
      <c r="AJ2008" t="s">
        <v>57</v>
      </c>
      <c r="AK2008" t="s">
        <v>2760</v>
      </c>
      <c r="AL2008" t="s">
        <v>2759</v>
      </c>
    </row>
    <row r="2009" spans="5:44" x14ac:dyDescent="0.25">
      <c r="I2009" t="str">
        <f t="shared" si="165"/>
        <v>rbff2h</v>
      </c>
      <c r="J2009" t="str">
        <f t="shared" si="166"/>
        <v/>
      </c>
      <c r="L2009" t="str">
        <f t="shared" si="168"/>
        <v>NGH-2400</v>
      </c>
      <c r="M2009" t="str">
        <f t="shared" si="168"/>
        <v>19980429</v>
      </c>
      <c r="N2009" t="str">
        <f t="shared" si="168"/>
        <v>リアルバウト餓狼伝説2</v>
      </c>
      <c r="O2009" t="str">
        <f t="shared" si="168"/>
        <v/>
      </c>
      <c r="P2009" t="str">
        <f t="shared" si="168"/>
        <v/>
      </c>
      <c r="T2009" t="str">
        <f t="shared" si="167"/>
        <v/>
      </c>
      <c r="V2009" t="str">
        <f t="shared" si="169"/>
        <v>AES</v>
      </c>
      <c r="W2009" t="str">
        <f t="shared" si="169"/>
        <v>MVS,AES</v>
      </c>
      <c r="AG2009" t="s">
        <v>6</v>
      </c>
      <c r="AH2009" t="s">
        <v>2758</v>
      </c>
      <c r="AI2009" t="s">
        <v>164</v>
      </c>
      <c r="AJ2009" t="s">
        <v>57</v>
      </c>
      <c r="AK2009" t="s">
        <v>2757</v>
      </c>
      <c r="AL2009" t="s">
        <v>2756</v>
      </c>
    </row>
    <row r="2010" spans="5:44" x14ac:dyDescent="0.25">
      <c r="I2010" t="str">
        <f t="shared" si="165"/>
        <v>rbff2h</v>
      </c>
      <c r="J2010" t="str">
        <f t="shared" si="166"/>
        <v/>
      </c>
      <c r="L2010" t="str">
        <f t="shared" si="168"/>
        <v>NGH-2400</v>
      </c>
      <c r="M2010" t="str">
        <f t="shared" si="168"/>
        <v>19980429</v>
      </c>
      <c r="N2010" t="str">
        <f t="shared" si="168"/>
        <v>リアルバウト餓狼伝説2</v>
      </c>
      <c r="O2010" t="str">
        <f t="shared" si="168"/>
        <v/>
      </c>
      <c r="P2010" t="str">
        <f t="shared" si="168"/>
        <v/>
      </c>
      <c r="T2010" t="str">
        <f t="shared" si="167"/>
        <v/>
      </c>
      <c r="V2010" t="str">
        <f t="shared" si="169"/>
        <v>AES</v>
      </c>
      <c r="W2010" t="str">
        <f t="shared" si="169"/>
        <v>MVS,AES</v>
      </c>
      <c r="AG2010" t="s">
        <v>6</v>
      </c>
      <c r="AH2010" t="s">
        <v>2755</v>
      </c>
      <c r="AI2010" t="s">
        <v>160</v>
      </c>
      <c r="AJ2010" t="s">
        <v>57</v>
      </c>
      <c r="AK2010" t="s">
        <v>2754</v>
      </c>
      <c r="AL2010" t="s">
        <v>2753</v>
      </c>
    </row>
    <row r="2011" spans="5:44" x14ac:dyDescent="0.25">
      <c r="I2011" t="str">
        <f t="shared" si="165"/>
        <v>rbff2h</v>
      </c>
      <c r="J2011" t="str">
        <f t="shared" si="166"/>
        <v/>
      </c>
      <c r="L2011" t="str">
        <f t="shared" si="168"/>
        <v>NGH-2400</v>
      </c>
      <c r="M2011" t="str">
        <f t="shared" si="168"/>
        <v>19980429</v>
      </c>
      <c r="N2011" t="str">
        <f t="shared" si="168"/>
        <v>リアルバウト餓狼伝説2</v>
      </c>
      <c r="O2011" t="str">
        <f t="shared" si="168"/>
        <v/>
      </c>
      <c r="P2011" t="str">
        <f t="shared" si="168"/>
        <v/>
      </c>
      <c r="T2011" t="str">
        <f t="shared" si="167"/>
        <v/>
      </c>
      <c r="V2011" t="str">
        <f t="shared" si="169"/>
        <v>AES</v>
      </c>
      <c r="W2011" t="str">
        <f t="shared" si="169"/>
        <v>MVS,AES</v>
      </c>
      <c r="AG2011" t="s">
        <v>6</v>
      </c>
      <c r="AH2011" t="s">
        <v>2752</v>
      </c>
      <c r="AI2011" t="s">
        <v>156</v>
      </c>
      <c r="AJ2011" t="s">
        <v>57</v>
      </c>
      <c r="AK2011" t="s">
        <v>2751</v>
      </c>
      <c r="AL2011" t="s">
        <v>2750</v>
      </c>
    </row>
    <row r="2012" spans="5:44" x14ac:dyDescent="0.25">
      <c r="E2012" t="s">
        <v>2794</v>
      </c>
      <c r="F2012" t="s">
        <v>2793</v>
      </c>
      <c r="G2012" t="s">
        <v>1101</v>
      </c>
      <c r="H2012" t="s">
        <v>1912</v>
      </c>
      <c r="I2012" t="str">
        <f t="shared" si="165"/>
        <v>rbff2k</v>
      </c>
      <c r="J2012" t="str">
        <f t="shared" si="166"/>
        <v/>
      </c>
      <c r="L2012" t="str">
        <f t="shared" si="168"/>
        <v/>
      </c>
      <c r="M2012" t="str">
        <f t="shared" si="168"/>
        <v/>
      </c>
      <c r="N2012" t="str">
        <f t="shared" si="168"/>
        <v/>
      </c>
      <c r="O2012" t="str">
        <f t="shared" si="168"/>
        <v/>
      </c>
      <c r="P2012" t="str">
        <f t="shared" si="168"/>
        <v/>
      </c>
      <c r="S2012" t="s">
        <v>46</v>
      </c>
      <c r="T2012" t="str">
        <f t="shared" si="167"/>
        <v>rbff2krelease</v>
      </c>
      <c r="U2012" t="s">
        <v>106</v>
      </c>
      <c r="V2012" t="str">
        <f t="shared" si="169"/>
        <v>MVS</v>
      </c>
      <c r="W2012" t="str">
        <f t="shared" si="169"/>
        <v>MVS,AES</v>
      </c>
      <c r="Y2012" t="s">
        <v>45</v>
      </c>
      <c r="Z2012" t="s">
        <v>44</v>
      </c>
      <c r="AB2012" t="s">
        <v>43</v>
      </c>
      <c r="AC2012" t="s">
        <v>42</v>
      </c>
      <c r="AD2012" t="s">
        <v>41</v>
      </c>
      <c r="AE2012" t="s">
        <v>23</v>
      </c>
      <c r="AG2012" t="s">
        <v>40</v>
      </c>
      <c r="AH2012" t="s">
        <v>2792</v>
      </c>
      <c r="AI2012" t="s">
        <v>9</v>
      </c>
      <c r="AJ2012" t="s">
        <v>15</v>
      </c>
      <c r="AK2012" t="s">
        <v>2791</v>
      </c>
      <c r="AL2012" t="s">
        <v>2790</v>
      </c>
      <c r="AR2012" t="s">
        <v>2789</v>
      </c>
    </row>
    <row r="2013" spans="5:44" x14ac:dyDescent="0.25">
      <c r="I2013" t="str">
        <f t="shared" si="165"/>
        <v>rbff2k</v>
      </c>
      <c r="J2013" t="str">
        <f t="shared" si="166"/>
        <v/>
      </c>
      <c r="L2013" t="str">
        <f t="shared" si="168"/>
        <v/>
      </c>
      <c r="M2013" t="str">
        <f t="shared" si="168"/>
        <v/>
      </c>
      <c r="N2013" t="str">
        <f t="shared" si="168"/>
        <v/>
      </c>
      <c r="O2013" t="str">
        <f t="shared" si="168"/>
        <v/>
      </c>
      <c r="P2013" t="str">
        <f t="shared" si="168"/>
        <v/>
      </c>
      <c r="S2013" t="s">
        <v>36</v>
      </c>
      <c r="T2013" t="str">
        <f t="shared" si="167"/>
        <v>rbff2kcompatibility</v>
      </c>
      <c r="U2013" t="s">
        <v>218</v>
      </c>
      <c r="V2013" t="str">
        <f t="shared" si="169"/>
        <v>MVS</v>
      </c>
      <c r="W2013" t="str">
        <f t="shared" si="169"/>
        <v>MVS,AES</v>
      </c>
      <c r="AG2013" t="s">
        <v>40</v>
      </c>
      <c r="AH2013" t="s">
        <v>2788</v>
      </c>
      <c r="AI2013" t="s">
        <v>15</v>
      </c>
      <c r="AJ2013" t="s">
        <v>11</v>
      </c>
      <c r="AK2013" t="s">
        <v>2787</v>
      </c>
      <c r="AL2013" t="s">
        <v>2786</v>
      </c>
    </row>
    <row r="2014" spans="5:44" x14ac:dyDescent="0.25">
      <c r="I2014" t="str">
        <f t="shared" si="165"/>
        <v>rbff2k</v>
      </c>
      <c r="J2014" t="str">
        <f t="shared" si="166"/>
        <v/>
      </c>
      <c r="L2014" t="str">
        <f t="shared" si="168"/>
        <v/>
      </c>
      <c r="M2014" t="str">
        <f t="shared" si="168"/>
        <v/>
      </c>
      <c r="N2014" t="str">
        <f t="shared" si="168"/>
        <v/>
      </c>
      <c r="O2014" t="str">
        <f t="shared" si="168"/>
        <v/>
      </c>
      <c r="P2014" t="str">
        <f t="shared" si="168"/>
        <v/>
      </c>
      <c r="T2014" t="str">
        <f t="shared" si="167"/>
        <v/>
      </c>
      <c r="V2014" t="str">
        <f t="shared" si="169"/>
        <v>MVS</v>
      </c>
      <c r="W2014" t="str">
        <f t="shared" si="169"/>
        <v>MVS,AES</v>
      </c>
      <c r="AB2014" t="s">
        <v>34</v>
      </c>
      <c r="AE2014" t="s">
        <v>33</v>
      </c>
      <c r="AH2014" t="s">
        <v>2785</v>
      </c>
      <c r="AI2014" t="s">
        <v>9</v>
      </c>
      <c r="AJ2014" t="s">
        <v>27</v>
      </c>
      <c r="AK2014" t="s">
        <v>2784</v>
      </c>
      <c r="AL2014" t="s">
        <v>2783</v>
      </c>
    </row>
    <row r="2015" spans="5:44" x14ac:dyDescent="0.25">
      <c r="I2015" t="str">
        <f t="shared" si="165"/>
        <v>rbff2k</v>
      </c>
      <c r="J2015" t="str">
        <f t="shared" si="166"/>
        <v/>
      </c>
      <c r="L2015" t="str">
        <f t="shared" si="168"/>
        <v/>
      </c>
      <c r="M2015" t="str">
        <f t="shared" si="168"/>
        <v/>
      </c>
      <c r="N2015" t="str">
        <f t="shared" si="168"/>
        <v/>
      </c>
      <c r="O2015" t="str">
        <f t="shared" si="168"/>
        <v/>
      </c>
      <c r="P2015" t="str">
        <f t="shared" si="168"/>
        <v/>
      </c>
      <c r="T2015" t="str">
        <f t="shared" si="167"/>
        <v/>
      </c>
      <c r="V2015" t="str">
        <f t="shared" si="169"/>
        <v>MVS</v>
      </c>
      <c r="W2015" t="str">
        <f t="shared" si="169"/>
        <v>MVS,AES</v>
      </c>
      <c r="AB2015" t="s">
        <v>29</v>
      </c>
      <c r="AE2015" t="s">
        <v>33</v>
      </c>
      <c r="AH2015" t="s">
        <v>2782</v>
      </c>
      <c r="AI2015" t="s">
        <v>9</v>
      </c>
      <c r="AJ2015" t="s">
        <v>33</v>
      </c>
      <c r="AK2015" t="s">
        <v>2781</v>
      </c>
      <c r="AL2015" t="s">
        <v>2780</v>
      </c>
    </row>
    <row r="2016" spans="5:44" x14ac:dyDescent="0.25">
      <c r="I2016" t="str">
        <f t="shared" si="165"/>
        <v>rbff2k</v>
      </c>
      <c r="J2016" t="str">
        <f t="shared" si="166"/>
        <v/>
      </c>
      <c r="L2016" t="str">
        <f t="shared" si="168"/>
        <v/>
      </c>
      <c r="M2016" t="str">
        <f t="shared" si="168"/>
        <v/>
      </c>
      <c r="N2016" t="str">
        <f t="shared" si="168"/>
        <v/>
      </c>
      <c r="O2016" t="str">
        <f t="shared" si="168"/>
        <v/>
      </c>
      <c r="P2016" t="str">
        <f t="shared" si="168"/>
        <v/>
      </c>
      <c r="T2016" t="str">
        <f t="shared" si="167"/>
        <v/>
      </c>
      <c r="V2016" t="str">
        <f t="shared" si="169"/>
        <v>MVS</v>
      </c>
      <c r="W2016" t="str">
        <f t="shared" si="169"/>
        <v>MVS,AES</v>
      </c>
      <c r="AB2016" t="s">
        <v>24</v>
      </c>
      <c r="AE2016" t="s">
        <v>1802</v>
      </c>
      <c r="AH2016" t="s">
        <v>2779</v>
      </c>
      <c r="AI2016" t="s">
        <v>9</v>
      </c>
      <c r="AJ2016" t="s">
        <v>11</v>
      </c>
      <c r="AK2016" t="s">
        <v>2778</v>
      </c>
      <c r="AL2016" t="s">
        <v>2777</v>
      </c>
    </row>
    <row r="2017" spans="5:38" x14ac:dyDescent="0.25">
      <c r="I2017" t="str">
        <f t="shared" si="165"/>
        <v>rbff2k</v>
      </c>
      <c r="J2017" t="str">
        <f t="shared" si="166"/>
        <v/>
      </c>
      <c r="L2017" t="str">
        <f t="shared" si="168"/>
        <v/>
      </c>
      <c r="M2017" t="str">
        <f t="shared" si="168"/>
        <v/>
      </c>
      <c r="N2017" t="str">
        <f t="shared" si="168"/>
        <v/>
      </c>
      <c r="O2017" t="str">
        <f t="shared" si="168"/>
        <v/>
      </c>
      <c r="P2017" t="str">
        <f t="shared" si="168"/>
        <v/>
      </c>
      <c r="T2017" t="str">
        <f t="shared" si="167"/>
        <v/>
      </c>
      <c r="V2017" t="str">
        <f t="shared" si="169"/>
        <v>MVS</v>
      </c>
      <c r="W2017" t="str">
        <f t="shared" si="169"/>
        <v>MVS,AES</v>
      </c>
      <c r="AH2017" t="s">
        <v>2776</v>
      </c>
      <c r="AI2017" t="s">
        <v>11</v>
      </c>
      <c r="AJ2017" t="s">
        <v>11</v>
      </c>
      <c r="AK2017" t="s">
        <v>2775</v>
      </c>
      <c r="AL2017" t="s">
        <v>2774</v>
      </c>
    </row>
    <row r="2018" spans="5:38" x14ac:dyDescent="0.25">
      <c r="I2018" t="str">
        <f t="shared" si="165"/>
        <v>rbff2k</v>
      </c>
      <c r="J2018" t="str">
        <f t="shared" si="166"/>
        <v/>
      </c>
      <c r="L2018" t="str">
        <f t="shared" si="168"/>
        <v/>
      </c>
      <c r="M2018" t="str">
        <f t="shared" si="168"/>
        <v/>
      </c>
      <c r="N2018" t="str">
        <f t="shared" si="168"/>
        <v/>
      </c>
      <c r="O2018" t="str">
        <f t="shared" si="168"/>
        <v/>
      </c>
      <c r="P2018" t="str">
        <f t="shared" si="168"/>
        <v/>
      </c>
      <c r="T2018" t="str">
        <f t="shared" si="167"/>
        <v/>
      </c>
      <c r="V2018" t="str">
        <f t="shared" si="169"/>
        <v>MVS</v>
      </c>
      <c r="W2018" t="str">
        <f t="shared" si="169"/>
        <v>MVS,AES</v>
      </c>
      <c r="AH2018" t="s">
        <v>2773</v>
      </c>
      <c r="AI2018" t="s">
        <v>57</v>
      </c>
      <c r="AJ2018" t="s">
        <v>11</v>
      </c>
      <c r="AK2018" t="s">
        <v>2772</v>
      </c>
      <c r="AL2018" t="s">
        <v>2771</v>
      </c>
    </row>
    <row r="2019" spans="5:38" x14ac:dyDescent="0.25">
      <c r="I2019" t="str">
        <f t="shared" si="165"/>
        <v>rbff2k</v>
      </c>
      <c r="J2019" t="str">
        <f t="shared" si="166"/>
        <v/>
      </c>
      <c r="L2019" t="str">
        <f t="shared" si="168"/>
        <v/>
      </c>
      <c r="M2019" t="str">
        <f t="shared" si="168"/>
        <v/>
      </c>
      <c r="N2019" t="str">
        <f t="shared" si="168"/>
        <v/>
      </c>
      <c r="O2019" t="str">
        <f t="shared" si="168"/>
        <v/>
      </c>
      <c r="P2019" t="str">
        <f t="shared" si="168"/>
        <v/>
      </c>
      <c r="T2019" t="str">
        <f t="shared" si="167"/>
        <v/>
      </c>
      <c r="V2019" t="str">
        <f t="shared" si="169"/>
        <v>MVS</v>
      </c>
      <c r="W2019" t="str">
        <f t="shared" si="169"/>
        <v>MVS,AES</v>
      </c>
      <c r="AH2019" t="s">
        <v>2770</v>
      </c>
      <c r="AI2019" t="s">
        <v>250</v>
      </c>
      <c r="AJ2019" t="s">
        <v>3</v>
      </c>
      <c r="AK2019" t="s">
        <v>2769</v>
      </c>
      <c r="AL2019" t="s">
        <v>2768</v>
      </c>
    </row>
    <row r="2020" spans="5:38" x14ac:dyDescent="0.25">
      <c r="I2020" t="str">
        <f t="shared" si="165"/>
        <v>rbff2k</v>
      </c>
      <c r="J2020" t="str">
        <f t="shared" si="166"/>
        <v/>
      </c>
      <c r="L2020" t="str">
        <f t="shared" si="168"/>
        <v/>
      </c>
      <c r="M2020" t="str">
        <f t="shared" si="168"/>
        <v/>
      </c>
      <c r="N2020" t="str">
        <f t="shared" si="168"/>
        <v/>
      </c>
      <c r="O2020" t="str">
        <f t="shared" si="168"/>
        <v/>
      </c>
      <c r="P2020" t="str">
        <f t="shared" si="168"/>
        <v/>
      </c>
      <c r="T2020" t="str">
        <f t="shared" si="167"/>
        <v/>
      </c>
      <c r="V2020" t="str">
        <f t="shared" si="169"/>
        <v>MVS</v>
      </c>
      <c r="W2020" t="str">
        <f t="shared" si="169"/>
        <v>MVS,AES</v>
      </c>
      <c r="AB2020" t="s">
        <v>12</v>
      </c>
      <c r="AE2020" t="s">
        <v>152</v>
      </c>
      <c r="AG2020" t="s">
        <v>6</v>
      </c>
      <c r="AH2020" t="s">
        <v>2767</v>
      </c>
      <c r="AI2020" t="s">
        <v>9</v>
      </c>
      <c r="AJ2020" t="s">
        <v>57</v>
      </c>
      <c r="AK2020" t="s">
        <v>2766</v>
      </c>
      <c r="AL2020" t="s">
        <v>2765</v>
      </c>
    </row>
    <row r="2021" spans="5:38" x14ac:dyDescent="0.25">
      <c r="I2021" t="str">
        <f t="shared" si="165"/>
        <v>rbff2k</v>
      </c>
      <c r="J2021" t="str">
        <f t="shared" si="166"/>
        <v/>
      </c>
      <c r="L2021" t="str">
        <f t="shared" si="168"/>
        <v/>
      </c>
      <c r="M2021" t="str">
        <f t="shared" si="168"/>
        <v/>
      </c>
      <c r="N2021" t="str">
        <f t="shared" si="168"/>
        <v/>
      </c>
      <c r="O2021" t="str">
        <f t="shared" si="168"/>
        <v/>
      </c>
      <c r="P2021" t="str">
        <f t="shared" si="168"/>
        <v/>
      </c>
      <c r="T2021" t="str">
        <f t="shared" si="167"/>
        <v/>
      </c>
      <c r="V2021" t="str">
        <f t="shared" si="169"/>
        <v>MVS</v>
      </c>
      <c r="W2021" t="str">
        <f t="shared" si="169"/>
        <v>MVS,AES</v>
      </c>
      <c r="AG2021" t="s">
        <v>6</v>
      </c>
      <c r="AH2021" t="s">
        <v>2764</v>
      </c>
      <c r="AI2021" t="s">
        <v>4</v>
      </c>
      <c r="AJ2021" t="s">
        <v>57</v>
      </c>
      <c r="AK2021" t="s">
        <v>2763</v>
      </c>
      <c r="AL2021" t="s">
        <v>2762</v>
      </c>
    </row>
    <row r="2022" spans="5:38" x14ac:dyDescent="0.25">
      <c r="I2022" t="str">
        <f t="shared" si="165"/>
        <v>rbff2k</v>
      </c>
      <c r="J2022" t="str">
        <f t="shared" si="166"/>
        <v/>
      </c>
      <c r="L2022" t="str">
        <f t="shared" si="168"/>
        <v/>
      </c>
      <c r="M2022" t="str">
        <f t="shared" si="168"/>
        <v/>
      </c>
      <c r="N2022" t="str">
        <f t="shared" si="168"/>
        <v/>
      </c>
      <c r="O2022" t="str">
        <f t="shared" si="168"/>
        <v/>
      </c>
      <c r="P2022" t="str">
        <f t="shared" si="168"/>
        <v/>
      </c>
      <c r="T2022" t="str">
        <f t="shared" si="167"/>
        <v/>
      </c>
      <c r="V2022" t="str">
        <f t="shared" si="169"/>
        <v>MVS</v>
      </c>
      <c r="W2022" t="str">
        <f t="shared" si="169"/>
        <v>MVS,AES</v>
      </c>
      <c r="AG2022" t="s">
        <v>6</v>
      </c>
      <c r="AH2022" t="s">
        <v>2761</v>
      </c>
      <c r="AI2022" t="s">
        <v>65</v>
      </c>
      <c r="AJ2022" t="s">
        <v>57</v>
      </c>
      <c r="AK2022" t="s">
        <v>2760</v>
      </c>
      <c r="AL2022" t="s">
        <v>2759</v>
      </c>
    </row>
    <row r="2023" spans="5:38" x14ac:dyDescent="0.25">
      <c r="I2023" t="str">
        <f t="shared" si="165"/>
        <v>rbff2k</v>
      </c>
      <c r="J2023" t="str">
        <f t="shared" si="166"/>
        <v/>
      </c>
      <c r="L2023" t="str">
        <f t="shared" si="168"/>
        <v/>
      </c>
      <c r="M2023" t="str">
        <f t="shared" si="168"/>
        <v/>
      </c>
      <c r="N2023" t="str">
        <f t="shared" si="168"/>
        <v/>
      </c>
      <c r="O2023" t="str">
        <f t="shared" si="168"/>
        <v/>
      </c>
      <c r="P2023" t="str">
        <f t="shared" si="168"/>
        <v/>
      </c>
      <c r="T2023" t="str">
        <f t="shared" si="167"/>
        <v/>
      </c>
      <c r="V2023" t="str">
        <f t="shared" si="169"/>
        <v>MVS</v>
      </c>
      <c r="W2023" t="str">
        <f t="shared" si="169"/>
        <v>MVS,AES</v>
      </c>
      <c r="AG2023" t="s">
        <v>6</v>
      </c>
      <c r="AH2023" t="s">
        <v>2758</v>
      </c>
      <c r="AI2023" t="s">
        <v>164</v>
      </c>
      <c r="AJ2023" t="s">
        <v>57</v>
      </c>
      <c r="AK2023" t="s">
        <v>2757</v>
      </c>
      <c r="AL2023" t="s">
        <v>2756</v>
      </c>
    </row>
    <row r="2024" spans="5:38" x14ac:dyDescent="0.25">
      <c r="I2024" t="str">
        <f t="shared" si="165"/>
        <v>rbff2k</v>
      </c>
      <c r="J2024" t="str">
        <f t="shared" si="166"/>
        <v/>
      </c>
      <c r="L2024" t="str">
        <f t="shared" si="168"/>
        <v/>
      </c>
      <c r="M2024" t="str">
        <f t="shared" si="168"/>
        <v/>
      </c>
      <c r="N2024" t="str">
        <f t="shared" si="168"/>
        <v/>
      </c>
      <c r="O2024" t="str">
        <f t="shared" si="168"/>
        <v/>
      </c>
      <c r="P2024" t="str">
        <f t="shared" si="168"/>
        <v/>
      </c>
      <c r="T2024" t="str">
        <f t="shared" si="167"/>
        <v/>
      </c>
      <c r="V2024" t="str">
        <f t="shared" si="169"/>
        <v>MVS</v>
      </c>
      <c r="W2024" t="str">
        <f t="shared" si="169"/>
        <v>MVS,AES</v>
      </c>
      <c r="AG2024" t="s">
        <v>6</v>
      </c>
      <c r="AH2024" t="s">
        <v>2755</v>
      </c>
      <c r="AI2024" t="s">
        <v>160</v>
      </c>
      <c r="AJ2024" t="s">
        <v>57</v>
      </c>
      <c r="AK2024" t="s">
        <v>2754</v>
      </c>
      <c r="AL2024" t="s">
        <v>2753</v>
      </c>
    </row>
    <row r="2025" spans="5:38" x14ac:dyDescent="0.25">
      <c r="I2025" t="str">
        <f t="shared" si="165"/>
        <v>rbff2k</v>
      </c>
      <c r="J2025" t="str">
        <f t="shared" si="166"/>
        <v/>
      </c>
      <c r="L2025" t="str">
        <f t="shared" si="168"/>
        <v/>
      </c>
      <c r="M2025" t="str">
        <f t="shared" si="168"/>
        <v/>
      </c>
      <c r="N2025" t="str">
        <f t="shared" si="168"/>
        <v/>
      </c>
      <c r="O2025" t="str">
        <f t="shared" si="168"/>
        <v/>
      </c>
      <c r="P2025" t="str">
        <f t="shared" si="168"/>
        <v/>
      </c>
      <c r="T2025" t="str">
        <f t="shared" si="167"/>
        <v/>
      </c>
      <c r="V2025" t="str">
        <f t="shared" si="169"/>
        <v>MVS</v>
      </c>
      <c r="W2025" t="str">
        <f t="shared" si="169"/>
        <v>MVS,AES</v>
      </c>
      <c r="AG2025" t="s">
        <v>6</v>
      </c>
      <c r="AH2025" t="s">
        <v>2752</v>
      </c>
      <c r="AI2025" t="s">
        <v>156</v>
      </c>
      <c r="AJ2025" t="s">
        <v>57</v>
      </c>
      <c r="AK2025" t="s">
        <v>2751</v>
      </c>
      <c r="AL2025" t="s">
        <v>2750</v>
      </c>
    </row>
    <row r="2026" spans="5:38" x14ac:dyDescent="0.25">
      <c r="E2026" t="s">
        <v>2749</v>
      </c>
      <c r="F2026" t="s">
        <v>2748</v>
      </c>
      <c r="G2026" t="s">
        <v>1101</v>
      </c>
      <c r="H2026" t="s">
        <v>1912</v>
      </c>
      <c r="I2026" t="str">
        <f t="shared" si="165"/>
        <v>mslug2</v>
      </c>
      <c r="J2026" t="str">
        <f t="shared" si="166"/>
        <v>mslug2serial</v>
      </c>
      <c r="K2026" t="s">
        <v>1373</v>
      </c>
      <c r="L2026" t="str">
        <f t="shared" si="168"/>
        <v>NGM-2410 (MVS), NGH-2410 (AES)</v>
      </c>
      <c r="M2026" t="str">
        <f t="shared" si="168"/>
        <v>19980223 (MVS), 19980402 (AES)</v>
      </c>
      <c r="N2026" t="str">
        <f t="shared" si="168"/>
        <v>メタルスラッグ2</v>
      </c>
      <c r="O2026" t="str">
        <f t="shared" si="168"/>
        <v/>
      </c>
      <c r="P2026" t="str">
        <f t="shared" si="168"/>
        <v/>
      </c>
      <c r="Q2026" t="s">
        <v>2747</v>
      </c>
      <c r="S2026" t="s">
        <v>46</v>
      </c>
      <c r="T2026" t="str">
        <f t="shared" si="167"/>
        <v>mslug2release</v>
      </c>
      <c r="U2026" t="s">
        <v>218</v>
      </c>
      <c r="V2026" t="str">
        <f t="shared" si="169"/>
        <v>MVS,AES</v>
      </c>
      <c r="W2026" t="str">
        <f t="shared" si="169"/>
        <v>MVS,AES</v>
      </c>
      <c r="Y2026" t="s">
        <v>45</v>
      </c>
      <c r="Z2026" t="s">
        <v>44</v>
      </c>
      <c r="AB2026" t="s">
        <v>43</v>
      </c>
      <c r="AC2026" t="s">
        <v>42</v>
      </c>
      <c r="AD2026" t="s">
        <v>41</v>
      </c>
      <c r="AE2026" t="s">
        <v>377</v>
      </c>
      <c r="AG2026" t="s">
        <v>40</v>
      </c>
      <c r="AH2026" t="s">
        <v>2746</v>
      </c>
      <c r="AI2026" t="s">
        <v>9</v>
      </c>
      <c r="AJ2026" t="s">
        <v>15</v>
      </c>
      <c r="AK2026" t="s">
        <v>2745</v>
      </c>
      <c r="AL2026" t="s">
        <v>2744</v>
      </c>
    </row>
    <row r="2027" spans="5:38" x14ac:dyDescent="0.25">
      <c r="I2027" t="str">
        <f t="shared" si="165"/>
        <v>mslug2</v>
      </c>
      <c r="J2027" t="str">
        <f t="shared" si="166"/>
        <v>mslug2release</v>
      </c>
      <c r="K2027" t="s">
        <v>46</v>
      </c>
      <c r="L2027" t="str">
        <f t="shared" si="168"/>
        <v>NGM-2410 (MVS), NGH-2410 (AES)</v>
      </c>
      <c r="M2027" t="str">
        <f t="shared" si="168"/>
        <v>19980223 (MVS), 19980402 (AES)</v>
      </c>
      <c r="N2027" t="str">
        <f t="shared" si="168"/>
        <v>メタルスラッグ2</v>
      </c>
      <c r="O2027" t="str">
        <f t="shared" si="168"/>
        <v/>
      </c>
      <c r="P2027" t="str">
        <f t="shared" si="168"/>
        <v/>
      </c>
      <c r="Q2027" t="s">
        <v>2743</v>
      </c>
      <c r="T2027" t="str">
        <f t="shared" si="167"/>
        <v/>
      </c>
      <c r="V2027" t="str">
        <f t="shared" si="169"/>
        <v>MVS,AES</v>
      </c>
      <c r="W2027" t="str">
        <f t="shared" si="169"/>
        <v>MVS,AES</v>
      </c>
      <c r="AG2027" t="s">
        <v>40</v>
      </c>
      <c r="AH2027" t="s">
        <v>2742</v>
      </c>
      <c r="AI2027" t="s">
        <v>15</v>
      </c>
      <c r="AJ2027" t="s">
        <v>3</v>
      </c>
      <c r="AK2027" t="s">
        <v>2741</v>
      </c>
      <c r="AL2027" t="s">
        <v>2740</v>
      </c>
    </row>
    <row r="2028" spans="5:38" x14ac:dyDescent="0.25">
      <c r="I2028" t="str">
        <f t="shared" si="165"/>
        <v>mslug2</v>
      </c>
      <c r="J2028" t="str">
        <f t="shared" si="166"/>
        <v>mslug2alt_title</v>
      </c>
      <c r="K2028" t="s">
        <v>1218</v>
      </c>
      <c r="L2028" t="str">
        <f t="shared" si="168"/>
        <v>NGM-2410 (MVS), NGH-2410 (AES)</v>
      </c>
      <c r="M2028" t="str">
        <f t="shared" si="168"/>
        <v>19980223 (MVS), 19980402 (AES)</v>
      </c>
      <c r="N2028" t="str">
        <f t="shared" si="168"/>
        <v>メタルスラッグ2</v>
      </c>
      <c r="O2028" t="str">
        <f t="shared" si="168"/>
        <v/>
      </c>
      <c r="P2028" t="str">
        <f t="shared" si="168"/>
        <v/>
      </c>
      <c r="Q2028" t="s">
        <v>2739</v>
      </c>
      <c r="T2028" t="str">
        <f t="shared" si="167"/>
        <v/>
      </c>
      <c r="V2028" t="str">
        <f t="shared" si="169"/>
        <v>MVS,AES</v>
      </c>
      <c r="W2028" t="str">
        <f t="shared" si="169"/>
        <v>MVS,AES</v>
      </c>
      <c r="AB2028" t="s">
        <v>34</v>
      </c>
      <c r="AE2028" t="s">
        <v>33</v>
      </c>
      <c r="AH2028" t="s">
        <v>2738</v>
      </c>
      <c r="AI2028" t="s">
        <v>9</v>
      </c>
      <c r="AJ2028" t="s">
        <v>27</v>
      </c>
      <c r="AK2028" t="s">
        <v>2737</v>
      </c>
      <c r="AL2028" t="s">
        <v>2736</v>
      </c>
    </row>
    <row r="2029" spans="5:38" x14ac:dyDescent="0.25">
      <c r="I2029" t="str">
        <f t="shared" si="165"/>
        <v>mslug2</v>
      </c>
      <c r="J2029" t="str">
        <f t="shared" si="166"/>
        <v/>
      </c>
      <c r="L2029" t="str">
        <f t="shared" si="168"/>
        <v>NGM-2410 (MVS), NGH-2410 (AES)</v>
      </c>
      <c r="M2029" t="str">
        <f t="shared" si="168"/>
        <v>19980223 (MVS), 19980402 (AES)</v>
      </c>
      <c r="N2029" t="str">
        <f t="shared" si="168"/>
        <v>メタルスラッグ2</v>
      </c>
      <c r="O2029" t="str">
        <f t="shared" si="168"/>
        <v/>
      </c>
      <c r="P2029" t="str">
        <f t="shared" si="168"/>
        <v/>
      </c>
      <c r="S2029" t="s">
        <v>36</v>
      </c>
      <c r="T2029" t="str">
        <f t="shared" si="167"/>
        <v>mslug2compatibility</v>
      </c>
      <c r="U2029" t="s">
        <v>218</v>
      </c>
      <c r="V2029" t="str">
        <f t="shared" si="169"/>
        <v>MVS,AES</v>
      </c>
      <c r="W2029" t="str">
        <f t="shared" si="169"/>
        <v>MVS,AES</v>
      </c>
      <c r="AB2029" t="s">
        <v>29</v>
      </c>
      <c r="AE2029" t="s">
        <v>27</v>
      </c>
      <c r="AH2029" t="s">
        <v>2735</v>
      </c>
      <c r="AI2029" t="s">
        <v>9</v>
      </c>
      <c r="AJ2029" t="s">
        <v>27</v>
      </c>
      <c r="AK2029" t="s">
        <v>2734</v>
      </c>
      <c r="AL2029" t="s">
        <v>2733</v>
      </c>
    </row>
    <row r="2030" spans="5:38" x14ac:dyDescent="0.25">
      <c r="I2030" t="str">
        <f t="shared" si="165"/>
        <v>mslug2</v>
      </c>
      <c r="J2030" t="str">
        <f t="shared" si="166"/>
        <v/>
      </c>
      <c r="L2030" t="str">
        <f t="shared" si="168"/>
        <v>NGM-2410 (MVS), NGH-2410 (AES)</v>
      </c>
      <c r="M2030" t="str">
        <f t="shared" si="168"/>
        <v>19980223 (MVS), 19980402 (AES)</v>
      </c>
      <c r="N2030" t="str">
        <f t="shared" si="168"/>
        <v>メタルスラッグ2</v>
      </c>
      <c r="O2030" t="str">
        <f t="shared" si="168"/>
        <v/>
      </c>
      <c r="P2030" t="str">
        <f t="shared" si="168"/>
        <v/>
      </c>
      <c r="T2030" t="str">
        <f t="shared" si="167"/>
        <v/>
      </c>
      <c r="V2030" t="str">
        <f t="shared" si="169"/>
        <v>MVS,AES</v>
      </c>
      <c r="W2030" t="str">
        <f t="shared" si="169"/>
        <v>MVS,AES</v>
      </c>
      <c r="AB2030" t="s">
        <v>24</v>
      </c>
      <c r="AE2030" t="s">
        <v>57</v>
      </c>
      <c r="AH2030" t="s">
        <v>2732</v>
      </c>
      <c r="AI2030" t="s">
        <v>9</v>
      </c>
      <c r="AJ2030" t="s">
        <v>11</v>
      </c>
      <c r="AK2030" t="s">
        <v>2731</v>
      </c>
      <c r="AL2030" t="s">
        <v>2730</v>
      </c>
    </row>
    <row r="2031" spans="5:38" x14ac:dyDescent="0.25">
      <c r="I2031" t="str">
        <f t="shared" si="165"/>
        <v>mslug2</v>
      </c>
      <c r="J2031" t="str">
        <f t="shared" si="166"/>
        <v/>
      </c>
      <c r="L2031" t="str">
        <f t="shared" si="168"/>
        <v>NGM-2410 (MVS), NGH-2410 (AES)</v>
      </c>
      <c r="M2031" t="str">
        <f t="shared" si="168"/>
        <v>19980223 (MVS), 19980402 (AES)</v>
      </c>
      <c r="N2031" t="str">
        <f t="shared" si="168"/>
        <v>メタルスラッグ2</v>
      </c>
      <c r="O2031" t="str">
        <f t="shared" si="168"/>
        <v/>
      </c>
      <c r="P2031" t="str">
        <f t="shared" si="168"/>
        <v/>
      </c>
      <c r="T2031" t="str">
        <f t="shared" si="167"/>
        <v/>
      </c>
      <c r="V2031" t="str">
        <f t="shared" si="169"/>
        <v>MVS,AES</v>
      </c>
      <c r="W2031" t="str">
        <f t="shared" si="169"/>
        <v>MVS,AES</v>
      </c>
      <c r="AH2031" t="s">
        <v>2729</v>
      </c>
      <c r="AI2031" t="s">
        <v>11</v>
      </c>
      <c r="AJ2031" t="s">
        <v>11</v>
      </c>
      <c r="AK2031" t="s">
        <v>2728</v>
      </c>
      <c r="AL2031" t="s">
        <v>2727</v>
      </c>
    </row>
    <row r="2032" spans="5:38" x14ac:dyDescent="0.25">
      <c r="I2032" t="str">
        <f t="shared" si="165"/>
        <v>mslug2</v>
      </c>
      <c r="J2032" t="str">
        <f t="shared" si="166"/>
        <v/>
      </c>
      <c r="L2032" t="str">
        <f t="shared" si="168"/>
        <v>NGM-2410 (MVS), NGH-2410 (AES)</v>
      </c>
      <c r="M2032" t="str">
        <f t="shared" si="168"/>
        <v>19980223 (MVS), 19980402 (AES)</v>
      </c>
      <c r="N2032" t="str">
        <f t="shared" si="168"/>
        <v>メタルスラッグ2</v>
      </c>
      <c r="O2032" t="str">
        <f t="shared" si="168"/>
        <v/>
      </c>
      <c r="P2032" t="str">
        <f t="shared" si="168"/>
        <v/>
      </c>
      <c r="T2032" t="str">
        <f t="shared" si="167"/>
        <v/>
      </c>
      <c r="V2032" t="str">
        <f t="shared" si="169"/>
        <v>MVS,AES</v>
      </c>
      <c r="W2032" t="str">
        <f t="shared" si="169"/>
        <v>MVS,AES</v>
      </c>
      <c r="AB2032" t="s">
        <v>12</v>
      </c>
      <c r="AE2032" t="s">
        <v>160</v>
      </c>
      <c r="AG2032" t="s">
        <v>6</v>
      </c>
      <c r="AH2032" t="s">
        <v>2726</v>
      </c>
      <c r="AI2032" t="s">
        <v>9</v>
      </c>
      <c r="AJ2032" t="s">
        <v>57</v>
      </c>
      <c r="AK2032" t="s">
        <v>2725</v>
      </c>
      <c r="AL2032" t="s">
        <v>2724</v>
      </c>
    </row>
    <row r="2033" spans="5:43" x14ac:dyDescent="0.25">
      <c r="I2033" t="str">
        <f t="shared" si="165"/>
        <v>mslug2</v>
      </c>
      <c r="J2033" t="str">
        <f t="shared" si="166"/>
        <v/>
      </c>
      <c r="L2033" t="str">
        <f t="shared" si="168"/>
        <v>NGM-2410 (MVS), NGH-2410 (AES)</v>
      </c>
      <c r="M2033" t="str">
        <f t="shared" si="168"/>
        <v>19980223 (MVS), 19980402 (AES)</v>
      </c>
      <c r="N2033" t="str">
        <f t="shared" si="168"/>
        <v>メタルスラッグ2</v>
      </c>
      <c r="O2033" t="str">
        <f t="shared" si="168"/>
        <v/>
      </c>
      <c r="P2033" t="str">
        <f t="shared" si="168"/>
        <v/>
      </c>
      <c r="T2033" t="str">
        <f t="shared" si="167"/>
        <v/>
      </c>
      <c r="V2033" t="str">
        <f t="shared" si="169"/>
        <v>MVS,AES</v>
      </c>
      <c r="W2033" t="str">
        <f t="shared" si="169"/>
        <v>MVS,AES</v>
      </c>
      <c r="AG2033" t="s">
        <v>6</v>
      </c>
      <c r="AH2033" t="s">
        <v>2723</v>
      </c>
      <c r="AI2033" t="s">
        <v>4</v>
      </c>
      <c r="AJ2033" t="s">
        <v>57</v>
      </c>
      <c r="AK2033" t="s">
        <v>2722</v>
      </c>
      <c r="AL2033" t="s">
        <v>2721</v>
      </c>
    </row>
    <row r="2034" spans="5:43" x14ac:dyDescent="0.25">
      <c r="I2034" t="str">
        <f t="shared" si="165"/>
        <v>mslug2</v>
      </c>
      <c r="J2034" t="str">
        <f t="shared" si="166"/>
        <v/>
      </c>
      <c r="L2034" t="str">
        <f t="shared" si="168"/>
        <v>NGM-2410 (MVS), NGH-2410 (AES)</v>
      </c>
      <c r="M2034" t="str">
        <f t="shared" si="168"/>
        <v>19980223 (MVS), 19980402 (AES)</v>
      </c>
      <c r="N2034" t="str">
        <f t="shared" si="168"/>
        <v>メタルスラッグ2</v>
      </c>
      <c r="O2034" t="str">
        <f t="shared" si="168"/>
        <v/>
      </c>
      <c r="P2034" t="str">
        <f t="shared" si="168"/>
        <v/>
      </c>
      <c r="T2034" t="str">
        <f t="shared" si="167"/>
        <v/>
      </c>
      <c r="V2034" t="str">
        <f t="shared" si="169"/>
        <v>MVS,AES</v>
      </c>
      <c r="W2034" t="str">
        <f t="shared" si="169"/>
        <v>MVS,AES</v>
      </c>
      <c r="AG2034" t="s">
        <v>6</v>
      </c>
      <c r="AH2034" t="s">
        <v>2720</v>
      </c>
      <c r="AI2034" t="s">
        <v>65</v>
      </c>
      <c r="AJ2034" t="s">
        <v>57</v>
      </c>
      <c r="AK2034" t="s">
        <v>2719</v>
      </c>
      <c r="AL2034" t="s">
        <v>2718</v>
      </c>
    </row>
    <row r="2035" spans="5:43" x14ac:dyDescent="0.25">
      <c r="I2035" t="str">
        <f t="shared" si="165"/>
        <v>mslug2</v>
      </c>
      <c r="J2035" t="str">
        <f t="shared" si="166"/>
        <v/>
      </c>
      <c r="L2035" t="str">
        <f t="shared" si="168"/>
        <v>NGM-2410 (MVS), NGH-2410 (AES)</v>
      </c>
      <c r="M2035" t="str">
        <f t="shared" si="168"/>
        <v>19980223 (MVS), 19980402 (AES)</v>
      </c>
      <c r="N2035" t="str">
        <f t="shared" si="168"/>
        <v>メタルスラッグ2</v>
      </c>
      <c r="O2035" t="str">
        <f t="shared" si="168"/>
        <v/>
      </c>
      <c r="P2035" t="str">
        <f t="shared" si="168"/>
        <v/>
      </c>
      <c r="T2035" t="str">
        <f t="shared" si="167"/>
        <v/>
      </c>
      <c r="V2035" t="str">
        <f t="shared" si="169"/>
        <v>MVS,AES</v>
      </c>
      <c r="W2035" t="str">
        <f t="shared" si="169"/>
        <v>MVS,AES</v>
      </c>
      <c r="AG2035" t="s">
        <v>6</v>
      </c>
      <c r="AH2035" t="s">
        <v>2717</v>
      </c>
      <c r="AI2035" t="s">
        <v>164</v>
      </c>
      <c r="AJ2035" t="s">
        <v>57</v>
      </c>
      <c r="AK2035" t="s">
        <v>2716</v>
      </c>
      <c r="AL2035" t="s">
        <v>2715</v>
      </c>
    </row>
    <row r="2036" spans="5:43" x14ac:dyDescent="0.25">
      <c r="E2036" t="s">
        <v>2680</v>
      </c>
      <c r="F2036" t="s">
        <v>2714</v>
      </c>
      <c r="G2036" t="s">
        <v>1101</v>
      </c>
      <c r="H2036" t="s">
        <v>1912</v>
      </c>
      <c r="I2036" t="str">
        <f t="shared" si="165"/>
        <v>kof98</v>
      </c>
      <c r="J2036" t="str">
        <f t="shared" si="166"/>
        <v>kof98serial</v>
      </c>
      <c r="K2036" t="s">
        <v>1373</v>
      </c>
      <c r="L2036" t="str">
        <f t="shared" si="168"/>
        <v>NGM-2420</v>
      </c>
      <c r="M2036" t="str">
        <f t="shared" si="168"/>
        <v>19980723</v>
      </c>
      <c r="N2036" t="str">
        <f t="shared" si="168"/>
        <v>ザ・キング・オブ・ファイターズ '98</v>
      </c>
      <c r="O2036" t="str">
        <f t="shared" si="168"/>
        <v/>
      </c>
      <c r="P2036" t="str">
        <f t="shared" si="168"/>
        <v/>
      </c>
      <c r="Q2036" t="s">
        <v>2711</v>
      </c>
      <c r="S2036" t="s">
        <v>46</v>
      </c>
      <c r="T2036" t="str">
        <f t="shared" si="167"/>
        <v>kof98release</v>
      </c>
      <c r="U2036" t="s">
        <v>106</v>
      </c>
      <c r="V2036" t="str">
        <f t="shared" si="169"/>
        <v>MVS</v>
      </c>
      <c r="W2036" t="str">
        <f t="shared" si="169"/>
        <v>MVS,AES</v>
      </c>
      <c r="Y2036" t="s">
        <v>45</v>
      </c>
      <c r="Z2036" t="s">
        <v>44</v>
      </c>
      <c r="AB2036" t="s">
        <v>43</v>
      </c>
      <c r="AC2036" t="s">
        <v>42</v>
      </c>
      <c r="AD2036" t="s">
        <v>41</v>
      </c>
      <c r="AE2036" t="s">
        <v>75</v>
      </c>
      <c r="AG2036" t="s">
        <v>40</v>
      </c>
      <c r="AH2036" t="s">
        <v>2693</v>
      </c>
      <c r="AI2036" t="s">
        <v>9</v>
      </c>
      <c r="AJ2036" t="s">
        <v>3</v>
      </c>
      <c r="AK2036" t="s">
        <v>2692</v>
      </c>
      <c r="AL2036" t="s">
        <v>2691</v>
      </c>
      <c r="AP2036" t="s">
        <v>138</v>
      </c>
      <c r="AQ2036" t="s">
        <v>2690</v>
      </c>
    </row>
    <row r="2037" spans="5:43" x14ac:dyDescent="0.25">
      <c r="I2037" t="str">
        <f t="shared" si="165"/>
        <v>kof98</v>
      </c>
      <c r="J2037" t="str">
        <f t="shared" si="166"/>
        <v>kof98release</v>
      </c>
      <c r="K2037" t="s">
        <v>46</v>
      </c>
      <c r="L2037" t="str">
        <f t="shared" si="168"/>
        <v>NGM-2420</v>
      </c>
      <c r="M2037" t="str">
        <f t="shared" si="168"/>
        <v>19980723</v>
      </c>
      <c r="N2037" t="str">
        <f t="shared" si="168"/>
        <v>ザ・キング・オブ・ファイターズ '98</v>
      </c>
      <c r="O2037" t="str">
        <f t="shared" si="168"/>
        <v/>
      </c>
      <c r="P2037" t="str">
        <f t="shared" si="168"/>
        <v/>
      </c>
      <c r="Q2037" t="s">
        <v>2710</v>
      </c>
      <c r="T2037" t="str">
        <f t="shared" si="167"/>
        <v/>
      </c>
      <c r="V2037" t="str">
        <f t="shared" si="169"/>
        <v>MVS</v>
      </c>
      <c r="W2037" t="str">
        <f t="shared" si="169"/>
        <v>MVS,AES</v>
      </c>
      <c r="AG2037" t="s">
        <v>40</v>
      </c>
      <c r="AH2037" t="s">
        <v>2678</v>
      </c>
      <c r="AI2037" t="s">
        <v>3</v>
      </c>
      <c r="AJ2037" t="s">
        <v>11</v>
      </c>
      <c r="AK2037" t="s">
        <v>2677</v>
      </c>
      <c r="AL2037" t="s">
        <v>2676</v>
      </c>
    </row>
    <row r="2038" spans="5:43" x14ac:dyDescent="0.25">
      <c r="I2038" t="str">
        <f t="shared" si="165"/>
        <v>kof98</v>
      </c>
      <c r="J2038" t="str">
        <f t="shared" si="166"/>
        <v>kof98alt_title</v>
      </c>
      <c r="K2038" t="s">
        <v>1218</v>
      </c>
      <c r="L2038" t="str">
        <f t="shared" si="168"/>
        <v>NGM-2420</v>
      </c>
      <c r="M2038" t="str">
        <f t="shared" si="168"/>
        <v>19980723</v>
      </c>
      <c r="N2038" t="str">
        <f t="shared" si="168"/>
        <v>ザ・キング・オブ・ファイターズ '98</v>
      </c>
      <c r="O2038" t="str">
        <f t="shared" si="168"/>
        <v/>
      </c>
      <c r="P2038" t="str">
        <f t="shared" si="168"/>
        <v/>
      </c>
      <c r="Q2038" t="s">
        <v>2675</v>
      </c>
      <c r="T2038" t="str">
        <f t="shared" si="167"/>
        <v/>
      </c>
      <c r="V2038" t="str">
        <f t="shared" si="169"/>
        <v>MVS</v>
      </c>
      <c r="W2038" t="str">
        <f t="shared" si="169"/>
        <v>MVS,AES</v>
      </c>
      <c r="AB2038" t="s">
        <v>34</v>
      </c>
      <c r="AE2038" t="s">
        <v>33</v>
      </c>
      <c r="AH2038" t="s">
        <v>2674</v>
      </c>
      <c r="AI2038" t="s">
        <v>9</v>
      </c>
      <c r="AJ2038" t="s">
        <v>27</v>
      </c>
      <c r="AK2038" t="s">
        <v>2673</v>
      </c>
      <c r="AL2038" t="s">
        <v>2672</v>
      </c>
    </row>
    <row r="2039" spans="5:43" x14ac:dyDescent="0.25">
      <c r="I2039" t="str">
        <f t="shared" si="165"/>
        <v>kof98</v>
      </c>
      <c r="J2039" t="str">
        <f t="shared" si="166"/>
        <v/>
      </c>
      <c r="L2039" t="str">
        <f t="shared" si="168"/>
        <v>NGM-2420</v>
      </c>
      <c r="M2039" t="str">
        <f t="shared" si="168"/>
        <v>19980723</v>
      </c>
      <c r="N2039" t="str">
        <f t="shared" si="168"/>
        <v>ザ・キング・オブ・ファイターズ '98</v>
      </c>
      <c r="O2039" t="str">
        <f t="shared" si="168"/>
        <v/>
      </c>
      <c r="P2039" t="str">
        <f t="shared" si="168"/>
        <v/>
      </c>
      <c r="S2039" t="s">
        <v>36</v>
      </c>
      <c r="T2039" t="str">
        <f t="shared" si="167"/>
        <v>kof98compatibility</v>
      </c>
      <c r="U2039" t="s">
        <v>218</v>
      </c>
      <c r="V2039" t="str">
        <f t="shared" si="169"/>
        <v>MVS</v>
      </c>
      <c r="W2039" t="str">
        <f t="shared" si="169"/>
        <v>MVS,AES</v>
      </c>
      <c r="AB2039" t="s">
        <v>29</v>
      </c>
      <c r="AE2039" t="s">
        <v>33</v>
      </c>
      <c r="AH2039" t="s">
        <v>2703</v>
      </c>
      <c r="AI2039" t="s">
        <v>9</v>
      </c>
      <c r="AJ2039" t="s">
        <v>33</v>
      </c>
      <c r="AK2039" t="s">
        <v>2702</v>
      </c>
      <c r="AL2039" t="s">
        <v>2701</v>
      </c>
    </row>
    <row r="2040" spans="5:43" x14ac:dyDescent="0.25">
      <c r="I2040" t="str">
        <f t="shared" si="165"/>
        <v>kof98</v>
      </c>
      <c r="J2040" t="str">
        <f t="shared" si="166"/>
        <v/>
      </c>
      <c r="L2040" t="str">
        <f t="shared" si="168"/>
        <v>NGM-2420</v>
      </c>
      <c r="M2040" t="str">
        <f t="shared" si="168"/>
        <v>19980723</v>
      </c>
      <c r="N2040" t="str">
        <f t="shared" si="168"/>
        <v>ザ・キング・オブ・ファイターズ '98</v>
      </c>
      <c r="O2040" t="str">
        <f t="shared" si="168"/>
        <v/>
      </c>
      <c r="P2040" t="str">
        <f t="shared" si="168"/>
        <v/>
      </c>
      <c r="T2040" t="str">
        <f t="shared" si="167"/>
        <v/>
      </c>
      <c r="V2040" t="str">
        <f t="shared" si="169"/>
        <v>MVS</v>
      </c>
      <c r="W2040" t="str">
        <f t="shared" si="169"/>
        <v>MVS,AES</v>
      </c>
      <c r="AB2040" t="s">
        <v>24</v>
      </c>
      <c r="AE2040" t="s">
        <v>65</v>
      </c>
      <c r="AH2040" t="s">
        <v>2668</v>
      </c>
      <c r="AI2040" t="s">
        <v>9</v>
      </c>
      <c r="AJ2040" t="s">
        <v>11</v>
      </c>
      <c r="AK2040" t="s">
        <v>2667</v>
      </c>
      <c r="AL2040" t="s">
        <v>2666</v>
      </c>
    </row>
    <row r="2041" spans="5:43" x14ac:dyDescent="0.25">
      <c r="I2041" t="str">
        <f t="shared" si="165"/>
        <v>kof98</v>
      </c>
      <c r="J2041" t="str">
        <f t="shared" si="166"/>
        <v/>
      </c>
      <c r="L2041" t="str">
        <f t="shared" si="168"/>
        <v>NGM-2420</v>
      </c>
      <c r="M2041" t="str">
        <f t="shared" si="168"/>
        <v>19980723</v>
      </c>
      <c r="N2041" t="str">
        <f t="shared" si="168"/>
        <v>ザ・キング・オブ・ファイターズ '98</v>
      </c>
      <c r="O2041" t="str">
        <f t="shared" si="168"/>
        <v/>
      </c>
      <c r="P2041" t="str">
        <f t="shared" si="168"/>
        <v/>
      </c>
      <c r="T2041" t="str">
        <f t="shared" si="167"/>
        <v/>
      </c>
      <c r="V2041" t="str">
        <f t="shared" si="169"/>
        <v>MVS</v>
      </c>
      <c r="W2041" t="str">
        <f t="shared" si="169"/>
        <v>MVS,AES</v>
      </c>
      <c r="AH2041" t="s">
        <v>2665</v>
      </c>
      <c r="AI2041" t="s">
        <v>11</v>
      </c>
      <c r="AJ2041" t="s">
        <v>11</v>
      </c>
      <c r="AK2041" t="s">
        <v>2664</v>
      </c>
      <c r="AL2041" t="s">
        <v>2663</v>
      </c>
    </row>
    <row r="2042" spans="5:43" x14ac:dyDescent="0.25">
      <c r="I2042" t="str">
        <f t="shared" si="165"/>
        <v>kof98</v>
      </c>
      <c r="J2042" t="str">
        <f t="shared" si="166"/>
        <v/>
      </c>
      <c r="L2042" t="str">
        <f t="shared" si="168"/>
        <v>NGM-2420</v>
      </c>
      <c r="M2042" t="str">
        <f t="shared" si="168"/>
        <v>19980723</v>
      </c>
      <c r="N2042" t="str">
        <f t="shared" si="168"/>
        <v>ザ・キング・オブ・ファイターズ '98</v>
      </c>
      <c r="O2042" t="str">
        <f t="shared" si="168"/>
        <v/>
      </c>
      <c r="P2042" t="str">
        <f t="shared" si="168"/>
        <v/>
      </c>
      <c r="T2042" t="str">
        <f t="shared" si="167"/>
        <v/>
      </c>
      <c r="V2042" t="str">
        <f t="shared" si="169"/>
        <v>MVS</v>
      </c>
      <c r="W2042" t="str">
        <f t="shared" si="169"/>
        <v>MVS,AES</v>
      </c>
      <c r="AH2042" t="s">
        <v>2662</v>
      </c>
      <c r="AI2042" t="s">
        <v>57</v>
      </c>
      <c r="AJ2042" t="s">
        <v>11</v>
      </c>
      <c r="AK2042" t="s">
        <v>2661</v>
      </c>
      <c r="AL2042" t="s">
        <v>2660</v>
      </c>
    </row>
    <row r="2043" spans="5:43" x14ac:dyDescent="0.25">
      <c r="I2043" t="str">
        <f t="shared" si="165"/>
        <v>kof98</v>
      </c>
      <c r="J2043" t="str">
        <f t="shared" si="166"/>
        <v/>
      </c>
      <c r="L2043" t="str">
        <f t="shared" si="168"/>
        <v>NGM-2420</v>
      </c>
      <c r="M2043" t="str">
        <f t="shared" si="168"/>
        <v>19980723</v>
      </c>
      <c r="N2043" t="str">
        <f t="shared" si="168"/>
        <v>ザ・キング・オブ・ファイターズ '98</v>
      </c>
      <c r="O2043" t="str">
        <f t="shared" si="168"/>
        <v/>
      </c>
      <c r="P2043" t="str">
        <f t="shared" si="168"/>
        <v/>
      </c>
      <c r="T2043" t="str">
        <f t="shared" si="167"/>
        <v/>
      </c>
      <c r="V2043" t="str">
        <f t="shared" si="169"/>
        <v>MVS</v>
      </c>
      <c r="W2043" t="str">
        <f t="shared" si="169"/>
        <v>MVS,AES</v>
      </c>
      <c r="AH2043" t="s">
        <v>2659</v>
      </c>
      <c r="AI2043" t="s">
        <v>250</v>
      </c>
      <c r="AJ2043" t="s">
        <v>11</v>
      </c>
      <c r="AK2043" t="s">
        <v>2658</v>
      </c>
      <c r="AL2043" t="s">
        <v>2657</v>
      </c>
    </row>
    <row r="2044" spans="5:43" x14ac:dyDescent="0.25">
      <c r="I2044" t="str">
        <f t="shared" si="165"/>
        <v>kof98</v>
      </c>
      <c r="J2044" t="str">
        <f t="shared" si="166"/>
        <v/>
      </c>
      <c r="L2044" t="str">
        <f t="shared" si="168"/>
        <v>NGM-2420</v>
      </c>
      <c r="M2044" t="str">
        <f t="shared" si="168"/>
        <v>19980723</v>
      </c>
      <c r="N2044" t="str">
        <f t="shared" si="168"/>
        <v>ザ・キング・オブ・ファイターズ '98</v>
      </c>
      <c r="O2044" t="str">
        <f t="shared" si="168"/>
        <v/>
      </c>
      <c r="P2044" t="str">
        <f t="shared" si="168"/>
        <v/>
      </c>
      <c r="T2044" t="str">
        <f t="shared" si="167"/>
        <v/>
      </c>
      <c r="V2044" t="str">
        <f t="shared" si="169"/>
        <v>MVS</v>
      </c>
      <c r="W2044" t="str">
        <f t="shared" si="169"/>
        <v>MVS,AES</v>
      </c>
      <c r="AB2044" t="s">
        <v>12</v>
      </c>
      <c r="AE2044" t="s">
        <v>175</v>
      </c>
      <c r="AG2044" t="s">
        <v>6</v>
      </c>
      <c r="AH2044" t="s">
        <v>2656</v>
      </c>
      <c r="AI2044" t="s">
        <v>9</v>
      </c>
      <c r="AJ2044" t="s">
        <v>57</v>
      </c>
      <c r="AK2044" t="s">
        <v>2655</v>
      </c>
      <c r="AL2044" t="s">
        <v>2654</v>
      </c>
    </row>
    <row r="2045" spans="5:43" x14ac:dyDescent="0.25">
      <c r="I2045" t="str">
        <f t="shared" si="165"/>
        <v>kof98</v>
      </c>
      <c r="J2045" t="str">
        <f t="shared" si="166"/>
        <v/>
      </c>
      <c r="L2045" t="str">
        <f t="shared" si="168"/>
        <v>NGM-2420</v>
      </c>
      <c r="M2045" t="str">
        <f t="shared" si="168"/>
        <v>19980723</v>
      </c>
      <c r="N2045" t="str">
        <f t="shared" si="168"/>
        <v>ザ・キング・オブ・ファイターズ '98</v>
      </c>
      <c r="O2045" t="str">
        <f t="shared" si="168"/>
        <v/>
      </c>
      <c r="P2045" t="str">
        <f t="shared" si="168"/>
        <v/>
      </c>
      <c r="T2045" t="str">
        <f t="shared" si="167"/>
        <v/>
      </c>
      <c r="V2045" t="str">
        <f t="shared" si="169"/>
        <v>MVS</v>
      </c>
      <c r="W2045" t="str">
        <f t="shared" si="169"/>
        <v>MVS,AES</v>
      </c>
      <c r="AG2045" t="s">
        <v>6</v>
      </c>
      <c r="AH2045" t="s">
        <v>2653</v>
      </c>
      <c r="AI2045" t="s">
        <v>4</v>
      </c>
      <c r="AJ2045" t="s">
        <v>57</v>
      </c>
      <c r="AK2045" t="s">
        <v>2652</v>
      </c>
      <c r="AL2045" t="s">
        <v>2651</v>
      </c>
    </row>
    <row r="2046" spans="5:43" x14ac:dyDescent="0.25">
      <c r="I2046" t="str">
        <f t="shared" si="165"/>
        <v>kof98</v>
      </c>
      <c r="J2046" t="str">
        <f t="shared" si="166"/>
        <v/>
      </c>
      <c r="L2046" t="str">
        <f t="shared" si="168"/>
        <v>NGM-2420</v>
      </c>
      <c r="M2046" t="str">
        <f t="shared" si="168"/>
        <v>19980723</v>
      </c>
      <c r="N2046" t="str">
        <f t="shared" si="168"/>
        <v>ザ・キング・オブ・ファイターズ '98</v>
      </c>
      <c r="O2046" t="str">
        <f t="shared" si="168"/>
        <v/>
      </c>
      <c r="P2046" t="str">
        <f t="shared" si="168"/>
        <v/>
      </c>
      <c r="T2046" t="str">
        <f t="shared" si="167"/>
        <v/>
      </c>
      <c r="V2046" t="str">
        <f t="shared" si="169"/>
        <v>MVS</v>
      </c>
      <c r="W2046" t="str">
        <f t="shared" si="169"/>
        <v>MVS,AES</v>
      </c>
      <c r="AG2046" t="s">
        <v>6</v>
      </c>
      <c r="AH2046" t="s">
        <v>2650</v>
      </c>
      <c r="AI2046" t="s">
        <v>65</v>
      </c>
      <c r="AJ2046" t="s">
        <v>57</v>
      </c>
      <c r="AK2046" t="s">
        <v>2649</v>
      </c>
      <c r="AL2046" t="s">
        <v>2648</v>
      </c>
    </row>
    <row r="2047" spans="5:43" x14ac:dyDescent="0.25">
      <c r="I2047" t="str">
        <f t="shared" si="165"/>
        <v>kof98</v>
      </c>
      <c r="J2047" t="str">
        <f t="shared" si="166"/>
        <v/>
      </c>
      <c r="L2047" t="str">
        <f t="shared" si="168"/>
        <v>NGM-2420</v>
      </c>
      <c r="M2047" t="str">
        <f t="shared" si="168"/>
        <v>19980723</v>
      </c>
      <c r="N2047" t="str">
        <f t="shared" si="168"/>
        <v>ザ・キング・オブ・ファイターズ '98</v>
      </c>
      <c r="O2047" t="str">
        <f t="shared" si="168"/>
        <v/>
      </c>
      <c r="P2047" t="str">
        <f t="shared" si="168"/>
        <v/>
      </c>
      <c r="T2047" t="str">
        <f t="shared" si="167"/>
        <v/>
      </c>
      <c r="V2047" t="str">
        <f t="shared" si="169"/>
        <v>MVS</v>
      </c>
      <c r="W2047" t="str">
        <f t="shared" si="169"/>
        <v>MVS,AES</v>
      </c>
      <c r="AG2047" t="s">
        <v>6</v>
      </c>
      <c r="AH2047" t="s">
        <v>2647</v>
      </c>
      <c r="AI2047" t="s">
        <v>164</v>
      </c>
      <c r="AJ2047" t="s">
        <v>57</v>
      </c>
      <c r="AK2047" t="s">
        <v>2646</v>
      </c>
      <c r="AL2047" t="s">
        <v>2645</v>
      </c>
    </row>
    <row r="2048" spans="5:43" x14ac:dyDescent="0.25">
      <c r="I2048" t="str">
        <f t="shared" si="165"/>
        <v>kof98</v>
      </c>
      <c r="J2048" t="str">
        <f t="shared" si="166"/>
        <v/>
      </c>
      <c r="L2048" t="str">
        <f t="shared" si="168"/>
        <v>NGM-2420</v>
      </c>
      <c r="M2048" t="str">
        <f t="shared" si="168"/>
        <v>19980723</v>
      </c>
      <c r="N2048" t="str">
        <f t="shared" si="168"/>
        <v>ザ・キング・オブ・ファイターズ '98</v>
      </c>
      <c r="O2048" t="str">
        <f t="shared" si="168"/>
        <v/>
      </c>
      <c r="P2048" t="str">
        <f t="shared" si="168"/>
        <v/>
      </c>
      <c r="T2048" t="str">
        <f t="shared" si="167"/>
        <v/>
      </c>
      <c r="V2048" t="str">
        <f t="shared" si="169"/>
        <v>MVS</v>
      </c>
      <c r="W2048" t="str">
        <f t="shared" si="169"/>
        <v>MVS,AES</v>
      </c>
      <c r="AG2048" t="s">
        <v>6</v>
      </c>
      <c r="AH2048" t="s">
        <v>2644</v>
      </c>
      <c r="AI2048" t="s">
        <v>160</v>
      </c>
      <c r="AJ2048" t="s">
        <v>57</v>
      </c>
      <c r="AK2048" t="s">
        <v>2643</v>
      </c>
      <c r="AL2048" t="s">
        <v>2642</v>
      </c>
    </row>
    <row r="2049" spans="5:44" x14ac:dyDescent="0.25">
      <c r="I2049" t="str">
        <f t="shared" si="165"/>
        <v>kof98</v>
      </c>
      <c r="J2049" t="str">
        <f t="shared" si="166"/>
        <v/>
      </c>
      <c r="L2049" t="str">
        <f t="shared" si="168"/>
        <v>NGM-2420</v>
      </c>
      <c r="M2049" t="str">
        <f t="shared" si="168"/>
        <v>19980723</v>
      </c>
      <c r="N2049" t="str">
        <f t="shared" si="168"/>
        <v>ザ・キング・オブ・ファイターズ '98</v>
      </c>
      <c r="O2049" t="str">
        <f t="shared" si="168"/>
        <v/>
      </c>
      <c r="P2049" t="str">
        <f t="shared" si="168"/>
        <v/>
      </c>
      <c r="T2049" t="str">
        <f t="shared" si="167"/>
        <v/>
      </c>
      <c r="V2049" t="str">
        <f t="shared" si="169"/>
        <v>MVS</v>
      </c>
      <c r="W2049" t="str">
        <f t="shared" si="169"/>
        <v>MVS,AES</v>
      </c>
      <c r="AG2049" t="s">
        <v>6</v>
      </c>
      <c r="AH2049" t="s">
        <v>2641</v>
      </c>
      <c r="AI2049" t="s">
        <v>156</v>
      </c>
      <c r="AJ2049" t="s">
        <v>57</v>
      </c>
      <c r="AK2049" t="s">
        <v>2640</v>
      </c>
      <c r="AL2049" t="s">
        <v>2639</v>
      </c>
    </row>
    <row r="2050" spans="5:44" x14ac:dyDescent="0.25">
      <c r="I2050" t="str">
        <f t="shared" si="165"/>
        <v>kof98</v>
      </c>
      <c r="J2050" t="str">
        <f t="shared" si="166"/>
        <v/>
      </c>
      <c r="L2050" t="str">
        <f t="shared" si="168"/>
        <v>NGM-2420</v>
      </c>
      <c r="M2050" t="str">
        <f t="shared" si="168"/>
        <v>19980723</v>
      </c>
      <c r="N2050" t="str">
        <f t="shared" si="168"/>
        <v>ザ・キング・オブ・ファイターズ '98</v>
      </c>
      <c r="O2050" t="str">
        <f t="shared" si="168"/>
        <v/>
      </c>
      <c r="P2050" t="str">
        <f t="shared" si="168"/>
        <v/>
      </c>
      <c r="T2050" t="str">
        <f t="shared" si="167"/>
        <v/>
      </c>
      <c r="V2050" t="str">
        <f t="shared" si="169"/>
        <v>MVS</v>
      </c>
      <c r="W2050" t="str">
        <f t="shared" si="169"/>
        <v>MVS,AES</v>
      </c>
      <c r="AG2050" t="s">
        <v>6</v>
      </c>
      <c r="AH2050" t="s">
        <v>2638</v>
      </c>
      <c r="AI2050" t="s">
        <v>152</v>
      </c>
      <c r="AJ2050" t="s">
        <v>57</v>
      </c>
      <c r="AK2050" t="s">
        <v>2637</v>
      </c>
      <c r="AL2050" t="s">
        <v>2636</v>
      </c>
    </row>
    <row r="2051" spans="5:44" x14ac:dyDescent="0.25">
      <c r="I2051" t="str">
        <f t="shared" ref="I2051:I2114" si="170">IF(E2051="",I2050,E2051)</f>
        <v>kof98</v>
      </c>
      <c r="J2051" t="str">
        <f t="shared" ref="J2051:J2114" si="171">IF(K2051="","",I2051&amp;K2051)</f>
        <v/>
      </c>
      <c r="L2051" t="str">
        <f t="shared" si="168"/>
        <v>NGM-2420</v>
      </c>
      <c r="M2051" t="str">
        <f t="shared" si="168"/>
        <v>19980723</v>
      </c>
      <c r="N2051" t="str">
        <f t="shared" si="168"/>
        <v>ザ・キング・オブ・ファイターズ '98</v>
      </c>
      <c r="O2051" t="str">
        <f t="shared" si="168"/>
        <v/>
      </c>
      <c r="P2051" t="str">
        <f t="shared" si="168"/>
        <v/>
      </c>
      <c r="T2051" t="str">
        <f t="shared" ref="T2051:T2114" si="172">IF(S2051="","",I2051&amp;S2051)</f>
        <v/>
      </c>
      <c r="V2051" t="str">
        <f t="shared" si="169"/>
        <v>MVS</v>
      </c>
      <c r="W2051" t="str">
        <f t="shared" si="169"/>
        <v>MVS,AES</v>
      </c>
      <c r="AG2051" t="s">
        <v>6</v>
      </c>
      <c r="AH2051" t="s">
        <v>2635</v>
      </c>
      <c r="AI2051" t="s">
        <v>148</v>
      </c>
      <c r="AJ2051" t="s">
        <v>57</v>
      </c>
      <c r="AK2051" t="s">
        <v>2634</v>
      </c>
      <c r="AL2051" t="s">
        <v>2633</v>
      </c>
    </row>
    <row r="2052" spans="5:44" x14ac:dyDescent="0.25">
      <c r="E2052" t="s">
        <v>2713</v>
      </c>
      <c r="F2052" t="s">
        <v>2712</v>
      </c>
      <c r="G2052" t="s">
        <v>1101</v>
      </c>
      <c r="H2052" t="s">
        <v>1912</v>
      </c>
      <c r="I2052" t="str">
        <f t="shared" si="170"/>
        <v>kof98a</v>
      </c>
      <c r="J2052" t="str">
        <f t="shared" si="171"/>
        <v>kof98aserial</v>
      </c>
      <c r="K2052" t="s">
        <v>1373</v>
      </c>
      <c r="L2052" t="str">
        <f t="shared" si="168"/>
        <v>NGM-2420</v>
      </c>
      <c r="M2052" t="str">
        <f t="shared" si="168"/>
        <v>19980723</v>
      </c>
      <c r="N2052" t="str">
        <f t="shared" si="168"/>
        <v>ザ・キング・オブ・ファイターズ '98</v>
      </c>
      <c r="O2052" t="str">
        <f t="shared" si="168"/>
        <v/>
      </c>
      <c r="P2052" t="str">
        <f t="shared" si="168"/>
        <v/>
      </c>
      <c r="Q2052" t="s">
        <v>2711</v>
      </c>
      <c r="S2052" t="s">
        <v>46</v>
      </c>
      <c r="T2052" t="str">
        <f t="shared" si="172"/>
        <v>kof98arelease</v>
      </c>
      <c r="U2052" t="s">
        <v>106</v>
      </c>
      <c r="V2052" t="str">
        <f t="shared" si="169"/>
        <v>MVS</v>
      </c>
      <c r="W2052" t="str">
        <f t="shared" si="169"/>
        <v>MVS,AES</v>
      </c>
      <c r="Y2052" t="s">
        <v>45</v>
      </c>
      <c r="Z2052" t="s">
        <v>44</v>
      </c>
      <c r="AB2052" t="s">
        <v>43</v>
      </c>
      <c r="AC2052" t="s">
        <v>42</v>
      </c>
      <c r="AD2052" t="s">
        <v>41</v>
      </c>
      <c r="AE2052" t="s">
        <v>75</v>
      </c>
      <c r="AG2052" t="s">
        <v>40</v>
      </c>
      <c r="AH2052" t="s">
        <v>2693</v>
      </c>
      <c r="AI2052" t="s">
        <v>9</v>
      </c>
      <c r="AJ2052" t="s">
        <v>3</v>
      </c>
      <c r="AK2052" t="s">
        <v>2692</v>
      </c>
      <c r="AL2052" t="s">
        <v>2691</v>
      </c>
      <c r="AP2052" t="s">
        <v>138</v>
      </c>
      <c r="AQ2052" t="s">
        <v>2690</v>
      </c>
      <c r="AR2052" t="s">
        <v>2680</v>
      </c>
    </row>
    <row r="2053" spans="5:44" x14ac:dyDescent="0.25">
      <c r="I2053" t="str">
        <f t="shared" si="170"/>
        <v>kof98a</v>
      </c>
      <c r="J2053" t="str">
        <f t="shared" si="171"/>
        <v>kof98arelease</v>
      </c>
      <c r="K2053" t="s">
        <v>46</v>
      </c>
      <c r="L2053" t="str">
        <f t="shared" si="168"/>
        <v>NGM-2420</v>
      </c>
      <c r="M2053" t="str">
        <f t="shared" si="168"/>
        <v>19980723</v>
      </c>
      <c r="N2053" t="str">
        <f t="shared" si="168"/>
        <v>ザ・キング・オブ・ファイターズ '98</v>
      </c>
      <c r="O2053" t="str">
        <f t="shared" si="168"/>
        <v/>
      </c>
      <c r="P2053" t="str">
        <f t="shared" si="168"/>
        <v/>
      </c>
      <c r="Q2053" t="s">
        <v>2710</v>
      </c>
      <c r="T2053" t="str">
        <f t="shared" si="172"/>
        <v/>
      </c>
      <c r="V2053" t="str">
        <f t="shared" si="169"/>
        <v>MVS</v>
      </c>
      <c r="W2053" t="str">
        <f t="shared" si="169"/>
        <v>MVS,AES</v>
      </c>
      <c r="AG2053" t="s">
        <v>40</v>
      </c>
      <c r="AH2053" t="s">
        <v>2709</v>
      </c>
      <c r="AI2053" t="s">
        <v>3</v>
      </c>
      <c r="AJ2053" t="s">
        <v>3</v>
      </c>
      <c r="AK2053" t="s">
        <v>2708</v>
      </c>
      <c r="AL2053" t="s">
        <v>2707</v>
      </c>
    </row>
    <row r="2054" spans="5:44" x14ac:dyDescent="0.25">
      <c r="I2054" t="str">
        <f t="shared" si="170"/>
        <v>kof98a</v>
      </c>
      <c r="J2054" t="str">
        <f t="shared" si="171"/>
        <v>kof98aalt_title</v>
      </c>
      <c r="K2054" t="s">
        <v>1218</v>
      </c>
      <c r="L2054" t="str">
        <f t="shared" si="168"/>
        <v>NGM-2420</v>
      </c>
      <c r="M2054" t="str">
        <f t="shared" si="168"/>
        <v>19980723</v>
      </c>
      <c r="N2054" t="str">
        <f t="shared" si="168"/>
        <v>ザ・キング・オブ・ファイターズ '98</v>
      </c>
      <c r="O2054" t="str">
        <f t="shared" si="168"/>
        <v/>
      </c>
      <c r="P2054" t="str">
        <f t="shared" si="168"/>
        <v/>
      </c>
      <c r="Q2054" t="s">
        <v>2675</v>
      </c>
      <c r="T2054" t="str">
        <f t="shared" si="172"/>
        <v/>
      </c>
      <c r="V2054" t="str">
        <f t="shared" si="169"/>
        <v>MVS</v>
      </c>
      <c r="W2054" t="str">
        <f t="shared" si="169"/>
        <v>MVS,AES</v>
      </c>
      <c r="AG2054" t="s">
        <v>40</v>
      </c>
      <c r="AH2054" t="s">
        <v>2706</v>
      </c>
      <c r="AI2054" t="s">
        <v>11</v>
      </c>
      <c r="AJ2054" t="s">
        <v>3</v>
      </c>
      <c r="AK2054" t="s">
        <v>2705</v>
      </c>
      <c r="AL2054" t="s">
        <v>2704</v>
      </c>
    </row>
    <row r="2055" spans="5:44" x14ac:dyDescent="0.25">
      <c r="I2055" t="str">
        <f t="shared" si="170"/>
        <v>kof98a</v>
      </c>
      <c r="J2055" t="str">
        <f t="shared" si="171"/>
        <v/>
      </c>
      <c r="L2055" t="str">
        <f t="shared" ref="L2055:P2105" si="173">IFERROR(VLOOKUP($I2055&amp;L$1,$J:$Q,8,0),"")</f>
        <v>NGM-2420</v>
      </c>
      <c r="M2055" t="str">
        <f t="shared" si="173"/>
        <v>19980723</v>
      </c>
      <c r="N2055" t="str">
        <f t="shared" si="173"/>
        <v>ザ・キング・オブ・ファイターズ '98</v>
      </c>
      <c r="O2055" t="str">
        <f t="shared" si="173"/>
        <v/>
      </c>
      <c r="P2055" t="str">
        <f t="shared" si="173"/>
        <v/>
      </c>
      <c r="S2055" t="s">
        <v>36</v>
      </c>
      <c r="T2055" t="str">
        <f t="shared" si="172"/>
        <v>kof98acompatibility</v>
      </c>
      <c r="U2055" t="s">
        <v>218</v>
      </c>
      <c r="V2055" t="str">
        <f t="shared" si="169"/>
        <v>MVS</v>
      </c>
      <c r="W2055" t="str">
        <f t="shared" si="169"/>
        <v>MVS,AES</v>
      </c>
      <c r="AB2055" t="s">
        <v>34</v>
      </c>
      <c r="AE2055" t="s">
        <v>33</v>
      </c>
      <c r="AH2055" t="s">
        <v>2674</v>
      </c>
      <c r="AI2055" t="s">
        <v>9</v>
      </c>
      <c r="AJ2055" t="s">
        <v>27</v>
      </c>
      <c r="AK2055" t="s">
        <v>2673</v>
      </c>
      <c r="AL2055" t="s">
        <v>2672</v>
      </c>
    </row>
    <row r="2056" spans="5:44" x14ac:dyDescent="0.25">
      <c r="I2056" t="str">
        <f t="shared" si="170"/>
        <v>kof98a</v>
      </c>
      <c r="J2056" t="str">
        <f t="shared" si="171"/>
        <v/>
      </c>
      <c r="L2056" t="str">
        <f t="shared" si="173"/>
        <v>NGM-2420</v>
      </c>
      <c r="M2056" t="str">
        <f t="shared" si="173"/>
        <v>19980723</v>
      </c>
      <c r="N2056" t="str">
        <f t="shared" si="173"/>
        <v>ザ・キング・オブ・ファイターズ '98</v>
      </c>
      <c r="O2056" t="str">
        <f t="shared" si="173"/>
        <v/>
      </c>
      <c r="P2056" t="str">
        <f t="shared" si="173"/>
        <v/>
      </c>
      <c r="T2056" t="str">
        <f t="shared" si="172"/>
        <v/>
      </c>
      <c r="V2056" t="str">
        <f t="shared" si="169"/>
        <v>MVS</v>
      </c>
      <c r="W2056" t="str">
        <f t="shared" si="169"/>
        <v>MVS,AES</v>
      </c>
      <c r="AB2056" t="s">
        <v>29</v>
      </c>
      <c r="AE2056" t="s">
        <v>33</v>
      </c>
      <c r="AH2056" t="s">
        <v>2703</v>
      </c>
      <c r="AI2056" t="s">
        <v>9</v>
      </c>
      <c r="AJ2056" t="s">
        <v>33</v>
      </c>
      <c r="AK2056" t="s">
        <v>2702</v>
      </c>
      <c r="AL2056" t="s">
        <v>2701</v>
      </c>
    </row>
    <row r="2057" spans="5:44" x14ac:dyDescent="0.25">
      <c r="I2057" t="str">
        <f t="shared" si="170"/>
        <v>kof98a</v>
      </c>
      <c r="J2057" t="str">
        <f t="shared" si="171"/>
        <v/>
      </c>
      <c r="L2057" t="str">
        <f t="shared" si="173"/>
        <v>NGM-2420</v>
      </c>
      <c r="M2057" t="str">
        <f t="shared" si="173"/>
        <v>19980723</v>
      </c>
      <c r="N2057" t="str">
        <f t="shared" si="173"/>
        <v>ザ・キング・オブ・ファイターズ '98</v>
      </c>
      <c r="O2057" t="str">
        <f t="shared" si="173"/>
        <v/>
      </c>
      <c r="P2057" t="str">
        <f t="shared" si="173"/>
        <v/>
      </c>
      <c r="T2057" t="str">
        <f t="shared" si="172"/>
        <v/>
      </c>
      <c r="V2057" t="str">
        <f t="shared" si="169"/>
        <v>MVS</v>
      </c>
      <c r="W2057" t="str">
        <f t="shared" si="169"/>
        <v>MVS,AES</v>
      </c>
      <c r="AB2057" t="s">
        <v>24</v>
      </c>
      <c r="AE2057" t="s">
        <v>65</v>
      </c>
      <c r="AH2057" t="s">
        <v>2668</v>
      </c>
      <c r="AI2057" t="s">
        <v>9</v>
      </c>
      <c r="AJ2057" t="s">
        <v>11</v>
      </c>
      <c r="AK2057" t="s">
        <v>2667</v>
      </c>
      <c r="AL2057" t="s">
        <v>2666</v>
      </c>
    </row>
    <row r="2058" spans="5:44" x14ac:dyDescent="0.25">
      <c r="I2058" t="str">
        <f t="shared" si="170"/>
        <v>kof98a</v>
      </c>
      <c r="J2058" t="str">
        <f t="shared" si="171"/>
        <v/>
      </c>
      <c r="L2058" t="str">
        <f t="shared" si="173"/>
        <v>NGM-2420</v>
      </c>
      <c r="M2058" t="str">
        <f t="shared" si="173"/>
        <v>19980723</v>
      </c>
      <c r="N2058" t="str">
        <f t="shared" si="173"/>
        <v>ザ・キング・オブ・ファイターズ '98</v>
      </c>
      <c r="O2058" t="str">
        <f t="shared" si="173"/>
        <v/>
      </c>
      <c r="P2058" t="str">
        <f t="shared" si="173"/>
        <v/>
      </c>
      <c r="T2058" t="str">
        <f t="shared" si="172"/>
        <v/>
      </c>
      <c r="V2058" t="str">
        <f t="shared" si="169"/>
        <v>MVS</v>
      </c>
      <c r="W2058" t="str">
        <f t="shared" si="169"/>
        <v>MVS,AES</v>
      </c>
      <c r="AH2058" t="s">
        <v>2665</v>
      </c>
      <c r="AI2058" t="s">
        <v>11</v>
      </c>
      <c r="AJ2058" t="s">
        <v>11</v>
      </c>
      <c r="AK2058" t="s">
        <v>2664</v>
      </c>
      <c r="AL2058" t="s">
        <v>2663</v>
      </c>
    </row>
    <row r="2059" spans="5:44" x14ac:dyDescent="0.25">
      <c r="I2059" t="str">
        <f t="shared" si="170"/>
        <v>kof98a</v>
      </c>
      <c r="J2059" t="str">
        <f t="shared" si="171"/>
        <v/>
      </c>
      <c r="L2059" t="str">
        <f t="shared" si="173"/>
        <v>NGM-2420</v>
      </c>
      <c r="M2059" t="str">
        <f t="shared" si="173"/>
        <v>19980723</v>
      </c>
      <c r="N2059" t="str">
        <f t="shared" si="173"/>
        <v>ザ・キング・オブ・ファイターズ '98</v>
      </c>
      <c r="O2059" t="str">
        <f t="shared" si="173"/>
        <v/>
      </c>
      <c r="P2059" t="str">
        <f t="shared" si="173"/>
        <v/>
      </c>
      <c r="T2059" t="str">
        <f t="shared" si="172"/>
        <v/>
      </c>
      <c r="V2059" t="str">
        <f t="shared" si="169"/>
        <v>MVS</v>
      </c>
      <c r="W2059" t="str">
        <f t="shared" si="169"/>
        <v>MVS,AES</v>
      </c>
      <c r="AH2059" t="s">
        <v>2662</v>
      </c>
      <c r="AI2059" t="s">
        <v>57</v>
      </c>
      <c r="AJ2059" t="s">
        <v>11</v>
      </c>
      <c r="AK2059" t="s">
        <v>2661</v>
      </c>
      <c r="AL2059" t="s">
        <v>2660</v>
      </c>
    </row>
    <row r="2060" spans="5:44" x14ac:dyDescent="0.25">
      <c r="I2060" t="str">
        <f t="shared" si="170"/>
        <v>kof98a</v>
      </c>
      <c r="J2060" t="str">
        <f t="shared" si="171"/>
        <v/>
      </c>
      <c r="L2060" t="str">
        <f t="shared" si="173"/>
        <v>NGM-2420</v>
      </c>
      <c r="M2060" t="str">
        <f t="shared" si="173"/>
        <v>19980723</v>
      </c>
      <c r="N2060" t="str">
        <f t="shared" si="173"/>
        <v>ザ・キング・オブ・ファイターズ '98</v>
      </c>
      <c r="O2060" t="str">
        <f t="shared" si="173"/>
        <v/>
      </c>
      <c r="P2060" t="str">
        <f t="shared" si="173"/>
        <v/>
      </c>
      <c r="T2060" t="str">
        <f t="shared" si="172"/>
        <v/>
      </c>
      <c r="V2060" t="str">
        <f t="shared" si="169"/>
        <v>MVS</v>
      </c>
      <c r="W2060" t="str">
        <f t="shared" si="169"/>
        <v>MVS,AES</v>
      </c>
      <c r="AH2060" t="s">
        <v>2659</v>
      </c>
      <c r="AI2060" t="s">
        <v>250</v>
      </c>
      <c r="AJ2060" t="s">
        <v>11</v>
      </c>
      <c r="AK2060" t="s">
        <v>2658</v>
      </c>
      <c r="AL2060" t="s">
        <v>2657</v>
      </c>
    </row>
    <row r="2061" spans="5:44" x14ac:dyDescent="0.25">
      <c r="I2061" t="str">
        <f t="shared" si="170"/>
        <v>kof98a</v>
      </c>
      <c r="J2061" t="str">
        <f t="shared" si="171"/>
        <v/>
      </c>
      <c r="L2061" t="str">
        <f t="shared" si="173"/>
        <v>NGM-2420</v>
      </c>
      <c r="M2061" t="str">
        <f t="shared" si="173"/>
        <v>19980723</v>
      </c>
      <c r="N2061" t="str">
        <f t="shared" si="173"/>
        <v>ザ・キング・オブ・ファイターズ '98</v>
      </c>
      <c r="O2061" t="str">
        <f t="shared" si="173"/>
        <v/>
      </c>
      <c r="P2061" t="str">
        <f t="shared" si="173"/>
        <v/>
      </c>
      <c r="T2061" t="str">
        <f t="shared" si="172"/>
        <v/>
      </c>
      <c r="V2061" t="str">
        <f t="shared" si="169"/>
        <v>MVS</v>
      </c>
      <c r="W2061" t="str">
        <f t="shared" si="169"/>
        <v>MVS,AES</v>
      </c>
      <c r="AB2061" t="s">
        <v>12</v>
      </c>
      <c r="AE2061" t="s">
        <v>175</v>
      </c>
      <c r="AG2061" t="s">
        <v>6</v>
      </c>
      <c r="AH2061" t="s">
        <v>2656</v>
      </c>
      <c r="AI2061" t="s">
        <v>9</v>
      </c>
      <c r="AJ2061" t="s">
        <v>57</v>
      </c>
      <c r="AK2061" t="s">
        <v>2655</v>
      </c>
      <c r="AL2061" t="s">
        <v>2654</v>
      </c>
    </row>
    <row r="2062" spans="5:44" x14ac:dyDescent="0.25">
      <c r="I2062" t="str">
        <f t="shared" si="170"/>
        <v>kof98a</v>
      </c>
      <c r="J2062" t="str">
        <f t="shared" si="171"/>
        <v/>
      </c>
      <c r="L2062" t="str">
        <f t="shared" si="173"/>
        <v>NGM-2420</v>
      </c>
      <c r="M2062" t="str">
        <f t="shared" si="173"/>
        <v>19980723</v>
      </c>
      <c r="N2062" t="str">
        <f t="shared" si="173"/>
        <v>ザ・キング・オブ・ファイターズ '98</v>
      </c>
      <c r="O2062" t="str">
        <f t="shared" si="173"/>
        <v/>
      </c>
      <c r="P2062" t="str">
        <f t="shared" si="173"/>
        <v/>
      </c>
      <c r="T2062" t="str">
        <f t="shared" si="172"/>
        <v/>
      </c>
      <c r="V2062" t="str">
        <f t="shared" si="169"/>
        <v>MVS</v>
      </c>
      <c r="W2062" t="str">
        <f t="shared" si="169"/>
        <v>MVS,AES</v>
      </c>
      <c r="AG2062" t="s">
        <v>6</v>
      </c>
      <c r="AH2062" t="s">
        <v>2653</v>
      </c>
      <c r="AI2062" t="s">
        <v>4</v>
      </c>
      <c r="AJ2062" t="s">
        <v>57</v>
      </c>
      <c r="AK2062" t="s">
        <v>2652</v>
      </c>
      <c r="AL2062" t="s">
        <v>2651</v>
      </c>
    </row>
    <row r="2063" spans="5:44" x14ac:dyDescent="0.25">
      <c r="I2063" t="str">
        <f t="shared" si="170"/>
        <v>kof98a</v>
      </c>
      <c r="J2063" t="str">
        <f t="shared" si="171"/>
        <v/>
      </c>
      <c r="L2063" t="str">
        <f t="shared" si="173"/>
        <v>NGM-2420</v>
      </c>
      <c r="M2063" t="str">
        <f t="shared" si="173"/>
        <v>19980723</v>
      </c>
      <c r="N2063" t="str">
        <f t="shared" si="173"/>
        <v>ザ・キング・オブ・ファイターズ '98</v>
      </c>
      <c r="O2063" t="str">
        <f t="shared" si="173"/>
        <v/>
      </c>
      <c r="P2063" t="str">
        <f t="shared" si="173"/>
        <v/>
      </c>
      <c r="T2063" t="str">
        <f t="shared" si="172"/>
        <v/>
      </c>
      <c r="V2063" t="str">
        <f t="shared" si="169"/>
        <v>MVS</v>
      </c>
      <c r="W2063" t="str">
        <f t="shared" si="169"/>
        <v>MVS,AES</v>
      </c>
      <c r="AG2063" t="s">
        <v>6</v>
      </c>
      <c r="AH2063" t="s">
        <v>2650</v>
      </c>
      <c r="AI2063" t="s">
        <v>65</v>
      </c>
      <c r="AJ2063" t="s">
        <v>57</v>
      </c>
      <c r="AK2063" t="s">
        <v>2649</v>
      </c>
      <c r="AL2063" t="s">
        <v>2648</v>
      </c>
    </row>
    <row r="2064" spans="5:44" x14ac:dyDescent="0.25">
      <c r="I2064" t="str">
        <f t="shared" si="170"/>
        <v>kof98a</v>
      </c>
      <c r="J2064" t="str">
        <f t="shared" si="171"/>
        <v/>
      </c>
      <c r="L2064" t="str">
        <f t="shared" si="173"/>
        <v>NGM-2420</v>
      </c>
      <c r="M2064" t="str">
        <f t="shared" si="173"/>
        <v>19980723</v>
      </c>
      <c r="N2064" t="str">
        <f t="shared" si="173"/>
        <v>ザ・キング・オブ・ファイターズ '98</v>
      </c>
      <c r="O2064" t="str">
        <f t="shared" si="173"/>
        <v/>
      </c>
      <c r="P2064" t="str">
        <f t="shared" si="173"/>
        <v/>
      </c>
      <c r="T2064" t="str">
        <f t="shared" si="172"/>
        <v/>
      </c>
      <c r="V2064" t="str">
        <f t="shared" si="169"/>
        <v>MVS</v>
      </c>
      <c r="W2064" t="str">
        <f t="shared" si="169"/>
        <v>MVS,AES</v>
      </c>
      <c r="AG2064" t="s">
        <v>6</v>
      </c>
      <c r="AH2064" t="s">
        <v>2647</v>
      </c>
      <c r="AI2064" t="s">
        <v>164</v>
      </c>
      <c r="AJ2064" t="s">
        <v>57</v>
      </c>
      <c r="AK2064" t="s">
        <v>2646</v>
      </c>
      <c r="AL2064" t="s">
        <v>2645</v>
      </c>
    </row>
    <row r="2065" spans="5:44" x14ac:dyDescent="0.25">
      <c r="I2065" t="str">
        <f t="shared" si="170"/>
        <v>kof98a</v>
      </c>
      <c r="J2065" t="str">
        <f t="shared" si="171"/>
        <v/>
      </c>
      <c r="L2065" t="str">
        <f t="shared" si="173"/>
        <v>NGM-2420</v>
      </c>
      <c r="M2065" t="str">
        <f t="shared" si="173"/>
        <v>19980723</v>
      </c>
      <c r="N2065" t="str">
        <f t="shared" si="173"/>
        <v>ザ・キング・オブ・ファイターズ '98</v>
      </c>
      <c r="O2065" t="str">
        <f t="shared" si="173"/>
        <v/>
      </c>
      <c r="P2065" t="str">
        <f t="shared" si="173"/>
        <v/>
      </c>
      <c r="T2065" t="str">
        <f t="shared" si="172"/>
        <v/>
      </c>
      <c r="V2065" t="str">
        <f t="shared" si="169"/>
        <v>MVS</v>
      </c>
      <c r="W2065" t="str">
        <f t="shared" si="169"/>
        <v>MVS,AES</v>
      </c>
      <c r="AG2065" t="s">
        <v>6</v>
      </c>
      <c r="AH2065" t="s">
        <v>2644</v>
      </c>
      <c r="AI2065" t="s">
        <v>160</v>
      </c>
      <c r="AJ2065" t="s">
        <v>57</v>
      </c>
      <c r="AK2065" t="s">
        <v>2643</v>
      </c>
      <c r="AL2065" t="s">
        <v>2642</v>
      </c>
    </row>
    <row r="2066" spans="5:44" x14ac:dyDescent="0.25">
      <c r="I2066" t="str">
        <f t="shared" si="170"/>
        <v>kof98a</v>
      </c>
      <c r="J2066" t="str">
        <f t="shared" si="171"/>
        <v/>
      </c>
      <c r="L2066" t="str">
        <f t="shared" si="173"/>
        <v>NGM-2420</v>
      </c>
      <c r="M2066" t="str">
        <f t="shared" si="173"/>
        <v>19980723</v>
      </c>
      <c r="N2066" t="str">
        <f t="shared" si="173"/>
        <v>ザ・キング・オブ・ファイターズ '98</v>
      </c>
      <c r="O2066" t="str">
        <f t="shared" si="173"/>
        <v/>
      </c>
      <c r="P2066" t="str">
        <f t="shared" si="173"/>
        <v/>
      </c>
      <c r="T2066" t="str">
        <f t="shared" si="172"/>
        <v/>
      </c>
      <c r="V2066" t="str">
        <f t="shared" si="169"/>
        <v>MVS</v>
      </c>
      <c r="W2066" t="str">
        <f t="shared" si="169"/>
        <v>MVS,AES</v>
      </c>
      <c r="AG2066" t="s">
        <v>6</v>
      </c>
      <c r="AH2066" t="s">
        <v>2641</v>
      </c>
      <c r="AI2066" t="s">
        <v>156</v>
      </c>
      <c r="AJ2066" t="s">
        <v>57</v>
      </c>
      <c r="AK2066" t="s">
        <v>2640</v>
      </c>
      <c r="AL2066" t="s">
        <v>2639</v>
      </c>
    </row>
    <row r="2067" spans="5:44" x14ac:dyDescent="0.25">
      <c r="I2067" t="str">
        <f t="shared" si="170"/>
        <v>kof98a</v>
      </c>
      <c r="J2067" t="str">
        <f t="shared" si="171"/>
        <v/>
      </c>
      <c r="L2067" t="str">
        <f t="shared" si="173"/>
        <v>NGM-2420</v>
      </c>
      <c r="M2067" t="str">
        <f t="shared" si="173"/>
        <v>19980723</v>
      </c>
      <c r="N2067" t="str">
        <f t="shared" si="173"/>
        <v>ザ・キング・オブ・ファイターズ '98</v>
      </c>
      <c r="O2067" t="str">
        <f t="shared" si="173"/>
        <v/>
      </c>
      <c r="P2067" t="str">
        <f t="shared" si="173"/>
        <v/>
      </c>
      <c r="T2067" t="str">
        <f t="shared" si="172"/>
        <v/>
      </c>
      <c r="V2067" t="str">
        <f t="shared" si="169"/>
        <v>MVS</v>
      </c>
      <c r="W2067" t="str">
        <f t="shared" si="169"/>
        <v>MVS,AES</v>
      </c>
      <c r="AG2067" t="s">
        <v>6</v>
      </c>
      <c r="AH2067" t="s">
        <v>2638</v>
      </c>
      <c r="AI2067" t="s">
        <v>152</v>
      </c>
      <c r="AJ2067" t="s">
        <v>57</v>
      </c>
      <c r="AK2067" t="s">
        <v>2637</v>
      </c>
      <c r="AL2067" t="s">
        <v>2636</v>
      </c>
    </row>
    <row r="2068" spans="5:44" x14ac:dyDescent="0.25">
      <c r="I2068" t="str">
        <f t="shared" si="170"/>
        <v>kof98a</v>
      </c>
      <c r="J2068" t="str">
        <f t="shared" si="171"/>
        <v/>
      </c>
      <c r="L2068" t="str">
        <f t="shared" si="173"/>
        <v>NGM-2420</v>
      </c>
      <c r="M2068" t="str">
        <f t="shared" si="173"/>
        <v>19980723</v>
      </c>
      <c r="N2068" t="str">
        <f t="shared" si="173"/>
        <v>ザ・キング・オブ・ファイターズ '98</v>
      </c>
      <c r="O2068" t="str">
        <f t="shared" si="173"/>
        <v/>
      </c>
      <c r="P2068" t="str">
        <f t="shared" si="173"/>
        <v/>
      </c>
      <c r="T2068" t="str">
        <f t="shared" si="172"/>
        <v/>
      </c>
      <c r="V2068" t="str">
        <f t="shared" si="169"/>
        <v>MVS</v>
      </c>
      <c r="W2068" t="str">
        <f t="shared" si="169"/>
        <v>MVS,AES</v>
      </c>
      <c r="AG2068" t="s">
        <v>6</v>
      </c>
      <c r="AH2068" t="s">
        <v>2635</v>
      </c>
      <c r="AI2068" t="s">
        <v>148</v>
      </c>
      <c r="AJ2068" t="s">
        <v>57</v>
      </c>
      <c r="AK2068" t="s">
        <v>2634</v>
      </c>
      <c r="AL2068" t="s">
        <v>2633</v>
      </c>
    </row>
    <row r="2069" spans="5:44" x14ac:dyDescent="0.25">
      <c r="E2069" t="s">
        <v>2700</v>
      </c>
      <c r="F2069" t="s">
        <v>2699</v>
      </c>
      <c r="G2069" t="s">
        <v>1101</v>
      </c>
      <c r="H2069" t="s">
        <v>1912</v>
      </c>
      <c r="I2069" t="str">
        <f t="shared" si="170"/>
        <v>kof98k</v>
      </c>
      <c r="J2069" t="str">
        <f t="shared" si="171"/>
        <v/>
      </c>
      <c r="L2069" t="str">
        <f t="shared" si="173"/>
        <v/>
      </c>
      <c r="M2069" t="str">
        <f t="shared" si="173"/>
        <v/>
      </c>
      <c r="N2069" t="str">
        <f t="shared" si="173"/>
        <v/>
      </c>
      <c r="O2069" t="str">
        <f t="shared" si="173"/>
        <v/>
      </c>
      <c r="P2069" t="str">
        <f t="shared" si="173"/>
        <v/>
      </c>
      <c r="S2069" t="s">
        <v>46</v>
      </c>
      <c r="T2069" t="str">
        <f t="shared" si="172"/>
        <v>kof98krelease</v>
      </c>
      <c r="U2069" t="s">
        <v>106</v>
      </c>
      <c r="V2069" t="str">
        <f t="shared" si="169"/>
        <v>MVS</v>
      </c>
      <c r="W2069" t="str">
        <f t="shared" si="169"/>
        <v>MVS,AES</v>
      </c>
      <c r="Y2069" t="s">
        <v>45</v>
      </c>
      <c r="Z2069" t="s">
        <v>44</v>
      </c>
      <c r="AB2069" t="s">
        <v>43</v>
      </c>
      <c r="AC2069" t="s">
        <v>42</v>
      </c>
      <c r="AD2069" t="s">
        <v>41</v>
      </c>
      <c r="AE2069" t="s">
        <v>75</v>
      </c>
      <c r="AG2069" t="s">
        <v>40</v>
      </c>
      <c r="AH2069" t="s">
        <v>2693</v>
      </c>
      <c r="AI2069" t="s">
        <v>9</v>
      </c>
      <c r="AJ2069" t="s">
        <v>3</v>
      </c>
      <c r="AK2069" t="s">
        <v>2692</v>
      </c>
      <c r="AL2069" t="s">
        <v>2691</v>
      </c>
      <c r="AP2069" t="s">
        <v>138</v>
      </c>
      <c r="AQ2069" t="s">
        <v>2690</v>
      </c>
      <c r="AR2069" t="s">
        <v>2680</v>
      </c>
    </row>
    <row r="2070" spans="5:44" x14ac:dyDescent="0.25">
      <c r="I2070" t="str">
        <f t="shared" si="170"/>
        <v>kof98k</v>
      </c>
      <c r="J2070" t="str">
        <f t="shared" si="171"/>
        <v/>
      </c>
      <c r="L2070" t="str">
        <f t="shared" si="173"/>
        <v/>
      </c>
      <c r="M2070" t="str">
        <f t="shared" si="173"/>
        <v/>
      </c>
      <c r="N2070" t="str">
        <f t="shared" si="173"/>
        <v/>
      </c>
      <c r="O2070" t="str">
        <f t="shared" si="173"/>
        <v/>
      </c>
      <c r="P2070" t="str">
        <f t="shared" si="173"/>
        <v/>
      </c>
      <c r="S2070" t="s">
        <v>36</v>
      </c>
      <c r="T2070" t="str">
        <f t="shared" si="172"/>
        <v>kof98kcompatibility</v>
      </c>
      <c r="U2070" t="s">
        <v>218</v>
      </c>
      <c r="V2070" t="str">
        <f t="shared" si="169"/>
        <v>MVS</v>
      </c>
      <c r="W2070" t="str">
        <f t="shared" si="169"/>
        <v>MVS,AES</v>
      </c>
      <c r="AG2070" t="s">
        <v>40</v>
      </c>
      <c r="AH2070" t="s">
        <v>2678</v>
      </c>
      <c r="AI2070" t="s">
        <v>3</v>
      </c>
      <c r="AJ2070" t="s">
        <v>11</v>
      </c>
      <c r="AK2070" t="s">
        <v>2677</v>
      </c>
      <c r="AL2070" t="s">
        <v>2676</v>
      </c>
    </row>
    <row r="2071" spans="5:44" x14ac:dyDescent="0.25">
      <c r="I2071" t="str">
        <f t="shared" si="170"/>
        <v>kof98k</v>
      </c>
      <c r="J2071" t="str">
        <f t="shared" si="171"/>
        <v/>
      </c>
      <c r="L2071" t="str">
        <f t="shared" si="173"/>
        <v/>
      </c>
      <c r="M2071" t="str">
        <f t="shared" si="173"/>
        <v/>
      </c>
      <c r="N2071" t="str">
        <f t="shared" si="173"/>
        <v/>
      </c>
      <c r="O2071" t="str">
        <f t="shared" si="173"/>
        <v/>
      </c>
      <c r="P2071" t="str">
        <f t="shared" si="173"/>
        <v/>
      </c>
      <c r="T2071" t="str">
        <f t="shared" si="172"/>
        <v/>
      </c>
      <c r="V2071" t="str">
        <f t="shared" ref="V2071:W2134" si="174">IFERROR(VLOOKUP($I2071&amp;V$1,$T:$AA,2,0),"")</f>
        <v>MVS</v>
      </c>
      <c r="W2071" t="str">
        <f t="shared" si="174"/>
        <v>MVS,AES</v>
      </c>
      <c r="AB2071" t="s">
        <v>34</v>
      </c>
      <c r="AE2071" t="s">
        <v>33</v>
      </c>
      <c r="AH2071" t="s">
        <v>2674</v>
      </c>
      <c r="AI2071" t="s">
        <v>9</v>
      </c>
      <c r="AJ2071" t="s">
        <v>27</v>
      </c>
      <c r="AK2071" t="s">
        <v>2673</v>
      </c>
      <c r="AL2071" t="s">
        <v>2672</v>
      </c>
    </row>
    <row r="2072" spans="5:44" x14ac:dyDescent="0.25">
      <c r="I2072" t="str">
        <f t="shared" si="170"/>
        <v>kof98k</v>
      </c>
      <c r="J2072" t="str">
        <f t="shared" si="171"/>
        <v/>
      </c>
      <c r="L2072" t="str">
        <f t="shared" si="173"/>
        <v/>
      </c>
      <c r="M2072" t="str">
        <f t="shared" si="173"/>
        <v/>
      </c>
      <c r="N2072" t="str">
        <f t="shared" si="173"/>
        <v/>
      </c>
      <c r="O2072" t="str">
        <f t="shared" si="173"/>
        <v/>
      </c>
      <c r="P2072" t="str">
        <f t="shared" si="173"/>
        <v/>
      </c>
      <c r="T2072" t="str">
        <f t="shared" si="172"/>
        <v/>
      </c>
      <c r="V2072" t="str">
        <f t="shared" si="174"/>
        <v>MVS</v>
      </c>
      <c r="W2072" t="str">
        <f t="shared" si="174"/>
        <v>MVS,AES</v>
      </c>
      <c r="AB2072" t="s">
        <v>29</v>
      </c>
      <c r="AE2072" t="s">
        <v>33</v>
      </c>
      <c r="AH2072" t="s">
        <v>2698</v>
      </c>
      <c r="AI2072" t="s">
        <v>9</v>
      </c>
      <c r="AJ2072" t="s">
        <v>33</v>
      </c>
      <c r="AK2072" t="s">
        <v>2697</v>
      </c>
      <c r="AL2072" t="s">
        <v>2696</v>
      </c>
    </row>
    <row r="2073" spans="5:44" x14ac:dyDescent="0.25">
      <c r="I2073" t="str">
        <f t="shared" si="170"/>
        <v>kof98k</v>
      </c>
      <c r="J2073" t="str">
        <f t="shared" si="171"/>
        <v/>
      </c>
      <c r="L2073" t="str">
        <f t="shared" si="173"/>
        <v/>
      </c>
      <c r="M2073" t="str">
        <f t="shared" si="173"/>
        <v/>
      </c>
      <c r="N2073" t="str">
        <f t="shared" si="173"/>
        <v/>
      </c>
      <c r="O2073" t="str">
        <f t="shared" si="173"/>
        <v/>
      </c>
      <c r="P2073" t="str">
        <f t="shared" si="173"/>
        <v/>
      </c>
      <c r="T2073" t="str">
        <f t="shared" si="172"/>
        <v/>
      </c>
      <c r="V2073" t="str">
        <f t="shared" si="174"/>
        <v>MVS</v>
      </c>
      <c r="W2073" t="str">
        <f t="shared" si="174"/>
        <v>MVS,AES</v>
      </c>
      <c r="AB2073" t="s">
        <v>24</v>
      </c>
      <c r="AE2073" t="s">
        <v>65</v>
      </c>
      <c r="AH2073" t="s">
        <v>2668</v>
      </c>
      <c r="AI2073" t="s">
        <v>9</v>
      </c>
      <c r="AJ2073" t="s">
        <v>11</v>
      </c>
      <c r="AK2073" t="s">
        <v>2667</v>
      </c>
      <c r="AL2073" t="s">
        <v>2666</v>
      </c>
    </row>
    <row r="2074" spans="5:44" x14ac:dyDescent="0.25">
      <c r="I2074" t="str">
        <f t="shared" si="170"/>
        <v>kof98k</v>
      </c>
      <c r="J2074" t="str">
        <f t="shared" si="171"/>
        <v/>
      </c>
      <c r="L2074" t="str">
        <f t="shared" si="173"/>
        <v/>
      </c>
      <c r="M2074" t="str">
        <f t="shared" si="173"/>
        <v/>
      </c>
      <c r="N2074" t="str">
        <f t="shared" si="173"/>
        <v/>
      </c>
      <c r="O2074" t="str">
        <f t="shared" si="173"/>
        <v/>
      </c>
      <c r="P2074" t="str">
        <f t="shared" si="173"/>
        <v/>
      </c>
      <c r="T2074" t="str">
        <f t="shared" si="172"/>
        <v/>
      </c>
      <c r="V2074" t="str">
        <f t="shared" si="174"/>
        <v>MVS</v>
      </c>
      <c r="W2074" t="str">
        <f t="shared" si="174"/>
        <v>MVS,AES</v>
      </c>
      <c r="AH2074" t="s">
        <v>2665</v>
      </c>
      <c r="AI2074" t="s">
        <v>11</v>
      </c>
      <c r="AJ2074" t="s">
        <v>11</v>
      </c>
      <c r="AK2074" t="s">
        <v>2664</v>
      </c>
      <c r="AL2074" t="s">
        <v>2663</v>
      </c>
    </row>
    <row r="2075" spans="5:44" x14ac:dyDescent="0.25">
      <c r="I2075" t="str">
        <f t="shared" si="170"/>
        <v>kof98k</v>
      </c>
      <c r="J2075" t="str">
        <f t="shared" si="171"/>
        <v/>
      </c>
      <c r="L2075" t="str">
        <f t="shared" si="173"/>
        <v/>
      </c>
      <c r="M2075" t="str">
        <f t="shared" si="173"/>
        <v/>
      </c>
      <c r="N2075" t="str">
        <f t="shared" si="173"/>
        <v/>
      </c>
      <c r="O2075" t="str">
        <f t="shared" si="173"/>
        <v/>
      </c>
      <c r="P2075" t="str">
        <f t="shared" si="173"/>
        <v/>
      </c>
      <c r="T2075" t="str">
        <f t="shared" si="172"/>
        <v/>
      </c>
      <c r="V2075" t="str">
        <f t="shared" si="174"/>
        <v>MVS</v>
      </c>
      <c r="W2075" t="str">
        <f t="shared" si="174"/>
        <v>MVS,AES</v>
      </c>
      <c r="AH2075" t="s">
        <v>2662</v>
      </c>
      <c r="AI2075" t="s">
        <v>57</v>
      </c>
      <c r="AJ2075" t="s">
        <v>11</v>
      </c>
      <c r="AK2075" t="s">
        <v>2661</v>
      </c>
      <c r="AL2075" t="s">
        <v>2660</v>
      </c>
    </row>
    <row r="2076" spans="5:44" x14ac:dyDescent="0.25">
      <c r="I2076" t="str">
        <f t="shared" si="170"/>
        <v>kof98k</v>
      </c>
      <c r="J2076" t="str">
        <f t="shared" si="171"/>
        <v/>
      </c>
      <c r="L2076" t="str">
        <f t="shared" si="173"/>
        <v/>
      </c>
      <c r="M2076" t="str">
        <f t="shared" si="173"/>
        <v/>
      </c>
      <c r="N2076" t="str">
        <f t="shared" si="173"/>
        <v/>
      </c>
      <c r="O2076" t="str">
        <f t="shared" si="173"/>
        <v/>
      </c>
      <c r="P2076" t="str">
        <f t="shared" si="173"/>
        <v/>
      </c>
      <c r="T2076" t="str">
        <f t="shared" si="172"/>
        <v/>
      </c>
      <c r="V2076" t="str">
        <f t="shared" si="174"/>
        <v>MVS</v>
      </c>
      <c r="W2076" t="str">
        <f t="shared" si="174"/>
        <v>MVS,AES</v>
      </c>
      <c r="AH2076" t="s">
        <v>2659</v>
      </c>
      <c r="AI2076" t="s">
        <v>250</v>
      </c>
      <c r="AJ2076" t="s">
        <v>11</v>
      </c>
      <c r="AK2076" t="s">
        <v>2658</v>
      </c>
      <c r="AL2076" t="s">
        <v>2657</v>
      </c>
    </row>
    <row r="2077" spans="5:44" x14ac:dyDescent="0.25">
      <c r="I2077" t="str">
        <f t="shared" si="170"/>
        <v>kof98k</v>
      </c>
      <c r="J2077" t="str">
        <f t="shared" si="171"/>
        <v/>
      </c>
      <c r="L2077" t="str">
        <f t="shared" si="173"/>
        <v/>
      </c>
      <c r="M2077" t="str">
        <f t="shared" si="173"/>
        <v/>
      </c>
      <c r="N2077" t="str">
        <f t="shared" si="173"/>
        <v/>
      </c>
      <c r="O2077" t="str">
        <f t="shared" si="173"/>
        <v/>
      </c>
      <c r="P2077" t="str">
        <f t="shared" si="173"/>
        <v/>
      </c>
      <c r="T2077" t="str">
        <f t="shared" si="172"/>
        <v/>
      </c>
      <c r="V2077" t="str">
        <f t="shared" si="174"/>
        <v>MVS</v>
      </c>
      <c r="W2077" t="str">
        <f t="shared" si="174"/>
        <v>MVS,AES</v>
      </c>
      <c r="AB2077" t="s">
        <v>12</v>
      </c>
      <c r="AE2077" t="s">
        <v>175</v>
      </c>
      <c r="AG2077" t="s">
        <v>6</v>
      </c>
      <c r="AH2077" t="s">
        <v>2656</v>
      </c>
      <c r="AI2077" t="s">
        <v>9</v>
      </c>
      <c r="AJ2077" t="s">
        <v>57</v>
      </c>
      <c r="AK2077" t="s">
        <v>2655</v>
      </c>
      <c r="AL2077" t="s">
        <v>2654</v>
      </c>
    </row>
    <row r="2078" spans="5:44" x14ac:dyDescent="0.25">
      <c r="I2078" t="str">
        <f t="shared" si="170"/>
        <v>kof98k</v>
      </c>
      <c r="J2078" t="str">
        <f t="shared" si="171"/>
        <v/>
      </c>
      <c r="L2078" t="str">
        <f t="shared" si="173"/>
        <v/>
      </c>
      <c r="M2078" t="str">
        <f t="shared" si="173"/>
        <v/>
      </c>
      <c r="N2078" t="str">
        <f t="shared" si="173"/>
        <v/>
      </c>
      <c r="O2078" t="str">
        <f t="shared" si="173"/>
        <v/>
      </c>
      <c r="P2078" t="str">
        <f t="shared" si="173"/>
        <v/>
      </c>
      <c r="T2078" t="str">
        <f t="shared" si="172"/>
        <v/>
      </c>
      <c r="V2078" t="str">
        <f t="shared" si="174"/>
        <v>MVS</v>
      </c>
      <c r="W2078" t="str">
        <f t="shared" si="174"/>
        <v>MVS,AES</v>
      </c>
      <c r="AG2078" t="s">
        <v>6</v>
      </c>
      <c r="AH2078" t="s">
        <v>2653</v>
      </c>
      <c r="AI2078" t="s">
        <v>4</v>
      </c>
      <c r="AJ2078" t="s">
        <v>57</v>
      </c>
      <c r="AK2078" t="s">
        <v>2652</v>
      </c>
      <c r="AL2078" t="s">
        <v>2651</v>
      </c>
    </row>
    <row r="2079" spans="5:44" x14ac:dyDescent="0.25">
      <c r="I2079" t="str">
        <f t="shared" si="170"/>
        <v>kof98k</v>
      </c>
      <c r="J2079" t="str">
        <f t="shared" si="171"/>
        <v/>
      </c>
      <c r="L2079" t="str">
        <f t="shared" si="173"/>
        <v/>
      </c>
      <c r="M2079" t="str">
        <f t="shared" si="173"/>
        <v/>
      </c>
      <c r="N2079" t="str">
        <f t="shared" si="173"/>
        <v/>
      </c>
      <c r="O2079" t="str">
        <f t="shared" si="173"/>
        <v/>
      </c>
      <c r="P2079" t="str">
        <f t="shared" si="173"/>
        <v/>
      </c>
      <c r="T2079" t="str">
        <f t="shared" si="172"/>
        <v/>
      </c>
      <c r="V2079" t="str">
        <f t="shared" si="174"/>
        <v>MVS</v>
      </c>
      <c r="W2079" t="str">
        <f t="shared" si="174"/>
        <v>MVS,AES</v>
      </c>
      <c r="AG2079" t="s">
        <v>6</v>
      </c>
      <c r="AH2079" t="s">
        <v>2650</v>
      </c>
      <c r="AI2079" t="s">
        <v>65</v>
      </c>
      <c r="AJ2079" t="s">
        <v>57</v>
      </c>
      <c r="AK2079" t="s">
        <v>2649</v>
      </c>
      <c r="AL2079" t="s">
        <v>2648</v>
      </c>
    </row>
    <row r="2080" spans="5:44" x14ac:dyDescent="0.25">
      <c r="I2080" t="str">
        <f t="shared" si="170"/>
        <v>kof98k</v>
      </c>
      <c r="J2080" t="str">
        <f t="shared" si="171"/>
        <v/>
      </c>
      <c r="L2080" t="str">
        <f t="shared" si="173"/>
        <v/>
      </c>
      <c r="M2080" t="str">
        <f t="shared" si="173"/>
        <v/>
      </c>
      <c r="N2080" t="str">
        <f t="shared" si="173"/>
        <v/>
      </c>
      <c r="O2080" t="str">
        <f t="shared" si="173"/>
        <v/>
      </c>
      <c r="P2080" t="str">
        <f t="shared" si="173"/>
        <v/>
      </c>
      <c r="T2080" t="str">
        <f t="shared" si="172"/>
        <v/>
      </c>
      <c r="V2080" t="str">
        <f t="shared" si="174"/>
        <v>MVS</v>
      </c>
      <c r="W2080" t="str">
        <f t="shared" si="174"/>
        <v>MVS,AES</v>
      </c>
      <c r="AG2080" t="s">
        <v>6</v>
      </c>
      <c r="AH2080" t="s">
        <v>2647</v>
      </c>
      <c r="AI2080" t="s">
        <v>164</v>
      </c>
      <c r="AJ2080" t="s">
        <v>57</v>
      </c>
      <c r="AK2080" t="s">
        <v>2646</v>
      </c>
      <c r="AL2080" t="s">
        <v>2645</v>
      </c>
    </row>
    <row r="2081" spans="5:44" x14ac:dyDescent="0.25">
      <c r="I2081" t="str">
        <f t="shared" si="170"/>
        <v>kof98k</v>
      </c>
      <c r="J2081" t="str">
        <f t="shared" si="171"/>
        <v/>
      </c>
      <c r="L2081" t="str">
        <f t="shared" si="173"/>
        <v/>
      </c>
      <c r="M2081" t="str">
        <f t="shared" si="173"/>
        <v/>
      </c>
      <c r="N2081" t="str">
        <f t="shared" si="173"/>
        <v/>
      </c>
      <c r="O2081" t="str">
        <f t="shared" si="173"/>
        <v/>
      </c>
      <c r="P2081" t="str">
        <f t="shared" si="173"/>
        <v/>
      </c>
      <c r="T2081" t="str">
        <f t="shared" si="172"/>
        <v/>
      </c>
      <c r="V2081" t="str">
        <f t="shared" si="174"/>
        <v>MVS</v>
      </c>
      <c r="W2081" t="str">
        <f t="shared" si="174"/>
        <v>MVS,AES</v>
      </c>
      <c r="AG2081" t="s">
        <v>6</v>
      </c>
      <c r="AH2081" t="s">
        <v>2644</v>
      </c>
      <c r="AI2081" t="s">
        <v>160</v>
      </c>
      <c r="AJ2081" t="s">
        <v>57</v>
      </c>
      <c r="AK2081" t="s">
        <v>2643</v>
      </c>
      <c r="AL2081" t="s">
        <v>2642</v>
      </c>
    </row>
    <row r="2082" spans="5:44" x14ac:dyDescent="0.25">
      <c r="I2082" t="str">
        <f t="shared" si="170"/>
        <v>kof98k</v>
      </c>
      <c r="J2082" t="str">
        <f t="shared" si="171"/>
        <v/>
      </c>
      <c r="L2082" t="str">
        <f t="shared" si="173"/>
        <v/>
      </c>
      <c r="M2082" t="str">
        <f t="shared" si="173"/>
        <v/>
      </c>
      <c r="N2082" t="str">
        <f t="shared" si="173"/>
        <v/>
      </c>
      <c r="O2082" t="str">
        <f t="shared" si="173"/>
        <v/>
      </c>
      <c r="P2082" t="str">
        <f t="shared" si="173"/>
        <v/>
      </c>
      <c r="T2082" t="str">
        <f t="shared" si="172"/>
        <v/>
      </c>
      <c r="V2082" t="str">
        <f t="shared" si="174"/>
        <v>MVS</v>
      </c>
      <c r="W2082" t="str">
        <f t="shared" si="174"/>
        <v>MVS,AES</v>
      </c>
      <c r="AG2082" t="s">
        <v>6</v>
      </c>
      <c r="AH2082" t="s">
        <v>2641</v>
      </c>
      <c r="AI2082" t="s">
        <v>156</v>
      </c>
      <c r="AJ2082" t="s">
        <v>57</v>
      </c>
      <c r="AK2082" t="s">
        <v>2640</v>
      </c>
      <c r="AL2082" t="s">
        <v>2639</v>
      </c>
    </row>
    <row r="2083" spans="5:44" x14ac:dyDescent="0.25">
      <c r="I2083" t="str">
        <f t="shared" si="170"/>
        <v>kof98k</v>
      </c>
      <c r="J2083" t="str">
        <f t="shared" si="171"/>
        <v/>
      </c>
      <c r="L2083" t="str">
        <f t="shared" si="173"/>
        <v/>
      </c>
      <c r="M2083" t="str">
        <f t="shared" si="173"/>
        <v/>
      </c>
      <c r="N2083" t="str">
        <f t="shared" si="173"/>
        <v/>
      </c>
      <c r="O2083" t="str">
        <f t="shared" si="173"/>
        <v/>
      </c>
      <c r="P2083" t="str">
        <f t="shared" si="173"/>
        <v/>
      </c>
      <c r="T2083" t="str">
        <f t="shared" si="172"/>
        <v/>
      </c>
      <c r="V2083" t="str">
        <f t="shared" si="174"/>
        <v>MVS</v>
      </c>
      <c r="W2083" t="str">
        <f t="shared" si="174"/>
        <v>MVS,AES</v>
      </c>
      <c r="AG2083" t="s">
        <v>6</v>
      </c>
      <c r="AH2083" t="s">
        <v>2638</v>
      </c>
      <c r="AI2083" t="s">
        <v>152</v>
      </c>
      <c r="AJ2083" t="s">
        <v>57</v>
      </c>
      <c r="AK2083" t="s">
        <v>2637</v>
      </c>
      <c r="AL2083" t="s">
        <v>2636</v>
      </c>
    </row>
    <row r="2084" spans="5:44" x14ac:dyDescent="0.25">
      <c r="I2084" t="str">
        <f t="shared" si="170"/>
        <v>kof98k</v>
      </c>
      <c r="J2084" t="str">
        <f t="shared" si="171"/>
        <v/>
      </c>
      <c r="L2084" t="str">
        <f t="shared" si="173"/>
        <v/>
      </c>
      <c r="M2084" t="str">
        <f t="shared" si="173"/>
        <v/>
      </c>
      <c r="N2084" t="str">
        <f t="shared" si="173"/>
        <v/>
      </c>
      <c r="O2084" t="str">
        <f t="shared" si="173"/>
        <v/>
      </c>
      <c r="P2084" t="str">
        <f t="shared" si="173"/>
        <v/>
      </c>
      <c r="T2084" t="str">
        <f t="shared" si="172"/>
        <v/>
      </c>
      <c r="V2084" t="str">
        <f t="shared" si="174"/>
        <v>MVS</v>
      </c>
      <c r="W2084" t="str">
        <f t="shared" si="174"/>
        <v>MVS,AES</v>
      </c>
      <c r="AG2084" t="s">
        <v>6</v>
      </c>
      <c r="AH2084" t="s">
        <v>2635</v>
      </c>
      <c r="AI2084" t="s">
        <v>148</v>
      </c>
      <c r="AJ2084" t="s">
        <v>57</v>
      </c>
      <c r="AK2084" t="s">
        <v>2634</v>
      </c>
      <c r="AL2084" t="s">
        <v>2633</v>
      </c>
    </row>
    <row r="2085" spans="5:44" x14ac:dyDescent="0.25">
      <c r="E2085" t="s">
        <v>2695</v>
      </c>
      <c r="F2085" t="s">
        <v>2694</v>
      </c>
      <c r="G2085" t="s">
        <v>1101</v>
      </c>
      <c r="H2085" t="s">
        <v>1912</v>
      </c>
      <c r="I2085" t="str">
        <f t="shared" si="170"/>
        <v>kof98ka</v>
      </c>
      <c r="J2085" t="str">
        <f t="shared" si="171"/>
        <v/>
      </c>
      <c r="L2085" t="str">
        <f t="shared" si="173"/>
        <v/>
      </c>
      <c r="M2085" t="str">
        <f t="shared" si="173"/>
        <v/>
      </c>
      <c r="N2085" t="str">
        <f t="shared" si="173"/>
        <v/>
      </c>
      <c r="O2085" t="str">
        <f t="shared" si="173"/>
        <v/>
      </c>
      <c r="P2085" t="str">
        <f t="shared" si="173"/>
        <v/>
      </c>
      <c r="S2085" t="s">
        <v>46</v>
      </c>
      <c r="T2085" t="str">
        <f t="shared" si="172"/>
        <v>kof98karelease</v>
      </c>
      <c r="U2085" t="s">
        <v>106</v>
      </c>
      <c r="V2085" t="str">
        <f t="shared" si="174"/>
        <v>MVS</v>
      </c>
      <c r="W2085" t="str">
        <f t="shared" si="174"/>
        <v>MVS,AES</v>
      </c>
      <c r="Y2085" t="s">
        <v>45</v>
      </c>
      <c r="Z2085" t="s">
        <v>44</v>
      </c>
      <c r="AB2085" t="s">
        <v>43</v>
      </c>
      <c r="AC2085" t="s">
        <v>42</v>
      </c>
      <c r="AD2085" t="s">
        <v>41</v>
      </c>
      <c r="AE2085" t="s">
        <v>75</v>
      </c>
      <c r="AG2085" t="s">
        <v>40</v>
      </c>
      <c r="AH2085" t="s">
        <v>2693</v>
      </c>
      <c r="AI2085" t="s">
        <v>9</v>
      </c>
      <c r="AJ2085" t="s">
        <v>3</v>
      </c>
      <c r="AK2085" t="s">
        <v>2692</v>
      </c>
      <c r="AL2085" t="s">
        <v>2691</v>
      </c>
      <c r="AP2085" t="s">
        <v>138</v>
      </c>
      <c r="AQ2085" t="s">
        <v>2690</v>
      </c>
      <c r="AR2085" t="s">
        <v>2680</v>
      </c>
    </row>
    <row r="2086" spans="5:44" x14ac:dyDescent="0.25">
      <c r="I2086" t="str">
        <f t="shared" si="170"/>
        <v>kof98ka</v>
      </c>
      <c r="J2086" t="str">
        <f t="shared" si="171"/>
        <v/>
      </c>
      <c r="L2086" t="str">
        <f t="shared" si="173"/>
        <v/>
      </c>
      <c r="M2086" t="str">
        <f t="shared" si="173"/>
        <v/>
      </c>
      <c r="N2086" t="str">
        <f t="shared" si="173"/>
        <v/>
      </c>
      <c r="O2086" t="str">
        <f t="shared" si="173"/>
        <v/>
      </c>
      <c r="P2086" t="str">
        <f t="shared" si="173"/>
        <v/>
      </c>
      <c r="S2086" t="s">
        <v>36</v>
      </c>
      <c r="T2086" t="str">
        <f t="shared" si="172"/>
        <v>kof98kacompatibility</v>
      </c>
      <c r="U2086" t="s">
        <v>218</v>
      </c>
      <c r="V2086" t="str">
        <f t="shared" si="174"/>
        <v>MVS</v>
      </c>
      <c r="W2086" t="str">
        <f t="shared" si="174"/>
        <v>MVS,AES</v>
      </c>
      <c r="AG2086" t="s">
        <v>40</v>
      </c>
      <c r="AH2086" t="s">
        <v>2678</v>
      </c>
      <c r="AI2086" t="s">
        <v>3</v>
      </c>
      <c r="AJ2086" t="s">
        <v>11</v>
      </c>
      <c r="AK2086" t="s">
        <v>2677</v>
      </c>
      <c r="AL2086" t="s">
        <v>2676</v>
      </c>
    </row>
    <row r="2087" spans="5:44" x14ac:dyDescent="0.25">
      <c r="I2087" t="str">
        <f t="shared" si="170"/>
        <v>kof98ka</v>
      </c>
      <c r="J2087" t="str">
        <f t="shared" si="171"/>
        <v/>
      </c>
      <c r="L2087" t="str">
        <f t="shared" si="173"/>
        <v/>
      </c>
      <c r="M2087" t="str">
        <f t="shared" si="173"/>
        <v/>
      </c>
      <c r="N2087" t="str">
        <f t="shared" si="173"/>
        <v/>
      </c>
      <c r="O2087" t="str">
        <f t="shared" si="173"/>
        <v/>
      </c>
      <c r="P2087" t="str">
        <f t="shared" si="173"/>
        <v/>
      </c>
      <c r="T2087" t="str">
        <f t="shared" si="172"/>
        <v/>
      </c>
      <c r="V2087" t="str">
        <f t="shared" si="174"/>
        <v>MVS</v>
      </c>
      <c r="W2087" t="str">
        <f t="shared" si="174"/>
        <v>MVS,AES</v>
      </c>
      <c r="AB2087" t="s">
        <v>34</v>
      </c>
      <c r="AE2087" t="s">
        <v>33</v>
      </c>
      <c r="AH2087" t="s">
        <v>2674</v>
      </c>
      <c r="AI2087" t="s">
        <v>9</v>
      </c>
      <c r="AJ2087" t="s">
        <v>27</v>
      </c>
      <c r="AK2087" t="s">
        <v>2673</v>
      </c>
      <c r="AL2087" t="s">
        <v>2672</v>
      </c>
    </row>
    <row r="2088" spans="5:44" x14ac:dyDescent="0.25">
      <c r="I2088" t="str">
        <f t="shared" si="170"/>
        <v>kof98ka</v>
      </c>
      <c r="J2088" t="str">
        <f t="shared" si="171"/>
        <v/>
      </c>
      <c r="L2088" t="str">
        <f t="shared" si="173"/>
        <v/>
      </c>
      <c r="M2088" t="str">
        <f t="shared" si="173"/>
        <v/>
      </c>
      <c r="N2088" t="str">
        <f t="shared" si="173"/>
        <v/>
      </c>
      <c r="O2088" t="str">
        <f t="shared" si="173"/>
        <v/>
      </c>
      <c r="P2088" t="str">
        <f t="shared" si="173"/>
        <v/>
      </c>
      <c r="T2088" t="str">
        <f t="shared" si="172"/>
        <v/>
      </c>
      <c r="V2088" t="str">
        <f t="shared" si="174"/>
        <v>MVS</v>
      </c>
      <c r="W2088" t="str">
        <f t="shared" si="174"/>
        <v>MVS,AES</v>
      </c>
      <c r="AB2088" t="s">
        <v>29</v>
      </c>
      <c r="AE2088" t="s">
        <v>33</v>
      </c>
      <c r="AH2088" t="s">
        <v>2689</v>
      </c>
      <c r="AI2088" t="s">
        <v>9</v>
      </c>
      <c r="AJ2088" t="s">
        <v>33</v>
      </c>
      <c r="AK2088" t="s">
        <v>2688</v>
      </c>
      <c r="AL2088" t="s">
        <v>2687</v>
      </c>
    </row>
    <row r="2089" spans="5:44" x14ac:dyDescent="0.25">
      <c r="I2089" t="str">
        <f t="shared" si="170"/>
        <v>kof98ka</v>
      </c>
      <c r="J2089" t="str">
        <f t="shared" si="171"/>
        <v/>
      </c>
      <c r="L2089" t="str">
        <f t="shared" si="173"/>
        <v/>
      </c>
      <c r="M2089" t="str">
        <f t="shared" si="173"/>
        <v/>
      </c>
      <c r="N2089" t="str">
        <f t="shared" si="173"/>
        <v/>
      </c>
      <c r="O2089" t="str">
        <f t="shared" si="173"/>
        <v/>
      </c>
      <c r="P2089" t="str">
        <f t="shared" si="173"/>
        <v/>
      </c>
      <c r="T2089" t="str">
        <f t="shared" si="172"/>
        <v/>
      </c>
      <c r="V2089" t="str">
        <f t="shared" si="174"/>
        <v>MVS</v>
      </c>
      <c r="W2089" t="str">
        <f t="shared" si="174"/>
        <v>MVS,AES</v>
      </c>
      <c r="AB2089" t="s">
        <v>24</v>
      </c>
      <c r="AE2089" t="s">
        <v>65</v>
      </c>
      <c r="AH2089" t="s">
        <v>2668</v>
      </c>
      <c r="AI2089" t="s">
        <v>9</v>
      </c>
      <c r="AJ2089" t="s">
        <v>11</v>
      </c>
      <c r="AK2089" t="s">
        <v>2667</v>
      </c>
      <c r="AL2089" t="s">
        <v>2666</v>
      </c>
    </row>
    <row r="2090" spans="5:44" x14ac:dyDescent="0.25">
      <c r="I2090" t="str">
        <f t="shared" si="170"/>
        <v>kof98ka</v>
      </c>
      <c r="J2090" t="str">
        <f t="shared" si="171"/>
        <v/>
      </c>
      <c r="L2090" t="str">
        <f t="shared" si="173"/>
        <v/>
      </c>
      <c r="M2090" t="str">
        <f t="shared" si="173"/>
        <v/>
      </c>
      <c r="N2090" t="str">
        <f t="shared" si="173"/>
        <v/>
      </c>
      <c r="O2090" t="str">
        <f t="shared" si="173"/>
        <v/>
      </c>
      <c r="P2090" t="str">
        <f t="shared" si="173"/>
        <v/>
      </c>
      <c r="T2090" t="str">
        <f t="shared" si="172"/>
        <v/>
      </c>
      <c r="V2090" t="str">
        <f t="shared" si="174"/>
        <v>MVS</v>
      </c>
      <c r="W2090" t="str">
        <f t="shared" si="174"/>
        <v>MVS,AES</v>
      </c>
      <c r="AH2090" t="s">
        <v>2665</v>
      </c>
      <c r="AI2090" t="s">
        <v>11</v>
      </c>
      <c r="AJ2090" t="s">
        <v>11</v>
      </c>
      <c r="AK2090" t="s">
        <v>2664</v>
      </c>
      <c r="AL2090" t="s">
        <v>2663</v>
      </c>
    </row>
    <row r="2091" spans="5:44" x14ac:dyDescent="0.25">
      <c r="I2091" t="str">
        <f t="shared" si="170"/>
        <v>kof98ka</v>
      </c>
      <c r="J2091" t="str">
        <f t="shared" si="171"/>
        <v/>
      </c>
      <c r="L2091" t="str">
        <f t="shared" si="173"/>
        <v/>
      </c>
      <c r="M2091" t="str">
        <f t="shared" si="173"/>
        <v/>
      </c>
      <c r="N2091" t="str">
        <f t="shared" si="173"/>
        <v/>
      </c>
      <c r="O2091" t="str">
        <f t="shared" si="173"/>
        <v/>
      </c>
      <c r="P2091" t="str">
        <f t="shared" si="173"/>
        <v/>
      </c>
      <c r="T2091" t="str">
        <f t="shared" si="172"/>
        <v/>
      </c>
      <c r="V2091" t="str">
        <f t="shared" si="174"/>
        <v>MVS</v>
      </c>
      <c r="W2091" t="str">
        <f t="shared" si="174"/>
        <v>MVS,AES</v>
      </c>
      <c r="AH2091" t="s">
        <v>2662</v>
      </c>
      <c r="AI2091" t="s">
        <v>57</v>
      </c>
      <c r="AJ2091" t="s">
        <v>11</v>
      </c>
      <c r="AK2091" t="s">
        <v>2661</v>
      </c>
      <c r="AL2091" t="s">
        <v>2660</v>
      </c>
    </row>
    <row r="2092" spans="5:44" x14ac:dyDescent="0.25">
      <c r="I2092" t="str">
        <f t="shared" si="170"/>
        <v>kof98ka</v>
      </c>
      <c r="J2092" t="str">
        <f t="shared" si="171"/>
        <v/>
      </c>
      <c r="L2092" t="str">
        <f t="shared" si="173"/>
        <v/>
      </c>
      <c r="M2092" t="str">
        <f t="shared" si="173"/>
        <v/>
      </c>
      <c r="N2092" t="str">
        <f t="shared" si="173"/>
        <v/>
      </c>
      <c r="O2092" t="str">
        <f t="shared" si="173"/>
        <v/>
      </c>
      <c r="P2092" t="str">
        <f t="shared" si="173"/>
        <v/>
      </c>
      <c r="T2092" t="str">
        <f t="shared" si="172"/>
        <v/>
      </c>
      <c r="V2092" t="str">
        <f t="shared" si="174"/>
        <v>MVS</v>
      </c>
      <c r="W2092" t="str">
        <f t="shared" si="174"/>
        <v>MVS,AES</v>
      </c>
      <c r="AH2092" t="s">
        <v>2659</v>
      </c>
      <c r="AI2092" t="s">
        <v>250</v>
      </c>
      <c r="AJ2092" t="s">
        <v>11</v>
      </c>
      <c r="AK2092" t="s">
        <v>2658</v>
      </c>
      <c r="AL2092" t="s">
        <v>2657</v>
      </c>
    </row>
    <row r="2093" spans="5:44" x14ac:dyDescent="0.25">
      <c r="I2093" t="str">
        <f t="shared" si="170"/>
        <v>kof98ka</v>
      </c>
      <c r="J2093" t="str">
        <f t="shared" si="171"/>
        <v/>
      </c>
      <c r="L2093" t="str">
        <f t="shared" si="173"/>
        <v/>
      </c>
      <c r="M2093" t="str">
        <f t="shared" si="173"/>
        <v/>
      </c>
      <c r="N2093" t="str">
        <f t="shared" si="173"/>
        <v/>
      </c>
      <c r="O2093" t="str">
        <f t="shared" si="173"/>
        <v/>
      </c>
      <c r="P2093" t="str">
        <f t="shared" si="173"/>
        <v/>
      </c>
      <c r="T2093" t="str">
        <f t="shared" si="172"/>
        <v/>
      </c>
      <c r="V2093" t="str">
        <f t="shared" si="174"/>
        <v>MVS</v>
      </c>
      <c r="W2093" t="str">
        <f t="shared" si="174"/>
        <v>MVS,AES</v>
      </c>
      <c r="AB2093" t="s">
        <v>12</v>
      </c>
      <c r="AE2093" t="s">
        <v>175</v>
      </c>
      <c r="AG2093" t="s">
        <v>6</v>
      </c>
      <c r="AH2093" t="s">
        <v>2656</v>
      </c>
      <c r="AI2093" t="s">
        <v>9</v>
      </c>
      <c r="AJ2093" t="s">
        <v>57</v>
      </c>
      <c r="AK2093" t="s">
        <v>2655</v>
      </c>
      <c r="AL2093" t="s">
        <v>2654</v>
      </c>
    </row>
    <row r="2094" spans="5:44" x14ac:dyDescent="0.25">
      <c r="I2094" t="str">
        <f t="shared" si="170"/>
        <v>kof98ka</v>
      </c>
      <c r="J2094" t="str">
        <f t="shared" si="171"/>
        <v/>
      </c>
      <c r="L2094" t="str">
        <f t="shared" si="173"/>
        <v/>
      </c>
      <c r="M2094" t="str">
        <f t="shared" si="173"/>
        <v/>
      </c>
      <c r="N2094" t="str">
        <f t="shared" si="173"/>
        <v/>
      </c>
      <c r="O2094" t="str">
        <f t="shared" si="173"/>
        <v/>
      </c>
      <c r="P2094" t="str">
        <f t="shared" si="173"/>
        <v/>
      </c>
      <c r="T2094" t="str">
        <f t="shared" si="172"/>
        <v/>
      </c>
      <c r="V2094" t="str">
        <f t="shared" si="174"/>
        <v>MVS</v>
      </c>
      <c r="W2094" t="str">
        <f t="shared" si="174"/>
        <v>MVS,AES</v>
      </c>
      <c r="AG2094" t="s">
        <v>6</v>
      </c>
      <c r="AH2094" t="s">
        <v>2653</v>
      </c>
      <c r="AI2094" t="s">
        <v>4</v>
      </c>
      <c r="AJ2094" t="s">
        <v>57</v>
      </c>
      <c r="AK2094" t="s">
        <v>2652</v>
      </c>
      <c r="AL2094" t="s">
        <v>2651</v>
      </c>
    </row>
    <row r="2095" spans="5:44" x14ac:dyDescent="0.25">
      <c r="I2095" t="str">
        <f t="shared" si="170"/>
        <v>kof98ka</v>
      </c>
      <c r="J2095" t="str">
        <f t="shared" si="171"/>
        <v/>
      </c>
      <c r="L2095" t="str">
        <f t="shared" si="173"/>
        <v/>
      </c>
      <c r="M2095" t="str">
        <f t="shared" si="173"/>
        <v/>
      </c>
      <c r="N2095" t="str">
        <f t="shared" si="173"/>
        <v/>
      </c>
      <c r="O2095" t="str">
        <f t="shared" si="173"/>
        <v/>
      </c>
      <c r="P2095" t="str">
        <f t="shared" si="173"/>
        <v/>
      </c>
      <c r="T2095" t="str">
        <f t="shared" si="172"/>
        <v/>
      </c>
      <c r="V2095" t="str">
        <f t="shared" si="174"/>
        <v>MVS</v>
      </c>
      <c r="W2095" t="str">
        <f t="shared" si="174"/>
        <v>MVS,AES</v>
      </c>
      <c r="AG2095" t="s">
        <v>6</v>
      </c>
      <c r="AH2095" t="s">
        <v>2650</v>
      </c>
      <c r="AI2095" t="s">
        <v>65</v>
      </c>
      <c r="AJ2095" t="s">
        <v>57</v>
      </c>
      <c r="AK2095" t="s">
        <v>2649</v>
      </c>
      <c r="AL2095" t="s">
        <v>2648</v>
      </c>
    </row>
    <row r="2096" spans="5:44" x14ac:dyDescent="0.25">
      <c r="I2096" t="str">
        <f t="shared" si="170"/>
        <v>kof98ka</v>
      </c>
      <c r="J2096" t="str">
        <f t="shared" si="171"/>
        <v/>
      </c>
      <c r="L2096" t="str">
        <f t="shared" si="173"/>
        <v/>
      </c>
      <c r="M2096" t="str">
        <f t="shared" si="173"/>
        <v/>
      </c>
      <c r="N2096" t="str">
        <f t="shared" si="173"/>
        <v/>
      </c>
      <c r="O2096" t="str">
        <f t="shared" si="173"/>
        <v/>
      </c>
      <c r="P2096" t="str">
        <f t="shared" si="173"/>
        <v/>
      </c>
      <c r="T2096" t="str">
        <f t="shared" si="172"/>
        <v/>
      </c>
      <c r="V2096" t="str">
        <f t="shared" si="174"/>
        <v>MVS</v>
      </c>
      <c r="W2096" t="str">
        <f t="shared" si="174"/>
        <v>MVS,AES</v>
      </c>
      <c r="AG2096" t="s">
        <v>6</v>
      </c>
      <c r="AH2096" t="s">
        <v>2647</v>
      </c>
      <c r="AI2096" t="s">
        <v>164</v>
      </c>
      <c r="AJ2096" t="s">
        <v>57</v>
      </c>
      <c r="AK2096" t="s">
        <v>2646</v>
      </c>
      <c r="AL2096" t="s">
        <v>2645</v>
      </c>
    </row>
    <row r="2097" spans="5:44" x14ac:dyDescent="0.25">
      <c r="I2097" t="str">
        <f t="shared" si="170"/>
        <v>kof98ka</v>
      </c>
      <c r="J2097" t="str">
        <f t="shared" si="171"/>
        <v/>
      </c>
      <c r="L2097" t="str">
        <f t="shared" si="173"/>
        <v/>
      </c>
      <c r="M2097" t="str">
        <f t="shared" si="173"/>
        <v/>
      </c>
      <c r="N2097" t="str">
        <f t="shared" si="173"/>
        <v/>
      </c>
      <c r="O2097" t="str">
        <f t="shared" si="173"/>
        <v/>
      </c>
      <c r="P2097" t="str">
        <f t="shared" si="173"/>
        <v/>
      </c>
      <c r="T2097" t="str">
        <f t="shared" si="172"/>
        <v/>
      </c>
      <c r="V2097" t="str">
        <f t="shared" si="174"/>
        <v>MVS</v>
      </c>
      <c r="W2097" t="str">
        <f t="shared" si="174"/>
        <v>MVS,AES</v>
      </c>
      <c r="AG2097" t="s">
        <v>6</v>
      </c>
      <c r="AH2097" t="s">
        <v>2644</v>
      </c>
      <c r="AI2097" t="s">
        <v>160</v>
      </c>
      <c r="AJ2097" t="s">
        <v>57</v>
      </c>
      <c r="AK2097" t="s">
        <v>2643</v>
      </c>
      <c r="AL2097" t="s">
        <v>2642</v>
      </c>
    </row>
    <row r="2098" spans="5:44" x14ac:dyDescent="0.25">
      <c r="I2098" t="str">
        <f t="shared" si="170"/>
        <v>kof98ka</v>
      </c>
      <c r="J2098" t="str">
        <f t="shared" si="171"/>
        <v/>
      </c>
      <c r="L2098" t="str">
        <f t="shared" si="173"/>
        <v/>
      </c>
      <c r="M2098" t="str">
        <f t="shared" si="173"/>
        <v/>
      </c>
      <c r="N2098" t="str">
        <f t="shared" si="173"/>
        <v/>
      </c>
      <c r="O2098" t="str">
        <f t="shared" si="173"/>
        <v/>
      </c>
      <c r="P2098" t="str">
        <f t="shared" si="173"/>
        <v/>
      </c>
      <c r="T2098" t="str">
        <f t="shared" si="172"/>
        <v/>
      </c>
      <c r="V2098" t="str">
        <f t="shared" si="174"/>
        <v>MVS</v>
      </c>
      <c r="W2098" t="str">
        <f t="shared" si="174"/>
        <v>MVS,AES</v>
      </c>
      <c r="AG2098" t="s">
        <v>6</v>
      </c>
      <c r="AH2098" t="s">
        <v>2641</v>
      </c>
      <c r="AI2098" t="s">
        <v>156</v>
      </c>
      <c r="AJ2098" t="s">
        <v>57</v>
      </c>
      <c r="AK2098" t="s">
        <v>2640</v>
      </c>
      <c r="AL2098" t="s">
        <v>2639</v>
      </c>
    </row>
    <row r="2099" spans="5:44" x14ac:dyDescent="0.25">
      <c r="I2099" t="str">
        <f t="shared" si="170"/>
        <v>kof98ka</v>
      </c>
      <c r="J2099" t="str">
        <f t="shared" si="171"/>
        <v/>
      </c>
      <c r="L2099" t="str">
        <f t="shared" si="173"/>
        <v/>
      </c>
      <c r="M2099" t="str">
        <f t="shared" si="173"/>
        <v/>
      </c>
      <c r="N2099" t="str">
        <f t="shared" si="173"/>
        <v/>
      </c>
      <c r="O2099" t="str">
        <f t="shared" si="173"/>
        <v/>
      </c>
      <c r="P2099" t="str">
        <f t="shared" si="173"/>
        <v/>
      </c>
      <c r="T2099" t="str">
        <f t="shared" si="172"/>
        <v/>
      </c>
      <c r="V2099" t="str">
        <f t="shared" si="174"/>
        <v>MVS</v>
      </c>
      <c r="W2099" t="str">
        <f t="shared" si="174"/>
        <v>MVS,AES</v>
      </c>
      <c r="AG2099" t="s">
        <v>6</v>
      </c>
      <c r="AH2099" t="s">
        <v>2638</v>
      </c>
      <c r="AI2099" t="s">
        <v>152</v>
      </c>
      <c r="AJ2099" t="s">
        <v>57</v>
      </c>
      <c r="AK2099" t="s">
        <v>2637</v>
      </c>
      <c r="AL2099" t="s">
        <v>2636</v>
      </c>
    </row>
    <row r="2100" spans="5:44" x14ac:dyDescent="0.25">
      <c r="I2100" t="str">
        <f t="shared" si="170"/>
        <v>kof98ka</v>
      </c>
      <c r="J2100" t="str">
        <f t="shared" si="171"/>
        <v/>
      </c>
      <c r="L2100" t="str">
        <f t="shared" si="173"/>
        <v/>
      </c>
      <c r="M2100" t="str">
        <f t="shared" si="173"/>
        <v/>
      </c>
      <c r="N2100" t="str">
        <f t="shared" si="173"/>
        <v/>
      </c>
      <c r="O2100" t="str">
        <f t="shared" si="173"/>
        <v/>
      </c>
      <c r="P2100" t="str">
        <f t="shared" si="173"/>
        <v/>
      </c>
      <c r="T2100" t="str">
        <f t="shared" si="172"/>
        <v/>
      </c>
      <c r="V2100" t="str">
        <f t="shared" si="174"/>
        <v>MVS</v>
      </c>
      <c r="W2100" t="str">
        <f t="shared" si="174"/>
        <v>MVS,AES</v>
      </c>
      <c r="AG2100" t="s">
        <v>6</v>
      </c>
      <c r="AH2100" t="s">
        <v>2635</v>
      </c>
      <c r="AI2100" t="s">
        <v>148</v>
      </c>
      <c r="AJ2100" t="s">
        <v>57</v>
      </c>
      <c r="AK2100" t="s">
        <v>2634</v>
      </c>
      <c r="AL2100" t="s">
        <v>2633</v>
      </c>
    </row>
    <row r="2101" spans="5:44" x14ac:dyDescent="0.25">
      <c r="E2101" t="s">
        <v>2686</v>
      </c>
      <c r="F2101" t="s">
        <v>2685</v>
      </c>
      <c r="G2101" t="s">
        <v>1101</v>
      </c>
      <c r="H2101" t="s">
        <v>1912</v>
      </c>
      <c r="I2101" t="str">
        <f t="shared" si="170"/>
        <v>kof98h</v>
      </c>
      <c r="J2101" t="str">
        <f t="shared" si="171"/>
        <v>kof98hserial</v>
      </c>
      <c r="K2101" t="s">
        <v>1373</v>
      </c>
      <c r="L2101" t="str">
        <f t="shared" si="173"/>
        <v>NGH-2420</v>
      </c>
      <c r="M2101" t="str">
        <f t="shared" si="173"/>
        <v>19980923</v>
      </c>
      <c r="N2101" t="str">
        <f t="shared" si="173"/>
        <v>ザ・キング・オブ・ファイターズ '98</v>
      </c>
      <c r="O2101" t="str">
        <f t="shared" si="173"/>
        <v/>
      </c>
      <c r="P2101" t="str">
        <f t="shared" si="173"/>
        <v/>
      </c>
      <c r="Q2101" t="s">
        <v>2684</v>
      </c>
      <c r="S2101" t="s">
        <v>46</v>
      </c>
      <c r="T2101" t="str">
        <f t="shared" si="172"/>
        <v>kof98hrelease</v>
      </c>
      <c r="U2101" t="s">
        <v>35</v>
      </c>
      <c r="V2101" t="str">
        <f t="shared" si="174"/>
        <v>AES</v>
      </c>
      <c r="W2101" t="str">
        <f t="shared" si="174"/>
        <v>MVS,AES</v>
      </c>
      <c r="Y2101" t="s">
        <v>45</v>
      </c>
      <c r="Z2101" t="s">
        <v>44</v>
      </c>
      <c r="AB2101" t="s">
        <v>43</v>
      </c>
      <c r="AC2101" t="s">
        <v>42</v>
      </c>
      <c r="AD2101" t="s">
        <v>41</v>
      </c>
      <c r="AE2101" t="s">
        <v>23</v>
      </c>
      <c r="AG2101" t="s">
        <v>40</v>
      </c>
      <c r="AH2101" t="s">
        <v>2683</v>
      </c>
      <c r="AI2101" t="s">
        <v>9</v>
      </c>
      <c r="AJ2101" t="s">
        <v>15</v>
      </c>
      <c r="AK2101" t="s">
        <v>2682</v>
      </c>
      <c r="AL2101" t="s">
        <v>2681</v>
      </c>
      <c r="AR2101" t="s">
        <v>2680</v>
      </c>
    </row>
    <row r="2102" spans="5:44" x14ac:dyDescent="0.25">
      <c r="I2102" t="str">
        <f t="shared" si="170"/>
        <v>kof98h</v>
      </c>
      <c r="J2102" t="str">
        <f t="shared" si="171"/>
        <v>kof98hrelease</v>
      </c>
      <c r="K2102" t="s">
        <v>46</v>
      </c>
      <c r="L2102" t="str">
        <f t="shared" si="173"/>
        <v>NGH-2420</v>
      </c>
      <c r="M2102" t="str">
        <f t="shared" si="173"/>
        <v>19980923</v>
      </c>
      <c r="N2102" t="str">
        <f t="shared" si="173"/>
        <v>ザ・キング・オブ・ファイターズ '98</v>
      </c>
      <c r="O2102" t="str">
        <f t="shared" si="173"/>
        <v/>
      </c>
      <c r="P2102" t="str">
        <f t="shared" si="173"/>
        <v/>
      </c>
      <c r="Q2102" t="s">
        <v>2679</v>
      </c>
      <c r="T2102" t="str">
        <f t="shared" si="172"/>
        <v/>
      </c>
      <c r="V2102" t="str">
        <f t="shared" si="174"/>
        <v>AES</v>
      </c>
      <c r="W2102" t="str">
        <f t="shared" si="174"/>
        <v>MVS,AES</v>
      </c>
      <c r="AG2102" t="s">
        <v>40</v>
      </c>
      <c r="AH2102" t="s">
        <v>2678</v>
      </c>
      <c r="AI2102" t="s">
        <v>15</v>
      </c>
      <c r="AJ2102" t="s">
        <v>11</v>
      </c>
      <c r="AK2102" t="s">
        <v>2677</v>
      </c>
      <c r="AL2102" t="s">
        <v>2676</v>
      </c>
    </row>
    <row r="2103" spans="5:44" x14ac:dyDescent="0.25">
      <c r="I2103" t="str">
        <f t="shared" si="170"/>
        <v>kof98h</v>
      </c>
      <c r="J2103" t="str">
        <f t="shared" si="171"/>
        <v>kof98halt_title</v>
      </c>
      <c r="K2103" t="s">
        <v>1218</v>
      </c>
      <c r="L2103" t="str">
        <f t="shared" si="173"/>
        <v>NGH-2420</v>
      </c>
      <c r="M2103" t="str">
        <f t="shared" si="173"/>
        <v>19980923</v>
      </c>
      <c r="N2103" t="str">
        <f t="shared" si="173"/>
        <v>ザ・キング・オブ・ファイターズ '98</v>
      </c>
      <c r="O2103" t="str">
        <f t="shared" si="173"/>
        <v/>
      </c>
      <c r="P2103" t="str">
        <f t="shared" si="173"/>
        <v/>
      </c>
      <c r="Q2103" t="s">
        <v>2675</v>
      </c>
      <c r="T2103" t="str">
        <f t="shared" si="172"/>
        <v/>
      </c>
      <c r="V2103" t="str">
        <f t="shared" si="174"/>
        <v>AES</v>
      </c>
      <c r="W2103" t="str">
        <f t="shared" si="174"/>
        <v>MVS,AES</v>
      </c>
      <c r="AB2103" t="s">
        <v>34</v>
      </c>
      <c r="AE2103" t="s">
        <v>33</v>
      </c>
      <c r="AH2103" t="s">
        <v>2674</v>
      </c>
      <c r="AI2103" t="s">
        <v>9</v>
      </c>
      <c r="AJ2103" t="s">
        <v>27</v>
      </c>
      <c r="AK2103" t="s">
        <v>2673</v>
      </c>
      <c r="AL2103" t="s">
        <v>2672</v>
      </c>
    </row>
    <row r="2104" spans="5:44" x14ac:dyDescent="0.25">
      <c r="I2104" t="str">
        <f t="shared" si="170"/>
        <v>kof98h</v>
      </c>
      <c r="J2104" t="str">
        <f t="shared" si="171"/>
        <v/>
      </c>
      <c r="L2104" t="str">
        <f t="shared" si="173"/>
        <v>NGH-2420</v>
      </c>
      <c r="M2104" t="str">
        <f t="shared" si="173"/>
        <v>19980923</v>
      </c>
      <c r="N2104" t="str">
        <f t="shared" si="173"/>
        <v>ザ・キング・オブ・ファイターズ '98</v>
      </c>
      <c r="O2104" t="str">
        <f t="shared" si="173"/>
        <v/>
      </c>
      <c r="P2104" t="str">
        <f t="shared" si="173"/>
        <v/>
      </c>
      <c r="S2104" t="s">
        <v>36</v>
      </c>
      <c r="T2104" t="str">
        <f t="shared" si="172"/>
        <v>kof98hcompatibility</v>
      </c>
      <c r="U2104" t="s">
        <v>218</v>
      </c>
      <c r="V2104" t="str">
        <f t="shared" si="174"/>
        <v>AES</v>
      </c>
      <c r="W2104" t="str">
        <f t="shared" si="174"/>
        <v>MVS,AES</v>
      </c>
      <c r="AB2104" t="s">
        <v>29</v>
      </c>
      <c r="AE2104" t="s">
        <v>33</v>
      </c>
      <c r="AH2104" t="s">
        <v>2671</v>
      </c>
      <c r="AI2104" t="s">
        <v>9</v>
      </c>
      <c r="AJ2104" t="s">
        <v>33</v>
      </c>
      <c r="AK2104" t="s">
        <v>2670</v>
      </c>
      <c r="AL2104" t="s">
        <v>2669</v>
      </c>
    </row>
    <row r="2105" spans="5:44" x14ac:dyDescent="0.25">
      <c r="I2105" t="str">
        <f t="shared" si="170"/>
        <v>kof98h</v>
      </c>
      <c r="J2105" t="str">
        <f t="shared" si="171"/>
        <v/>
      </c>
      <c r="L2105" t="str">
        <f t="shared" si="173"/>
        <v>NGH-2420</v>
      </c>
      <c r="M2105" t="str">
        <f t="shared" si="173"/>
        <v>19980923</v>
      </c>
      <c r="N2105" t="str">
        <f t="shared" si="173"/>
        <v>ザ・キング・オブ・ファイターズ '98</v>
      </c>
      <c r="O2105" t="str">
        <f t="shared" si="173"/>
        <v/>
      </c>
      <c r="P2105" t="str">
        <f t="shared" si="173"/>
        <v/>
      </c>
      <c r="T2105" t="str">
        <f t="shared" si="172"/>
        <v/>
      </c>
      <c r="V2105" t="str">
        <f t="shared" si="174"/>
        <v>AES</v>
      </c>
      <c r="W2105" t="str">
        <f t="shared" si="174"/>
        <v>MVS,AES</v>
      </c>
      <c r="AB2105" t="s">
        <v>24</v>
      </c>
      <c r="AE2105" t="s">
        <v>65</v>
      </c>
      <c r="AH2105" t="s">
        <v>2668</v>
      </c>
      <c r="AI2105" t="s">
        <v>9</v>
      </c>
      <c r="AJ2105" t="s">
        <v>11</v>
      </c>
      <c r="AK2105" t="s">
        <v>2667</v>
      </c>
      <c r="AL2105" t="s">
        <v>2666</v>
      </c>
    </row>
    <row r="2106" spans="5:44" x14ac:dyDescent="0.25">
      <c r="I2106" t="str">
        <f t="shared" si="170"/>
        <v>kof98h</v>
      </c>
      <c r="J2106" t="str">
        <f t="shared" si="171"/>
        <v/>
      </c>
      <c r="L2106" t="str">
        <f t="shared" ref="L2106:P2156" si="175">IFERROR(VLOOKUP($I2106&amp;L$1,$J:$Q,8,0),"")</f>
        <v>NGH-2420</v>
      </c>
      <c r="M2106" t="str">
        <f t="shared" si="175"/>
        <v>19980923</v>
      </c>
      <c r="N2106" t="str">
        <f t="shared" si="175"/>
        <v>ザ・キング・オブ・ファイターズ '98</v>
      </c>
      <c r="O2106" t="str">
        <f t="shared" si="175"/>
        <v/>
      </c>
      <c r="P2106" t="str">
        <f t="shared" si="175"/>
        <v/>
      </c>
      <c r="T2106" t="str">
        <f t="shared" si="172"/>
        <v/>
      </c>
      <c r="V2106" t="str">
        <f t="shared" si="174"/>
        <v>AES</v>
      </c>
      <c r="W2106" t="str">
        <f t="shared" si="174"/>
        <v>MVS,AES</v>
      </c>
      <c r="AH2106" t="s">
        <v>2665</v>
      </c>
      <c r="AI2106" t="s">
        <v>11</v>
      </c>
      <c r="AJ2106" t="s">
        <v>11</v>
      </c>
      <c r="AK2106" t="s">
        <v>2664</v>
      </c>
      <c r="AL2106" t="s">
        <v>2663</v>
      </c>
    </row>
    <row r="2107" spans="5:44" x14ac:dyDescent="0.25">
      <c r="I2107" t="str">
        <f t="shared" si="170"/>
        <v>kof98h</v>
      </c>
      <c r="J2107" t="str">
        <f t="shared" si="171"/>
        <v/>
      </c>
      <c r="L2107" t="str">
        <f t="shared" si="175"/>
        <v>NGH-2420</v>
      </c>
      <c r="M2107" t="str">
        <f t="shared" si="175"/>
        <v>19980923</v>
      </c>
      <c r="N2107" t="str">
        <f t="shared" si="175"/>
        <v>ザ・キング・オブ・ファイターズ '98</v>
      </c>
      <c r="O2107" t="str">
        <f t="shared" si="175"/>
        <v/>
      </c>
      <c r="P2107" t="str">
        <f t="shared" si="175"/>
        <v/>
      </c>
      <c r="T2107" t="str">
        <f t="shared" si="172"/>
        <v/>
      </c>
      <c r="V2107" t="str">
        <f t="shared" si="174"/>
        <v>AES</v>
      </c>
      <c r="W2107" t="str">
        <f t="shared" si="174"/>
        <v>MVS,AES</v>
      </c>
      <c r="AH2107" t="s">
        <v>2662</v>
      </c>
      <c r="AI2107" t="s">
        <v>57</v>
      </c>
      <c r="AJ2107" t="s">
        <v>11</v>
      </c>
      <c r="AK2107" t="s">
        <v>2661</v>
      </c>
      <c r="AL2107" t="s">
        <v>2660</v>
      </c>
    </row>
    <row r="2108" spans="5:44" x14ac:dyDescent="0.25">
      <c r="I2108" t="str">
        <f t="shared" si="170"/>
        <v>kof98h</v>
      </c>
      <c r="J2108" t="str">
        <f t="shared" si="171"/>
        <v/>
      </c>
      <c r="L2108" t="str">
        <f t="shared" si="175"/>
        <v>NGH-2420</v>
      </c>
      <c r="M2108" t="str">
        <f t="shared" si="175"/>
        <v>19980923</v>
      </c>
      <c r="N2108" t="str">
        <f t="shared" si="175"/>
        <v>ザ・キング・オブ・ファイターズ '98</v>
      </c>
      <c r="O2108" t="str">
        <f t="shared" si="175"/>
        <v/>
      </c>
      <c r="P2108" t="str">
        <f t="shared" si="175"/>
        <v/>
      </c>
      <c r="T2108" t="str">
        <f t="shared" si="172"/>
        <v/>
      </c>
      <c r="V2108" t="str">
        <f t="shared" si="174"/>
        <v>AES</v>
      </c>
      <c r="W2108" t="str">
        <f t="shared" si="174"/>
        <v>MVS,AES</v>
      </c>
      <c r="AH2108" t="s">
        <v>2659</v>
      </c>
      <c r="AI2108" t="s">
        <v>250</v>
      </c>
      <c r="AJ2108" t="s">
        <v>11</v>
      </c>
      <c r="AK2108" t="s">
        <v>2658</v>
      </c>
      <c r="AL2108" t="s">
        <v>2657</v>
      </c>
    </row>
    <row r="2109" spans="5:44" x14ac:dyDescent="0.25">
      <c r="I2109" t="str">
        <f t="shared" si="170"/>
        <v>kof98h</v>
      </c>
      <c r="J2109" t="str">
        <f t="shared" si="171"/>
        <v/>
      </c>
      <c r="L2109" t="str">
        <f t="shared" si="175"/>
        <v>NGH-2420</v>
      </c>
      <c r="M2109" t="str">
        <f t="shared" si="175"/>
        <v>19980923</v>
      </c>
      <c r="N2109" t="str">
        <f t="shared" si="175"/>
        <v>ザ・キング・オブ・ファイターズ '98</v>
      </c>
      <c r="O2109" t="str">
        <f t="shared" si="175"/>
        <v/>
      </c>
      <c r="P2109" t="str">
        <f t="shared" si="175"/>
        <v/>
      </c>
      <c r="T2109" t="str">
        <f t="shared" si="172"/>
        <v/>
      </c>
      <c r="V2109" t="str">
        <f t="shared" si="174"/>
        <v>AES</v>
      </c>
      <c r="W2109" t="str">
        <f t="shared" si="174"/>
        <v>MVS,AES</v>
      </c>
      <c r="AB2109" t="s">
        <v>12</v>
      </c>
      <c r="AE2109" t="s">
        <v>175</v>
      </c>
      <c r="AG2109" t="s">
        <v>6</v>
      </c>
      <c r="AH2109" t="s">
        <v>2656</v>
      </c>
      <c r="AI2109" t="s">
        <v>9</v>
      </c>
      <c r="AJ2109" t="s">
        <v>57</v>
      </c>
      <c r="AK2109" t="s">
        <v>2655</v>
      </c>
      <c r="AL2109" t="s">
        <v>2654</v>
      </c>
    </row>
    <row r="2110" spans="5:44" x14ac:dyDescent="0.25">
      <c r="I2110" t="str">
        <f t="shared" si="170"/>
        <v>kof98h</v>
      </c>
      <c r="J2110" t="str">
        <f t="shared" si="171"/>
        <v/>
      </c>
      <c r="L2110" t="str">
        <f t="shared" si="175"/>
        <v>NGH-2420</v>
      </c>
      <c r="M2110" t="str">
        <f t="shared" si="175"/>
        <v>19980923</v>
      </c>
      <c r="N2110" t="str">
        <f t="shared" si="175"/>
        <v>ザ・キング・オブ・ファイターズ '98</v>
      </c>
      <c r="O2110" t="str">
        <f t="shared" si="175"/>
        <v/>
      </c>
      <c r="P2110" t="str">
        <f t="shared" si="175"/>
        <v/>
      </c>
      <c r="T2110" t="str">
        <f t="shared" si="172"/>
        <v/>
      </c>
      <c r="V2110" t="str">
        <f t="shared" si="174"/>
        <v>AES</v>
      </c>
      <c r="W2110" t="str">
        <f t="shared" si="174"/>
        <v>MVS,AES</v>
      </c>
      <c r="AG2110" t="s">
        <v>6</v>
      </c>
      <c r="AH2110" t="s">
        <v>2653</v>
      </c>
      <c r="AI2110" t="s">
        <v>4</v>
      </c>
      <c r="AJ2110" t="s">
        <v>57</v>
      </c>
      <c r="AK2110" t="s">
        <v>2652</v>
      </c>
      <c r="AL2110" t="s">
        <v>2651</v>
      </c>
    </row>
    <row r="2111" spans="5:44" x14ac:dyDescent="0.25">
      <c r="I2111" t="str">
        <f t="shared" si="170"/>
        <v>kof98h</v>
      </c>
      <c r="J2111" t="str">
        <f t="shared" si="171"/>
        <v/>
      </c>
      <c r="L2111" t="str">
        <f t="shared" si="175"/>
        <v>NGH-2420</v>
      </c>
      <c r="M2111" t="str">
        <f t="shared" si="175"/>
        <v>19980923</v>
      </c>
      <c r="N2111" t="str">
        <f t="shared" si="175"/>
        <v>ザ・キング・オブ・ファイターズ '98</v>
      </c>
      <c r="O2111" t="str">
        <f t="shared" si="175"/>
        <v/>
      </c>
      <c r="P2111" t="str">
        <f t="shared" si="175"/>
        <v/>
      </c>
      <c r="T2111" t="str">
        <f t="shared" si="172"/>
        <v/>
      </c>
      <c r="V2111" t="str">
        <f t="shared" si="174"/>
        <v>AES</v>
      </c>
      <c r="W2111" t="str">
        <f t="shared" si="174"/>
        <v>MVS,AES</v>
      </c>
      <c r="AG2111" t="s">
        <v>6</v>
      </c>
      <c r="AH2111" t="s">
        <v>2650</v>
      </c>
      <c r="AI2111" t="s">
        <v>65</v>
      </c>
      <c r="AJ2111" t="s">
        <v>57</v>
      </c>
      <c r="AK2111" t="s">
        <v>2649</v>
      </c>
      <c r="AL2111" t="s">
        <v>2648</v>
      </c>
    </row>
    <row r="2112" spans="5:44" x14ac:dyDescent="0.25">
      <c r="I2112" t="str">
        <f t="shared" si="170"/>
        <v>kof98h</v>
      </c>
      <c r="J2112" t="str">
        <f t="shared" si="171"/>
        <v/>
      </c>
      <c r="L2112" t="str">
        <f t="shared" si="175"/>
        <v>NGH-2420</v>
      </c>
      <c r="M2112" t="str">
        <f t="shared" si="175"/>
        <v>19980923</v>
      </c>
      <c r="N2112" t="str">
        <f t="shared" si="175"/>
        <v>ザ・キング・オブ・ファイターズ '98</v>
      </c>
      <c r="O2112" t="str">
        <f t="shared" si="175"/>
        <v/>
      </c>
      <c r="P2112" t="str">
        <f t="shared" si="175"/>
        <v/>
      </c>
      <c r="T2112" t="str">
        <f t="shared" si="172"/>
        <v/>
      </c>
      <c r="V2112" t="str">
        <f t="shared" si="174"/>
        <v>AES</v>
      </c>
      <c r="W2112" t="str">
        <f t="shared" si="174"/>
        <v>MVS,AES</v>
      </c>
      <c r="AG2112" t="s">
        <v>6</v>
      </c>
      <c r="AH2112" t="s">
        <v>2647</v>
      </c>
      <c r="AI2112" t="s">
        <v>164</v>
      </c>
      <c r="AJ2112" t="s">
        <v>57</v>
      </c>
      <c r="AK2112" t="s">
        <v>2646</v>
      </c>
      <c r="AL2112" t="s">
        <v>2645</v>
      </c>
    </row>
    <row r="2113" spans="5:38" x14ac:dyDescent="0.25">
      <c r="I2113" t="str">
        <f t="shared" si="170"/>
        <v>kof98h</v>
      </c>
      <c r="J2113" t="str">
        <f t="shared" si="171"/>
        <v/>
      </c>
      <c r="L2113" t="str">
        <f t="shared" si="175"/>
        <v>NGH-2420</v>
      </c>
      <c r="M2113" t="str">
        <f t="shared" si="175"/>
        <v>19980923</v>
      </c>
      <c r="N2113" t="str">
        <f t="shared" si="175"/>
        <v>ザ・キング・オブ・ファイターズ '98</v>
      </c>
      <c r="O2113" t="str">
        <f t="shared" si="175"/>
        <v/>
      </c>
      <c r="P2113" t="str">
        <f t="shared" si="175"/>
        <v/>
      </c>
      <c r="T2113" t="str">
        <f t="shared" si="172"/>
        <v/>
      </c>
      <c r="V2113" t="str">
        <f t="shared" si="174"/>
        <v>AES</v>
      </c>
      <c r="W2113" t="str">
        <f t="shared" si="174"/>
        <v>MVS,AES</v>
      </c>
      <c r="AG2113" t="s">
        <v>6</v>
      </c>
      <c r="AH2113" t="s">
        <v>2644</v>
      </c>
      <c r="AI2113" t="s">
        <v>160</v>
      </c>
      <c r="AJ2113" t="s">
        <v>57</v>
      </c>
      <c r="AK2113" t="s">
        <v>2643</v>
      </c>
      <c r="AL2113" t="s">
        <v>2642</v>
      </c>
    </row>
    <row r="2114" spans="5:38" x14ac:dyDescent="0.25">
      <c r="I2114" t="str">
        <f t="shared" si="170"/>
        <v>kof98h</v>
      </c>
      <c r="J2114" t="str">
        <f t="shared" si="171"/>
        <v/>
      </c>
      <c r="L2114" t="str">
        <f t="shared" si="175"/>
        <v>NGH-2420</v>
      </c>
      <c r="M2114" t="str">
        <f t="shared" si="175"/>
        <v>19980923</v>
      </c>
      <c r="N2114" t="str">
        <f t="shared" si="175"/>
        <v>ザ・キング・オブ・ファイターズ '98</v>
      </c>
      <c r="O2114" t="str">
        <f t="shared" si="175"/>
        <v/>
      </c>
      <c r="P2114" t="str">
        <f t="shared" si="175"/>
        <v/>
      </c>
      <c r="T2114" t="str">
        <f t="shared" si="172"/>
        <v/>
      </c>
      <c r="V2114" t="str">
        <f t="shared" si="174"/>
        <v>AES</v>
      </c>
      <c r="W2114" t="str">
        <f t="shared" si="174"/>
        <v>MVS,AES</v>
      </c>
      <c r="AG2114" t="s">
        <v>6</v>
      </c>
      <c r="AH2114" t="s">
        <v>2641</v>
      </c>
      <c r="AI2114" t="s">
        <v>156</v>
      </c>
      <c r="AJ2114" t="s">
        <v>57</v>
      </c>
      <c r="AK2114" t="s">
        <v>2640</v>
      </c>
      <c r="AL2114" t="s">
        <v>2639</v>
      </c>
    </row>
    <row r="2115" spans="5:38" x14ac:dyDescent="0.25">
      <c r="I2115" t="str">
        <f t="shared" ref="I2115:I2178" si="176">IF(E2115="",I2114,E2115)</f>
        <v>kof98h</v>
      </c>
      <c r="J2115" t="str">
        <f t="shared" ref="J2115:J2178" si="177">IF(K2115="","",I2115&amp;K2115)</f>
        <v/>
      </c>
      <c r="L2115" t="str">
        <f t="shared" si="175"/>
        <v>NGH-2420</v>
      </c>
      <c r="M2115" t="str">
        <f t="shared" si="175"/>
        <v>19980923</v>
      </c>
      <c r="N2115" t="str">
        <f t="shared" si="175"/>
        <v>ザ・キング・オブ・ファイターズ '98</v>
      </c>
      <c r="O2115" t="str">
        <f t="shared" si="175"/>
        <v/>
      </c>
      <c r="P2115" t="str">
        <f t="shared" si="175"/>
        <v/>
      </c>
      <c r="T2115" t="str">
        <f t="shared" ref="T2115:T2178" si="178">IF(S2115="","",I2115&amp;S2115)</f>
        <v/>
      </c>
      <c r="V2115" t="str">
        <f t="shared" si="174"/>
        <v>AES</v>
      </c>
      <c r="W2115" t="str">
        <f t="shared" si="174"/>
        <v>MVS,AES</v>
      </c>
      <c r="AG2115" t="s">
        <v>6</v>
      </c>
      <c r="AH2115" t="s">
        <v>2638</v>
      </c>
      <c r="AI2115" t="s">
        <v>152</v>
      </c>
      <c r="AJ2115" t="s">
        <v>57</v>
      </c>
      <c r="AK2115" t="s">
        <v>2637</v>
      </c>
      <c r="AL2115" t="s">
        <v>2636</v>
      </c>
    </row>
    <row r="2116" spans="5:38" x14ac:dyDescent="0.25">
      <c r="I2116" t="str">
        <f t="shared" si="176"/>
        <v>kof98h</v>
      </c>
      <c r="J2116" t="str">
        <f t="shared" si="177"/>
        <v/>
      </c>
      <c r="L2116" t="str">
        <f t="shared" si="175"/>
        <v>NGH-2420</v>
      </c>
      <c r="M2116" t="str">
        <f t="shared" si="175"/>
        <v>19980923</v>
      </c>
      <c r="N2116" t="str">
        <f t="shared" si="175"/>
        <v>ザ・キング・オブ・ファイターズ '98</v>
      </c>
      <c r="O2116" t="str">
        <f t="shared" si="175"/>
        <v/>
      </c>
      <c r="P2116" t="str">
        <f t="shared" si="175"/>
        <v/>
      </c>
      <c r="T2116" t="str">
        <f t="shared" si="178"/>
        <v/>
      </c>
      <c r="V2116" t="str">
        <f t="shared" si="174"/>
        <v>AES</v>
      </c>
      <c r="W2116" t="str">
        <f t="shared" si="174"/>
        <v>MVS,AES</v>
      </c>
      <c r="AG2116" t="s">
        <v>6</v>
      </c>
      <c r="AH2116" t="s">
        <v>2635</v>
      </c>
      <c r="AI2116" t="s">
        <v>148</v>
      </c>
      <c r="AJ2116" t="s">
        <v>57</v>
      </c>
      <c r="AK2116" t="s">
        <v>2634</v>
      </c>
      <c r="AL2116" t="s">
        <v>2633</v>
      </c>
    </row>
    <row r="2117" spans="5:38" x14ac:dyDescent="0.25">
      <c r="E2117" t="s">
        <v>2632</v>
      </c>
      <c r="F2117" t="s">
        <v>2631</v>
      </c>
      <c r="G2117" t="s">
        <v>1101</v>
      </c>
      <c r="H2117" t="s">
        <v>1912</v>
      </c>
      <c r="I2117" t="str">
        <f t="shared" si="176"/>
        <v>lastbld2</v>
      </c>
      <c r="J2117" t="str">
        <f t="shared" si="177"/>
        <v>lastbld2serial</v>
      </c>
      <c r="K2117" t="s">
        <v>1373</v>
      </c>
      <c r="L2117" t="str">
        <f t="shared" si="175"/>
        <v>NGM-2430 (MVS), NGH-2430 (AES)</v>
      </c>
      <c r="M2117" t="str">
        <f t="shared" si="175"/>
        <v>19981125 (MVS), 19990128 (AES)</v>
      </c>
      <c r="N2117" t="str">
        <f t="shared" si="175"/>
        <v>幕末浪漫第二幕 月華の剣士</v>
      </c>
      <c r="O2117" t="str">
        <f t="shared" si="175"/>
        <v/>
      </c>
      <c r="P2117" t="str">
        <f t="shared" si="175"/>
        <v/>
      </c>
      <c r="Q2117" t="s">
        <v>2630</v>
      </c>
      <c r="S2117" t="s">
        <v>46</v>
      </c>
      <c r="T2117" t="str">
        <f t="shared" si="178"/>
        <v>lastbld2release</v>
      </c>
      <c r="U2117" t="s">
        <v>218</v>
      </c>
      <c r="V2117" t="str">
        <f t="shared" si="174"/>
        <v>MVS,AES</v>
      </c>
      <c r="W2117" t="str">
        <f t="shared" si="174"/>
        <v>MVS,AES</v>
      </c>
      <c r="Y2117" t="s">
        <v>45</v>
      </c>
      <c r="Z2117" t="s">
        <v>44</v>
      </c>
      <c r="AB2117" t="s">
        <v>43</v>
      </c>
      <c r="AC2117" t="s">
        <v>42</v>
      </c>
      <c r="AD2117" t="s">
        <v>41</v>
      </c>
      <c r="AE2117" t="s">
        <v>23</v>
      </c>
      <c r="AG2117" t="s">
        <v>40</v>
      </c>
      <c r="AH2117" t="s">
        <v>2629</v>
      </c>
      <c r="AI2117" t="s">
        <v>9</v>
      </c>
      <c r="AJ2117" t="s">
        <v>15</v>
      </c>
      <c r="AK2117" t="s">
        <v>2628</v>
      </c>
      <c r="AL2117" t="s">
        <v>2627</v>
      </c>
    </row>
    <row r="2118" spans="5:38" x14ac:dyDescent="0.25">
      <c r="I2118" t="str">
        <f t="shared" si="176"/>
        <v>lastbld2</v>
      </c>
      <c r="J2118" t="str">
        <f t="shared" si="177"/>
        <v>lastbld2release</v>
      </c>
      <c r="K2118" t="s">
        <v>46</v>
      </c>
      <c r="L2118" t="str">
        <f t="shared" si="175"/>
        <v>NGM-2430 (MVS), NGH-2430 (AES)</v>
      </c>
      <c r="M2118" t="str">
        <f t="shared" si="175"/>
        <v>19981125 (MVS), 19990128 (AES)</v>
      </c>
      <c r="N2118" t="str">
        <f t="shared" si="175"/>
        <v>幕末浪漫第二幕 月華の剣士</v>
      </c>
      <c r="O2118" t="str">
        <f t="shared" si="175"/>
        <v/>
      </c>
      <c r="P2118" t="str">
        <f t="shared" si="175"/>
        <v/>
      </c>
      <c r="Q2118" t="s">
        <v>2626</v>
      </c>
      <c r="T2118" t="str">
        <f t="shared" si="178"/>
        <v/>
      </c>
      <c r="V2118" t="str">
        <f t="shared" si="174"/>
        <v>MVS,AES</v>
      </c>
      <c r="W2118" t="str">
        <f t="shared" si="174"/>
        <v>MVS,AES</v>
      </c>
      <c r="AG2118" t="s">
        <v>40</v>
      </c>
      <c r="AH2118" t="s">
        <v>2625</v>
      </c>
      <c r="AI2118" t="s">
        <v>15</v>
      </c>
      <c r="AJ2118" t="s">
        <v>11</v>
      </c>
      <c r="AK2118" t="s">
        <v>2624</v>
      </c>
      <c r="AL2118" t="s">
        <v>2623</v>
      </c>
    </row>
    <row r="2119" spans="5:38" x14ac:dyDescent="0.25">
      <c r="I2119" t="str">
        <f t="shared" si="176"/>
        <v>lastbld2</v>
      </c>
      <c r="J2119" t="str">
        <f t="shared" si="177"/>
        <v>lastbld2alt_title</v>
      </c>
      <c r="K2119" t="s">
        <v>1218</v>
      </c>
      <c r="L2119" t="str">
        <f t="shared" si="175"/>
        <v>NGM-2430 (MVS), NGH-2430 (AES)</v>
      </c>
      <c r="M2119" t="str">
        <f t="shared" si="175"/>
        <v>19981125 (MVS), 19990128 (AES)</v>
      </c>
      <c r="N2119" t="str">
        <f t="shared" si="175"/>
        <v>幕末浪漫第二幕 月華の剣士</v>
      </c>
      <c r="O2119" t="str">
        <f t="shared" si="175"/>
        <v/>
      </c>
      <c r="P2119" t="str">
        <f t="shared" si="175"/>
        <v/>
      </c>
      <c r="Q2119" t="s">
        <v>2622</v>
      </c>
      <c r="T2119" t="str">
        <f t="shared" si="178"/>
        <v/>
      </c>
      <c r="V2119" t="str">
        <f t="shared" si="174"/>
        <v>MVS,AES</v>
      </c>
      <c r="W2119" t="str">
        <f t="shared" si="174"/>
        <v>MVS,AES</v>
      </c>
      <c r="AB2119" t="s">
        <v>34</v>
      </c>
      <c r="AE2119" t="s">
        <v>33</v>
      </c>
      <c r="AH2119" t="s">
        <v>2621</v>
      </c>
      <c r="AI2119" t="s">
        <v>9</v>
      </c>
      <c r="AJ2119" t="s">
        <v>27</v>
      </c>
      <c r="AK2119" t="s">
        <v>2620</v>
      </c>
      <c r="AL2119" t="s">
        <v>2619</v>
      </c>
    </row>
    <row r="2120" spans="5:38" x14ac:dyDescent="0.25">
      <c r="I2120" t="str">
        <f t="shared" si="176"/>
        <v>lastbld2</v>
      </c>
      <c r="J2120" t="str">
        <f t="shared" si="177"/>
        <v/>
      </c>
      <c r="L2120" t="str">
        <f t="shared" si="175"/>
        <v>NGM-2430 (MVS), NGH-2430 (AES)</v>
      </c>
      <c r="M2120" t="str">
        <f t="shared" si="175"/>
        <v>19981125 (MVS), 19990128 (AES)</v>
      </c>
      <c r="N2120" t="str">
        <f t="shared" si="175"/>
        <v>幕末浪漫第二幕 月華の剣士</v>
      </c>
      <c r="O2120" t="str">
        <f t="shared" si="175"/>
        <v/>
      </c>
      <c r="P2120" t="str">
        <f t="shared" si="175"/>
        <v/>
      </c>
      <c r="S2120" t="s">
        <v>36</v>
      </c>
      <c r="T2120" t="str">
        <f t="shared" si="178"/>
        <v>lastbld2compatibility</v>
      </c>
      <c r="U2120" t="s">
        <v>218</v>
      </c>
      <c r="V2120" t="str">
        <f t="shared" si="174"/>
        <v>MVS,AES</v>
      </c>
      <c r="W2120" t="str">
        <f t="shared" si="174"/>
        <v>MVS,AES</v>
      </c>
      <c r="AB2120" t="s">
        <v>29</v>
      </c>
      <c r="AE2120" t="s">
        <v>27</v>
      </c>
      <c r="AH2120" t="s">
        <v>2618</v>
      </c>
      <c r="AI2120" t="s">
        <v>9</v>
      </c>
      <c r="AJ2120" t="s">
        <v>27</v>
      </c>
      <c r="AK2120" t="s">
        <v>2617</v>
      </c>
      <c r="AL2120" t="s">
        <v>2616</v>
      </c>
    </row>
    <row r="2121" spans="5:38" x14ac:dyDescent="0.25">
      <c r="I2121" t="str">
        <f t="shared" si="176"/>
        <v>lastbld2</v>
      </c>
      <c r="J2121" t="str">
        <f t="shared" si="177"/>
        <v/>
      </c>
      <c r="L2121" t="str">
        <f t="shared" si="175"/>
        <v>NGM-2430 (MVS), NGH-2430 (AES)</v>
      </c>
      <c r="M2121" t="str">
        <f t="shared" si="175"/>
        <v>19981125 (MVS), 19990128 (AES)</v>
      </c>
      <c r="N2121" t="str">
        <f t="shared" si="175"/>
        <v>幕末浪漫第二幕 月華の剣士</v>
      </c>
      <c r="O2121" t="str">
        <f t="shared" si="175"/>
        <v/>
      </c>
      <c r="P2121" t="str">
        <f t="shared" si="175"/>
        <v/>
      </c>
      <c r="T2121" t="str">
        <f t="shared" si="178"/>
        <v/>
      </c>
      <c r="V2121" t="str">
        <f t="shared" si="174"/>
        <v>MVS,AES</v>
      </c>
      <c r="W2121" t="str">
        <f t="shared" si="174"/>
        <v>MVS,AES</v>
      </c>
      <c r="AB2121" t="s">
        <v>24</v>
      </c>
      <c r="AE2121" t="s">
        <v>65</v>
      </c>
      <c r="AH2121" t="s">
        <v>2615</v>
      </c>
      <c r="AI2121" t="s">
        <v>9</v>
      </c>
      <c r="AJ2121" t="s">
        <v>11</v>
      </c>
      <c r="AK2121" t="s">
        <v>2614</v>
      </c>
      <c r="AL2121" t="s">
        <v>2613</v>
      </c>
    </row>
    <row r="2122" spans="5:38" x14ac:dyDescent="0.25">
      <c r="I2122" t="str">
        <f t="shared" si="176"/>
        <v>lastbld2</v>
      </c>
      <c r="J2122" t="str">
        <f t="shared" si="177"/>
        <v/>
      </c>
      <c r="L2122" t="str">
        <f t="shared" si="175"/>
        <v>NGM-2430 (MVS), NGH-2430 (AES)</v>
      </c>
      <c r="M2122" t="str">
        <f t="shared" si="175"/>
        <v>19981125 (MVS), 19990128 (AES)</v>
      </c>
      <c r="N2122" t="str">
        <f t="shared" si="175"/>
        <v>幕末浪漫第二幕 月華の剣士</v>
      </c>
      <c r="O2122" t="str">
        <f t="shared" si="175"/>
        <v/>
      </c>
      <c r="P2122" t="str">
        <f t="shared" si="175"/>
        <v/>
      </c>
      <c r="T2122" t="str">
        <f t="shared" si="178"/>
        <v/>
      </c>
      <c r="V2122" t="str">
        <f t="shared" si="174"/>
        <v>MVS,AES</v>
      </c>
      <c r="W2122" t="str">
        <f t="shared" si="174"/>
        <v>MVS,AES</v>
      </c>
      <c r="AH2122" t="s">
        <v>2612</v>
      </c>
      <c r="AI2122" t="s">
        <v>11</v>
      </c>
      <c r="AJ2122" t="s">
        <v>11</v>
      </c>
      <c r="AK2122" t="s">
        <v>2611</v>
      </c>
      <c r="AL2122" t="s">
        <v>2610</v>
      </c>
    </row>
    <row r="2123" spans="5:38" x14ac:dyDescent="0.25">
      <c r="I2123" t="str">
        <f t="shared" si="176"/>
        <v>lastbld2</v>
      </c>
      <c r="J2123" t="str">
        <f t="shared" si="177"/>
        <v/>
      </c>
      <c r="L2123" t="str">
        <f t="shared" si="175"/>
        <v>NGM-2430 (MVS), NGH-2430 (AES)</v>
      </c>
      <c r="M2123" t="str">
        <f t="shared" si="175"/>
        <v>19981125 (MVS), 19990128 (AES)</v>
      </c>
      <c r="N2123" t="str">
        <f t="shared" si="175"/>
        <v>幕末浪漫第二幕 月華の剣士</v>
      </c>
      <c r="O2123" t="str">
        <f t="shared" si="175"/>
        <v/>
      </c>
      <c r="P2123" t="str">
        <f t="shared" si="175"/>
        <v/>
      </c>
      <c r="T2123" t="str">
        <f t="shared" si="178"/>
        <v/>
      </c>
      <c r="V2123" t="str">
        <f t="shared" si="174"/>
        <v>MVS,AES</v>
      </c>
      <c r="W2123" t="str">
        <f t="shared" si="174"/>
        <v>MVS,AES</v>
      </c>
      <c r="AH2123" t="s">
        <v>2609</v>
      </c>
      <c r="AI2123" t="s">
        <v>57</v>
      </c>
      <c r="AJ2123" t="s">
        <v>11</v>
      </c>
      <c r="AK2123" t="s">
        <v>2608</v>
      </c>
      <c r="AL2123" t="s">
        <v>2607</v>
      </c>
    </row>
    <row r="2124" spans="5:38" x14ac:dyDescent="0.25">
      <c r="I2124" t="str">
        <f t="shared" si="176"/>
        <v>lastbld2</v>
      </c>
      <c r="J2124" t="str">
        <f t="shared" si="177"/>
        <v/>
      </c>
      <c r="L2124" t="str">
        <f t="shared" si="175"/>
        <v>NGM-2430 (MVS), NGH-2430 (AES)</v>
      </c>
      <c r="M2124" t="str">
        <f t="shared" si="175"/>
        <v>19981125 (MVS), 19990128 (AES)</v>
      </c>
      <c r="N2124" t="str">
        <f t="shared" si="175"/>
        <v>幕末浪漫第二幕 月華の剣士</v>
      </c>
      <c r="O2124" t="str">
        <f t="shared" si="175"/>
        <v/>
      </c>
      <c r="P2124" t="str">
        <f t="shared" si="175"/>
        <v/>
      </c>
      <c r="T2124" t="str">
        <f t="shared" si="178"/>
        <v/>
      </c>
      <c r="V2124" t="str">
        <f t="shared" si="174"/>
        <v>MVS,AES</v>
      </c>
      <c r="W2124" t="str">
        <f t="shared" si="174"/>
        <v>MVS,AES</v>
      </c>
      <c r="AH2124" t="s">
        <v>2606</v>
      </c>
      <c r="AI2124" t="s">
        <v>250</v>
      </c>
      <c r="AJ2124" t="s">
        <v>11</v>
      </c>
      <c r="AK2124" t="s">
        <v>2605</v>
      </c>
      <c r="AL2124" t="s">
        <v>2604</v>
      </c>
    </row>
    <row r="2125" spans="5:38" x14ac:dyDescent="0.25">
      <c r="I2125" t="str">
        <f t="shared" si="176"/>
        <v>lastbld2</v>
      </c>
      <c r="J2125" t="str">
        <f t="shared" si="177"/>
        <v/>
      </c>
      <c r="L2125" t="str">
        <f t="shared" si="175"/>
        <v>NGM-2430 (MVS), NGH-2430 (AES)</v>
      </c>
      <c r="M2125" t="str">
        <f t="shared" si="175"/>
        <v>19981125 (MVS), 19990128 (AES)</v>
      </c>
      <c r="N2125" t="str">
        <f t="shared" si="175"/>
        <v>幕末浪漫第二幕 月華の剣士</v>
      </c>
      <c r="O2125" t="str">
        <f t="shared" si="175"/>
        <v/>
      </c>
      <c r="P2125" t="str">
        <f t="shared" si="175"/>
        <v/>
      </c>
      <c r="T2125" t="str">
        <f t="shared" si="178"/>
        <v/>
      </c>
      <c r="V2125" t="str">
        <f t="shared" si="174"/>
        <v>MVS,AES</v>
      </c>
      <c r="W2125" t="str">
        <f t="shared" si="174"/>
        <v>MVS,AES</v>
      </c>
      <c r="AB2125" t="s">
        <v>12</v>
      </c>
      <c r="AE2125" t="s">
        <v>152</v>
      </c>
      <c r="AG2125" t="s">
        <v>6</v>
      </c>
      <c r="AH2125" t="s">
        <v>2603</v>
      </c>
      <c r="AI2125" t="s">
        <v>9</v>
      </c>
      <c r="AJ2125" t="s">
        <v>57</v>
      </c>
      <c r="AK2125" t="s">
        <v>2602</v>
      </c>
      <c r="AL2125" t="s">
        <v>2601</v>
      </c>
    </row>
    <row r="2126" spans="5:38" x14ac:dyDescent="0.25">
      <c r="I2126" t="str">
        <f t="shared" si="176"/>
        <v>lastbld2</v>
      </c>
      <c r="J2126" t="str">
        <f t="shared" si="177"/>
        <v/>
      </c>
      <c r="L2126" t="str">
        <f t="shared" si="175"/>
        <v>NGM-2430 (MVS), NGH-2430 (AES)</v>
      </c>
      <c r="M2126" t="str">
        <f t="shared" si="175"/>
        <v>19981125 (MVS), 19990128 (AES)</v>
      </c>
      <c r="N2126" t="str">
        <f t="shared" si="175"/>
        <v>幕末浪漫第二幕 月華の剣士</v>
      </c>
      <c r="O2126" t="str">
        <f t="shared" si="175"/>
        <v/>
      </c>
      <c r="P2126" t="str">
        <f t="shared" si="175"/>
        <v/>
      </c>
      <c r="T2126" t="str">
        <f t="shared" si="178"/>
        <v/>
      </c>
      <c r="V2126" t="str">
        <f t="shared" si="174"/>
        <v>MVS,AES</v>
      </c>
      <c r="W2126" t="str">
        <f t="shared" si="174"/>
        <v>MVS,AES</v>
      </c>
      <c r="AG2126" t="s">
        <v>6</v>
      </c>
      <c r="AH2126" t="s">
        <v>2600</v>
      </c>
      <c r="AI2126" t="s">
        <v>4</v>
      </c>
      <c r="AJ2126" t="s">
        <v>57</v>
      </c>
      <c r="AK2126" t="s">
        <v>2599</v>
      </c>
      <c r="AL2126" t="s">
        <v>2598</v>
      </c>
    </row>
    <row r="2127" spans="5:38" x14ac:dyDescent="0.25">
      <c r="I2127" t="str">
        <f t="shared" si="176"/>
        <v>lastbld2</v>
      </c>
      <c r="J2127" t="str">
        <f t="shared" si="177"/>
        <v/>
      </c>
      <c r="L2127" t="str">
        <f t="shared" si="175"/>
        <v>NGM-2430 (MVS), NGH-2430 (AES)</v>
      </c>
      <c r="M2127" t="str">
        <f t="shared" si="175"/>
        <v>19981125 (MVS), 19990128 (AES)</v>
      </c>
      <c r="N2127" t="str">
        <f t="shared" si="175"/>
        <v>幕末浪漫第二幕 月華の剣士</v>
      </c>
      <c r="O2127" t="str">
        <f t="shared" si="175"/>
        <v/>
      </c>
      <c r="P2127" t="str">
        <f t="shared" si="175"/>
        <v/>
      </c>
      <c r="T2127" t="str">
        <f t="shared" si="178"/>
        <v/>
      </c>
      <c r="V2127" t="str">
        <f t="shared" si="174"/>
        <v>MVS,AES</v>
      </c>
      <c r="W2127" t="str">
        <f t="shared" si="174"/>
        <v>MVS,AES</v>
      </c>
      <c r="AG2127" t="s">
        <v>6</v>
      </c>
      <c r="AH2127" t="s">
        <v>2597</v>
      </c>
      <c r="AI2127" t="s">
        <v>65</v>
      </c>
      <c r="AJ2127" t="s">
        <v>57</v>
      </c>
      <c r="AK2127" t="s">
        <v>2596</v>
      </c>
      <c r="AL2127" t="s">
        <v>2595</v>
      </c>
    </row>
    <row r="2128" spans="5:38" x14ac:dyDescent="0.25">
      <c r="I2128" t="str">
        <f t="shared" si="176"/>
        <v>lastbld2</v>
      </c>
      <c r="J2128" t="str">
        <f t="shared" si="177"/>
        <v/>
      </c>
      <c r="L2128" t="str">
        <f t="shared" si="175"/>
        <v>NGM-2430 (MVS), NGH-2430 (AES)</v>
      </c>
      <c r="M2128" t="str">
        <f t="shared" si="175"/>
        <v>19981125 (MVS), 19990128 (AES)</v>
      </c>
      <c r="N2128" t="str">
        <f t="shared" si="175"/>
        <v>幕末浪漫第二幕 月華の剣士</v>
      </c>
      <c r="O2128" t="str">
        <f t="shared" si="175"/>
        <v/>
      </c>
      <c r="P2128" t="str">
        <f t="shared" si="175"/>
        <v/>
      </c>
      <c r="T2128" t="str">
        <f t="shared" si="178"/>
        <v/>
      </c>
      <c r="V2128" t="str">
        <f t="shared" si="174"/>
        <v>MVS,AES</v>
      </c>
      <c r="W2128" t="str">
        <f t="shared" si="174"/>
        <v>MVS,AES</v>
      </c>
      <c r="AG2128" t="s">
        <v>6</v>
      </c>
      <c r="AH2128" t="s">
        <v>2594</v>
      </c>
      <c r="AI2128" t="s">
        <v>164</v>
      </c>
      <c r="AJ2128" t="s">
        <v>57</v>
      </c>
      <c r="AK2128" t="s">
        <v>2593</v>
      </c>
      <c r="AL2128" t="s">
        <v>2592</v>
      </c>
    </row>
    <row r="2129" spans="5:38" x14ac:dyDescent="0.25">
      <c r="I2129" t="str">
        <f t="shared" si="176"/>
        <v>lastbld2</v>
      </c>
      <c r="J2129" t="str">
        <f t="shared" si="177"/>
        <v/>
      </c>
      <c r="L2129" t="str">
        <f t="shared" si="175"/>
        <v>NGM-2430 (MVS), NGH-2430 (AES)</v>
      </c>
      <c r="M2129" t="str">
        <f t="shared" si="175"/>
        <v>19981125 (MVS), 19990128 (AES)</v>
      </c>
      <c r="N2129" t="str">
        <f t="shared" si="175"/>
        <v>幕末浪漫第二幕 月華の剣士</v>
      </c>
      <c r="O2129" t="str">
        <f t="shared" si="175"/>
        <v/>
      </c>
      <c r="P2129" t="str">
        <f t="shared" si="175"/>
        <v/>
      </c>
      <c r="T2129" t="str">
        <f t="shared" si="178"/>
        <v/>
      </c>
      <c r="V2129" t="str">
        <f t="shared" si="174"/>
        <v>MVS,AES</v>
      </c>
      <c r="W2129" t="str">
        <f t="shared" si="174"/>
        <v>MVS,AES</v>
      </c>
      <c r="AG2129" t="s">
        <v>6</v>
      </c>
      <c r="AH2129" t="s">
        <v>2591</v>
      </c>
      <c r="AI2129" t="s">
        <v>160</v>
      </c>
      <c r="AJ2129" t="s">
        <v>57</v>
      </c>
      <c r="AK2129" t="s">
        <v>2590</v>
      </c>
      <c r="AL2129" t="s">
        <v>2589</v>
      </c>
    </row>
    <row r="2130" spans="5:38" x14ac:dyDescent="0.25">
      <c r="I2130" t="str">
        <f t="shared" si="176"/>
        <v>lastbld2</v>
      </c>
      <c r="J2130" t="str">
        <f t="shared" si="177"/>
        <v/>
      </c>
      <c r="L2130" t="str">
        <f t="shared" si="175"/>
        <v>NGM-2430 (MVS), NGH-2430 (AES)</v>
      </c>
      <c r="M2130" t="str">
        <f t="shared" si="175"/>
        <v>19981125 (MVS), 19990128 (AES)</v>
      </c>
      <c r="N2130" t="str">
        <f t="shared" si="175"/>
        <v>幕末浪漫第二幕 月華の剣士</v>
      </c>
      <c r="O2130" t="str">
        <f t="shared" si="175"/>
        <v/>
      </c>
      <c r="P2130" t="str">
        <f t="shared" si="175"/>
        <v/>
      </c>
      <c r="T2130" t="str">
        <f t="shared" si="178"/>
        <v/>
      </c>
      <c r="V2130" t="str">
        <f t="shared" si="174"/>
        <v>MVS,AES</v>
      </c>
      <c r="W2130" t="str">
        <f t="shared" si="174"/>
        <v>MVS,AES</v>
      </c>
      <c r="AG2130" t="s">
        <v>6</v>
      </c>
      <c r="AH2130" t="s">
        <v>2588</v>
      </c>
      <c r="AI2130" t="s">
        <v>156</v>
      </c>
      <c r="AJ2130" t="s">
        <v>57</v>
      </c>
      <c r="AK2130" t="s">
        <v>2587</v>
      </c>
      <c r="AL2130" t="s">
        <v>2586</v>
      </c>
    </row>
    <row r="2131" spans="5:38" x14ac:dyDescent="0.25">
      <c r="E2131" t="s">
        <v>2585</v>
      </c>
      <c r="F2131" t="s">
        <v>2584</v>
      </c>
      <c r="G2131" t="s">
        <v>1101</v>
      </c>
      <c r="H2131" t="s">
        <v>1912</v>
      </c>
      <c r="I2131" t="str">
        <f t="shared" si="176"/>
        <v>neocup98</v>
      </c>
      <c r="J2131" t="str">
        <f t="shared" si="177"/>
        <v>neocup98serial</v>
      </c>
      <c r="K2131" t="s">
        <v>1373</v>
      </c>
      <c r="L2131" t="str">
        <f t="shared" si="175"/>
        <v>NGM-2440 (MVS), NGH-2440 (AES)</v>
      </c>
      <c r="M2131" t="str">
        <f t="shared" si="175"/>
        <v>19980528 (MVS), 19980730 (AES)</v>
      </c>
      <c r="N2131" t="str">
        <f t="shared" si="175"/>
        <v>ネオジオカップ'98 ザ・ロード・トゥ・ザ・ヴィクトリー</v>
      </c>
      <c r="O2131" t="str">
        <f t="shared" si="175"/>
        <v/>
      </c>
      <c r="P2131" t="str">
        <f t="shared" si="175"/>
        <v/>
      </c>
      <c r="Q2131" t="s">
        <v>2583</v>
      </c>
      <c r="S2131" t="s">
        <v>46</v>
      </c>
      <c r="T2131" t="str">
        <f t="shared" si="178"/>
        <v>neocup98release</v>
      </c>
      <c r="U2131" t="s">
        <v>218</v>
      </c>
      <c r="V2131" t="str">
        <f t="shared" si="174"/>
        <v>MVS,AES</v>
      </c>
      <c r="W2131" t="str">
        <f t="shared" si="174"/>
        <v>MVS,AES</v>
      </c>
      <c r="Y2131" t="s">
        <v>45</v>
      </c>
      <c r="Z2131" t="s">
        <v>44</v>
      </c>
      <c r="AB2131" t="s">
        <v>43</v>
      </c>
      <c r="AC2131" t="s">
        <v>42</v>
      </c>
      <c r="AD2131" t="s">
        <v>41</v>
      </c>
      <c r="AE2131" t="s">
        <v>3</v>
      </c>
      <c r="AG2131" t="s">
        <v>40</v>
      </c>
      <c r="AH2131" t="s">
        <v>2582</v>
      </c>
      <c r="AI2131" t="s">
        <v>15</v>
      </c>
      <c r="AJ2131" t="s">
        <v>15</v>
      </c>
      <c r="AK2131" t="s">
        <v>2581</v>
      </c>
      <c r="AL2131" t="s">
        <v>2580</v>
      </c>
    </row>
    <row r="2132" spans="5:38" x14ac:dyDescent="0.25">
      <c r="I2132" t="str">
        <f t="shared" si="176"/>
        <v>neocup98</v>
      </c>
      <c r="J2132" t="str">
        <f t="shared" si="177"/>
        <v>neocup98release</v>
      </c>
      <c r="K2132" t="s">
        <v>46</v>
      </c>
      <c r="L2132" t="str">
        <f t="shared" si="175"/>
        <v>NGM-2440 (MVS), NGH-2440 (AES)</v>
      </c>
      <c r="M2132" t="str">
        <f t="shared" si="175"/>
        <v>19980528 (MVS), 19980730 (AES)</v>
      </c>
      <c r="N2132" t="str">
        <f t="shared" si="175"/>
        <v>ネオジオカップ'98 ザ・ロード・トゥ・ザ・ヴィクトリー</v>
      </c>
      <c r="O2132" t="str">
        <f t="shared" si="175"/>
        <v/>
      </c>
      <c r="P2132" t="str">
        <f t="shared" si="175"/>
        <v/>
      </c>
      <c r="Q2132" t="s">
        <v>2579</v>
      </c>
      <c r="T2132" t="str">
        <f t="shared" si="178"/>
        <v/>
      </c>
      <c r="V2132" t="str">
        <f t="shared" si="174"/>
        <v>MVS,AES</v>
      </c>
      <c r="W2132" t="str">
        <f t="shared" si="174"/>
        <v>MVS,AES</v>
      </c>
      <c r="AG2132" t="s">
        <v>224</v>
      </c>
      <c r="AI2132" t="s">
        <v>9</v>
      </c>
      <c r="AJ2132" t="s">
        <v>15</v>
      </c>
    </row>
    <row r="2133" spans="5:38" x14ac:dyDescent="0.25">
      <c r="I2133" t="str">
        <f t="shared" si="176"/>
        <v>neocup98</v>
      </c>
      <c r="J2133" t="str">
        <f t="shared" si="177"/>
        <v>neocup98alt_title</v>
      </c>
      <c r="K2133" t="s">
        <v>1218</v>
      </c>
      <c r="L2133" t="str">
        <f t="shared" si="175"/>
        <v>NGM-2440 (MVS), NGH-2440 (AES)</v>
      </c>
      <c r="M2133" t="str">
        <f t="shared" si="175"/>
        <v>19980528 (MVS), 19980730 (AES)</v>
      </c>
      <c r="N2133" t="str">
        <f t="shared" si="175"/>
        <v>ネオジオカップ'98 ザ・ロード・トゥ・ザ・ヴィクトリー</v>
      </c>
      <c r="O2133" t="str">
        <f t="shared" si="175"/>
        <v/>
      </c>
      <c r="P2133" t="str">
        <f t="shared" si="175"/>
        <v/>
      </c>
      <c r="Q2133" t="s">
        <v>2578</v>
      </c>
      <c r="T2133" t="str">
        <f t="shared" si="178"/>
        <v/>
      </c>
      <c r="V2133" t="str">
        <f t="shared" si="174"/>
        <v>MVS,AES</v>
      </c>
      <c r="W2133" t="str">
        <f t="shared" si="174"/>
        <v>MVS,AES</v>
      </c>
      <c r="AB2133" t="s">
        <v>34</v>
      </c>
      <c r="AE2133" t="s">
        <v>33</v>
      </c>
      <c r="AH2133" t="s">
        <v>2577</v>
      </c>
      <c r="AI2133" t="s">
        <v>9</v>
      </c>
      <c r="AJ2133" t="s">
        <v>27</v>
      </c>
      <c r="AK2133" t="s">
        <v>2576</v>
      </c>
      <c r="AL2133" t="s">
        <v>2575</v>
      </c>
    </row>
    <row r="2134" spans="5:38" x14ac:dyDescent="0.25">
      <c r="I2134" t="str">
        <f t="shared" si="176"/>
        <v>neocup98</v>
      </c>
      <c r="J2134" t="str">
        <f t="shared" si="177"/>
        <v/>
      </c>
      <c r="L2134" t="str">
        <f t="shared" si="175"/>
        <v>NGM-2440 (MVS), NGH-2440 (AES)</v>
      </c>
      <c r="M2134" t="str">
        <f t="shared" si="175"/>
        <v>19980528 (MVS), 19980730 (AES)</v>
      </c>
      <c r="N2134" t="str">
        <f t="shared" si="175"/>
        <v>ネオジオカップ'98 ザ・ロード・トゥ・ザ・ヴィクトリー</v>
      </c>
      <c r="O2134" t="str">
        <f t="shared" si="175"/>
        <v/>
      </c>
      <c r="P2134" t="str">
        <f t="shared" si="175"/>
        <v/>
      </c>
      <c r="S2134" t="s">
        <v>36</v>
      </c>
      <c r="T2134" t="str">
        <f t="shared" si="178"/>
        <v>neocup98compatibility</v>
      </c>
      <c r="U2134" t="s">
        <v>218</v>
      </c>
      <c r="V2134" t="str">
        <f t="shared" si="174"/>
        <v>MVS,AES</v>
      </c>
      <c r="W2134" t="str">
        <f t="shared" si="174"/>
        <v>MVS,AES</v>
      </c>
      <c r="AB2134" t="s">
        <v>29</v>
      </c>
      <c r="AE2134" t="s">
        <v>27</v>
      </c>
      <c r="AH2134" t="s">
        <v>2574</v>
      </c>
      <c r="AI2134" t="s">
        <v>9</v>
      </c>
      <c r="AJ2134" t="s">
        <v>27</v>
      </c>
      <c r="AK2134" t="s">
        <v>2573</v>
      </c>
      <c r="AL2134" t="s">
        <v>2572</v>
      </c>
    </row>
    <row r="2135" spans="5:38" x14ac:dyDescent="0.25">
      <c r="I2135" t="str">
        <f t="shared" si="176"/>
        <v>neocup98</v>
      </c>
      <c r="J2135" t="str">
        <f t="shared" si="177"/>
        <v/>
      </c>
      <c r="L2135" t="str">
        <f t="shared" si="175"/>
        <v>NGM-2440 (MVS), NGH-2440 (AES)</v>
      </c>
      <c r="M2135" t="str">
        <f t="shared" si="175"/>
        <v>19980528 (MVS), 19980730 (AES)</v>
      </c>
      <c r="N2135" t="str">
        <f t="shared" si="175"/>
        <v>ネオジオカップ'98 ザ・ロード・トゥ・ザ・ヴィクトリー</v>
      </c>
      <c r="O2135" t="str">
        <f t="shared" si="175"/>
        <v/>
      </c>
      <c r="P2135" t="str">
        <f t="shared" si="175"/>
        <v/>
      </c>
      <c r="T2135" t="str">
        <f t="shared" si="178"/>
        <v/>
      </c>
      <c r="V2135" t="str">
        <f t="shared" ref="V2135:W2198" si="179">IFERROR(VLOOKUP($I2135&amp;V$1,$T:$AA,2,0),"")</f>
        <v>MVS,AES</v>
      </c>
      <c r="W2135" t="str">
        <f t="shared" si="179"/>
        <v>MVS,AES</v>
      </c>
      <c r="AB2135" t="s">
        <v>24</v>
      </c>
      <c r="AE2135" t="s">
        <v>75</v>
      </c>
      <c r="AH2135" t="s">
        <v>2571</v>
      </c>
      <c r="AI2135" t="s">
        <v>9</v>
      </c>
      <c r="AJ2135" t="s">
        <v>11</v>
      </c>
      <c r="AK2135" t="s">
        <v>2570</v>
      </c>
      <c r="AL2135" t="s">
        <v>2569</v>
      </c>
    </row>
    <row r="2136" spans="5:38" x14ac:dyDescent="0.25">
      <c r="I2136" t="str">
        <f t="shared" si="176"/>
        <v>neocup98</v>
      </c>
      <c r="J2136" t="str">
        <f t="shared" si="177"/>
        <v/>
      </c>
      <c r="L2136" t="str">
        <f t="shared" si="175"/>
        <v>NGM-2440 (MVS), NGH-2440 (AES)</v>
      </c>
      <c r="M2136" t="str">
        <f t="shared" si="175"/>
        <v>19980528 (MVS), 19980730 (AES)</v>
      </c>
      <c r="N2136" t="str">
        <f t="shared" si="175"/>
        <v>ネオジオカップ'98 ザ・ロード・トゥ・ザ・ヴィクトリー</v>
      </c>
      <c r="O2136" t="str">
        <f t="shared" si="175"/>
        <v/>
      </c>
      <c r="P2136" t="str">
        <f t="shared" si="175"/>
        <v/>
      </c>
      <c r="T2136" t="str">
        <f t="shared" si="178"/>
        <v/>
      </c>
      <c r="V2136" t="str">
        <f t="shared" si="179"/>
        <v>MVS,AES</v>
      </c>
      <c r="W2136" t="str">
        <f t="shared" si="179"/>
        <v>MVS,AES</v>
      </c>
      <c r="AH2136" t="s">
        <v>2568</v>
      </c>
      <c r="AI2136" t="s">
        <v>11</v>
      </c>
      <c r="AJ2136" t="s">
        <v>3</v>
      </c>
      <c r="AK2136" t="s">
        <v>2567</v>
      </c>
      <c r="AL2136" t="s">
        <v>2566</v>
      </c>
    </row>
    <row r="2137" spans="5:38" x14ac:dyDescent="0.25">
      <c r="I2137" t="str">
        <f t="shared" si="176"/>
        <v>neocup98</v>
      </c>
      <c r="J2137" t="str">
        <f t="shared" si="177"/>
        <v/>
      </c>
      <c r="L2137" t="str">
        <f t="shared" si="175"/>
        <v>NGM-2440 (MVS), NGH-2440 (AES)</v>
      </c>
      <c r="M2137" t="str">
        <f t="shared" si="175"/>
        <v>19980528 (MVS), 19980730 (AES)</v>
      </c>
      <c r="N2137" t="str">
        <f t="shared" si="175"/>
        <v>ネオジオカップ'98 ザ・ロード・トゥ・ザ・ヴィクトリー</v>
      </c>
      <c r="O2137" t="str">
        <f t="shared" si="175"/>
        <v/>
      </c>
      <c r="P2137" t="str">
        <f t="shared" si="175"/>
        <v/>
      </c>
      <c r="T2137" t="str">
        <f t="shared" si="178"/>
        <v/>
      </c>
      <c r="V2137" t="str">
        <f t="shared" si="179"/>
        <v>MVS,AES</v>
      </c>
      <c r="W2137" t="str">
        <f t="shared" si="179"/>
        <v>MVS,AES</v>
      </c>
      <c r="AB2137" t="s">
        <v>12</v>
      </c>
      <c r="AE2137" t="s">
        <v>65</v>
      </c>
      <c r="AG2137" t="s">
        <v>6</v>
      </c>
      <c r="AH2137" t="s">
        <v>2565</v>
      </c>
      <c r="AI2137" t="s">
        <v>9</v>
      </c>
      <c r="AJ2137" t="s">
        <v>57</v>
      </c>
      <c r="AK2137" t="s">
        <v>2564</v>
      </c>
      <c r="AL2137" t="s">
        <v>2563</v>
      </c>
    </row>
    <row r="2138" spans="5:38" x14ac:dyDescent="0.25">
      <c r="I2138" t="str">
        <f t="shared" si="176"/>
        <v>neocup98</v>
      </c>
      <c r="J2138" t="str">
        <f t="shared" si="177"/>
        <v/>
      </c>
      <c r="L2138" t="str">
        <f t="shared" si="175"/>
        <v>NGM-2440 (MVS), NGH-2440 (AES)</v>
      </c>
      <c r="M2138" t="str">
        <f t="shared" si="175"/>
        <v>19980528 (MVS), 19980730 (AES)</v>
      </c>
      <c r="N2138" t="str">
        <f t="shared" si="175"/>
        <v>ネオジオカップ'98 ザ・ロード・トゥ・ザ・ヴィクトリー</v>
      </c>
      <c r="O2138" t="str">
        <f t="shared" si="175"/>
        <v/>
      </c>
      <c r="P2138" t="str">
        <f t="shared" si="175"/>
        <v/>
      </c>
      <c r="T2138" t="str">
        <f t="shared" si="178"/>
        <v/>
      </c>
      <c r="V2138" t="str">
        <f t="shared" si="179"/>
        <v>MVS,AES</v>
      </c>
      <c r="W2138" t="str">
        <f t="shared" si="179"/>
        <v>MVS,AES</v>
      </c>
      <c r="AG2138" t="s">
        <v>6</v>
      </c>
      <c r="AH2138" t="s">
        <v>2562</v>
      </c>
      <c r="AI2138" t="s">
        <v>4</v>
      </c>
      <c r="AJ2138" t="s">
        <v>57</v>
      </c>
      <c r="AK2138" t="s">
        <v>2561</v>
      </c>
      <c r="AL2138" t="s">
        <v>2560</v>
      </c>
    </row>
    <row r="2139" spans="5:38" x14ac:dyDescent="0.25">
      <c r="E2139" t="s">
        <v>2559</v>
      </c>
      <c r="F2139" t="s">
        <v>2558</v>
      </c>
      <c r="G2139" t="s">
        <v>1101</v>
      </c>
      <c r="H2139" t="s">
        <v>1859</v>
      </c>
      <c r="I2139" t="str">
        <f t="shared" si="176"/>
        <v>breakrev</v>
      </c>
      <c r="J2139" t="str">
        <f t="shared" si="177"/>
        <v>breakrevserial</v>
      </c>
      <c r="K2139" t="s">
        <v>1373</v>
      </c>
      <c r="L2139" t="str">
        <f t="shared" si="175"/>
        <v>NGM-2450</v>
      </c>
      <c r="M2139" t="str">
        <f t="shared" si="175"/>
        <v>19980703</v>
      </c>
      <c r="N2139" t="str">
        <f t="shared" si="175"/>
        <v>ブレイカーズ・リベンジ</v>
      </c>
      <c r="O2139" t="str">
        <f t="shared" si="175"/>
        <v/>
      </c>
      <c r="P2139" t="str">
        <f t="shared" si="175"/>
        <v/>
      </c>
      <c r="Q2139" t="s">
        <v>2557</v>
      </c>
      <c r="S2139" t="s">
        <v>46</v>
      </c>
      <c r="T2139" t="str">
        <f t="shared" si="178"/>
        <v>breakrevrelease</v>
      </c>
      <c r="U2139" t="s">
        <v>106</v>
      </c>
      <c r="V2139" t="str">
        <f t="shared" si="179"/>
        <v>MVS</v>
      </c>
      <c r="W2139" t="str">
        <f t="shared" si="179"/>
        <v>MVS,AES</v>
      </c>
      <c r="Y2139" t="s">
        <v>45</v>
      </c>
      <c r="Z2139" t="s">
        <v>44</v>
      </c>
      <c r="AB2139" t="s">
        <v>43</v>
      </c>
      <c r="AC2139" t="s">
        <v>42</v>
      </c>
      <c r="AD2139" t="s">
        <v>41</v>
      </c>
      <c r="AE2139" t="s">
        <v>3</v>
      </c>
      <c r="AG2139" t="s">
        <v>40</v>
      </c>
      <c r="AH2139" t="s">
        <v>2556</v>
      </c>
      <c r="AI2139" t="s">
        <v>15</v>
      </c>
      <c r="AJ2139" t="s">
        <v>15</v>
      </c>
      <c r="AK2139" t="s">
        <v>2555</v>
      </c>
      <c r="AL2139" t="s">
        <v>2554</v>
      </c>
    </row>
    <row r="2140" spans="5:38" x14ac:dyDescent="0.25">
      <c r="I2140" t="str">
        <f t="shared" si="176"/>
        <v>breakrev</v>
      </c>
      <c r="J2140" t="str">
        <f t="shared" si="177"/>
        <v>breakrevrelease</v>
      </c>
      <c r="K2140" t="s">
        <v>46</v>
      </c>
      <c r="L2140" t="str">
        <f t="shared" si="175"/>
        <v>NGM-2450</v>
      </c>
      <c r="M2140" t="str">
        <f t="shared" si="175"/>
        <v>19980703</v>
      </c>
      <c r="N2140" t="str">
        <f t="shared" si="175"/>
        <v>ブレイカーズ・リベンジ</v>
      </c>
      <c r="O2140" t="str">
        <f t="shared" si="175"/>
        <v/>
      </c>
      <c r="P2140" t="str">
        <f t="shared" si="175"/>
        <v/>
      </c>
      <c r="Q2140" t="s">
        <v>2553</v>
      </c>
      <c r="T2140" t="str">
        <f t="shared" si="178"/>
        <v/>
      </c>
      <c r="V2140" t="str">
        <f t="shared" si="179"/>
        <v>MVS</v>
      </c>
      <c r="W2140" t="str">
        <f t="shared" si="179"/>
        <v>MVS,AES</v>
      </c>
      <c r="AG2140" t="s">
        <v>224</v>
      </c>
      <c r="AI2140" t="s">
        <v>9</v>
      </c>
      <c r="AJ2140" t="s">
        <v>15</v>
      </c>
    </row>
    <row r="2141" spans="5:38" x14ac:dyDescent="0.25">
      <c r="I2141" t="str">
        <f t="shared" si="176"/>
        <v>breakrev</v>
      </c>
      <c r="J2141" t="str">
        <f t="shared" si="177"/>
        <v>breakrevalt_title</v>
      </c>
      <c r="K2141" t="s">
        <v>1218</v>
      </c>
      <c r="L2141" t="str">
        <f t="shared" si="175"/>
        <v>NGM-2450</v>
      </c>
      <c r="M2141" t="str">
        <f t="shared" si="175"/>
        <v>19980703</v>
      </c>
      <c r="N2141" t="str">
        <f t="shared" si="175"/>
        <v>ブレイカーズ・リベンジ</v>
      </c>
      <c r="O2141" t="str">
        <f t="shared" si="175"/>
        <v/>
      </c>
      <c r="P2141" t="str">
        <f t="shared" si="175"/>
        <v/>
      </c>
      <c r="Q2141" t="s">
        <v>2552</v>
      </c>
      <c r="T2141" t="str">
        <f t="shared" si="178"/>
        <v/>
      </c>
      <c r="V2141" t="str">
        <f t="shared" si="179"/>
        <v>MVS</v>
      </c>
      <c r="W2141" t="str">
        <f t="shared" si="179"/>
        <v>MVS,AES</v>
      </c>
      <c r="AB2141" t="s">
        <v>34</v>
      </c>
      <c r="AE2141" t="s">
        <v>33</v>
      </c>
      <c r="AH2141" t="s">
        <v>2551</v>
      </c>
      <c r="AI2141" t="s">
        <v>9</v>
      </c>
      <c r="AJ2141" t="s">
        <v>27</v>
      </c>
      <c r="AK2141" t="s">
        <v>2550</v>
      </c>
      <c r="AL2141" t="s">
        <v>2549</v>
      </c>
    </row>
    <row r="2142" spans="5:38" x14ac:dyDescent="0.25">
      <c r="I2142" t="str">
        <f t="shared" si="176"/>
        <v>breakrev</v>
      </c>
      <c r="J2142" t="str">
        <f t="shared" si="177"/>
        <v/>
      </c>
      <c r="L2142" t="str">
        <f t="shared" si="175"/>
        <v>NGM-2450</v>
      </c>
      <c r="M2142" t="str">
        <f t="shared" si="175"/>
        <v>19980703</v>
      </c>
      <c r="N2142" t="str">
        <f t="shared" si="175"/>
        <v>ブレイカーズ・リベンジ</v>
      </c>
      <c r="O2142" t="str">
        <f t="shared" si="175"/>
        <v/>
      </c>
      <c r="P2142" t="str">
        <f t="shared" si="175"/>
        <v/>
      </c>
      <c r="S2142" t="s">
        <v>36</v>
      </c>
      <c r="T2142" t="str">
        <f t="shared" si="178"/>
        <v>breakrevcompatibility</v>
      </c>
      <c r="U2142" t="s">
        <v>218</v>
      </c>
      <c r="V2142" t="str">
        <f t="shared" si="179"/>
        <v>MVS</v>
      </c>
      <c r="W2142" t="str">
        <f t="shared" si="179"/>
        <v>MVS,AES</v>
      </c>
      <c r="AB2142" t="s">
        <v>29</v>
      </c>
      <c r="AE2142" t="s">
        <v>27</v>
      </c>
      <c r="AH2142" t="s">
        <v>2548</v>
      </c>
      <c r="AI2142" t="s">
        <v>9</v>
      </c>
      <c r="AJ2142" t="s">
        <v>27</v>
      </c>
      <c r="AK2142" t="s">
        <v>2547</v>
      </c>
      <c r="AL2142" t="s">
        <v>2546</v>
      </c>
    </row>
    <row r="2143" spans="5:38" x14ac:dyDescent="0.25">
      <c r="I2143" t="str">
        <f t="shared" si="176"/>
        <v>breakrev</v>
      </c>
      <c r="J2143" t="str">
        <f t="shared" si="177"/>
        <v/>
      </c>
      <c r="L2143" t="str">
        <f t="shared" si="175"/>
        <v>NGM-2450</v>
      </c>
      <c r="M2143" t="str">
        <f t="shared" si="175"/>
        <v>19980703</v>
      </c>
      <c r="N2143" t="str">
        <f t="shared" si="175"/>
        <v>ブレイカーズ・リベンジ</v>
      </c>
      <c r="O2143" t="str">
        <f t="shared" si="175"/>
        <v/>
      </c>
      <c r="P2143" t="str">
        <f t="shared" si="175"/>
        <v/>
      </c>
      <c r="T2143" t="str">
        <f t="shared" si="178"/>
        <v/>
      </c>
      <c r="V2143" t="str">
        <f t="shared" si="179"/>
        <v>MVS</v>
      </c>
      <c r="W2143" t="str">
        <f t="shared" si="179"/>
        <v>MVS,AES</v>
      </c>
      <c r="AB2143" t="s">
        <v>24</v>
      </c>
      <c r="AE2143" t="s">
        <v>57</v>
      </c>
      <c r="AH2143" t="s">
        <v>2545</v>
      </c>
      <c r="AI2143" t="s">
        <v>9</v>
      </c>
      <c r="AJ2143" t="s">
        <v>11</v>
      </c>
      <c r="AK2143" t="s">
        <v>2544</v>
      </c>
      <c r="AL2143" t="s">
        <v>2543</v>
      </c>
    </row>
    <row r="2144" spans="5:38" x14ac:dyDescent="0.25">
      <c r="I2144" t="str">
        <f t="shared" si="176"/>
        <v>breakrev</v>
      </c>
      <c r="J2144" t="str">
        <f t="shared" si="177"/>
        <v/>
      </c>
      <c r="L2144" t="str">
        <f t="shared" si="175"/>
        <v>NGM-2450</v>
      </c>
      <c r="M2144" t="str">
        <f t="shared" si="175"/>
        <v>19980703</v>
      </c>
      <c r="N2144" t="str">
        <f t="shared" si="175"/>
        <v>ブレイカーズ・リベンジ</v>
      </c>
      <c r="O2144" t="str">
        <f t="shared" si="175"/>
        <v/>
      </c>
      <c r="P2144" t="str">
        <f t="shared" si="175"/>
        <v/>
      </c>
      <c r="T2144" t="str">
        <f t="shared" si="178"/>
        <v/>
      </c>
      <c r="V2144" t="str">
        <f t="shared" si="179"/>
        <v>MVS</v>
      </c>
      <c r="W2144" t="str">
        <f t="shared" si="179"/>
        <v>MVS,AES</v>
      </c>
      <c r="AH2144" t="s">
        <v>2542</v>
      </c>
      <c r="AI2144" t="s">
        <v>11</v>
      </c>
      <c r="AJ2144" t="s">
        <v>11</v>
      </c>
      <c r="AK2144" t="s">
        <v>2541</v>
      </c>
      <c r="AL2144" t="s">
        <v>2540</v>
      </c>
    </row>
    <row r="2145" spans="5:38" x14ac:dyDescent="0.25">
      <c r="I2145" t="str">
        <f t="shared" si="176"/>
        <v>breakrev</v>
      </c>
      <c r="J2145" t="str">
        <f t="shared" si="177"/>
        <v/>
      </c>
      <c r="L2145" t="str">
        <f t="shared" si="175"/>
        <v>NGM-2450</v>
      </c>
      <c r="M2145" t="str">
        <f t="shared" si="175"/>
        <v>19980703</v>
      </c>
      <c r="N2145" t="str">
        <f t="shared" si="175"/>
        <v>ブレイカーズ・リベンジ</v>
      </c>
      <c r="O2145" t="str">
        <f t="shared" si="175"/>
        <v/>
      </c>
      <c r="P2145" t="str">
        <f t="shared" si="175"/>
        <v/>
      </c>
      <c r="T2145" t="str">
        <f t="shared" si="178"/>
        <v/>
      </c>
      <c r="V2145" t="str">
        <f t="shared" si="179"/>
        <v>MVS</v>
      </c>
      <c r="W2145" t="str">
        <f t="shared" si="179"/>
        <v>MVS,AES</v>
      </c>
      <c r="AB2145" t="s">
        <v>12</v>
      </c>
      <c r="AE2145" t="s">
        <v>634</v>
      </c>
      <c r="AG2145" t="s">
        <v>6</v>
      </c>
      <c r="AH2145" t="s">
        <v>2539</v>
      </c>
      <c r="AI2145" t="s">
        <v>9</v>
      </c>
      <c r="AJ2145" t="s">
        <v>11</v>
      </c>
      <c r="AK2145" t="s">
        <v>2538</v>
      </c>
      <c r="AL2145" t="s">
        <v>2537</v>
      </c>
    </row>
    <row r="2146" spans="5:38" x14ac:dyDescent="0.25">
      <c r="I2146" t="str">
        <f t="shared" si="176"/>
        <v>breakrev</v>
      </c>
      <c r="J2146" t="str">
        <f t="shared" si="177"/>
        <v/>
      </c>
      <c r="L2146" t="str">
        <f t="shared" si="175"/>
        <v>NGM-2450</v>
      </c>
      <c r="M2146" t="str">
        <f t="shared" si="175"/>
        <v>19980703</v>
      </c>
      <c r="N2146" t="str">
        <f t="shared" si="175"/>
        <v>ブレイカーズ・リベンジ</v>
      </c>
      <c r="O2146" t="str">
        <f t="shared" si="175"/>
        <v/>
      </c>
      <c r="P2146" t="str">
        <f t="shared" si="175"/>
        <v/>
      </c>
      <c r="T2146" t="str">
        <f t="shared" si="178"/>
        <v/>
      </c>
      <c r="V2146" t="str">
        <f t="shared" si="179"/>
        <v>MVS</v>
      </c>
      <c r="W2146" t="str">
        <f t="shared" si="179"/>
        <v>MVS,AES</v>
      </c>
      <c r="AG2146" t="s">
        <v>6</v>
      </c>
      <c r="AH2146" t="s">
        <v>2536</v>
      </c>
      <c r="AI2146" t="s">
        <v>4</v>
      </c>
      <c r="AJ2146" t="s">
        <v>11</v>
      </c>
      <c r="AK2146" t="s">
        <v>2535</v>
      </c>
      <c r="AL2146" t="s">
        <v>2534</v>
      </c>
    </row>
    <row r="2147" spans="5:38" x14ac:dyDescent="0.25">
      <c r="I2147" t="str">
        <f t="shared" si="176"/>
        <v>breakrev</v>
      </c>
      <c r="J2147" t="str">
        <f t="shared" si="177"/>
        <v/>
      </c>
      <c r="L2147" t="str">
        <f t="shared" si="175"/>
        <v>NGM-2450</v>
      </c>
      <c r="M2147" t="str">
        <f t="shared" si="175"/>
        <v>19980703</v>
      </c>
      <c r="N2147" t="str">
        <f t="shared" si="175"/>
        <v>ブレイカーズ・リベンジ</v>
      </c>
      <c r="O2147" t="str">
        <f t="shared" si="175"/>
        <v/>
      </c>
      <c r="P2147" t="str">
        <f t="shared" si="175"/>
        <v/>
      </c>
      <c r="T2147" t="str">
        <f t="shared" si="178"/>
        <v/>
      </c>
      <c r="V2147" t="str">
        <f t="shared" si="179"/>
        <v>MVS</v>
      </c>
      <c r="W2147" t="str">
        <f t="shared" si="179"/>
        <v>MVS,AES</v>
      </c>
      <c r="AG2147" t="s">
        <v>6</v>
      </c>
      <c r="AH2147" t="s">
        <v>2533</v>
      </c>
      <c r="AI2147" t="s">
        <v>57</v>
      </c>
      <c r="AJ2147" t="s">
        <v>11</v>
      </c>
      <c r="AK2147" t="s">
        <v>2532</v>
      </c>
      <c r="AL2147" t="s">
        <v>2531</v>
      </c>
    </row>
    <row r="2148" spans="5:38" x14ac:dyDescent="0.25">
      <c r="I2148" t="str">
        <f t="shared" si="176"/>
        <v>breakrev</v>
      </c>
      <c r="J2148" t="str">
        <f t="shared" si="177"/>
        <v/>
      </c>
      <c r="L2148" t="str">
        <f t="shared" si="175"/>
        <v>NGM-2450</v>
      </c>
      <c r="M2148" t="str">
        <f t="shared" si="175"/>
        <v>19980703</v>
      </c>
      <c r="N2148" t="str">
        <f t="shared" si="175"/>
        <v>ブレイカーズ・リベンジ</v>
      </c>
      <c r="O2148" t="str">
        <f t="shared" si="175"/>
        <v/>
      </c>
      <c r="P2148" t="str">
        <f t="shared" si="175"/>
        <v/>
      </c>
      <c r="T2148" t="str">
        <f t="shared" si="178"/>
        <v/>
      </c>
      <c r="V2148" t="str">
        <f t="shared" si="179"/>
        <v>MVS</v>
      </c>
      <c r="W2148" t="str">
        <f t="shared" si="179"/>
        <v>MVS,AES</v>
      </c>
      <c r="AG2148" t="s">
        <v>6</v>
      </c>
      <c r="AH2148" t="s">
        <v>2530</v>
      </c>
      <c r="AI2148" t="s">
        <v>53</v>
      </c>
      <c r="AJ2148" t="s">
        <v>11</v>
      </c>
      <c r="AK2148" t="s">
        <v>2529</v>
      </c>
      <c r="AL2148" t="s">
        <v>2528</v>
      </c>
    </row>
    <row r="2149" spans="5:38" x14ac:dyDescent="0.25">
      <c r="I2149" t="str">
        <f t="shared" si="176"/>
        <v>breakrev</v>
      </c>
      <c r="J2149" t="str">
        <f t="shared" si="177"/>
        <v/>
      </c>
      <c r="L2149" t="str">
        <f t="shared" si="175"/>
        <v>NGM-2450</v>
      </c>
      <c r="M2149" t="str">
        <f t="shared" si="175"/>
        <v>19980703</v>
      </c>
      <c r="N2149" t="str">
        <f t="shared" si="175"/>
        <v>ブレイカーズ・リベンジ</v>
      </c>
      <c r="O2149" t="str">
        <f t="shared" si="175"/>
        <v/>
      </c>
      <c r="P2149" t="str">
        <f t="shared" si="175"/>
        <v/>
      </c>
      <c r="T2149" t="str">
        <f t="shared" si="178"/>
        <v/>
      </c>
      <c r="V2149" t="str">
        <f t="shared" si="179"/>
        <v>MVS</v>
      </c>
      <c r="W2149" t="str">
        <f t="shared" si="179"/>
        <v>MVS,AES</v>
      </c>
      <c r="AG2149" t="s">
        <v>6</v>
      </c>
      <c r="AH2149" t="s">
        <v>2527</v>
      </c>
      <c r="AI2149" t="s">
        <v>65</v>
      </c>
      <c r="AJ2149" t="s">
        <v>11</v>
      </c>
      <c r="AK2149" t="s">
        <v>2526</v>
      </c>
      <c r="AL2149" t="s">
        <v>2525</v>
      </c>
    </row>
    <row r="2150" spans="5:38" x14ac:dyDescent="0.25">
      <c r="I2150" t="str">
        <f t="shared" si="176"/>
        <v>breakrev</v>
      </c>
      <c r="J2150" t="str">
        <f t="shared" si="177"/>
        <v/>
      </c>
      <c r="L2150" t="str">
        <f t="shared" si="175"/>
        <v>NGM-2450</v>
      </c>
      <c r="M2150" t="str">
        <f t="shared" si="175"/>
        <v>19980703</v>
      </c>
      <c r="N2150" t="str">
        <f t="shared" si="175"/>
        <v>ブレイカーズ・リベンジ</v>
      </c>
      <c r="O2150" t="str">
        <f t="shared" si="175"/>
        <v/>
      </c>
      <c r="P2150" t="str">
        <f t="shared" si="175"/>
        <v/>
      </c>
      <c r="T2150" t="str">
        <f t="shared" si="178"/>
        <v/>
      </c>
      <c r="V2150" t="str">
        <f t="shared" si="179"/>
        <v>MVS</v>
      </c>
      <c r="W2150" t="str">
        <f t="shared" si="179"/>
        <v>MVS,AES</v>
      </c>
      <c r="AG2150" t="s">
        <v>6</v>
      </c>
      <c r="AH2150" t="s">
        <v>2524</v>
      </c>
      <c r="AI2150" t="s">
        <v>164</v>
      </c>
      <c r="AJ2150" t="s">
        <v>11</v>
      </c>
      <c r="AK2150" t="s">
        <v>2523</v>
      </c>
      <c r="AL2150" t="s">
        <v>2522</v>
      </c>
    </row>
    <row r="2151" spans="5:38" x14ac:dyDescent="0.25">
      <c r="E2151" t="s">
        <v>1096</v>
      </c>
      <c r="F2151" t="s">
        <v>2521</v>
      </c>
      <c r="G2151" t="s">
        <v>1101</v>
      </c>
      <c r="H2151" t="s">
        <v>2520</v>
      </c>
      <c r="I2151" t="str">
        <f t="shared" si="176"/>
        <v>shocktr2</v>
      </c>
      <c r="J2151" t="str">
        <f t="shared" si="177"/>
        <v>shocktr2serial</v>
      </c>
      <c r="K2151" t="s">
        <v>1373</v>
      </c>
      <c r="L2151" t="str">
        <f t="shared" si="175"/>
        <v>NGM-2460 (MVS), NGH-2460 (AES)</v>
      </c>
      <c r="M2151" t="str">
        <f t="shared" si="175"/>
        <v>19981106 (MVS), 19990624 (AES)</v>
      </c>
      <c r="N2151" t="str">
        <f t="shared" si="175"/>
        <v>ショックトルーパーズ セカンドスカッド</v>
      </c>
      <c r="O2151" t="str">
        <f t="shared" si="175"/>
        <v/>
      </c>
      <c r="P2151" t="str">
        <f t="shared" si="175"/>
        <v/>
      </c>
      <c r="Q2151" t="s">
        <v>2519</v>
      </c>
      <c r="S2151" t="s">
        <v>46</v>
      </c>
      <c r="T2151" t="str">
        <f t="shared" si="178"/>
        <v>shocktr2release</v>
      </c>
      <c r="U2151" t="s">
        <v>218</v>
      </c>
      <c r="V2151" t="str">
        <f t="shared" si="179"/>
        <v>MVS,AES</v>
      </c>
      <c r="W2151" t="str">
        <f t="shared" si="179"/>
        <v>MVS,AES</v>
      </c>
      <c r="Y2151" t="s">
        <v>45</v>
      </c>
      <c r="Z2151" t="s">
        <v>44</v>
      </c>
      <c r="AB2151" t="s">
        <v>43</v>
      </c>
      <c r="AC2151" t="s">
        <v>42</v>
      </c>
      <c r="AD2151" t="s">
        <v>41</v>
      </c>
      <c r="AE2151" t="s">
        <v>23</v>
      </c>
      <c r="AG2151" t="s">
        <v>40</v>
      </c>
      <c r="AH2151" t="s">
        <v>2518</v>
      </c>
      <c r="AI2151" t="s">
        <v>9</v>
      </c>
      <c r="AJ2151" t="s">
        <v>15</v>
      </c>
      <c r="AK2151" t="s">
        <v>2517</v>
      </c>
      <c r="AL2151" t="s">
        <v>2516</v>
      </c>
    </row>
    <row r="2152" spans="5:38" x14ac:dyDescent="0.25">
      <c r="I2152" t="str">
        <f t="shared" si="176"/>
        <v>shocktr2</v>
      </c>
      <c r="J2152" t="str">
        <f t="shared" si="177"/>
        <v>shocktr2release</v>
      </c>
      <c r="K2152" t="s">
        <v>46</v>
      </c>
      <c r="L2152" t="str">
        <f t="shared" si="175"/>
        <v>NGM-2460 (MVS), NGH-2460 (AES)</v>
      </c>
      <c r="M2152" t="str">
        <f t="shared" si="175"/>
        <v>19981106 (MVS), 19990624 (AES)</v>
      </c>
      <c r="N2152" t="str">
        <f t="shared" si="175"/>
        <v>ショックトルーパーズ セカンドスカッド</v>
      </c>
      <c r="O2152" t="str">
        <f t="shared" si="175"/>
        <v/>
      </c>
      <c r="P2152" t="str">
        <f t="shared" si="175"/>
        <v/>
      </c>
      <c r="Q2152" t="s">
        <v>2515</v>
      </c>
      <c r="T2152" t="str">
        <f t="shared" si="178"/>
        <v/>
      </c>
      <c r="V2152" t="str">
        <f t="shared" si="179"/>
        <v>MVS,AES</v>
      </c>
      <c r="W2152" t="str">
        <f t="shared" si="179"/>
        <v>MVS,AES</v>
      </c>
      <c r="AG2152" t="s">
        <v>40</v>
      </c>
      <c r="AH2152" t="s">
        <v>2514</v>
      </c>
      <c r="AI2152" t="s">
        <v>15</v>
      </c>
      <c r="AJ2152" t="s">
        <v>11</v>
      </c>
      <c r="AK2152" t="s">
        <v>2513</v>
      </c>
      <c r="AL2152" t="s">
        <v>2512</v>
      </c>
    </row>
    <row r="2153" spans="5:38" x14ac:dyDescent="0.25">
      <c r="I2153" t="str">
        <f t="shared" si="176"/>
        <v>shocktr2</v>
      </c>
      <c r="J2153" t="str">
        <f t="shared" si="177"/>
        <v>shocktr2alt_title</v>
      </c>
      <c r="K2153" t="s">
        <v>1218</v>
      </c>
      <c r="L2153" t="str">
        <f t="shared" si="175"/>
        <v>NGM-2460 (MVS), NGH-2460 (AES)</v>
      </c>
      <c r="M2153" t="str">
        <f t="shared" si="175"/>
        <v>19981106 (MVS), 19990624 (AES)</v>
      </c>
      <c r="N2153" t="str">
        <f t="shared" si="175"/>
        <v>ショックトルーパーズ セカンドスカッド</v>
      </c>
      <c r="O2153" t="str">
        <f t="shared" si="175"/>
        <v/>
      </c>
      <c r="P2153" t="str">
        <f t="shared" si="175"/>
        <v/>
      </c>
      <c r="Q2153" t="s">
        <v>2511</v>
      </c>
      <c r="T2153" t="str">
        <f t="shared" si="178"/>
        <v/>
      </c>
      <c r="V2153" t="str">
        <f t="shared" si="179"/>
        <v>MVS,AES</v>
      </c>
      <c r="W2153" t="str">
        <f t="shared" si="179"/>
        <v>MVS,AES</v>
      </c>
      <c r="AB2153" t="s">
        <v>34</v>
      </c>
      <c r="AE2153" t="s">
        <v>33</v>
      </c>
      <c r="AH2153" t="s">
        <v>2510</v>
      </c>
      <c r="AI2153" t="s">
        <v>9</v>
      </c>
      <c r="AJ2153" t="s">
        <v>27</v>
      </c>
      <c r="AK2153" t="s">
        <v>2509</v>
      </c>
      <c r="AL2153" t="s">
        <v>2508</v>
      </c>
    </row>
    <row r="2154" spans="5:38" x14ac:dyDescent="0.25">
      <c r="I2154" t="str">
        <f t="shared" si="176"/>
        <v>shocktr2</v>
      </c>
      <c r="J2154" t="str">
        <f t="shared" si="177"/>
        <v/>
      </c>
      <c r="L2154" t="str">
        <f t="shared" si="175"/>
        <v>NGM-2460 (MVS), NGH-2460 (AES)</v>
      </c>
      <c r="M2154" t="str">
        <f t="shared" si="175"/>
        <v>19981106 (MVS), 19990624 (AES)</v>
      </c>
      <c r="N2154" t="str">
        <f t="shared" si="175"/>
        <v>ショックトルーパーズ セカンドスカッド</v>
      </c>
      <c r="O2154" t="str">
        <f t="shared" si="175"/>
        <v/>
      </c>
      <c r="P2154" t="str">
        <f t="shared" si="175"/>
        <v/>
      </c>
      <c r="S2154" t="s">
        <v>36</v>
      </c>
      <c r="T2154" t="str">
        <f t="shared" si="178"/>
        <v>shocktr2compatibility</v>
      </c>
      <c r="U2154" t="s">
        <v>218</v>
      </c>
      <c r="V2154" t="str">
        <f t="shared" si="179"/>
        <v>MVS,AES</v>
      </c>
      <c r="W2154" t="str">
        <f t="shared" si="179"/>
        <v>MVS,AES</v>
      </c>
      <c r="AB2154" t="s">
        <v>29</v>
      </c>
      <c r="AE2154" t="s">
        <v>27</v>
      </c>
      <c r="AH2154" t="s">
        <v>2507</v>
      </c>
      <c r="AI2154" t="s">
        <v>9</v>
      </c>
      <c r="AJ2154" t="s">
        <v>27</v>
      </c>
      <c r="AK2154" t="s">
        <v>1085</v>
      </c>
      <c r="AL2154" t="s">
        <v>1084</v>
      </c>
    </row>
    <row r="2155" spans="5:38" x14ac:dyDescent="0.25">
      <c r="I2155" t="str">
        <f t="shared" si="176"/>
        <v>shocktr2</v>
      </c>
      <c r="J2155" t="str">
        <f t="shared" si="177"/>
        <v/>
      </c>
      <c r="L2155" t="str">
        <f t="shared" si="175"/>
        <v>NGM-2460 (MVS), NGH-2460 (AES)</v>
      </c>
      <c r="M2155" t="str">
        <f t="shared" si="175"/>
        <v>19981106 (MVS), 19990624 (AES)</v>
      </c>
      <c r="N2155" t="str">
        <f t="shared" si="175"/>
        <v>ショックトルーパーズ セカンドスカッド</v>
      </c>
      <c r="O2155" t="str">
        <f t="shared" si="175"/>
        <v/>
      </c>
      <c r="P2155" t="str">
        <f t="shared" si="175"/>
        <v/>
      </c>
      <c r="T2155" t="str">
        <f t="shared" si="178"/>
        <v/>
      </c>
      <c r="V2155" t="str">
        <f t="shared" si="179"/>
        <v>MVS,AES</v>
      </c>
      <c r="W2155" t="str">
        <f t="shared" si="179"/>
        <v>MVS,AES</v>
      </c>
      <c r="AB2155" t="s">
        <v>24</v>
      </c>
      <c r="AE2155" t="s">
        <v>65</v>
      </c>
      <c r="AH2155" t="s">
        <v>2506</v>
      </c>
      <c r="AI2155" t="s">
        <v>9</v>
      </c>
      <c r="AJ2155" t="s">
        <v>11</v>
      </c>
      <c r="AK2155" t="s">
        <v>2505</v>
      </c>
      <c r="AL2155" t="s">
        <v>2504</v>
      </c>
    </row>
    <row r="2156" spans="5:38" x14ac:dyDescent="0.25">
      <c r="I2156" t="str">
        <f t="shared" si="176"/>
        <v>shocktr2</v>
      </c>
      <c r="J2156" t="str">
        <f t="shared" si="177"/>
        <v/>
      </c>
      <c r="L2156" t="str">
        <f t="shared" si="175"/>
        <v>NGM-2460 (MVS), NGH-2460 (AES)</v>
      </c>
      <c r="M2156" t="str">
        <f t="shared" si="175"/>
        <v>19981106 (MVS), 19990624 (AES)</v>
      </c>
      <c r="N2156" t="str">
        <f t="shared" si="175"/>
        <v>ショックトルーパーズ セカンドスカッド</v>
      </c>
      <c r="O2156" t="str">
        <f t="shared" si="175"/>
        <v/>
      </c>
      <c r="P2156" t="str">
        <f t="shared" si="175"/>
        <v/>
      </c>
      <c r="T2156" t="str">
        <f t="shared" si="178"/>
        <v/>
      </c>
      <c r="V2156" t="str">
        <f t="shared" si="179"/>
        <v>MVS,AES</v>
      </c>
      <c r="W2156" t="str">
        <f t="shared" si="179"/>
        <v>MVS,AES</v>
      </c>
      <c r="AH2156" t="s">
        <v>2503</v>
      </c>
      <c r="AI2156" t="s">
        <v>11</v>
      </c>
      <c r="AJ2156" t="s">
        <v>11</v>
      </c>
      <c r="AK2156" t="s">
        <v>2502</v>
      </c>
      <c r="AL2156" t="s">
        <v>2501</v>
      </c>
    </row>
    <row r="2157" spans="5:38" x14ac:dyDescent="0.25">
      <c r="I2157" t="str">
        <f t="shared" si="176"/>
        <v>shocktr2</v>
      </c>
      <c r="J2157" t="str">
        <f t="shared" si="177"/>
        <v/>
      </c>
      <c r="L2157" t="str">
        <f t="shared" ref="L2157:P2207" si="180">IFERROR(VLOOKUP($I2157&amp;L$1,$J:$Q,8,0),"")</f>
        <v>NGM-2460 (MVS), NGH-2460 (AES)</v>
      </c>
      <c r="M2157" t="str">
        <f t="shared" si="180"/>
        <v>19981106 (MVS), 19990624 (AES)</v>
      </c>
      <c r="N2157" t="str">
        <f t="shared" si="180"/>
        <v>ショックトルーパーズ セカンドスカッド</v>
      </c>
      <c r="O2157" t="str">
        <f t="shared" si="180"/>
        <v/>
      </c>
      <c r="P2157" t="str">
        <f t="shared" si="180"/>
        <v/>
      </c>
      <c r="T2157" t="str">
        <f t="shared" si="178"/>
        <v/>
      </c>
      <c r="V2157" t="str">
        <f t="shared" si="179"/>
        <v>MVS,AES</v>
      </c>
      <c r="W2157" t="str">
        <f t="shared" si="179"/>
        <v>MVS,AES</v>
      </c>
      <c r="AH2157" t="s">
        <v>2500</v>
      </c>
      <c r="AI2157" t="s">
        <v>57</v>
      </c>
      <c r="AJ2157" t="s">
        <v>3</v>
      </c>
      <c r="AK2157" t="s">
        <v>2499</v>
      </c>
      <c r="AL2157" t="s">
        <v>2498</v>
      </c>
    </row>
    <row r="2158" spans="5:38" x14ac:dyDescent="0.25">
      <c r="I2158" t="str">
        <f t="shared" si="176"/>
        <v>shocktr2</v>
      </c>
      <c r="J2158" t="str">
        <f t="shared" si="177"/>
        <v/>
      </c>
      <c r="L2158" t="str">
        <f t="shared" si="180"/>
        <v>NGM-2460 (MVS), NGH-2460 (AES)</v>
      </c>
      <c r="M2158" t="str">
        <f t="shared" si="180"/>
        <v>19981106 (MVS), 19990624 (AES)</v>
      </c>
      <c r="N2158" t="str">
        <f t="shared" si="180"/>
        <v>ショックトルーパーズ セカンドスカッド</v>
      </c>
      <c r="O2158" t="str">
        <f t="shared" si="180"/>
        <v/>
      </c>
      <c r="P2158" t="str">
        <f t="shared" si="180"/>
        <v/>
      </c>
      <c r="T2158" t="str">
        <f t="shared" si="178"/>
        <v/>
      </c>
      <c r="V2158" t="str">
        <f t="shared" si="179"/>
        <v>MVS,AES</v>
      </c>
      <c r="W2158" t="str">
        <f t="shared" si="179"/>
        <v>MVS,AES</v>
      </c>
      <c r="AB2158" t="s">
        <v>12</v>
      </c>
      <c r="AE2158" t="s">
        <v>152</v>
      </c>
      <c r="AG2158" t="s">
        <v>6</v>
      </c>
      <c r="AH2158" t="s">
        <v>2497</v>
      </c>
      <c r="AI2158" t="s">
        <v>9</v>
      </c>
      <c r="AJ2158" t="s">
        <v>57</v>
      </c>
      <c r="AK2158" t="s">
        <v>2496</v>
      </c>
      <c r="AL2158" t="s">
        <v>2495</v>
      </c>
    </row>
    <row r="2159" spans="5:38" x14ac:dyDescent="0.25">
      <c r="I2159" t="str">
        <f t="shared" si="176"/>
        <v>shocktr2</v>
      </c>
      <c r="J2159" t="str">
        <f t="shared" si="177"/>
        <v/>
      </c>
      <c r="L2159" t="str">
        <f t="shared" si="180"/>
        <v>NGM-2460 (MVS), NGH-2460 (AES)</v>
      </c>
      <c r="M2159" t="str">
        <f t="shared" si="180"/>
        <v>19981106 (MVS), 19990624 (AES)</v>
      </c>
      <c r="N2159" t="str">
        <f t="shared" si="180"/>
        <v>ショックトルーパーズ セカンドスカッド</v>
      </c>
      <c r="O2159" t="str">
        <f t="shared" si="180"/>
        <v/>
      </c>
      <c r="P2159" t="str">
        <f t="shared" si="180"/>
        <v/>
      </c>
      <c r="T2159" t="str">
        <f t="shared" si="178"/>
        <v/>
      </c>
      <c r="V2159" t="str">
        <f t="shared" si="179"/>
        <v>MVS,AES</v>
      </c>
      <c r="W2159" t="str">
        <f t="shared" si="179"/>
        <v>MVS,AES</v>
      </c>
      <c r="AG2159" t="s">
        <v>6</v>
      </c>
      <c r="AH2159" t="s">
        <v>2494</v>
      </c>
      <c r="AI2159" t="s">
        <v>4</v>
      </c>
      <c r="AJ2159" t="s">
        <v>57</v>
      </c>
      <c r="AK2159" t="s">
        <v>2493</v>
      </c>
      <c r="AL2159" t="s">
        <v>2492</v>
      </c>
    </row>
    <row r="2160" spans="5:38" x14ac:dyDescent="0.25">
      <c r="I2160" t="str">
        <f t="shared" si="176"/>
        <v>shocktr2</v>
      </c>
      <c r="J2160" t="str">
        <f t="shared" si="177"/>
        <v/>
      </c>
      <c r="L2160" t="str">
        <f t="shared" si="180"/>
        <v>NGM-2460 (MVS), NGH-2460 (AES)</v>
      </c>
      <c r="M2160" t="str">
        <f t="shared" si="180"/>
        <v>19981106 (MVS), 19990624 (AES)</v>
      </c>
      <c r="N2160" t="str">
        <f t="shared" si="180"/>
        <v>ショックトルーパーズ セカンドスカッド</v>
      </c>
      <c r="O2160" t="str">
        <f t="shared" si="180"/>
        <v/>
      </c>
      <c r="P2160" t="str">
        <f t="shared" si="180"/>
        <v/>
      </c>
      <c r="T2160" t="str">
        <f t="shared" si="178"/>
        <v/>
      </c>
      <c r="V2160" t="str">
        <f t="shared" si="179"/>
        <v>MVS,AES</v>
      </c>
      <c r="W2160" t="str">
        <f t="shared" si="179"/>
        <v>MVS,AES</v>
      </c>
      <c r="AG2160" t="s">
        <v>6</v>
      </c>
      <c r="AH2160" t="s">
        <v>2491</v>
      </c>
      <c r="AI2160" t="s">
        <v>65</v>
      </c>
      <c r="AJ2160" t="s">
        <v>57</v>
      </c>
      <c r="AK2160" t="s">
        <v>2490</v>
      </c>
      <c r="AL2160" t="s">
        <v>2489</v>
      </c>
    </row>
    <row r="2161" spans="5:38" x14ac:dyDescent="0.25">
      <c r="I2161" t="str">
        <f t="shared" si="176"/>
        <v>shocktr2</v>
      </c>
      <c r="J2161" t="str">
        <f t="shared" si="177"/>
        <v/>
      </c>
      <c r="L2161" t="str">
        <f t="shared" si="180"/>
        <v>NGM-2460 (MVS), NGH-2460 (AES)</v>
      </c>
      <c r="M2161" t="str">
        <f t="shared" si="180"/>
        <v>19981106 (MVS), 19990624 (AES)</v>
      </c>
      <c r="N2161" t="str">
        <f t="shared" si="180"/>
        <v>ショックトルーパーズ セカンドスカッド</v>
      </c>
      <c r="O2161" t="str">
        <f t="shared" si="180"/>
        <v/>
      </c>
      <c r="P2161" t="str">
        <f t="shared" si="180"/>
        <v/>
      </c>
      <c r="T2161" t="str">
        <f t="shared" si="178"/>
        <v/>
      </c>
      <c r="V2161" t="str">
        <f t="shared" si="179"/>
        <v>MVS,AES</v>
      </c>
      <c r="W2161" t="str">
        <f t="shared" si="179"/>
        <v>MVS,AES</v>
      </c>
      <c r="AG2161" t="s">
        <v>6</v>
      </c>
      <c r="AH2161" t="s">
        <v>2488</v>
      </c>
      <c r="AI2161" t="s">
        <v>164</v>
      </c>
      <c r="AJ2161" t="s">
        <v>57</v>
      </c>
      <c r="AK2161" t="s">
        <v>2487</v>
      </c>
      <c r="AL2161" t="s">
        <v>2486</v>
      </c>
    </row>
    <row r="2162" spans="5:38" x14ac:dyDescent="0.25">
      <c r="I2162" t="str">
        <f t="shared" si="176"/>
        <v>shocktr2</v>
      </c>
      <c r="J2162" t="str">
        <f t="shared" si="177"/>
        <v/>
      </c>
      <c r="L2162" t="str">
        <f t="shared" si="180"/>
        <v>NGM-2460 (MVS), NGH-2460 (AES)</v>
      </c>
      <c r="M2162" t="str">
        <f t="shared" si="180"/>
        <v>19981106 (MVS), 19990624 (AES)</v>
      </c>
      <c r="N2162" t="str">
        <f t="shared" si="180"/>
        <v>ショックトルーパーズ セカンドスカッド</v>
      </c>
      <c r="O2162" t="str">
        <f t="shared" si="180"/>
        <v/>
      </c>
      <c r="P2162" t="str">
        <f t="shared" si="180"/>
        <v/>
      </c>
      <c r="T2162" t="str">
        <f t="shared" si="178"/>
        <v/>
      </c>
      <c r="V2162" t="str">
        <f t="shared" si="179"/>
        <v>MVS,AES</v>
      </c>
      <c r="W2162" t="str">
        <f t="shared" si="179"/>
        <v>MVS,AES</v>
      </c>
      <c r="AG2162" t="s">
        <v>6</v>
      </c>
      <c r="AH2162" t="s">
        <v>2485</v>
      </c>
      <c r="AI2162" t="s">
        <v>160</v>
      </c>
      <c r="AJ2162" t="s">
        <v>57</v>
      </c>
      <c r="AK2162" t="s">
        <v>2484</v>
      </c>
      <c r="AL2162" t="s">
        <v>2483</v>
      </c>
    </row>
    <row r="2163" spans="5:38" x14ac:dyDescent="0.25">
      <c r="I2163" t="str">
        <f t="shared" si="176"/>
        <v>shocktr2</v>
      </c>
      <c r="J2163" t="str">
        <f t="shared" si="177"/>
        <v/>
      </c>
      <c r="L2163" t="str">
        <f t="shared" si="180"/>
        <v>NGM-2460 (MVS), NGH-2460 (AES)</v>
      </c>
      <c r="M2163" t="str">
        <f t="shared" si="180"/>
        <v>19981106 (MVS), 19990624 (AES)</v>
      </c>
      <c r="N2163" t="str">
        <f t="shared" si="180"/>
        <v>ショックトルーパーズ セカンドスカッド</v>
      </c>
      <c r="O2163" t="str">
        <f t="shared" si="180"/>
        <v/>
      </c>
      <c r="P2163" t="str">
        <f t="shared" si="180"/>
        <v/>
      </c>
      <c r="T2163" t="str">
        <f t="shared" si="178"/>
        <v/>
      </c>
      <c r="V2163" t="str">
        <f t="shared" si="179"/>
        <v>MVS,AES</v>
      </c>
      <c r="W2163" t="str">
        <f t="shared" si="179"/>
        <v>MVS,AES</v>
      </c>
      <c r="AG2163" t="s">
        <v>6</v>
      </c>
      <c r="AH2163" t="s">
        <v>2482</v>
      </c>
      <c r="AI2163" t="s">
        <v>156</v>
      </c>
      <c r="AJ2163" t="s">
        <v>57</v>
      </c>
      <c r="AK2163" t="s">
        <v>2481</v>
      </c>
      <c r="AL2163" t="s">
        <v>2480</v>
      </c>
    </row>
    <row r="2164" spans="5:38" x14ac:dyDescent="0.25">
      <c r="E2164" t="s">
        <v>2479</v>
      </c>
      <c r="F2164" t="s">
        <v>2478</v>
      </c>
      <c r="G2164" t="s">
        <v>1053</v>
      </c>
      <c r="H2164" t="s">
        <v>1859</v>
      </c>
      <c r="I2164" t="str">
        <f t="shared" si="176"/>
        <v>flipshot</v>
      </c>
      <c r="J2164" t="str">
        <f t="shared" si="177"/>
        <v>flipshotserial</v>
      </c>
      <c r="K2164" t="s">
        <v>1373</v>
      </c>
      <c r="L2164" t="str">
        <f t="shared" si="180"/>
        <v>NGM-2470</v>
      </c>
      <c r="M2164" t="str">
        <f t="shared" si="180"/>
        <v>19981208</v>
      </c>
      <c r="N2164" t="str">
        <f t="shared" si="180"/>
        <v>フリップショット</v>
      </c>
      <c r="O2164" t="str">
        <f t="shared" si="180"/>
        <v/>
      </c>
      <c r="P2164" t="str">
        <f t="shared" si="180"/>
        <v/>
      </c>
      <c r="Q2164" t="s">
        <v>2477</v>
      </c>
      <c r="S2164" t="s">
        <v>46</v>
      </c>
      <c r="T2164" t="str">
        <f t="shared" si="178"/>
        <v>flipshotrelease</v>
      </c>
      <c r="U2164" t="s">
        <v>106</v>
      </c>
      <c r="V2164" t="str">
        <f t="shared" si="179"/>
        <v>MVS</v>
      </c>
      <c r="W2164" t="str">
        <f t="shared" si="179"/>
        <v>MVS,AES</v>
      </c>
      <c r="Y2164" t="s">
        <v>45</v>
      </c>
      <c r="Z2164" t="s">
        <v>44</v>
      </c>
      <c r="AB2164" t="s">
        <v>43</v>
      </c>
      <c r="AC2164" t="s">
        <v>42</v>
      </c>
      <c r="AD2164" t="s">
        <v>41</v>
      </c>
      <c r="AE2164" t="s">
        <v>15</v>
      </c>
      <c r="AG2164" t="s">
        <v>40</v>
      </c>
      <c r="AH2164" t="s">
        <v>2476</v>
      </c>
      <c r="AI2164" t="s">
        <v>9</v>
      </c>
      <c r="AJ2164" t="s">
        <v>15</v>
      </c>
      <c r="AK2164" t="s">
        <v>2475</v>
      </c>
      <c r="AL2164" t="s">
        <v>2474</v>
      </c>
    </row>
    <row r="2165" spans="5:38" x14ac:dyDescent="0.25">
      <c r="I2165" t="str">
        <f t="shared" si="176"/>
        <v>flipshot</v>
      </c>
      <c r="J2165" t="str">
        <f t="shared" si="177"/>
        <v>flipshotrelease</v>
      </c>
      <c r="K2165" t="s">
        <v>46</v>
      </c>
      <c r="L2165" t="str">
        <f t="shared" si="180"/>
        <v>NGM-2470</v>
      </c>
      <c r="M2165" t="str">
        <f t="shared" si="180"/>
        <v>19981208</v>
      </c>
      <c r="N2165" t="str">
        <f t="shared" si="180"/>
        <v>フリップショット</v>
      </c>
      <c r="O2165" t="str">
        <f t="shared" si="180"/>
        <v/>
      </c>
      <c r="P2165" t="str">
        <f t="shared" si="180"/>
        <v/>
      </c>
      <c r="Q2165" t="s">
        <v>2473</v>
      </c>
      <c r="T2165" t="str">
        <f t="shared" si="178"/>
        <v/>
      </c>
      <c r="V2165" t="str">
        <f t="shared" si="179"/>
        <v>MVS</v>
      </c>
      <c r="W2165" t="str">
        <f t="shared" si="179"/>
        <v>MVS,AES</v>
      </c>
      <c r="AB2165" t="s">
        <v>34</v>
      </c>
      <c r="AE2165" t="s">
        <v>33</v>
      </c>
      <c r="AH2165" t="s">
        <v>2472</v>
      </c>
      <c r="AI2165" t="s">
        <v>9</v>
      </c>
      <c r="AJ2165" t="s">
        <v>27</v>
      </c>
      <c r="AK2165" t="s">
        <v>2471</v>
      </c>
      <c r="AL2165" t="s">
        <v>2470</v>
      </c>
    </row>
    <row r="2166" spans="5:38" x14ac:dyDescent="0.25">
      <c r="I2166" t="str">
        <f t="shared" si="176"/>
        <v>flipshot</v>
      </c>
      <c r="J2166" t="str">
        <f t="shared" si="177"/>
        <v>flipshotalt_title</v>
      </c>
      <c r="K2166" t="s">
        <v>1218</v>
      </c>
      <c r="L2166" t="str">
        <f t="shared" si="180"/>
        <v>NGM-2470</v>
      </c>
      <c r="M2166" t="str">
        <f t="shared" si="180"/>
        <v>19981208</v>
      </c>
      <c r="N2166" t="str">
        <f t="shared" si="180"/>
        <v>フリップショット</v>
      </c>
      <c r="O2166" t="str">
        <f t="shared" si="180"/>
        <v/>
      </c>
      <c r="P2166" t="str">
        <f t="shared" si="180"/>
        <v/>
      </c>
      <c r="Q2166" t="s">
        <v>2469</v>
      </c>
      <c r="T2166" t="str">
        <f t="shared" si="178"/>
        <v/>
      </c>
      <c r="V2166" t="str">
        <f t="shared" si="179"/>
        <v>MVS</v>
      </c>
      <c r="W2166" t="str">
        <f t="shared" si="179"/>
        <v>MVS,AES</v>
      </c>
      <c r="AB2166" t="s">
        <v>29</v>
      </c>
      <c r="AE2166" t="s">
        <v>27</v>
      </c>
      <c r="AH2166" t="s">
        <v>2468</v>
      </c>
      <c r="AI2166" t="s">
        <v>9</v>
      </c>
      <c r="AJ2166" t="s">
        <v>27</v>
      </c>
      <c r="AK2166" t="s">
        <v>2467</v>
      </c>
      <c r="AL2166" t="s">
        <v>2466</v>
      </c>
    </row>
    <row r="2167" spans="5:38" x14ac:dyDescent="0.25">
      <c r="I2167" t="str">
        <f t="shared" si="176"/>
        <v>flipshot</v>
      </c>
      <c r="J2167" t="str">
        <f t="shared" si="177"/>
        <v/>
      </c>
      <c r="L2167" t="str">
        <f t="shared" si="180"/>
        <v>NGM-2470</v>
      </c>
      <c r="M2167" t="str">
        <f t="shared" si="180"/>
        <v>19981208</v>
      </c>
      <c r="N2167" t="str">
        <f t="shared" si="180"/>
        <v>フリップショット</v>
      </c>
      <c r="O2167" t="str">
        <f t="shared" si="180"/>
        <v/>
      </c>
      <c r="P2167" t="str">
        <f t="shared" si="180"/>
        <v/>
      </c>
      <c r="S2167" t="s">
        <v>36</v>
      </c>
      <c r="T2167" t="str">
        <f t="shared" si="178"/>
        <v>flipshotcompatibility</v>
      </c>
      <c r="U2167" t="s">
        <v>218</v>
      </c>
      <c r="V2167" t="str">
        <f t="shared" si="179"/>
        <v>MVS</v>
      </c>
      <c r="W2167" t="str">
        <f t="shared" si="179"/>
        <v>MVS,AES</v>
      </c>
      <c r="AB2167" t="s">
        <v>24</v>
      </c>
      <c r="AE2167" t="s">
        <v>3</v>
      </c>
      <c r="AH2167" t="s">
        <v>2465</v>
      </c>
      <c r="AI2167" t="s">
        <v>9</v>
      </c>
      <c r="AJ2167" t="s">
        <v>3</v>
      </c>
      <c r="AK2167" t="s">
        <v>2464</v>
      </c>
      <c r="AL2167" t="s">
        <v>2463</v>
      </c>
    </row>
    <row r="2168" spans="5:38" x14ac:dyDescent="0.25">
      <c r="I2168" t="str">
        <f t="shared" si="176"/>
        <v>flipshot</v>
      </c>
      <c r="J2168" t="str">
        <f t="shared" si="177"/>
        <v/>
      </c>
      <c r="L2168" t="str">
        <f t="shared" si="180"/>
        <v>NGM-2470</v>
      </c>
      <c r="M2168" t="str">
        <f t="shared" si="180"/>
        <v>19981208</v>
      </c>
      <c r="N2168" t="str">
        <f t="shared" si="180"/>
        <v>フリップショット</v>
      </c>
      <c r="O2168" t="str">
        <f t="shared" si="180"/>
        <v/>
      </c>
      <c r="P2168" t="str">
        <f t="shared" si="180"/>
        <v/>
      </c>
      <c r="T2168" t="str">
        <f t="shared" si="178"/>
        <v/>
      </c>
      <c r="V2168" t="str">
        <f t="shared" si="179"/>
        <v>MVS</v>
      </c>
      <c r="W2168" t="str">
        <f t="shared" si="179"/>
        <v>MVS,AES</v>
      </c>
      <c r="AB2168" t="s">
        <v>12</v>
      </c>
      <c r="AE2168" t="s">
        <v>11</v>
      </c>
      <c r="AG2168" t="s">
        <v>6</v>
      </c>
      <c r="AH2168" t="s">
        <v>2462</v>
      </c>
      <c r="AI2168" t="s">
        <v>9</v>
      </c>
      <c r="AJ2168" t="s">
        <v>3</v>
      </c>
      <c r="AK2168" t="s">
        <v>2461</v>
      </c>
      <c r="AL2168" t="s">
        <v>2460</v>
      </c>
    </row>
    <row r="2169" spans="5:38" x14ac:dyDescent="0.25">
      <c r="I2169" t="str">
        <f t="shared" si="176"/>
        <v>flipshot</v>
      </c>
      <c r="J2169" t="str">
        <f t="shared" si="177"/>
        <v/>
      </c>
      <c r="L2169" t="str">
        <f t="shared" si="180"/>
        <v>NGM-2470</v>
      </c>
      <c r="M2169" t="str">
        <f t="shared" si="180"/>
        <v>19981208</v>
      </c>
      <c r="N2169" t="str">
        <f t="shared" si="180"/>
        <v>フリップショット</v>
      </c>
      <c r="O2169" t="str">
        <f t="shared" si="180"/>
        <v/>
      </c>
      <c r="P2169" t="str">
        <f t="shared" si="180"/>
        <v/>
      </c>
      <c r="T2169" t="str">
        <f t="shared" si="178"/>
        <v/>
      </c>
      <c r="V2169" t="str">
        <f t="shared" si="179"/>
        <v>MVS</v>
      </c>
      <c r="W2169" t="str">
        <f t="shared" si="179"/>
        <v>MVS,AES</v>
      </c>
      <c r="AG2169" t="s">
        <v>6</v>
      </c>
      <c r="AH2169" t="s">
        <v>2459</v>
      </c>
      <c r="AI2169" t="s">
        <v>4</v>
      </c>
      <c r="AJ2169" t="s">
        <v>3</v>
      </c>
      <c r="AK2169" t="s">
        <v>2458</v>
      </c>
      <c r="AL2169" t="s">
        <v>2457</v>
      </c>
    </row>
    <row r="2170" spans="5:38" x14ac:dyDescent="0.25">
      <c r="E2170" t="s">
        <v>2456</v>
      </c>
      <c r="F2170" t="s">
        <v>2455</v>
      </c>
      <c r="G2170" t="s">
        <v>1053</v>
      </c>
      <c r="H2170" t="s">
        <v>2454</v>
      </c>
      <c r="I2170" t="str">
        <f t="shared" si="176"/>
        <v>pbobbl2n</v>
      </c>
      <c r="J2170" t="str">
        <f t="shared" si="177"/>
        <v>pbobbl2nserial</v>
      </c>
      <c r="K2170" t="s">
        <v>1373</v>
      </c>
      <c r="L2170" t="str">
        <f t="shared" si="180"/>
        <v>NGM-2480</v>
      </c>
      <c r="M2170" t="str">
        <f t="shared" si="180"/>
        <v/>
      </c>
      <c r="N2170" t="str">
        <f t="shared" si="180"/>
        <v>パズルボブル 2</v>
      </c>
      <c r="O2170" t="str">
        <f t="shared" si="180"/>
        <v/>
      </c>
      <c r="P2170" t="str">
        <f t="shared" si="180"/>
        <v/>
      </c>
      <c r="Q2170" t="s">
        <v>2453</v>
      </c>
      <c r="S2170" t="s">
        <v>46</v>
      </c>
      <c r="T2170" t="str">
        <f t="shared" si="178"/>
        <v>pbobbl2nrelease</v>
      </c>
      <c r="U2170" t="s">
        <v>106</v>
      </c>
      <c r="V2170" t="str">
        <f t="shared" si="179"/>
        <v>MVS</v>
      </c>
      <c r="W2170" t="str">
        <f t="shared" si="179"/>
        <v>MVS,AES</v>
      </c>
      <c r="Y2170" t="s">
        <v>45</v>
      </c>
      <c r="Z2170" t="s">
        <v>44</v>
      </c>
      <c r="AB2170" t="s">
        <v>43</v>
      </c>
      <c r="AC2170" t="s">
        <v>42</v>
      </c>
      <c r="AD2170" t="s">
        <v>41</v>
      </c>
      <c r="AE2170" t="s">
        <v>15</v>
      </c>
      <c r="AG2170" t="s">
        <v>40</v>
      </c>
      <c r="AH2170" t="s">
        <v>2452</v>
      </c>
      <c r="AI2170" t="s">
        <v>9</v>
      </c>
      <c r="AJ2170" t="s">
        <v>15</v>
      </c>
      <c r="AK2170" t="s">
        <v>2451</v>
      </c>
      <c r="AL2170" t="s">
        <v>2450</v>
      </c>
    </row>
    <row r="2171" spans="5:38" x14ac:dyDescent="0.25">
      <c r="I2171" t="str">
        <f t="shared" si="176"/>
        <v>pbobbl2n</v>
      </c>
      <c r="J2171" t="str">
        <f t="shared" si="177"/>
        <v>pbobbl2nalt_title</v>
      </c>
      <c r="K2171" t="s">
        <v>1218</v>
      </c>
      <c r="L2171" t="str">
        <f t="shared" si="180"/>
        <v>NGM-2480</v>
      </c>
      <c r="M2171" t="str">
        <f t="shared" si="180"/>
        <v/>
      </c>
      <c r="N2171" t="str">
        <f t="shared" si="180"/>
        <v>パズルボブル 2</v>
      </c>
      <c r="O2171" t="str">
        <f t="shared" si="180"/>
        <v/>
      </c>
      <c r="P2171" t="str">
        <f t="shared" si="180"/>
        <v/>
      </c>
      <c r="Q2171" t="s">
        <v>2449</v>
      </c>
      <c r="T2171" t="str">
        <f t="shared" si="178"/>
        <v/>
      </c>
      <c r="V2171" t="str">
        <f t="shared" si="179"/>
        <v>MVS</v>
      </c>
      <c r="W2171" t="str">
        <f t="shared" si="179"/>
        <v>MVS,AES</v>
      </c>
      <c r="AB2171" t="s">
        <v>34</v>
      </c>
      <c r="AE2171" t="s">
        <v>33</v>
      </c>
      <c r="AH2171" t="s">
        <v>2448</v>
      </c>
      <c r="AI2171" t="s">
        <v>9</v>
      </c>
      <c r="AJ2171" t="s">
        <v>27</v>
      </c>
      <c r="AK2171" t="s">
        <v>31</v>
      </c>
      <c r="AL2171" t="s">
        <v>30</v>
      </c>
    </row>
    <row r="2172" spans="5:38" x14ac:dyDescent="0.25">
      <c r="I2172" t="str">
        <f t="shared" si="176"/>
        <v>pbobbl2n</v>
      </c>
      <c r="J2172" t="str">
        <f t="shared" si="177"/>
        <v/>
      </c>
      <c r="L2172" t="str">
        <f t="shared" si="180"/>
        <v>NGM-2480</v>
      </c>
      <c r="M2172" t="str">
        <f t="shared" si="180"/>
        <v/>
      </c>
      <c r="N2172" t="str">
        <f t="shared" si="180"/>
        <v>パズルボブル 2</v>
      </c>
      <c r="O2172" t="str">
        <f t="shared" si="180"/>
        <v/>
      </c>
      <c r="P2172" t="str">
        <f t="shared" si="180"/>
        <v/>
      </c>
      <c r="S2172" t="s">
        <v>36</v>
      </c>
      <c r="T2172" t="str">
        <f t="shared" si="178"/>
        <v>pbobbl2ncompatibility</v>
      </c>
      <c r="U2172" t="s">
        <v>218</v>
      </c>
      <c r="V2172" t="str">
        <f t="shared" si="179"/>
        <v>MVS</v>
      </c>
      <c r="W2172" t="str">
        <f t="shared" si="179"/>
        <v>MVS,AES</v>
      </c>
      <c r="AB2172" t="s">
        <v>29</v>
      </c>
      <c r="AE2172" t="s">
        <v>27</v>
      </c>
      <c r="AH2172" t="s">
        <v>2447</v>
      </c>
      <c r="AI2172" t="s">
        <v>9</v>
      </c>
      <c r="AJ2172" t="s">
        <v>27</v>
      </c>
      <c r="AK2172" t="s">
        <v>2446</v>
      </c>
      <c r="AL2172" t="s">
        <v>2445</v>
      </c>
    </row>
    <row r="2173" spans="5:38" x14ac:dyDescent="0.25">
      <c r="I2173" t="str">
        <f t="shared" si="176"/>
        <v>pbobbl2n</v>
      </c>
      <c r="J2173" t="str">
        <f t="shared" si="177"/>
        <v/>
      </c>
      <c r="L2173" t="str">
        <f t="shared" si="180"/>
        <v>NGM-2480</v>
      </c>
      <c r="M2173" t="str">
        <f t="shared" si="180"/>
        <v/>
      </c>
      <c r="N2173" t="str">
        <f t="shared" si="180"/>
        <v>パズルボブル 2</v>
      </c>
      <c r="O2173" t="str">
        <f t="shared" si="180"/>
        <v/>
      </c>
      <c r="P2173" t="str">
        <f t="shared" si="180"/>
        <v/>
      </c>
      <c r="T2173" t="str">
        <f t="shared" si="178"/>
        <v/>
      </c>
      <c r="V2173" t="str">
        <f t="shared" si="179"/>
        <v>MVS</v>
      </c>
      <c r="W2173" t="str">
        <f t="shared" si="179"/>
        <v>MVS,AES</v>
      </c>
      <c r="AB2173" t="s">
        <v>24</v>
      </c>
      <c r="AE2173" t="s">
        <v>57</v>
      </c>
      <c r="AH2173" t="s">
        <v>2444</v>
      </c>
      <c r="AI2173" t="s">
        <v>9</v>
      </c>
      <c r="AJ2173" t="s">
        <v>11</v>
      </c>
      <c r="AK2173" t="s">
        <v>2443</v>
      </c>
      <c r="AL2173" t="s">
        <v>2442</v>
      </c>
    </row>
    <row r="2174" spans="5:38" x14ac:dyDescent="0.25">
      <c r="I2174" t="str">
        <f t="shared" si="176"/>
        <v>pbobbl2n</v>
      </c>
      <c r="J2174" t="str">
        <f t="shared" si="177"/>
        <v/>
      </c>
      <c r="L2174" t="str">
        <f t="shared" si="180"/>
        <v>NGM-2480</v>
      </c>
      <c r="M2174" t="str">
        <f t="shared" si="180"/>
        <v/>
      </c>
      <c r="N2174" t="str">
        <f t="shared" si="180"/>
        <v>パズルボブル 2</v>
      </c>
      <c r="O2174" t="str">
        <f t="shared" si="180"/>
        <v/>
      </c>
      <c r="P2174" t="str">
        <f t="shared" si="180"/>
        <v/>
      </c>
      <c r="T2174" t="str">
        <f t="shared" si="178"/>
        <v/>
      </c>
      <c r="V2174" t="str">
        <f t="shared" si="179"/>
        <v>MVS</v>
      </c>
      <c r="W2174" t="str">
        <f t="shared" si="179"/>
        <v>MVS,AES</v>
      </c>
      <c r="AH2174" t="s">
        <v>2441</v>
      </c>
      <c r="AI2174" t="s">
        <v>11</v>
      </c>
      <c r="AJ2174" t="s">
        <v>11</v>
      </c>
      <c r="AK2174" t="s">
        <v>2440</v>
      </c>
      <c r="AL2174" t="s">
        <v>2439</v>
      </c>
    </row>
    <row r="2175" spans="5:38" x14ac:dyDescent="0.25">
      <c r="I2175" t="str">
        <f t="shared" si="176"/>
        <v>pbobbl2n</v>
      </c>
      <c r="J2175" t="str">
        <f t="shared" si="177"/>
        <v/>
      </c>
      <c r="L2175" t="str">
        <f t="shared" si="180"/>
        <v>NGM-2480</v>
      </c>
      <c r="M2175" t="str">
        <f t="shared" si="180"/>
        <v/>
      </c>
      <c r="N2175" t="str">
        <f t="shared" si="180"/>
        <v>パズルボブル 2</v>
      </c>
      <c r="O2175" t="str">
        <f t="shared" si="180"/>
        <v/>
      </c>
      <c r="P2175" t="str">
        <f t="shared" si="180"/>
        <v/>
      </c>
      <c r="T2175" t="str">
        <f t="shared" si="178"/>
        <v/>
      </c>
      <c r="V2175" t="str">
        <f t="shared" si="179"/>
        <v>MVS</v>
      </c>
      <c r="W2175" t="str">
        <f t="shared" si="179"/>
        <v>MVS,AES</v>
      </c>
      <c r="AB2175" t="s">
        <v>12</v>
      </c>
      <c r="AE2175" t="s">
        <v>1083</v>
      </c>
      <c r="AG2175" t="s">
        <v>6</v>
      </c>
      <c r="AH2175" t="s">
        <v>2438</v>
      </c>
      <c r="AI2175" t="s">
        <v>9</v>
      </c>
      <c r="AJ2175" t="s">
        <v>11</v>
      </c>
      <c r="AK2175" t="s">
        <v>2437</v>
      </c>
      <c r="AL2175" t="s">
        <v>2436</v>
      </c>
    </row>
    <row r="2176" spans="5:38" x14ac:dyDescent="0.25">
      <c r="I2176" t="str">
        <f t="shared" si="176"/>
        <v>pbobbl2n</v>
      </c>
      <c r="J2176" t="str">
        <f t="shared" si="177"/>
        <v/>
      </c>
      <c r="L2176" t="str">
        <f t="shared" si="180"/>
        <v>NGM-2480</v>
      </c>
      <c r="M2176" t="str">
        <f t="shared" si="180"/>
        <v/>
      </c>
      <c r="N2176" t="str">
        <f t="shared" si="180"/>
        <v>パズルボブル 2</v>
      </c>
      <c r="O2176" t="str">
        <f t="shared" si="180"/>
        <v/>
      </c>
      <c r="P2176" t="str">
        <f t="shared" si="180"/>
        <v/>
      </c>
      <c r="T2176" t="str">
        <f t="shared" si="178"/>
        <v/>
      </c>
      <c r="V2176" t="str">
        <f t="shared" si="179"/>
        <v>MVS</v>
      </c>
      <c r="W2176" t="str">
        <f t="shared" si="179"/>
        <v>MVS,AES</v>
      </c>
      <c r="AG2176" t="s">
        <v>6</v>
      </c>
      <c r="AH2176" t="s">
        <v>2435</v>
      </c>
      <c r="AI2176" t="s">
        <v>4</v>
      </c>
      <c r="AJ2176" t="s">
        <v>11</v>
      </c>
      <c r="AK2176" t="s">
        <v>2434</v>
      </c>
      <c r="AL2176" t="s">
        <v>2433</v>
      </c>
    </row>
    <row r="2177" spans="5:38" x14ac:dyDescent="0.25">
      <c r="I2177" t="str">
        <f t="shared" si="176"/>
        <v>pbobbl2n</v>
      </c>
      <c r="J2177" t="str">
        <f t="shared" si="177"/>
        <v/>
      </c>
      <c r="L2177" t="str">
        <f t="shared" si="180"/>
        <v>NGM-2480</v>
      </c>
      <c r="M2177" t="str">
        <f t="shared" si="180"/>
        <v/>
      </c>
      <c r="N2177" t="str">
        <f t="shared" si="180"/>
        <v>パズルボブル 2</v>
      </c>
      <c r="O2177" t="str">
        <f t="shared" si="180"/>
        <v/>
      </c>
      <c r="P2177" t="str">
        <f t="shared" si="180"/>
        <v/>
      </c>
      <c r="T2177" t="str">
        <f t="shared" si="178"/>
        <v/>
      </c>
      <c r="V2177" t="str">
        <f t="shared" si="179"/>
        <v>MVS</v>
      </c>
      <c r="W2177" t="str">
        <f t="shared" si="179"/>
        <v>MVS,AES</v>
      </c>
      <c r="AG2177" t="s">
        <v>6</v>
      </c>
      <c r="AH2177" t="s">
        <v>2432</v>
      </c>
      <c r="AI2177" t="s">
        <v>57</v>
      </c>
      <c r="AJ2177" t="s">
        <v>15</v>
      </c>
      <c r="AK2177" t="s">
        <v>2431</v>
      </c>
      <c r="AL2177" t="s">
        <v>2430</v>
      </c>
    </row>
    <row r="2178" spans="5:38" x14ac:dyDescent="0.25">
      <c r="I2178" t="str">
        <f t="shared" si="176"/>
        <v>pbobbl2n</v>
      </c>
      <c r="J2178" t="str">
        <f t="shared" si="177"/>
        <v/>
      </c>
      <c r="L2178" t="str">
        <f t="shared" si="180"/>
        <v>NGM-2480</v>
      </c>
      <c r="M2178" t="str">
        <f t="shared" si="180"/>
        <v/>
      </c>
      <c r="N2178" t="str">
        <f t="shared" si="180"/>
        <v>パズルボブル 2</v>
      </c>
      <c r="O2178" t="str">
        <f t="shared" si="180"/>
        <v/>
      </c>
      <c r="P2178" t="str">
        <f t="shared" si="180"/>
        <v/>
      </c>
      <c r="T2178" t="str">
        <f t="shared" si="178"/>
        <v/>
      </c>
      <c r="V2178" t="str">
        <f t="shared" si="179"/>
        <v>MVS</v>
      </c>
      <c r="W2178" t="str">
        <f t="shared" si="179"/>
        <v>MVS,AES</v>
      </c>
      <c r="AG2178" t="s">
        <v>6</v>
      </c>
      <c r="AH2178" t="s">
        <v>2429</v>
      </c>
      <c r="AI2178" t="s">
        <v>53</v>
      </c>
      <c r="AJ2178" t="s">
        <v>15</v>
      </c>
      <c r="AK2178" t="s">
        <v>2428</v>
      </c>
      <c r="AL2178" t="s">
        <v>2427</v>
      </c>
    </row>
    <row r="2179" spans="5:38" x14ac:dyDescent="0.25">
      <c r="E2179" t="s">
        <v>2426</v>
      </c>
      <c r="F2179" t="s">
        <v>2425</v>
      </c>
      <c r="G2179" t="s">
        <v>959</v>
      </c>
      <c r="H2179" t="s">
        <v>1859</v>
      </c>
      <c r="I2179" t="str">
        <f t="shared" ref="I2179:I2242" si="181">IF(E2179="",I2178,E2179)</f>
        <v>b2b</v>
      </c>
      <c r="J2179" t="str">
        <f t="shared" ref="J2179:J2242" si="182">IF(K2179="","",I2179&amp;K2179)</f>
        <v>b2balt_title</v>
      </c>
      <c r="K2179" t="s">
        <v>1218</v>
      </c>
      <c r="L2179" t="str">
        <f t="shared" si="180"/>
        <v/>
      </c>
      <c r="M2179" t="str">
        <f t="shared" si="180"/>
        <v/>
      </c>
      <c r="N2179" t="str">
        <f t="shared" si="180"/>
        <v>バンバン バスターズ</v>
      </c>
      <c r="O2179" t="str">
        <f t="shared" si="180"/>
        <v/>
      </c>
      <c r="P2179" t="str">
        <f t="shared" si="180"/>
        <v/>
      </c>
      <c r="Q2179" t="s">
        <v>2424</v>
      </c>
      <c r="S2179" t="s">
        <v>46</v>
      </c>
      <c r="T2179" t="str">
        <f t="shared" ref="T2179:T2242" si="183">IF(S2179="","",I2179&amp;S2179)</f>
        <v>b2brelease</v>
      </c>
      <c r="U2179" t="s">
        <v>218</v>
      </c>
      <c r="V2179" t="str">
        <f t="shared" si="179"/>
        <v>MVS,AES</v>
      </c>
      <c r="W2179" t="str">
        <f t="shared" si="179"/>
        <v>MVS,AES</v>
      </c>
      <c r="Y2179" t="s">
        <v>45</v>
      </c>
      <c r="Z2179" t="s">
        <v>44</v>
      </c>
      <c r="AB2179" t="s">
        <v>43</v>
      </c>
      <c r="AC2179" t="s">
        <v>42</v>
      </c>
      <c r="AD2179" t="s">
        <v>41</v>
      </c>
      <c r="AE2179" t="s">
        <v>15</v>
      </c>
      <c r="AG2179" t="s">
        <v>40</v>
      </c>
      <c r="AH2179" t="s">
        <v>2423</v>
      </c>
      <c r="AI2179" t="s">
        <v>9</v>
      </c>
      <c r="AJ2179" t="s">
        <v>92</v>
      </c>
      <c r="AK2179" t="s">
        <v>2422</v>
      </c>
      <c r="AL2179" t="s">
        <v>2421</v>
      </c>
    </row>
    <row r="2180" spans="5:38" x14ac:dyDescent="0.25">
      <c r="I2180" t="str">
        <f t="shared" si="181"/>
        <v>b2b</v>
      </c>
      <c r="J2180" t="str">
        <f t="shared" si="182"/>
        <v/>
      </c>
      <c r="L2180" t="str">
        <f t="shared" si="180"/>
        <v/>
      </c>
      <c r="M2180" t="str">
        <f t="shared" si="180"/>
        <v/>
      </c>
      <c r="N2180" t="str">
        <f t="shared" si="180"/>
        <v>バンバン バスターズ</v>
      </c>
      <c r="O2180" t="str">
        <f t="shared" si="180"/>
        <v/>
      </c>
      <c r="P2180" t="str">
        <f t="shared" si="180"/>
        <v/>
      </c>
      <c r="S2180" t="s">
        <v>36</v>
      </c>
      <c r="T2180" t="str">
        <f t="shared" si="183"/>
        <v>b2bcompatibility</v>
      </c>
      <c r="U2180" t="s">
        <v>218</v>
      </c>
      <c r="V2180" t="str">
        <f t="shared" si="179"/>
        <v>MVS,AES</v>
      </c>
      <c r="W2180" t="str">
        <f t="shared" si="179"/>
        <v>MVS,AES</v>
      </c>
      <c r="AB2180" t="s">
        <v>34</v>
      </c>
      <c r="AE2180" t="s">
        <v>33</v>
      </c>
      <c r="AH2180" t="s">
        <v>2420</v>
      </c>
      <c r="AI2180" t="s">
        <v>9</v>
      </c>
      <c r="AJ2180" t="s">
        <v>27</v>
      </c>
      <c r="AK2180" t="s">
        <v>2419</v>
      </c>
      <c r="AL2180" t="s">
        <v>2418</v>
      </c>
    </row>
    <row r="2181" spans="5:38" x14ac:dyDescent="0.25">
      <c r="I2181" t="str">
        <f t="shared" si="181"/>
        <v>b2b</v>
      </c>
      <c r="J2181" t="str">
        <f t="shared" si="182"/>
        <v/>
      </c>
      <c r="L2181" t="str">
        <f t="shared" si="180"/>
        <v/>
      </c>
      <c r="M2181" t="str">
        <f t="shared" si="180"/>
        <v/>
      </c>
      <c r="N2181" t="str">
        <f t="shared" si="180"/>
        <v>バンバン バスターズ</v>
      </c>
      <c r="O2181" t="str">
        <f t="shared" si="180"/>
        <v/>
      </c>
      <c r="P2181" t="str">
        <f t="shared" si="180"/>
        <v/>
      </c>
      <c r="T2181" t="str">
        <f t="shared" si="183"/>
        <v/>
      </c>
      <c r="V2181" t="str">
        <f t="shared" si="179"/>
        <v>MVS,AES</v>
      </c>
      <c r="W2181" t="str">
        <f t="shared" si="179"/>
        <v>MVS,AES</v>
      </c>
      <c r="AB2181" t="s">
        <v>29</v>
      </c>
      <c r="AE2181" t="s">
        <v>27</v>
      </c>
      <c r="AH2181" t="s">
        <v>2417</v>
      </c>
      <c r="AI2181" t="s">
        <v>9</v>
      </c>
      <c r="AJ2181" t="s">
        <v>27</v>
      </c>
      <c r="AK2181" t="s">
        <v>2416</v>
      </c>
      <c r="AL2181" t="s">
        <v>2415</v>
      </c>
    </row>
    <row r="2182" spans="5:38" x14ac:dyDescent="0.25">
      <c r="I2182" t="str">
        <f t="shared" si="181"/>
        <v>b2b</v>
      </c>
      <c r="J2182" t="str">
        <f t="shared" si="182"/>
        <v/>
      </c>
      <c r="L2182" t="str">
        <f t="shared" si="180"/>
        <v/>
      </c>
      <c r="M2182" t="str">
        <f t="shared" si="180"/>
        <v/>
      </c>
      <c r="N2182" t="str">
        <f t="shared" si="180"/>
        <v>バンバン バスターズ</v>
      </c>
      <c r="O2182" t="str">
        <f t="shared" si="180"/>
        <v/>
      </c>
      <c r="P2182" t="str">
        <f t="shared" si="180"/>
        <v/>
      </c>
      <c r="T2182" t="str">
        <f t="shared" si="183"/>
        <v/>
      </c>
      <c r="V2182" t="str">
        <f t="shared" si="179"/>
        <v>MVS,AES</v>
      </c>
      <c r="W2182" t="str">
        <f t="shared" si="179"/>
        <v>MVS,AES</v>
      </c>
      <c r="AB2182" t="s">
        <v>24</v>
      </c>
      <c r="AE2182" t="s">
        <v>3</v>
      </c>
      <c r="AH2182" t="s">
        <v>2414</v>
      </c>
      <c r="AI2182" t="s">
        <v>9</v>
      </c>
      <c r="AJ2182" t="s">
        <v>15</v>
      </c>
      <c r="AK2182" t="s">
        <v>2413</v>
      </c>
      <c r="AL2182" t="s">
        <v>2412</v>
      </c>
    </row>
    <row r="2183" spans="5:38" x14ac:dyDescent="0.25">
      <c r="I2183" t="str">
        <f t="shared" si="181"/>
        <v>b2b</v>
      </c>
      <c r="J2183" t="str">
        <f t="shared" si="182"/>
        <v/>
      </c>
      <c r="L2183" t="str">
        <f t="shared" si="180"/>
        <v/>
      </c>
      <c r="M2183" t="str">
        <f t="shared" si="180"/>
        <v/>
      </c>
      <c r="N2183" t="str">
        <f t="shared" si="180"/>
        <v>バンバン バスターズ</v>
      </c>
      <c r="O2183" t="str">
        <f t="shared" si="180"/>
        <v/>
      </c>
      <c r="P2183" t="str">
        <f t="shared" si="180"/>
        <v/>
      </c>
      <c r="T2183" t="str">
        <f t="shared" si="183"/>
        <v/>
      </c>
      <c r="V2183" t="str">
        <f t="shared" si="179"/>
        <v>MVS,AES</v>
      </c>
      <c r="W2183" t="str">
        <f t="shared" si="179"/>
        <v>MVS,AES</v>
      </c>
      <c r="AB2183" t="s">
        <v>12</v>
      </c>
      <c r="AE2183" t="s">
        <v>11</v>
      </c>
      <c r="AG2183" t="s">
        <v>6</v>
      </c>
      <c r="AH2183" t="s">
        <v>2411</v>
      </c>
      <c r="AI2183" t="s">
        <v>9</v>
      </c>
      <c r="AJ2183" t="s">
        <v>3</v>
      </c>
      <c r="AK2183" t="s">
        <v>2410</v>
      </c>
      <c r="AL2183" t="s">
        <v>2409</v>
      </c>
    </row>
    <row r="2184" spans="5:38" x14ac:dyDescent="0.25">
      <c r="I2184" t="str">
        <f t="shared" si="181"/>
        <v>b2b</v>
      </c>
      <c r="J2184" t="str">
        <f t="shared" si="182"/>
        <v/>
      </c>
      <c r="L2184" t="str">
        <f t="shared" si="180"/>
        <v/>
      </c>
      <c r="M2184" t="str">
        <f t="shared" si="180"/>
        <v/>
      </c>
      <c r="N2184" t="str">
        <f t="shared" si="180"/>
        <v>バンバン バスターズ</v>
      </c>
      <c r="O2184" t="str">
        <f t="shared" si="180"/>
        <v/>
      </c>
      <c r="P2184" t="str">
        <f t="shared" si="180"/>
        <v/>
      </c>
      <c r="T2184" t="str">
        <f t="shared" si="183"/>
        <v/>
      </c>
      <c r="V2184" t="str">
        <f t="shared" si="179"/>
        <v>MVS,AES</v>
      </c>
      <c r="W2184" t="str">
        <f t="shared" si="179"/>
        <v>MVS,AES</v>
      </c>
      <c r="AG2184" t="s">
        <v>6</v>
      </c>
      <c r="AH2184" t="s">
        <v>2408</v>
      </c>
      <c r="AI2184" t="s">
        <v>4</v>
      </c>
      <c r="AJ2184" t="s">
        <v>3</v>
      </c>
      <c r="AK2184" t="s">
        <v>2407</v>
      </c>
      <c r="AL2184" t="s">
        <v>2406</v>
      </c>
    </row>
    <row r="2185" spans="5:38" x14ac:dyDescent="0.25">
      <c r="E2185" t="s">
        <v>2405</v>
      </c>
      <c r="F2185" t="s">
        <v>2404</v>
      </c>
      <c r="G2185" t="s">
        <v>1053</v>
      </c>
      <c r="H2185" t="s">
        <v>1859</v>
      </c>
      <c r="I2185" t="str">
        <f t="shared" si="181"/>
        <v>ctomaday</v>
      </c>
      <c r="J2185" t="str">
        <f t="shared" si="182"/>
        <v>ctomadayserial</v>
      </c>
      <c r="K2185" t="s">
        <v>1373</v>
      </c>
      <c r="L2185" t="str">
        <f t="shared" si="180"/>
        <v>NGM-2490</v>
      </c>
      <c r="M2185" t="str">
        <f t="shared" si="180"/>
        <v>19990527</v>
      </c>
      <c r="N2185" t="str">
        <f t="shared" si="180"/>
        <v>キャプテン・トマディ</v>
      </c>
      <c r="O2185" t="str">
        <f t="shared" si="180"/>
        <v/>
      </c>
      <c r="P2185" t="str">
        <f t="shared" si="180"/>
        <v/>
      </c>
      <c r="Q2185" t="s">
        <v>2403</v>
      </c>
      <c r="S2185" t="s">
        <v>46</v>
      </c>
      <c r="T2185" t="str">
        <f t="shared" si="183"/>
        <v>ctomadayrelease</v>
      </c>
      <c r="U2185" t="s">
        <v>106</v>
      </c>
      <c r="V2185" t="str">
        <f t="shared" si="179"/>
        <v>MVS</v>
      </c>
      <c r="W2185" t="str">
        <f t="shared" si="179"/>
        <v>MVS,AES</v>
      </c>
      <c r="Y2185" t="s">
        <v>45</v>
      </c>
      <c r="Z2185" t="s">
        <v>44</v>
      </c>
      <c r="AB2185" t="s">
        <v>43</v>
      </c>
      <c r="AC2185" t="s">
        <v>42</v>
      </c>
      <c r="AD2185" t="s">
        <v>41</v>
      </c>
      <c r="AE2185" t="s">
        <v>3</v>
      </c>
      <c r="AG2185" t="s">
        <v>40</v>
      </c>
      <c r="AH2185" t="s">
        <v>2402</v>
      </c>
      <c r="AI2185" t="s">
        <v>15</v>
      </c>
      <c r="AJ2185" t="s">
        <v>15</v>
      </c>
      <c r="AK2185" t="s">
        <v>2401</v>
      </c>
      <c r="AL2185" t="s">
        <v>2400</v>
      </c>
    </row>
    <row r="2186" spans="5:38" x14ac:dyDescent="0.25">
      <c r="I2186" t="str">
        <f t="shared" si="181"/>
        <v>ctomaday</v>
      </c>
      <c r="J2186" t="str">
        <f t="shared" si="182"/>
        <v>ctomadayrelease</v>
      </c>
      <c r="K2186" t="s">
        <v>46</v>
      </c>
      <c r="L2186" t="str">
        <f t="shared" si="180"/>
        <v>NGM-2490</v>
      </c>
      <c r="M2186" t="str">
        <f t="shared" si="180"/>
        <v>19990527</v>
      </c>
      <c r="N2186" t="str">
        <f t="shared" si="180"/>
        <v>キャプテン・トマディ</v>
      </c>
      <c r="O2186" t="str">
        <f t="shared" si="180"/>
        <v/>
      </c>
      <c r="P2186" t="str">
        <f t="shared" si="180"/>
        <v/>
      </c>
      <c r="Q2186" t="s">
        <v>2399</v>
      </c>
      <c r="T2186" t="str">
        <f t="shared" si="183"/>
        <v/>
      </c>
      <c r="V2186" t="str">
        <f t="shared" si="179"/>
        <v>MVS</v>
      </c>
      <c r="W2186" t="str">
        <f t="shared" si="179"/>
        <v>MVS,AES</v>
      </c>
      <c r="AG2186" t="s">
        <v>224</v>
      </c>
      <c r="AI2186" t="s">
        <v>9</v>
      </c>
      <c r="AJ2186" t="s">
        <v>15</v>
      </c>
    </row>
    <row r="2187" spans="5:38" x14ac:dyDescent="0.25">
      <c r="I2187" t="str">
        <f t="shared" si="181"/>
        <v>ctomaday</v>
      </c>
      <c r="J2187" t="str">
        <f t="shared" si="182"/>
        <v>ctomadayalt_title</v>
      </c>
      <c r="K2187" t="s">
        <v>1218</v>
      </c>
      <c r="L2187" t="str">
        <f t="shared" si="180"/>
        <v>NGM-2490</v>
      </c>
      <c r="M2187" t="str">
        <f t="shared" si="180"/>
        <v>19990527</v>
      </c>
      <c r="N2187" t="str">
        <f t="shared" si="180"/>
        <v>キャプテン・トマディ</v>
      </c>
      <c r="O2187" t="str">
        <f t="shared" si="180"/>
        <v/>
      </c>
      <c r="P2187" t="str">
        <f t="shared" si="180"/>
        <v/>
      </c>
      <c r="Q2187" t="s">
        <v>2398</v>
      </c>
      <c r="T2187" t="str">
        <f t="shared" si="183"/>
        <v/>
      </c>
      <c r="V2187" t="str">
        <f t="shared" si="179"/>
        <v>MVS</v>
      </c>
      <c r="W2187" t="str">
        <f t="shared" si="179"/>
        <v>MVS,AES</v>
      </c>
      <c r="AB2187" t="s">
        <v>34</v>
      </c>
      <c r="AE2187" t="s">
        <v>33</v>
      </c>
      <c r="AH2187" t="s">
        <v>2397</v>
      </c>
      <c r="AI2187" t="s">
        <v>9</v>
      </c>
      <c r="AJ2187" t="s">
        <v>27</v>
      </c>
      <c r="AK2187" t="s">
        <v>2396</v>
      </c>
      <c r="AL2187" t="s">
        <v>2395</v>
      </c>
    </row>
    <row r="2188" spans="5:38" x14ac:dyDescent="0.25">
      <c r="I2188" t="str">
        <f t="shared" si="181"/>
        <v>ctomaday</v>
      </c>
      <c r="J2188" t="str">
        <f t="shared" si="182"/>
        <v/>
      </c>
      <c r="L2188" t="str">
        <f t="shared" si="180"/>
        <v>NGM-2490</v>
      </c>
      <c r="M2188" t="str">
        <f t="shared" si="180"/>
        <v>19990527</v>
      </c>
      <c r="N2188" t="str">
        <f t="shared" si="180"/>
        <v>キャプテン・トマディ</v>
      </c>
      <c r="O2188" t="str">
        <f t="shared" si="180"/>
        <v/>
      </c>
      <c r="P2188" t="str">
        <f t="shared" si="180"/>
        <v/>
      </c>
      <c r="S2188" t="s">
        <v>36</v>
      </c>
      <c r="T2188" t="str">
        <f t="shared" si="183"/>
        <v>ctomadaycompatibility</v>
      </c>
      <c r="U2188" t="s">
        <v>218</v>
      </c>
      <c r="V2188" t="str">
        <f t="shared" si="179"/>
        <v>MVS</v>
      </c>
      <c r="W2188" t="str">
        <f t="shared" si="179"/>
        <v>MVS,AES</v>
      </c>
      <c r="AB2188" t="s">
        <v>29</v>
      </c>
      <c r="AE2188" t="s">
        <v>27</v>
      </c>
      <c r="AH2188" t="s">
        <v>2394</v>
      </c>
      <c r="AI2188" t="s">
        <v>9</v>
      </c>
      <c r="AJ2188" t="s">
        <v>27</v>
      </c>
      <c r="AK2188" t="s">
        <v>2393</v>
      </c>
      <c r="AL2188" t="s">
        <v>2392</v>
      </c>
    </row>
    <row r="2189" spans="5:38" x14ac:dyDescent="0.25">
      <c r="I2189" t="str">
        <f t="shared" si="181"/>
        <v>ctomaday</v>
      </c>
      <c r="J2189" t="str">
        <f t="shared" si="182"/>
        <v/>
      </c>
      <c r="L2189" t="str">
        <f t="shared" si="180"/>
        <v>NGM-2490</v>
      </c>
      <c r="M2189" t="str">
        <f t="shared" si="180"/>
        <v>19990527</v>
      </c>
      <c r="N2189" t="str">
        <f t="shared" si="180"/>
        <v>キャプテン・トマディ</v>
      </c>
      <c r="O2189" t="str">
        <f t="shared" si="180"/>
        <v/>
      </c>
      <c r="P2189" t="str">
        <f t="shared" si="180"/>
        <v/>
      </c>
      <c r="T2189" t="str">
        <f t="shared" si="183"/>
        <v/>
      </c>
      <c r="V2189" t="str">
        <f t="shared" si="179"/>
        <v>MVS</v>
      </c>
      <c r="W2189" t="str">
        <f t="shared" si="179"/>
        <v>MVS,AES</v>
      </c>
      <c r="AB2189" t="s">
        <v>24</v>
      </c>
      <c r="AE2189" t="s">
        <v>23</v>
      </c>
      <c r="AH2189" t="s">
        <v>2391</v>
      </c>
      <c r="AI2189" t="s">
        <v>9</v>
      </c>
      <c r="AJ2189" t="s">
        <v>11</v>
      </c>
      <c r="AK2189" t="s">
        <v>2390</v>
      </c>
      <c r="AL2189" t="s">
        <v>2389</v>
      </c>
    </row>
    <row r="2190" spans="5:38" x14ac:dyDescent="0.25">
      <c r="I2190" t="str">
        <f t="shared" si="181"/>
        <v>ctomaday</v>
      </c>
      <c r="J2190" t="str">
        <f t="shared" si="182"/>
        <v/>
      </c>
      <c r="L2190" t="str">
        <f t="shared" si="180"/>
        <v>NGM-2490</v>
      </c>
      <c r="M2190" t="str">
        <f t="shared" si="180"/>
        <v>19990527</v>
      </c>
      <c r="N2190" t="str">
        <f t="shared" si="180"/>
        <v>キャプテン・トマディ</v>
      </c>
      <c r="O2190" t="str">
        <f t="shared" si="180"/>
        <v/>
      </c>
      <c r="P2190" t="str">
        <f t="shared" si="180"/>
        <v/>
      </c>
      <c r="T2190" t="str">
        <f t="shared" si="183"/>
        <v/>
      </c>
      <c r="V2190" t="str">
        <f t="shared" si="179"/>
        <v>MVS</v>
      </c>
      <c r="W2190" t="str">
        <f t="shared" si="179"/>
        <v>MVS,AES</v>
      </c>
      <c r="AH2190" t="s">
        <v>2388</v>
      </c>
      <c r="AI2190" t="s">
        <v>11</v>
      </c>
      <c r="AJ2190" t="s">
        <v>15</v>
      </c>
      <c r="AK2190" t="s">
        <v>2387</v>
      </c>
      <c r="AL2190" t="s">
        <v>2386</v>
      </c>
    </row>
    <row r="2191" spans="5:38" x14ac:dyDescent="0.25">
      <c r="I2191" t="str">
        <f t="shared" si="181"/>
        <v>ctomaday</v>
      </c>
      <c r="J2191" t="str">
        <f t="shared" si="182"/>
        <v/>
      </c>
      <c r="L2191" t="str">
        <f t="shared" si="180"/>
        <v>NGM-2490</v>
      </c>
      <c r="M2191" t="str">
        <f t="shared" si="180"/>
        <v>19990527</v>
      </c>
      <c r="N2191" t="str">
        <f t="shared" si="180"/>
        <v>キャプテン・トマディ</v>
      </c>
      <c r="O2191" t="str">
        <f t="shared" si="180"/>
        <v/>
      </c>
      <c r="P2191" t="str">
        <f t="shared" si="180"/>
        <v/>
      </c>
      <c r="T2191" t="str">
        <f t="shared" si="183"/>
        <v/>
      </c>
      <c r="V2191" t="str">
        <f t="shared" si="179"/>
        <v>MVS</v>
      </c>
      <c r="W2191" t="str">
        <f t="shared" si="179"/>
        <v>MVS,AES</v>
      </c>
      <c r="AB2191" t="s">
        <v>12</v>
      </c>
      <c r="AE2191" t="s">
        <v>57</v>
      </c>
      <c r="AG2191" t="s">
        <v>6</v>
      </c>
      <c r="AH2191" t="s">
        <v>2385</v>
      </c>
      <c r="AI2191" t="s">
        <v>9</v>
      </c>
      <c r="AJ2191" t="s">
        <v>11</v>
      </c>
      <c r="AK2191" t="s">
        <v>2384</v>
      </c>
      <c r="AL2191" t="s">
        <v>2383</v>
      </c>
    </row>
    <row r="2192" spans="5:38" x14ac:dyDescent="0.25">
      <c r="I2192" t="str">
        <f t="shared" si="181"/>
        <v>ctomaday</v>
      </c>
      <c r="J2192" t="str">
        <f t="shared" si="182"/>
        <v/>
      </c>
      <c r="L2192" t="str">
        <f t="shared" si="180"/>
        <v>NGM-2490</v>
      </c>
      <c r="M2192" t="str">
        <f t="shared" si="180"/>
        <v>19990527</v>
      </c>
      <c r="N2192" t="str">
        <f t="shared" si="180"/>
        <v>キャプテン・トマディ</v>
      </c>
      <c r="O2192" t="str">
        <f t="shared" si="180"/>
        <v/>
      </c>
      <c r="P2192" t="str">
        <f t="shared" si="180"/>
        <v/>
      </c>
      <c r="T2192" t="str">
        <f t="shared" si="183"/>
        <v/>
      </c>
      <c r="V2192" t="str">
        <f t="shared" si="179"/>
        <v>MVS</v>
      </c>
      <c r="W2192" t="str">
        <f t="shared" si="179"/>
        <v>MVS,AES</v>
      </c>
      <c r="AG2192" t="s">
        <v>6</v>
      </c>
      <c r="AH2192" t="s">
        <v>2382</v>
      </c>
      <c r="AI2192" t="s">
        <v>4</v>
      </c>
      <c r="AJ2192" t="s">
        <v>11</v>
      </c>
      <c r="AK2192" t="s">
        <v>2381</v>
      </c>
      <c r="AL2192" t="s">
        <v>2380</v>
      </c>
    </row>
    <row r="2193" spans="5:43" x14ac:dyDescent="0.25">
      <c r="E2193" t="s">
        <v>2379</v>
      </c>
      <c r="F2193" t="s">
        <v>2378</v>
      </c>
      <c r="G2193" t="s">
        <v>1053</v>
      </c>
      <c r="H2193" t="s">
        <v>1912</v>
      </c>
      <c r="I2193" t="str">
        <f t="shared" si="181"/>
        <v>mslugx</v>
      </c>
      <c r="J2193" t="str">
        <f t="shared" si="182"/>
        <v>mslugxserial</v>
      </c>
      <c r="K2193" t="s">
        <v>1373</v>
      </c>
      <c r="L2193" t="str">
        <f t="shared" si="180"/>
        <v>NGM-2500 (MVS), NGH-2500 (AES)</v>
      </c>
      <c r="M2193" t="str">
        <f t="shared" si="180"/>
        <v>19990319 (MVS), 19990527 (AES)</v>
      </c>
      <c r="N2193" t="str">
        <f t="shared" si="180"/>
        <v>メタルスラッグX</v>
      </c>
      <c r="O2193" t="str">
        <f t="shared" si="180"/>
        <v/>
      </c>
      <c r="P2193" t="str">
        <f t="shared" si="180"/>
        <v/>
      </c>
      <c r="Q2193" t="s">
        <v>2377</v>
      </c>
      <c r="S2193" t="s">
        <v>46</v>
      </c>
      <c r="T2193" t="str">
        <f t="shared" si="183"/>
        <v>mslugxrelease</v>
      </c>
      <c r="U2193" t="s">
        <v>218</v>
      </c>
      <c r="V2193" t="str">
        <f t="shared" si="179"/>
        <v>MVS,AES</v>
      </c>
      <c r="W2193" t="str">
        <f t="shared" si="179"/>
        <v>MVS,AES</v>
      </c>
      <c r="Y2193" t="s">
        <v>45</v>
      </c>
      <c r="Z2193" t="s">
        <v>44</v>
      </c>
      <c r="AB2193" t="s">
        <v>43</v>
      </c>
      <c r="AC2193" t="s">
        <v>42</v>
      </c>
      <c r="AD2193" t="s">
        <v>41</v>
      </c>
      <c r="AE2193" t="s">
        <v>23</v>
      </c>
      <c r="AG2193" t="s">
        <v>40</v>
      </c>
      <c r="AH2193" t="s">
        <v>2376</v>
      </c>
      <c r="AI2193" t="s">
        <v>9</v>
      </c>
      <c r="AJ2193" t="s">
        <v>15</v>
      </c>
      <c r="AK2193" t="s">
        <v>2375</v>
      </c>
      <c r="AL2193" t="s">
        <v>2374</v>
      </c>
      <c r="AP2193" t="s">
        <v>138</v>
      </c>
      <c r="AQ2193" t="s">
        <v>2373</v>
      </c>
    </row>
    <row r="2194" spans="5:43" x14ac:dyDescent="0.25">
      <c r="I2194" t="str">
        <f t="shared" si="181"/>
        <v>mslugx</v>
      </c>
      <c r="J2194" t="str">
        <f t="shared" si="182"/>
        <v>mslugxrelease</v>
      </c>
      <c r="K2194" t="s">
        <v>46</v>
      </c>
      <c r="L2194" t="str">
        <f t="shared" si="180"/>
        <v>NGM-2500 (MVS), NGH-2500 (AES)</v>
      </c>
      <c r="M2194" t="str">
        <f t="shared" si="180"/>
        <v>19990319 (MVS), 19990527 (AES)</v>
      </c>
      <c r="N2194" t="str">
        <f t="shared" si="180"/>
        <v>メタルスラッグX</v>
      </c>
      <c r="O2194" t="str">
        <f t="shared" si="180"/>
        <v/>
      </c>
      <c r="P2194" t="str">
        <f t="shared" si="180"/>
        <v/>
      </c>
      <c r="Q2194" t="s">
        <v>2372</v>
      </c>
      <c r="T2194" t="str">
        <f t="shared" si="183"/>
        <v/>
      </c>
      <c r="V2194" t="str">
        <f t="shared" si="179"/>
        <v>MVS,AES</v>
      </c>
      <c r="W2194" t="str">
        <f t="shared" si="179"/>
        <v>MVS,AES</v>
      </c>
      <c r="AG2194" t="s">
        <v>40</v>
      </c>
      <c r="AH2194" t="s">
        <v>2371</v>
      </c>
      <c r="AI2194" t="s">
        <v>15</v>
      </c>
      <c r="AJ2194" t="s">
        <v>11</v>
      </c>
      <c r="AK2194" t="s">
        <v>2370</v>
      </c>
      <c r="AL2194" t="s">
        <v>2369</v>
      </c>
    </row>
    <row r="2195" spans="5:43" x14ac:dyDescent="0.25">
      <c r="I2195" t="str">
        <f t="shared" si="181"/>
        <v>mslugx</v>
      </c>
      <c r="J2195" t="str">
        <f t="shared" si="182"/>
        <v>mslugxalt_title</v>
      </c>
      <c r="K2195" t="s">
        <v>1218</v>
      </c>
      <c r="L2195" t="str">
        <f t="shared" si="180"/>
        <v>NGM-2500 (MVS), NGH-2500 (AES)</v>
      </c>
      <c r="M2195" t="str">
        <f t="shared" si="180"/>
        <v>19990319 (MVS), 19990527 (AES)</v>
      </c>
      <c r="N2195" t="str">
        <f t="shared" si="180"/>
        <v>メタルスラッグX</v>
      </c>
      <c r="O2195" t="str">
        <f t="shared" si="180"/>
        <v/>
      </c>
      <c r="P2195" t="str">
        <f t="shared" si="180"/>
        <v/>
      </c>
      <c r="Q2195" t="s">
        <v>2368</v>
      </c>
      <c r="T2195" t="str">
        <f t="shared" si="183"/>
        <v/>
      </c>
      <c r="V2195" t="str">
        <f t="shared" si="179"/>
        <v>MVS,AES</v>
      </c>
      <c r="W2195" t="str">
        <f t="shared" si="179"/>
        <v>MVS,AES</v>
      </c>
      <c r="AB2195" t="s">
        <v>34</v>
      </c>
      <c r="AE2195" t="s">
        <v>33</v>
      </c>
      <c r="AH2195" t="s">
        <v>2367</v>
      </c>
      <c r="AI2195" t="s">
        <v>9</v>
      </c>
      <c r="AJ2195" t="s">
        <v>27</v>
      </c>
      <c r="AK2195" t="s">
        <v>2366</v>
      </c>
      <c r="AL2195" t="s">
        <v>2365</v>
      </c>
    </row>
    <row r="2196" spans="5:43" x14ac:dyDescent="0.25">
      <c r="I2196" t="str">
        <f t="shared" si="181"/>
        <v>mslugx</v>
      </c>
      <c r="J2196" t="str">
        <f t="shared" si="182"/>
        <v/>
      </c>
      <c r="L2196" t="str">
        <f t="shared" si="180"/>
        <v>NGM-2500 (MVS), NGH-2500 (AES)</v>
      </c>
      <c r="M2196" t="str">
        <f t="shared" si="180"/>
        <v>19990319 (MVS), 19990527 (AES)</v>
      </c>
      <c r="N2196" t="str">
        <f t="shared" si="180"/>
        <v>メタルスラッグX</v>
      </c>
      <c r="O2196" t="str">
        <f t="shared" si="180"/>
        <v/>
      </c>
      <c r="P2196" t="str">
        <f t="shared" si="180"/>
        <v/>
      </c>
      <c r="S2196" t="s">
        <v>36</v>
      </c>
      <c r="T2196" t="str">
        <f t="shared" si="183"/>
        <v>mslugxcompatibility</v>
      </c>
      <c r="U2196" t="s">
        <v>218</v>
      </c>
      <c r="V2196" t="str">
        <f t="shared" si="179"/>
        <v>MVS,AES</v>
      </c>
      <c r="W2196" t="str">
        <f t="shared" si="179"/>
        <v>MVS,AES</v>
      </c>
      <c r="AB2196" t="s">
        <v>29</v>
      </c>
      <c r="AE2196" t="s">
        <v>27</v>
      </c>
      <c r="AH2196" t="s">
        <v>2364</v>
      </c>
      <c r="AI2196" t="s">
        <v>9</v>
      </c>
      <c r="AJ2196" t="s">
        <v>27</v>
      </c>
      <c r="AK2196" t="s">
        <v>2363</v>
      </c>
      <c r="AL2196" t="s">
        <v>2362</v>
      </c>
    </row>
    <row r="2197" spans="5:43" x14ac:dyDescent="0.25">
      <c r="I2197" t="str">
        <f t="shared" si="181"/>
        <v>mslugx</v>
      </c>
      <c r="J2197" t="str">
        <f t="shared" si="182"/>
        <v/>
      </c>
      <c r="L2197" t="str">
        <f t="shared" si="180"/>
        <v>NGM-2500 (MVS), NGH-2500 (AES)</v>
      </c>
      <c r="M2197" t="str">
        <f t="shared" si="180"/>
        <v>19990319 (MVS), 19990527 (AES)</v>
      </c>
      <c r="N2197" t="str">
        <f t="shared" si="180"/>
        <v>メタルスラッグX</v>
      </c>
      <c r="O2197" t="str">
        <f t="shared" si="180"/>
        <v/>
      </c>
      <c r="P2197" t="str">
        <f t="shared" si="180"/>
        <v/>
      </c>
      <c r="T2197" t="str">
        <f t="shared" si="183"/>
        <v/>
      </c>
      <c r="V2197" t="str">
        <f t="shared" si="179"/>
        <v>MVS,AES</v>
      </c>
      <c r="W2197" t="str">
        <f t="shared" si="179"/>
        <v>MVS,AES</v>
      </c>
      <c r="AB2197" t="s">
        <v>24</v>
      </c>
      <c r="AE2197" t="s">
        <v>1083</v>
      </c>
      <c r="AH2197" t="s">
        <v>2361</v>
      </c>
      <c r="AI2197" t="s">
        <v>9</v>
      </c>
      <c r="AJ2197" t="s">
        <v>11</v>
      </c>
      <c r="AK2197" t="s">
        <v>2360</v>
      </c>
      <c r="AL2197" t="s">
        <v>2359</v>
      </c>
    </row>
    <row r="2198" spans="5:43" x14ac:dyDescent="0.25">
      <c r="I2198" t="str">
        <f t="shared" si="181"/>
        <v>mslugx</v>
      </c>
      <c r="J2198" t="str">
        <f t="shared" si="182"/>
        <v/>
      </c>
      <c r="L2198" t="str">
        <f t="shared" si="180"/>
        <v>NGM-2500 (MVS), NGH-2500 (AES)</v>
      </c>
      <c r="M2198" t="str">
        <f t="shared" si="180"/>
        <v>19990319 (MVS), 19990527 (AES)</v>
      </c>
      <c r="N2198" t="str">
        <f t="shared" si="180"/>
        <v>メタルスラッグX</v>
      </c>
      <c r="O2198" t="str">
        <f t="shared" si="180"/>
        <v/>
      </c>
      <c r="P2198" t="str">
        <f t="shared" si="180"/>
        <v/>
      </c>
      <c r="T2198" t="str">
        <f t="shared" si="183"/>
        <v/>
      </c>
      <c r="V2198" t="str">
        <f t="shared" si="179"/>
        <v>MVS,AES</v>
      </c>
      <c r="W2198" t="str">
        <f t="shared" si="179"/>
        <v>MVS,AES</v>
      </c>
      <c r="AH2198" t="s">
        <v>2358</v>
      </c>
      <c r="AI2198" t="s">
        <v>11</v>
      </c>
      <c r="AJ2198" t="s">
        <v>11</v>
      </c>
      <c r="AK2198" t="s">
        <v>2357</v>
      </c>
      <c r="AL2198" t="s">
        <v>2356</v>
      </c>
    </row>
    <row r="2199" spans="5:43" x14ac:dyDescent="0.25">
      <c r="I2199" t="str">
        <f t="shared" si="181"/>
        <v>mslugx</v>
      </c>
      <c r="J2199" t="str">
        <f t="shared" si="182"/>
        <v/>
      </c>
      <c r="L2199" t="str">
        <f t="shared" si="180"/>
        <v>NGM-2500 (MVS), NGH-2500 (AES)</v>
      </c>
      <c r="M2199" t="str">
        <f t="shared" si="180"/>
        <v>19990319 (MVS), 19990527 (AES)</v>
      </c>
      <c r="N2199" t="str">
        <f t="shared" si="180"/>
        <v>メタルスラッグX</v>
      </c>
      <c r="O2199" t="str">
        <f t="shared" si="180"/>
        <v/>
      </c>
      <c r="P2199" t="str">
        <f t="shared" si="180"/>
        <v/>
      </c>
      <c r="T2199" t="str">
        <f t="shared" si="183"/>
        <v/>
      </c>
      <c r="V2199" t="str">
        <f t="shared" ref="V2199:W2262" si="184">IFERROR(VLOOKUP($I2199&amp;V$1,$T:$AA,2,0),"")</f>
        <v>MVS,AES</v>
      </c>
      <c r="W2199" t="str">
        <f t="shared" si="184"/>
        <v>MVS,AES</v>
      </c>
      <c r="AH2199" t="s">
        <v>2355</v>
      </c>
      <c r="AI2199" t="s">
        <v>57</v>
      </c>
      <c r="AJ2199" t="s">
        <v>3</v>
      </c>
      <c r="AK2199" t="s">
        <v>2354</v>
      </c>
      <c r="AL2199" t="s">
        <v>2353</v>
      </c>
    </row>
    <row r="2200" spans="5:43" x14ac:dyDescent="0.25">
      <c r="I2200" t="str">
        <f t="shared" si="181"/>
        <v>mslugx</v>
      </c>
      <c r="J2200" t="str">
        <f t="shared" si="182"/>
        <v/>
      </c>
      <c r="L2200" t="str">
        <f t="shared" si="180"/>
        <v>NGM-2500 (MVS), NGH-2500 (AES)</v>
      </c>
      <c r="M2200" t="str">
        <f t="shared" si="180"/>
        <v>19990319 (MVS), 19990527 (AES)</v>
      </c>
      <c r="N2200" t="str">
        <f t="shared" si="180"/>
        <v>メタルスラッグX</v>
      </c>
      <c r="O2200" t="str">
        <f t="shared" si="180"/>
        <v/>
      </c>
      <c r="P2200" t="str">
        <f t="shared" si="180"/>
        <v/>
      </c>
      <c r="T2200" t="str">
        <f t="shared" si="183"/>
        <v/>
      </c>
      <c r="V2200" t="str">
        <f t="shared" si="184"/>
        <v>MVS,AES</v>
      </c>
      <c r="W2200" t="str">
        <f t="shared" si="184"/>
        <v>MVS,AES</v>
      </c>
      <c r="AB2200" t="s">
        <v>12</v>
      </c>
      <c r="AE2200" t="s">
        <v>152</v>
      </c>
      <c r="AG2200" t="s">
        <v>6</v>
      </c>
      <c r="AH2200" t="s">
        <v>2352</v>
      </c>
      <c r="AI2200" t="s">
        <v>9</v>
      </c>
      <c r="AJ2200" t="s">
        <v>57</v>
      </c>
      <c r="AK2200" t="s">
        <v>2351</v>
      </c>
      <c r="AL2200" t="s">
        <v>2350</v>
      </c>
    </row>
    <row r="2201" spans="5:43" x14ac:dyDescent="0.25">
      <c r="I2201" t="str">
        <f t="shared" si="181"/>
        <v>mslugx</v>
      </c>
      <c r="J2201" t="str">
        <f t="shared" si="182"/>
        <v/>
      </c>
      <c r="L2201" t="str">
        <f t="shared" si="180"/>
        <v>NGM-2500 (MVS), NGH-2500 (AES)</v>
      </c>
      <c r="M2201" t="str">
        <f t="shared" si="180"/>
        <v>19990319 (MVS), 19990527 (AES)</v>
      </c>
      <c r="N2201" t="str">
        <f t="shared" si="180"/>
        <v>メタルスラッグX</v>
      </c>
      <c r="O2201" t="str">
        <f t="shared" si="180"/>
        <v/>
      </c>
      <c r="P2201" t="str">
        <f t="shared" si="180"/>
        <v/>
      </c>
      <c r="T2201" t="str">
        <f t="shared" si="183"/>
        <v/>
      </c>
      <c r="V2201" t="str">
        <f t="shared" si="184"/>
        <v>MVS,AES</v>
      </c>
      <c r="W2201" t="str">
        <f t="shared" si="184"/>
        <v>MVS,AES</v>
      </c>
      <c r="AG2201" t="s">
        <v>6</v>
      </c>
      <c r="AH2201" t="s">
        <v>2349</v>
      </c>
      <c r="AI2201" t="s">
        <v>4</v>
      </c>
      <c r="AJ2201" t="s">
        <v>57</v>
      </c>
      <c r="AK2201" t="s">
        <v>2348</v>
      </c>
      <c r="AL2201" t="s">
        <v>2347</v>
      </c>
    </row>
    <row r="2202" spans="5:43" x14ac:dyDescent="0.25">
      <c r="I2202" t="str">
        <f t="shared" si="181"/>
        <v>mslugx</v>
      </c>
      <c r="J2202" t="str">
        <f t="shared" si="182"/>
        <v/>
      </c>
      <c r="L2202" t="str">
        <f t="shared" si="180"/>
        <v>NGM-2500 (MVS), NGH-2500 (AES)</v>
      </c>
      <c r="M2202" t="str">
        <f t="shared" si="180"/>
        <v>19990319 (MVS), 19990527 (AES)</v>
      </c>
      <c r="N2202" t="str">
        <f t="shared" si="180"/>
        <v>メタルスラッグX</v>
      </c>
      <c r="O2202" t="str">
        <f t="shared" si="180"/>
        <v/>
      </c>
      <c r="P2202" t="str">
        <f t="shared" si="180"/>
        <v/>
      </c>
      <c r="T2202" t="str">
        <f t="shared" si="183"/>
        <v/>
      </c>
      <c r="V2202" t="str">
        <f t="shared" si="184"/>
        <v>MVS,AES</v>
      </c>
      <c r="W2202" t="str">
        <f t="shared" si="184"/>
        <v>MVS,AES</v>
      </c>
      <c r="AG2202" t="s">
        <v>6</v>
      </c>
      <c r="AH2202" t="s">
        <v>2346</v>
      </c>
      <c r="AI2202" t="s">
        <v>65</v>
      </c>
      <c r="AJ2202" t="s">
        <v>57</v>
      </c>
      <c r="AK2202" t="s">
        <v>2345</v>
      </c>
      <c r="AL2202" t="s">
        <v>2344</v>
      </c>
    </row>
    <row r="2203" spans="5:43" x14ac:dyDescent="0.25">
      <c r="I2203" t="str">
        <f t="shared" si="181"/>
        <v>mslugx</v>
      </c>
      <c r="J2203" t="str">
        <f t="shared" si="182"/>
        <v/>
      </c>
      <c r="L2203" t="str">
        <f t="shared" si="180"/>
        <v>NGM-2500 (MVS), NGH-2500 (AES)</v>
      </c>
      <c r="M2203" t="str">
        <f t="shared" si="180"/>
        <v>19990319 (MVS), 19990527 (AES)</v>
      </c>
      <c r="N2203" t="str">
        <f t="shared" si="180"/>
        <v>メタルスラッグX</v>
      </c>
      <c r="O2203" t="str">
        <f t="shared" si="180"/>
        <v/>
      </c>
      <c r="P2203" t="str">
        <f t="shared" si="180"/>
        <v/>
      </c>
      <c r="T2203" t="str">
        <f t="shared" si="183"/>
        <v/>
      </c>
      <c r="V2203" t="str">
        <f t="shared" si="184"/>
        <v>MVS,AES</v>
      </c>
      <c r="W2203" t="str">
        <f t="shared" si="184"/>
        <v>MVS,AES</v>
      </c>
      <c r="AG2203" t="s">
        <v>6</v>
      </c>
      <c r="AH2203" t="s">
        <v>2343</v>
      </c>
      <c r="AI2203" t="s">
        <v>164</v>
      </c>
      <c r="AJ2203" t="s">
        <v>57</v>
      </c>
      <c r="AK2203" t="s">
        <v>2342</v>
      </c>
      <c r="AL2203" t="s">
        <v>2341</v>
      </c>
    </row>
    <row r="2204" spans="5:43" x14ac:dyDescent="0.25">
      <c r="I2204" t="str">
        <f t="shared" si="181"/>
        <v>mslugx</v>
      </c>
      <c r="J2204" t="str">
        <f t="shared" si="182"/>
        <v/>
      </c>
      <c r="L2204" t="str">
        <f t="shared" si="180"/>
        <v>NGM-2500 (MVS), NGH-2500 (AES)</v>
      </c>
      <c r="M2204" t="str">
        <f t="shared" si="180"/>
        <v>19990319 (MVS), 19990527 (AES)</v>
      </c>
      <c r="N2204" t="str">
        <f t="shared" si="180"/>
        <v>メタルスラッグX</v>
      </c>
      <c r="O2204" t="str">
        <f t="shared" si="180"/>
        <v/>
      </c>
      <c r="P2204" t="str">
        <f t="shared" si="180"/>
        <v/>
      </c>
      <c r="T2204" t="str">
        <f t="shared" si="183"/>
        <v/>
      </c>
      <c r="V2204" t="str">
        <f t="shared" si="184"/>
        <v>MVS,AES</v>
      </c>
      <c r="W2204" t="str">
        <f t="shared" si="184"/>
        <v>MVS,AES</v>
      </c>
      <c r="AG2204" t="s">
        <v>6</v>
      </c>
      <c r="AH2204" t="s">
        <v>2340</v>
      </c>
      <c r="AI2204" t="s">
        <v>160</v>
      </c>
      <c r="AJ2204" t="s">
        <v>57</v>
      </c>
      <c r="AK2204" t="s">
        <v>2339</v>
      </c>
      <c r="AL2204" t="s">
        <v>2338</v>
      </c>
    </row>
    <row r="2205" spans="5:43" x14ac:dyDescent="0.25">
      <c r="I2205" t="str">
        <f t="shared" si="181"/>
        <v>mslugx</v>
      </c>
      <c r="J2205" t="str">
        <f t="shared" si="182"/>
        <v/>
      </c>
      <c r="L2205" t="str">
        <f t="shared" si="180"/>
        <v>NGM-2500 (MVS), NGH-2500 (AES)</v>
      </c>
      <c r="M2205" t="str">
        <f t="shared" si="180"/>
        <v>19990319 (MVS), 19990527 (AES)</v>
      </c>
      <c r="N2205" t="str">
        <f t="shared" si="180"/>
        <v>メタルスラッグX</v>
      </c>
      <c r="O2205" t="str">
        <f t="shared" si="180"/>
        <v/>
      </c>
      <c r="P2205" t="str">
        <f t="shared" si="180"/>
        <v/>
      </c>
      <c r="T2205" t="str">
        <f t="shared" si="183"/>
        <v/>
      </c>
      <c r="V2205" t="str">
        <f t="shared" si="184"/>
        <v>MVS,AES</v>
      </c>
      <c r="W2205" t="str">
        <f t="shared" si="184"/>
        <v>MVS,AES</v>
      </c>
      <c r="AG2205" t="s">
        <v>6</v>
      </c>
      <c r="AH2205" t="s">
        <v>2337</v>
      </c>
      <c r="AI2205" t="s">
        <v>156</v>
      </c>
      <c r="AJ2205" t="s">
        <v>57</v>
      </c>
      <c r="AK2205" t="s">
        <v>2336</v>
      </c>
      <c r="AL2205" t="s">
        <v>2335</v>
      </c>
    </row>
    <row r="2206" spans="5:43" x14ac:dyDescent="0.25">
      <c r="E2206" t="s">
        <v>2247</v>
      </c>
      <c r="F2206" t="s">
        <v>2334</v>
      </c>
      <c r="G2206" t="s">
        <v>1053</v>
      </c>
      <c r="H2206" t="s">
        <v>1912</v>
      </c>
      <c r="I2206" t="str">
        <f t="shared" si="181"/>
        <v>kof99</v>
      </c>
      <c r="J2206" t="str">
        <f t="shared" si="182"/>
        <v>kof99serial</v>
      </c>
      <c r="K2206" t="s">
        <v>1373</v>
      </c>
      <c r="L2206" t="str">
        <f t="shared" si="180"/>
        <v>NGM-2510</v>
      </c>
      <c r="M2206" t="str">
        <f t="shared" si="180"/>
        <v>19990722</v>
      </c>
      <c r="N2206" t="str">
        <f t="shared" si="180"/>
        <v>ザ・キング・オブ・ファイターズ '99</v>
      </c>
      <c r="O2206" t="str">
        <f t="shared" si="180"/>
        <v/>
      </c>
      <c r="P2206" t="str">
        <f t="shared" si="180"/>
        <v/>
      </c>
      <c r="Q2206" t="s">
        <v>2315</v>
      </c>
      <c r="S2206" t="s">
        <v>46</v>
      </c>
      <c r="T2206" t="str">
        <f t="shared" si="183"/>
        <v>kof99release</v>
      </c>
      <c r="U2206" t="s">
        <v>106</v>
      </c>
      <c r="V2206" t="str">
        <f t="shared" si="184"/>
        <v>MVS</v>
      </c>
      <c r="W2206" t="str">
        <f t="shared" si="184"/>
        <v>MVS,AES</v>
      </c>
      <c r="Y2206" t="s">
        <v>45</v>
      </c>
      <c r="Z2206" t="s">
        <v>44</v>
      </c>
      <c r="AB2206" t="s">
        <v>43</v>
      </c>
      <c r="AC2206" t="s">
        <v>42</v>
      </c>
      <c r="AD2206" t="s">
        <v>41</v>
      </c>
      <c r="AE2206" t="s">
        <v>704</v>
      </c>
      <c r="AG2206" t="s">
        <v>40</v>
      </c>
      <c r="AH2206" t="s">
        <v>2314</v>
      </c>
      <c r="AI2206" t="s">
        <v>1924</v>
      </c>
      <c r="AJ2206" t="s">
        <v>33</v>
      </c>
      <c r="AK2206" t="s">
        <v>2313</v>
      </c>
      <c r="AL2206" t="s">
        <v>2312</v>
      </c>
      <c r="AP2206" t="s">
        <v>138</v>
      </c>
      <c r="AQ2206" t="s">
        <v>2292</v>
      </c>
    </row>
    <row r="2207" spans="5:43" x14ac:dyDescent="0.25">
      <c r="I2207" t="str">
        <f t="shared" si="181"/>
        <v>kof99</v>
      </c>
      <c r="J2207" t="str">
        <f t="shared" si="182"/>
        <v>kof99release</v>
      </c>
      <c r="K2207" t="s">
        <v>46</v>
      </c>
      <c r="L2207" t="str">
        <f t="shared" si="180"/>
        <v>NGM-2510</v>
      </c>
      <c r="M2207" t="str">
        <f t="shared" si="180"/>
        <v>19990722</v>
      </c>
      <c r="N2207" t="str">
        <f t="shared" si="180"/>
        <v>ザ・キング・オブ・ファイターズ '99</v>
      </c>
      <c r="O2207" t="str">
        <f t="shared" si="180"/>
        <v/>
      </c>
      <c r="P2207" t="str">
        <f t="shared" si="180"/>
        <v/>
      </c>
      <c r="Q2207" t="s">
        <v>2311</v>
      </c>
      <c r="T2207" t="str">
        <f t="shared" si="183"/>
        <v/>
      </c>
      <c r="V2207" t="str">
        <f t="shared" si="184"/>
        <v>MVS</v>
      </c>
      <c r="W2207" t="str">
        <f t="shared" si="184"/>
        <v>MVS,AES</v>
      </c>
      <c r="AG2207" t="s">
        <v>40</v>
      </c>
      <c r="AH2207" t="s">
        <v>2323</v>
      </c>
      <c r="AI2207" t="s">
        <v>15</v>
      </c>
      <c r="AJ2207" t="s">
        <v>11</v>
      </c>
      <c r="AK2207" t="s">
        <v>2322</v>
      </c>
      <c r="AL2207" t="s">
        <v>2321</v>
      </c>
    </row>
    <row r="2208" spans="5:43" x14ac:dyDescent="0.25">
      <c r="I2208" t="str">
        <f t="shared" si="181"/>
        <v>kof99</v>
      </c>
      <c r="J2208" t="str">
        <f t="shared" si="182"/>
        <v>kof99alt_title</v>
      </c>
      <c r="K2208" t="s">
        <v>1218</v>
      </c>
      <c r="L2208" t="str">
        <f t="shared" ref="L2208:P2258" si="185">IFERROR(VLOOKUP($I2208&amp;L$1,$J:$Q,8,0),"")</f>
        <v>NGM-2510</v>
      </c>
      <c r="M2208" t="str">
        <f t="shared" si="185"/>
        <v>19990722</v>
      </c>
      <c r="N2208" t="str">
        <f t="shared" si="185"/>
        <v>ザ・キング・オブ・ファイターズ '99</v>
      </c>
      <c r="O2208" t="str">
        <f t="shared" si="185"/>
        <v/>
      </c>
      <c r="P2208" t="str">
        <f t="shared" si="185"/>
        <v/>
      </c>
      <c r="Q2208" t="s">
        <v>2307</v>
      </c>
      <c r="T2208" t="str">
        <f t="shared" si="183"/>
        <v/>
      </c>
      <c r="V2208" t="str">
        <f t="shared" si="184"/>
        <v>MVS</v>
      </c>
      <c r="W2208" t="str">
        <f t="shared" si="184"/>
        <v>MVS,AES</v>
      </c>
      <c r="AG2208" t="s">
        <v>40</v>
      </c>
      <c r="AH2208" t="s">
        <v>2333</v>
      </c>
      <c r="AI2208" t="s">
        <v>23</v>
      </c>
      <c r="AJ2208" t="s">
        <v>11</v>
      </c>
      <c r="AK2208" t="s">
        <v>2332</v>
      </c>
      <c r="AL2208" t="s">
        <v>2331</v>
      </c>
    </row>
    <row r="2209" spans="5:44" x14ac:dyDescent="0.25">
      <c r="I2209" t="str">
        <f t="shared" si="181"/>
        <v>kof99</v>
      </c>
      <c r="J2209" t="str">
        <f t="shared" si="182"/>
        <v/>
      </c>
      <c r="L2209" t="str">
        <f t="shared" si="185"/>
        <v>NGM-2510</v>
      </c>
      <c r="M2209" t="str">
        <f t="shared" si="185"/>
        <v>19990722</v>
      </c>
      <c r="N2209" t="str">
        <f t="shared" si="185"/>
        <v>ザ・キング・オブ・ファイターズ '99</v>
      </c>
      <c r="O2209" t="str">
        <f t="shared" si="185"/>
        <v/>
      </c>
      <c r="P2209" t="str">
        <f t="shared" si="185"/>
        <v/>
      </c>
      <c r="S2209" t="s">
        <v>36</v>
      </c>
      <c r="T2209" t="str">
        <f t="shared" si="183"/>
        <v>kof99compatibility</v>
      </c>
      <c r="U2209" t="s">
        <v>218</v>
      </c>
      <c r="V2209" t="str">
        <f t="shared" si="184"/>
        <v>MVS</v>
      </c>
      <c r="W2209" t="str">
        <f t="shared" si="184"/>
        <v>MVS,AES</v>
      </c>
      <c r="AB2209" t="s">
        <v>34</v>
      </c>
      <c r="AE2209" t="s">
        <v>135</v>
      </c>
      <c r="AG2209" t="s">
        <v>538</v>
      </c>
      <c r="AI2209" t="s">
        <v>9</v>
      </c>
      <c r="AJ2209" t="s">
        <v>135</v>
      </c>
      <c r="AN2209" t="s">
        <v>537</v>
      </c>
    </row>
    <row r="2210" spans="5:44" x14ac:dyDescent="0.25">
      <c r="I2210" t="str">
        <f t="shared" si="181"/>
        <v>kof99</v>
      </c>
      <c r="J2210" t="str">
        <f t="shared" si="182"/>
        <v/>
      </c>
      <c r="L2210" t="str">
        <f t="shared" si="185"/>
        <v>NGM-2510</v>
      </c>
      <c r="M2210" t="str">
        <f t="shared" si="185"/>
        <v>19990722</v>
      </c>
      <c r="N2210" t="str">
        <f t="shared" si="185"/>
        <v>ザ・キング・オブ・ファイターズ '99</v>
      </c>
      <c r="O2210" t="str">
        <f t="shared" si="185"/>
        <v/>
      </c>
      <c r="P2210" t="str">
        <f t="shared" si="185"/>
        <v/>
      </c>
      <c r="T2210" t="str">
        <f t="shared" si="183"/>
        <v/>
      </c>
      <c r="V2210" t="str">
        <f t="shared" si="184"/>
        <v>MVS</v>
      </c>
      <c r="W2210" t="str">
        <f t="shared" si="184"/>
        <v>MVS,AES</v>
      </c>
      <c r="AB2210" t="s">
        <v>29</v>
      </c>
      <c r="AE2210" t="s">
        <v>27</v>
      </c>
      <c r="AH2210" t="s">
        <v>2240</v>
      </c>
      <c r="AI2210" t="s">
        <v>9</v>
      </c>
      <c r="AJ2210" t="s">
        <v>27</v>
      </c>
      <c r="AK2210" t="s">
        <v>2239</v>
      </c>
      <c r="AL2210" t="s">
        <v>2238</v>
      </c>
    </row>
    <row r="2211" spans="5:44" x14ac:dyDescent="0.25">
      <c r="I2211" t="str">
        <f t="shared" si="181"/>
        <v>kof99</v>
      </c>
      <c r="J2211" t="str">
        <f t="shared" si="182"/>
        <v/>
      </c>
      <c r="L2211" t="str">
        <f t="shared" si="185"/>
        <v>NGM-2510</v>
      </c>
      <c r="M2211" t="str">
        <f t="shared" si="185"/>
        <v>19990722</v>
      </c>
      <c r="N2211" t="str">
        <f t="shared" si="185"/>
        <v>ザ・キング・オブ・ファイターズ '99</v>
      </c>
      <c r="O2211" t="str">
        <f t="shared" si="185"/>
        <v/>
      </c>
      <c r="P2211" t="str">
        <f t="shared" si="185"/>
        <v/>
      </c>
      <c r="T2211" t="str">
        <f t="shared" si="183"/>
        <v/>
      </c>
      <c r="V2211" t="str">
        <f t="shared" si="184"/>
        <v>MVS</v>
      </c>
      <c r="W2211" t="str">
        <f t="shared" si="184"/>
        <v>MVS,AES</v>
      </c>
      <c r="AB2211" t="s">
        <v>24</v>
      </c>
      <c r="AE2211" t="s">
        <v>1802</v>
      </c>
      <c r="AH2211" t="s">
        <v>2237</v>
      </c>
      <c r="AI2211" t="s">
        <v>9</v>
      </c>
      <c r="AJ2211" t="s">
        <v>11</v>
      </c>
      <c r="AK2211" t="s">
        <v>2236</v>
      </c>
      <c r="AL2211" t="s">
        <v>2235</v>
      </c>
    </row>
    <row r="2212" spans="5:44" x14ac:dyDescent="0.25">
      <c r="I2212" t="str">
        <f t="shared" si="181"/>
        <v>kof99</v>
      </c>
      <c r="J2212" t="str">
        <f t="shared" si="182"/>
        <v/>
      </c>
      <c r="L2212" t="str">
        <f t="shared" si="185"/>
        <v>NGM-2510</v>
      </c>
      <c r="M2212" t="str">
        <f t="shared" si="185"/>
        <v>19990722</v>
      </c>
      <c r="N2212" t="str">
        <f t="shared" si="185"/>
        <v>ザ・キング・オブ・ファイターズ '99</v>
      </c>
      <c r="O2212" t="str">
        <f t="shared" si="185"/>
        <v/>
      </c>
      <c r="P2212" t="str">
        <f t="shared" si="185"/>
        <v/>
      </c>
      <c r="T2212" t="str">
        <f t="shared" si="183"/>
        <v/>
      </c>
      <c r="V2212" t="str">
        <f t="shared" si="184"/>
        <v>MVS</v>
      </c>
      <c r="W2212" t="str">
        <f t="shared" si="184"/>
        <v>MVS,AES</v>
      </c>
      <c r="AH2212" t="s">
        <v>2234</v>
      </c>
      <c r="AI2212" t="s">
        <v>11</v>
      </c>
      <c r="AJ2212" t="s">
        <v>11</v>
      </c>
      <c r="AK2212" t="s">
        <v>2233</v>
      </c>
      <c r="AL2212" t="s">
        <v>2232</v>
      </c>
    </row>
    <row r="2213" spans="5:44" x14ac:dyDescent="0.25">
      <c r="I2213" t="str">
        <f t="shared" si="181"/>
        <v>kof99</v>
      </c>
      <c r="J2213" t="str">
        <f t="shared" si="182"/>
        <v/>
      </c>
      <c r="L2213" t="str">
        <f t="shared" si="185"/>
        <v>NGM-2510</v>
      </c>
      <c r="M2213" t="str">
        <f t="shared" si="185"/>
        <v>19990722</v>
      </c>
      <c r="N2213" t="str">
        <f t="shared" si="185"/>
        <v>ザ・キング・オブ・ファイターズ '99</v>
      </c>
      <c r="O2213" t="str">
        <f t="shared" si="185"/>
        <v/>
      </c>
      <c r="P2213" t="str">
        <f t="shared" si="185"/>
        <v/>
      </c>
      <c r="T2213" t="str">
        <f t="shared" si="183"/>
        <v/>
      </c>
      <c r="V2213" t="str">
        <f t="shared" si="184"/>
        <v>MVS</v>
      </c>
      <c r="W2213" t="str">
        <f t="shared" si="184"/>
        <v>MVS,AES</v>
      </c>
      <c r="AH2213" t="s">
        <v>2231</v>
      </c>
      <c r="AI2213" t="s">
        <v>57</v>
      </c>
      <c r="AJ2213" t="s">
        <v>11</v>
      </c>
      <c r="AK2213" t="s">
        <v>2230</v>
      </c>
      <c r="AL2213" t="s">
        <v>2229</v>
      </c>
    </row>
    <row r="2214" spans="5:44" x14ac:dyDescent="0.25">
      <c r="I2214" t="str">
        <f t="shared" si="181"/>
        <v>kof99</v>
      </c>
      <c r="J2214" t="str">
        <f t="shared" si="182"/>
        <v/>
      </c>
      <c r="L2214" t="str">
        <f t="shared" si="185"/>
        <v>NGM-2510</v>
      </c>
      <c r="M2214" t="str">
        <f t="shared" si="185"/>
        <v>19990722</v>
      </c>
      <c r="N2214" t="str">
        <f t="shared" si="185"/>
        <v>ザ・キング・オブ・ファイターズ '99</v>
      </c>
      <c r="O2214" t="str">
        <f t="shared" si="185"/>
        <v/>
      </c>
      <c r="P2214" t="str">
        <f t="shared" si="185"/>
        <v/>
      </c>
      <c r="T2214" t="str">
        <f t="shared" si="183"/>
        <v/>
      </c>
      <c r="V2214" t="str">
        <f t="shared" si="184"/>
        <v>MVS</v>
      </c>
      <c r="W2214" t="str">
        <f t="shared" si="184"/>
        <v>MVS,AES</v>
      </c>
      <c r="AH2214" t="s">
        <v>2228</v>
      </c>
      <c r="AI2214" t="s">
        <v>250</v>
      </c>
      <c r="AJ2214" t="s">
        <v>3</v>
      </c>
      <c r="AK2214" t="s">
        <v>2227</v>
      </c>
      <c r="AL2214" t="s">
        <v>2226</v>
      </c>
    </row>
    <row r="2215" spans="5:44" x14ac:dyDescent="0.25">
      <c r="I2215" t="str">
        <f t="shared" si="181"/>
        <v>kof99</v>
      </c>
      <c r="J2215" t="str">
        <f t="shared" si="182"/>
        <v/>
      </c>
      <c r="L2215" t="str">
        <f t="shared" si="185"/>
        <v>NGM-2510</v>
      </c>
      <c r="M2215" t="str">
        <f t="shared" si="185"/>
        <v>19990722</v>
      </c>
      <c r="N2215" t="str">
        <f t="shared" si="185"/>
        <v>ザ・キング・オブ・ファイターズ '99</v>
      </c>
      <c r="O2215" t="str">
        <f t="shared" si="185"/>
        <v/>
      </c>
      <c r="P2215" t="str">
        <f t="shared" si="185"/>
        <v/>
      </c>
      <c r="T2215" t="str">
        <f t="shared" si="183"/>
        <v/>
      </c>
      <c r="V2215" t="str">
        <f t="shared" si="184"/>
        <v>MVS</v>
      </c>
      <c r="W2215" t="str">
        <f t="shared" si="184"/>
        <v>MVS,AES</v>
      </c>
      <c r="AB2215" t="s">
        <v>12</v>
      </c>
      <c r="AE2215" t="s">
        <v>175</v>
      </c>
      <c r="AG2215" t="s">
        <v>6</v>
      </c>
      <c r="AH2215" t="s">
        <v>2276</v>
      </c>
      <c r="AI2215" t="s">
        <v>9</v>
      </c>
      <c r="AJ2215" t="s">
        <v>57</v>
      </c>
      <c r="AK2215" t="s">
        <v>2275</v>
      </c>
      <c r="AL2215" t="s">
        <v>2274</v>
      </c>
    </row>
    <row r="2216" spans="5:44" x14ac:dyDescent="0.25">
      <c r="I2216" t="str">
        <f t="shared" si="181"/>
        <v>kof99</v>
      </c>
      <c r="J2216" t="str">
        <f t="shared" si="182"/>
        <v/>
      </c>
      <c r="L2216" t="str">
        <f t="shared" si="185"/>
        <v>NGM-2510</v>
      </c>
      <c r="M2216" t="str">
        <f t="shared" si="185"/>
        <v>19990722</v>
      </c>
      <c r="N2216" t="str">
        <f t="shared" si="185"/>
        <v>ザ・キング・オブ・ファイターズ '99</v>
      </c>
      <c r="O2216" t="str">
        <f t="shared" si="185"/>
        <v/>
      </c>
      <c r="P2216" t="str">
        <f t="shared" si="185"/>
        <v/>
      </c>
      <c r="T2216" t="str">
        <f t="shared" si="183"/>
        <v/>
      </c>
      <c r="V2216" t="str">
        <f t="shared" si="184"/>
        <v>MVS</v>
      </c>
      <c r="W2216" t="str">
        <f t="shared" si="184"/>
        <v>MVS,AES</v>
      </c>
      <c r="AG2216" t="s">
        <v>6</v>
      </c>
      <c r="AH2216" t="s">
        <v>2273</v>
      </c>
      <c r="AI2216" t="s">
        <v>4</v>
      </c>
      <c r="AJ2216" t="s">
        <v>57</v>
      </c>
      <c r="AK2216" t="s">
        <v>2272</v>
      </c>
      <c r="AL2216" t="s">
        <v>2271</v>
      </c>
    </row>
    <row r="2217" spans="5:44" x14ac:dyDescent="0.25">
      <c r="I2217" t="str">
        <f t="shared" si="181"/>
        <v>kof99</v>
      </c>
      <c r="J2217" t="str">
        <f t="shared" si="182"/>
        <v/>
      </c>
      <c r="L2217" t="str">
        <f t="shared" si="185"/>
        <v>NGM-2510</v>
      </c>
      <c r="M2217" t="str">
        <f t="shared" si="185"/>
        <v>19990722</v>
      </c>
      <c r="N2217" t="str">
        <f t="shared" si="185"/>
        <v>ザ・キング・オブ・ファイターズ '99</v>
      </c>
      <c r="O2217" t="str">
        <f t="shared" si="185"/>
        <v/>
      </c>
      <c r="P2217" t="str">
        <f t="shared" si="185"/>
        <v/>
      </c>
      <c r="T2217" t="str">
        <f t="shared" si="183"/>
        <v/>
      </c>
      <c r="V2217" t="str">
        <f t="shared" si="184"/>
        <v>MVS</v>
      </c>
      <c r="W2217" t="str">
        <f t="shared" si="184"/>
        <v>MVS,AES</v>
      </c>
      <c r="AG2217" t="s">
        <v>6</v>
      </c>
      <c r="AH2217" t="s">
        <v>2270</v>
      </c>
      <c r="AI2217" t="s">
        <v>65</v>
      </c>
      <c r="AJ2217" t="s">
        <v>57</v>
      </c>
      <c r="AK2217" t="s">
        <v>2269</v>
      </c>
      <c r="AL2217" t="s">
        <v>2268</v>
      </c>
    </row>
    <row r="2218" spans="5:44" x14ac:dyDescent="0.25">
      <c r="I2218" t="str">
        <f t="shared" si="181"/>
        <v>kof99</v>
      </c>
      <c r="J2218" t="str">
        <f t="shared" si="182"/>
        <v/>
      </c>
      <c r="L2218" t="str">
        <f t="shared" si="185"/>
        <v>NGM-2510</v>
      </c>
      <c r="M2218" t="str">
        <f t="shared" si="185"/>
        <v>19990722</v>
      </c>
      <c r="N2218" t="str">
        <f t="shared" si="185"/>
        <v>ザ・キング・オブ・ファイターズ '99</v>
      </c>
      <c r="O2218" t="str">
        <f t="shared" si="185"/>
        <v/>
      </c>
      <c r="P2218" t="str">
        <f t="shared" si="185"/>
        <v/>
      </c>
      <c r="T2218" t="str">
        <f t="shared" si="183"/>
        <v/>
      </c>
      <c r="V2218" t="str">
        <f t="shared" si="184"/>
        <v>MVS</v>
      </c>
      <c r="W2218" t="str">
        <f t="shared" si="184"/>
        <v>MVS,AES</v>
      </c>
      <c r="AG2218" t="s">
        <v>6</v>
      </c>
      <c r="AH2218" t="s">
        <v>2267</v>
      </c>
      <c r="AI2218" t="s">
        <v>164</v>
      </c>
      <c r="AJ2218" t="s">
        <v>57</v>
      </c>
      <c r="AK2218" t="s">
        <v>2266</v>
      </c>
      <c r="AL2218" t="s">
        <v>2265</v>
      </c>
    </row>
    <row r="2219" spans="5:44" x14ac:dyDescent="0.25">
      <c r="I2219" t="str">
        <f t="shared" si="181"/>
        <v>kof99</v>
      </c>
      <c r="J2219" t="str">
        <f t="shared" si="182"/>
        <v/>
      </c>
      <c r="L2219" t="str">
        <f t="shared" si="185"/>
        <v>NGM-2510</v>
      </c>
      <c r="M2219" t="str">
        <f t="shared" si="185"/>
        <v>19990722</v>
      </c>
      <c r="N2219" t="str">
        <f t="shared" si="185"/>
        <v>ザ・キング・オブ・ファイターズ '99</v>
      </c>
      <c r="O2219" t="str">
        <f t="shared" si="185"/>
        <v/>
      </c>
      <c r="P2219" t="str">
        <f t="shared" si="185"/>
        <v/>
      </c>
      <c r="T2219" t="str">
        <f t="shared" si="183"/>
        <v/>
      </c>
      <c r="V2219" t="str">
        <f t="shared" si="184"/>
        <v>MVS</v>
      </c>
      <c r="W2219" t="str">
        <f t="shared" si="184"/>
        <v>MVS,AES</v>
      </c>
      <c r="AG2219" t="s">
        <v>6</v>
      </c>
      <c r="AH2219" t="s">
        <v>2264</v>
      </c>
      <c r="AI2219" t="s">
        <v>160</v>
      </c>
      <c r="AJ2219" t="s">
        <v>57</v>
      </c>
      <c r="AK2219" t="s">
        <v>2263</v>
      </c>
      <c r="AL2219" t="s">
        <v>2262</v>
      </c>
    </row>
    <row r="2220" spans="5:44" x14ac:dyDescent="0.25">
      <c r="I2220" t="str">
        <f t="shared" si="181"/>
        <v>kof99</v>
      </c>
      <c r="J2220" t="str">
        <f t="shared" si="182"/>
        <v/>
      </c>
      <c r="L2220" t="str">
        <f t="shared" si="185"/>
        <v>NGM-2510</v>
      </c>
      <c r="M2220" t="str">
        <f t="shared" si="185"/>
        <v>19990722</v>
      </c>
      <c r="N2220" t="str">
        <f t="shared" si="185"/>
        <v>ザ・キング・オブ・ファイターズ '99</v>
      </c>
      <c r="O2220" t="str">
        <f t="shared" si="185"/>
        <v/>
      </c>
      <c r="P2220" t="str">
        <f t="shared" si="185"/>
        <v/>
      </c>
      <c r="T2220" t="str">
        <f t="shared" si="183"/>
        <v/>
      </c>
      <c r="V2220" t="str">
        <f t="shared" si="184"/>
        <v>MVS</v>
      </c>
      <c r="W2220" t="str">
        <f t="shared" si="184"/>
        <v>MVS,AES</v>
      </c>
      <c r="AG2220" t="s">
        <v>6</v>
      </c>
      <c r="AH2220" t="s">
        <v>2261</v>
      </c>
      <c r="AI2220" t="s">
        <v>156</v>
      </c>
      <c r="AJ2220" t="s">
        <v>57</v>
      </c>
      <c r="AK2220" t="s">
        <v>2260</v>
      </c>
      <c r="AL2220" t="s">
        <v>2259</v>
      </c>
    </row>
    <row r="2221" spans="5:44" x14ac:dyDescent="0.25">
      <c r="I2221" t="str">
        <f t="shared" si="181"/>
        <v>kof99</v>
      </c>
      <c r="J2221" t="str">
        <f t="shared" si="182"/>
        <v/>
      </c>
      <c r="L2221" t="str">
        <f t="shared" si="185"/>
        <v>NGM-2510</v>
      </c>
      <c r="M2221" t="str">
        <f t="shared" si="185"/>
        <v>19990722</v>
      </c>
      <c r="N2221" t="str">
        <f t="shared" si="185"/>
        <v>ザ・キング・オブ・ファイターズ '99</v>
      </c>
      <c r="O2221" t="str">
        <f t="shared" si="185"/>
        <v/>
      </c>
      <c r="P2221" t="str">
        <f t="shared" si="185"/>
        <v/>
      </c>
      <c r="T2221" t="str">
        <f t="shared" si="183"/>
        <v/>
      </c>
      <c r="V2221" t="str">
        <f t="shared" si="184"/>
        <v>MVS</v>
      </c>
      <c r="W2221" t="str">
        <f t="shared" si="184"/>
        <v>MVS,AES</v>
      </c>
      <c r="AG2221" t="s">
        <v>6</v>
      </c>
      <c r="AH2221" t="s">
        <v>2258</v>
      </c>
      <c r="AI2221" t="s">
        <v>152</v>
      </c>
      <c r="AJ2221" t="s">
        <v>57</v>
      </c>
      <c r="AK2221" t="s">
        <v>2257</v>
      </c>
      <c r="AL2221" t="s">
        <v>2256</v>
      </c>
    </row>
    <row r="2222" spans="5:44" x14ac:dyDescent="0.25">
      <c r="I2222" t="str">
        <f t="shared" si="181"/>
        <v>kof99</v>
      </c>
      <c r="J2222" t="str">
        <f t="shared" si="182"/>
        <v/>
      </c>
      <c r="L2222" t="str">
        <f t="shared" si="185"/>
        <v>NGM-2510</v>
      </c>
      <c r="M2222" t="str">
        <f t="shared" si="185"/>
        <v>19990722</v>
      </c>
      <c r="N2222" t="str">
        <f t="shared" si="185"/>
        <v>ザ・キング・オブ・ファイターズ '99</v>
      </c>
      <c r="O2222" t="str">
        <f t="shared" si="185"/>
        <v/>
      </c>
      <c r="P2222" t="str">
        <f t="shared" si="185"/>
        <v/>
      </c>
      <c r="T2222" t="str">
        <f t="shared" si="183"/>
        <v/>
      </c>
      <c r="V2222" t="str">
        <f t="shared" si="184"/>
        <v>MVS</v>
      </c>
      <c r="W2222" t="str">
        <f t="shared" si="184"/>
        <v>MVS,AES</v>
      </c>
      <c r="AG2222" t="s">
        <v>6</v>
      </c>
      <c r="AH2222" t="s">
        <v>2255</v>
      </c>
      <c r="AI2222" t="s">
        <v>148</v>
      </c>
      <c r="AJ2222" t="s">
        <v>57</v>
      </c>
      <c r="AK2222" t="s">
        <v>2254</v>
      </c>
      <c r="AL2222" t="s">
        <v>2253</v>
      </c>
    </row>
    <row r="2223" spans="5:44" x14ac:dyDescent="0.25">
      <c r="E2223" t="s">
        <v>2330</v>
      </c>
      <c r="F2223" t="s">
        <v>2329</v>
      </c>
      <c r="G2223" t="s">
        <v>1053</v>
      </c>
      <c r="H2223" t="s">
        <v>1912</v>
      </c>
      <c r="I2223" t="str">
        <f t="shared" si="181"/>
        <v>kof99h</v>
      </c>
      <c r="J2223" t="str">
        <f t="shared" si="182"/>
        <v>kof99hserial</v>
      </c>
      <c r="K2223" t="s">
        <v>1373</v>
      </c>
      <c r="L2223" t="str">
        <f t="shared" si="185"/>
        <v>NGH-2510</v>
      </c>
      <c r="M2223" t="str">
        <f t="shared" si="185"/>
        <v>19990923</v>
      </c>
      <c r="N2223" t="str">
        <f t="shared" si="185"/>
        <v>ザ・キング・オブ・ファイターズ '99</v>
      </c>
      <c r="O2223" t="str">
        <f t="shared" si="185"/>
        <v/>
      </c>
      <c r="P2223" t="str">
        <f t="shared" si="185"/>
        <v/>
      </c>
      <c r="Q2223" t="s">
        <v>2328</v>
      </c>
      <c r="S2223" t="s">
        <v>46</v>
      </c>
      <c r="T2223" t="str">
        <f t="shared" si="183"/>
        <v>kof99hrelease</v>
      </c>
      <c r="U2223" t="s">
        <v>35</v>
      </c>
      <c r="V2223" t="str">
        <f t="shared" si="184"/>
        <v>AES</v>
      </c>
      <c r="W2223" t="str">
        <f t="shared" si="184"/>
        <v>MVS,AES</v>
      </c>
      <c r="Y2223" t="s">
        <v>45</v>
      </c>
      <c r="Z2223" t="s">
        <v>44</v>
      </c>
      <c r="AB2223" t="s">
        <v>43</v>
      </c>
      <c r="AC2223" t="s">
        <v>42</v>
      </c>
      <c r="AD2223" t="s">
        <v>41</v>
      </c>
      <c r="AE2223" t="s">
        <v>704</v>
      </c>
      <c r="AG2223" t="s">
        <v>40</v>
      </c>
      <c r="AH2223" t="s">
        <v>2327</v>
      </c>
      <c r="AI2223" t="s">
        <v>1924</v>
      </c>
      <c r="AJ2223" t="s">
        <v>33</v>
      </c>
      <c r="AK2223" t="s">
        <v>2326</v>
      </c>
      <c r="AL2223" t="s">
        <v>2325</v>
      </c>
      <c r="AP2223" t="s">
        <v>138</v>
      </c>
      <c r="AQ2223" t="s">
        <v>2292</v>
      </c>
      <c r="AR2223" t="s">
        <v>2247</v>
      </c>
    </row>
    <row r="2224" spans="5:44" x14ac:dyDescent="0.25">
      <c r="I2224" t="str">
        <f t="shared" si="181"/>
        <v>kof99h</v>
      </c>
      <c r="J2224" t="str">
        <f t="shared" si="182"/>
        <v>kof99hrelease</v>
      </c>
      <c r="K2224" t="s">
        <v>46</v>
      </c>
      <c r="L2224" t="str">
        <f t="shared" si="185"/>
        <v>NGH-2510</v>
      </c>
      <c r="M2224" t="str">
        <f t="shared" si="185"/>
        <v>19990923</v>
      </c>
      <c r="N2224" t="str">
        <f t="shared" si="185"/>
        <v>ザ・キング・オブ・ファイターズ '99</v>
      </c>
      <c r="O2224" t="str">
        <f t="shared" si="185"/>
        <v/>
      </c>
      <c r="P2224" t="str">
        <f t="shared" si="185"/>
        <v/>
      </c>
      <c r="Q2224" t="s">
        <v>2324</v>
      </c>
      <c r="T2224" t="str">
        <f t="shared" si="183"/>
        <v/>
      </c>
      <c r="V2224" t="str">
        <f t="shared" si="184"/>
        <v>AES</v>
      </c>
      <c r="W2224" t="str">
        <f t="shared" si="184"/>
        <v>MVS,AES</v>
      </c>
      <c r="AG2224" t="s">
        <v>40</v>
      </c>
      <c r="AH2224" t="s">
        <v>2323</v>
      </c>
      <c r="AI2224" t="s">
        <v>15</v>
      </c>
      <c r="AJ2224" t="s">
        <v>11</v>
      </c>
      <c r="AK2224" t="s">
        <v>2322</v>
      </c>
      <c r="AL2224" t="s">
        <v>2321</v>
      </c>
    </row>
    <row r="2225" spans="5:44" x14ac:dyDescent="0.25">
      <c r="I2225" t="str">
        <f t="shared" si="181"/>
        <v>kof99h</v>
      </c>
      <c r="J2225" t="str">
        <f t="shared" si="182"/>
        <v>kof99halt_title</v>
      </c>
      <c r="K2225" t="s">
        <v>1218</v>
      </c>
      <c r="L2225" t="str">
        <f t="shared" si="185"/>
        <v>NGH-2510</v>
      </c>
      <c r="M2225" t="str">
        <f t="shared" si="185"/>
        <v>19990923</v>
      </c>
      <c r="N2225" t="str">
        <f t="shared" si="185"/>
        <v>ザ・キング・オブ・ファイターズ '99</v>
      </c>
      <c r="O2225" t="str">
        <f t="shared" si="185"/>
        <v/>
      </c>
      <c r="P2225" t="str">
        <f t="shared" si="185"/>
        <v/>
      </c>
      <c r="Q2225" t="s">
        <v>2307</v>
      </c>
      <c r="T2225" t="str">
        <f t="shared" si="183"/>
        <v/>
      </c>
      <c r="V2225" t="str">
        <f t="shared" si="184"/>
        <v>AES</v>
      </c>
      <c r="W2225" t="str">
        <f t="shared" si="184"/>
        <v>MVS,AES</v>
      </c>
      <c r="AG2225" t="s">
        <v>40</v>
      </c>
      <c r="AH2225" t="s">
        <v>2320</v>
      </c>
      <c r="AI2225" t="s">
        <v>23</v>
      </c>
      <c r="AJ2225" t="s">
        <v>11</v>
      </c>
      <c r="AK2225" t="s">
        <v>2319</v>
      </c>
      <c r="AL2225" t="s">
        <v>2318</v>
      </c>
    </row>
    <row r="2226" spans="5:44" x14ac:dyDescent="0.25">
      <c r="I2226" t="str">
        <f t="shared" si="181"/>
        <v>kof99h</v>
      </c>
      <c r="J2226" t="str">
        <f t="shared" si="182"/>
        <v/>
      </c>
      <c r="L2226" t="str">
        <f t="shared" si="185"/>
        <v>NGH-2510</v>
      </c>
      <c r="M2226" t="str">
        <f t="shared" si="185"/>
        <v>19990923</v>
      </c>
      <c r="N2226" t="str">
        <f t="shared" si="185"/>
        <v>ザ・キング・オブ・ファイターズ '99</v>
      </c>
      <c r="O2226" t="str">
        <f t="shared" si="185"/>
        <v/>
      </c>
      <c r="P2226" t="str">
        <f t="shared" si="185"/>
        <v/>
      </c>
      <c r="S2226" t="s">
        <v>36</v>
      </c>
      <c r="T2226" t="str">
        <f t="shared" si="183"/>
        <v>kof99hcompatibility</v>
      </c>
      <c r="U2226" t="s">
        <v>218</v>
      </c>
      <c r="V2226" t="str">
        <f t="shared" si="184"/>
        <v>AES</v>
      </c>
      <c r="W2226" t="str">
        <f t="shared" si="184"/>
        <v>MVS,AES</v>
      </c>
      <c r="AB2226" t="s">
        <v>34</v>
      </c>
      <c r="AE2226" t="s">
        <v>135</v>
      </c>
      <c r="AG2226" t="s">
        <v>538</v>
      </c>
      <c r="AI2226" t="s">
        <v>9</v>
      </c>
      <c r="AJ2226" t="s">
        <v>135</v>
      </c>
      <c r="AN2226" t="s">
        <v>537</v>
      </c>
    </row>
    <row r="2227" spans="5:44" x14ac:dyDescent="0.25">
      <c r="I2227" t="str">
        <f t="shared" si="181"/>
        <v>kof99h</v>
      </c>
      <c r="J2227" t="str">
        <f t="shared" si="182"/>
        <v/>
      </c>
      <c r="L2227" t="str">
        <f t="shared" si="185"/>
        <v>NGH-2510</v>
      </c>
      <c r="M2227" t="str">
        <f t="shared" si="185"/>
        <v>19990923</v>
      </c>
      <c r="N2227" t="str">
        <f t="shared" si="185"/>
        <v>ザ・キング・オブ・ファイターズ '99</v>
      </c>
      <c r="O2227" t="str">
        <f t="shared" si="185"/>
        <v/>
      </c>
      <c r="P2227" t="str">
        <f t="shared" si="185"/>
        <v/>
      </c>
      <c r="T2227" t="str">
        <f t="shared" si="183"/>
        <v/>
      </c>
      <c r="V2227" t="str">
        <f t="shared" si="184"/>
        <v>AES</v>
      </c>
      <c r="W2227" t="str">
        <f t="shared" si="184"/>
        <v>MVS,AES</v>
      </c>
      <c r="AB2227" t="s">
        <v>29</v>
      </c>
      <c r="AE2227" t="s">
        <v>27</v>
      </c>
      <c r="AH2227" t="s">
        <v>2240</v>
      </c>
      <c r="AI2227" t="s">
        <v>9</v>
      </c>
      <c r="AJ2227" t="s">
        <v>27</v>
      </c>
      <c r="AK2227" t="s">
        <v>2239</v>
      </c>
      <c r="AL2227" t="s">
        <v>2238</v>
      </c>
    </row>
    <row r="2228" spans="5:44" x14ac:dyDescent="0.25">
      <c r="I2228" t="str">
        <f t="shared" si="181"/>
        <v>kof99h</v>
      </c>
      <c r="J2228" t="str">
        <f t="shared" si="182"/>
        <v/>
      </c>
      <c r="L2228" t="str">
        <f t="shared" si="185"/>
        <v>NGH-2510</v>
      </c>
      <c r="M2228" t="str">
        <f t="shared" si="185"/>
        <v>19990923</v>
      </c>
      <c r="N2228" t="str">
        <f t="shared" si="185"/>
        <v>ザ・キング・オブ・ファイターズ '99</v>
      </c>
      <c r="O2228" t="str">
        <f t="shared" si="185"/>
        <v/>
      </c>
      <c r="P2228" t="str">
        <f t="shared" si="185"/>
        <v/>
      </c>
      <c r="T2228" t="str">
        <f t="shared" si="183"/>
        <v/>
      </c>
      <c r="V2228" t="str">
        <f t="shared" si="184"/>
        <v>AES</v>
      </c>
      <c r="W2228" t="str">
        <f t="shared" si="184"/>
        <v>MVS,AES</v>
      </c>
      <c r="AB2228" t="s">
        <v>24</v>
      </c>
      <c r="AE2228" t="s">
        <v>1802</v>
      </c>
      <c r="AH2228" t="s">
        <v>2237</v>
      </c>
      <c r="AI2228" t="s">
        <v>9</v>
      </c>
      <c r="AJ2228" t="s">
        <v>11</v>
      </c>
      <c r="AK2228" t="s">
        <v>2236</v>
      </c>
      <c r="AL2228" t="s">
        <v>2235</v>
      </c>
    </row>
    <row r="2229" spans="5:44" x14ac:dyDescent="0.25">
      <c r="I2229" t="str">
        <f t="shared" si="181"/>
        <v>kof99h</v>
      </c>
      <c r="J2229" t="str">
        <f t="shared" si="182"/>
        <v/>
      </c>
      <c r="L2229" t="str">
        <f t="shared" si="185"/>
        <v>NGH-2510</v>
      </c>
      <c r="M2229" t="str">
        <f t="shared" si="185"/>
        <v>19990923</v>
      </c>
      <c r="N2229" t="str">
        <f t="shared" si="185"/>
        <v>ザ・キング・オブ・ファイターズ '99</v>
      </c>
      <c r="O2229" t="str">
        <f t="shared" si="185"/>
        <v/>
      </c>
      <c r="P2229" t="str">
        <f t="shared" si="185"/>
        <v/>
      </c>
      <c r="T2229" t="str">
        <f t="shared" si="183"/>
        <v/>
      </c>
      <c r="V2229" t="str">
        <f t="shared" si="184"/>
        <v>AES</v>
      </c>
      <c r="W2229" t="str">
        <f t="shared" si="184"/>
        <v>MVS,AES</v>
      </c>
      <c r="AH2229" t="s">
        <v>2234</v>
      </c>
      <c r="AI2229" t="s">
        <v>11</v>
      </c>
      <c r="AJ2229" t="s">
        <v>11</v>
      </c>
      <c r="AK2229" t="s">
        <v>2233</v>
      </c>
      <c r="AL2229" t="s">
        <v>2232</v>
      </c>
    </row>
    <row r="2230" spans="5:44" x14ac:dyDescent="0.25">
      <c r="I2230" t="str">
        <f t="shared" si="181"/>
        <v>kof99h</v>
      </c>
      <c r="J2230" t="str">
        <f t="shared" si="182"/>
        <v/>
      </c>
      <c r="L2230" t="str">
        <f t="shared" si="185"/>
        <v>NGH-2510</v>
      </c>
      <c r="M2230" t="str">
        <f t="shared" si="185"/>
        <v>19990923</v>
      </c>
      <c r="N2230" t="str">
        <f t="shared" si="185"/>
        <v>ザ・キング・オブ・ファイターズ '99</v>
      </c>
      <c r="O2230" t="str">
        <f t="shared" si="185"/>
        <v/>
      </c>
      <c r="P2230" t="str">
        <f t="shared" si="185"/>
        <v/>
      </c>
      <c r="T2230" t="str">
        <f t="shared" si="183"/>
        <v/>
      </c>
      <c r="V2230" t="str">
        <f t="shared" si="184"/>
        <v>AES</v>
      </c>
      <c r="W2230" t="str">
        <f t="shared" si="184"/>
        <v>MVS,AES</v>
      </c>
      <c r="AH2230" t="s">
        <v>2231</v>
      </c>
      <c r="AI2230" t="s">
        <v>57</v>
      </c>
      <c r="AJ2230" t="s">
        <v>11</v>
      </c>
      <c r="AK2230" t="s">
        <v>2230</v>
      </c>
      <c r="AL2230" t="s">
        <v>2229</v>
      </c>
    </row>
    <row r="2231" spans="5:44" x14ac:dyDescent="0.25">
      <c r="I2231" t="str">
        <f t="shared" si="181"/>
        <v>kof99h</v>
      </c>
      <c r="J2231" t="str">
        <f t="shared" si="182"/>
        <v/>
      </c>
      <c r="L2231" t="str">
        <f t="shared" si="185"/>
        <v>NGH-2510</v>
      </c>
      <c r="M2231" t="str">
        <f t="shared" si="185"/>
        <v>19990923</v>
      </c>
      <c r="N2231" t="str">
        <f t="shared" si="185"/>
        <v>ザ・キング・オブ・ファイターズ '99</v>
      </c>
      <c r="O2231" t="str">
        <f t="shared" si="185"/>
        <v/>
      </c>
      <c r="P2231" t="str">
        <f t="shared" si="185"/>
        <v/>
      </c>
      <c r="T2231" t="str">
        <f t="shared" si="183"/>
        <v/>
      </c>
      <c r="V2231" t="str">
        <f t="shared" si="184"/>
        <v>AES</v>
      </c>
      <c r="W2231" t="str">
        <f t="shared" si="184"/>
        <v>MVS,AES</v>
      </c>
      <c r="AH2231" t="s">
        <v>2228</v>
      </c>
      <c r="AI2231" t="s">
        <v>250</v>
      </c>
      <c r="AJ2231" t="s">
        <v>3</v>
      </c>
      <c r="AK2231" t="s">
        <v>2227</v>
      </c>
      <c r="AL2231" t="s">
        <v>2226</v>
      </c>
    </row>
    <row r="2232" spans="5:44" x14ac:dyDescent="0.25">
      <c r="I2232" t="str">
        <f t="shared" si="181"/>
        <v>kof99h</v>
      </c>
      <c r="J2232" t="str">
        <f t="shared" si="182"/>
        <v/>
      </c>
      <c r="L2232" t="str">
        <f t="shared" si="185"/>
        <v>NGH-2510</v>
      </c>
      <c r="M2232" t="str">
        <f t="shared" si="185"/>
        <v>19990923</v>
      </c>
      <c r="N2232" t="str">
        <f t="shared" si="185"/>
        <v>ザ・キング・オブ・ファイターズ '99</v>
      </c>
      <c r="O2232" t="str">
        <f t="shared" si="185"/>
        <v/>
      </c>
      <c r="P2232" t="str">
        <f t="shared" si="185"/>
        <v/>
      </c>
      <c r="T2232" t="str">
        <f t="shared" si="183"/>
        <v/>
      </c>
      <c r="V2232" t="str">
        <f t="shared" si="184"/>
        <v>AES</v>
      </c>
      <c r="W2232" t="str">
        <f t="shared" si="184"/>
        <v>MVS,AES</v>
      </c>
      <c r="AB2232" t="s">
        <v>12</v>
      </c>
      <c r="AE2232" t="s">
        <v>175</v>
      </c>
      <c r="AG2232" t="s">
        <v>6</v>
      </c>
      <c r="AH2232" t="s">
        <v>2276</v>
      </c>
      <c r="AI2232" t="s">
        <v>9</v>
      </c>
      <c r="AJ2232" t="s">
        <v>57</v>
      </c>
      <c r="AK2232" t="s">
        <v>2275</v>
      </c>
      <c r="AL2232" t="s">
        <v>2274</v>
      </c>
    </row>
    <row r="2233" spans="5:44" x14ac:dyDescent="0.25">
      <c r="I2233" t="str">
        <f t="shared" si="181"/>
        <v>kof99h</v>
      </c>
      <c r="J2233" t="str">
        <f t="shared" si="182"/>
        <v/>
      </c>
      <c r="L2233" t="str">
        <f t="shared" si="185"/>
        <v>NGH-2510</v>
      </c>
      <c r="M2233" t="str">
        <f t="shared" si="185"/>
        <v>19990923</v>
      </c>
      <c r="N2233" t="str">
        <f t="shared" si="185"/>
        <v>ザ・キング・オブ・ファイターズ '99</v>
      </c>
      <c r="O2233" t="str">
        <f t="shared" si="185"/>
        <v/>
      </c>
      <c r="P2233" t="str">
        <f t="shared" si="185"/>
        <v/>
      </c>
      <c r="T2233" t="str">
        <f t="shared" si="183"/>
        <v/>
      </c>
      <c r="V2233" t="str">
        <f t="shared" si="184"/>
        <v>AES</v>
      </c>
      <c r="W2233" t="str">
        <f t="shared" si="184"/>
        <v>MVS,AES</v>
      </c>
      <c r="AG2233" t="s">
        <v>6</v>
      </c>
      <c r="AH2233" t="s">
        <v>2273</v>
      </c>
      <c r="AI2233" t="s">
        <v>4</v>
      </c>
      <c r="AJ2233" t="s">
        <v>57</v>
      </c>
      <c r="AK2233" t="s">
        <v>2272</v>
      </c>
      <c r="AL2233" t="s">
        <v>2271</v>
      </c>
    </row>
    <row r="2234" spans="5:44" x14ac:dyDescent="0.25">
      <c r="I2234" t="str">
        <f t="shared" si="181"/>
        <v>kof99h</v>
      </c>
      <c r="J2234" t="str">
        <f t="shared" si="182"/>
        <v/>
      </c>
      <c r="L2234" t="str">
        <f t="shared" si="185"/>
        <v>NGH-2510</v>
      </c>
      <c r="M2234" t="str">
        <f t="shared" si="185"/>
        <v>19990923</v>
      </c>
      <c r="N2234" t="str">
        <f t="shared" si="185"/>
        <v>ザ・キング・オブ・ファイターズ '99</v>
      </c>
      <c r="O2234" t="str">
        <f t="shared" si="185"/>
        <v/>
      </c>
      <c r="P2234" t="str">
        <f t="shared" si="185"/>
        <v/>
      </c>
      <c r="T2234" t="str">
        <f t="shared" si="183"/>
        <v/>
      </c>
      <c r="V2234" t="str">
        <f t="shared" si="184"/>
        <v>AES</v>
      </c>
      <c r="W2234" t="str">
        <f t="shared" si="184"/>
        <v>MVS,AES</v>
      </c>
      <c r="AG2234" t="s">
        <v>6</v>
      </c>
      <c r="AH2234" t="s">
        <v>2270</v>
      </c>
      <c r="AI2234" t="s">
        <v>65</v>
      </c>
      <c r="AJ2234" t="s">
        <v>57</v>
      </c>
      <c r="AK2234" t="s">
        <v>2269</v>
      </c>
      <c r="AL2234" t="s">
        <v>2268</v>
      </c>
    </row>
    <row r="2235" spans="5:44" x14ac:dyDescent="0.25">
      <c r="I2235" t="str">
        <f t="shared" si="181"/>
        <v>kof99h</v>
      </c>
      <c r="J2235" t="str">
        <f t="shared" si="182"/>
        <v/>
      </c>
      <c r="L2235" t="str">
        <f t="shared" si="185"/>
        <v>NGH-2510</v>
      </c>
      <c r="M2235" t="str">
        <f t="shared" si="185"/>
        <v>19990923</v>
      </c>
      <c r="N2235" t="str">
        <f t="shared" si="185"/>
        <v>ザ・キング・オブ・ファイターズ '99</v>
      </c>
      <c r="O2235" t="str">
        <f t="shared" si="185"/>
        <v/>
      </c>
      <c r="P2235" t="str">
        <f t="shared" si="185"/>
        <v/>
      </c>
      <c r="T2235" t="str">
        <f t="shared" si="183"/>
        <v/>
      </c>
      <c r="V2235" t="str">
        <f t="shared" si="184"/>
        <v>AES</v>
      </c>
      <c r="W2235" t="str">
        <f t="shared" si="184"/>
        <v>MVS,AES</v>
      </c>
      <c r="AG2235" t="s">
        <v>6</v>
      </c>
      <c r="AH2235" t="s">
        <v>2267</v>
      </c>
      <c r="AI2235" t="s">
        <v>164</v>
      </c>
      <c r="AJ2235" t="s">
        <v>57</v>
      </c>
      <c r="AK2235" t="s">
        <v>2266</v>
      </c>
      <c r="AL2235" t="s">
        <v>2265</v>
      </c>
    </row>
    <row r="2236" spans="5:44" x14ac:dyDescent="0.25">
      <c r="I2236" t="str">
        <f t="shared" si="181"/>
        <v>kof99h</v>
      </c>
      <c r="J2236" t="str">
        <f t="shared" si="182"/>
        <v/>
      </c>
      <c r="L2236" t="str">
        <f t="shared" si="185"/>
        <v>NGH-2510</v>
      </c>
      <c r="M2236" t="str">
        <f t="shared" si="185"/>
        <v>19990923</v>
      </c>
      <c r="N2236" t="str">
        <f t="shared" si="185"/>
        <v>ザ・キング・オブ・ファイターズ '99</v>
      </c>
      <c r="O2236" t="str">
        <f t="shared" si="185"/>
        <v/>
      </c>
      <c r="P2236" t="str">
        <f t="shared" si="185"/>
        <v/>
      </c>
      <c r="T2236" t="str">
        <f t="shared" si="183"/>
        <v/>
      </c>
      <c r="V2236" t="str">
        <f t="shared" si="184"/>
        <v>AES</v>
      </c>
      <c r="W2236" t="str">
        <f t="shared" si="184"/>
        <v>MVS,AES</v>
      </c>
      <c r="AG2236" t="s">
        <v>6</v>
      </c>
      <c r="AH2236" t="s">
        <v>2264</v>
      </c>
      <c r="AI2236" t="s">
        <v>160</v>
      </c>
      <c r="AJ2236" t="s">
        <v>57</v>
      </c>
      <c r="AK2236" t="s">
        <v>2263</v>
      </c>
      <c r="AL2236" t="s">
        <v>2262</v>
      </c>
    </row>
    <row r="2237" spans="5:44" x14ac:dyDescent="0.25">
      <c r="I2237" t="str">
        <f t="shared" si="181"/>
        <v>kof99h</v>
      </c>
      <c r="J2237" t="str">
        <f t="shared" si="182"/>
        <v/>
      </c>
      <c r="L2237" t="str">
        <f t="shared" si="185"/>
        <v>NGH-2510</v>
      </c>
      <c r="M2237" t="str">
        <f t="shared" si="185"/>
        <v>19990923</v>
      </c>
      <c r="N2237" t="str">
        <f t="shared" si="185"/>
        <v>ザ・キング・オブ・ファイターズ '99</v>
      </c>
      <c r="O2237" t="str">
        <f t="shared" si="185"/>
        <v/>
      </c>
      <c r="P2237" t="str">
        <f t="shared" si="185"/>
        <v/>
      </c>
      <c r="T2237" t="str">
        <f t="shared" si="183"/>
        <v/>
      </c>
      <c r="V2237" t="str">
        <f t="shared" si="184"/>
        <v>AES</v>
      </c>
      <c r="W2237" t="str">
        <f t="shared" si="184"/>
        <v>MVS,AES</v>
      </c>
      <c r="AG2237" t="s">
        <v>6</v>
      </c>
      <c r="AH2237" t="s">
        <v>2261</v>
      </c>
      <c r="AI2237" t="s">
        <v>156</v>
      </c>
      <c r="AJ2237" t="s">
        <v>57</v>
      </c>
      <c r="AK2237" t="s">
        <v>2260</v>
      </c>
      <c r="AL2237" t="s">
        <v>2259</v>
      </c>
    </row>
    <row r="2238" spans="5:44" x14ac:dyDescent="0.25">
      <c r="I2238" t="str">
        <f t="shared" si="181"/>
        <v>kof99h</v>
      </c>
      <c r="J2238" t="str">
        <f t="shared" si="182"/>
        <v/>
      </c>
      <c r="L2238" t="str">
        <f t="shared" si="185"/>
        <v>NGH-2510</v>
      </c>
      <c r="M2238" t="str">
        <f t="shared" si="185"/>
        <v>19990923</v>
      </c>
      <c r="N2238" t="str">
        <f t="shared" si="185"/>
        <v>ザ・キング・オブ・ファイターズ '99</v>
      </c>
      <c r="O2238" t="str">
        <f t="shared" si="185"/>
        <v/>
      </c>
      <c r="P2238" t="str">
        <f t="shared" si="185"/>
        <v/>
      </c>
      <c r="T2238" t="str">
        <f t="shared" si="183"/>
        <v/>
      </c>
      <c r="V2238" t="str">
        <f t="shared" si="184"/>
        <v>AES</v>
      </c>
      <c r="W2238" t="str">
        <f t="shared" si="184"/>
        <v>MVS,AES</v>
      </c>
      <c r="AG2238" t="s">
        <v>6</v>
      </c>
      <c r="AH2238" t="s">
        <v>2258</v>
      </c>
      <c r="AI2238" t="s">
        <v>152</v>
      </c>
      <c r="AJ2238" t="s">
        <v>57</v>
      </c>
      <c r="AK2238" t="s">
        <v>2257</v>
      </c>
      <c r="AL2238" t="s">
        <v>2256</v>
      </c>
    </row>
    <row r="2239" spans="5:44" x14ac:dyDescent="0.25">
      <c r="I2239" t="str">
        <f t="shared" si="181"/>
        <v>kof99h</v>
      </c>
      <c r="J2239" t="str">
        <f t="shared" si="182"/>
        <v/>
      </c>
      <c r="L2239" t="str">
        <f t="shared" si="185"/>
        <v>NGH-2510</v>
      </c>
      <c r="M2239" t="str">
        <f t="shared" si="185"/>
        <v>19990923</v>
      </c>
      <c r="N2239" t="str">
        <f t="shared" si="185"/>
        <v>ザ・キング・オブ・ファイターズ '99</v>
      </c>
      <c r="O2239" t="str">
        <f t="shared" si="185"/>
        <v/>
      </c>
      <c r="P2239" t="str">
        <f t="shared" si="185"/>
        <v/>
      </c>
      <c r="T2239" t="str">
        <f t="shared" si="183"/>
        <v/>
      </c>
      <c r="V2239" t="str">
        <f t="shared" si="184"/>
        <v>AES</v>
      </c>
      <c r="W2239" t="str">
        <f t="shared" si="184"/>
        <v>MVS,AES</v>
      </c>
      <c r="AG2239" t="s">
        <v>6</v>
      </c>
      <c r="AH2239" t="s">
        <v>2255</v>
      </c>
      <c r="AI2239" t="s">
        <v>148</v>
      </c>
      <c r="AJ2239" t="s">
        <v>57</v>
      </c>
      <c r="AK2239" t="s">
        <v>2254</v>
      </c>
      <c r="AL2239" t="s">
        <v>2253</v>
      </c>
    </row>
    <row r="2240" spans="5:44" x14ac:dyDescent="0.25">
      <c r="E2240" t="s">
        <v>2317</v>
      </c>
      <c r="F2240" t="s">
        <v>2316</v>
      </c>
      <c r="G2240" t="s">
        <v>1053</v>
      </c>
      <c r="H2240" t="s">
        <v>1912</v>
      </c>
      <c r="I2240" t="str">
        <f t="shared" si="181"/>
        <v>kof99e</v>
      </c>
      <c r="J2240" t="str">
        <f t="shared" si="182"/>
        <v>kof99eserial</v>
      </c>
      <c r="K2240" t="s">
        <v>1373</v>
      </c>
      <c r="L2240" t="str">
        <f t="shared" si="185"/>
        <v>NGM-2510</v>
      </c>
      <c r="M2240" t="str">
        <f t="shared" si="185"/>
        <v>19990722</v>
      </c>
      <c r="N2240" t="str">
        <f t="shared" si="185"/>
        <v>ザ・キング・オブ・ファイターズ '99</v>
      </c>
      <c r="O2240" t="str">
        <f t="shared" si="185"/>
        <v/>
      </c>
      <c r="P2240" t="str">
        <f t="shared" si="185"/>
        <v/>
      </c>
      <c r="Q2240" t="s">
        <v>2315</v>
      </c>
      <c r="S2240" t="s">
        <v>46</v>
      </c>
      <c r="T2240" t="str">
        <f t="shared" si="183"/>
        <v>kof99erelease</v>
      </c>
      <c r="U2240" t="s">
        <v>106</v>
      </c>
      <c r="V2240" t="str">
        <f t="shared" si="184"/>
        <v>MVS</v>
      </c>
      <c r="W2240" t="str">
        <f t="shared" si="184"/>
        <v>MVS,AES</v>
      </c>
      <c r="Y2240" t="s">
        <v>45</v>
      </c>
      <c r="Z2240" t="s">
        <v>44</v>
      </c>
      <c r="AB2240" t="s">
        <v>43</v>
      </c>
      <c r="AC2240" t="s">
        <v>42</v>
      </c>
      <c r="AD2240" t="s">
        <v>41</v>
      </c>
      <c r="AE2240" t="s">
        <v>704</v>
      </c>
      <c r="AG2240" t="s">
        <v>40</v>
      </c>
      <c r="AH2240" t="s">
        <v>2314</v>
      </c>
      <c r="AI2240" t="s">
        <v>1924</v>
      </c>
      <c r="AJ2240" t="s">
        <v>33</v>
      </c>
      <c r="AK2240" t="s">
        <v>2313</v>
      </c>
      <c r="AL2240" t="s">
        <v>2312</v>
      </c>
      <c r="AP2240" t="s">
        <v>138</v>
      </c>
      <c r="AQ2240" t="s">
        <v>2292</v>
      </c>
      <c r="AR2240" t="s">
        <v>2247</v>
      </c>
    </row>
    <row r="2241" spans="9:40" x14ac:dyDescent="0.25">
      <c r="I2241" t="str">
        <f t="shared" si="181"/>
        <v>kof99e</v>
      </c>
      <c r="J2241" t="str">
        <f t="shared" si="182"/>
        <v>kof99erelease</v>
      </c>
      <c r="K2241" t="s">
        <v>46</v>
      </c>
      <c r="L2241" t="str">
        <f t="shared" si="185"/>
        <v>NGM-2510</v>
      </c>
      <c r="M2241" t="str">
        <f t="shared" si="185"/>
        <v>19990722</v>
      </c>
      <c r="N2241" t="str">
        <f t="shared" si="185"/>
        <v>ザ・キング・オブ・ファイターズ '99</v>
      </c>
      <c r="O2241" t="str">
        <f t="shared" si="185"/>
        <v/>
      </c>
      <c r="P2241" t="str">
        <f t="shared" si="185"/>
        <v/>
      </c>
      <c r="Q2241" t="s">
        <v>2311</v>
      </c>
      <c r="T2241" t="str">
        <f t="shared" si="183"/>
        <v/>
      </c>
      <c r="V2241" t="str">
        <f t="shared" si="184"/>
        <v>MVS</v>
      </c>
      <c r="W2241" t="str">
        <f t="shared" si="184"/>
        <v>MVS,AES</v>
      </c>
      <c r="AG2241" t="s">
        <v>40</v>
      </c>
      <c r="AH2241" t="s">
        <v>2310</v>
      </c>
      <c r="AI2241" t="s">
        <v>15</v>
      </c>
      <c r="AJ2241" t="s">
        <v>3</v>
      </c>
      <c r="AK2241" t="s">
        <v>2309</v>
      </c>
      <c r="AL2241" t="s">
        <v>2308</v>
      </c>
    </row>
    <row r="2242" spans="9:40" x14ac:dyDescent="0.25">
      <c r="I2242" t="str">
        <f t="shared" si="181"/>
        <v>kof99e</v>
      </c>
      <c r="J2242" t="str">
        <f t="shared" si="182"/>
        <v>kof99ealt_title</v>
      </c>
      <c r="K2242" t="s">
        <v>1218</v>
      </c>
      <c r="L2242" t="str">
        <f t="shared" si="185"/>
        <v>NGM-2510</v>
      </c>
      <c r="M2242" t="str">
        <f t="shared" si="185"/>
        <v>19990722</v>
      </c>
      <c r="N2242" t="str">
        <f t="shared" si="185"/>
        <v>ザ・キング・オブ・ファイターズ '99</v>
      </c>
      <c r="O2242" t="str">
        <f t="shared" si="185"/>
        <v/>
      </c>
      <c r="P2242" t="str">
        <f t="shared" si="185"/>
        <v/>
      </c>
      <c r="Q2242" t="s">
        <v>2307</v>
      </c>
      <c r="T2242" t="str">
        <f t="shared" si="183"/>
        <v/>
      </c>
      <c r="V2242" t="str">
        <f t="shared" si="184"/>
        <v>MVS</v>
      </c>
      <c r="W2242" t="str">
        <f t="shared" si="184"/>
        <v>MVS,AES</v>
      </c>
      <c r="AG2242" t="s">
        <v>40</v>
      </c>
      <c r="AH2242" t="s">
        <v>2306</v>
      </c>
      <c r="AI2242" t="s">
        <v>377</v>
      </c>
      <c r="AJ2242" t="s">
        <v>3</v>
      </c>
      <c r="AK2242" t="s">
        <v>2305</v>
      </c>
      <c r="AL2242" t="s">
        <v>2304</v>
      </c>
    </row>
    <row r="2243" spans="9:40" x14ac:dyDescent="0.25">
      <c r="I2243" t="str">
        <f t="shared" ref="I2243:I2306" si="186">IF(E2243="",I2242,E2243)</f>
        <v>kof99e</v>
      </c>
      <c r="J2243" t="str">
        <f t="shared" ref="J2243:J2306" si="187">IF(K2243="","",I2243&amp;K2243)</f>
        <v/>
      </c>
      <c r="L2243" t="str">
        <f t="shared" si="185"/>
        <v>NGM-2510</v>
      </c>
      <c r="M2243" t="str">
        <f t="shared" si="185"/>
        <v>19990722</v>
      </c>
      <c r="N2243" t="str">
        <f t="shared" si="185"/>
        <v>ザ・キング・オブ・ファイターズ '99</v>
      </c>
      <c r="O2243" t="str">
        <f t="shared" si="185"/>
        <v/>
      </c>
      <c r="P2243" t="str">
        <f t="shared" si="185"/>
        <v/>
      </c>
      <c r="S2243" t="s">
        <v>36</v>
      </c>
      <c r="T2243" t="str">
        <f t="shared" ref="T2243:T2306" si="188">IF(S2243="","",I2243&amp;S2243)</f>
        <v>kof99ecompatibility</v>
      </c>
      <c r="U2243" t="s">
        <v>218</v>
      </c>
      <c r="V2243" t="str">
        <f t="shared" si="184"/>
        <v>MVS</v>
      </c>
      <c r="W2243" t="str">
        <f t="shared" si="184"/>
        <v>MVS,AES</v>
      </c>
      <c r="AG2243" t="s">
        <v>40</v>
      </c>
      <c r="AH2243" t="s">
        <v>2303</v>
      </c>
      <c r="AI2243" t="s">
        <v>23</v>
      </c>
      <c r="AJ2243" t="s">
        <v>3</v>
      </c>
      <c r="AK2243" t="s">
        <v>2302</v>
      </c>
      <c r="AL2243" t="s">
        <v>2301</v>
      </c>
    </row>
    <row r="2244" spans="9:40" x14ac:dyDescent="0.25">
      <c r="I2244" t="str">
        <f t="shared" si="186"/>
        <v>kof99e</v>
      </c>
      <c r="J2244" t="str">
        <f t="shared" si="187"/>
        <v/>
      </c>
      <c r="L2244" t="str">
        <f t="shared" si="185"/>
        <v>NGM-2510</v>
      </c>
      <c r="M2244" t="str">
        <f t="shared" si="185"/>
        <v>19990722</v>
      </c>
      <c r="N2244" t="str">
        <f t="shared" si="185"/>
        <v>ザ・キング・オブ・ファイターズ '99</v>
      </c>
      <c r="O2244" t="str">
        <f t="shared" si="185"/>
        <v/>
      </c>
      <c r="P2244" t="str">
        <f t="shared" si="185"/>
        <v/>
      </c>
      <c r="T2244" t="str">
        <f t="shared" si="188"/>
        <v/>
      </c>
      <c r="V2244" t="str">
        <f t="shared" si="184"/>
        <v>MVS</v>
      </c>
      <c r="W2244" t="str">
        <f t="shared" si="184"/>
        <v>MVS,AES</v>
      </c>
      <c r="AG2244" t="s">
        <v>40</v>
      </c>
      <c r="AH2244" t="s">
        <v>2300</v>
      </c>
      <c r="AI2244" t="s">
        <v>211</v>
      </c>
      <c r="AJ2244" t="s">
        <v>3</v>
      </c>
      <c r="AK2244" t="s">
        <v>2299</v>
      </c>
      <c r="AL2244" t="s">
        <v>2298</v>
      </c>
    </row>
    <row r="2245" spans="9:40" x14ac:dyDescent="0.25">
      <c r="I2245" t="str">
        <f t="shared" si="186"/>
        <v>kof99e</v>
      </c>
      <c r="J2245" t="str">
        <f t="shared" si="187"/>
        <v/>
      </c>
      <c r="L2245" t="str">
        <f t="shared" si="185"/>
        <v>NGM-2510</v>
      </c>
      <c r="M2245" t="str">
        <f t="shared" si="185"/>
        <v>19990722</v>
      </c>
      <c r="N2245" t="str">
        <f t="shared" si="185"/>
        <v>ザ・キング・オブ・ファイターズ '99</v>
      </c>
      <c r="O2245" t="str">
        <f t="shared" si="185"/>
        <v/>
      </c>
      <c r="P2245" t="str">
        <f t="shared" si="185"/>
        <v/>
      </c>
      <c r="T2245" t="str">
        <f t="shared" si="188"/>
        <v/>
      </c>
      <c r="V2245" t="str">
        <f t="shared" si="184"/>
        <v>MVS</v>
      </c>
      <c r="W2245" t="str">
        <f t="shared" si="184"/>
        <v>MVS,AES</v>
      </c>
      <c r="AB2245" t="s">
        <v>34</v>
      </c>
      <c r="AE2245" t="s">
        <v>135</v>
      </c>
      <c r="AG2245" t="s">
        <v>538</v>
      </c>
      <c r="AI2245" t="s">
        <v>9</v>
      </c>
      <c r="AJ2245" t="s">
        <v>135</v>
      </c>
      <c r="AN2245" t="s">
        <v>537</v>
      </c>
    </row>
    <row r="2246" spans="9:40" x14ac:dyDescent="0.25">
      <c r="I2246" t="str">
        <f t="shared" si="186"/>
        <v>kof99e</v>
      </c>
      <c r="J2246" t="str">
        <f t="shared" si="187"/>
        <v/>
      </c>
      <c r="L2246" t="str">
        <f t="shared" si="185"/>
        <v>NGM-2510</v>
      </c>
      <c r="M2246" t="str">
        <f t="shared" si="185"/>
        <v>19990722</v>
      </c>
      <c r="N2246" t="str">
        <f t="shared" si="185"/>
        <v>ザ・キング・オブ・ファイターズ '99</v>
      </c>
      <c r="O2246" t="str">
        <f t="shared" si="185"/>
        <v/>
      </c>
      <c r="P2246" t="str">
        <f t="shared" si="185"/>
        <v/>
      </c>
      <c r="T2246" t="str">
        <f t="shared" si="188"/>
        <v/>
      </c>
      <c r="V2246" t="str">
        <f t="shared" si="184"/>
        <v>MVS</v>
      </c>
      <c r="W2246" t="str">
        <f t="shared" si="184"/>
        <v>MVS,AES</v>
      </c>
      <c r="AB2246" t="s">
        <v>29</v>
      </c>
      <c r="AE2246" t="s">
        <v>27</v>
      </c>
      <c r="AH2246" t="s">
        <v>2240</v>
      </c>
      <c r="AI2246" t="s">
        <v>9</v>
      </c>
      <c r="AJ2246" t="s">
        <v>27</v>
      </c>
      <c r="AK2246" t="s">
        <v>2239</v>
      </c>
      <c r="AL2246" t="s">
        <v>2238</v>
      </c>
    </row>
    <row r="2247" spans="9:40" x14ac:dyDescent="0.25">
      <c r="I2247" t="str">
        <f t="shared" si="186"/>
        <v>kof99e</v>
      </c>
      <c r="J2247" t="str">
        <f t="shared" si="187"/>
        <v/>
      </c>
      <c r="L2247" t="str">
        <f t="shared" si="185"/>
        <v>NGM-2510</v>
      </c>
      <c r="M2247" t="str">
        <f t="shared" si="185"/>
        <v>19990722</v>
      </c>
      <c r="N2247" t="str">
        <f t="shared" si="185"/>
        <v>ザ・キング・オブ・ファイターズ '99</v>
      </c>
      <c r="O2247" t="str">
        <f t="shared" si="185"/>
        <v/>
      </c>
      <c r="P2247" t="str">
        <f t="shared" si="185"/>
        <v/>
      </c>
      <c r="T2247" t="str">
        <f t="shared" si="188"/>
        <v/>
      </c>
      <c r="V2247" t="str">
        <f t="shared" si="184"/>
        <v>MVS</v>
      </c>
      <c r="W2247" t="str">
        <f t="shared" si="184"/>
        <v>MVS,AES</v>
      </c>
      <c r="AB2247" t="s">
        <v>24</v>
      </c>
      <c r="AE2247" t="s">
        <v>1802</v>
      </c>
      <c r="AH2247" t="s">
        <v>2237</v>
      </c>
      <c r="AI2247" t="s">
        <v>9</v>
      </c>
      <c r="AJ2247" t="s">
        <v>11</v>
      </c>
      <c r="AK2247" t="s">
        <v>2236</v>
      </c>
      <c r="AL2247" t="s">
        <v>2235</v>
      </c>
    </row>
    <row r="2248" spans="9:40" x14ac:dyDescent="0.25">
      <c r="I2248" t="str">
        <f t="shared" si="186"/>
        <v>kof99e</v>
      </c>
      <c r="J2248" t="str">
        <f t="shared" si="187"/>
        <v/>
      </c>
      <c r="L2248" t="str">
        <f t="shared" si="185"/>
        <v>NGM-2510</v>
      </c>
      <c r="M2248" t="str">
        <f t="shared" si="185"/>
        <v>19990722</v>
      </c>
      <c r="N2248" t="str">
        <f t="shared" si="185"/>
        <v>ザ・キング・オブ・ファイターズ '99</v>
      </c>
      <c r="O2248" t="str">
        <f t="shared" si="185"/>
        <v/>
      </c>
      <c r="P2248" t="str">
        <f t="shared" si="185"/>
        <v/>
      </c>
      <c r="T2248" t="str">
        <f t="shared" si="188"/>
        <v/>
      </c>
      <c r="V2248" t="str">
        <f t="shared" si="184"/>
        <v>MVS</v>
      </c>
      <c r="W2248" t="str">
        <f t="shared" si="184"/>
        <v>MVS,AES</v>
      </c>
      <c r="AH2248" t="s">
        <v>2234</v>
      </c>
      <c r="AI2248" t="s">
        <v>11</v>
      </c>
      <c r="AJ2248" t="s">
        <v>11</v>
      </c>
      <c r="AK2248" t="s">
        <v>2233</v>
      </c>
      <c r="AL2248" t="s">
        <v>2232</v>
      </c>
    </row>
    <row r="2249" spans="9:40" x14ac:dyDescent="0.25">
      <c r="I2249" t="str">
        <f t="shared" si="186"/>
        <v>kof99e</v>
      </c>
      <c r="J2249" t="str">
        <f t="shared" si="187"/>
        <v/>
      </c>
      <c r="L2249" t="str">
        <f t="shared" si="185"/>
        <v>NGM-2510</v>
      </c>
      <c r="M2249" t="str">
        <f t="shared" si="185"/>
        <v>19990722</v>
      </c>
      <c r="N2249" t="str">
        <f t="shared" si="185"/>
        <v>ザ・キング・オブ・ファイターズ '99</v>
      </c>
      <c r="O2249" t="str">
        <f t="shared" si="185"/>
        <v/>
      </c>
      <c r="P2249" t="str">
        <f t="shared" si="185"/>
        <v/>
      </c>
      <c r="T2249" t="str">
        <f t="shared" si="188"/>
        <v/>
      </c>
      <c r="V2249" t="str">
        <f t="shared" si="184"/>
        <v>MVS</v>
      </c>
      <c r="W2249" t="str">
        <f t="shared" si="184"/>
        <v>MVS,AES</v>
      </c>
      <c r="AH2249" t="s">
        <v>2231</v>
      </c>
      <c r="AI2249" t="s">
        <v>57</v>
      </c>
      <c r="AJ2249" t="s">
        <v>11</v>
      </c>
      <c r="AK2249" t="s">
        <v>2230</v>
      </c>
      <c r="AL2249" t="s">
        <v>2229</v>
      </c>
    </row>
    <row r="2250" spans="9:40" x14ac:dyDescent="0.25">
      <c r="I2250" t="str">
        <f t="shared" si="186"/>
        <v>kof99e</v>
      </c>
      <c r="J2250" t="str">
        <f t="shared" si="187"/>
        <v/>
      </c>
      <c r="L2250" t="str">
        <f t="shared" si="185"/>
        <v>NGM-2510</v>
      </c>
      <c r="M2250" t="str">
        <f t="shared" si="185"/>
        <v>19990722</v>
      </c>
      <c r="N2250" t="str">
        <f t="shared" si="185"/>
        <v>ザ・キング・オブ・ファイターズ '99</v>
      </c>
      <c r="O2250" t="str">
        <f t="shared" si="185"/>
        <v/>
      </c>
      <c r="P2250" t="str">
        <f t="shared" si="185"/>
        <v/>
      </c>
      <c r="T2250" t="str">
        <f t="shared" si="188"/>
        <v/>
      </c>
      <c r="V2250" t="str">
        <f t="shared" si="184"/>
        <v>MVS</v>
      </c>
      <c r="W2250" t="str">
        <f t="shared" si="184"/>
        <v>MVS,AES</v>
      </c>
      <c r="AH2250" t="s">
        <v>2228</v>
      </c>
      <c r="AI2250" t="s">
        <v>250</v>
      </c>
      <c r="AJ2250" t="s">
        <v>3</v>
      </c>
      <c r="AK2250" t="s">
        <v>2227</v>
      </c>
      <c r="AL2250" t="s">
        <v>2226</v>
      </c>
    </row>
    <row r="2251" spans="9:40" x14ac:dyDescent="0.25">
      <c r="I2251" t="str">
        <f t="shared" si="186"/>
        <v>kof99e</v>
      </c>
      <c r="J2251" t="str">
        <f t="shared" si="187"/>
        <v/>
      </c>
      <c r="L2251" t="str">
        <f t="shared" si="185"/>
        <v>NGM-2510</v>
      </c>
      <c r="M2251" t="str">
        <f t="shared" si="185"/>
        <v>19990722</v>
      </c>
      <c r="N2251" t="str">
        <f t="shared" si="185"/>
        <v>ザ・キング・オブ・ファイターズ '99</v>
      </c>
      <c r="O2251" t="str">
        <f t="shared" si="185"/>
        <v/>
      </c>
      <c r="P2251" t="str">
        <f t="shared" si="185"/>
        <v/>
      </c>
      <c r="T2251" t="str">
        <f t="shared" si="188"/>
        <v/>
      </c>
      <c r="V2251" t="str">
        <f t="shared" si="184"/>
        <v>MVS</v>
      </c>
      <c r="W2251" t="str">
        <f t="shared" si="184"/>
        <v>MVS,AES</v>
      </c>
      <c r="AB2251" t="s">
        <v>12</v>
      </c>
      <c r="AE2251" t="s">
        <v>175</v>
      </c>
      <c r="AG2251" t="s">
        <v>6</v>
      </c>
      <c r="AH2251" t="s">
        <v>2276</v>
      </c>
      <c r="AI2251" t="s">
        <v>9</v>
      </c>
      <c r="AJ2251" t="s">
        <v>57</v>
      </c>
      <c r="AK2251" t="s">
        <v>2275</v>
      </c>
      <c r="AL2251" t="s">
        <v>2274</v>
      </c>
    </row>
    <row r="2252" spans="9:40" x14ac:dyDescent="0.25">
      <c r="I2252" t="str">
        <f t="shared" si="186"/>
        <v>kof99e</v>
      </c>
      <c r="J2252" t="str">
        <f t="shared" si="187"/>
        <v/>
      </c>
      <c r="L2252" t="str">
        <f t="shared" si="185"/>
        <v>NGM-2510</v>
      </c>
      <c r="M2252" t="str">
        <f t="shared" si="185"/>
        <v>19990722</v>
      </c>
      <c r="N2252" t="str">
        <f t="shared" si="185"/>
        <v>ザ・キング・オブ・ファイターズ '99</v>
      </c>
      <c r="O2252" t="str">
        <f t="shared" si="185"/>
        <v/>
      </c>
      <c r="P2252" t="str">
        <f t="shared" si="185"/>
        <v/>
      </c>
      <c r="T2252" t="str">
        <f t="shared" si="188"/>
        <v/>
      </c>
      <c r="V2252" t="str">
        <f t="shared" si="184"/>
        <v>MVS</v>
      </c>
      <c r="W2252" t="str">
        <f t="shared" si="184"/>
        <v>MVS,AES</v>
      </c>
      <c r="AG2252" t="s">
        <v>6</v>
      </c>
      <c r="AH2252" t="s">
        <v>2273</v>
      </c>
      <c r="AI2252" t="s">
        <v>4</v>
      </c>
      <c r="AJ2252" t="s">
        <v>57</v>
      </c>
      <c r="AK2252" t="s">
        <v>2272</v>
      </c>
      <c r="AL2252" t="s">
        <v>2271</v>
      </c>
    </row>
    <row r="2253" spans="9:40" x14ac:dyDescent="0.25">
      <c r="I2253" t="str">
        <f t="shared" si="186"/>
        <v>kof99e</v>
      </c>
      <c r="J2253" t="str">
        <f t="shared" si="187"/>
        <v/>
      </c>
      <c r="L2253" t="str">
        <f t="shared" si="185"/>
        <v>NGM-2510</v>
      </c>
      <c r="M2253" t="str">
        <f t="shared" si="185"/>
        <v>19990722</v>
      </c>
      <c r="N2253" t="str">
        <f t="shared" si="185"/>
        <v>ザ・キング・オブ・ファイターズ '99</v>
      </c>
      <c r="O2253" t="str">
        <f t="shared" si="185"/>
        <v/>
      </c>
      <c r="P2253" t="str">
        <f t="shared" si="185"/>
        <v/>
      </c>
      <c r="T2253" t="str">
        <f t="shared" si="188"/>
        <v/>
      </c>
      <c r="V2253" t="str">
        <f t="shared" si="184"/>
        <v>MVS</v>
      </c>
      <c r="W2253" t="str">
        <f t="shared" si="184"/>
        <v>MVS,AES</v>
      </c>
      <c r="AG2253" t="s">
        <v>6</v>
      </c>
      <c r="AH2253" t="s">
        <v>2270</v>
      </c>
      <c r="AI2253" t="s">
        <v>65</v>
      </c>
      <c r="AJ2253" t="s">
        <v>57</v>
      </c>
      <c r="AK2253" t="s">
        <v>2269</v>
      </c>
      <c r="AL2253" t="s">
        <v>2268</v>
      </c>
    </row>
    <row r="2254" spans="9:40" x14ac:dyDescent="0.25">
      <c r="I2254" t="str">
        <f t="shared" si="186"/>
        <v>kof99e</v>
      </c>
      <c r="J2254" t="str">
        <f t="shared" si="187"/>
        <v/>
      </c>
      <c r="L2254" t="str">
        <f t="shared" si="185"/>
        <v>NGM-2510</v>
      </c>
      <c r="M2254" t="str">
        <f t="shared" si="185"/>
        <v>19990722</v>
      </c>
      <c r="N2254" t="str">
        <f t="shared" si="185"/>
        <v>ザ・キング・オブ・ファイターズ '99</v>
      </c>
      <c r="O2254" t="str">
        <f t="shared" si="185"/>
        <v/>
      </c>
      <c r="P2254" t="str">
        <f t="shared" si="185"/>
        <v/>
      </c>
      <c r="T2254" t="str">
        <f t="shared" si="188"/>
        <v/>
      </c>
      <c r="V2254" t="str">
        <f t="shared" si="184"/>
        <v>MVS</v>
      </c>
      <c r="W2254" t="str">
        <f t="shared" si="184"/>
        <v>MVS,AES</v>
      </c>
      <c r="AG2254" t="s">
        <v>6</v>
      </c>
      <c r="AH2254" t="s">
        <v>2267</v>
      </c>
      <c r="AI2254" t="s">
        <v>164</v>
      </c>
      <c r="AJ2254" t="s">
        <v>57</v>
      </c>
      <c r="AK2254" t="s">
        <v>2266</v>
      </c>
      <c r="AL2254" t="s">
        <v>2265</v>
      </c>
    </row>
    <row r="2255" spans="9:40" x14ac:dyDescent="0.25">
      <c r="I2255" t="str">
        <f t="shared" si="186"/>
        <v>kof99e</v>
      </c>
      <c r="J2255" t="str">
        <f t="shared" si="187"/>
        <v/>
      </c>
      <c r="L2255" t="str">
        <f t="shared" si="185"/>
        <v>NGM-2510</v>
      </c>
      <c r="M2255" t="str">
        <f t="shared" si="185"/>
        <v>19990722</v>
      </c>
      <c r="N2255" t="str">
        <f t="shared" si="185"/>
        <v>ザ・キング・オブ・ファイターズ '99</v>
      </c>
      <c r="O2255" t="str">
        <f t="shared" si="185"/>
        <v/>
      </c>
      <c r="P2255" t="str">
        <f t="shared" si="185"/>
        <v/>
      </c>
      <c r="T2255" t="str">
        <f t="shared" si="188"/>
        <v/>
      </c>
      <c r="V2255" t="str">
        <f t="shared" si="184"/>
        <v>MVS</v>
      </c>
      <c r="W2255" t="str">
        <f t="shared" si="184"/>
        <v>MVS,AES</v>
      </c>
      <c r="AG2255" t="s">
        <v>6</v>
      </c>
      <c r="AH2255" t="s">
        <v>2264</v>
      </c>
      <c r="AI2255" t="s">
        <v>160</v>
      </c>
      <c r="AJ2255" t="s">
        <v>57</v>
      </c>
      <c r="AK2255" t="s">
        <v>2263</v>
      </c>
      <c r="AL2255" t="s">
        <v>2262</v>
      </c>
    </row>
    <row r="2256" spans="9:40" x14ac:dyDescent="0.25">
      <c r="I2256" t="str">
        <f t="shared" si="186"/>
        <v>kof99e</v>
      </c>
      <c r="J2256" t="str">
        <f t="shared" si="187"/>
        <v/>
      </c>
      <c r="L2256" t="str">
        <f t="shared" si="185"/>
        <v>NGM-2510</v>
      </c>
      <c r="M2256" t="str">
        <f t="shared" si="185"/>
        <v>19990722</v>
      </c>
      <c r="N2256" t="str">
        <f t="shared" si="185"/>
        <v>ザ・キング・オブ・ファイターズ '99</v>
      </c>
      <c r="O2256" t="str">
        <f t="shared" si="185"/>
        <v/>
      </c>
      <c r="P2256" t="str">
        <f t="shared" si="185"/>
        <v/>
      </c>
      <c r="T2256" t="str">
        <f t="shared" si="188"/>
        <v/>
      </c>
      <c r="V2256" t="str">
        <f t="shared" si="184"/>
        <v>MVS</v>
      </c>
      <c r="W2256" t="str">
        <f t="shared" si="184"/>
        <v>MVS,AES</v>
      </c>
      <c r="AG2256" t="s">
        <v>6</v>
      </c>
      <c r="AH2256" t="s">
        <v>2261</v>
      </c>
      <c r="AI2256" t="s">
        <v>156</v>
      </c>
      <c r="AJ2256" t="s">
        <v>57</v>
      </c>
      <c r="AK2256" t="s">
        <v>2260</v>
      </c>
      <c r="AL2256" t="s">
        <v>2259</v>
      </c>
    </row>
    <row r="2257" spans="5:44" x14ac:dyDescent="0.25">
      <c r="I2257" t="str">
        <f t="shared" si="186"/>
        <v>kof99e</v>
      </c>
      <c r="J2257" t="str">
        <f t="shared" si="187"/>
        <v/>
      </c>
      <c r="L2257" t="str">
        <f t="shared" si="185"/>
        <v>NGM-2510</v>
      </c>
      <c r="M2257" t="str">
        <f t="shared" si="185"/>
        <v>19990722</v>
      </c>
      <c r="N2257" t="str">
        <f t="shared" si="185"/>
        <v>ザ・キング・オブ・ファイターズ '99</v>
      </c>
      <c r="O2257" t="str">
        <f t="shared" si="185"/>
        <v/>
      </c>
      <c r="P2257" t="str">
        <f t="shared" si="185"/>
        <v/>
      </c>
      <c r="T2257" t="str">
        <f t="shared" si="188"/>
        <v/>
      </c>
      <c r="V2257" t="str">
        <f t="shared" si="184"/>
        <v>MVS</v>
      </c>
      <c r="W2257" t="str">
        <f t="shared" si="184"/>
        <v>MVS,AES</v>
      </c>
      <c r="AG2257" t="s">
        <v>6</v>
      </c>
      <c r="AH2257" t="s">
        <v>2258</v>
      </c>
      <c r="AI2257" t="s">
        <v>152</v>
      </c>
      <c r="AJ2257" t="s">
        <v>57</v>
      </c>
      <c r="AK2257" t="s">
        <v>2257</v>
      </c>
      <c r="AL2257" t="s">
        <v>2256</v>
      </c>
    </row>
    <row r="2258" spans="5:44" x14ac:dyDescent="0.25">
      <c r="I2258" t="str">
        <f t="shared" si="186"/>
        <v>kof99e</v>
      </c>
      <c r="J2258" t="str">
        <f t="shared" si="187"/>
        <v/>
      </c>
      <c r="L2258" t="str">
        <f t="shared" si="185"/>
        <v>NGM-2510</v>
      </c>
      <c r="M2258" t="str">
        <f t="shared" si="185"/>
        <v>19990722</v>
      </c>
      <c r="N2258" t="str">
        <f t="shared" si="185"/>
        <v>ザ・キング・オブ・ファイターズ '99</v>
      </c>
      <c r="O2258" t="str">
        <f t="shared" si="185"/>
        <v/>
      </c>
      <c r="P2258" t="str">
        <f t="shared" si="185"/>
        <v/>
      </c>
      <c r="T2258" t="str">
        <f t="shared" si="188"/>
        <v/>
      </c>
      <c r="V2258" t="str">
        <f t="shared" si="184"/>
        <v>MVS</v>
      </c>
      <c r="W2258" t="str">
        <f t="shared" si="184"/>
        <v>MVS,AES</v>
      </c>
      <c r="AG2258" t="s">
        <v>6</v>
      </c>
      <c r="AH2258" t="s">
        <v>2255</v>
      </c>
      <c r="AI2258" t="s">
        <v>148</v>
      </c>
      <c r="AJ2258" t="s">
        <v>57</v>
      </c>
      <c r="AK2258" t="s">
        <v>2254</v>
      </c>
      <c r="AL2258" t="s">
        <v>2253</v>
      </c>
    </row>
    <row r="2259" spans="5:44" x14ac:dyDescent="0.25">
      <c r="E2259" t="s">
        <v>2297</v>
      </c>
      <c r="F2259" t="s">
        <v>2296</v>
      </c>
      <c r="G2259" t="s">
        <v>1053</v>
      </c>
      <c r="H2259" t="s">
        <v>1912</v>
      </c>
      <c r="I2259" t="str">
        <f t="shared" si="186"/>
        <v>kof99k</v>
      </c>
      <c r="J2259" t="str">
        <f t="shared" si="187"/>
        <v/>
      </c>
      <c r="L2259" t="str">
        <f t="shared" ref="L2259:P2309" si="189">IFERROR(VLOOKUP($I2259&amp;L$1,$J:$Q,8,0),"")</f>
        <v/>
      </c>
      <c r="M2259" t="str">
        <f t="shared" si="189"/>
        <v/>
      </c>
      <c r="N2259" t="str">
        <f t="shared" si="189"/>
        <v/>
      </c>
      <c r="O2259" t="str">
        <f t="shared" si="189"/>
        <v/>
      </c>
      <c r="P2259" t="str">
        <f t="shared" si="189"/>
        <v/>
      </c>
      <c r="S2259" t="s">
        <v>46</v>
      </c>
      <c r="T2259" t="str">
        <f t="shared" si="188"/>
        <v>kof99krelease</v>
      </c>
      <c r="U2259" t="s">
        <v>106</v>
      </c>
      <c r="V2259" t="str">
        <f t="shared" si="184"/>
        <v>MVS</v>
      </c>
      <c r="W2259" t="str">
        <f t="shared" si="184"/>
        <v>MVS,AES</v>
      </c>
      <c r="Y2259" t="s">
        <v>45</v>
      </c>
      <c r="Z2259" t="s">
        <v>44</v>
      </c>
      <c r="AB2259" t="s">
        <v>43</v>
      </c>
      <c r="AC2259" t="s">
        <v>42</v>
      </c>
      <c r="AD2259" t="s">
        <v>41</v>
      </c>
      <c r="AE2259" t="s">
        <v>704</v>
      </c>
      <c r="AG2259" t="s">
        <v>40</v>
      </c>
      <c r="AH2259" t="s">
        <v>2295</v>
      </c>
      <c r="AI2259" t="s">
        <v>1924</v>
      </c>
      <c r="AJ2259" t="s">
        <v>33</v>
      </c>
      <c r="AK2259" t="s">
        <v>2294</v>
      </c>
      <c r="AL2259" t="s">
        <v>2293</v>
      </c>
      <c r="AP2259" t="s">
        <v>138</v>
      </c>
      <c r="AQ2259" t="s">
        <v>2292</v>
      </c>
      <c r="AR2259" t="s">
        <v>2247</v>
      </c>
    </row>
    <row r="2260" spans="5:44" x14ac:dyDescent="0.25">
      <c r="I2260" t="str">
        <f t="shared" si="186"/>
        <v>kof99k</v>
      </c>
      <c r="J2260" t="str">
        <f t="shared" si="187"/>
        <v/>
      </c>
      <c r="L2260" t="str">
        <f t="shared" si="189"/>
        <v/>
      </c>
      <c r="M2260" t="str">
        <f t="shared" si="189"/>
        <v/>
      </c>
      <c r="N2260" t="str">
        <f t="shared" si="189"/>
        <v/>
      </c>
      <c r="O2260" t="str">
        <f t="shared" si="189"/>
        <v/>
      </c>
      <c r="P2260" t="str">
        <f t="shared" si="189"/>
        <v/>
      </c>
      <c r="S2260" t="s">
        <v>36</v>
      </c>
      <c r="T2260" t="str">
        <f t="shared" si="188"/>
        <v>kof99kcompatibility</v>
      </c>
      <c r="U2260" t="s">
        <v>218</v>
      </c>
      <c r="V2260" t="str">
        <f t="shared" si="184"/>
        <v>MVS</v>
      </c>
      <c r="W2260" t="str">
        <f t="shared" si="184"/>
        <v>MVS,AES</v>
      </c>
      <c r="AG2260" t="s">
        <v>40</v>
      </c>
      <c r="AH2260" t="s">
        <v>2291</v>
      </c>
      <c r="AI2260" t="s">
        <v>15</v>
      </c>
      <c r="AJ2260" t="s">
        <v>11</v>
      </c>
      <c r="AK2260" t="s">
        <v>2290</v>
      </c>
      <c r="AL2260" t="s">
        <v>2289</v>
      </c>
    </row>
    <row r="2261" spans="5:44" x14ac:dyDescent="0.25">
      <c r="I2261" t="str">
        <f t="shared" si="186"/>
        <v>kof99k</v>
      </c>
      <c r="J2261" t="str">
        <f t="shared" si="187"/>
        <v/>
      </c>
      <c r="L2261" t="str">
        <f t="shared" si="189"/>
        <v/>
      </c>
      <c r="M2261" t="str">
        <f t="shared" si="189"/>
        <v/>
      </c>
      <c r="N2261" t="str">
        <f t="shared" si="189"/>
        <v/>
      </c>
      <c r="O2261" t="str">
        <f t="shared" si="189"/>
        <v/>
      </c>
      <c r="P2261" t="str">
        <f t="shared" si="189"/>
        <v/>
      </c>
      <c r="T2261" t="str">
        <f t="shared" si="188"/>
        <v/>
      </c>
      <c r="V2261" t="str">
        <f t="shared" si="184"/>
        <v>MVS</v>
      </c>
      <c r="W2261" t="str">
        <f t="shared" si="184"/>
        <v>MVS,AES</v>
      </c>
      <c r="AG2261" t="s">
        <v>40</v>
      </c>
      <c r="AH2261" t="s">
        <v>2288</v>
      </c>
      <c r="AI2261" t="s">
        <v>23</v>
      </c>
      <c r="AJ2261" t="s">
        <v>11</v>
      </c>
      <c r="AK2261" t="s">
        <v>2287</v>
      </c>
      <c r="AL2261" t="s">
        <v>2286</v>
      </c>
    </row>
    <row r="2262" spans="5:44" x14ac:dyDescent="0.25">
      <c r="I2262" t="str">
        <f t="shared" si="186"/>
        <v>kof99k</v>
      </c>
      <c r="J2262" t="str">
        <f t="shared" si="187"/>
        <v/>
      </c>
      <c r="L2262" t="str">
        <f t="shared" si="189"/>
        <v/>
      </c>
      <c r="M2262" t="str">
        <f t="shared" si="189"/>
        <v/>
      </c>
      <c r="N2262" t="str">
        <f t="shared" si="189"/>
        <v/>
      </c>
      <c r="O2262" t="str">
        <f t="shared" si="189"/>
        <v/>
      </c>
      <c r="P2262" t="str">
        <f t="shared" si="189"/>
        <v/>
      </c>
      <c r="T2262" t="str">
        <f t="shared" si="188"/>
        <v/>
      </c>
      <c r="V2262" t="str">
        <f t="shared" si="184"/>
        <v>MVS</v>
      </c>
      <c r="W2262" t="str">
        <f t="shared" si="184"/>
        <v>MVS,AES</v>
      </c>
      <c r="AB2262" t="s">
        <v>34</v>
      </c>
      <c r="AE2262" t="s">
        <v>135</v>
      </c>
      <c r="AG2262" t="s">
        <v>538</v>
      </c>
      <c r="AI2262" t="s">
        <v>9</v>
      </c>
      <c r="AJ2262" t="s">
        <v>135</v>
      </c>
      <c r="AN2262" t="s">
        <v>537</v>
      </c>
    </row>
    <row r="2263" spans="5:44" x14ac:dyDescent="0.25">
      <c r="I2263" t="str">
        <f t="shared" si="186"/>
        <v>kof99k</v>
      </c>
      <c r="J2263" t="str">
        <f t="shared" si="187"/>
        <v/>
      </c>
      <c r="L2263" t="str">
        <f t="shared" si="189"/>
        <v/>
      </c>
      <c r="M2263" t="str">
        <f t="shared" si="189"/>
        <v/>
      </c>
      <c r="N2263" t="str">
        <f t="shared" si="189"/>
        <v/>
      </c>
      <c r="O2263" t="str">
        <f t="shared" si="189"/>
        <v/>
      </c>
      <c r="P2263" t="str">
        <f t="shared" si="189"/>
        <v/>
      </c>
      <c r="T2263" t="str">
        <f t="shared" si="188"/>
        <v/>
      </c>
      <c r="V2263" t="str">
        <f t="shared" ref="V2263:W2326" si="190">IFERROR(VLOOKUP($I2263&amp;V$1,$T:$AA,2,0),"")</f>
        <v>MVS</v>
      </c>
      <c r="W2263" t="str">
        <f t="shared" si="190"/>
        <v>MVS,AES</v>
      </c>
      <c r="AB2263" t="s">
        <v>29</v>
      </c>
      <c r="AE2263" t="s">
        <v>27</v>
      </c>
      <c r="AH2263" t="s">
        <v>2240</v>
      </c>
      <c r="AI2263" t="s">
        <v>9</v>
      </c>
      <c r="AJ2263" t="s">
        <v>27</v>
      </c>
      <c r="AK2263" t="s">
        <v>2239</v>
      </c>
      <c r="AL2263" t="s">
        <v>2238</v>
      </c>
    </row>
    <row r="2264" spans="5:44" x14ac:dyDescent="0.25">
      <c r="I2264" t="str">
        <f t="shared" si="186"/>
        <v>kof99k</v>
      </c>
      <c r="J2264" t="str">
        <f t="shared" si="187"/>
        <v/>
      </c>
      <c r="L2264" t="str">
        <f t="shared" si="189"/>
        <v/>
      </c>
      <c r="M2264" t="str">
        <f t="shared" si="189"/>
        <v/>
      </c>
      <c r="N2264" t="str">
        <f t="shared" si="189"/>
        <v/>
      </c>
      <c r="O2264" t="str">
        <f t="shared" si="189"/>
        <v/>
      </c>
      <c r="P2264" t="str">
        <f t="shared" si="189"/>
        <v/>
      </c>
      <c r="T2264" t="str">
        <f t="shared" si="188"/>
        <v/>
      </c>
      <c r="V2264" t="str">
        <f t="shared" si="190"/>
        <v>MVS</v>
      </c>
      <c r="W2264" t="str">
        <f t="shared" si="190"/>
        <v>MVS,AES</v>
      </c>
      <c r="AB2264" t="s">
        <v>24</v>
      </c>
      <c r="AE2264" t="s">
        <v>1802</v>
      </c>
      <c r="AH2264" t="s">
        <v>2237</v>
      </c>
      <c r="AI2264" t="s">
        <v>9</v>
      </c>
      <c r="AJ2264" t="s">
        <v>11</v>
      </c>
      <c r="AK2264" t="s">
        <v>2236</v>
      </c>
      <c r="AL2264" t="s">
        <v>2235</v>
      </c>
    </row>
    <row r="2265" spans="5:44" x14ac:dyDescent="0.25">
      <c r="I2265" t="str">
        <f t="shared" si="186"/>
        <v>kof99k</v>
      </c>
      <c r="J2265" t="str">
        <f t="shared" si="187"/>
        <v/>
      </c>
      <c r="L2265" t="str">
        <f t="shared" si="189"/>
        <v/>
      </c>
      <c r="M2265" t="str">
        <f t="shared" si="189"/>
        <v/>
      </c>
      <c r="N2265" t="str">
        <f t="shared" si="189"/>
        <v/>
      </c>
      <c r="O2265" t="str">
        <f t="shared" si="189"/>
        <v/>
      </c>
      <c r="P2265" t="str">
        <f t="shared" si="189"/>
        <v/>
      </c>
      <c r="T2265" t="str">
        <f t="shared" si="188"/>
        <v/>
      </c>
      <c r="V2265" t="str">
        <f t="shared" si="190"/>
        <v>MVS</v>
      </c>
      <c r="W2265" t="str">
        <f t="shared" si="190"/>
        <v>MVS,AES</v>
      </c>
      <c r="AH2265" t="s">
        <v>2234</v>
      </c>
      <c r="AI2265" t="s">
        <v>11</v>
      </c>
      <c r="AJ2265" t="s">
        <v>11</v>
      </c>
      <c r="AK2265" t="s">
        <v>2233</v>
      </c>
      <c r="AL2265" t="s">
        <v>2232</v>
      </c>
    </row>
    <row r="2266" spans="5:44" x14ac:dyDescent="0.25">
      <c r="I2266" t="str">
        <f t="shared" si="186"/>
        <v>kof99k</v>
      </c>
      <c r="J2266" t="str">
        <f t="shared" si="187"/>
        <v/>
      </c>
      <c r="L2266" t="str">
        <f t="shared" si="189"/>
        <v/>
      </c>
      <c r="M2266" t="str">
        <f t="shared" si="189"/>
        <v/>
      </c>
      <c r="N2266" t="str">
        <f t="shared" si="189"/>
        <v/>
      </c>
      <c r="O2266" t="str">
        <f t="shared" si="189"/>
        <v/>
      </c>
      <c r="P2266" t="str">
        <f t="shared" si="189"/>
        <v/>
      </c>
      <c r="T2266" t="str">
        <f t="shared" si="188"/>
        <v/>
      </c>
      <c r="V2266" t="str">
        <f t="shared" si="190"/>
        <v>MVS</v>
      </c>
      <c r="W2266" t="str">
        <f t="shared" si="190"/>
        <v>MVS,AES</v>
      </c>
      <c r="AH2266" t="s">
        <v>2231</v>
      </c>
      <c r="AI2266" t="s">
        <v>57</v>
      </c>
      <c r="AJ2266" t="s">
        <v>11</v>
      </c>
      <c r="AK2266" t="s">
        <v>2230</v>
      </c>
      <c r="AL2266" t="s">
        <v>2229</v>
      </c>
    </row>
    <row r="2267" spans="5:44" x14ac:dyDescent="0.25">
      <c r="I2267" t="str">
        <f t="shared" si="186"/>
        <v>kof99k</v>
      </c>
      <c r="J2267" t="str">
        <f t="shared" si="187"/>
        <v/>
      </c>
      <c r="L2267" t="str">
        <f t="shared" si="189"/>
        <v/>
      </c>
      <c r="M2267" t="str">
        <f t="shared" si="189"/>
        <v/>
      </c>
      <c r="N2267" t="str">
        <f t="shared" si="189"/>
        <v/>
      </c>
      <c r="O2267" t="str">
        <f t="shared" si="189"/>
        <v/>
      </c>
      <c r="P2267" t="str">
        <f t="shared" si="189"/>
        <v/>
      </c>
      <c r="T2267" t="str">
        <f t="shared" si="188"/>
        <v/>
      </c>
      <c r="V2267" t="str">
        <f t="shared" si="190"/>
        <v>MVS</v>
      </c>
      <c r="W2267" t="str">
        <f t="shared" si="190"/>
        <v>MVS,AES</v>
      </c>
      <c r="AH2267" t="s">
        <v>2228</v>
      </c>
      <c r="AI2267" t="s">
        <v>250</v>
      </c>
      <c r="AJ2267" t="s">
        <v>3</v>
      </c>
      <c r="AK2267" t="s">
        <v>2227</v>
      </c>
      <c r="AL2267" t="s">
        <v>2226</v>
      </c>
    </row>
    <row r="2268" spans="5:44" x14ac:dyDescent="0.25">
      <c r="I2268" t="str">
        <f t="shared" si="186"/>
        <v>kof99k</v>
      </c>
      <c r="J2268" t="str">
        <f t="shared" si="187"/>
        <v/>
      </c>
      <c r="L2268" t="str">
        <f t="shared" si="189"/>
        <v/>
      </c>
      <c r="M2268" t="str">
        <f t="shared" si="189"/>
        <v/>
      </c>
      <c r="N2268" t="str">
        <f t="shared" si="189"/>
        <v/>
      </c>
      <c r="O2268" t="str">
        <f t="shared" si="189"/>
        <v/>
      </c>
      <c r="P2268" t="str">
        <f t="shared" si="189"/>
        <v/>
      </c>
      <c r="T2268" t="str">
        <f t="shared" si="188"/>
        <v/>
      </c>
      <c r="V2268" t="str">
        <f t="shared" si="190"/>
        <v>MVS</v>
      </c>
      <c r="W2268" t="str">
        <f t="shared" si="190"/>
        <v>MVS,AES</v>
      </c>
      <c r="AB2268" t="s">
        <v>12</v>
      </c>
      <c r="AE2268" t="s">
        <v>175</v>
      </c>
      <c r="AG2268" t="s">
        <v>6</v>
      </c>
      <c r="AH2268" t="s">
        <v>2276</v>
      </c>
      <c r="AI2268" t="s">
        <v>9</v>
      </c>
      <c r="AJ2268" t="s">
        <v>57</v>
      </c>
      <c r="AK2268" t="s">
        <v>2275</v>
      </c>
      <c r="AL2268" t="s">
        <v>2274</v>
      </c>
    </row>
    <row r="2269" spans="5:44" x14ac:dyDescent="0.25">
      <c r="I2269" t="str">
        <f t="shared" si="186"/>
        <v>kof99k</v>
      </c>
      <c r="J2269" t="str">
        <f t="shared" si="187"/>
        <v/>
      </c>
      <c r="L2269" t="str">
        <f t="shared" si="189"/>
        <v/>
      </c>
      <c r="M2269" t="str">
        <f t="shared" si="189"/>
        <v/>
      </c>
      <c r="N2269" t="str">
        <f t="shared" si="189"/>
        <v/>
      </c>
      <c r="O2269" t="str">
        <f t="shared" si="189"/>
        <v/>
      </c>
      <c r="P2269" t="str">
        <f t="shared" si="189"/>
        <v/>
      </c>
      <c r="T2269" t="str">
        <f t="shared" si="188"/>
        <v/>
      </c>
      <c r="V2269" t="str">
        <f t="shared" si="190"/>
        <v>MVS</v>
      </c>
      <c r="W2269" t="str">
        <f t="shared" si="190"/>
        <v>MVS,AES</v>
      </c>
      <c r="AG2269" t="s">
        <v>6</v>
      </c>
      <c r="AH2269" t="s">
        <v>2273</v>
      </c>
      <c r="AI2269" t="s">
        <v>4</v>
      </c>
      <c r="AJ2269" t="s">
        <v>57</v>
      </c>
      <c r="AK2269" t="s">
        <v>2272</v>
      </c>
      <c r="AL2269" t="s">
        <v>2271</v>
      </c>
    </row>
    <row r="2270" spans="5:44" x14ac:dyDescent="0.25">
      <c r="I2270" t="str">
        <f t="shared" si="186"/>
        <v>kof99k</v>
      </c>
      <c r="J2270" t="str">
        <f t="shared" si="187"/>
        <v/>
      </c>
      <c r="L2270" t="str">
        <f t="shared" si="189"/>
        <v/>
      </c>
      <c r="M2270" t="str">
        <f t="shared" si="189"/>
        <v/>
      </c>
      <c r="N2270" t="str">
        <f t="shared" si="189"/>
        <v/>
      </c>
      <c r="O2270" t="str">
        <f t="shared" si="189"/>
        <v/>
      </c>
      <c r="P2270" t="str">
        <f t="shared" si="189"/>
        <v/>
      </c>
      <c r="T2270" t="str">
        <f t="shared" si="188"/>
        <v/>
      </c>
      <c r="V2270" t="str">
        <f t="shared" si="190"/>
        <v>MVS</v>
      </c>
      <c r="W2270" t="str">
        <f t="shared" si="190"/>
        <v>MVS,AES</v>
      </c>
      <c r="AG2270" t="s">
        <v>6</v>
      </c>
      <c r="AH2270" t="s">
        <v>2270</v>
      </c>
      <c r="AI2270" t="s">
        <v>65</v>
      </c>
      <c r="AJ2270" t="s">
        <v>57</v>
      </c>
      <c r="AK2270" t="s">
        <v>2269</v>
      </c>
      <c r="AL2270" t="s">
        <v>2268</v>
      </c>
    </row>
    <row r="2271" spans="5:44" x14ac:dyDescent="0.25">
      <c r="I2271" t="str">
        <f t="shared" si="186"/>
        <v>kof99k</v>
      </c>
      <c r="J2271" t="str">
        <f t="shared" si="187"/>
        <v/>
      </c>
      <c r="L2271" t="str">
        <f t="shared" si="189"/>
        <v/>
      </c>
      <c r="M2271" t="str">
        <f t="shared" si="189"/>
        <v/>
      </c>
      <c r="N2271" t="str">
        <f t="shared" si="189"/>
        <v/>
      </c>
      <c r="O2271" t="str">
        <f t="shared" si="189"/>
        <v/>
      </c>
      <c r="P2271" t="str">
        <f t="shared" si="189"/>
        <v/>
      </c>
      <c r="T2271" t="str">
        <f t="shared" si="188"/>
        <v/>
      </c>
      <c r="V2271" t="str">
        <f t="shared" si="190"/>
        <v>MVS</v>
      </c>
      <c r="W2271" t="str">
        <f t="shared" si="190"/>
        <v>MVS,AES</v>
      </c>
      <c r="AG2271" t="s">
        <v>6</v>
      </c>
      <c r="AH2271" t="s">
        <v>2267</v>
      </c>
      <c r="AI2271" t="s">
        <v>164</v>
      </c>
      <c r="AJ2271" t="s">
        <v>57</v>
      </c>
      <c r="AK2271" t="s">
        <v>2266</v>
      </c>
      <c r="AL2271" t="s">
        <v>2265</v>
      </c>
    </row>
    <row r="2272" spans="5:44" x14ac:dyDescent="0.25">
      <c r="I2272" t="str">
        <f t="shared" si="186"/>
        <v>kof99k</v>
      </c>
      <c r="J2272" t="str">
        <f t="shared" si="187"/>
        <v/>
      </c>
      <c r="L2272" t="str">
        <f t="shared" si="189"/>
        <v/>
      </c>
      <c r="M2272" t="str">
        <f t="shared" si="189"/>
        <v/>
      </c>
      <c r="N2272" t="str">
        <f t="shared" si="189"/>
        <v/>
      </c>
      <c r="O2272" t="str">
        <f t="shared" si="189"/>
        <v/>
      </c>
      <c r="P2272" t="str">
        <f t="shared" si="189"/>
        <v/>
      </c>
      <c r="T2272" t="str">
        <f t="shared" si="188"/>
        <v/>
      </c>
      <c r="V2272" t="str">
        <f t="shared" si="190"/>
        <v>MVS</v>
      </c>
      <c r="W2272" t="str">
        <f t="shared" si="190"/>
        <v>MVS,AES</v>
      </c>
      <c r="AG2272" t="s">
        <v>6</v>
      </c>
      <c r="AH2272" t="s">
        <v>2264</v>
      </c>
      <c r="AI2272" t="s">
        <v>160</v>
      </c>
      <c r="AJ2272" t="s">
        <v>57</v>
      </c>
      <c r="AK2272" t="s">
        <v>2263</v>
      </c>
      <c r="AL2272" t="s">
        <v>2262</v>
      </c>
    </row>
    <row r="2273" spans="5:44" x14ac:dyDescent="0.25">
      <c r="I2273" t="str">
        <f t="shared" si="186"/>
        <v>kof99k</v>
      </c>
      <c r="J2273" t="str">
        <f t="shared" si="187"/>
        <v/>
      </c>
      <c r="L2273" t="str">
        <f t="shared" si="189"/>
        <v/>
      </c>
      <c r="M2273" t="str">
        <f t="shared" si="189"/>
        <v/>
      </c>
      <c r="N2273" t="str">
        <f t="shared" si="189"/>
        <v/>
      </c>
      <c r="O2273" t="str">
        <f t="shared" si="189"/>
        <v/>
      </c>
      <c r="P2273" t="str">
        <f t="shared" si="189"/>
        <v/>
      </c>
      <c r="T2273" t="str">
        <f t="shared" si="188"/>
        <v/>
      </c>
      <c r="V2273" t="str">
        <f t="shared" si="190"/>
        <v>MVS</v>
      </c>
      <c r="W2273" t="str">
        <f t="shared" si="190"/>
        <v>MVS,AES</v>
      </c>
      <c r="AG2273" t="s">
        <v>6</v>
      </c>
      <c r="AH2273" t="s">
        <v>2261</v>
      </c>
      <c r="AI2273" t="s">
        <v>156</v>
      </c>
      <c r="AJ2273" t="s">
        <v>57</v>
      </c>
      <c r="AK2273" t="s">
        <v>2260</v>
      </c>
      <c r="AL2273" t="s">
        <v>2259</v>
      </c>
    </row>
    <row r="2274" spans="5:44" x14ac:dyDescent="0.25">
      <c r="I2274" t="str">
        <f t="shared" si="186"/>
        <v>kof99k</v>
      </c>
      <c r="J2274" t="str">
        <f t="shared" si="187"/>
        <v/>
      </c>
      <c r="L2274" t="str">
        <f t="shared" si="189"/>
        <v/>
      </c>
      <c r="M2274" t="str">
        <f t="shared" si="189"/>
        <v/>
      </c>
      <c r="N2274" t="str">
        <f t="shared" si="189"/>
        <v/>
      </c>
      <c r="O2274" t="str">
        <f t="shared" si="189"/>
        <v/>
      </c>
      <c r="P2274" t="str">
        <f t="shared" si="189"/>
        <v/>
      </c>
      <c r="T2274" t="str">
        <f t="shared" si="188"/>
        <v/>
      </c>
      <c r="V2274" t="str">
        <f t="shared" si="190"/>
        <v>MVS</v>
      </c>
      <c r="W2274" t="str">
        <f t="shared" si="190"/>
        <v>MVS,AES</v>
      </c>
      <c r="AG2274" t="s">
        <v>6</v>
      </c>
      <c r="AH2274" t="s">
        <v>2258</v>
      </c>
      <c r="AI2274" t="s">
        <v>152</v>
      </c>
      <c r="AJ2274" t="s">
        <v>57</v>
      </c>
      <c r="AK2274" t="s">
        <v>2257</v>
      </c>
      <c r="AL2274" t="s">
        <v>2256</v>
      </c>
    </row>
    <row r="2275" spans="5:44" x14ac:dyDescent="0.25">
      <c r="I2275" t="str">
        <f t="shared" si="186"/>
        <v>kof99k</v>
      </c>
      <c r="J2275" t="str">
        <f t="shared" si="187"/>
        <v/>
      </c>
      <c r="L2275" t="str">
        <f t="shared" si="189"/>
        <v/>
      </c>
      <c r="M2275" t="str">
        <f t="shared" si="189"/>
        <v/>
      </c>
      <c r="N2275" t="str">
        <f t="shared" si="189"/>
        <v/>
      </c>
      <c r="O2275" t="str">
        <f t="shared" si="189"/>
        <v/>
      </c>
      <c r="P2275" t="str">
        <f t="shared" si="189"/>
        <v/>
      </c>
      <c r="T2275" t="str">
        <f t="shared" si="188"/>
        <v/>
      </c>
      <c r="V2275" t="str">
        <f t="shared" si="190"/>
        <v>MVS</v>
      </c>
      <c r="W2275" t="str">
        <f t="shared" si="190"/>
        <v>MVS,AES</v>
      </c>
      <c r="AG2275" t="s">
        <v>6</v>
      </c>
      <c r="AH2275" t="s">
        <v>2255</v>
      </c>
      <c r="AI2275" t="s">
        <v>148</v>
      </c>
      <c r="AJ2275" t="s">
        <v>57</v>
      </c>
      <c r="AK2275" t="s">
        <v>2254</v>
      </c>
      <c r="AL2275" t="s">
        <v>2253</v>
      </c>
    </row>
    <row r="2276" spans="5:44" x14ac:dyDescent="0.25">
      <c r="E2276" t="s">
        <v>2285</v>
      </c>
      <c r="F2276" t="s">
        <v>2284</v>
      </c>
      <c r="G2276" t="s">
        <v>1053</v>
      </c>
      <c r="H2276" t="s">
        <v>1912</v>
      </c>
      <c r="I2276" t="str">
        <f t="shared" si="186"/>
        <v>kof99ka</v>
      </c>
      <c r="J2276" t="str">
        <f t="shared" si="187"/>
        <v/>
      </c>
      <c r="L2276" t="str">
        <f t="shared" si="189"/>
        <v/>
      </c>
      <c r="M2276" t="str">
        <f t="shared" si="189"/>
        <v/>
      </c>
      <c r="N2276" t="str">
        <f t="shared" si="189"/>
        <v/>
      </c>
      <c r="O2276" t="str">
        <f t="shared" si="189"/>
        <v/>
      </c>
      <c r="P2276" t="str">
        <f t="shared" si="189"/>
        <v/>
      </c>
      <c r="S2276" t="s">
        <v>46</v>
      </c>
      <c r="T2276" t="str">
        <f t="shared" si="188"/>
        <v>kof99karelease</v>
      </c>
      <c r="U2276" t="s">
        <v>106</v>
      </c>
      <c r="V2276" t="str">
        <f t="shared" si="190"/>
        <v>MVS</v>
      </c>
      <c r="W2276" t="str">
        <f t="shared" si="190"/>
        <v>MVS,AES</v>
      </c>
      <c r="Y2276" t="s">
        <v>45</v>
      </c>
      <c r="Z2276" t="s">
        <v>44</v>
      </c>
      <c r="AB2276" t="s">
        <v>43</v>
      </c>
      <c r="AC2276" t="s">
        <v>42</v>
      </c>
      <c r="AD2276" t="s">
        <v>41</v>
      </c>
      <c r="AE2276" t="s">
        <v>23</v>
      </c>
      <c r="AG2276" t="s">
        <v>40</v>
      </c>
      <c r="AH2276" t="s">
        <v>2283</v>
      </c>
      <c r="AI2276" t="s">
        <v>9</v>
      </c>
      <c r="AJ2276" t="s">
        <v>15</v>
      </c>
      <c r="AK2276" t="s">
        <v>2282</v>
      </c>
      <c r="AL2276" t="s">
        <v>2281</v>
      </c>
      <c r="AP2276" t="s">
        <v>138</v>
      </c>
      <c r="AQ2276" t="s">
        <v>2280</v>
      </c>
      <c r="AR2276" t="s">
        <v>2247</v>
      </c>
    </row>
    <row r="2277" spans="5:44" x14ac:dyDescent="0.25">
      <c r="I2277" t="str">
        <f t="shared" si="186"/>
        <v>kof99ka</v>
      </c>
      <c r="J2277" t="str">
        <f t="shared" si="187"/>
        <v/>
      </c>
      <c r="L2277" t="str">
        <f t="shared" si="189"/>
        <v/>
      </c>
      <c r="M2277" t="str">
        <f t="shared" si="189"/>
        <v/>
      </c>
      <c r="N2277" t="str">
        <f t="shared" si="189"/>
        <v/>
      </c>
      <c r="O2277" t="str">
        <f t="shared" si="189"/>
        <v/>
      </c>
      <c r="P2277" t="str">
        <f t="shared" si="189"/>
        <v/>
      </c>
      <c r="S2277" t="s">
        <v>36</v>
      </c>
      <c r="T2277" t="str">
        <f t="shared" si="188"/>
        <v>kof99kacompatibility</v>
      </c>
      <c r="U2277" t="s">
        <v>218</v>
      </c>
      <c r="V2277" t="str">
        <f t="shared" si="190"/>
        <v>MVS</v>
      </c>
      <c r="W2277" t="str">
        <f t="shared" si="190"/>
        <v>MVS,AES</v>
      </c>
      <c r="AG2277" t="s">
        <v>40</v>
      </c>
      <c r="AH2277" t="s">
        <v>2279</v>
      </c>
      <c r="AI2277" t="s">
        <v>15</v>
      </c>
      <c r="AJ2277" t="s">
        <v>11</v>
      </c>
      <c r="AK2277" t="s">
        <v>2278</v>
      </c>
      <c r="AL2277" t="s">
        <v>2277</v>
      </c>
    </row>
    <row r="2278" spans="5:44" x14ac:dyDescent="0.25">
      <c r="I2278" t="str">
        <f t="shared" si="186"/>
        <v>kof99ka</v>
      </c>
      <c r="J2278" t="str">
        <f t="shared" si="187"/>
        <v/>
      </c>
      <c r="L2278" t="str">
        <f t="shared" si="189"/>
        <v/>
      </c>
      <c r="M2278" t="str">
        <f t="shared" si="189"/>
        <v/>
      </c>
      <c r="N2278" t="str">
        <f t="shared" si="189"/>
        <v/>
      </c>
      <c r="O2278" t="str">
        <f t="shared" si="189"/>
        <v/>
      </c>
      <c r="P2278" t="str">
        <f t="shared" si="189"/>
        <v/>
      </c>
      <c r="T2278" t="str">
        <f t="shared" si="188"/>
        <v/>
      </c>
      <c r="V2278" t="str">
        <f t="shared" si="190"/>
        <v>MVS</v>
      </c>
      <c r="W2278" t="str">
        <f t="shared" si="190"/>
        <v>MVS,AES</v>
      </c>
      <c r="AB2278" t="s">
        <v>34</v>
      </c>
      <c r="AE2278" t="s">
        <v>135</v>
      </c>
      <c r="AG2278" t="s">
        <v>538</v>
      </c>
      <c r="AI2278" t="s">
        <v>9</v>
      </c>
      <c r="AJ2278" t="s">
        <v>135</v>
      </c>
      <c r="AN2278" t="s">
        <v>537</v>
      </c>
    </row>
    <row r="2279" spans="5:44" x14ac:dyDescent="0.25">
      <c r="I2279" t="str">
        <f t="shared" si="186"/>
        <v>kof99ka</v>
      </c>
      <c r="J2279" t="str">
        <f t="shared" si="187"/>
        <v/>
      </c>
      <c r="L2279" t="str">
        <f t="shared" si="189"/>
        <v/>
      </c>
      <c r="M2279" t="str">
        <f t="shared" si="189"/>
        <v/>
      </c>
      <c r="N2279" t="str">
        <f t="shared" si="189"/>
        <v/>
      </c>
      <c r="O2279" t="str">
        <f t="shared" si="189"/>
        <v/>
      </c>
      <c r="P2279" t="str">
        <f t="shared" si="189"/>
        <v/>
      </c>
      <c r="T2279" t="str">
        <f t="shared" si="188"/>
        <v/>
      </c>
      <c r="V2279" t="str">
        <f t="shared" si="190"/>
        <v>MVS</v>
      </c>
      <c r="W2279" t="str">
        <f t="shared" si="190"/>
        <v>MVS,AES</v>
      </c>
      <c r="AB2279" t="s">
        <v>29</v>
      </c>
      <c r="AE2279" t="s">
        <v>27</v>
      </c>
      <c r="AH2279" t="s">
        <v>2240</v>
      </c>
      <c r="AI2279" t="s">
        <v>9</v>
      </c>
      <c r="AJ2279" t="s">
        <v>27</v>
      </c>
      <c r="AK2279" t="s">
        <v>2239</v>
      </c>
      <c r="AL2279" t="s">
        <v>2238</v>
      </c>
    </row>
    <row r="2280" spans="5:44" x14ac:dyDescent="0.25">
      <c r="I2280" t="str">
        <f t="shared" si="186"/>
        <v>kof99ka</v>
      </c>
      <c r="J2280" t="str">
        <f t="shared" si="187"/>
        <v/>
      </c>
      <c r="L2280" t="str">
        <f t="shared" si="189"/>
        <v/>
      </c>
      <c r="M2280" t="str">
        <f t="shared" si="189"/>
        <v/>
      </c>
      <c r="N2280" t="str">
        <f t="shared" si="189"/>
        <v/>
      </c>
      <c r="O2280" t="str">
        <f t="shared" si="189"/>
        <v/>
      </c>
      <c r="P2280" t="str">
        <f t="shared" si="189"/>
        <v/>
      </c>
      <c r="T2280" t="str">
        <f t="shared" si="188"/>
        <v/>
      </c>
      <c r="V2280" t="str">
        <f t="shared" si="190"/>
        <v>MVS</v>
      </c>
      <c r="W2280" t="str">
        <f t="shared" si="190"/>
        <v>MVS,AES</v>
      </c>
      <c r="AB2280" t="s">
        <v>24</v>
      </c>
      <c r="AE2280" t="s">
        <v>1802</v>
      </c>
      <c r="AH2280" t="s">
        <v>2237</v>
      </c>
      <c r="AI2280" t="s">
        <v>9</v>
      </c>
      <c r="AJ2280" t="s">
        <v>11</v>
      </c>
      <c r="AK2280" t="s">
        <v>2236</v>
      </c>
      <c r="AL2280" t="s">
        <v>2235</v>
      </c>
    </row>
    <row r="2281" spans="5:44" x14ac:dyDescent="0.25">
      <c r="I2281" t="str">
        <f t="shared" si="186"/>
        <v>kof99ka</v>
      </c>
      <c r="J2281" t="str">
        <f t="shared" si="187"/>
        <v/>
      </c>
      <c r="L2281" t="str">
        <f t="shared" si="189"/>
        <v/>
      </c>
      <c r="M2281" t="str">
        <f t="shared" si="189"/>
        <v/>
      </c>
      <c r="N2281" t="str">
        <f t="shared" si="189"/>
        <v/>
      </c>
      <c r="O2281" t="str">
        <f t="shared" si="189"/>
        <v/>
      </c>
      <c r="P2281" t="str">
        <f t="shared" si="189"/>
        <v/>
      </c>
      <c r="T2281" t="str">
        <f t="shared" si="188"/>
        <v/>
      </c>
      <c r="V2281" t="str">
        <f t="shared" si="190"/>
        <v>MVS</v>
      </c>
      <c r="W2281" t="str">
        <f t="shared" si="190"/>
        <v>MVS,AES</v>
      </c>
      <c r="AH2281" t="s">
        <v>2234</v>
      </c>
      <c r="AI2281" t="s">
        <v>11</v>
      </c>
      <c r="AJ2281" t="s">
        <v>11</v>
      </c>
      <c r="AK2281" t="s">
        <v>2233</v>
      </c>
      <c r="AL2281" t="s">
        <v>2232</v>
      </c>
    </row>
    <row r="2282" spans="5:44" x14ac:dyDescent="0.25">
      <c r="I2282" t="str">
        <f t="shared" si="186"/>
        <v>kof99ka</v>
      </c>
      <c r="J2282" t="str">
        <f t="shared" si="187"/>
        <v/>
      </c>
      <c r="L2282" t="str">
        <f t="shared" si="189"/>
        <v/>
      </c>
      <c r="M2282" t="str">
        <f t="shared" si="189"/>
        <v/>
      </c>
      <c r="N2282" t="str">
        <f t="shared" si="189"/>
        <v/>
      </c>
      <c r="O2282" t="str">
        <f t="shared" si="189"/>
        <v/>
      </c>
      <c r="P2282" t="str">
        <f t="shared" si="189"/>
        <v/>
      </c>
      <c r="T2282" t="str">
        <f t="shared" si="188"/>
        <v/>
      </c>
      <c r="V2282" t="str">
        <f t="shared" si="190"/>
        <v>MVS</v>
      </c>
      <c r="W2282" t="str">
        <f t="shared" si="190"/>
        <v>MVS,AES</v>
      </c>
      <c r="AH2282" t="s">
        <v>2231</v>
      </c>
      <c r="AI2282" t="s">
        <v>57</v>
      </c>
      <c r="AJ2282" t="s">
        <v>11</v>
      </c>
      <c r="AK2282" t="s">
        <v>2230</v>
      </c>
      <c r="AL2282" t="s">
        <v>2229</v>
      </c>
    </row>
    <row r="2283" spans="5:44" x14ac:dyDescent="0.25">
      <c r="I2283" t="str">
        <f t="shared" si="186"/>
        <v>kof99ka</v>
      </c>
      <c r="J2283" t="str">
        <f t="shared" si="187"/>
        <v/>
      </c>
      <c r="L2283" t="str">
        <f t="shared" si="189"/>
        <v/>
      </c>
      <c r="M2283" t="str">
        <f t="shared" si="189"/>
        <v/>
      </c>
      <c r="N2283" t="str">
        <f t="shared" si="189"/>
        <v/>
      </c>
      <c r="O2283" t="str">
        <f t="shared" si="189"/>
        <v/>
      </c>
      <c r="P2283" t="str">
        <f t="shared" si="189"/>
        <v/>
      </c>
      <c r="T2283" t="str">
        <f t="shared" si="188"/>
        <v/>
      </c>
      <c r="V2283" t="str">
        <f t="shared" si="190"/>
        <v>MVS</v>
      </c>
      <c r="W2283" t="str">
        <f t="shared" si="190"/>
        <v>MVS,AES</v>
      </c>
      <c r="AH2283" t="s">
        <v>2228</v>
      </c>
      <c r="AI2283" t="s">
        <v>250</v>
      </c>
      <c r="AJ2283" t="s">
        <v>3</v>
      </c>
      <c r="AK2283" t="s">
        <v>2227</v>
      </c>
      <c r="AL2283" t="s">
        <v>2226</v>
      </c>
    </row>
    <row r="2284" spans="5:44" x14ac:dyDescent="0.25">
      <c r="I2284" t="str">
        <f t="shared" si="186"/>
        <v>kof99ka</v>
      </c>
      <c r="J2284" t="str">
        <f t="shared" si="187"/>
        <v/>
      </c>
      <c r="L2284" t="str">
        <f t="shared" si="189"/>
        <v/>
      </c>
      <c r="M2284" t="str">
        <f t="shared" si="189"/>
        <v/>
      </c>
      <c r="N2284" t="str">
        <f t="shared" si="189"/>
        <v/>
      </c>
      <c r="O2284" t="str">
        <f t="shared" si="189"/>
        <v/>
      </c>
      <c r="P2284" t="str">
        <f t="shared" si="189"/>
        <v/>
      </c>
      <c r="T2284" t="str">
        <f t="shared" si="188"/>
        <v/>
      </c>
      <c r="V2284" t="str">
        <f t="shared" si="190"/>
        <v>MVS</v>
      </c>
      <c r="W2284" t="str">
        <f t="shared" si="190"/>
        <v>MVS,AES</v>
      </c>
      <c r="AB2284" t="s">
        <v>12</v>
      </c>
      <c r="AE2284" t="s">
        <v>175</v>
      </c>
      <c r="AG2284" t="s">
        <v>6</v>
      </c>
      <c r="AH2284" t="s">
        <v>2276</v>
      </c>
      <c r="AI2284" t="s">
        <v>9</v>
      </c>
      <c r="AJ2284" t="s">
        <v>57</v>
      </c>
      <c r="AK2284" t="s">
        <v>2275</v>
      </c>
      <c r="AL2284" t="s">
        <v>2274</v>
      </c>
    </row>
    <row r="2285" spans="5:44" x14ac:dyDescent="0.25">
      <c r="I2285" t="str">
        <f t="shared" si="186"/>
        <v>kof99ka</v>
      </c>
      <c r="J2285" t="str">
        <f t="shared" si="187"/>
        <v/>
      </c>
      <c r="L2285" t="str">
        <f t="shared" si="189"/>
        <v/>
      </c>
      <c r="M2285" t="str">
        <f t="shared" si="189"/>
        <v/>
      </c>
      <c r="N2285" t="str">
        <f t="shared" si="189"/>
        <v/>
      </c>
      <c r="O2285" t="str">
        <f t="shared" si="189"/>
        <v/>
      </c>
      <c r="P2285" t="str">
        <f t="shared" si="189"/>
        <v/>
      </c>
      <c r="T2285" t="str">
        <f t="shared" si="188"/>
        <v/>
      </c>
      <c r="V2285" t="str">
        <f t="shared" si="190"/>
        <v>MVS</v>
      </c>
      <c r="W2285" t="str">
        <f t="shared" si="190"/>
        <v>MVS,AES</v>
      </c>
      <c r="AG2285" t="s">
        <v>6</v>
      </c>
      <c r="AH2285" t="s">
        <v>2273</v>
      </c>
      <c r="AI2285" t="s">
        <v>4</v>
      </c>
      <c r="AJ2285" t="s">
        <v>57</v>
      </c>
      <c r="AK2285" t="s">
        <v>2272</v>
      </c>
      <c r="AL2285" t="s">
        <v>2271</v>
      </c>
    </row>
    <row r="2286" spans="5:44" x14ac:dyDescent="0.25">
      <c r="I2286" t="str">
        <f t="shared" si="186"/>
        <v>kof99ka</v>
      </c>
      <c r="J2286" t="str">
        <f t="shared" si="187"/>
        <v/>
      </c>
      <c r="L2286" t="str">
        <f t="shared" si="189"/>
        <v/>
      </c>
      <c r="M2286" t="str">
        <f t="shared" si="189"/>
        <v/>
      </c>
      <c r="N2286" t="str">
        <f t="shared" si="189"/>
        <v/>
      </c>
      <c r="O2286" t="str">
        <f t="shared" si="189"/>
        <v/>
      </c>
      <c r="P2286" t="str">
        <f t="shared" si="189"/>
        <v/>
      </c>
      <c r="T2286" t="str">
        <f t="shared" si="188"/>
        <v/>
      </c>
      <c r="V2286" t="str">
        <f t="shared" si="190"/>
        <v>MVS</v>
      </c>
      <c r="W2286" t="str">
        <f t="shared" si="190"/>
        <v>MVS,AES</v>
      </c>
      <c r="AG2286" t="s">
        <v>6</v>
      </c>
      <c r="AH2286" t="s">
        <v>2270</v>
      </c>
      <c r="AI2286" t="s">
        <v>65</v>
      </c>
      <c r="AJ2286" t="s">
        <v>57</v>
      </c>
      <c r="AK2286" t="s">
        <v>2269</v>
      </c>
      <c r="AL2286" t="s">
        <v>2268</v>
      </c>
    </row>
    <row r="2287" spans="5:44" x14ac:dyDescent="0.25">
      <c r="I2287" t="str">
        <f t="shared" si="186"/>
        <v>kof99ka</v>
      </c>
      <c r="J2287" t="str">
        <f t="shared" si="187"/>
        <v/>
      </c>
      <c r="L2287" t="str">
        <f t="shared" si="189"/>
        <v/>
      </c>
      <c r="M2287" t="str">
        <f t="shared" si="189"/>
        <v/>
      </c>
      <c r="N2287" t="str">
        <f t="shared" si="189"/>
        <v/>
      </c>
      <c r="O2287" t="str">
        <f t="shared" si="189"/>
        <v/>
      </c>
      <c r="P2287" t="str">
        <f t="shared" si="189"/>
        <v/>
      </c>
      <c r="T2287" t="str">
        <f t="shared" si="188"/>
        <v/>
      </c>
      <c r="V2287" t="str">
        <f t="shared" si="190"/>
        <v>MVS</v>
      </c>
      <c r="W2287" t="str">
        <f t="shared" si="190"/>
        <v>MVS,AES</v>
      </c>
      <c r="AG2287" t="s">
        <v>6</v>
      </c>
      <c r="AH2287" t="s">
        <v>2267</v>
      </c>
      <c r="AI2287" t="s">
        <v>164</v>
      </c>
      <c r="AJ2287" t="s">
        <v>57</v>
      </c>
      <c r="AK2287" t="s">
        <v>2266</v>
      </c>
      <c r="AL2287" t="s">
        <v>2265</v>
      </c>
    </row>
    <row r="2288" spans="5:44" x14ac:dyDescent="0.25">
      <c r="I2288" t="str">
        <f t="shared" si="186"/>
        <v>kof99ka</v>
      </c>
      <c r="J2288" t="str">
        <f t="shared" si="187"/>
        <v/>
      </c>
      <c r="L2288" t="str">
        <f t="shared" si="189"/>
        <v/>
      </c>
      <c r="M2288" t="str">
        <f t="shared" si="189"/>
        <v/>
      </c>
      <c r="N2288" t="str">
        <f t="shared" si="189"/>
        <v/>
      </c>
      <c r="O2288" t="str">
        <f t="shared" si="189"/>
        <v/>
      </c>
      <c r="P2288" t="str">
        <f t="shared" si="189"/>
        <v/>
      </c>
      <c r="T2288" t="str">
        <f t="shared" si="188"/>
        <v/>
      </c>
      <c r="V2288" t="str">
        <f t="shared" si="190"/>
        <v>MVS</v>
      </c>
      <c r="W2288" t="str">
        <f t="shared" si="190"/>
        <v>MVS,AES</v>
      </c>
      <c r="AG2288" t="s">
        <v>6</v>
      </c>
      <c r="AH2288" t="s">
        <v>2264</v>
      </c>
      <c r="AI2288" t="s">
        <v>160</v>
      </c>
      <c r="AJ2288" t="s">
        <v>57</v>
      </c>
      <c r="AK2288" t="s">
        <v>2263</v>
      </c>
      <c r="AL2288" t="s">
        <v>2262</v>
      </c>
    </row>
    <row r="2289" spans="5:44" x14ac:dyDescent="0.25">
      <c r="I2289" t="str">
        <f t="shared" si="186"/>
        <v>kof99ka</v>
      </c>
      <c r="J2289" t="str">
        <f t="shared" si="187"/>
        <v/>
      </c>
      <c r="L2289" t="str">
        <f t="shared" si="189"/>
        <v/>
      </c>
      <c r="M2289" t="str">
        <f t="shared" si="189"/>
        <v/>
      </c>
      <c r="N2289" t="str">
        <f t="shared" si="189"/>
        <v/>
      </c>
      <c r="O2289" t="str">
        <f t="shared" si="189"/>
        <v/>
      </c>
      <c r="P2289" t="str">
        <f t="shared" si="189"/>
        <v/>
      </c>
      <c r="T2289" t="str">
        <f t="shared" si="188"/>
        <v/>
      </c>
      <c r="V2289" t="str">
        <f t="shared" si="190"/>
        <v>MVS</v>
      </c>
      <c r="W2289" t="str">
        <f t="shared" si="190"/>
        <v>MVS,AES</v>
      </c>
      <c r="AG2289" t="s">
        <v>6</v>
      </c>
      <c r="AH2289" t="s">
        <v>2261</v>
      </c>
      <c r="AI2289" t="s">
        <v>156</v>
      </c>
      <c r="AJ2289" t="s">
        <v>57</v>
      </c>
      <c r="AK2289" t="s">
        <v>2260</v>
      </c>
      <c r="AL2289" t="s">
        <v>2259</v>
      </c>
    </row>
    <row r="2290" spans="5:44" x14ac:dyDescent="0.25">
      <c r="I2290" t="str">
        <f t="shared" si="186"/>
        <v>kof99ka</v>
      </c>
      <c r="J2290" t="str">
        <f t="shared" si="187"/>
        <v/>
      </c>
      <c r="L2290" t="str">
        <f t="shared" si="189"/>
        <v/>
      </c>
      <c r="M2290" t="str">
        <f t="shared" si="189"/>
        <v/>
      </c>
      <c r="N2290" t="str">
        <f t="shared" si="189"/>
        <v/>
      </c>
      <c r="O2290" t="str">
        <f t="shared" si="189"/>
        <v/>
      </c>
      <c r="P2290" t="str">
        <f t="shared" si="189"/>
        <v/>
      </c>
      <c r="T2290" t="str">
        <f t="shared" si="188"/>
        <v/>
      </c>
      <c r="V2290" t="str">
        <f t="shared" si="190"/>
        <v>MVS</v>
      </c>
      <c r="W2290" t="str">
        <f t="shared" si="190"/>
        <v>MVS,AES</v>
      </c>
      <c r="AG2290" t="s">
        <v>6</v>
      </c>
      <c r="AH2290" t="s">
        <v>2258</v>
      </c>
      <c r="AI2290" t="s">
        <v>152</v>
      </c>
      <c r="AJ2290" t="s">
        <v>57</v>
      </c>
      <c r="AK2290" t="s">
        <v>2257</v>
      </c>
      <c r="AL2290" t="s">
        <v>2256</v>
      </c>
    </row>
    <row r="2291" spans="5:44" x14ac:dyDescent="0.25">
      <c r="I2291" t="str">
        <f t="shared" si="186"/>
        <v>kof99ka</v>
      </c>
      <c r="J2291" t="str">
        <f t="shared" si="187"/>
        <v/>
      </c>
      <c r="L2291" t="str">
        <f t="shared" si="189"/>
        <v/>
      </c>
      <c r="M2291" t="str">
        <f t="shared" si="189"/>
        <v/>
      </c>
      <c r="N2291" t="str">
        <f t="shared" si="189"/>
        <v/>
      </c>
      <c r="O2291" t="str">
        <f t="shared" si="189"/>
        <v/>
      </c>
      <c r="P2291" t="str">
        <f t="shared" si="189"/>
        <v/>
      </c>
      <c r="T2291" t="str">
        <f t="shared" si="188"/>
        <v/>
      </c>
      <c r="V2291" t="str">
        <f t="shared" si="190"/>
        <v>MVS</v>
      </c>
      <c r="W2291" t="str">
        <f t="shared" si="190"/>
        <v>MVS,AES</v>
      </c>
      <c r="AG2291" t="s">
        <v>6</v>
      </c>
      <c r="AH2291" t="s">
        <v>2255</v>
      </c>
      <c r="AI2291" t="s">
        <v>148</v>
      </c>
      <c r="AJ2291" t="s">
        <v>57</v>
      </c>
      <c r="AK2291" t="s">
        <v>2254</v>
      </c>
      <c r="AL2291" t="s">
        <v>2253</v>
      </c>
    </row>
    <row r="2292" spans="5:44" x14ac:dyDescent="0.25">
      <c r="E2292" t="s">
        <v>2252</v>
      </c>
      <c r="F2292" t="s">
        <v>2251</v>
      </c>
      <c r="G2292" t="s">
        <v>1053</v>
      </c>
      <c r="H2292" t="s">
        <v>1912</v>
      </c>
      <c r="I2292" t="str">
        <f t="shared" si="186"/>
        <v>kof99p</v>
      </c>
      <c r="J2292" t="str">
        <f t="shared" si="187"/>
        <v/>
      </c>
      <c r="L2292" t="str">
        <f t="shared" si="189"/>
        <v/>
      </c>
      <c r="M2292" t="str">
        <f t="shared" si="189"/>
        <v/>
      </c>
      <c r="N2292" t="str">
        <f t="shared" si="189"/>
        <v/>
      </c>
      <c r="O2292" t="str">
        <f t="shared" si="189"/>
        <v/>
      </c>
      <c r="P2292" t="str">
        <f t="shared" si="189"/>
        <v/>
      </c>
      <c r="S2292" t="s">
        <v>46</v>
      </c>
      <c r="T2292" t="str">
        <f t="shared" si="188"/>
        <v>kof99prelease</v>
      </c>
      <c r="U2292" t="s">
        <v>106</v>
      </c>
      <c r="V2292" t="str">
        <f t="shared" si="190"/>
        <v>MVS</v>
      </c>
      <c r="W2292" t="str">
        <f t="shared" si="190"/>
        <v>MVS,AES</v>
      </c>
      <c r="Y2292" t="s">
        <v>45</v>
      </c>
      <c r="Z2292" t="s">
        <v>44</v>
      </c>
      <c r="AB2292" t="s">
        <v>43</v>
      </c>
      <c r="AC2292" t="s">
        <v>42</v>
      </c>
      <c r="AD2292" t="s">
        <v>41</v>
      </c>
      <c r="AE2292" t="s">
        <v>23</v>
      </c>
      <c r="AG2292" t="s">
        <v>40</v>
      </c>
      <c r="AH2292" t="s">
        <v>2250</v>
      </c>
      <c r="AI2292" t="s">
        <v>9</v>
      </c>
      <c r="AJ2292" t="s">
        <v>15</v>
      </c>
      <c r="AK2292" t="s">
        <v>2249</v>
      </c>
      <c r="AL2292" t="s">
        <v>2248</v>
      </c>
      <c r="AR2292" t="s">
        <v>2247</v>
      </c>
    </row>
    <row r="2293" spans="5:44" x14ac:dyDescent="0.25">
      <c r="I2293" t="str">
        <f t="shared" si="186"/>
        <v>kof99p</v>
      </c>
      <c r="J2293" t="str">
        <f t="shared" si="187"/>
        <v/>
      </c>
      <c r="L2293" t="str">
        <f t="shared" si="189"/>
        <v/>
      </c>
      <c r="M2293" t="str">
        <f t="shared" si="189"/>
        <v/>
      </c>
      <c r="N2293" t="str">
        <f t="shared" si="189"/>
        <v/>
      </c>
      <c r="O2293" t="str">
        <f t="shared" si="189"/>
        <v/>
      </c>
      <c r="P2293" t="str">
        <f t="shared" si="189"/>
        <v/>
      </c>
      <c r="S2293" t="s">
        <v>36</v>
      </c>
      <c r="T2293" t="str">
        <f t="shared" si="188"/>
        <v>kof99pcompatibility</v>
      </c>
      <c r="U2293" t="s">
        <v>218</v>
      </c>
      <c r="V2293" t="str">
        <f t="shared" si="190"/>
        <v>MVS</v>
      </c>
      <c r="W2293" t="str">
        <f t="shared" si="190"/>
        <v>MVS,AES</v>
      </c>
      <c r="AG2293" t="s">
        <v>40</v>
      </c>
      <c r="AH2293" t="s">
        <v>2246</v>
      </c>
      <c r="AI2293" t="s">
        <v>15</v>
      </c>
      <c r="AJ2293" t="s">
        <v>11</v>
      </c>
      <c r="AK2293" t="s">
        <v>2245</v>
      </c>
      <c r="AL2293" t="s">
        <v>2244</v>
      </c>
    </row>
    <row r="2294" spans="5:44" x14ac:dyDescent="0.25">
      <c r="I2294" t="str">
        <f t="shared" si="186"/>
        <v>kof99p</v>
      </c>
      <c r="J2294" t="str">
        <f t="shared" si="187"/>
        <v/>
      </c>
      <c r="L2294" t="str">
        <f t="shared" si="189"/>
        <v/>
      </c>
      <c r="M2294" t="str">
        <f t="shared" si="189"/>
        <v/>
      </c>
      <c r="N2294" t="str">
        <f t="shared" si="189"/>
        <v/>
      </c>
      <c r="O2294" t="str">
        <f t="shared" si="189"/>
        <v/>
      </c>
      <c r="P2294" t="str">
        <f t="shared" si="189"/>
        <v/>
      </c>
      <c r="T2294" t="str">
        <f t="shared" si="188"/>
        <v/>
      </c>
      <c r="V2294" t="str">
        <f t="shared" si="190"/>
        <v>MVS</v>
      </c>
      <c r="W2294" t="str">
        <f t="shared" si="190"/>
        <v>MVS,AES</v>
      </c>
      <c r="AB2294" t="s">
        <v>34</v>
      </c>
      <c r="AE2294" t="s">
        <v>33</v>
      </c>
      <c r="AH2294" t="s">
        <v>2243</v>
      </c>
      <c r="AI2294" t="s">
        <v>9</v>
      </c>
      <c r="AJ2294" t="s">
        <v>27</v>
      </c>
      <c r="AK2294" t="s">
        <v>2242</v>
      </c>
      <c r="AL2294" t="s">
        <v>2241</v>
      </c>
    </row>
    <row r="2295" spans="5:44" x14ac:dyDescent="0.25">
      <c r="I2295" t="str">
        <f t="shared" si="186"/>
        <v>kof99p</v>
      </c>
      <c r="J2295" t="str">
        <f t="shared" si="187"/>
        <v/>
      </c>
      <c r="L2295" t="str">
        <f t="shared" si="189"/>
        <v/>
      </c>
      <c r="M2295" t="str">
        <f t="shared" si="189"/>
        <v/>
      </c>
      <c r="N2295" t="str">
        <f t="shared" si="189"/>
        <v/>
      </c>
      <c r="O2295" t="str">
        <f t="shared" si="189"/>
        <v/>
      </c>
      <c r="P2295" t="str">
        <f t="shared" si="189"/>
        <v/>
      </c>
      <c r="T2295" t="str">
        <f t="shared" si="188"/>
        <v/>
      </c>
      <c r="V2295" t="str">
        <f t="shared" si="190"/>
        <v>MVS</v>
      </c>
      <c r="W2295" t="str">
        <f t="shared" si="190"/>
        <v>MVS,AES</v>
      </c>
      <c r="AB2295" t="s">
        <v>29</v>
      </c>
      <c r="AE2295" t="s">
        <v>27</v>
      </c>
      <c r="AH2295" t="s">
        <v>2240</v>
      </c>
      <c r="AI2295" t="s">
        <v>9</v>
      </c>
      <c r="AJ2295" t="s">
        <v>27</v>
      </c>
      <c r="AK2295" t="s">
        <v>2239</v>
      </c>
      <c r="AL2295" t="s">
        <v>2238</v>
      </c>
    </row>
    <row r="2296" spans="5:44" x14ac:dyDescent="0.25">
      <c r="I2296" t="str">
        <f t="shared" si="186"/>
        <v>kof99p</v>
      </c>
      <c r="J2296" t="str">
        <f t="shared" si="187"/>
        <v/>
      </c>
      <c r="L2296" t="str">
        <f t="shared" si="189"/>
        <v/>
      </c>
      <c r="M2296" t="str">
        <f t="shared" si="189"/>
        <v/>
      </c>
      <c r="N2296" t="str">
        <f t="shared" si="189"/>
        <v/>
      </c>
      <c r="O2296" t="str">
        <f t="shared" si="189"/>
        <v/>
      </c>
      <c r="P2296" t="str">
        <f t="shared" si="189"/>
        <v/>
      </c>
      <c r="T2296" t="str">
        <f t="shared" si="188"/>
        <v/>
      </c>
      <c r="V2296" t="str">
        <f t="shared" si="190"/>
        <v>MVS</v>
      </c>
      <c r="W2296" t="str">
        <f t="shared" si="190"/>
        <v>MVS,AES</v>
      </c>
      <c r="AB2296" t="s">
        <v>24</v>
      </c>
      <c r="AE2296" t="s">
        <v>1802</v>
      </c>
      <c r="AH2296" t="s">
        <v>2237</v>
      </c>
      <c r="AI2296" t="s">
        <v>9</v>
      </c>
      <c r="AJ2296" t="s">
        <v>11</v>
      </c>
      <c r="AK2296" t="s">
        <v>2236</v>
      </c>
      <c r="AL2296" t="s">
        <v>2235</v>
      </c>
    </row>
    <row r="2297" spans="5:44" x14ac:dyDescent="0.25">
      <c r="I2297" t="str">
        <f t="shared" si="186"/>
        <v>kof99p</v>
      </c>
      <c r="J2297" t="str">
        <f t="shared" si="187"/>
        <v/>
      </c>
      <c r="L2297" t="str">
        <f t="shared" si="189"/>
        <v/>
      </c>
      <c r="M2297" t="str">
        <f t="shared" si="189"/>
        <v/>
      </c>
      <c r="N2297" t="str">
        <f t="shared" si="189"/>
        <v/>
      </c>
      <c r="O2297" t="str">
        <f t="shared" si="189"/>
        <v/>
      </c>
      <c r="P2297" t="str">
        <f t="shared" si="189"/>
        <v/>
      </c>
      <c r="T2297" t="str">
        <f t="shared" si="188"/>
        <v/>
      </c>
      <c r="V2297" t="str">
        <f t="shared" si="190"/>
        <v>MVS</v>
      </c>
      <c r="W2297" t="str">
        <f t="shared" si="190"/>
        <v>MVS,AES</v>
      </c>
      <c r="AH2297" t="s">
        <v>2234</v>
      </c>
      <c r="AI2297" t="s">
        <v>11</v>
      </c>
      <c r="AJ2297" t="s">
        <v>11</v>
      </c>
      <c r="AK2297" t="s">
        <v>2233</v>
      </c>
      <c r="AL2297" t="s">
        <v>2232</v>
      </c>
    </row>
    <row r="2298" spans="5:44" x14ac:dyDescent="0.25">
      <c r="I2298" t="str">
        <f t="shared" si="186"/>
        <v>kof99p</v>
      </c>
      <c r="J2298" t="str">
        <f t="shared" si="187"/>
        <v/>
      </c>
      <c r="L2298" t="str">
        <f t="shared" si="189"/>
        <v/>
      </c>
      <c r="M2298" t="str">
        <f t="shared" si="189"/>
        <v/>
      </c>
      <c r="N2298" t="str">
        <f t="shared" si="189"/>
        <v/>
      </c>
      <c r="O2298" t="str">
        <f t="shared" si="189"/>
        <v/>
      </c>
      <c r="P2298" t="str">
        <f t="shared" si="189"/>
        <v/>
      </c>
      <c r="T2298" t="str">
        <f t="shared" si="188"/>
        <v/>
      </c>
      <c r="V2298" t="str">
        <f t="shared" si="190"/>
        <v>MVS</v>
      </c>
      <c r="W2298" t="str">
        <f t="shared" si="190"/>
        <v>MVS,AES</v>
      </c>
      <c r="AH2298" t="s">
        <v>2231</v>
      </c>
      <c r="AI2298" t="s">
        <v>57</v>
      </c>
      <c r="AJ2298" t="s">
        <v>11</v>
      </c>
      <c r="AK2298" t="s">
        <v>2230</v>
      </c>
      <c r="AL2298" t="s">
        <v>2229</v>
      </c>
    </row>
    <row r="2299" spans="5:44" x14ac:dyDescent="0.25">
      <c r="I2299" t="str">
        <f t="shared" si="186"/>
        <v>kof99p</v>
      </c>
      <c r="J2299" t="str">
        <f t="shared" si="187"/>
        <v/>
      </c>
      <c r="L2299" t="str">
        <f t="shared" si="189"/>
        <v/>
      </c>
      <c r="M2299" t="str">
        <f t="shared" si="189"/>
        <v/>
      </c>
      <c r="N2299" t="str">
        <f t="shared" si="189"/>
        <v/>
      </c>
      <c r="O2299" t="str">
        <f t="shared" si="189"/>
        <v/>
      </c>
      <c r="P2299" t="str">
        <f t="shared" si="189"/>
        <v/>
      </c>
      <c r="T2299" t="str">
        <f t="shared" si="188"/>
        <v/>
      </c>
      <c r="V2299" t="str">
        <f t="shared" si="190"/>
        <v>MVS</v>
      </c>
      <c r="W2299" t="str">
        <f t="shared" si="190"/>
        <v>MVS,AES</v>
      </c>
      <c r="AH2299" t="s">
        <v>2228</v>
      </c>
      <c r="AI2299" t="s">
        <v>250</v>
      </c>
      <c r="AJ2299" t="s">
        <v>3</v>
      </c>
      <c r="AK2299" t="s">
        <v>2227</v>
      </c>
      <c r="AL2299" t="s">
        <v>2226</v>
      </c>
    </row>
    <row r="2300" spans="5:44" x14ac:dyDescent="0.25">
      <c r="I2300" t="str">
        <f t="shared" si="186"/>
        <v>kof99p</v>
      </c>
      <c r="J2300" t="str">
        <f t="shared" si="187"/>
        <v/>
      </c>
      <c r="L2300" t="str">
        <f t="shared" si="189"/>
        <v/>
      </c>
      <c r="M2300" t="str">
        <f t="shared" si="189"/>
        <v/>
      </c>
      <c r="N2300" t="str">
        <f t="shared" si="189"/>
        <v/>
      </c>
      <c r="O2300" t="str">
        <f t="shared" si="189"/>
        <v/>
      </c>
      <c r="P2300" t="str">
        <f t="shared" si="189"/>
        <v/>
      </c>
      <c r="T2300" t="str">
        <f t="shared" si="188"/>
        <v/>
      </c>
      <c r="V2300" t="str">
        <f t="shared" si="190"/>
        <v>MVS</v>
      </c>
      <c r="W2300" t="str">
        <f t="shared" si="190"/>
        <v>MVS,AES</v>
      </c>
      <c r="AB2300" t="s">
        <v>12</v>
      </c>
      <c r="AE2300" t="s">
        <v>175</v>
      </c>
      <c r="AG2300" t="s">
        <v>6</v>
      </c>
      <c r="AH2300" t="s">
        <v>2225</v>
      </c>
      <c r="AI2300" t="s">
        <v>9</v>
      </c>
      <c r="AJ2300" t="s">
        <v>57</v>
      </c>
      <c r="AK2300" t="s">
        <v>2224</v>
      </c>
      <c r="AL2300" t="s">
        <v>2223</v>
      </c>
    </row>
    <row r="2301" spans="5:44" x14ac:dyDescent="0.25">
      <c r="I2301" t="str">
        <f t="shared" si="186"/>
        <v>kof99p</v>
      </c>
      <c r="J2301" t="str">
        <f t="shared" si="187"/>
        <v/>
      </c>
      <c r="L2301" t="str">
        <f t="shared" si="189"/>
        <v/>
      </c>
      <c r="M2301" t="str">
        <f t="shared" si="189"/>
        <v/>
      </c>
      <c r="N2301" t="str">
        <f t="shared" si="189"/>
        <v/>
      </c>
      <c r="O2301" t="str">
        <f t="shared" si="189"/>
        <v/>
      </c>
      <c r="P2301" t="str">
        <f t="shared" si="189"/>
        <v/>
      </c>
      <c r="T2301" t="str">
        <f t="shared" si="188"/>
        <v/>
      </c>
      <c r="V2301" t="str">
        <f t="shared" si="190"/>
        <v>MVS</v>
      </c>
      <c r="W2301" t="str">
        <f t="shared" si="190"/>
        <v>MVS,AES</v>
      </c>
      <c r="AG2301" t="s">
        <v>6</v>
      </c>
      <c r="AH2301" t="s">
        <v>2222</v>
      </c>
      <c r="AI2301" t="s">
        <v>4</v>
      </c>
      <c r="AJ2301" t="s">
        <v>57</v>
      </c>
      <c r="AK2301" t="s">
        <v>2221</v>
      </c>
      <c r="AL2301" t="s">
        <v>2220</v>
      </c>
    </row>
    <row r="2302" spans="5:44" x14ac:dyDescent="0.25">
      <c r="I2302" t="str">
        <f t="shared" si="186"/>
        <v>kof99p</v>
      </c>
      <c r="J2302" t="str">
        <f t="shared" si="187"/>
        <v/>
      </c>
      <c r="L2302" t="str">
        <f t="shared" si="189"/>
        <v/>
      </c>
      <c r="M2302" t="str">
        <f t="shared" si="189"/>
        <v/>
      </c>
      <c r="N2302" t="str">
        <f t="shared" si="189"/>
        <v/>
      </c>
      <c r="O2302" t="str">
        <f t="shared" si="189"/>
        <v/>
      </c>
      <c r="P2302" t="str">
        <f t="shared" si="189"/>
        <v/>
      </c>
      <c r="T2302" t="str">
        <f t="shared" si="188"/>
        <v/>
      </c>
      <c r="V2302" t="str">
        <f t="shared" si="190"/>
        <v>MVS</v>
      </c>
      <c r="W2302" t="str">
        <f t="shared" si="190"/>
        <v>MVS,AES</v>
      </c>
      <c r="AG2302" t="s">
        <v>6</v>
      </c>
      <c r="AH2302" t="s">
        <v>2219</v>
      </c>
      <c r="AI2302" t="s">
        <v>65</v>
      </c>
      <c r="AJ2302" t="s">
        <v>57</v>
      </c>
      <c r="AK2302" t="s">
        <v>2218</v>
      </c>
      <c r="AL2302" t="s">
        <v>2217</v>
      </c>
    </row>
    <row r="2303" spans="5:44" x14ac:dyDescent="0.25">
      <c r="I2303" t="str">
        <f t="shared" si="186"/>
        <v>kof99p</v>
      </c>
      <c r="J2303" t="str">
        <f t="shared" si="187"/>
        <v/>
      </c>
      <c r="L2303" t="str">
        <f t="shared" si="189"/>
        <v/>
      </c>
      <c r="M2303" t="str">
        <f t="shared" si="189"/>
        <v/>
      </c>
      <c r="N2303" t="str">
        <f t="shared" si="189"/>
        <v/>
      </c>
      <c r="O2303" t="str">
        <f t="shared" si="189"/>
        <v/>
      </c>
      <c r="P2303" t="str">
        <f t="shared" si="189"/>
        <v/>
      </c>
      <c r="T2303" t="str">
        <f t="shared" si="188"/>
        <v/>
      </c>
      <c r="V2303" t="str">
        <f t="shared" si="190"/>
        <v>MVS</v>
      </c>
      <c r="W2303" t="str">
        <f t="shared" si="190"/>
        <v>MVS,AES</v>
      </c>
      <c r="AG2303" t="s">
        <v>6</v>
      </c>
      <c r="AH2303" t="s">
        <v>2216</v>
      </c>
      <c r="AI2303" t="s">
        <v>164</v>
      </c>
      <c r="AJ2303" t="s">
        <v>57</v>
      </c>
      <c r="AK2303" t="s">
        <v>2215</v>
      </c>
      <c r="AL2303" t="s">
        <v>2214</v>
      </c>
    </row>
    <row r="2304" spans="5:44" x14ac:dyDescent="0.25">
      <c r="I2304" t="str">
        <f t="shared" si="186"/>
        <v>kof99p</v>
      </c>
      <c r="J2304" t="str">
        <f t="shared" si="187"/>
        <v/>
      </c>
      <c r="L2304" t="str">
        <f t="shared" si="189"/>
        <v/>
      </c>
      <c r="M2304" t="str">
        <f t="shared" si="189"/>
        <v/>
      </c>
      <c r="N2304" t="str">
        <f t="shared" si="189"/>
        <v/>
      </c>
      <c r="O2304" t="str">
        <f t="shared" si="189"/>
        <v/>
      </c>
      <c r="P2304" t="str">
        <f t="shared" si="189"/>
        <v/>
      </c>
      <c r="T2304" t="str">
        <f t="shared" si="188"/>
        <v/>
      </c>
      <c r="V2304" t="str">
        <f t="shared" si="190"/>
        <v>MVS</v>
      </c>
      <c r="W2304" t="str">
        <f t="shared" si="190"/>
        <v>MVS,AES</v>
      </c>
      <c r="AG2304" t="s">
        <v>6</v>
      </c>
      <c r="AH2304" t="s">
        <v>2213</v>
      </c>
      <c r="AI2304" t="s">
        <v>160</v>
      </c>
      <c r="AJ2304" t="s">
        <v>57</v>
      </c>
      <c r="AK2304" t="s">
        <v>2212</v>
      </c>
      <c r="AL2304" t="s">
        <v>2211</v>
      </c>
    </row>
    <row r="2305" spans="5:43" x14ac:dyDescent="0.25">
      <c r="I2305" t="str">
        <f t="shared" si="186"/>
        <v>kof99p</v>
      </c>
      <c r="J2305" t="str">
        <f t="shared" si="187"/>
        <v/>
      </c>
      <c r="L2305" t="str">
        <f t="shared" si="189"/>
        <v/>
      </c>
      <c r="M2305" t="str">
        <f t="shared" si="189"/>
        <v/>
      </c>
      <c r="N2305" t="str">
        <f t="shared" si="189"/>
        <v/>
      </c>
      <c r="O2305" t="str">
        <f t="shared" si="189"/>
        <v/>
      </c>
      <c r="P2305" t="str">
        <f t="shared" si="189"/>
        <v/>
      </c>
      <c r="T2305" t="str">
        <f t="shared" si="188"/>
        <v/>
      </c>
      <c r="V2305" t="str">
        <f t="shared" si="190"/>
        <v>MVS</v>
      </c>
      <c r="W2305" t="str">
        <f t="shared" si="190"/>
        <v>MVS,AES</v>
      </c>
      <c r="AG2305" t="s">
        <v>6</v>
      </c>
      <c r="AH2305" t="s">
        <v>2210</v>
      </c>
      <c r="AI2305" t="s">
        <v>156</v>
      </c>
      <c r="AJ2305" t="s">
        <v>57</v>
      </c>
      <c r="AK2305" t="s">
        <v>2209</v>
      </c>
      <c r="AL2305" t="s">
        <v>2208</v>
      </c>
    </row>
    <row r="2306" spans="5:43" x14ac:dyDescent="0.25">
      <c r="I2306" t="str">
        <f t="shared" si="186"/>
        <v>kof99p</v>
      </c>
      <c r="J2306" t="str">
        <f t="shared" si="187"/>
        <v/>
      </c>
      <c r="L2306" t="str">
        <f t="shared" si="189"/>
        <v/>
      </c>
      <c r="M2306" t="str">
        <f t="shared" si="189"/>
        <v/>
      </c>
      <c r="N2306" t="str">
        <f t="shared" si="189"/>
        <v/>
      </c>
      <c r="O2306" t="str">
        <f t="shared" si="189"/>
        <v/>
      </c>
      <c r="P2306" t="str">
        <f t="shared" si="189"/>
        <v/>
      </c>
      <c r="T2306" t="str">
        <f t="shared" si="188"/>
        <v/>
      </c>
      <c r="V2306" t="str">
        <f t="shared" si="190"/>
        <v>MVS</v>
      </c>
      <c r="W2306" t="str">
        <f t="shared" si="190"/>
        <v>MVS,AES</v>
      </c>
      <c r="AG2306" t="s">
        <v>6</v>
      </c>
      <c r="AH2306" t="s">
        <v>2207</v>
      </c>
      <c r="AI2306" t="s">
        <v>152</v>
      </c>
      <c r="AJ2306" t="s">
        <v>57</v>
      </c>
      <c r="AK2306" t="s">
        <v>2206</v>
      </c>
      <c r="AL2306" t="s">
        <v>2205</v>
      </c>
    </row>
    <row r="2307" spans="5:43" x14ac:dyDescent="0.25">
      <c r="I2307" t="str">
        <f t="shared" ref="I2307:I2370" si="191">IF(E2307="",I2306,E2307)</f>
        <v>kof99p</v>
      </c>
      <c r="J2307" t="str">
        <f t="shared" ref="J2307:J2370" si="192">IF(K2307="","",I2307&amp;K2307)</f>
        <v/>
      </c>
      <c r="L2307" t="str">
        <f t="shared" si="189"/>
        <v/>
      </c>
      <c r="M2307" t="str">
        <f t="shared" si="189"/>
        <v/>
      </c>
      <c r="N2307" t="str">
        <f t="shared" si="189"/>
        <v/>
      </c>
      <c r="O2307" t="str">
        <f t="shared" si="189"/>
        <v/>
      </c>
      <c r="P2307" t="str">
        <f t="shared" si="189"/>
        <v/>
      </c>
      <c r="T2307" t="str">
        <f t="shared" ref="T2307:T2370" si="193">IF(S2307="","",I2307&amp;S2307)</f>
        <v/>
      </c>
      <c r="V2307" t="str">
        <f t="shared" si="190"/>
        <v>MVS</v>
      </c>
      <c r="W2307" t="str">
        <f t="shared" si="190"/>
        <v>MVS,AES</v>
      </c>
      <c r="AG2307" t="s">
        <v>6</v>
      </c>
      <c r="AH2307" t="s">
        <v>2204</v>
      </c>
      <c r="AI2307" t="s">
        <v>148</v>
      </c>
      <c r="AJ2307" t="s">
        <v>57</v>
      </c>
      <c r="AK2307" t="s">
        <v>2203</v>
      </c>
      <c r="AL2307" t="s">
        <v>2202</v>
      </c>
    </row>
    <row r="2308" spans="5:43" x14ac:dyDescent="0.25">
      <c r="E2308" t="s">
        <v>2201</v>
      </c>
      <c r="F2308" t="s">
        <v>2200</v>
      </c>
      <c r="G2308" t="s">
        <v>1053</v>
      </c>
      <c r="H2308" t="s">
        <v>1859</v>
      </c>
      <c r="I2308" t="str">
        <f t="shared" si="191"/>
        <v>ganryu</v>
      </c>
      <c r="J2308" t="str">
        <f t="shared" si="192"/>
        <v>ganryuserial</v>
      </c>
      <c r="K2308" t="s">
        <v>1373</v>
      </c>
      <c r="L2308" t="str">
        <f t="shared" si="189"/>
        <v>NGM-2520?</v>
      </c>
      <c r="M2308" t="str">
        <f t="shared" si="189"/>
        <v/>
      </c>
      <c r="N2308" t="str">
        <f t="shared" si="189"/>
        <v>武蔵厳流記</v>
      </c>
      <c r="O2308" t="str">
        <f t="shared" si="189"/>
        <v/>
      </c>
      <c r="P2308" t="str">
        <f t="shared" si="189"/>
        <v/>
      </c>
      <c r="Q2308" t="s">
        <v>2199</v>
      </c>
      <c r="S2308" t="s">
        <v>46</v>
      </c>
      <c r="T2308" t="str">
        <f t="shared" si="193"/>
        <v>ganryurelease</v>
      </c>
      <c r="U2308" t="s">
        <v>106</v>
      </c>
      <c r="V2308" t="str">
        <f t="shared" si="190"/>
        <v>MVS</v>
      </c>
      <c r="W2308" t="str">
        <f t="shared" si="190"/>
        <v>MVS,AES</v>
      </c>
      <c r="Y2308" t="s">
        <v>45</v>
      </c>
      <c r="Z2308" t="s">
        <v>44</v>
      </c>
      <c r="AB2308" t="s">
        <v>43</v>
      </c>
      <c r="AC2308" t="s">
        <v>42</v>
      </c>
      <c r="AD2308" t="s">
        <v>41</v>
      </c>
      <c r="AE2308" t="s">
        <v>3</v>
      </c>
      <c r="AG2308" t="s">
        <v>40</v>
      </c>
      <c r="AH2308" t="s">
        <v>2198</v>
      </c>
      <c r="AI2308" t="s">
        <v>15</v>
      </c>
      <c r="AJ2308" t="s">
        <v>15</v>
      </c>
      <c r="AK2308" t="s">
        <v>2197</v>
      </c>
      <c r="AL2308" t="s">
        <v>2196</v>
      </c>
      <c r="AP2308" t="s">
        <v>138</v>
      </c>
      <c r="AQ2308" t="s">
        <v>2195</v>
      </c>
    </row>
    <row r="2309" spans="5:43" x14ac:dyDescent="0.25">
      <c r="I2309" t="str">
        <f t="shared" si="191"/>
        <v>ganryu</v>
      </c>
      <c r="J2309" t="str">
        <f t="shared" si="192"/>
        <v>ganryualt_title</v>
      </c>
      <c r="K2309" t="s">
        <v>1218</v>
      </c>
      <c r="L2309" t="str">
        <f t="shared" si="189"/>
        <v>NGM-2520?</v>
      </c>
      <c r="M2309" t="str">
        <f t="shared" si="189"/>
        <v/>
      </c>
      <c r="N2309" t="str">
        <f t="shared" si="189"/>
        <v>武蔵厳流記</v>
      </c>
      <c r="O2309" t="str">
        <f t="shared" si="189"/>
        <v/>
      </c>
      <c r="P2309" t="str">
        <f t="shared" si="189"/>
        <v/>
      </c>
      <c r="Q2309" t="s">
        <v>2194</v>
      </c>
      <c r="T2309" t="str">
        <f t="shared" si="193"/>
        <v/>
      </c>
      <c r="V2309" t="str">
        <f t="shared" si="190"/>
        <v>MVS</v>
      </c>
      <c r="W2309" t="str">
        <f t="shared" si="190"/>
        <v>MVS,AES</v>
      </c>
      <c r="AG2309" t="s">
        <v>224</v>
      </c>
      <c r="AI2309" t="s">
        <v>9</v>
      </c>
      <c r="AJ2309" t="s">
        <v>15</v>
      </c>
    </row>
    <row r="2310" spans="5:43" x14ac:dyDescent="0.25">
      <c r="I2310" t="str">
        <f t="shared" si="191"/>
        <v>ganryu</v>
      </c>
      <c r="J2310" t="str">
        <f t="shared" si="192"/>
        <v/>
      </c>
      <c r="L2310" t="str">
        <f t="shared" ref="L2310:P2360" si="194">IFERROR(VLOOKUP($I2310&amp;L$1,$J:$Q,8,0),"")</f>
        <v>NGM-2520?</v>
      </c>
      <c r="M2310" t="str">
        <f t="shared" si="194"/>
        <v/>
      </c>
      <c r="N2310" t="str">
        <f t="shared" si="194"/>
        <v>武蔵厳流記</v>
      </c>
      <c r="O2310" t="str">
        <f t="shared" si="194"/>
        <v/>
      </c>
      <c r="P2310" t="str">
        <f t="shared" si="194"/>
        <v/>
      </c>
      <c r="S2310" t="s">
        <v>36</v>
      </c>
      <c r="T2310" t="str">
        <f t="shared" si="193"/>
        <v>ganryucompatibility</v>
      </c>
      <c r="U2310" t="s">
        <v>218</v>
      </c>
      <c r="V2310" t="str">
        <f t="shared" si="190"/>
        <v>MVS</v>
      </c>
      <c r="W2310" t="str">
        <f t="shared" si="190"/>
        <v>MVS,AES</v>
      </c>
      <c r="AB2310" t="s">
        <v>34</v>
      </c>
      <c r="AE2310" t="s">
        <v>135</v>
      </c>
      <c r="AG2310" t="s">
        <v>538</v>
      </c>
      <c r="AI2310" t="s">
        <v>9</v>
      </c>
      <c r="AJ2310" t="s">
        <v>135</v>
      </c>
      <c r="AN2310" t="s">
        <v>537</v>
      </c>
    </row>
    <row r="2311" spans="5:43" x14ac:dyDescent="0.25">
      <c r="I2311" t="str">
        <f t="shared" si="191"/>
        <v>ganryu</v>
      </c>
      <c r="J2311" t="str">
        <f t="shared" si="192"/>
        <v/>
      </c>
      <c r="L2311" t="str">
        <f t="shared" si="194"/>
        <v>NGM-2520?</v>
      </c>
      <c r="M2311" t="str">
        <f t="shared" si="194"/>
        <v/>
      </c>
      <c r="N2311" t="str">
        <f t="shared" si="194"/>
        <v>武蔵厳流記</v>
      </c>
      <c r="O2311" t="str">
        <f t="shared" si="194"/>
        <v/>
      </c>
      <c r="P2311" t="str">
        <f t="shared" si="194"/>
        <v/>
      </c>
      <c r="T2311" t="str">
        <f t="shared" si="193"/>
        <v/>
      </c>
      <c r="V2311" t="str">
        <f t="shared" si="190"/>
        <v>MVS</v>
      </c>
      <c r="W2311" t="str">
        <f t="shared" si="190"/>
        <v>MVS,AES</v>
      </c>
      <c r="AB2311" t="s">
        <v>29</v>
      </c>
      <c r="AE2311" t="s">
        <v>27</v>
      </c>
      <c r="AH2311" t="s">
        <v>2193</v>
      </c>
      <c r="AI2311" t="s">
        <v>9</v>
      </c>
      <c r="AJ2311" t="s">
        <v>27</v>
      </c>
      <c r="AK2311" t="s">
        <v>2192</v>
      </c>
      <c r="AL2311" t="s">
        <v>2191</v>
      </c>
    </row>
    <row r="2312" spans="5:43" x14ac:dyDescent="0.25">
      <c r="I2312" t="str">
        <f t="shared" si="191"/>
        <v>ganryu</v>
      </c>
      <c r="J2312" t="str">
        <f t="shared" si="192"/>
        <v/>
      </c>
      <c r="L2312" t="str">
        <f t="shared" si="194"/>
        <v>NGM-2520?</v>
      </c>
      <c r="M2312" t="str">
        <f t="shared" si="194"/>
        <v/>
      </c>
      <c r="N2312" t="str">
        <f t="shared" si="194"/>
        <v>武蔵厳流記</v>
      </c>
      <c r="O2312" t="str">
        <f t="shared" si="194"/>
        <v/>
      </c>
      <c r="P2312" t="str">
        <f t="shared" si="194"/>
        <v/>
      </c>
      <c r="T2312" t="str">
        <f t="shared" si="193"/>
        <v/>
      </c>
      <c r="V2312" t="str">
        <f t="shared" si="190"/>
        <v>MVS</v>
      </c>
      <c r="W2312" t="str">
        <f t="shared" si="190"/>
        <v>MVS,AES</v>
      </c>
      <c r="AB2312" t="s">
        <v>24</v>
      </c>
      <c r="AE2312" t="s">
        <v>11</v>
      </c>
      <c r="AH2312" t="s">
        <v>2190</v>
      </c>
      <c r="AI2312" t="s">
        <v>9</v>
      </c>
      <c r="AJ2312" t="s">
        <v>11</v>
      </c>
      <c r="AK2312" t="s">
        <v>2189</v>
      </c>
      <c r="AL2312" t="s">
        <v>2188</v>
      </c>
    </row>
    <row r="2313" spans="5:43" x14ac:dyDescent="0.25">
      <c r="I2313" t="str">
        <f t="shared" si="191"/>
        <v>ganryu</v>
      </c>
      <c r="J2313" t="str">
        <f t="shared" si="192"/>
        <v/>
      </c>
      <c r="L2313" t="str">
        <f t="shared" si="194"/>
        <v>NGM-2520?</v>
      </c>
      <c r="M2313" t="str">
        <f t="shared" si="194"/>
        <v/>
      </c>
      <c r="N2313" t="str">
        <f t="shared" si="194"/>
        <v>武蔵厳流記</v>
      </c>
      <c r="O2313" t="str">
        <f t="shared" si="194"/>
        <v/>
      </c>
      <c r="P2313" t="str">
        <f t="shared" si="194"/>
        <v/>
      </c>
      <c r="T2313" t="str">
        <f t="shared" si="193"/>
        <v/>
      </c>
      <c r="V2313" t="str">
        <f t="shared" si="190"/>
        <v>MVS</v>
      </c>
      <c r="W2313" t="str">
        <f t="shared" si="190"/>
        <v>MVS,AES</v>
      </c>
      <c r="AB2313" t="s">
        <v>12</v>
      </c>
      <c r="AE2313" t="s">
        <v>65</v>
      </c>
      <c r="AG2313" t="s">
        <v>6</v>
      </c>
      <c r="AH2313" t="s">
        <v>2187</v>
      </c>
      <c r="AI2313" t="s">
        <v>9</v>
      </c>
      <c r="AJ2313" t="s">
        <v>57</v>
      </c>
      <c r="AK2313" t="s">
        <v>2186</v>
      </c>
      <c r="AL2313" t="s">
        <v>2185</v>
      </c>
    </row>
    <row r="2314" spans="5:43" x14ac:dyDescent="0.25">
      <c r="I2314" t="str">
        <f t="shared" si="191"/>
        <v>ganryu</v>
      </c>
      <c r="J2314" t="str">
        <f t="shared" si="192"/>
        <v/>
      </c>
      <c r="L2314" t="str">
        <f t="shared" si="194"/>
        <v>NGM-2520?</v>
      </c>
      <c r="M2314" t="str">
        <f t="shared" si="194"/>
        <v/>
      </c>
      <c r="N2314" t="str">
        <f t="shared" si="194"/>
        <v>武蔵厳流記</v>
      </c>
      <c r="O2314" t="str">
        <f t="shared" si="194"/>
        <v/>
      </c>
      <c r="P2314" t="str">
        <f t="shared" si="194"/>
        <v/>
      </c>
      <c r="T2314" t="str">
        <f t="shared" si="193"/>
        <v/>
      </c>
      <c r="V2314" t="str">
        <f t="shared" si="190"/>
        <v>MVS</v>
      </c>
      <c r="W2314" t="str">
        <f t="shared" si="190"/>
        <v>MVS,AES</v>
      </c>
      <c r="AG2314" t="s">
        <v>6</v>
      </c>
      <c r="AH2314" t="s">
        <v>2184</v>
      </c>
      <c r="AI2314" t="s">
        <v>4</v>
      </c>
      <c r="AJ2314" t="s">
        <v>57</v>
      </c>
      <c r="AK2314" t="s">
        <v>2183</v>
      </c>
      <c r="AL2314" t="s">
        <v>2182</v>
      </c>
    </row>
    <row r="2315" spans="5:43" x14ac:dyDescent="0.25">
      <c r="E2315" t="s">
        <v>1048</v>
      </c>
      <c r="F2315" t="s">
        <v>2181</v>
      </c>
      <c r="G2315" t="s">
        <v>1053</v>
      </c>
      <c r="H2315" t="s">
        <v>1912</v>
      </c>
      <c r="I2315" t="str">
        <f t="shared" si="191"/>
        <v>garou</v>
      </c>
      <c r="J2315" t="str">
        <f t="shared" si="192"/>
        <v>garouserial</v>
      </c>
      <c r="K2315" t="s">
        <v>1373</v>
      </c>
      <c r="L2315" t="str">
        <f t="shared" si="194"/>
        <v>NGM-2530</v>
      </c>
      <c r="M2315" t="str">
        <f t="shared" si="194"/>
        <v>19991126</v>
      </c>
      <c r="N2315" t="str">
        <f t="shared" si="194"/>
        <v>餓狼</v>
      </c>
      <c r="O2315" t="str">
        <f t="shared" si="194"/>
        <v/>
      </c>
      <c r="P2315" t="str">
        <f t="shared" si="194"/>
        <v/>
      </c>
      <c r="Q2315" t="s">
        <v>2161</v>
      </c>
      <c r="S2315" t="s">
        <v>46</v>
      </c>
      <c r="T2315" t="str">
        <f t="shared" si="193"/>
        <v>garourelease</v>
      </c>
      <c r="U2315" t="s">
        <v>218</v>
      </c>
      <c r="V2315" t="str">
        <f t="shared" si="190"/>
        <v>MVS,AES</v>
      </c>
      <c r="W2315" t="str">
        <f t="shared" si="190"/>
        <v>MVS,AES</v>
      </c>
      <c r="Y2315" t="s">
        <v>45</v>
      </c>
      <c r="Z2315" t="s">
        <v>44</v>
      </c>
      <c r="AB2315" t="s">
        <v>43</v>
      </c>
      <c r="AC2315" t="s">
        <v>42</v>
      </c>
      <c r="AD2315" t="s">
        <v>41</v>
      </c>
      <c r="AE2315" t="s">
        <v>704</v>
      </c>
      <c r="AG2315" t="s">
        <v>40</v>
      </c>
      <c r="AH2315" t="s">
        <v>2180</v>
      </c>
      <c r="AI2315" t="s">
        <v>1924</v>
      </c>
      <c r="AJ2315" t="s">
        <v>33</v>
      </c>
      <c r="AK2315" t="s">
        <v>2179</v>
      </c>
      <c r="AL2315" t="s">
        <v>2178</v>
      </c>
      <c r="AP2315" t="s">
        <v>138</v>
      </c>
      <c r="AQ2315" t="s">
        <v>2158</v>
      </c>
    </row>
    <row r="2316" spans="5:43" x14ac:dyDescent="0.25">
      <c r="I2316" t="str">
        <f t="shared" si="191"/>
        <v>garou</v>
      </c>
      <c r="J2316" t="str">
        <f t="shared" si="192"/>
        <v>garourelease</v>
      </c>
      <c r="K2316" t="s">
        <v>46</v>
      </c>
      <c r="L2316" t="str">
        <f t="shared" si="194"/>
        <v>NGM-2530</v>
      </c>
      <c r="M2316" t="str">
        <f t="shared" si="194"/>
        <v>19991126</v>
      </c>
      <c r="N2316" t="str">
        <f t="shared" si="194"/>
        <v>餓狼</v>
      </c>
      <c r="O2316" t="str">
        <f t="shared" si="194"/>
        <v/>
      </c>
      <c r="P2316" t="str">
        <f t="shared" si="194"/>
        <v/>
      </c>
      <c r="Q2316" t="s">
        <v>2157</v>
      </c>
      <c r="T2316" t="str">
        <f t="shared" si="193"/>
        <v/>
      </c>
      <c r="V2316" t="str">
        <f t="shared" si="190"/>
        <v>MVS,AES</v>
      </c>
      <c r="W2316" t="str">
        <f t="shared" si="190"/>
        <v>MVS,AES</v>
      </c>
      <c r="AG2316" t="s">
        <v>40</v>
      </c>
      <c r="AH2316" t="s">
        <v>2156</v>
      </c>
      <c r="AI2316" t="s">
        <v>15</v>
      </c>
      <c r="AJ2316" t="s">
        <v>3</v>
      </c>
      <c r="AK2316" t="s">
        <v>2155</v>
      </c>
      <c r="AL2316" t="s">
        <v>2154</v>
      </c>
    </row>
    <row r="2317" spans="5:43" x14ac:dyDescent="0.25">
      <c r="I2317" t="str">
        <f t="shared" si="191"/>
        <v>garou</v>
      </c>
      <c r="J2317" t="str">
        <f t="shared" si="192"/>
        <v>garoualt_title</v>
      </c>
      <c r="K2317" t="s">
        <v>1218</v>
      </c>
      <c r="L2317" t="str">
        <f t="shared" si="194"/>
        <v>NGM-2530</v>
      </c>
      <c r="M2317" t="str">
        <f t="shared" si="194"/>
        <v>19991126</v>
      </c>
      <c r="N2317" t="str">
        <f t="shared" si="194"/>
        <v>餓狼</v>
      </c>
      <c r="O2317" t="str">
        <f t="shared" si="194"/>
        <v/>
      </c>
      <c r="P2317" t="str">
        <f t="shared" si="194"/>
        <v/>
      </c>
      <c r="Q2317" t="s">
        <v>2153</v>
      </c>
      <c r="T2317" t="str">
        <f t="shared" si="193"/>
        <v/>
      </c>
      <c r="V2317" t="str">
        <f t="shared" si="190"/>
        <v>MVS,AES</v>
      </c>
      <c r="W2317" t="str">
        <f t="shared" si="190"/>
        <v>MVS,AES</v>
      </c>
      <c r="AG2317" t="s">
        <v>40</v>
      </c>
      <c r="AH2317" t="s">
        <v>2152</v>
      </c>
      <c r="AI2317" t="s">
        <v>377</v>
      </c>
      <c r="AJ2317" t="s">
        <v>3</v>
      </c>
      <c r="AK2317" t="s">
        <v>2151</v>
      </c>
      <c r="AL2317" t="s">
        <v>2150</v>
      </c>
    </row>
    <row r="2318" spans="5:43" x14ac:dyDescent="0.25">
      <c r="I2318" t="str">
        <f t="shared" si="191"/>
        <v>garou</v>
      </c>
      <c r="J2318" t="str">
        <f t="shared" si="192"/>
        <v/>
      </c>
      <c r="L2318" t="str">
        <f t="shared" si="194"/>
        <v>NGM-2530</v>
      </c>
      <c r="M2318" t="str">
        <f t="shared" si="194"/>
        <v>19991126</v>
      </c>
      <c r="N2318" t="str">
        <f t="shared" si="194"/>
        <v>餓狼</v>
      </c>
      <c r="O2318" t="str">
        <f t="shared" si="194"/>
        <v/>
      </c>
      <c r="P2318" t="str">
        <f t="shared" si="194"/>
        <v/>
      </c>
      <c r="S2318" t="s">
        <v>36</v>
      </c>
      <c r="T2318" t="str">
        <f t="shared" si="193"/>
        <v>garoucompatibility</v>
      </c>
      <c r="U2318" t="s">
        <v>218</v>
      </c>
      <c r="V2318" t="str">
        <f t="shared" si="190"/>
        <v>MVS,AES</v>
      </c>
      <c r="W2318" t="str">
        <f t="shared" si="190"/>
        <v>MVS,AES</v>
      </c>
      <c r="AG2318" t="s">
        <v>40</v>
      </c>
      <c r="AH2318" t="s">
        <v>2149</v>
      </c>
      <c r="AI2318" t="s">
        <v>23</v>
      </c>
      <c r="AJ2318" t="s">
        <v>3</v>
      </c>
      <c r="AK2318" t="s">
        <v>2148</v>
      </c>
      <c r="AL2318" t="s">
        <v>2147</v>
      </c>
    </row>
    <row r="2319" spans="5:43" x14ac:dyDescent="0.25">
      <c r="I2319" t="str">
        <f t="shared" si="191"/>
        <v>garou</v>
      </c>
      <c r="J2319" t="str">
        <f t="shared" si="192"/>
        <v/>
      </c>
      <c r="L2319" t="str">
        <f t="shared" si="194"/>
        <v>NGM-2530</v>
      </c>
      <c r="M2319" t="str">
        <f t="shared" si="194"/>
        <v>19991126</v>
      </c>
      <c r="N2319" t="str">
        <f t="shared" si="194"/>
        <v>餓狼</v>
      </c>
      <c r="O2319" t="str">
        <f t="shared" si="194"/>
        <v/>
      </c>
      <c r="P2319" t="str">
        <f t="shared" si="194"/>
        <v/>
      </c>
      <c r="T2319" t="str">
        <f t="shared" si="193"/>
        <v/>
      </c>
      <c r="V2319" t="str">
        <f t="shared" si="190"/>
        <v>MVS,AES</v>
      </c>
      <c r="W2319" t="str">
        <f t="shared" si="190"/>
        <v>MVS,AES</v>
      </c>
      <c r="AG2319" t="s">
        <v>40</v>
      </c>
      <c r="AH2319" t="s">
        <v>2146</v>
      </c>
      <c r="AI2319" t="s">
        <v>211</v>
      </c>
      <c r="AJ2319" t="s">
        <v>3</v>
      </c>
      <c r="AK2319" t="s">
        <v>2145</v>
      </c>
      <c r="AL2319" t="s">
        <v>2144</v>
      </c>
    </row>
    <row r="2320" spans="5:43" x14ac:dyDescent="0.25">
      <c r="I2320" t="str">
        <f t="shared" si="191"/>
        <v>garou</v>
      </c>
      <c r="J2320" t="str">
        <f t="shared" si="192"/>
        <v/>
      </c>
      <c r="L2320" t="str">
        <f t="shared" si="194"/>
        <v>NGM-2530</v>
      </c>
      <c r="M2320" t="str">
        <f t="shared" si="194"/>
        <v>19991126</v>
      </c>
      <c r="N2320" t="str">
        <f t="shared" si="194"/>
        <v>餓狼</v>
      </c>
      <c r="O2320" t="str">
        <f t="shared" si="194"/>
        <v/>
      </c>
      <c r="P2320" t="str">
        <f t="shared" si="194"/>
        <v/>
      </c>
      <c r="T2320" t="str">
        <f t="shared" si="193"/>
        <v/>
      </c>
      <c r="V2320" t="str">
        <f t="shared" si="190"/>
        <v>MVS,AES</v>
      </c>
      <c r="W2320" t="str">
        <f t="shared" si="190"/>
        <v>MVS,AES</v>
      </c>
      <c r="AB2320" t="s">
        <v>34</v>
      </c>
      <c r="AE2320" t="s">
        <v>480</v>
      </c>
      <c r="AG2320" t="s">
        <v>538</v>
      </c>
      <c r="AI2320" t="s">
        <v>9</v>
      </c>
      <c r="AJ2320" t="s">
        <v>480</v>
      </c>
      <c r="AN2320" t="s">
        <v>537</v>
      </c>
    </row>
    <row r="2321" spans="5:44" x14ac:dyDescent="0.25">
      <c r="I2321" t="str">
        <f t="shared" si="191"/>
        <v>garou</v>
      </c>
      <c r="J2321" t="str">
        <f t="shared" si="192"/>
        <v/>
      </c>
      <c r="L2321" t="str">
        <f t="shared" si="194"/>
        <v>NGM-2530</v>
      </c>
      <c r="M2321" t="str">
        <f t="shared" si="194"/>
        <v>19991126</v>
      </c>
      <c r="N2321" t="str">
        <f t="shared" si="194"/>
        <v>餓狼</v>
      </c>
      <c r="O2321" t="str">
        <f t="shared" si="194"/>
        <v/>
      </c>
      <c r="P2321" t="str">
        <f t="shared" si="194"/>
        <v/>
      </c>
      <c r="T2321" t="str">
        <f t="shared" si="193"/>
        <v/>
      </c>
      <c r="V2321" t="str">
        <f t="shared" si="190"/>
        <v>MVS,AES</v>
      </c>
      <c r="W2321" t="str">
        <f t="shared" si="190"/>
        <v>MVS,AES</v>
      </c>
      <c r="AB2321" t="s">
        <v>29</v>
      </c>
      <c r="AE2321" t="s">
        <v>33</v>
      </c>
      <c r="AH2321" t="s">
        <v>2143</v>
      </c>
      <c r="AI2321" t="s">
        <v>9</v>
      </c>
      <c r="AJ2321" t="s">
        <v>33</v>
      </c>
      <c r="AK2321" t="s">
        <v>2142</v>
      </c>
      <c r="AL2321" t="s">
        <v>2141</v>
      </c>
    </row>
    <row r="2322" spans="5:44" x14ac:dyDescent="0.25">
      <c r="I2322" t="str">
        <f t="shared" si="191"/>
        <v>garou</v>
      </c>
      <c r="J2322" t="str">
        <f t="shared" si="192"/>
        <v/>
      </c>
      <c r="L2322" t="str">
        <f t="shared" si="194"/>
        <v>NGM-2530</v>
      </c>
      <c r="M2322" t="str">
        <f t="shared" si="194"/>
        <v>19991126</v>
      </c>
      <c r="N2322" t="str">
        <f t="shared" si="194"/>
        <v>餓狼</v>
      </c>
      <c r="O2322" t="str">
        <f t="shared" si="194"/>
        <v/>
      </c>
      <c r="P2322" t="str">
        <f t="shared" si="194"/>
        <v/>
      </c>
      <c r="T2322" t="str">
        <f t="shared" si="193"/>
        <v/>
      </c>
      <c r="V2322" t="str">
        <f t="shared" si="190"/>
        <v>MVS,AES</v>
      </c>
      <c r="W2322" t="str">
        <f t="shared" si="190"/>
        <v>MVS,AES</v>
      </c>
      <c r="AB2322" t="s">
        <v>24</v>
      </c>
      <c r="AE2322" t="s">
        <v>65</v>
      </c>
      <c r="AH2322" t="s">
        <v>2140</v>
      </c>
      <c r="AI2322" t="s">
        <v>9</v>
      </c>
      <c r="AJ2322" t="s">
        <v>11</v>
      </c>
      <c r="AK2322" t="s">
        <v>2139</v>
      </c>
      <c r="AL2322" t="s">
        <v>2138</v>
      </c>
    </row>
    <row r="2323" spans="5:44" x14ac:dyDescent="0.25">
      <c r="I2323" t="str">
        <f t="shared" si="191"/>
        <v>garou</v>
      </c>
      <c r="J2323" t="str">
        <f t="shared" si="192"/>
        <v/>
      </c>
      <c r="L2323" t="str">
        <f t="shared" si="194"/>
        <v>NGM-2530</v>
      </c>
      <c r="M2323" t="str">
        <f t="shared" si="194"/>
        <v>19991126</v>
      </c>
      <c r="N2323" t="str">
        <f t="shared" si="194"/>
        <v>餓狼</v>
      </c>
      <c r="O2323" t="str">
        <f t="shared" si="194"/>
        <v/>
      </c>
      <c r="P2323" t="str">
        <f t="shared" si="194"/>
        <v/>
      </c>
      <c r="T2323" t="str">
        <f t="shared" si="193"/>
        <v/>
      </c>
      <c r="V2323" t="str">
        <f t="shared" si="190"/>
        <v>MVS,AES</v>
      </c>
      <c r="W2323" t="str">
        <f t="shared" si="190"/>
        <v>MVS,AES</v>
      </c>
      <c r="AH2323" t="s">
        <v>2137</v>
      </c>
      <c r="AI2323" t="s">
        <v>11</v>
      </c>
      <c r="AJ2323" t="s">
        <v>11</v>
      </c>
      <c r="AK2323" t="s">
        <v>2136</v>
      </c>
      <c r="AL2323" t="s">
        <v>2135</v>
      </c>
    </row>
    <row r="2324" spans="5:44" x14ac:dyDescent="0.25">
      <c r="I2324" t="str">
        <f t="shared" si="191"/>
        <v>garou</v>
      </c>
      <c r="J2324" t="str">
        <f t="shared" si="192"/>
        <v/>
      </c>
      <c r="L2324" t="str">
        <f t="shared" si="194"/>
        <v>NGM-2530</v>
      </c>
      <c r="M2324" t="str">
        <f t="shared" si="194"/>
        <v>19991126</v>
      </c>
      <c r="N2324" t="str">
        <f t="shared" si="194"/>
        <v>餓狼</v>
      </c>
      <c r="O2324" t="str">
        <f t="shared" si="194"/>
        <v/>
      </c>
      <c r="P2324" t="str">
        <f t="shared" si="194"/>
        <v/>
      </c>
      <c r="T2324" t="str">
        <f t="shared" si="193"/>
        <v/>
      </c>
      <c r="V2324" t="str">
        <f t="shared" si="190"/>
        <v>MVS,AES</v>
      </c>
      <c r="W2324" t="str">
        <f t="shared" si="190"/>
        <v>MVS,AES</v>
      </c>
      <c r="AH2324" t="s">
        <v>2134</v>
      </c>
      <c r="AI2324" t="s">
        <v>57</v>
      </c>
      <c r="AJ2324" t="s">
        <v>11</v>
      </c>
      <c r="AK2324" t="s">
        <v>2133</v>
      </c>
      <c r="AL2324" t="s">
        <v>2132</v>
      </c>
    </row>
    <row r="2325" spans="5:44" x14ac:dyDescent="0.25">
      <c r="I2325" t="str">
        <f t="shared" si="191"/>
        <v>garou</v>
      </c>
      <c r="J2325" t="str">
        <f t="shared" si="192"/>
        <v/>
      </c>
      <c r="L2325" t="str">
        <f t="shared" si="194"/>
        <v>NGM-2530</v>
      </c>
      <c r="M2325" t="str">
        <f t="shared" si="194"/>
        <v>19991126</v>
      </c>
      <c r="N2325" t="str">
        <f t="shared" si="194"/>
        <v>餓狼</v>
      </c>
      <c r="O2325" t="str">
        <f t="shared" si="194"/>
        <v/>
      </c>
      <c r="P2325" t="str">
        <f t="shared" si="194"/>
        <v/>
      </c>
      <c r="T2325" t="str">
        <f t="shared" si="193"/>
        <v/>
      </c>
      <c r="V2325" t="str">
        <f t="shared" si="190"/>
        <v>MVS,AES</v>
      </c>
      <c r="W2325" t="str">
        <f t="shared" si="190"/>
        <v>MVS,AES</v>
      </c>
      <c r="AH2325" t="s">
        <v>2131</v>
      </c>
      <c r="AI2325" t="s">
        <v>250</v>
      </c>
      <c r="AJ2325" t="s">
        <v>11</v>
      </c>
      <c r="AK2325" t="s">
        <v>2130</v>
      </c>
      <c r="AL2325" t="s">
        <v>2129</v>
      </c>
    </row>
    <row r="2326" spans="5:44" x14ac:dyDescent="0.25">
      <c r="I2326" t="str">
        <f t="shared" si="191"/>
        <v>garou</v>
      </c>
      <c r="J2326" t="str">
        <f t="shared" si="192"/>
        <v/>
      </c>
      <c r="L2326" t="str">
        <f t="shared" si="194"/>
        <v>NGM-2530</v>
      </c>
      <c r="M2326" t="str">
        <f t="shared" si="194"/>
        <v>19991126</v>
      </c>
      <c r="N2326" t="str">
        <f t="shared" si="194"/>
        <v>餓狼</v>
      </c>
      <c r="O2326" t="str">
        <f t="shared" si="194"/>
        <v/>
      </c>
      <c r="P2326" t="str">
        <f t="shared" si="194"/>
        <v/>
      </c>
      <c r="T2326" t="str">
        <f t="shared" si="193"/>
        <v/>
      </c>
      <c r="V2326" t="str">
        <f t="shared" si="190"/>
        <v>MVS,AES</v>
      </c>
      <c r="W2326" t="str">
        <f t="shared" si="190"/>
        <v>MVS,AES</v>
      </c>
      <c r="AB2326" t="s">
        <v>12</v>
      </c>
      <c r="AE2326" t="s">
        <v>175</v>
      </c>
      <c r="AG2326" t="s">
        <v>6</v>
      </c>
      <c r="AH2326" t="s">
        <v>2128</v>
      </c>
      <c r="AI2326" t="s">
        <v>9</v>
      </c>
      <c r="AJ2326" t="s">
        <v>57</v>
      </c>
      <c r="AK2326" t="s">
        <v>2127</v>
      </c>
      <c r="AL2326" t="s">
        <v>2126</v>
      </c>
    </row>
    <row r="2327" spans="5:44" x14ac:dyDescent="0.25">
      <c r="I2327" t="str">
        <f t="shared" si="191"/>
        <v>garou</v>
      </c>
      <c r="J2327" t="str">
        <f t="shared" si="192"/>
        <v/>
      </c>
      <c r="L2327" t="str">
        <f t="shared" si="194"/>
        <v>NGM-2530</v>
      </c>
      <c r="M2327" t="str">
        <f t="shared" si="194"/>
        <v>19991126</v>
      </c>
      <c r="N2327" t="str">
        <f t="shared" si="194"/>
        <v>餓狼</v>
      </c>
      <c r="O2327" t="str">
        <f t="shared" si="194"/>
        <v/>
      </c>
      <c r="P2327" t="str">
        <f t="shared" si="194"/>
        <v/>
      </c>
      <c r="T2327" t="str">
        <f t="shared" si="193"/>
        <v/>
      </c>
      <c r="V2327" t="str">
        <f t="shared" ref="V2327:W2390" si="195">IFERROR(VLOOKUP($I2327&amp;V$1,$T:$AA,2,0),"")</f>
        <v>MVS,AES</v>
      </c>
      <c r="W2327" t="str">
        <f t="shared" si="195"/>
        <v>MVS,AES</v>
      </c>
      <c r="AG2327" t="s">
        <v>6</v>
      </c>
      <c r="AH2327" t="s">
        <v>2125</v>
      </c>
      <c r="AI2327" t="s">
        <v>4</v>
      </c>
      <c r="AJ2327" t="s">
        <v>57</v>
      </c>
      <c r="AK2327" t="s">
        <v>2124</v>
      </c>
      <c r="AL2327" t="s">
        <v>2123</v>
      </c>
    </row>
    <row r="2328" spans="5:44" x14ac:dyDescent="0.25">
      <c r="I2328" t="str">
        <f t="shared" si="191"/>
        <v>garou</v>
      </c>
      <c r="J2328" t="str">
        <f t="shared" si="192"/>
        <v/>
      </c>
      <c r="L2328" t="str">
        <f t="shared" si="194"/>
        <v>NGM-2530</v>
      </c>
      <c r="M2328" t="str">
        <f t="shared" si="194"/>
        <v>19991126</v>
      </c>
      <c r="N2328" t="str">
        <f t="shared" si="194"/>
        <v>餓狼</v>
      </c>
      <c r="O2328" t="str">
        <f t="shared" si="194"/>
        <v/>
      </c>
      <c r="P2328" t="str">
        <f t="shared" si="194"/>
        <v/>
      </c>
      <c r="T2328" t="str">
        <f t="shared" si="193"/>
        <v/>
      </c>
      <c r="V2328" t="str">
        <f t="shared" si="195"/>
        <v>MVS,AES</v>
      </c>
      <c r="W2328" t="str">
        <f t="shared" si="195"/>
        <v>MVS,AES</v>
      </c>
      <c r="AG2328" t="s">
        <v>6</v>
      </c>
      <c r="AH2328" t="s">
        <v>2122</v>
      </c>
      <c r="AI2328" t="s">
        <v>65</v>
      </c>
      <c r="AJ2328" t="s">
        <v>57</v>
      </c>
      <c r="AK2328" t="s">
        <v>2121</v>
      </c>
      <c r="AL2328" t="s">
        <v>2120</v>
      </c>
    </row>
    <row r="2329" spans="5:44" x14ac:dyDescent="0.25">
      <c r="I2329" t="str">
        <f t="shared" si="191"/>
        <v>garou</v>
      </c>
      <c r="J2329" t="str">
        <f t="shared" si="192"/>
        <v/>
      </c>
      <c r="L2329" t="str">
        <f t="shared" si="194"/>
        <v>NGM-2530</v>
      </c>
      <c r="M2329" t="str">
        <f t="shared" si="194"/>
        <v>19991126</v>
      </c>
      <c r="N2329" t="str">
        <f t="shared" si="194"/>
        <v>餓狼</v>
      </c>
      <c r="O2329" t="str">
        <f t="shared" si="194"/>
        <v/>
      </c>
      <c r="P2329" t="str">
        <f t="shared" si="194"/>
        <v/>
      </c>
      <c r="T2329" t="str">
        <f t="shared" si="193"/>
        <v/>
      </c>
      <c r="V2329" t="str">
        <f t="shared" si="195"/>
        <v>MVS,AES</v>
      </c>
      <c r="W2329" t="str">
        <f t="shared" si="195"/>
        <v>MVS,AES</v>
      </c>
      <c r="AG2329" t="s">
        <v>6</v>
      </c>
      <c r="AH2329" t="s">
        <v>2119</v>
      </c>
      <c r="AI2329" t="s">
        <v>164</v>
      </c>
      <c r="AJ2329" t="s">
        <v>57</v>
      </c>
      <c r="AK2329" t="s">
        <v>2118</v>
      </c>
      <c r="AL2329" t="s">
        <v>2117</v>
      </c>
    </row>
    <row r="2330" spans="5:44" x14ac:dyDescent="0.25">
      <c r="I2330" t="str">
        <f t="shared" si="191"/>
        <v>garou</v>
      </c>
      <c r="J2330" t="str">
        <f t="shared" si="192"/>
        <v/>
      </c>
      <c r="L2330" t="str">
        <f t="shared" si="194"/>
        <v>NGM-2530</v>
      </c>
      <c r="M2330" t="str">
        <f t="shared" si="194"/>
        <v>19991126</v>
      </c>
      <c r="N2330" t="str">
        <f t="shared" si="194"/>
        <v>餓狼</v>
      </c>
      <c r="O2330" t="str">
        <f t="shared" si="194"/>
        <v/>
      </c>
      <c r="P2330" t="str">
        <f t="shared" si="194"/>
        <v/>
      </c>
      <c r="T2330" t="str">
        <f t="shared" si="193"/>
        <v/>
      </c>
      <c r="V2330" t="str">
        <f t="shared" si="195"/>
        <v>MVS,AES</v>
      </c>
      <c r="W2330" t="str">
        <f t="shared" si="195"/>
        <v>MVS,AES</v>
      </c>
      <c r="AG2330" t="s">
        <v>6</v>
      </c>
      <c r="AH2330" t="s">
        <v>2116</v>
      </c>
      <c r="AI2330" t="s">
        <v>160</v>
      </c>
      <c r="AJ2330" t="s">
        <v>57</v>
      </c>
      <c r="AK2330" t="s">
        <v>2115</v>
      </c>
      <c r="AL2330" t="s">
        <v>2114</v>
      </c>
    </row>
    <row r="2331" spans="5:44" x14ac:dyDescent="0.25">
      <c r="I2331" t="str">
        <f t="shared" si="191"/>
        <v>garou</v>
      </c>
      <c r="J2331" t="str">
        <f t="shared" si="192"/>
        <v/>
      </c>
      <c r="L2331" t="str">
        <f t="shared" si="194"/>
        <v>NGM-2530</v>
      </c>
      <c r="M2331" t="str">
        <f t="shared" si="194"/>
        <v>19991126</v>
      </c>
      <c r="N2331" t="str">
        <f t="shared" si="194"/>
        <v>餓狼</v>
      </c>
      <c r="O2331" t="str">
        <f t="shared" si="194"/>
        <v/>
      </c>
      <c r="P2331" t="str">
        <f t="shared" si="194"/>
        <v/>
      </c>
      <c r="T2331" t="str">
        <f t="shared" si="193"/>
        <v/>
      </c>
      <c r="V2331" t="str">
        <f t="shared" si="195"/>
        <v>MVS,AES</v>
      </c>
      <c r="W2331" t="str">
        <f t="shared" si="195"/>
        <v>MVS,AES</v>
      </c>
      <c r="AG2331" t="s">
        <v>6</v>
      </c>
      <c r="AH2331" t="s">
        <v>2113</v>
      </c>
      <c r="AI2331" t="s">
        <v>156</v>
      </c>
      <c r="AJ2331" t="s">
        <v>57</v>
      </c>
      <c r="AK2331" t="s">
        <v>2112</v>
      </c>
      <c r="AL2331" t="s">
        <v>2111</v>
      </c>
    </row>
    <row r="2332" spans="5:44" x14ac:dyDescent="0.25">
      <c r="I2332" t="str">
        <f t="shared" si="191"/>
        <v>garou</v>
      </c>
      <c r="J2332" t="str">
        <f t="shared" si="192"/>
        <v/>
      </c>
      <c r="L2332" t="str">
        <f t="shared" si="194"/>
        <v>NGM-2530</v>
      </c>
      <c r="M2332" t="str">
        <f t="shared" si="194"/>
        <v>19991126</v>
      </c>
      <c r="N2332" t="str">
        <f t="shared" si="194"/>
        <v>餓狼</v>
      </c>
      <c r="O2332" t="str">
        <f t="shared" si="194"/>
        <v/>
      </c>
      <c r="P2332" t="str">
        <f t="shared" si="194"/>
        <v/>
      </c>
      <c r="T2332" t="str">
        <f t="shared" si="193"/>
        <v/>
      </c>
      <c r="V2332" t="str">
        <f t="shared" si="195"/>
        <v>MVS,AES</v>
      </c>
      <c r="W2332" t="str">
        <f t="shared" si="195"/>
        <v>MVS,AES</v>
      </c>
      <c r="AG2332" t="s">
        <v>6</v>
      </c>
      <c r="AH2332" t="s">
        <v>2110</v>
      </c>
      <c r="AI2332" t="s">
        <v>152</v>
      </c>
      <c r="AJ2332" t="s">
        <v>57</v>
      </c>
      <c r="AK2332" t="s">
        <v>2109</v>
      </c>
      <c r="AL2332" t="s">
        <v>2108</v>
      </c>
    </row>
    <row r="2333" spans="5:44" x14ac:dyDescent="0.25">
      <c r="I2333" t="str">
        <f t="shared" si="191"/>
        <v>garou</v>
      </c>
      <c r="J2333" t="str">
        <f t="shared" si="192"/>
        <v/>
      </c>
      <c r="L2333" t="str">
        <f t="shared" si="194"/>
        <v>NGM-2530</v>
      </c>
      <c r="M2333" t="str">
        <f t="shared" si="194"/>
        <v>19991126</v>
      </c>
      <c r="N2333" t="str">
        <f t="shared" si="194"/>
        <v>餓狼</v>
      </c>
      <c r="O2333" t="str">
        <f t="shared" si="194"/>
        <v/>
      </c>
      <c r="P2333" t="str">
        <f t="shared" si="194"/>
        <v/>
      </c>
      <c r="T2333" t="str">
        <f t="shared" si="193"/>
        <v/>
      </c>
      <c r="V2333" t="str">
        <f t="shared" si="195"/>
        <v>MVS,AES</v>
      </c>
      <c r="W2333" t="str">
        <f t="shared" si="195"/>
        <v>MVS,AES</v>
      </c>
      <c r="AG2333" t="s">
        <v>6</v>
      </c>
      <c r="AH2333" t="s">
        <v>2107</v>
      </c>
      <c r="AI2333" t="s">
        <v>148</v>
      </c>
      <c r="AJ2333" t="s">
        <v>57</v>
      </c>
      <c r="AK2333" t="s">
        <v>2106</v>
      </c>
      <c r="AL2333" t="s">
        <v>2105</v>
      </c>
    </row>
    <row r="2334" spans="5:44" x14ac:dyDescent="0.25">
      <c r="E2334" t="s">
        <v>2177</v>
      </c>
      <c r="F2334" t="s">
        <v>2176</v>
      </c>
      <c r="G2334" t="s">
        <v>1053</v>
      </c>
      <c r="H2334" t="s">
        <v>1912</v>
      </c>
      <c r="I2334" t="str">
        <f t="shared" si="191"/>
        <v>garouh</v>
      </c>
      <c r="J2334" t="str">
        <f t="shared" si="192"/>
        <v>garouhserial</v>
      </c>
      <c r="K2334" t="s">
        <v>1373</v>
      </c>
      <c r="L2334" t="str">
        <f t="shared" si="194"/>
        <v>NGM-2530 (MVS), NGH-2530 (AES)</v>
      </c>
      <c r="M2334" t="str">
        <f t="shared" si="194"/>
        <v>19991126 (MVS), 20000225 (AES)</v>
      </c>
      <c r="N2334" t="str">
        <f t="shared" si="194"/>
        <v>餓狼</v>
      </c>
      <c r="O2334" t="str">
        <f t="shared" si="194"/>
        <v/>
      </c>
      <c r="P2334" t="str">
        <f t="shared" si="194"/>
        <v/>
      </c>
      <c r="Q2334" t="s">
        <v>2175</v>
      </c>
      <c r="S2334" t="s">
        <v>46</v>
      </c>
      <c r="T2334" t="str">
        <f t="shared" si="193"/>
        <v>garouhrelease</v>
      </c>
      <c r="U2334" t="s">
        <v>218</v>
      </c>
      <c r="V2334" t="str">
        <f t="shared" si="195"/>
        <v>MVS,AES</v>
      </c>
      <c r="W2334" t="str">
        <f t="shared" si="195"/>
        <v>MVS,AES</v>
      </c>
      <c r="Y2334" t="s">
        <v>45</v>
      </c>
      <c r="Z2334" t="s">
        <v>44</v>
      </c>
      <c r="AB2334" t="s">
        <v>43</v>
      </c>
      <c r="AC2334" t="s">
        <v>42</v>
      </c>
      <c r="AD2334" t="s">
        <v>41</v>
      </c>
      <c r="AE2334" t="s">
        <v>704</v>
      </c>
      <c r="AG2334" t="s">
        <v>40</v>
      </c>
      <c r="AH2334" t="s">
        <v>2174</v>
      </c>
      <c r="AI2334" t="s">
        <v>1924</v>
      </c>
      <c r="AJ2334" t="s">
        <v>33</v>
      </c>
      <c r="AK2334" t="s">
        <v>2173</v>
      </c>
      <c r="AL2334" t="s">
        <v>2172</v>
      </c>
      <c r="AP2334" t="s">
        <v>138</v>
      </c>
      <c r="AQ2334" t="s">
        <v>2171</v>
      </c>
      <c r="AR2334" t="s">
        <v>1048</v>
      </c>
    </row>
    <row r="2335" spans="5:44" x14ac:dyDescent="0.25">
      <c r="I2335" t="str">
        <f t="shared" si="191"/>
        <v>garouh</v>
      </c>
      <c r="J2335" t="str">
        <f t="shared" si="192"/>
        <v>garouhrelease</v>
      </c>
      <c r="K2335" t="s">
        <v>46</v>
      </c>
      <c r="L2335" t="str">
        <f t="shared" si="194"/>
        <v>NGM-2530 (MVS), NGH-2530 (AES)</v>
      </c>
      <c r="M2335" t="str">
        <f t="shared" si="194"/>
        <v>19991126 (MVS), 20000225 (AES)</v>
      </c>
      <c r="N2335" t="str">
        <f t="shared" si="194"/>
        <v>餓狼</v>
      </c>
      <c r="O2335" t="str">
        <f t="shared" si="194"/>
        <v/>
      </c>
      <c r="P2335" t="str">
        <f t="shared" si="194"/>
        <v/>
      </c>
      <c r="Q2335" t="s">
        <v>2170</v>
      </c>
      <c r="T2335" t="str">
        <f t="shared" si="193"/>
        <v/>
      </c>
      <c r="V2335" t="str">
        <f t="shared" si="195"/>
        <v>MVS,AES</v>
      </c>
      <c r="W2335" t="str">
        <f t="shared" si="195"/>
        <v>MVS,AES</v>
      </c>
      <c r="AG2335" t="s">
        <v>40</v>
      </c>
      <c r="AH2335" t="s">
        <v>2169</v>
      </c>
      <c r="AI2335" t="s">
        <v>15</v>
      </c>
      <c r="AJ2335" t="s">
        <v>11</v>
      </c>
      <c r="AK2335" t="s">
        <v>2168</v>
      </c>
      <c r="AL2335" t="s">
        <v>2167</v>
      </c>
    </row>
    <row r="2336" spans="5:44" x14ac:dyDescent="0.25">
      <c r="I2336" t="str">
        <f t="shared" si="191"/>
        <v>garouh</v>
      </c>
      <c r="J2336" t="str">
        <f t="shared" si="192"/>
        <v>garouhalt_title</v>
      </c>
      <c r="K2336" t="s">
        <v>1218</v>
      </c>
      <c r="L2336" t="str">
        <f t="shared" si="194"/>
        <v>NGM-2530 (MVS), NGH-2530 (AES)</v>
      </c>
      <c r="M2336" t="str">
        <f t="shared" si="194"/>
        <v>19991126 (MVS), 20000225 (AES)</v>
      </c>
      <c r="N2336" t="str">
        <f t="shared" si="194"/>
        <v>餓狼</v>
      </c>
      <c r="O2336" t="str">
        <f t="shared" si="194"/>
        <v/>
      </c>
      <c r="P2336" t="str">
        <f t="shared" si="194"/>
        <v/>
      </c>
      <c r="Q2336" t="s">
        <v>2153</v>
      </c>
      <c r="T2336" t="str">
        <f t="shared" si="193"/>
        <v/>
      </c>
      <c r="V2336" t="str">
        <f t="shared" si="195"/>
        <v>MVS,AES</v>
      </c>
      <c r="W2336" t="str">
        <f t="shared" si="195"/>
        <v>MVS,AES</v>
      </c>
      <c r="AG2336" t="s">
        <v>40</v>
      </c>
      <c r="AH2336" t="s">
        <v>2166</v>
      </c>
      <c r="AI2336" t="s">
        <v>23</v>
      </c>
      <c r="AJ2336" t="s">
        <v>11</v>
      </c>
      <c r="AK2336" t="s">
        <v>2165</v>
      </c>
      <c r="AL2336" t="s">
        <v>2164</v>
      </c>
    </row>
    <row r="2337" spans="5:44" x14ac:dyDescent="0.25">
      <c r="I2337" t="str">
        <f t="shared" si="191"/>
        <v>garouh</v>
      </c>
      <c r="J2337" t="str">
        <f t="shared" si="192"/>
        <v/>
      </c>
      <c r="L2337" t="str">
        <f t="shared" si="194"/>
        <v>NGM-2530 (MVS), NGH-2530 (AES)</v>
      </c>
      <c r="M2337" t="str">
        <f t="shared" si="194"/>
        <v>19991126 (MVS), 20000225 (AES)</v>
      </c>
      <c r="N2337" t="str">
        <f t="shared" si="194"/>
        <v>餓狼</v>
      </c>
      <c r="O2337" t="str">
        <f t="shared" si="194"/>
        <v/>
      </c>
      <c r="P2337" t="str">
        <f t="shared" si="194"/>
        <v/>
      </c>
      <c r="S2337" t="s">
        <v>36</v>
      </c>
      <c r="T2337" t="str">
        <f t="shared" si="193"/>
        <v>garouhcompatibility</v>
      </c>
      <c r="U2337" t="s">
        <v>218</v>
      </c>
      <c r="V2337" t="str">
        <f t="shared" si="195"/>
        <v>MVS,AES</v>
      </c>
      <c r="W2337" t="str">
        <f t="shared" si="195"/>
        <v>MVS,AES</v>
      </c>
      <c r="AB2337" t="s">
        <v>34</v>
      </c>
      <c r="AE2337" t="s">
        <v>480</v>
      </c>
      <c r="AG2337" t="s">
        <v>538</v>
      </c>
      <c r="AI2337" t="s">
        <v>9</v>
      </c>
      <c r="AJ2337" t="s">
        <v>480</v>
      </c>
      <c r="AN2337" t="s">
        <v>537</v>
      </c>
    </row>
    <row r="2338" spans="5:44" x14ac:dyDescent="0.25">
      <c r="I2338" t="str">
        <f t="shared" si="191"/>
        <v>garouh</v>
      </c>
      <c r="J2338" t="str">
        <f t="shared" si="192"/>
        <v/>
      </c>
      <c r="L2338" t="str">
        <f t="shared" si="194"/>
        <v>NGM-2530 (MVS), NGH-2530 (AES)</v>
      </c>
      <c r="M2338" t="str">
        <f t="shared" si="194"/>
        <v>19991126 (MVS), 20000225 (AES)</v>
      </c>
      <c r="N2338" t="str">
        <f t="shared" si="194"/>
        <v>餓狼</v>
      </c>
      <c r="O2338" t="str">
        <f t="shared" si="194"/>
        <v/>
      </c>
      <c r="P2338" t="str">
        <f t="shared" si="194"/>
        <v/>
      </c>
      <c r="T2338" t="str">
        <f t="shared" si="193"/>
        <v/>
      </c>
      <c r="V2338" t="str">
        <f t="shared" si="195"/>
        <v>MVS,AES</v>
      </c>
      <c r="W2338" t="str">
        <f t="shared" si="195"/>
        <v>MVS,AES</v>
      </c>
      <c r="AB2338" t="s">
        <v>29</v>
      </c>
      <c r="AE2338" t="s">
        <v>33</v>
      </c>
      <c r="AH2338" t="s">
        <v>2143</v>
      </c>
      <c r="AI2338" t="s">
        <v>9</v>
      </c>
      <c r="AJ2338" t="s">
        <v>33</v>
      </c>
      <c r="AK2338" t="s">
        <v>2142</v>
      </c>
      <c r="AL2338" t="s">
        <v>2141</v>
      </c>
    </row>
    <row r="2339" spans="5:44" x14ac:dyDescent="0.25">
      <c r="I2339" t="str">
        <f t="shared" si="191"/>
        <v>garouh</v>
      </c>
      <c r="J2339" t="str">
        <f t="shared" si="192"/>
        <v/>
      </c>
      <c r="L2339" t="str">
        <f t="shared" si="194"/>
        <v>NGM-2530 (MVS), NGH-2530 (AES)</v>
      </c>
      <c r="M2339" t="str">
        <f t="shared" si="194"/>
        <v>19991126 (MVS), 20000225 (AES)</v>
      </c>
      <c r="N2339" t="str">
        <f t="shared" si="194"/>
        <v>餓狼</v>
      </c>
      <c r="O2339" t="str">
        <f t="shared" si="194"/>
        <v/>
      </c>
      <c r="P2339" t="str">
        <f t="shared" si="194"/>
        <v/>
      </c>
      <c r="T2339" t="str">
        <f t="shared" si="193"/>
        <v/>
      </c>
      <c r="V2339" t="str">
        <f t="shared" si="195"/>
        <v>MVS,AES</v>
      </c>
      <c r="W2339" t="str">
        <f t="shared" si="195"/>
        <v>MVS,AES</v>
      </c>
      <c r="AB2339" t="s">
        <v>24</v>
      </c>
      <c r="AE2339" t="s">
        <v>65</v>
      </c>
      <c r="AH2339" t="s">
        <v>2140</v>
      </c>
      <c r="AI2339" t="s">
        <v>9</v>
      </c>
      <c r="AJ2339" t="s">
        <v>11</v>
      </c>
      <c r="AK2339" t="s">
        <v>2139</v>
      </c>
      <c r="AL2339" t="s">
        <v>2138</v>
      </c>
    </row>
    <row r="2340" spans="5:44" x14ac:dyDescent="0.25">
      <c r="I2340" t="str">
        <f t="shared" si="191"/>
        <v>garouh</v>
      </c>
      <c r="J2340" t="str">
        <f t="shared" si="192"/>
        <v/>
      </c>
      <c r="L2340" t="str">
        <f t="shared" si="194"/>
        <v>NGM-2530 (MVS), NGH-2530 (AES)</v>
      </c>
      <c r="M2340" t="str">
        <f t="shared" si="194"/>
        <v>19991126 (MVS), 20000225 (AES)</v>
      </c>
      <c r="N2340" t="str">
        <f t="shared" si="194"/>
        <v>餓狼</v>
      </c>
      <c r="O2340" t="str">
        <f t="shared" si="194"/>
        <v/>
      </c>
      <c r="P2340" t="str">
        <f t="shared" si="194"/>
        <v/>
      </c>
      <c r="T2340" t="str">
        <f t="shared" si="193"/>
        <v/>
      </c>
      <c r="V2340" t="str">
        <f t="shared" si="195"/>
        <v>MVS,AES</v>
      </c>
      <c r="W2340" t="str">
        <f t="shared" si="195"/>
        <v>MVS,AES</v>
      </c>
      <c r="AH2340" t="s">
        <v>2137</v>
      </c>
      <c r="AI2340" t="s">
        <v>11</v>
      </c>
      <c r="AJ2340" t="s">
        <v>11</v>
      </c>
      <c r="AK2340" t="s">
        <v>2136</v>
      </c>
      <c r="AL2340" t="s">
        <v>2135</v>
      </c>
    </row>
    <row r="2341" spans="5:44" x14ac:dyDescent="0.25">
      <c r="I2341" t="str">
        <f t="shared" si="191"/>
        <v>garouh</v>
      </c>
      <c r="J2341" t="str">
        <f t="shared" si="192"/>
        <v/>
      </c>
      <c r="L2341" t="str">
        <f t="shared" si="194"/>
        <v>NGM-2530 (MVS), NGH-2530 (AES)</v>
      </c>
      <c r="M2341" t="str">
        <f t="shared" si="194"/>
        <v>19991126 (MVS), 20000225 (AES)</v>
      </c>
      <c r="N2341" t="str">
        <f t="shared" si="194"/>
        <v>餓狼</v>
      </c>
      <c r="O2341" t="str">
        <f t="shared" si="194"/>
        <v/>
      </c>
      <c r="P2341" t="str">
        <f t="shared" si="194"/>
        <v/>
      </c>
      <c r="T2341" t="str">
        <f t="shared" si="193"/>
        <v/>
      </c>
      <c r="V2341" t="str">
        <f t="shared" si="195"/>
        <v>MVS,AES</v>
      </c>
      <c r="W2341" t="str">
        <f t="shared" si="195"/>
        <v>MVS,AES</v>
      </c>
      <c r="AH2341" t="s">
        <v>2134</v>
      </c>
      <c r="AI2341" t="s">
        <v>57</v>
      </c>
      <c r="AJ2341" t="s">
        <v>11</v>
      </c>
      <c r="AK2341" t="s">
        <v>2133</v>
      </c>
      <c r="AL2341" t="s">
        <v>2132</v>
      </c>
    </row>
    <row r="2342" spans="5:44" x14ac:dyDescent="0.25">
      <c r="I2342" t="str">
        <f t="shared" si="191"/>
        <v>garouh</v>
      </c>
      <c r="J2342" t="str">
        <f t="shared" si="192"/>
        <v/>
      </c>
      <c r="L2342" t="str">
        <f t="shared" si="194"/>
        <v>NGM-2530 (MVS), NGH-2530 (AES)</v>
      </c>
      <c r="M2342" t="str">
        <f t="shared" si="194"/>
        <v>19991126 (MVS), 20000225 (AES)</v>
      </c>
      <c r="N2342" t="str">
        <f t="shared" si="194"/>
        <v>餓狼</v>
      </c>
      <c r="O2342" t="str">
        <f t="shared" si="194"/>
        <v/>
      </c>
      <c r="P2342" t="str">
        <f t="shared" si="194"/>
        <v/>
      </c>
      <c r="T2342" t="str">
        <f t="shared" si="193"/>
        <v/>
      </c>
      <c r="V2342" t="str">
        <f t="shared" si="195"/>
        <v>MVS,AES</v>
      </c>
      <c r="W2342" t="str">
        <f t="shared" si="195"/>
        <v>MVS,AES</v>
      </c>
      <c r="AH2342" t="s">
        <v>2131</v>
      </c>
      <c r="AI2342" t="s">
        <v>250</v>
      </c>
      <c r="AJ2342" t="s">
        <v>11</v>
      </c>
      <c r="AK2342" t="s">
        <v>2130</v>
      </c>
      <c r="AL2342" t="s">
        <v>2129</v>
      </c>
    </row>
    <row r="2343" spans="5:44" x14ac:dyDescent="0.25">
      <c r="I2343" t="str">
        <f t="shared" si="191"/>
        <v>garouh</v>
      </c>
      <c r="J2343" t="str">
        <f t="shared" si="192"/>
        <v/>
      </c>
      <c r="L2343" t="str">
        <f t="shared" si="194"/>
        <v>NGM-2530 (MVS), NGH-2530 (AES)</v>
      </c>
      <c r="M2343" t="str">
        <f t="shared" si="194"/>
        <v>19991126 (MVS), 20000225 (AES)</v>
      </c>
      <c r="N2343" t="str">
        <f t="shared" si="194"/>
        <v>餓狼</v>
      </c>
      <c r="O2343" t="str">
        <f t="shared" si="194"/>
        <v/>
      </c>
      <c r="P2343" t="str">
        <f t="shared" si="194"/>
        <v/>
      </c>
      <c r="T2343" t="str">
        <f t="shared" si="193"/>
        <v/>
      </c>
      <c r="V2343" t="str">
        <f t="shared" si="195"/>
        <v>MVS,AES</v>
      </c>
      <c r="W2343" t="str">
        <f t="shared" si="195"/>
        <v>MVS,AES</v>
      </c>
      <c r="AB2343" t="s">
        <v>12</v>
      </c>
      <c r="AE2343" t="s">
        <v>175</v>
      </c>
      <c r="AG2343" t="s">
        <v>6</v>
      </c>
      <c r="AH2343" t="s">
        <v>2128</v>
      </c>
      <c r="AI2343" t="s">
        <v>9</v>
      </c>
      <c r="AJ2343" t="s">
        <v>57</v>
      </c>
      <c r="AK2343" t="s">
        <v>2127</v>
      </c>
      <c r="AL2343" t="s">
        <v>2126</v>
      </c>
    </row>
    <row r="2344" spans="5:44" x14ac:dyDescent="0.25">
      <c r="I2344" t="str">
        <f t="shared" si="191"/>
        <v>garouh</v>
      </c>
      <c r="J2344" t="str">
        <f t="shared" si="192"/>
        <v/>
      </c>
      <c r="L2344" t="str">
        <f t="shared" si="194"/>
        <v>NGM-2530 (MVS), NGH-2530 (AES)</v>
      </c>
      <c r="M2344" t="str">
        <f t="shared" si="194"/>
        <v>19991126 (MVS), 20000225 (AES)</v>
      </c>
      <c r="N2344" t="str">
        <f t="shared" si="194"/>
        <v>餓狼</v>
      </c>
      <c r="O2344" t="str">
        <f t="shared" si="194"/>
        <v/>
      </c>
      <c r="P2344" t="str">
        <f t="shared" si="194"/>
        <v/>
      </c>
      <c r="T2344" t="str">
        <f t="shared" si="193"/>
        <v/>
      </c>
      <c r="V2344" t="str">
        <f t="shared" si="195"/>
        <v>MVS,AES</v>
      </c>
      <c r="W2344" t="str">
        <f t="shared" si="195"/>
        <v>MVS,AES</v>
      </c>
      <c r="AG2344" t="s">
        <v>6</v>
      </c>
      <c r="AH2344" t="s">
        <v>2125</v>
      </c>
      <c r="AI2344" t="s">
        <v>4</v>
      </c>
      <c r="AJ2344" t="s">
        <v>57</v>
      </c>
      <c r="AK2344" t="s">
        <v>2124</v>
      </c>
      <c r="AL2344" t="s">
        <v>2123</v>
      </c>
    </row>
    <row r="2345" spans="5:44" x14ac:dyDescent="0.25">
      <c r="I2345" t="str">
        <f t="shared" si="191"/>
        <v>garouh</v>
      </c>
      <c r="J2345" t="str">
        <f t="shared" si="192"/>
        <v/>
      </c>
      <c r="L2345" t="str">
        <f t="shared" si="194"/>
        <v>NGM-2530 (MVS), NGH-2530 (AES)</v>
      </c>
      <c r="M2345" t="str">
        <f t="shared" si="194"/>
        <v>19991126 (MVS), 20000225 (AES)</v>
      </c>
      <c r="N2345" t="str">
        <f t="shared" si="194"/>
        <v>餓狼</v>
      </c>
      <c r="O2345" t="str">
        <f t="shared" si="194"/>
        <v/>
      </c>
      <c r="P2345" t="str">
        <f t="shared" si="194"/>
        <v/>
      </c>
      <c r="T2345" t="str">
        <f t="shared" si="193"/>
        <v/>
      </c>
      <c r="V2345" t="str">
        <f t="shared" si="195"/>
        <v>MVS,AES</v>
      </c>
      <c r="W2345" t="str">
        <f t="shared" si="195"/>
        <v>MVS,AES</v>
      </c>
      <c r="AG2345" t="s">
        <v>6</v>
      </c>
      <c r="AH2345" t="s">
        <v>2122</v>
      </c>
      <c r="AI2345" t="s">
        <v>65</v>
      </c>
      <c r="AJ2345" t="s">
        <v>57</v>
      </c>
      <c r="AK2345" t="s">
        <v>2121</v>
      </c>
      <c r="AL2345" t="s">
        <v>2120</v>
      </c>
    </row>
    <row r="2346" spans="5:44" x14ac:dyDescent="0.25">
      <c r="I2346" t="str">
        <f t="shared" si="191"/>
        <v>garouh</v>
      </c>
      <c r="J2346" t="str">
        <f t="shared" si="192"/>
        <v/>
      </c>
      <c r="L2346" t="str">
        <f t="shared" si="194"/>
        <v>NGM-2530 (MVS), NGH-2530 (AES)</v>
      </c>
      <c r="M2346" t="str">
        <f t="shared" si="194"/>
        <v>19991126 (MVS), 20000225 (AES)</v>
      </c>
      <c r="N2346" t="str">
        <f t="shared" si="194"/>
        <v>餓狼</v>
      </c>
      <c r="O2346" t="str">
        <f t="shared" si="194"/>
        <v/>
      </c>
      <c r="P2346" t="str">
        <f t="shared" si="194"/>
        <v/>
      </c>
      <c r="T2346" t="str">
        <f t="shared" si="193"/>
        <v/>
      </c>
      <c r="V2346" t="str">
        <f t="shared" si="195"/>
        <v>MVS,AES</v>
      </c>
      <c r="W2346" t="str">
        <f t="shared" si="195"/>
        <v>MVS,AES</v>
      </c>
      <c r="AG2346" t="s">
        <v>6</v>
      </c>
      <c r="AH2346" t="s">
        <v>2119</v>
      </c>
      <c r="AI2346" t="s">
        <v>164</v>
      </c>
      <c r="AJ2346" t="s">
        <v>57</v>
      </c>
      <c r="AK2346" t="s">
        <v>2118</v>
      </c>
      <c r="AL2346" t="s">
        <v>2117</v>
      </c>
    </row>
    <row r="2347" spans="5:44" x14ac:dyDescent="0.25">
      <c r="I2347" t="str">
        <f t="shared" si="191"/>
        <v>garouh</v>
      </c>
      <c r="J2347" t="str">
        <f t="shared" si="192"/>
        <v/>
      </c>
      <c r="L2347" t="str">
        <f t="shared" si="194"/>
        <v>NGM-2530 (MVS), NGH-2530 (AES)</v>
      </c>
      <c r="M2347" t="str">
        <f t="shared" si="194"/>
        <v>19991126 (MVS), 20000225 (AES)</v>
      </c>
      <c r="N2347" t="str">
        <f t="shared" si="194"/>
        <v>餓狼</v>
      </c>
      <c r="O2347" t="str">
        <f t="shared" si="194"/>
        <v/>
      </c>
      <c r="P2347" t="str">
        <f t="shared" si="194"/>
        <v/>
      </c>
      <c r="T2347" t="str">
        <f t="shared" si="193"/>
        <v/>
      </c>
      <c r="V2347" t="str">
        <f t="shared" si="195"/>
        <v>MVS,AES</v>
      </c>
      <c r="W2347" t="str">
        <f t="shared" si="195"/>
        <v>MVS,AES</v>
      </c>
      <c r="AG2347" t="s">
        <v>6</v>
      </c>
      <c r="AH2347" t="s">
        <v>2116</v>
      </c>
      <c r="AI2347" t="s">
        <v>160</v>
      </c>
      <c r="AJ2347" t="s">
        <v>57</v>
      </c>
      <c r="AK2347" t="s">
        <v>2115</v>
      </c>
      <c r="AL2347" t="s">
        <v>2114</v>
      </c>
    </row>
    <row r="2348" spans="5:44" x14ac:dyDescent="0.25">
      <c r="I2348" t="str">
        <f t="shared" si="191"/>
        <v>garouh</v>
      </c>
      <c r="J2348" t="str">
        <f t="shared" si="192"/>
        <v/>
      </c>
      <c r="L2348" t="str">
        <f t="shared" si="194"/>
        <v>NGM-2530 (MVS), NGH-2530 (AES)</v>
      </c>
      <c r="M2348" t="str">
        <f t="shared" si="194"/>
        <v>19991126 (MVS), 20000225 (AES)</v>
      </c>
      <c r="N2348" t="str">
        <f t="shared" si="194"/>
        <v>餓狼</v>
      </c>
      <c r="O2348" t="str">
        <f t="shared" si="194"/>
        <v/>
      </c>
      <c r="P2348" t="str">
        <f t="shared" si="194"/>
        <v/>
      </c>
      <c r="T2348" t="str">
        <f t="shared" si="193"/>
        <v/>
      </c>
      <c r="V2348" t="str">
        <f t="shared" si="195"/>
        <v>MVS,AES</v>
      </c>
      <c r="W2348" t="str">
        <f t="shared" si="195"/>
        <v>MVS,AES</v>
      </c>
      <c r="AG2348" t="s">
        <v>6</v>
      </c>
      <c r="AH2348" t="s">
        <v>2113</v>
      </c>
      <c r="AI2348" t="s">
        <v>156</v>
      </c>
      <c r="AJ2348" t="s">
        <v>57</v>
      </c>
      <c r="AK2348" t="s">
        <v>2112</v>
      </c>
      <c r="AL2348" t="s">
        <v>2111</v>
      </c>
    </row>
    <row r="2349" spans="5:44" x14ac:dyDescent="0.25">
      <c r="I2349" t="str">
        <f t="shared" si="191"/>
        <v>garouh</v>
      </c>
      <c r="J2349" t="str">
        <f t="shared" si="192"/>
        <v/>
      </c>
      <c r="L2349" t="str">
        <f t="shared" si="194"/>
        <v>NGM-2530 (MVS), NGH-2530 (AES)</v>
      </c>
      <c r="M2349" t="str">
        <f t="shared" si="194"/>
        <v>19991126 (MVS), 20000225 (AES)</v>
      </c>
      <c r="N2349" t="str">
        <f t="shared" si="194"/>
        <v>餓狼</v>
      </c>
      <c r="O2349" t="str">
        <f t="shared" si="194"/>
        <v/>
      </c>
      <c r="P2349" t="str">
        <f t="shared" si="194"/>
        <v/>
      </c>
      <c r="T2349" t="str">
        <f t="shared" si="193"/>
        <v/>
      </c>
      <c r="V2349" t="str">
        <f t="shared" si="195"/>
        <v>MVS,AES</v>
      </c>
      <c r="W2349" t="str">
        <f t="shared" si="195"/>
        <v>MVS,AES</v>
      </c>
      <c r="AG2349" t="s">
        <v>6</v>
      </c>
      <c r="AH2349" t="s">
        <v>2110</v>
      </c>
      <c r="AI2349" t="s">
        <v>152</v>
      </c>
      <c r="AJ2349" t="s">
        <v>57</v>
      </c>
      <c r="AK2349" t="s">
        <v>2109</v>
      </c>
      <c r="AL2349" t="s">
        <v>2108</v>
      </c>
    </row>
    <row r="2350" spans="5:44" x14ac:dyDescent="0.25">
      <c r="I2350" t="str">
        <f t="shared" si="191"/>
        <v>garouh</v>
      </c>
      <c r="J2350" t="str">
        <f t="shared" si="192"/>
        <v/>
      </c>
      <c r="L2350" t="str">
        <f t="shared" si="194"/>
        <v>NGM-2530 (MVS), NGH-2530 (AES)</v>
      </c>
      <c r="M2350" t="str">
        <f t="shared" si="194"/>
        <v>19991126 (MVS), 20000225 (AES)</v>
      </c>
      <c r="N2350" t="str">
        <f t="shared" si="194"/>
        <v>餓狼</v>
      </c>
      <c r="O2350" t="str">
        <f t="shared" si="194"/>
        <v/>
      </c>
      <c r="P2350" t="str">
        <f t="shared" si="194"/>
        <v/>
      </c>
      <c r="T2350" t="str">
        <f t="shared" si="193"/>
        <v/>
      </c>
      <c r="V2350" t="str">
        <f t="shared" si="195"/>
        <v>MVS,AES</v>
      </c>
      <c r="W2350" t="str">
        <f t="shared" si="195"/>
        <v>MVS,AES</v>
      </c>
      <c r="AG2350" t="s">
        <v>6</v>
      </c>
      <c r="AH2350" t="s">
        <v>2107</v>
      </c>
      <c r="AI2350" t="s">
        <v>148</v>
      </c>
      <c r="AJ2350" t="s">
        <v>57</v>
      </c>
      <c r="AK2350" t="s">
        <v>2106</v>
      </c>
      <c r="AL2350" t="s">
        <v>2105</v>
      </c>
    </row>
    <row r="2351" spans="5:44" x14ac:dyDescent="0.25">
      <c r="E2351" t="s">
        <v>2163</v>
      </c>
      <c r="F2351" t="s">
        <v>2162</v>
      </c>
      <c r="G2351" t="s">
        <v>1053</v>
      </c>
      <c r="H2351" t="s">
        <v>1912</v>
      </c>
      <c r="I2351" t="str">
        <f t="shared" si="191"/>
        <v>garouha</v>
      </c>
      <c r="J2351" t="str">
        <f t="shared" si="192"/>
        <v>garouhaserial</v>
      </c>
      <c r="K2351" t="s">
        <v>1373</v>
      </c>
      <c r="L2351" t="str">
        <f t="shared" si="194"/>
        <v>NGM-2530</v>
      </c>
      <c r="M2351" t="str">
        <f t="shared" si="194"/>
        <v>19991126</v>
      </c>
      <c r="N2351" t="str">
        <f t="shared" si="194"/>
        <v>餓狼</v>
      </c>
      <c r="O2351" t="str">
        <f t="shared" si="194"/>
        <v/>
      </c>
      <c r="P2351" t="str">
        <f t="shared" si="194"/>
        <v/>
      </c>
      <c r="Q2351" t="s">
        <v>2161</v>
      </c>
      <c r="S2351" t="s">
        <v>46</v>
      </c>
      <c r="T2351" t="str">
        <f t="shared" si="193"/>
        <v>garouharelease</v>
      </c>
      <c r="U2351" t="s">
        <v>35</v>
      </c>
      <c r="V2351" t="str">
        <f t="shared" si="195"/>
        <v>AES</v>
      </c>
      <c r="W2351" t="str">
        <f t="shared" si="195"/>
        <v>MVS,AES</v>
      </c>
      <c r="Y2351" t="s">
        <v>45</v>
      </c>
      <c r="Z2351" t="s">
        <v>44</v>
      </c>
      <c r="AB2351" t="s">
        <v>43</v>
      </c>
      <c r="AC2351" t="s">
        <v>42</v>
      </c>
      <c r="AD2351" t="s">
        <v>41</v>
      </c>
      <c r="AE2351" t="s">
        <v>704</v>
      </c>
      <c r="AG2351" t="s">
        <v>40</v>
      </c>
      <c r="AH2351" t="s">
        <v>1925</v>
      </c>
      <c r="AI2351" t="s">
        <v>1924</v>
      </c>
      <c r="AJ2351" t="s">
        <v>33</v>
      </c>
      <c r="AK2351" t="s">
        <v>2160</v>
      </c>
      <c r="AL2351" t="s">
        <v>2159</v>
      </c>
      <c r="AP2351" t="s">
        <v>138</v>
      </c>
      <c r="AQ2351" t="s">
        <v>2158</v>
      </c>
      <c r="AR2351" t="s">
        <v>1048</v>
      </c>
    </row>
    <row r="2352" spans="5:44" x14ac:dyDescent="0.25">
      <c r="I2352" t="str">
        <f t="shared" si="191"/>
        <v>garouha</v>
      </c>
      <c r="J2352" t="str">
        <f t="shared" si="192"/>
        <v>garouharelease</v>
      </c>
      <c r="K2352" t="s">
        <v>46</v>
      </c>
      <c r="L2352" t="str">
        <f t="shared" si="194"/>
        <v>NGM-2530</v>
      </c>
      <c r="M2352" t="str">
        <f t="shared" si="194"/>
        <v>19991126</v>
      </c>
      <c r="N2352" t="str">
        <f t="shared" si="194"/>
        <v>餓狼</v>
      </c>
      <c r="O2352" t="str">
        <f t="shared" si="194"/>
        <v/>
      </c>
      <c r="P2352" t="str">
        <f t="shared" si="194"/>
        <v/>
      </c>
      <c r="Q2352" t="s">
        <v>2157</v>
      </c>
      <c r="T2352" t="str">
        <f t="shared" si="193"/>
        <v/>
      </c>
      <c r="V2352" t="str">
        <f t="shared" si="195"/>
        <v>AES</v>
      </c>
      <c r="W2352" t="str">
        <f t="shared" si="195"/>
        <v>MVS,AES</v>
      </c>
      <c r="AG2352" t="s">
        <v>40</v>
      </c>
      <c r="AH2352" t="s">
        <v>2156</v>
      </c>
      <c r="AI2352" t="s">
        <v>15</v>
      </c>
      <c r="AJ2352" t="s">
        <v>3</v>
      </c>
      <c r="AK2352" t="s">
        <v>2155</v>
      </c>
      <c r="AL2352" t="s">
        <v>2154</v>
      </c>
    </row>
    <row r="2353" spans="9:40" x14ac:dyDescent="0.25">
      <c r="I2353" t="str">
        <f t="shared" si="191"/>
        <v>garouha</v>
      </c>
      <c r="J2353" t="str">
        <f t="shared" si="192"/>
        <v>garouhaalt_title</v>
      </c>
      <c r="K2353" t="s">
        <v>1218</v>
      </c>
      <c r="L2353" t="str">
        <f t="shared" si="194"/>
        <v>NGM-2530</v>
      </c>
      <c r="M2353" t="str">
        <f t="shared" si="194"/>
        <v>19991126</v>
      </c>
      <c r="N2353" t="str">
        <f t="shared" si="194"/>
        <v>餓狼</v>
      </c>
      <c r="O2353" t="str">
        <f t="shared" si="194"/>
        <v/>
      </c>
      <c r="P2353" t="str">
        <f t="shared" si="194"/>
        <v/>
      </c>
      <c r="Q2353" t="s">
        <v>2153</v>
      </c>
      <c r="T2353" t="str">
        <f t="shared" si="193"/>
        <v/>
      </c>
      <c r="V2353" t="str">
        <f t="shared" si="195"/>
        <v>AES</v>
      </c>
      <c r="W2353" t="str">
        <f t="shared" si="195"/>
        <v>MVS,AES</v>
      </c>
      <c r="AG2353" t="s">
        <v>40</v>
      </c>
      <c r="AH2353" t="s">
        <v>2152</v>
      </c>
      <c r="AI2353" t="s">
        <v>377</v>
      </c>
      <c r="AJ2353" t="s">
        <v>3</v>
      </c>
      <c r="AK2353" t="s">
        <v>2151</v>
      </c>
      <c r="AL2353" t="s">
        <v>2150</v>
      </c>
    </row>
    <row r="2354" spans="9:40" x14ac:dyDescent="0.25">
      <c r="I2354" t="str">
        <f t="shared" si="191"/>
        <v>garouha</v>
      </c>
      <c r="J2354" t="str">
        <f t="shared" si="192"/>
        <v/>
      </c>
      <c r="L2354" t="str">
        <f t="shared" si="194"/>
        <v>NGM-2530</v>
      </c>
      <c r="M2354" t="str">
        <f t="shared" si="194"/>
        <v>19991126</v>
      </c>
      <c r="N2354" t="str">
        <f t="shared" si="194"/>
        <v>餓狼</v>
      </c>
      <c r="O2354" t="str">
        <f t="shared" si="194"/>
        <v/>
      </c>
      <c r="P2354" t="str">
        <f t="shared" si="194"/>
        <v/>
      </c>
      <c r="S2354" t="s">
        <v>36</v>
      </c>
      <c r="T2354" t="str">
        <f t="shared" si="193"/>
        <v>garouhacompatibility</v>
      </c>
      <c r="U2354" t="s">
        <v>218</v>
      </c>
      <c r="V2354" t="str">
        <f t="shared" si="195"/>
        <v>AES</v>
      </c>
      <c r="W2354" t="str">
        <f t="shared" si="195"/>
        <v>MVS,AES</v>
      </c>
      <c r="AG2354" t="s">
        <v>40</v>
      </c>
      <c r="AH2354" t="s">
        <v>2149</v>
      </c>
      <c r="AI2354" t="s">
        <v>23</v>
      </c>
      <c r="AJ2354" t="s">
        <v>3</v>
      </c>
      <c r="AK2354" t="s">
        <v>2148</v>
      </c>
      <c r="AL2354" t="s">
        <v>2147</v>
      </c>
    </row>
    <row r="2355" spans="9:40" x14ac:dyDescent="0.25">
      <c r="I2355" t="str">
        <f t="shared" si="191"/>
        <v>garouha</v>
      </c>
      <c r="J2355" t="str">
        <f t="shared" si="192"/>
        <v/>
      </c>
      <c r="L2355" t="str">
        <f t="shared" si="194"/>
        <v>NGM-2530</v>
      </c>
      <c r="M2355" t="str">
        <f t="shared" si="194"/>
        <v>19991126</v>
      </c>
      <c r="N2355" t="str">
        <f t="shared" si="194"/>
        <v>餓狼</v>
      </c>
      <c r="O2355" t="str">
        <f t="shared" si="194"/>
        <v/>
      </c>
      <c r="P2355" t="str">
        <f t="shared" si="194"/>
        <v/>
      </c>
      <c r="T2355" t="str">
        <f t="shared" si="193"/>
        <v/>
      </c>
      <c r="V2355" t="str">
        <f t="shared" si="195"/>
        <v>AES</v>
      </c>
      <c r="W2355" t="str">
        <f t="shared" si="195"/>
        <v>MVS,AES</v>
      </c>
      <c r="AG2355" t="s">
        <v>40</v>
      </c>
      <c r="AH2355" t="s">
        <v>2146</v>
      </c>
      <c r="AI2355" t="s">
        <v>211</v>
      </c>
      <c r="AJ2355" t="s">
        <v>3</v>
      </c>
      <c r="AK2355" t="s">
        <v>2145</v>
      </c>
      <c r="AL2355" t="s">
        <v>2144</v>
      </c>
    </row>
    <row r="2356" spans="9:40" x14ac:dyDescent="0.25">
      <c r="I2356" t="str">
        <f t="shared" si="191"/>
        <v>garouha</v>
      </c>
      <c r="J2356" t="str">
        <f t="shared" si="192"/>
        <v/>
      </c>
      <c r="L2356" t="str">
        <f t="shared" si="194"/>
        <v>NGM-2530</v>
      </c>
      <c r="M2356" t="str">
        <f t="shared" si="194"/>
        <v>19991126</v>
      </c>
      <c r="N2356" t="str">
        <f t="shared" si="194"/>
        <v>餓狼</v>
      </c>
      <c r="O2356" t="str">
        <f t="shared" si="194"/>
        <v/>
      </c>
      <c r="P2356" t="str">
        <f t="shared" si="194"/>
        <v/>
      </c>
      <c r="T2356" t="str">
        <f t="shared" si="193"/>
        <v/>
      </c>
      <c r="V2356" t="str">
        <f t="shared" si="195"/>
        <v>AES</v>
      </c>
      <c r="W2356" t="str">
        <f t="shared" si="195"/>
        <v>MVS,AES</v>
      </c>
      <c r="AB2356" t="s">
        <v>34</v>
      </c>
      <c r="AE2356" t="s">
        <v>480</v>
      </c>
      <c r="AG2356" t="s">
        <v>538</v>
      </c>
      <c r="AI2356" t="s">
        <v>9</v>
      </c>
      <c r="AJ2356" t="s">
        <v>480</v>
      </c>
      <c r="AN2356" t="s">
        <v>537</v>
      </c>
    </row>
    <row r="2357" spans="9:40" x14ac:dyDescent="0.25">
      <c r="I2357" t="str">
        <f t="shared" si="191"/>
        <v>garouha</v>
      </c>
      <c r="J2357" t="str">
        <f t="shared" si="192"/>
        <v/>
      </c>
      <c r="L2357" t="str">
        <f t="shared" si="194"/>
        <v>NGM-2530</v>
      </c>
      <c r="M2357" t="str">
        <f t="shared" si="194"/>
        <v>19991126</v>
      </c>
      <c r="N2357" t="str">
        <f t="shared" si="194"/>
        <v>餓狼</v>
      </c>
      <c r="O2357" t="str">
        <f t="shared" si="194"/>
        <v/>
      </c>
      <c r="P2357" t="str">
        <f t="shared" si="194"/>
        <v/>
      </c>
      <c r="T2357" t="str">
        <f t="shared" si="193"/>
        <v/>
      </c>
      <c r="V2357" t="str">
        <f t="shared" si="195"/>
        <v>AES</v>
      </c>
      <c r="W2357" t="str">
        <f t="shared" si="195"/>
        <v>MVS,AES</v>
      </c>
      <c r="AB2357" t="s">
        <v>29</v>
      </c>
      <c r="AE2357" t="s">
        <v>33</v>
      </c>
      <c r="AH2357" t="s">
        <v>2143</v>
      </c>
      <c r="AI2357" t="s">
        <v>9</v>
      </c>
      <c r="AJ2357" t="s">
        <v>33</v>
      </c>
      <c r="AK2357" t="s">
        <v>2142</v>
      </c>
      <c r="AL2357" t="s">
        <v>2141</v>
      </c>
    </row>
    <row r="2358" spans="9:40" x14ac:dyDescent="0.25">
      <c r="I2358" t="str">
        <f t="shared" si="191"/>
        <v>garouha</v>
      </c>
      <c r="J2358" t="str">
        <f t="shared" si="192"/>
        <v/>
      </c>
      <c r="L2358" t="str">
        <f t="shared" si="194"/>
        <v>NGM-2530</v>
      </c>
      <c r="M2358" t="str">
        <f t="shared" si="194"/>
        <v>19991126</v>
      </c>
      <c r="N2358" t="str">
        <f t="shared" si="194"/>
        <v>餓狼</v>
      </c>
      <c r="O2358" t="str">
        <f t="shared" si="194"/>
        <v/>
      </c>
      <c r="P2358" t="str">
        <f t="shared" si="194"/>
        <v/>
      </c>
      <c r="T2358" t="str">
        <f t="shared" si="193"/>
        <v/>
      </c>
      <c r="V2358" t="str">
        <f t="shared" si="195"/>
        <v>AES</v>
      </c>
      <c r="W2358" t="str">
        <f t="shared" si="195"/>
        <v>MVS,AES</v>
      </c>
      <c r="AB2358" t="s">
        <v>24</v>
      </c>
      <c r="AE2358" t="s">
        <v>65</v>
      </c>
      <c r="AH2358" t="s">
        <v>2140</v>
      </c>
      <c r="AI2358" t="s">
        <v>9</v>
      </c>
      <c r="AJ2358" t="s">
        <v>11</v>
      </c>
      <c r="AK2358" t="s">
        <v>2139</v>
      </c>
      <c r="AL2358" t="s">
        <v>2138</v>
      </c>
    </row>
    <row r="2359" spans="9:40" x14ac:dyDescent="0.25">
      <c r="I2359" t="str">
        <f t="shared" si="191"/>
        <v>garouha</v>
      </c>
      <c r="J2359" t="str">
        <f t="shared" si="192"/>
        <v/>
      </c>
      <c r="L2359" t="str">
        <f t="shared" si="194"/>
        <v>NGM-2530</v>
      </c>
      <c r="M2359" t="str">
        <f t="shared" si="194"/>
        <v>19991126</v>
      </c>
      <c r="N2359" t="str">
        <f t="shared" si="194"/>
        <v>餓狼</v>
      </c>
      <c r="O2359" t="str">
        <f t="shared" si="194"/>
        <v/>
      </c>
      <c r="P2359" t="str">
        <f t="shared" si="194"/>
        <v/>
      </c>
      <c r="T2359" t="str">
        <f t="shared" si="193"/>
        <v/>
      </c>
      <c r="V2359" t="str">
        <f t="shared" si="195"/>
        <v>AES</v>
      </c>
      <c r="W2359" t="str">
        <f t="shared" si="195"/>
        <v>MVS,AES</v>
      </c>
      <c r="AH2359" t="s">
        <v>2137</v>
      </c>
      <c r="AI2359" t="s">
        <v>11</v>
      </c>
      <c r="AJ2359" t="s">
        <v>11</v>
      </c>
      <c r="AK2359" t="s">
        <v>2136</v>
      </c>
      <c r="AL2359" t="s">
        <v>2135</v>
      </c>
    </row>
    <row r="2360" spans="9:40" x14ac:dyDescent="0.25">
      <c r="I2360" t="str">
        <f t="shared" si="191"/>
        <v>garouha</v>
      </c>
      <c r="J2360" t="str">
        <f t="shared" si="192"/>
        <v/>
      </c>
      <c r="L2360" t="str">
        <f t="shared" si="194"/>
        <v>NGM-2530</v>
      </c>
      <c r="M2360" t="str">
        <f t="shared" si="194"/>
        <v>19991126</v>
      </c>
      <c r="N2360" t="str">
        <f t="shared" si="194"/>
        <v>餓狼</v>
      </c>
      <c r="O2360" t="str">
        <f t="shared" si="194"/>
        <v/>
      </c>
      <c r="P2360" t="str">
        <f t="shared" si="194"/>
        <v/>
      </c>
      <c r="T2360" t="str">
        <f t="shared" si="193"/>
        <v/>
      </c>
      <c r="V2360" t="str">
        <f t="shared" si="195"/>
        <v>AES</v>
      </c>
      <c r="W2360" t="str">
        <f t="shared" si="195"/>
        <v>MVS,AES</v>
      </c>
      <c r="AH2360" t="s">
        <v>2134</v>
      </c>
      <c r="AI2360" t="s">
        <v>57</v>
      </c>
      <c r="AJ2360" t="s">
        <v>11</v>
      </c>
      <c r="AK2360" t="s">
        <v>2133</v>
      </c>
      <c r="AL2360" t="s">
        <v>2132</v>
      </c>
    </row>
    <row r="2361" spans="9:40" x14ac:dyDescent="0.25">
      <c r="I2361" t="str">
        <f t="shared" si="191"/>
        <v>garouha</v>
      </c>
      <c r="J2361" t="str">
        <f t="shared" si="192"/>
        <v/>
      </c>
      <c r="L2361" t="str">
        <f t="shared" ref="L2361:P2411" si="196">IFERROR(VLOOKUP($I2361&amp;L$1,$J:$Q,8,0),"")</f>
        <v>NGM-2530</v>
      </c>
      <c r="M2361" t="str">
        <f t="shared" si="196"/>
        <v>19991126</v>
      </c>
      <c r="N2361" t="str">
        <f t="shared" si="196"/>
        <v>餓狼</v>
      </c>
      <c r="O2361" t="str">
        <f t="shared" si="196"/>
        <v/>
      </c>
      <c r="P2361" t="str">
        <f t="shared" si="196"/>
        <v/>
      </c>
      <c r="T2361" t="str">
        <f t="shared" si="193"/>
        <v/>
      </c>
      <c r="V2361" t="str">
        <f t="shared" si="195"/>
        <v>AES</v>
      </c>
      <c r="W2361" t="str">
        <f t="shared" si="195"/>
        <v>MVS,AES</v>
      </c>
      <c r="AH2361" t="s">
        <v>2131</v>
      </c>
      <c r="AI2361" t="s">
        <v>250</v>
      </c>
      <c r="AJ2361" t="s">
        <v>11</v>
      </c>
      <c r="AK2361" t="s">
        <v>2130</v>
      </c>
      <c r="AL2361" t="s">
        <v>2129</v>
      </c>
    </row>
    <row r="2362" spans="9:40" x14ac:dyDescent="0.25">
      <c r="I2362" t="str">
        <f t="shared" si="191"/>
        <v>garouha</v>
      </c>
      <c r="J2362" t="str">
        <f t="shared" si="192"/>
        <v/>
      </c>
      <c r="L2362" t="str">
        <f t="shared" si="196"/>
        <v>NGM-2530</v>
      </c>
      <c r="M2362" t="str">
        <f t="shared" si="196"/>
        <v>19991126</v>
      </c>
      <c r="N2362" t="str">
        <f t="shared" si="196"/>
        <v>餓狼</v>
      </c>
      <c r="O2362" t="str">
        <f t="shared" si="196"/>
        <v/>
      </c>
      <c r="P2362" t="str">
        <f t="shared" si="196"/>
        <v/>
      </c>
      <c r="T2362" t="str">
        <f t="shared" si="193"/>
        <v/>
      </c>
      <c r="V2362" t="str">
        <f t="shared" si="195"/>
        <v>AES</v>
      </c>
      <c r="W2362" t="str">
        <f t="shared" si="195"/>
        <v>MVS,AES</v>
      </c>
      <c r="AB2362" t="s">
        <v>12</v>
      </c>
      <c r="AE2362" t="s">
        <v>175</v>
      </c>
      <c r="AG2362" t="s">
        <v>6</v>
      </c>
      <c r="AH2362" t="s">
        <v>2128</v>
      </c>
      <c r="AI2362" t="s">
        <v>9</v>
      </c>
      <c r="AJ2362" t="s">
        <v>57</v>
      </c>
      <c r="AK2362" t="s">
        <v>2127</v>
      </c>
      <c r="AL2362" t="s">
        <v>2126</v>
      </c>
    </row>
    <row r="2363" spans="9:40" x14ac:dyDescent="0.25">
      <c r="I2363" t="str">
        <f t="shared" si="191"/>
        <v>garouha</v>
      </c>
      <c r="J2363" t="str">
        <f t="shared" si="192"/>
        <v/>
      </c>
      <c r="L2363" t="str">
        <f t="shared" si="196"/>
        <v>NGM-2530</v>
      </c>
      <c r="M2363" t="str">
        <f t="shared" si="196"/>
        <v>19991126</v>
      </c>
      <c r="N2363" t="str">
        <f t="shared" si="196"/>
        <v>餓狼</v>
      </c>
      <c r="O2363" t="str">
        <f t="shared" si="196"/>
        <v/>
      </c>
      <c r="P2363" t="str">
        <f t="shared" si="196"/>
        <v/>
      </c>
      <c r="T2363" t="str">
        <f t="shared" si="193"/>
        <v/>
      </c>
      <c r="V2363" t="str">
        <f t="shared" si="195"/>
        <v>AES</v>
      </c>
      <c r="W2363" t="str">
        <f t="shared" si="195"/>
        <v>MVS,AES</v>
      </c>
      <c r="AG2363" t="s">
        <v>6</v>
      </c>
      <c r="AH2363" t="s">
        <v>2125</v>
      </c>
      <c r="AI2363" t="s">
        <v>4</v>
      </c>
      <c r="AJ2363" t="s">
        <v>57</v>
      </c>
      <c r="AK2363" t="s">
        <v>2124</v>
      </c>
      <c r="AL2363" t="s">
        <v>2123</v>
      </c>
    </row>
    <row r="2364" spans="9:40" x14ac:dyDescent="0.25">
      <c r="I2364" t="str">
        <f t="shared" si="191"/>
        <v>garouha</v>
      </c>
      <c r="J2364" t="str">
        <f t="shared" si="192"/>
        <v/>
      </c>
      <c r="L2364" t="str">
        <f t="shared" si="196"/>
        <v>NGM-2530</v>
      </c>
      <c r="M2364" t="str">
        <f t="shared" si="196"/>
        <v>19991126</v>
      </c>
      <c r="N2364" t="str">
        <f t="shared" si="196"/>
        <v>餓狼</v>
      </c>
      <c r="O2364" t="str">
        <f t="shared" si="196"/>
        <v/>
      </c>
      <c r="P2364" t="str">
        <f t="shared" si="196"/>
        <v/>
      </c>
      <c r="T2364" t="str">
        <f t="shared" si="193"/>
        <v/>
      </c>
      <c r="V2364" t="str">
        <f t="shared" si="195"/>
        <v>AES</v>
      </c>
      <c r="W2364" t="str">
        <f t="shared" si="195"/>
        <v>MVS,AES</v>
      </c>
      <c r="AG2364" t="s">
        <v>6</v>
      </c>
      <c r="AH2364" t="s">
        <v>2122</v>
      </c>
      <c r="AI2364" t="s">
        <v>65</v>
      </c>
      <c r="AJ2364" t="s">
        <v>57</v>
      </c>
      <c r="AK2364" t="s">
        <v>2121</v>
      </c>
      <c r="AL2364" t="s">
        <v>2120</v>
      </c>
    </row>
    <row r="2365" spans="9:40" x14ac:dyDescent="0.25">
      <c r="I2365" t="str">
        <f t="shared" si="191"/>
        <v>garouha</v>
      </c>
      <c r="J2365" t="str">
        <f t="shared" si="192"/>
        <v/>
      </c>
      <c r="L2365" t="str">
        <f t="shared" si="196"/>
        <v>NGM-2530</v>
      </c>
      <c r="M2365" t="str">
        <f t="shared" si="196"/>
        <v>19991126</v>
      </c>
      <c r="N2365" t="str">
        <f t="shared" si="196"/>
        <v>餓狼</v>
      </c>
      <c r="O2365" t="str">
        <f t="shared" si="196"/>
        <v/>
      </c>
      <c r="P2365" t="str">
        <f t="shared" si="196"/>
        <v/>
      </c>
      <c r="T2365" t="str">
        <f t="shared" si="193"/>
        <v/>
      </c>
      <c r="V2365" t="str">
        <f t="shared" si="195"/>
        <v>AES</v>
      </c>
      <c r="W2365" t="str">
        <f t="shared" si="195"/>
        <v>MVS,AES</v>
      </c>
      <c r="AG2365" t="s">
        <v>6</v>
      </c>
      <c r="AH2365" t="s">
        <v>2119</v>
      </c>
      <c r="AI2365" t="s">
        <v>164</v>
      </c>
      <c r="AJ2365" t="s">
        <v>57</v>
      </c>
      <c r="AK2365" t="s">
        <v>2118</v>
      </c>
      <c r="AL2365" t="s">
        <v>2117</v>
      </c>
    </row>
    <row r="2366" spans="9:40" x14ac:dyDescent="0.25">
      <c r="I2366" t="str">
        <f t="shared" si="191"/>
        <v>garouha</v>
      </c>
      <c r="J2366" t="str">
        <f t="shared" si="192"/>
        <v/>
      </c>
      <c r="L2366" t="str">
        <f t="shared" si="196"/>
        <v>NGM-2530</v>
      </c>
      <c r="M2366" t="str">
        <f t="shared" si="196"/>
        <v>19991126</v>
      </c>
      <c r="N2366" t="str">
        <f t="shared" si="196"/>
        <v>餓狼</v>
      </c>
      <c r="O2366" t="str">
        <f t="shared" si="196"/>
        <v/>
      </c>
      <c r="P2366" t="str">
        <f t="shared" si="196"/>
        <v/>
      </c>
      <c r="T2366" t="str">
        <f t="shared" si="193"/>
        <v/>
      </c>
      <c r="V2366" t="str">
        <f t="shared" si="195"/>
        <v>AES</v>
      </c>
      <c r="W2366" t="str">
        <f t="shared" si="195"/>
        <v>MVS,AES</v>
      </c>
      <c r="AG2366" t="s">
        <v>6</v>
      </c>
      <c r="AH2366" t="s">
        <v>2116</v>
      </c>
      <c r="AI2366" t="s">
        <v>160</v>
      </c>
      <c r="AJ2366" t="s">
        <v>57</v>
      </c>
      <c r="AK2366" t="s">
        <v>2115</v>
      </c>
      <c r="AL2366" t="s">
        <v>2114</v>
      </c>
    </row>
    <row r="2367" spans="9:40" x14ac:dyDescent="0.25">
      <c r="I2367" t="str">
        <f t="shared" si="191"/>
        <v>garouha</v>
      </c>
      <c r="J2367" t="str">
        <f t="shared" si="192"/>
        <v/>
      </c>
      <c r="L2367" t="str">
        <f t="shared" si="196"/>
        <v>NGM-2530</v>
      </c>
      <c r="M2367" t="str">
        <f t="shared" si="196"/>
        <v>19991126</v>
      </c>
      <c r="N2367" t="str">
        <f t="shared" si="196"/>
        <v>餓狼</v>
      </c>
      <c r="O2367" t="str">
        <f t="shared" si="196"/>
        <v/>
      </c>
      <c r="P2367" t="str">
        <f t="shared" si="196"/>
        <v/>
      </c>
      <c r="T2367" t="str">
        <f t="shared" si="193"/>
        <v/>
      </c>
      <c r="V2367" t="str">
        <f t="shared" si="195"/>
        <v>AES</v>
      </c>
      <c r="W2367" t="str">
        <f t="shared" si="195"/>
        <v>MVS,AES</v>
      </c>
      <c r="AG2367" t="s">
        <v>6</v>
      </c>
      <c r="AH2367" t="s">
        <v>2113</v>
      </c>
      <c r="AI2367" t="s">
        <v>156</v>
      </c>
      <c r="AJ2367" t="s">
        <v>57</v>
      </c>
      <c r="AK2367" t="s">
        <v>2112</v>
      </c>
      <c r="AL2367" t="s">
        <v>2111</v>
      </c>
    </row>
    <row r="2368" spans="9:40" x14ac:dyDescent="0.25">
      <c r="I2368" t="str">
        <f t="shared" si="191"/>
        <v>garouha</v>
      </c>
      <c r="J2368" t="str">
        <f t="shared" si="192"/>
        <v/>
      </c>
      <c r="L2368" t="str">
        <f t="shared" si="196"/>
        <v>NGM-2530</v>
      </c>
      <c r="M2368" t="str">
        <f t="shared" si="196"/>
        <v>19991126</v>
      </c>
      <c r="N2368" t="str">
        <f t="shared" si="196"/>
        <v>餓狼</v>
      </c>
      <c r="O2368" t="str">
        <f t="shared" si="196"/>
        <v/>
      </c>
      <c r="P2368" t="str">
        <f t="shared" si="196"/>
        <v/>
      </c>
      <c r="T2368" t="str">
        <f t="shared" si="193"/>
        <v/>
      </c>
      <c r="V2368" t="str">
        <f t="shared" si="195"/>
        <v>AES</v>
      </c>
      <c r="W2368" t="str">
        <f t="shared" si="195"/>
        <v>MVS,AES</v>
      </c>
      <c r="AG2368" t="s">
        <v>6</v>
      </c>
      <c r="AH2368" t="s">
        <v>2110</v>
      </c>
      <c r="AI2368" t="s">
        <v>152</v>
      </c>
      <c r="AJ2368" t="s">
        <v>57</v>
      </c>
      <c r="AK2368" t="s">
        <v>2109</v>
      </c>
      <c r="AL2368" t="s">
        <v>2108</v>
      </c>
    </row>
    <row r="2369" spans="5:44" x14ac:dyDescent="0.25">
      <c r="I2369" t="str">
        <f t="shared" si="191"/>
        <v>garouha</v>
      </c>
      <c r="J2369" t="str">
        <f t="shared" si="192"/>
        <v/>
      </c>
      <c r="L2369" t="str">
        <f t="shared" si="196"/>
        <v>NGM-2530</v>
      </c>
      <c r="M2369" t="str">
        <f t="shared" si="196"/>
        <v>19991126</v>
      </c>
      <c r="N2369" t="str">
        <f t="shared" si="196"/>
        <v>餓狼</v>
      </c>
      <c r="O2369" t="str">
        <f t="shared" si="196"/>
        <v/>
      </c>
      <c r="P2369" t="str">
        <f t="shared" si="196"/>
        <v/>
      </c>
      <c r="T2369" t="str">
        <f t="shared" si="193"/>
        <v/>
      </c>
      <c r="V2369" t="str">
        <f t="shared" si="195"/>
        <v>AES</v>
      </c>
      <c r="W2369" t="str">
        <f t="shared" si="195"/>
        <v>MVS,AES</v>
      </c>
      <c r="AG2369" t="s">
        <v>6</v>
      </c>
      <c r="AH2369" t="s">
        <v>2107</v>
      </c>
      <c r="AI2369" t="s">
        <v>148</v>
      </c>
      <c r="AJ2369" t="s">
        <v>57</v>
      </c>
      <c r="AK2369" t="s">
        <v>2106</v>
      </c>
      <c r="AL2369" t="s">
        <v>2105</v>
      </c>
    </row>
    <row r="2370" spans="5:44" x14ac:dyDescent="0.25">
      <c r="E2370" t="s">
        <v>2104</v>
      </c>
      <c r="F2370" t="s">
        <v>2103</v>
      </c>
      <c r="G2370" t="s">
        <v>1053</v>
      </c>
      <c r="H2370" t="s">
        <v>1912</v>
      </c>
      <c r="I2370" t="str">
        <f t="shared" si="191"/>
        <v>garoup</v>
      </c>
      <c r="J2370" t="str">
        <f t="shared" si="192"/>
        <v/>
      </c>
      <c r="L2370" t="str">
        <f t="shared" si="196"/>
        <v/>
      </c>
      <c r="M2370" t="str">
        <f t="shared" si="196"/>
        <v/>
      </c>
      <c r="N2370" t="str">
        <f t="shared" si="196"/>
        <v/>
      </c>
      <c r="O2370" t="str">
        <f t="shared" si="196"/>
        <v/>
      </c>
      <c r="P2370" t="str">
        <f t="shared" si="196"/>
        <v/>
      </c>
      <c r="S2370" t="s">
        <v>46</v>
      </c>
      <c r="T2370" t="str">
        <f t="shared" si="193"/>
        <v>garouprelease</v>
      </c>
      <c r="U2370" t="s">
        <v>106</v>
      </c>
      <c r="V2370" t="str">
        <f t="shared" si="195"/>
        <v>MVS</v>
      </c>
      <c r="W2370" t="str">
        <f t="shared" si="195"/>
        <v>MVS,AES</v>
      </c>
      <c r="Y2370" t="s">
        <v>45</v>
      </c>
      <c r="Z2370" t="s">
        <v>44</v>
      </c>
      <c r="AB2370" t="s">
        <v>43</v>
      </c>
      <c r="AC2370" t="s">
        <v>42</v>
      </c>
      <c r="AD2370" t="s">
        <v>41</v>
      </c>
      <c r="AE2370" t="s">
        <v>23</v>
      </c>
      <c r="AG2370" t="s">
        <v>40</v>
      </c>
      <c r="AH2370" t="s">
        <v>2102</v>
      </c>
      <c r="AI2370" t="s">
        <v>9</v>
      </c>
      <c r="AJ2370" t="s">
        <v>15</v>
      </c>
      <c r="AK2370" t="s">
        <v>2101</v>
      </c>
      <c r="AL2370" t="s">
        <v>2100</v>
      </c>
      <c r="AR2370" t="s">
        <v>1048</v>
      </c>
    </row>
    <row r="2371" spans="5:44" x14ac:dyDescent="0.25">
      <c r="I2371" t="str">
        <f t="shared" ref="I2371:I2434" si="197">IF(E2371="",I2370,E2371)</f>
        <v>garoup</v>
      </c>
      <c r="J2371" t="str">
        <f t="shared" ref="J2371:J2434" si="198">IF(K2371="","",I2371&amp;K2371)</f>
        <v/>
      </c>
      <c r="L2371" t="str">
        <f t="shared" si="196"/>
        <v/>
      </c>
      <c r="M2371" t="str">
        <f t="shared" si="196"/>
        <v/>
      </c>
      <c r="N2371" t="str">
        <f t="shared" si="196"/>
        <v/>
      </c>
      <c r="O2371" t="str">
        <f t="shared" si="196"/>
        <v/>
      </c>
      <c r="P2371" t="str">
        <f t="shared" si="196"/>
        <v/>
      </c>
      <c r="S2371" t="s">
        <v>36</v>
      </c>
      <c r="T2371" t="str">
        <f t="shared" ref="T2371:T2434" si="199">IF(S2371="","",I2371&amp;S2371)</f>
        <v>garoupcompatibility</v>
      </c>
      <c r="U2371" t="s">
        <v>218</v>
      </c>
      <c r="V2371" t="str">
        <f t="shared" si="195"/>
        <v>MVS</v>
      </c>
      <c r="W2371" t="str">
        <f t="shared" si="195"/>
        <v>MVS,AES</v>
      </c>
      <c r="AG2371" t="s">
        <v>40</v>
      </c>
      <c r="AH2371" t="s">
        <v>2099</v>
      </c>
      <c r="AI2371" t="s">
        <v>15</v>
      </c>
      <c r="AJ2371" t="s">
        <v>11</v>
      </c>
      <c r="AK2371" t="s">
        <v>2098</v>
      </c>
      <c r="AL2371" t="s">
        <v>2097</v>
      </c>
    </row>
    <row r="2372" spans="5:44" x14ac:dyDescent="0.25">
      <c r="I2372" t="str">
        <f t="shared" si="197"/>
        <v>garoup</v>
      </c>
      <c r="J2372" t="str">
        <f t="shared" si="198"/>
        <v/>
      </c>
      <c r="L2372" t="str">
        <f t="shared" si="196"/>
        <v/>
      </c>
      <c r="M2372" t="str">
        <f t="shared" si="196"/>
        <v/>
      </c>
      <c r="N2372" t="str">
        <f t="shared" si="196"/>
        <v/>
      </c>
      <c r="O2372" t="str">
        <f t="shared" si="196"/>
        <v/>
      </c>
      <c r="P2372" t="str">
        <f t="shared" si="196"/>
        <v/>
      </c>
      <c r="T2372" t="str">
        <f t="shared" si="199"/>
        <v/>
      </c>
      <c r="V2372" t="str">
        <f t="shared" si="195"/>
        <v>MVS</v>
      </c>
      <c r="W2372" t="str">
        <f t="shared" si="195"/>
        <v>MVS,AES</v>
      </c>
      <c r="AB2372" t="s">
        <v>34</v>
      </c>
      <c r="AE2372" t="s">
        <v>33</v>
      </c>
      <c r="AH2372" t="s">
        <v>2096</v>
      </c>
      <c r="AI2372" t="s">
        <v>9</v>
      </c>
      <c r="AJ2372" t="s">
        <v>27</v>
      </c>
      <c r="AK2372" t="s">
        <v>2095</v>
      </c>
      <c r="AL2372" t="s">
        <v>2094</v>
      </c>
    </row>
    <row r="2373" spans="5:44" x14ac:dyDescent="0.25">
      <c r="I2373" t="str">
        <f t="shared" si="197"/>
        <v>garoup</v>
      </c>
      <c r="J2373" t="str">
        <f t="shared" si="198"/>
        <v/>
      </c>
      <c r="L2373" t="str">
        <f t="shared" si="196"/>
        <v/>
      </c>
      <c r="M2373" t="str">
        <f t="shared" si="196"/>
        <v/>
      </c>
      <c r="N2373" t="str">
        <f t="shared" si="196"/>
        <v/>
      </c>
      <c r="O2373" t="str">
        <f t="shared" si="196"/>
        <v/>
      </c>
      <c r="P2373" t="str">
        <f t="shared" si="196"/>
        <v/>
      </c>
      <c r="T2373" t="str">
        <f t="shared" si="199"/>
        <v/>
      </c>
      <c r="V2373" t="str">
        <f t="shared" si="195"/>
        <v>MVS</v>
      </c>
      <c r="W2373" t="str">
        <f t="shared" si="195"/>
        <v>MVS,AES</v>
      </c>
      <c r="AB2373" t="s">
        <v>29</v>
      </c>
      <c r="AE2373" t="s">
        <v>33</v>
      </c>
      <c r="AH2373" t="s">
        <v>2093</v>
      </c>
      <c r="AI2373" t="s">
        <v>9</v>
      </c>
      <c r="AJ2373" t="s">
        <v>33</v>
      </c>
      <c r="AK2373" t="s">
        <v>2092</v>
      </c>
      <c r="AL2373" t="s">
        <v>2091</v>
      </c>
    </row>
    <row r="2374" spans="5:44" x14ac:dyDescent="0.25">
      <c r="I2374" t="str">
        <f t="shared" si="197"/>
        <v>garoup</v>
      </c>
      <c r="J2374" t="str">
        <f t="shared" si="198"/>
        <v/>
      </c>
      <c r="L2374" t="str">
        <f t="shared" si="196"/>
        <v/>
      </c>
      <c r="M2374" t="str">
        <f t="shared" si="196"/>
        <v/>
      </c>
      <c r="N2374" t="str">
        <f t="shared" si="196"/>
        <v/>
      </c>
      <c r="O2374" t="str">
        <f t="shared" si="196"/>
        <v/>
      </c>
      <c r="P2374" t="str">
        <f t="shared" si="196"/>
        <v/>
      </c>
      <c r="T2374" t="str">
        <f t="shared" si="199"/>
        <v/>
      </c>
      <c r="V2374" t="str">
        <f t="shared" si="195"/>
        <v>MVS</v>
      </c>
      <c r="W2374" t="str">
        <f t="shared" si="195"/>
        <v>MVS,AES</v>
      </c>
      <c r="AB2374" t="s">
        <v>24</v>
      </c>
      <c r="AE2374" t="s">
        <v>65</v>
      </c>
      <c r="AH2374" t="s">
        <v>2090</v>
      </c>
      <c r="AI2374" t="s">
        <v>9</v>
      </c>
      <c r="AJ2374" t="s">
        <v>11</v>
      </c>
      <c r="AK2374" t="s">
        <v>2089</v>
      </c>
      <c r="AL2374" t="s">
        <v>2088</v>
      </c>
    </row>
    <row r="2375" spans="5:44" x14ac:dyDescent="0.25">
      <c r="I2375" t="str">
        <f t="shared" si="197"/>
        <v>garoup</v>
      </c>
      <c r="J2375" t="str">
        <f t="shared" si="198"/>
        <v/>
      </c>
      <c r="L2375" t="str">
        <f t="shared" si="196"/>
        <v/>
      </c>
      <c r="M2375" t="str">
        <f t="shared" si="196"/>
        <v/>
      </c>
      <c r="N2375" t="str">
        <f t="shared" si="196"/>
        <v/>
      </c>
      <c r="O2375" t="str">
        <f t="shared" si="196"/>
        <v/>
      </c>
      <c r="P2375" t="str">
        <f t="shared" si="196"/>
        <v/>
      </c>
      <c r="T2375" t="str">
        <f t="shared" si="199"/>
        <v/>
      </c>
      <c r="V2375" t="str">
        <f t="shared" si="195"/>
        <v>MVS</v>
      </c>
      <c r="W2375" t="str">
        <f t="shared" si="195"/>
        <v>MVS,AES</v>
      </c>
      <c r="AH2375" t="s">
        <v>2087</v>
      </c>
      <c r="AI2375" t="s">
        <v>11</v>
      </c>
      <c r="AJ2375" t="s">
        <v>11</v>
      </c>
      <c r="AK2375" t="s">
        <v>2086</v>
      </c>
      <c r="AL2375" t="s">
        <v>2085</v>
      </c>
    </row>
    <row r="2376" spans="5:44" x14ac:dyDescent="0.25">
      <c r="I2376" t="str">
        <f t="shared" si="197"/>
        <v>garoup</v>
      </c>
      <c r="J2376" t="str">
        <f t="shared" si="198"/>
        <v/>
      </c>
      <c r="L2376" t="str">
        <f t="shared" si="196"/>
        <v/>
      </c>
      <c r="M2376" t="str">
        <f t="shared" si="196"/>
        <v/>
      </c>
      <c r="N2376" t="str">
        <f t="shared" si="196"/>
        <v/>
      </c>
      <c r="O2376" t="str">
        <f t="shared" si="196"/>
        <v/>
      </c>
      <c r="P2376" t="str">
        <f t="shared" si="196"/>
        <v/>
      </c>
      <c r="T2376" t="str">
        <f t="shared" si="199"/>
        <v/>
      </c>
      <c r="V2376" t="str">
        <f t="shared" si="195"/>
        <v>MVS</v>
      </c>
      <c r="W2376" t="str">
        <f t="shared" si="195"/>
        <v>MVS,AES</v>
      </c>
      <c r="AH2376" t="s">
        <v>2084</v>
      </c>
      <c r="AI2376" t="s">
        <v>57</v>
      </c>
      <c r="AJ2376" t="s">
        <v>11</v>
      </c>
      <c r="AK2376" t="s">
        <v>2083</v>
      </c>
      <c r="AL2376" t="s">
        <v>2082</v>
      </c>
    </row>
    <row r="2377" spans="5:44" x14ac:dyDescent="0.25">
      <c r="I2377" t="str">
        <f t="shared" si="197"/>
        <v>garoup</v>
      </c>
      <c r="J2377" t="str">
        <f t="shared" si="198"/>
        <v/>
      </c>
      <c r="L2377" t="str">
        <f t="shared" si="196"/>
        <v/>
      </c>
      <c r="M2377" t="str">
        <f t="shared" si="196"/>
        <v/>
      </c>
      <c r="N2377" t="str">
        <f t="shared" si="196"/>
        <v/>
      </c>
      <c r="O2377" t="str">
        <f t="shared" si="196"/>
        <v/>
      </c>
      <c r="P2377" t="str">
        <f t="shared" si="196"/>
        <v/>
      </c>
      <c r="T2377" t="str">
        <f t="shared" si="199"/>
        <v/>
      </c>
      <c r="V2377" t="str">
        <f t="shared" si="195"/>
        <v>MVS</v>
      </c>
      <c r="W2377" t="str">
        <f t="shared" si="195"/>
        <v>MVS,AES</v>
      </c>
      <c r="AH2377" t="s">
        <v>2081</v>
      </c>
      <c r="AI2377" t="s">
        <v>250</v>
      </c>
      <c r="AJ2377" t="s">
        <v>11</v>
      </c>
      <c r="AK2377" t="s">
        <v>2080</v>
      </c>
      <c r="AL2377" t="s">
        <v>2079</v>
      </c>
    </row>
    <row r="2378" spans="5:44" x14ac:dyDescent="0.25">
      <c r="I2378" t="str">
        <f t="shared" si="197"/>
        <v>garoup</v>
      </c>
      <c r="J2378" t="str">
        <f t="shared" si="198"/>
        <v/>
      </c>
      <c r="L2378" t="str">
        <f t="shared" si="196"/>
        <v/>
      </c>
      <c r="M2378" t="str">
        <f t="shared" si="196"/>
        <v/>
      </c>
      <c r="N2378" t="str">
        <f t="shared" si="196"/>
        <v/>
      </c>
      <c r="O2378" t="str">
        <f t="shared" si="196"/>
        <v/>
      </c>
      <c r="P2378" t="str">
        <f t="shared" si="196"/>
        <v/>
      </c>
      <c r="T2378" t="str">
        <f t="shared" si="199"/>
        <v/>
      </c>
      <c r="V2378" t="str">
        <f t="shared" si="195"/>
        <v>MVS</v>
      </c>
      <c r="W2378" t="str">
        <f t="shared" si="195"/>
        <v>MVS,AES</v>
      </c>
      <c r="AB2378" t="s">
        <v>12</v>
      </c>
      <c r="AE2378" t="s">
        <v>175</v>
      </c>
      <c r="AG2378" t="s">
        <v>6</v>
      </c>
      <c r="AH2378" t="s">
        <v>2078</v>
      </c>
      <c r="AI2378" t="s">
        <v>9</v>
      </c>
      <c r="AJ2378" t="s">
        <v>57</v>
      </c>
      <c r="AK2378" t="s">
        <v>2077</v>
      </c>
      <c r="AL2378" t="s">
        <v>2076</v>
      </c>
    </row>
    <row r="2379" spans="5:44" x14ac:dyDescent="0.25">
      <c r="I2379" t="str">
        <f t="shared" si="197"/>
        <v>garoup</v>
      </c>
      <c r="J2379" t="str">
        <f t="shared" si="198"/>
        <v/>
      </c>
      <c r="L2379" t="str">
        <f t="shared" si="196"/>
        <v/>
      </c>
      <c r="M2379" t="str">
        <f t="shared" si="196"/>
        <v/>
      </c>
      <c r="N2379" t="str">
        <f t="shared" si="196"/>
        <v/>
      </c>
      <c r="O2379" t="str">
        <f t="shared" si="196"/>
        <v/>
      </c>
      <c r="P2379" t="str">
        <f t="shared" si="196"/>
        <v/>
      </c>
      <c r="T2379" t="str">
        <f t="shared" si="199"/>
        <v/>
      </c>
      <c r="V2379" t="str">
        <f t="shared" si="195"/>
        <v>MVS</v>
      </c>
      <c r="W2379" t="str">
        <f t="shared" si="195"/>
        <v>MVS,AES</v>
      </c>
      <c r="AG2379" t="s">
        <v>6</v>
      </c>
      <c r="AH2379" t="s">
        <v>2075</v>
      </c>
      <c r="AI2379" t="s">
        <v>4</v>
      </c>
      <c r="AJ2379" t="s">
        <v>57</v>
      </c>
      <c r="AK2379" t="s">
        <v>2074</v>
      </c>
      <c r="AL2379" t="s">
        <v>2073</v>
      </c>
    </row>
    <row r="2380" spans="5:44" x14ac:dyDescent="0.25">
      <c r="I2380" t="str">
        <f t="shared" si="197"/>
        <v>garoup</v>
      </c>
      <c r="J2380" t="str">
        <f t="shared" si="198"/>
        <v/>
      </c>
      <c r="L2380" t="str">
        <f t="shared" si="196"/>
        <v/>
      </c>
      <c r="M2380" t="str">
        <f t="shared" si="196"/>
        <v/>
      </c>
      <c r="N2380" t="str">
        <f t="shared" si="196"/>
        <v/>
      </c>
      <c r="O2380" t="str">
        <f t="shared" si="196"/>
        <v/>
      </c>
      <c r="P2380" t="str">
        <f t="shared" si="196"/>
        <v/>
      </c>
      <c r="T2380" t="str">
        <f t="shared" si="199"/>
        <v/>
      </c>
      <c r="V2380" t="str">
        <f t="shared" si="195"/>
        <v>MVS</v>
      </c>
      <c r="W2380" t="str">
        <f t="shared" si="195"/>
        <v>MVS,AES</v>
      </c>
      <c r="AG2380" t="s">
        <v>6</v>
      </c>
      <c r="AH2380" t="s">
        <v>2072</v>
      </c>
      <c r="AI2380" t="s">
        <v>65</v>
      </c>
      <c r="AJ2380" t="s">
        <v>57</v>
      </c>
      <c r="AK2380" t="s">
        <v>2071</v>
      </c>
      <c r="AL2380" t="s">
        <v>2070</v>
      </c>
    </row>
    <row r="2381" spans="5:44" x14ac:dyDescent="0.25">
      <c r="I2381" t="str">
        <f t="shared" si="197"/>
        <v>garoup</v>
      </c>
      <c r="J2381" t="str">
        <f t="shared" si="198"/>
        <v/>
      </c>
      <c r="L2381" t="str">
        <f t="shared" si="196"/>
        <v/>
      </c>
      <c r="M2381" t="str">
        <f t="shared" si="196"/>
        <v/>
      </c>
      <c r="N2381" t="str">
        <f t="shared" si="196"/>
        <v/>
      </c>
      <c r="O2381" t="str">
        <f t="shared" si="196"/>
        <v/>
      </c>
      <c r="P2381" t="str">
        <f t="shared" si="196"/>
        <v/>
      </c>
      <c r="T2381" t="str">
        <f t="shared" si="199"/>
        <v/>
      </c>
      <c r="V2381" t="str">
        <f t="shared" si="195"/>
        <v>MVS</v>
      </c>
      <c r="W2381" t="str">
        <f t="shared" si="195"/>
        <v>MVS,AES</v>
      </c>
      <c r="AG2381" t="s">
        <v>6</v>
      </c>
      <c r="AH2381" t="s">
        <v>2069</v>
      </c>
      <c r="AI2381" t="s">
        <v>164</v>
      </c>
      <c r="AJ2381" t="s">
        <v>57</v>
      </c>
      <c r="AK2381" t="s">
        <v>2068</v>
      </c>
      <c r="AL2381" t="s">
        <v>2067</v>
      </c>
    </row>
    <row r="2382" spans="5:44" x14ac:dyDescent="0.25">
      <c r="I2382" t="str">
        <f t="shared" si="197"/>
        <v>garoup</v>
      </c>
      <c r="J2382" t="str">
        <f t="shared" si="198"/>
        <v/>
      </c>
      <c r="L2382" t="str">
        <f t="shared" si="196"/>
        <v/>
      </c>
      <c r="M2382" t="str">
        <f t="shared" si="196"/>
        <v/>
      </c>
      <c r="N2382" t="str">
        <f t="shared" si="196"/>
        <v/>
      </c>
      <c r="O2382" t="str">
        <f t="shared" si="196"/>
        <v/>
      </c>
      <c r="P2382" t="str">
        <f t="shared" si="196"/>
        <v/>
      </c>
      <c r="T2382" t="str">
        <f t="shared" si="199"/>
        <v/>
      </c>
      <c r="V2382" t="str">
        <f t="shared" si="195"/>
        <v>MVS</v>
      </c>
      <c r="W2382" t="str">
        <f t="shared" si="195"/>
        <v>MVS,AES</v>
      </c>
      <c r="AG2382" t="s">
        <v>6</v>
      </c>
      <c r="AH2382" t="s">
        <v>2066</v>
      </c>
      <c r="AI2382" t="s">
        <v>160</v>
      </c>
      <c r="AJ2382" t="s">
        <v>57</v>
      </c>
      <c r="AK2382" t="s">
        <v>2065</v>
      </c>
      <c r="AL2382" t="s">
        <v>2064</v>
      </c>
    </row>
    <row r="2383" spans="5:44" x14ac:dyDescent="0.25">
      <c r="I2383" t="str">
        <f t="shared" si="197"/>
        <v>garoup</v>
      </c>
      <c r="J2383" t="str">
        <f t="shared" si="198"/>
        <v/>
      </c>
      <c r="L2383" t="str">
        <f t="shared" si="196"/>
        <v/>
      </c>
      <c r="M2383" t="str">
        <f t="shared" si="196"/>
        <v/>
      </c>
      <c r="N2383" t="str">
        <f t="shared" si="196"/>
        <v/>
      </c>
      <c r="O2383" t="str">
        <f t="shared" si="196"/>
        <v/>
      </c>
      <c r="P2383" t="str">
        <f t="shared" si="196"/>
        <v/>
      </c>
      <c r="T2383" t="str">
        <f t="shared" si="199"/>
        <v/>
      </c>
      <c r="V2383" t="str">
        <f t="shared" si="195"/>
        <v>MVS</v>
      </c>
      <c r="W2383" t="str">
        <f t="shared" si="195"/>
        <v>MVS,AES</v>
      </c>
      <c r="AG2383" t="s">
        <v>6</v>
      </c>
      <c r="AH2383" t="s">
        <v>2063</v>
      </c>
      <c r="AI2383" t="s">
        <v>156</v>
      </c>
      <c r="AJ2383" t="s">
        <v>57</v>
      </c>
      <c r="AK2383" t="s">
        <v>2062</v>
      </c>
      <c r="AL2383" t="s">
        <v>2061</v>
      </c>
    </row>
    <row r="2384" spans="5:44" x14ac:dyDescent="0.25">
      <c r="I2384" t="str">
        <f t="shared" si="197"/>
        <v>garoup</v>
      </c>
      <c r="J2384" t="str">
        <f t="shared" si="198"/>
        <v/>
      </c>
      <c r="L2384" t="str">
        <f t="shared" si="196"/>
        <v/>
      </c>
      <c r="M2384" t="str">
        <f t="shared" si="196"/>
        <v/>
      </c>
      <c r="N2384" t="str">
        <f t="shared" si="196"/>
        <v/>
      </c>
      <c r="O2384" t="str">
        <f t="shared" si="196"/>
        <v/>
      </c>
      <c r="P2384" t="str">
        <f t="shared" si="196"/>
        <v/>
      </c>
      <c r="T2384" t="str">
        <f t="shared" si="199"/>
        <v/>
      </c>
      <c r="V2384" t="str">
        <f t="shared" si="195"/>
        <v>MVS</v>
      </c>
      <c r="W2384" t="str">
        <f t="shared" si="195"/>
        <v>MVS,AES</v>
      </c>
      <c r="AG2384" t="s">
        <v>6</v>
      </c>
      <c r="AH2384" t="s">
        <v>2060</v>
      </c>
      <c r="AI2384" t="s">
        <v>152</v>
      </c>
      <c r="AJ2384" t="s">
        <v>57</v>
      </c>
      <c r="AK2384" t="s">
        <v>2059</v>
      </c>
      <c r="AL2384" t="s">
        <v>2058</v>
      </c>
    </row>
    <row r="2385" spans="5:43" x14ac:dyDescent="0.25">
      <c r="I2385" t="str">
        <f t="shared" si="197"/>
        <v>garoup</v>
      </c>
      <c r="J2385" t="str">
        <f t="shared" si="198"/>
        <v/>
      </c>
      <c r="L2385" t="str">
        <f t="shared" si="196"/>
        <v/>
      </c>
      <c r="M2385" t="str">
        <f t="shared" si="196"/>
        <v/>
      </c>
      <c r="N2385" t="str">
        <f t="shared" si="196"/>
        <v/>
      </c>
      <c r="O2385" t="str">
        <f t="shared" si="196"/>
        <v/>
      </c>
      <c r="P2385" t="str">
        <f t="shared" si="196"/>
        <v/>
      </c>
      <c r="T2385" t="str">
        <f t="shared" si="199"/>
        <v/>
      </c>
      <c r="V2385" t="str">
        <f t="shared" si="195"/>
        <v>MVS</v>
      </c>
      <c r="W2385" t="str">
        <f t="shared" si="195"/>
        <v>MVS,AES</v>
      </c>
      <c r="AG2385" t="s">
        <v>6</v>
      </c>
      <c r="AH2385" t="s">
        <v>2057</v>
      </c>
      <c r="AI2385" t="s">
        <v>148</v>
      </c>
      <c r="AJ2385" t="s">
        <v>57</v>
      </c>
      <c r="AK2385" t="s">
        <v>2056</v>
      </c>
      <c r="AL2385" t="s">
        <v>2055</v>
      </c>
    </row>
    <row r="2386" spans="5:43" x14ac:dyDescent="0.25">
      <c r="E2386" t="s">
        <v>2054</v>
      </c>
      <c r="F2386" t="s">
        <v>2053</v>
      </c>
      <c r="G2386" t="s">
        <v>1053</v>
      </c>
      <c r="H2386" t="s">
        <v>2052</v>
      </c>
      <c r="I2386" t="str">
        <f t="shared" si="197"/>
        <v>s1945p</v>
      </c>
      <c r="J2386" t="str">
        <f t="shared" si="198"/>
        <v>s1945pserial</v>
      </c>
      <c r="K2386" t="s">
        <v>1373</v>
      </c>
      <c r="L2386" t="str">
        <f t="shared" si="196"/>
        <v>NGM-2540</v>
      </c>
      <c r="M2386" t="str">
        <f t="shared" si="196"/>
        <v>19991224</v>
      </c>
      <c r="N2386" t="str">
        <f t="shared" si="196"/>
        <v/>
      </c>
      <c r="O2386" t="str">
        <f t="shared" si="196"/>
        <v/>
      </c>
      <c r="P2386" t="str">
        <f t="shared" si="196"/>
        <v/>
      </c>
      <c r="Q2386" t="s">
        <v>2051</v>
      </c>
      <c r="S2386" t="s">
        <v>46</v>
      </c>
      <c r="T2386" t="str">
        <f t="shared" si="199"/>
        <v>s1945prelease</v>
      </c>
      <c r="U2386" t="s">
        <v>106</v>
      </c>
      <c r="V2386" t="str">
        <f t="shared" si="195"/>
        <v>MVS</v>
      </c>
      <c r="W2386" t="str">
        <f t="shared" si="195"/>
        <v>MVS,AES</v>
      </c>
      <c r="Y2386" t="s">
        <v>45</v>
      </c>
      <c r="Z2386" t="s">
        <v>44</v>
      </c>
      <c r="AB2386" t="s">
        <v>43</v>
      </c>
      <c r="AC2386" t="s">
        <v>42</v>
      </c>
      <c r="AD2386" t="s">
        <v>41</v>
      </c>
      <c r="AE2386" t="s">
        <v>23</v>
      </c>
      <c r="AG2386" t="s">
        <v>40</v>
      </c>
      <c r="AH2386" t="s">
        <v>2050</v>
      </c>
      <c r="AI2386" t="s">
        <v>9</v>
      </c>
      <c r="AJ2386" t="s">
        <v>15</v>
      </c>
      <c r="AK2386" t="s">
        <v>2049</v>
      </c>
      <c r="AL2386" t="s">
        <v>2048</v>
      </c>
      <c r="AP2386" t="s">
        <v>138</v>
      </c>
      <c r="AQ2386" t="s">
        <v>2047</v>
      </c>
    </row>
    <row r="2387" spans="5:43" x14ac:dyDescent="0.25">
      <c r="I2387" t="str">
        <f t="shared" si="197"/>
        <v>s1945p</v>
      </c>
      <c r="J2387" t="str">
        <f t="shared" si="198"/>
        <v>s1945prelease</v>
      </c>
      <c r="K2387" t="s">
        <v>46</v>
      </c>
      <c r="L2387" t="str">
        <f t="shared" si="196"/>
        <v>NGM-2540</v>
      </c>
      <c r="M2387" t="str">
        <f t="shared" si="196"/>
        <v>19991224</v>
      </c>
      <c r="N2387" t="str">
        <f t="shared" si="196"/>
        <v/>
      </c>
      <c r="O2387" t="str">
        <f t="shared" si="196"/>
        <v/>
      </c>
      <c r="P2387" t="str">
        <f t="shared" si="196"/>
        <v/>
      </c>
      <c r="Q2387" t="s">
        <v>2046</v>
      </c>
      <c r="T2387" t="str">
        <f t="shared" si="199"/>
        <v/>
      </c>
      <c r="V2387" t="str">
        <f t="shared" si="195"/>
        <v>MVS</v>
      </c>
      <c r="W2387" t="str">
        <f t="shared" si="195"/>
        <v>MVS,AES</v>
      </c>
      <c r="AG2387" t="s">
        <v>40</v>
      </c>
      <c r="AH2387" t="s">
        <v>2045</v>
      </c>
      <c r="AI2387" t="s">
        <v>15</v>
      </c>
      <c r="AJ2387" t="s">
        <v>11</v>
      </c>
      <c r="AK2387" t="s">
        <v>2044</v>
      </c>
      <c r="AL2387" t="s">
        <v>2043</v>
      </c>
    </row>
    <row r="2388" spans="5:43" x14ac:dyDescent="0.25">
      <c r="I2388" t="str">
        <f t="shared" si="197"/>
        <v>s1945p</v>
      </c>
      <c r="J2388" t="str">
        <f t="shared" si="198"/>
        <v/>
      </c>
      <c r="L2388" t="str">
        <f t="shared" si="196"/>
        <v>NGM-2540</v>
      </c>
      <c r="M2388" t="str">
        <f t="shared" si="196"/>
        <v>19991224</v>
      </c>
      <c r="N2388" t="str">
        <f t="shared" si="196"/>
        <v/>
      </c>
      <c r="O2388" t="str">
        <f t="shared" si="196"/>
        <v/>
      </c>
      <c r="P2388" t="str">
        <f t="shared" si="196"/>
        <v/>
      </c>
      <c r="S2388" t="s">
        <v>36</v>
      </c>
      <c r="T2388" t="str">
        <f t="shared" si="199"/>
        <v>s1945pcompatibility</v>
      </c>
      <c r="U2388" t="s">
        <v>218</v>
      </c>
      <c r="V2388" t="str">
        <f t="shared" si="195"/>
        <v>MVS</v>
      </c>
      <c r="W2388" t="str">
        <f t="shared" si="195"/>
        <v>MVS,AES</v>
      </c>
      <c r="AB2388" t="s">
        <v>34</v>
      </c>
      <c r="AE2388" t="s">
        <v>135</v>
      </c>
      <c r="AG2388" t="s">
        <v>538</v>
      </c>
      <c r="AI2388" t="s">
        <v>9</v>
      </c>
      <c r="AJ2388" t="s">
        <v>135</v>
      </c>
      <c r="AN2388" t="s">
        <v>537</v>
      </c>
    </row>
    <row r="2389" spans="5:43" x14ac:dyDescent="0.25">
      <c r="I2389" t="str">
        <f t="shared" si="197"/>
        <v>s1945p</v>
      </c>
      <c r="J2389" t="str">
        <f t="shared" si="198"/>
        <v/>
      </c>
      <c r="L2389" t="str">
        <f t="shared" si="196"/>
        <v>NGM-2540</v>
      </c>
      <c r="M2389" t="str">
        <f t="shared" si="196"/>
        <v>19991224</v>
      </c>
      <c r="N2389" t="str">
        <f t="shared" si="196"/>
        <v/>
      </c>
      <c r="O2389" t="str">
        <f t="shared" si="196"/>
        <v/>
      </c>
      <c r="P2389" t="str">
        <f t="shared" si="196"/>
        <v/>
      </c>
      <c r="T2389" t="str">
        <f t="shared" si="199"/>
        <v/>
      </c>
      <c r="V2389" t="str">
        <f t="shared" si="195"/>
        <v>MVS</v>
      </c>
      <c r="W2389" t="str">
        <f t="shared" si="195"/>
        <v>MVS,AES</v>
      </c>
      <c r="AB2389" t="s">
        <v>29</v>
      </c>
      <c r="AE2389" t="s">
        <v>27</v>
      </c>
      <c r="AH2389" t="s">
        <v>2042</v>
      </c>
      <c r="AI2389" t="s">
        <v>9</v>
      </c>
      <c r="AJ2389" t="s">
        <v>27</v>
      </c>
      <c r="AK2389" t="s">
        <v>2041</v>
      </c>
      <c r="AL2389" t="s">
        <v>2040</v>
      </c>
    </row>
    <row r="2390" spans="5:43" x14ac:dyDescent="0.25">
      <c r="I2390" t="str">
        <f t="shared" si="197"/>
        <v>s1945p</v>
      </c>
      <c r="J2390" t="str">
        <f t="shared" si="198"/>
        <v/>
      </c>
      <c r="L2390" t="str">
        <f t="shared" si="196"/>
        <v>NGM-2540</v>
      </c>
      <c r="M2390" t="str">
        <f t="shared" si="196"/>
        <v>19991224</v>
      </c>
      <c r="N2390" t="str">
        <f t="shared" si="196"/>
        <v/>
      </c>
      <c r="O2390" t="str">
        <f t="shared" si="196"/>
        <v/>
      </c>
      <c r="P2390" t="str">
        <f t="shared" si="196"/>
        <v/>
      </c>
      <c r="T2390" t="str">
        <f t="shared" si="199"/>
        <v/>
      </c>
      <c r="V2390" t="str">
        <f t="shared" si="195"/>
        <v>MVS</v>
      </c>
      <c r="W2390" t="str">
        <f t="shared" si="195"/>
        <v>MVS,AES</v>
      </c>
      <c r="AB2390" t="s">
        <v>24</v>
      </c>
      <c r="AE2390" t="s">
        <v>65</v>
      </c>
      <c r="AH2390" t="s">
        <v>2039</v>
      </c>
      <c r="AI2390" t="s">
        <v>9</v>
      </c>
      <c r="AJ2390" t="s">
        <v>11</v>
      </c>
      <c r="AK2390" t="s">
        <v>2038</v>
      </c>
      <c r="AL2390" t="s">
        <v>2037</v>
      </c>
    </row>
    <row r="2391" spans="5:43" x14ac:dyDescent="0.25">
      <c r="I2391" t="str">
        <f t="shared" si="197"/>
        <v>s1945p</v>
      </c>
      <c r="J2391" t="str">
        <f t="shared" si="198"/>
        <v/>
      </c>
      <c r="L2391" t="str">
        <f t="shared" si="196"/>
        <v>NGM-2540</v>
      </c>
      <c r="M2391" t="str">
        <f t="shared" si="196"/>
        <v>19991224</v>
      </c>
      <c r="N2391" t="str">
        <f t="shared" si="196"/>
        <v/>
      </c>
      <c r="O2391" t="str">
        <f t="shared" si="196"/>
        <v/>
      </c>
      <c r="P2391" t="str">
        <f t="shared" si="196"/>
        <v/>
      </c>
      <c r="T2391" t="str">
        <f t="shared" si="199"/>
        <v/>
      </c>
      <c r="V2391" t="str">
        <f t="shared" ref="V2391:W2454" si="200">IFERROR(VLOOKUP($I2391&amp;V$1,$T:$AA,2,0),"")</f>
        <v>MVS</v>
      </c>
      <c r="W2391" t="str">
        <f t="shared" si="200"/>
        <v>MVS,AES</v>
      </c>
      <c r="AH2391" t="s">
        <v>2036</v>
      </c>
      <c r="AI2391" t="s">
        <v>11</v>
      </c>
      <c r="AJ2391" t="s">
        <v>11</v>
      </c>
      <c r="AK2391" t="s">
        <v>2035</v>
      </c>
      <c r="AL2391" t="s">
        <v>2034</v>
      </c>
    </row>
    <row r="2392" spans="5:43" x14ac:dyDescent="0.25">
      <c r="I2392" t="str">
        <f t="shared" si="197"/>
        <v>s1945p</v>
      </c>
      <c r="J2392" t="str">
        <f t="shared" si="198"/>
        <v/>
      </c>
      <c r="L2392" t="str">
        <f t="shared" si="196"/>
        <v>NGM-2540</v>
      </c>
      <c r="M2392" t="str">
        <f t="shared" si="196"/>
        <v>19991224</v>
      </c>
      <c r="N2392" t="str">
        <f t="shared" si="196"/>
        <v/>
      </c>
      <c r="O2392" t="str">
        <f t="shared" si="196"/>
        <v/>
      </c>
      <c r="P2392" t="str">
        <f t="shared" si="196"/>
        <v/>
      </c>
      <c r="T2392" t="str">
        <f t="shared" si="199"/>
        <v/>
      </c>
      <c r="V2392" t="str">
        <f t="shared" si="200"/>
        <v>MVS</v>
      </c>
      <c r="W2392" t="str">
        <f t="shared" si="200"/>
        <v>MVS,AES</v>
      </c>
      <c r="AH2392" t="s">
        <v>2033</v>
      </c>
      <c r="AI2392" t="s">
        <v>57</v>
      </c>
      <c r="AJ2392" t="s">
        <v>11</v>
      </c>
      <c r="AK2392" t="s">
        <v>2032</v>
      </c>
      <c r="AL2392" t="s">
        <v>2031</v>
      </c>
    </row>
    <row r="2393" spans="5:43" x14ac:dyDescent="0.25">
      <c r="I2393" t="str">
        <f t="shared" si="197"/>
        <v>s1945p</v>
      </c>
      <c r="J2393" t="str">
        <f t="shared" si="198"/>
        <v/>
      </c>
      <c r="L2393" t="str">
        <f t="shared" si="196"/>
        <v>NGM-2540</v>
      </c>
      <c r="M2393" t="str">
        <f t="shared" si="196"/>
        <v>19991224</v>
      </c>
      <c r="N2393" t="str">
        <f t="shared" si="196"/>
        <v/>
      </c>
      <c r="O2393" t="str">
        <f t="shared" si="196"/>
        <v/>
      </c>
      <c r="P2393" t="str">
        <f t="shared" si="196"/>
        <v/>
      </c>
      <c r="T2393" t="str">
        <f t="shared" si="199"/>
        <v/>
      </c>
      <c r="V2393" t="str">
        <f t="shared" si="200"/>
        <v>MVS</v>
      </c>
      <c r="W2393" t="str">
        <f t="shared" si="200"/>
        <v>MVS,AES</v>
      </c>
      <c r="AH2393" t="s">
        <v>2030</v>
      </c>
      <c r="AI2393" t="s">
        <v>250</v>
      </c>
      <c r="AJ2393" t="s">
        <v>11</v>
      </c>
      <c r="AK2393" t="s">
        <v>2029</v>
      </c>
      <c r="AL2393" t="s">
        <v>2028</v>
      </c>
    </row>
    <row r="2394" spans="5:43" x14ac:dyDescent="0.25">
      <c r="I2394" t="str">
        <f t="shared" si="197"/>
        <v>s1945p</v>
      </c>
      <c r="J2394" t="str">
        <f t="shared" si="198"/>
        <v/>
      </c>
      <c r="L2394" t="str">
        <f t="shared" si="196"/>
        <v>NGM-2540</v>
      </c>
      <c r="M2394" t="str">
        <f t="shared" si="196"/>
        <v>19991224</v>
      </c>
      <c r="N2394" t="str">
        <f t="shared" si="196"/>
        <v/>
      </c>
      <c r="O2394" t="str">
        <f t="shared" si="196"/>
        <v/>
      </c>
      <c r="P2394" t="str">
        <f t="shared" si="196"/>
        <v/>
      </c>
      <c r="T2394" t="str">
        <f t="shared" si="199"/>
        <v/>
      </c>
      <c r="V2394" t="str">
        <f t="shared" si="200"/>
        <v>MVS</v>
      </c>
      <c r="W2394" t="str">
        <f t="shared" si="200"/>
        <v>MVS,AES</v>
      </c>
      <c r="AB2394" t="s">
        <v>12</v>
      </c>
      <c r="AE2394" t="s">
        <v>175</v>
      </c>
      <c r="AG2394" t="s">
        <v>6</v>
      </c>
      <c r="AH2394" t="s">
        <v>2027</v>
      </c>
      <c r="AI2394" t="s">
        <v>9</v>
      </c>
      <c r="AJ2394" t="s">
        <v>57</v>
      </c>
      <c r="AK2394" t="s">
        <v>2026</v>
      </c>
      <c r="AL2394" t="s">
        <v>2025</v>
      </c>
    </row>
    <row r="2395" spans="5:43" x14ac:dyDescent="0.25">
      <c r="I2395" t="str">
        <f t="shared" si="197"/>
        <v>s1945p</v>
      </c>
      <c r="J2395" t="str">
        <f t="shared" si="198"/>
        <v/>
      </c>
      <c r="L2395" t="str">
        <f t="shared" si="196"/>
        <v>NGM-2540</v>
      </c>
      <c r="M2395" t="str">
        <f t="shared" si="196"/>
        <v>19991224</v>
      </c>
      <c r="N2395" t="str">
        <f t="shared" si="196"/>
        <v/>
      </c>
      <c r="O2395" t="str">
        <f t="shared" si="196"/>
        <v/>
      </c>
      <c r="P2395" t="str">
        <f t="shared" si="196"/>
        <v/>
      </c>
      <c r="T2395" t="str">
        <f t="shared" si="199"/>
        <v/>
      </c>
      <c r="V2395" t="str">
        <f t="shared" si="200"/>
        <v>MVS</v>
      </c>
      <c r="W2395" t="str">
        <f t="shared" si="200"/>
        <v>MVS,AES</v>
      </c>
      <c r="AG2395" t="s">
        <v>6</v>
      </c>
      <c r="AH2395" t="s">
        <v>2024</v>
      </c>
      <c r="AI2395" t="s">
        <v>4</v>
      </c>
      <c r="AJ2395" t="s">
        <v>57</v>
      </c>
      <c r="AK2395" t="s">
        <v>2023</v>
      </c>
      <c r="AL2395" t="s">
        <v>2022</v>
      </c>
    </row>
    <row r="2396" spans="5:43" x14ac:dyDescent="0.25">
      <c r="I2396" t="str">
        <f t="shared" si="197"/>
        <v>s1945p</v>
      </c>
      <c r="J2396" t="str">
        <f t="shared" si="198"/>
        <v/>
      </c>
      <c r="L2396" t="str">
        <f t="shared" si="196"/>
        <v>NGM-2540</v>
      </c>
      <c r="M2396" t="str">
        <f t="shared" si="196"/>
        <v>19991224</v>
      </c>
      <c r="N2396" t="str">
        <f t="shared" si="196"/>
        <v/>
      </c>
      <c r="O2396" t="str">
        <f t="shared" si="196"/>
        <v/>
      </c>
      <c r="P2396" t="str">
        <f t="shared" si="196"/>
        <v/>
      </c>
      <c r="T2396" t="str">
        <f t="shared" si="199"/>
        <v/>
      </c>
      <c r="V2396" t="str">
        <f t="shared" si="200"/>
        <v>MVS</v>
      </c>
      <c r="W2396" t="str">
        <f t="shared" si="200"/>
        <v>MVS,AES</v>
      </c>
      <c r="AG2396" t="s">
        <v>6</v>
      </c>
      <c r="AH2396" t="s">
        <v>2021</v>
      </c>
      <c r="AI2396" t="s">
        <v>65</v>
      </c>
      <c r="AJ2396" t="s">
        <v>57</v>
      </c>
      <c r="AK2396" t="s">
        <v>2020</v>
      </c>
      <c r="AL2396" t="s">
        <v>2019</v>
      </c>
    </row>
    <row r="2397" spans="5:43" x14ac:dyDescent="0.25">
      <c r="I2397" t="str">
        <f t="shared" si="197"/>
        <v>s1945p</v>
      </c>
      <c r="J2397" t="str">
        <f t="shared" si="198"/>
        <v/>
      </c>
      <c r="L2397" t="str">
        <f t="shared" si="196"/>
        <v>NGM-2540</v>
      </c>
      <c r="M2397" t="str">
        <f t="shared" si="196"/>
        <v>19991224</v>
      </c>
      <c r="N2397" t="str">
        <f t="shared" si="196"/>
        <v/>
      </c>
      <c r="O2397" t="str">
        <f t="shared" si="196"/>
        <v/>
      </c>
      <c r="P2397" t="str">
        <f t="shared" si="196"/>
        <v/>
      </c>
      <c r="T2397" t="str">
        <f t="shared" si="199"/>
        <v/>
      </c>
      <c r="V2397" t="str">
        <f t="shared" si="200"/>
        <v>MVS</v>
      </c>
      <c r="W2397" t="str">
        <f t="shared" si="200"/>
        <v>MVS,AES</v>
      </c>
      <c r="AG2397" t="s">
        <v>6</v>
      </c>
      <c r="AH2397" t="s">
        <v>2018</v>
      </c>
      <c r="AI2397" t="s">
        <v>164</v>
      </c>
      <c r="AJ2397" t="s">
        <v>57</v>
      </c>
      <c r="AK2397" t="s">
        <v>2017</v>
      </c>
      <c r="AL2397" t="s">
        <v>2016</v>
      </c>
    </row>
    <row r="2398" spans="5:43" x14ac:dyDescent="0.25">
      <c r="I2398" t="str">
        <f t="shared" si="197"/>
        <v>s1945p</v>
      </c>
      <c r="J2398" t="str">
        <f t="shared" si="198"/>
        <v/>
      </c>
      <c r="L2398" t="str">
        <f t="shared" si="196"/>
        <v>NGM-2540</v>
      </c>
      <c r="M2398" t="str">
        <f t="shared" si="196"/>
        <v>19991224</v>
      </c>
      <c r="N2398" t="str">
        <f t="shared" si="196"/>
        <v/>
      </c>
      <c r="O2398" t="str">
        <f t="shared" si="196"/>
        <v/>
      </c>
      <c r="P2398" t="str">
        <f t="shared" si="196"/>
        <v/>
      </c>
      <c r="T2398" t="str">
        <f t="shared" si="199"/>
        <v/>
      </c>
      <c r="V2398" t="str">
        <f t="shared" si="200"/>
        <v>MVS</v>
      </c>
      <c r="W2398" t="str">
        <f t="shared" si="200"/>
        <v>MVS,AES</v>
      </c>
      <c r="AG2398" t="s">
        <v>6</v>
      </c>
      <c r="AH2398" t="s">
        <v>2015</v>
      </c>
      <c r="AI2398" t="s">
        <v>160</v>
      </c>
      <c r="AJ2398" t="s">
        <v>57</v>
      </c>
      <c r="AK2398" t="s">
        <v>2014</v>
      </c>
      <c r="AL2398" t="s">
        <v>2013</v>
      </c>
    </row>
    <row r="2399" spans="5:43" x14ac:dyDescent="0.25">
      <c r="I2399" t="str">
        <f t="shared" si="197"/>
        <v>s1945p</v>
      </c>
      <c r="J2399" t="str">
        <f t="shared" si="198"/>
        <v/>
      </c>
      <c r="L2399" t="str">
        <f t="shared" si="196"/>
        <v>NGM-2540</v>
      </c>
      <c r="M2399" t="str">
        <f t="shared" si="196"/>
        <v>19991224</v>
      </c>
      <c r="N2399" t="str">
        <f t="shared" si="196"/>
        <v/>
      </c>
      <c r="O2399" t="str">
        <f t="shared" si="196"/>
        <v/>
      </c>
      <c r="P2399" t="str">
        <f t="shared" si="196"/>
        <v/>
      </c>
      <c r="T2399" t="str">
        <f t="shared" si="199"/>
        <v/>
      </c>
      <c r="V2399" t="str">
        <f t="shared" si="200"/>
        <v>MVS</v>
      </c>
      <c r="W2399" t="str">
        <f t="shared" si="200"/>
        <v>MVS,AES</v>
      </c>
      <c r="AG2399" t="s">
        <v>6</v>
      </c>
      <c r="AH2399" t="s">
        <v>2012</v>
      </c>
      <c r="AI2399" t="s">
        <v>156</v>
      </c>
      <c r="AJ2399" t="s">
        <v>57</v>
      </c>
      <c r="AK2399" t="s">
        <v>2011</v>
      </c>
      <c r="AL2399" t="s">
        <v>2010</v>
      </c>
    </row>
    <row r="2400" spans="5:43" x14ac:dyDescent="0.25">
      <c r="I2400" t="str">
        <f t="shared" si="197"/>
        <v>s1945p</v>
      </c>
      <c r="J2400" t="str">
        <f t="shared" si="198"/>
        <v/>
      </c>
      <c r="L2400" t="str">
        <f t="shared" si="196"/>
        <v>NGM-2540</v>
      </c>
      <c r="M2400" t="str">
        <f t="shared" si="196"/>
        <v>19991224</v>
      </c>
      <c r="N2400" t="str">
        <f t="shared" si="196"/>
        <v/>
      </c>
      <c r="O2400" t="str">
        <f t="shared" si="196"/>
        <v/>
      </c>
      <c r="P2400" t="str">
        <f t="shared" si="196"/>
        <v/>
      </c>
      <c r="T2400" t="str">
        <f t="shared" si="199"/>
        <v/>
      </c>
      <c r="V2400" t="str">
        <f t="shared" si="200"/>
        <v>MVS</v>
      </c>
      <c r="W2400" t="str">
        <f t="shared" si="200"/>
        <v>MVS,AES</v>
      </c>
      <c r="AG2400" t="s">
        <v>6</v>
      </c>
      <c r="AH2400" t="s">
        <v>2009</v>
      </c>
      <c r="AI2400" t="s">
        <v>152</v>
      </c>
      <c r="AJ2400" t="s">
        <v>57</v>
      </c>
      <c r="AK2400" t="s">
        <v>2008</v>
      </c>
      <c r="AL2400" t="s">
        <v>2007</v>
      </c>
    </row>
    <row r="2401" spans="5:43" x14ac:dyDescent="0.25">
      <c r="I2401" t="str">
        <f t="shared" si="197"/>
        <v>s1945p</v>
      </c>
      <c r="J2401" t="str">
        <f t="shared" si="198"/>
        <v/>
      </c>
      <c r="L2401" t="str">
        <f t="shared" si="196"/>
        <v>NGM-2540</v>
      </c>
      <c r="M2401" t="str">
        <f t="shared" si="196"/>
        <v>19991224</v>
      </c>
      <c r="N2401" t="str">
        <f t="shared" si="196"/>
        <v/>
      </c>
      <c r="O2401" t="str">
        <f t="shared" si="196"/>
        <v/>
      </c>
      <c r="P2401" t="str">
        <f t="shared" si="196"/>
        <v/>
      </c>
      <c r="T2401" t="str">
        <f t="shared" si="199"/>
        <v/>
      </c>
      <c r="V2401" t="str">
        <f t="shared" si="200"/>
        <v>MVS</v>
      </c>
      <c r="W2401" t="str">
        <f t="shared" si="200"/>
        <v>MVS,AES</v>
      </c>
      <c r="AG2401" t="s">
        <v>6</v>
      </c>
      <c r="AH2401" t="s">
        <v>2006</v>
      </c>
      <c r="AI2401" t="s">
        <v>148</v>
      </c>
      <c r="AJ2401" t="s">
        <v>57</v>
      </c>
      <c r="AK2401" t="s">
        <v>2005</v>
      </c>
      <c r="AL2401" t="s">
        <v>2004</v>
      </c>
    </row>
    <row r="2402" spans="5:43" x14ac:dyDescent="0.25">
      <c r="E2402" t="s">
        <v>2003</v>
      </c>
      <c r="F2402" t="s">
        <v>2002</v>
      </c>
      <c r="G2402" t="s">
        <v>1053</v>
      </c>
      <c r="H2402" t="s">
        <v>2001</v>
      </c>
      <c r="I2402" t="str">
        <f t="shared" si="197"/>
        <v>preisle2</v>
      </c>
      <c r="J2402" t="str">
        <f t="shared" si="198"/>
        <v>preisle2serial</v>
      </c>
      <c r="K2402" t="s">
        <v>1373</v>
      </c>
      <c r="L2402" t="str">
        <f t="shared" si="196"/>
        <v>NGM-2550</v>
      </c>
      <c r="M2402" t="str">
        <f t="shared" si="196"/>
        <v>19990927</v>
      </c>
      <c r="N2402" t="str">
        <f t="shared" si="196"/>
        <v>原始島2</v>
      </c>
      <c r="O2402" t="str">
        <f t="shared" si="196"/>
        <v/>
      </c>
      <c r="P2402" t="str">
        <f t="shared" si="196"/>
        <v/>
      </c>
      <c r="Q2402" t="s">
        <v>2000</v>
      </c>
      <c r="S2402" t="s">
        <v>46</v>
      </c>
      <c r="T2402" t="str">
        <f t="shared" si="199"/>
        <v>preisle2release</v>
      </c>
      <c r="U2402" t="s">
        <v>106</v>
      </c>
      <c r="V2402" t="str">
        <f t="shared" si="200"/>
        <v>MVS</v>
      </c>
      <c r="W2402" t="str">
        <f t="shared" si="200"/>
        <v>MVS,AES</v>
      </c>
      <c r="Y2402" t="s">
        <v>45</v>
      </c>
      <c r="Z2402" t="s">
        <v>44</v>
      </c>
      <c r="AB2402" t="s">
        <v>43</v>
      </c>
      <c r="AC2402" t="s">
        <v>42</v>
      </c>
      <c r="AD2402" t="s">
        <v>41</v>
      </c>
      <c r="AE2402" t="s">
        <v>23</v>
      </c>
      <c r="AG2402" t="s">
        <v>40</v>
      </c>
      <c r="AH2402" t="s">
        <v>1999</v>
      </c>
      <c r="AI2402" t="s">
        <v>9</v>
      </c>
      <c r="AJ2402" t="s">
        <v>15</v>
      </c>
      <c r="AK2402" t="s">
        <v>1998</v>
      </c>
      <c r="AL2402" t="s">
        <v>1997</v>
      </c>
      <c r="AP2402" t="s">
        <v>138</v>
      </c>
      <c r="AQ2402" t="s">
        <v>1996</v>
      </c>
    </row>
    <row r="2403" spans="5:43" x14ac:dyDescent="0.25">
      <c r="I2403" t="str">
        <f t="shared" si="197"/>
        <v>preisle2</v>
      </c>
      <c r="J2403" t="str">
        <f t="shared" si="198"/>
        <v>preisle2release</v>
      </c>
      <c r="K2403" t="s">
        <v>46</v>
      </c>
      <c r="L2403" t="str">
        <f t="shared" si="196"/>
        <v>NGM-2550</v>
      </c>
      <c r="M2403" t="str">
        <f t="shared" si="196"/>
        <v>19990927</v>
      </c>
      <c r="N2403" t="str">
        <f t="shared" si="196"/>
        <v>原始島2</v>
      </c>
      <c r="O2403" t="str">
        <f t="shared" si="196"/>
        <v/>
      </c>
      <c r="P2403" t="str">
        <f t="shared" si="196"/>
        <v/>
      </c>
      <c r="Q2403" t="s">
        <v>1995</v>
      </c>
      <c r="T2403" t="str">
        <f t="shared" si="199"/>
        <v/>
      </c>
      <c r="V2403" t="str">
        <f t="shared" si="200"/>
        <v>MVS</v>
      </c>
      <c r="W2403" t="str">
        <f t="shared" si="200"/>
        <v>MVS,AES</v>
      </c>
      <c r="AG2403" t="s">
        <v>40</v>
      </c>
      <c r="AH2403" t="s">
        <v>1994</v>
      </c>
      <c r="AI2403" t="s">
        <v>15</v>
      </c>
      <c r="AJ2403" t="s">
        <v>11</v>
      </c>
      <c r="AK2403" t="s">
        <v>1993</v>
      </c>
      <c r="AL2403" t="s">
        <v>1992</v>
      </c>
    </row>
    <row r="2404" spans="5:43" x14ac:dyDescent="0.25">
      <c r="I2404" t="str">
        <f t="shared" si="197"/>
        <v>preisle2</v>
      </c>
      <c r="J2404" t="str">
        <f t="shared" si="198"/>
        <v>preisle2alt_title</v>
      </c>
      <c r="K2404" t="s">
        <v>1218</v>
      </c>
      <c r="L2404" t="str">
        <f t="shared" si="196"/>
        <v>NGM-2550</v>
      </c>
      <c r="M2404" t="str">
        <f t="shared" si="196"/>
        <v>19990927</v>
      </c>
      <c r="N2404" t="str">
        <f t="shared" si="196"/>
        <v>原始島2</v>
      </c>
      <c r="O2404" t="str">
        <f t="shared" si="196"/>
        <v/>
      </c>
      <c r="P2404" t="str">
        <f t="shared" si="196"/>
        <v/>
      </c>
      <c r="Q2404" t="s">
        <v>1991</v>
      </c>
      <c r="T2404" t="str">
        <f t="shared" si="199"/>
        <v/>
      </c>
      <c r="V2404" t="str">
        <f t="shared" si="200"/>
        <v>MVS</v>
      </c>
      <c r="W2404" t="str">
        <f t="shared" si="200"/>
        <v>MVS,AES</v>
      </c>
      <c r="AB2404" t="s">
        <v>34</v>
      </c>
      <c r="AE2404" t="s">
        <v>135</v>
      </c>
      <c r="AG2404" t="s">
        <v>538</v>
      </c>
      <c r="AI2404" t="s">
        <v>9</v>
      </c>
      <c r="AJ2404" t="s">
        <v>135</v>
      </c>
      <c r="AN2404" t="s">
        <v>537</v>
      </c>
    </row>
    <row r="2405" spans="5:43" x14ac:dyDescent="0.25">
      <c r="I2405" t="str">
        <f t="shared" si="197"/>
        <v>preisle2</v>
      </c>
      <c r="J2405" t="str">
        <f t="shared" si="198"/>
        <v/>
      </c>
      <c r="L2405" t="str">
        <f t="shared" si="196"/>
        <v>NGM-2550</v>
      </c>
      <c r="M2405" t="str">
        <f t="shared" si="196"/>
        <v>19990927</v>
      </c>
      <c r="N2405" t="str">
        <f t="shared" si="196"/>
        <v>原始島2</v>
      </c>
      <c r="O2405" t="str">
        <f t="shared" si="196"/>
        <v/>
      </c>
      <c r="P2405" t="str">
        <f t="shared" si="196"/>
        <v/>
      </c>
      <c r="S2405" t="s">
        <v>36</v>
      </c>
      <c r="T2405" t="str">
        <f t="shared" si="199"/>
        <v>preisle2compatibility</v>
      </c>
      <c r="U2405" t="s">
        <v>218</v>
      </c>
      <c r="V2405" t="str">
        <f t="shared" si="200"/>
        <v>MVS</v>
      </c>
      <c r="W2405" t="str">
        <f t="shared" si="200"/>
        <v>MVS,AES</v>
      </c>
      <c r="AB2405" t="s">
        <v>29</v>
      </c>
      <c r="AE2405" t="s">
        <v>27</v>
      </c>
      <c r="AH2405" t="s">
        <v>1990</v>
      </c>
      <c r="AI2405" t="s">
        <v>9</v>
      </c>
      <c r="AJ2405" t="s">
        <v>27</v>
      </c>
      <c r="AK2405" t="s">
        <v>1989</v>
      </c>
      <c r="AL2405" t="s">
        <v>1988</v>
      </c>
    </row>
    <row r="2406" spans="5:43" x14ac:dyDescent="0.25">
      <c r="I2406" t="str">
        <f t="shared" si="197"/>
        <v>preisle2</v>
      </c>
      <c r="J2406" t="str">
        <f t="shared" si="198"/>
        <v/>
      </c>
      <c r="L2406" t="str">
        <f t="shared" si="196"/>
        <v>NGM-2550</v>
      </c>
      <c r="M2406" t="str">
        <f t="shared" si="196"/>
        <v>19990927</v>
      </c>
      <c r="N2406" t="str">
        <f t="shared" si="196"/>
        <v>原始島2</v>
      </c>
      <c r="O2406" t="str">
        <f t="shared" si="196"/>
        <v/>
      </c>
      <c r="P2406" t="str">
        <f t="shared" si="196"/>
        <v/>
      </c>
      <c r="T2406" t="str">
        <f t="shared" si="199"/>
        <v/>
      </c>
      <c r="V2406" t="str">
        <f t="shared" si="200"/>
        <v>MVS</v>
      </c>
      <c r="W2406" t="str">
        <f t="shared" si="200"/>
        <v>MVS,AES</v>
      </c>
      <c r="AB2406" t="s">
        <v>24</v>
      </c>
      <c r="AE2406" t="s">
        <v>75</v>
      </c>
      <c r="AH2406" t="s">
        <v>1987</v>
      </c>
      <c r="AI2406" t="s">
        <v>9</v>
      </c>
      <c r="AJ2406" t="s">
        <v>11</v>
      </c>
      <c r="AK2406" t="s">
        <v>1986</v>
      </c>
      <c r="AL2406" t="s">
        <v>1985</v>
      </c>
    </row>
    <row r="2407" spans="5:43" x14ac:dyDescent="0.25">
      <c r="I2407" t="str">
        <f t="shared" si="197"/>
        <v>preisle2</v>
      </c>
      <c r="J2407" t="str">
        <f t="shared" si="198"/>
        <v/>
      </c>
      <c r="L2407" t="str">
        <f t="shared" si="196"/>
        <v>NGM-2550</v>
      </c>
      <c r="M2407" t="str">
        <f t="shared" si="196"/>
        <v>19990927</v>
      </c>
      <c r="N2407" t="str">
        <f t="shared" si="196"/>
        <v>原始島2</v>
      </c>
      <c r="O2407" t="str">
        <f t="shared" si="196"/>
        <v/>
      </c>
      <c r="P2407" t="str">
        <f t="shared" si="196"/>
        <v/>
      </c>
      <c r="T2407" t="str">
        <f t="shared" si="199"/>
        <v/>
      </c>
      <c r="V2407" t="str">
        <f t="shared" si="200"/>
        <v>MVS</v>
      </c>
      <c r="W2407" t="str">
        <f t="shared" si="200"/>
        <v>MVS,AES</v>
      </c>
      <c r="AH2407" t="s">
        <v>1984</v>
      </c>
      <c r="AI2407" t="s">
        <v>11</v>
      </c>
      <c r="AJ2407" t="s">
        <v>3</v>
      </c>
      <c r="AK2407" t="s">
        <v>1983</v>
      </c>
      <c r="AL2407" t="s">
        <v>1982</v>
      </c>
    </row>
    <row r="2408" spans="5:43" x14ac:dyDescent="0.25">
      <c r="I2408" t="str">
        <f t="shared" si="197"/>
        <v>preisle2</v>
      </c>
      <c r="J2408" t="str">
        <f t="shared" si="198"/>
        <v/>
      </c>
      <c r="L2408" t="str">
        <f t="shared" si="196"/>
        <v>NGM-2550</v>
      </c>
      <c r="M2408" t="str">
        <f t="shared" si="196"/>
        <v>19990927</v>
      </c>
      <c r="N2408" t="str">
        <f t="shared" si="196"/>
        <v>原始島2</v>
      </c>
      <c r="O2408" t="str">
        <f t="shared" si="196"/>
        <v/>
      </c>
      <c r="P2408" t="str">
        <f t="shared" si="196"/>
        <v/>
      </c>
      <c r="T2408" t="str">
        <f t="shared" si="199"/>
        <v/>
      </c>
      <c r="V2408" t="str">
        <f t="shared" si="200"/>
        <v>MVS</v>
      </c>
      <c r="W2408" t="str">
        <f t="shared" si="200"/>
        <v>MVS,AES</v>
      </c>
      <c r="AB2408" t="s">
        <v>12</v>
      </c>
      <c r="AE2408" t="s">
        <v>152</v>
      </c>
      <c r="AG2408" t="s">
        <v>6</v>
      </c>
      <c r="AH2408" t="s">
        <v>1981</v>
      </c>
      <c r="AI2408" t="s">
        <v>9</v>
      </c>
      <c r="AJ2408" t="s">
        <v>57</v>
      </c>
      <c r="AK2408" t="s">
        <v>1980</v>
      </c>
      <c r="AL2408" t="s">
        <v>1979</v>
      </c>
    </row>
    <row r="2409" spans="5:43" x14ac:dyDescent="0.25">
      <c r="I2409" t="str">
        <f t="shared" si="197"/>
        <v>preisle2</v>
      </c>
      <c r="J2409" t="str">
        <f t="shared" si="198"/>
        <v/>
      </c>
      <c r="L2409" t="str">
        <f t="shared" si="196"/>
        <v>NGM-2550</v>
      </c>
      <c r="M2409" t="str">
        <f t="shared" si="196"/>
        <v>19990927</v>
      </c>
      <c r="N2409" t="str">
        <f t="shared" si="196"/>
        <v>原始島2</v>
      </c>
      <c r="O2409" t="str">
        <f t="shared" si="196"/>
        <v/>
      </c>
      <c r="P2409" t="str">
        <f t="shared" si="196"/>
        <v/>
      </c>
      <c r="T2409" t="str">
        <f t="shared" si="199"/>
        <v/>
      </c>
      <c r="V2409" t="str">
        <f t="shared" si="200"/>
        <v>MVS</v>
      </c>
      <c r="W2409" t="str">
        <f t="shared" si="200"/>
        <v>MVS,AES</v>
      </c>
      <c r="AG2409" t="s">
        <v>6</v>
      </c>
      <c r="AH2409" t="s">
        <v>1978</v>
      </c>
      <c r="AI2409" t="s">
        <v>4</v>
      </c>
      <c r="AJ2409" t="s">
        <v>57</v>
      </c>
      <c r="AK2409" t="s">
        <v>1977</v>
      </c>
      <c r="AL2409" t="s">
        <v>1976</v>
      </c>
    </row>
    <row r="2410" spans="5:43" x14ac:dyDescent="0.25">
      <c r="I2410" t="str">
        <f t="shared" si="197"/>
        <v>preisle2</v>
      </c>
      <c r="J2410" t="str">
        <f t="shared" si="198"/>
        <v/>
      </c>
      <c r="L2410" t="str">
        <f t="shared" si="196"/>
        <v>NGM-2550</v>
      </c>
      <c r="M2410" t="str">
        <f t="shared" si="196"/>
        <v>19990927</v>
      </c>
      <c r="N2410" t="str">
        <f t="shared" si="196"/>
        <v>原始島2</v>
      </c>
      <c r="O2410" t="str">
        <f t="shared" si="196"/>
        <v/>
      </c>
      <c r="P2410" t="str">
        <f t="shared" si="196"/>
        <v/>
      </c>
      <c r="T2410" t="str">
        <f t="shared" si="199"/>
        <v/>
      </c>
      <c r="V2410" t="str">
        <f t="shared" si="200"/>
        <v>MVS</v>
      </c>
      <c r="W2410" t="str">
        <f t="shared" si="200"/>
        <v>MVS,AES</v>
      </c>
      <c r="AG2410" t="s">
        <v>6</v>
      </c>
      <c r="AH2410" t="s">
        <v>1975</v>
      </c>
      <c r="AI2410" t="s">
        <v>65</v>
      </c>
      <c r="AJ2410" t="s">
        <v>57</v>
      </c>
      <c r="AK2410" t="s">
        <v>1974</v>
      </c>
      <c r="AL2410" t="s">
        <v>1973</v>
      </c>
    </row>
    <row r="2411" spans="5:43" x14ac:dyDescent="0.25">
      <c r="I2411" t="str">
        <f t="shared" si="197"/>
        <v>preisle2</v>
      </c>
      <c r="J2411" t="str">
        <f t="shared" si="198"/>
        <v/>
      </c>
      <c r="L2411" t="str">
        <f t="shared" si="196"/>
        <v>NGM-2550</v>
      </c>
      <c r="M2411" t="str">
        <f t="shared" si="196"/>
        <v>19990927</v>
      </c>
      <c r="N2411" t="str">
        <f t="shared" si="196"/>
        <v>原始島2</v>
      </c>
      <c r="O2411" t="str">
        <f t="shared" si="196"/>
        <v/>
      </c>
      <c r="P2411" t="str">
        <f t="shared" si="196"/>
        <v/>
      </c>
      <c r="T2411" t="str">
        <f t="shared" si="199"/>
        <v/>
      </c>
      <c r="V2411" t="str">
        <f t="shared" si="200"/>
        <v>MVS</v>
      </c>
      <c r="W2411" t="str">
        <f t="shared" si="200"/>
        <v>MVS,AES</v>
      </c>
      <c r="AG2411" t="s">
        <v>6</v>
      </c>
      <c r="AH2411" t="s">
        <v>1972</v>
      </c>
      <c r="AI2411" t="s">
        <v>164</v>
      </c>
      <c r="AJ2411" t="s">
        <v>57</v>
      </c>
      <c r="AK2411" t="s">
        <v>1971</v>
      </c>
      <c r="AL2411" t="s">
        <v>1970</v>
      </c>
    </row>
    <row r="2412" spans="5:43" x14ac:dyDescent="0.25">
      <c r="I2412" t="str">
        <f t="shared" si="197"/>
        <v>preisle2</v>
      </c>
      <c r="J2412" t="str">
        <f t="shared" si="198"/>
        <v/>
      </c>
      <c r="L2412" t="str">
        <f t="shared" ref="L2412:P2462" si="201">IFERROR(VLOOKUP($I2412&amp;L$1,$J:$Q,8,0),"")</f>
        <v>NGM-2550</v>
      </c>
      <c r="M2412" t="str">
        <f t="shared" si="201"/>
        <v>19990927</v>
      </c>
      <c r="N2412" t="str">
        <f t="shared" si="201"/>
        <v>原始島2</v>
      </c>
      <c r="O2412" t="str">
        <f t="shared" si="201"/>
        <v/>
      </c>
      <c r="P2412" t="str">
        <f t="shared" si="201"/>
        <v/>
      </c>
      <c r="T2412" t="str">
        <f t="shared" si="199"/>
        <v/>
      </c>
      <c r="V2412" t="str">
        <f t="shared" si="200"/>
        <v>MVS</v>
      </c>
      <c r="W2412" t="str">
        <f t="shared" si="200"/>
        <v>MVS,AES</v>
      </c>
      <c r="AG2412" t="s">
        <v>6</v>
      </c>
      <c r="AH2412" t="s">
        <v>1969</v>
      </c>
      <c r="AI2412" t="s">
        <v>160</v>
      </c>
      <c r="AJ2412" t="s">
        <v>57</v>
      </c>
      <c r="AK2412" t="s">
        <v>1968</v>
      </c>
      <c r="AL2412" t="s">
        <v>1967</v>
      </c>
    </row>
    <row r="2413" spans="5:43" x14ac:dyDescent="0.25">
      <c r="I2413" t="str">
        <f t="shared" si="197"/>
        <v>preisle2</v>
      </c>
      <c r="J2413" t="str">
        <f t="shared" si="198"/>
        <v/>
      </c>
      <c r="L2413" t="str">
        <f t="shared" si="201"/>
        <v>NGM-2550</v>
      </c>
      <c r="M2413" t="str">
        <f t="shared" si="201"/>
        <v>19990927</v>
      </c>
      <c r="N2413" t="str">
        <f t="shared" si="201"/>
        <v>原始島2</v>
      </c>
      <c r="O2413" t="str">
        <f t="shared" si="201"/>
        <v/>
      </c>
      <c r="P2413" t="str">
        <f t="shared" si="201"/>
        <v/>
      </c>
      <c r="T2413" t="str">
        <f t="shared" si="199"/>
        <v/>
      </c>
      <c r="V2413" t="str">
        <f t="shared" si="200"/>
        <v>MVS</v>
      </c>
      <c r="W2413" t="str">
        <f t="shared" si="200"/>
        <v>MVS,AES</v>
      </c>
      <c r="AG2413" t="s">
        <v>6</v>
      </c>
      <c r="AH2413" t="s">
        <v>1966</v>
      </c>
      <c r="AI2413" t="s">
        <v>156</v>
      </c>
      <c r="AJ2413" t="s">
        <v>57</v>
      </c>
      <c r="AK2413" t="s">
        <v>1965</v>
      </c>
      <c r="AL2413" t="s">
        <v>1964</v>
      </c>
    </row>
    <row r="2414" spans="5:43" x14ac:dyDescent="0.25">
      <c r="E2414" t="s">
        <v>1007</v>
      </c>
      <c r="F2414" t="s">
        <v>1963</v>
      </c>
      <c r="G2414" t="s">
        <v>113</v>
      </c>
      <c r="H2414" t="s">
        <v>1912</v>
      </c>
      <c r="I2414" t="str">
        <f t="shared" si="197"/>
        <v>mslug3</v>
      </c>
      <c r="J2414" t="str">
        <f t="shared" si="198"/>
        <v>mslug3serial</v>
      </c>
      <c r="K2414" t="s">
        <v>1373</v>
      </c>
      <c r="L2414" t="str">
        <f t="shared" si="201"/>
        <v>NGM-2560</v>
      </c>
      <c r="M2414" t="str">
        <f t="shared" si="201"/>
        <v>20000323</v>
      </c>
      <c r="N2414" t="str">
        <f t="shared" si="201"/>
        <v>メタルスラッグ 3</v>
      </c>
      <c r="O2414" t="str">
        <f t="shared" si="201"/>
        <v/>
      </c>
      <c r="P2414" t="str">
        <f t="shared" si="201"/>
        <v/>
      </c>
      <c r="Q2414" t="s">
        <v>1950</v>
      </c>
      <c r="S2414" t="s">
        <v>46</v>
      </c>
      <c r="T2414" t="str">
        <f t="shared" si="199"/>
        <v>mslug3release</v>
      </c>
      <c r="U2414" t="s">
        <v>106</v>
      </c>
      <c r="V2414" t="str">
        <f t="shared" si="200"/>
        <v>MVS</v>
      </c>
      <c r="W2414" t="str">
        <f t="shared" si="200"/>
        <v>MVS,AES</v>
      </c>
      <c r="Y2414" t="s">
        <v>45</v>
      </c>
      <c r="Z2414" t="s">
        <v>44</v>
      </c>
      <c r="AB2414" t="s">
        <v>43</v>
      </c>
      <c r="AC2414" t="s">
        <v>42</v>
      </c>
      <c r="AD2414" t="s">
        <v>41</v>
      </c>
      <c r="AE2414" t="s">
        <v>704</v>
      </c>
      <c r="AG2414" t="s">
        <v>40</v>
      </c>
      <c r="AH2414" t="s">
        <v>1962</v>
      </c>
      <c r="AI2414" t="s">
        <v>1924</v>
      </c>
      <c r="AJ2414" t="s">
        <v>33</v>
      </c>
      <c r="AK2414" t="s">
        <v>1961</v>
      </c>
      <c r="AL2414" t="s">
        <v>1960</v>
      </c>
      <c r="AP2414" t="s">
        <v>138</v>
      </c>
      <c r="AQ2414" t="s">
        <v>1959</v>
      </c>
    </row>
    <row r="2415" spans="5:43" x14ac:dyDescent="0.25">
      <c r="I2415" t="str">
        <f t="shared" si="197"/>
        <v>mslug3</v>
      </c>
      <c r="J2415" t="str">
        <f t="shared" si="198"/>
        <v>mslug3release</v>
      </c>
      <c r="K2415" t="s">
        <v>46</v>
      </c>
      <c r="L2415" t="str">
        <f t="shared" si="201"/>
        <v>NGM-2560</v>
      </c>
      <c r="M2415" t="str">
        <f t="shared" si="201"/>
        <v>20000323</v>
      </c>
      <c r="N2415" t="str">
        <f t="shared" si="201"/>
        <v>メタルスラッグ 3</v>
      </c>
      <c r="O2415" t="str">
        <f t="shared" si="201"/>
        <v/>
      </c>
      <c r="P2415" t="str">
        <f t="shared" si="201"/>
        <v/>
      </c>
      <c r="Q2415" t="s">
        <v>1945</v>
      </c>
      <c r="T2415" t="str">
        <f t="shared" si="199"/>
        <v/>
      </c>
      <c r="V2415" t="str">
        <f t="shared" si="200"/>
        <v>MVS</v>
      </c>
      <c r="W2415" t="str">
        <f t="shared" si="200"/>
        <v>MVS,AES</v>
      </c>
      <c r="AG2415" t="s">
        <v>40</v>
      </c>
      <c r="AH2415" t="s">
        <v>1958</v>
      </c>
      <c r="AI2415" t="s">
        <v>15</v>
      </c>
      <c r="AJ2415" t="s">
        <v>11</v>
      </c>
      <c r="AK2415" t="s">
        <v>1957</v>
      </c>
      <c r="AL2415" t="s">
        <v>1956</v>
      </c>
    </row>
    <row r="2416" spans="5:43" x14ac:dyDescent="0.25">
      <c r="I2416" t="str">
        <f t="shared" si="197"/>
        <v>mslug3</v>
      </c>
      <c r="J2416" t="str">
        <f t="shared" si="198"/>
        <v>mslug3alt_title</v>
      </c>
      <c r="K2416" t="s">
        <v>1218</v>
      </c>
      <c r="L2416" t="str">
        <f t="shared" si="201"/>
        <v>NGM-2560</v>
      </c>
      <c r="M2416" t="str">
        <f t="shared" si="201"/>
        <v>20000323</v>
      </c>
      <c r="N2416" t="str">
        <f t="shared" si="201"/>
        <v>メタルスラッグ 3</v>
      </c>
      <c r="O2416" t="str">
        <f t="shared" si="201"/>
        <v/>
      </c>
      <c r="P2416" t="str">
        <f t="shared" si="201"/>
        <v/>
      </c>
      <c r="Q2416" t="s">
        <v>1927</v>
      </c>
      <c r="T2416" t="str">
        <f t="shared" si="199"/>
        <v/>
      </c>
      <c r="V2416" t="str">
        <f t="shared" si="200"/>
        <v>MVS</v>
      </c>
      <c r="W2416" t="str">
        <f t="shared" si="200"/>
        <v>MVS,AES</v>
      </c>
      <c r="AG2416" t="s">
        <v>40</v>
      </c>
      <c r="AH2416" t="s">
        <v>1955</v>
      </c>
      <c r="AI2416" t="s">
        <v>23</v>
      </c>
      <c r="AJ2416" t="s">
        <v>11</v>
      </c>
      <c r="AK2416" t="s">
        <v>1954</v>
      </c>
      <c r="AL2416" t="s">
        <v>1953</v>
      </c>
    </row>
    <row r="2417" spans="5:44" x14ac:dyDescent="0.25">
      <c r="I2417" t="str">
        <f t="shared" si="197"/>
        <v>mslug3</v>
      </c>
      <c r="J2417" t="str">
        <f t="shared" si="198"/>
        <v/>
      </c>
      <c r="L2417" t="str">
        <f t="shared" si="201"/>
        <v>NGM-2560</v>
      </c>
      <c r="M2417" t="str">
        <f t="shared" si="201"/>
        <v>20000323</v>
      </c>
      <c r="N2417" t="str">
        <f t="shared" si="201"/>
        <v>メタルスラッグ 3</v>
      </c>
      <c r="O2417" t="str">
        <f t="shared" si="201"/>
        <v/>
      </c>
      <c r="P2417" t="str">
        <f t="shared" si="201"/>
        <v/>
      </c>
      <c r="S2417" t="s">
        <v>36</v>
      </c>
      <c r="T2417" t="str">
        <f t="shared" si="199"/>
        <v>mslug3compatibility</v>
      </c>
      <c r="U2417" t="s">
        <v>218</v>
      </c>
      <c r="V2417" t="str">
        <f t="shared" si="200"/>
        <v>MVS</v>
      </c>
      <c r="W2417" t="str">
        <f t="shared" si="200"/>
        <v>MVS,AES</v>
      </c>
      <c r="AB2417" t="s">
        <v>34</v>
      </c>
      <c r="AE2417" t="s">
        <v>480</v>
      </c>
      <c r="AG2417" t="s">
        <v>538</v>
      </c>
      <c r="AI2417" t="s">
        <v>9</v>
      </c>
      <c r="AJ2417" t="s">
        <v>480</v>
      </c>
      <c r="AN2417" t="s">
        <v>537</v>
      </c>
    </row>
    <row r="2418" spans="5:44" x14ac:dyDescent="0.25">
      <c r="I2418" t="str">
        <f t="shared" si="197"/>
        <v>mslug3</v>
      </c>
      <c r="J2418" t="str">
        <f t="shared" si="198"/>
        <v/>
      </c>
      <c r="L2418" t="str">
        <f t="shared" si="201"/>
        <v>NGM-2560</v>
      </c>
      <c r="M2418" t="str">
        <f t="shared" si="201"/>
        <v>20000323</v>
      </c>
      <c r="N2418" t="str">
        <f t="shared" si="201"/>
        <v>メタルスラッグ 3</v>
      </c>
      <c r="O2418" t="str">
        <f t="shared" si="201"/>
        <v/>
      </c>
      <c r="P2418" t="str">
        <f t="shared" si="201"/>
        <v/>
      </c>
      <c r="T2418" t="str">
        <f t="shared" si="199"/>
        <v/>
      </c>
      <c r="V2418" t="str">
        <f t="shared" si="200"/>
        <v>MVS</v>
      </c>
      <c r="W2418" t="str">
        <f t="shared" si="200"/>
        <v>MVS,AES</v>
      </c>
      <c r="AB2418" t="s">
        <v>29</v>
      </c>
      <c r="AE2418" t="s">
        <v>92</v>
      </c>
      <c r="AH2418" t="s">
        <v>1000</v>
      </c>
      <c r="AI2418" t="s">
        <v>9</v>
      </c>
      <c r="AJ2418" t="s">
        <v>92</v>
      </c>
      <c r="AK2418" t="s">
        <v>999</v>
      </c>
      <c r="AL2418" t="s">
        <v>998</v>
      </c>
    </row>
    <row r="2419" spans="5:44" x14ac:dyDescent="0.25">
      <c r="I2419" t="str">
        <f t="shared" si="197"/>
        <v>mslug3</v>
      </c>
      <c r="J2419" t="str">
        <f t="shared" si="198"/>
        <v/>
      </c>
      <c r="L2419" t="str">
        <f t="shared" si="201"/>
        <v>NGM-2560</v>
      </c>
      <c r="M2419" t="str">
        <f t="shared" si="201"/>
        <v>20000323</v>
      </c>
      <c r="N2419" t="str">
        <f t="shared" si="201"/>
        <v>メタルスラッグ 3</v>
      </c>
      <c r="O2419" t="str">
        <f t="shared" si="201"/>
        <v/>
      </c>
      <c r="P2419" t="str">
        <f t="shared" si="201"/>
        <v/>
      </c>
      <c r="T2419" t="str">
        <f t="shared" si="199"/>
        <v/>
      </c>
      <c r="V2419" t="str">
        <f t="shared" si="200"/>
        <v>MVS</v>
      </c>
      <c r="W2419" t="str">
        <f t="shared" si="200"/>
        <v>MVS,AES</v>
      </c>
      <c r="AB2419" t="s">
        <v>24</v>
      </c>
      <c r="AE2419" t="s">
        <v>65</v>
      </c>
      <c r="AH2419" t="s">
        <v>997</v>
      </c>
      <c r="AI2419" t="s">
        <v>9</v>
      </c>
      <c r="AJ2419" t="s">
        <v>11</v>
      </c>
      <c r="AK2419" t="s">
        <v>996</v>
      </c>
      <c r="AL2419" t="s">
        <v>995</v>
      </c>
    </row>
    <row r="2420" spans="5:44" x14ac:dyDescent="0.25">
      <c r="I2420" t="str">
        <f t="shared" si="197"/>
        <v>mslug3</v>
      </c>
      <c r="J2420" t="str">
        <f t="shared" si="198"/>
        <v/>
      </c>
      <c r="L2420" t="str">
        <f t="shared" si="201"/>
        <v>NGM-2560</v>
      </c>
      <c r="M2420" t="str">
        <f t="shared" si="201"/>
        <v>20000323</v>
      </c>
      <c r="N2420" t="str">
        <f t="shared" si="201"/>
        <v>メタルスラッグ 3</v>
      </c>
      <c r="O2420" t="str">
        <f t="shared" si="201"/>
        <v/>
      </c>
      <c r="P2420" t="str">
        <f t="shared" si="201"/>
        <v/>
      </c>
      <c r="T2420" t="str">
        <f t="shared" si="199"/>
        <v/>
      </c>
      <c r="V2420" t="str">
        <f t="shared" si="200"/>
        <v>MVS</v>
      </c>
      <c r="W2420" t="str">
        <f t="shared" si="200"/>
        <v>MVS,AES</v>
      </c>
      <c r="AH2420" t="s">
        <v>994</v>
      </c>
      <c r="AI2420" t="s">
        <v>11</v>
      </c>
      <c r="AJ2420" t="s">
        <v>11</v>
      </c>
      <c r="AK2420" t="s">
        <v>993</v>
      </c>
      <c r="AL2420" t="s">
        <v>992</v>
      </c>
    </row>
    <row r="2421" spans="5:44" x14ac:dyDescent="0.25">
      <c r="I2421" t="str">
        <f t="shared" si="197"/>
        <v>mslug3</v>
      </c>
      <c r="J2421" t="str">
        <f t="shared" si="198"/>
        <v/>
      </c>
      <c r="L2421" t="str">
        <f t="shared" si="201"/>
        <v>NGM-2560</v>
      </c>
      <c r="M2421" t="str">
        <f t="shared" si="201"/>
        <v>20000323</v>
      </c>
      <c r="N2421" t="str">
        <f t="shared" si="201"/>
        <v>メタルスラッグ 3</v>
      </c>
      <c r="O2421" t="str">
        <f t="shared" si="201"/>
        <v/>
      </c>
      <c r="P2421" t="str">
        <f t="shared" si="201"/>
        <v/>
      </c>
      <c r="T2421" t="str">
        <f t="shared" si="199"/>
        <v/>
      </c>
      <c r="V2421" t="str">
        <f t="shared" si="200"/>
        <v>MVS</v>
      </c>
      <c r="W2421" t="str">
        <f t="shared" si="200"/>
        <v>MVS,AES</v>
      </c>
      <c r="AH2421" t="s">
        <v>991</v>
      </c>
      <c r="AI2421" t="s">
        <v>57</v>
      </c>
      <c r="AJ2421" t="s">
        <v>11</v>
      </c>
      <c r="AK2421" t="s">
        <v>990</v>
      </c>
      <c r="AL2421" t="s">
        <v>989</v>
      </c>
    </row>
    <row r="2422" spans="5:44" x14ac:dyDescent="0.25">
      <c r="I2422" t="str">
        <f t="shared" si="197"/>
        <v>mslug3</v>
      </c>
      <c r="J2422" t="str">
        <f t="shared" si="198"/>
        <v/>
      </c>
      <c r="L2422" t="str">
        <f t="shared" si="201"/>
        <v>NGM-2560</v>
      </c>
      <c r="M2422" t="str">
        <f t="shared" si="201"/>
        <v>20000323</v>
      </c>
      <c r="N2422" t="str">
        <f t="shared" si="201"/>
        <v>メタルスラッグ 3</v>
      </c>
      <c r="O2422" t="str">
        <f t="shared" si="201"/>
        <v/>
      </c>
      <c r="P2422" t="str">
        <f t="shared" si="201"/>
        <v/>
      </c>
      <c r="T2422" t="str">
        <f t="shared" si="199"/>
        <v/>
      </c>
      <c r="V2422" t="str">
        <f t="shared" si="200"/>
        <v>MVS</v>
      </c>
      <c r="W2422" t="str">
        <f t="shared" si="200"/>
        <v>MVS,AES</v>
      </c>
      <c r="AH2422" t="s">
        <v>988</v>
      </c>
      <c r="AI2422" t="s">
        <v>250</v>
      </c>
      <c r="AJ2422" t="s">
        <v>11</v>
      </c>
      <c r="AK2422" t="s">
        <v>987</v>
      </c>
      <c r="AL2422" t="s">
        <v>986</v>
      </c>
    </row>
    <row r="2423" spans="5:44" x14ac:dyDescent="0.25">
      <c r="I2423" t="str">
        <f t="shared" si="197"/>
        <v>mslug3</v>
      </c>
      <c r="J2423" t="str">
        <f t="shared" si="198"/>
        <v/>
      </c>
      <c r="L2423" t="str">
        <f t="shared" si="201"/>
        <v>NGM-2560</v>
      </c>
      <c r="M2423" t="str">
        <f t="shared" si="201"/>
        <v>20000323</v>
      </c>
      <c r="N2423" t="str">
        <f t="shared" si="201"/>
        <v>メタルスラッグ 3</v>
      </c>
      <c r="O2423" t="str">
        <f t="shared" si="201"/>
        <v/>
      </c>
      <c r="P2423" t="str">
        <f t="shared" si="201"/>
        <v/>
      </c>
      <c r="T2423" t="str">
        <f t="shared" si="199"/>
        <v/>
      </c>
      <c r="V2423" t="str">
        <f t="shared" si="200"/>
        <v>MVS</v>
      </c>
      <c r="W2423" t="str">
        <f t="shared" si="200"/>
        <v>MVS,AES</v>
      </c>
      <c r="AB2423" t="s">
        <v>12</v>
      </c>
      <c r="AE2423" t="s">
        <v>175</v>
      </c>
      <c r="AG2423" t="s">
        <v>6</v>
      </c>
      <c r="AH2423" t="s">
        <v>985</v>
      </c>
      <c r="AI2423" t="s">
        <v>9</v>
      </c>
      <c r="AJ2423" t="s">
        <v>57</v>
      </c>
      <c r="AK2423" t="s">
        <v>984</v>
      </c>
      <c r="AL2423" t="s">
        <v>983</v>
      </c>
    </row>
    <row r="2424" spans="5:44" x14ac:dyDescent="0.25">
      <c r="I2424" t="str">
        <f t="shared" si="197"/>
        <v>mslug3</v>
      </c>
      <c r="J2424" t="str">
        <f t="shared" si="198"/>
        <v/>
      </c>
      <c r="L2424" t="str">
        <f t="shared" si="201"/>
        <v>NGM-2560</v>
      </c>
      <c r="M2424" t="str">
        <f t="shared" si="201"/>
        <v>20000323</v>
      </c>
      <c r="N2424" t="str">
        <f t="shared" si="201"/>
        <v>メタルスラッグ 3</v>
      </c>
      <c r="O2424" t="str">
        <f t="shared" si="201"/>
        <v/>
      </c>
      <c r="P2424" t="str">
        <f t="shared" si="201"/>
        <v/>
      </c>
      <c r="T2424" t="str">
        <f t="shared" si="199"/>
        <v/>
      </c>
      <c r="V2424" t="str">
        <f t="shared" si="200"/>
        <v>MVS</v>
      </c>
      <c r="W2424" t="str">
        <f t="shared" si="200"/>
        <v>MVS,AES</v>
      </c>
      <c r="AG2424" t="s">
        <v>6</v>
      </c>
      <c r="AH2424" t="s">
        <v>982</v>
      </c>
      <c r="AI2424" t="s">
        <v>4</v>
      </c>
      <c r="AJ2424" t="s">
        <v>57</v>
      </c>
      <c r="AK2424" t="s">
        <v>981</v>
      </c>
      <c r="AL2424" t="s">
        <v>980</v>
      </c>
    </row>
    <row r="2425" spans="5:44" x14ac:dyDescent="0.25">
      <c r="I2425" t="str">
        <f t="shared" si="197"/>
        <v>mslug3</v>
      </c>
      <c r="J2425" t="str">
        <f t="shared" si="198"/>
        <v/>
      </c>
      <c r="L2425" t="str">
        <f t="shared" si="201"/>
        <v>NGM-2560</v>
      </c>
      <c r="M2425" t="str">
        <f t="shared" si="201"/>
        <v>20000323</v>
      </c>
      <c r="N2425" t="str">
        <f t="shared" si="201"/>
        <v>メタルスラッグ 3</v>
      </c>
      <c r="O2425" t="str">
        <f t="shared" si="201"/>
        <v/>
      </c>
      <c r="P2425" t="str">
        <f t="shared" si="201"/>
        <v/>
      </c>
      <c r="T2425" t="str">
        <f t="shared" si="199"/>
        <v/>
      </c>
      <c r="V2425" t="str">
        <f t="shared" si="200"/>
        <v>MVS</v>
      </c>
      <c r="W2425" t="str">
        <f t="shared" si="200"/>
        <v>MVS,AES</v>
      </c>
      <c r="AG2425" t="s">
        <v>6</v>
      </c>
      <c r="AH2425" t="s">
        <v>979</v>
      </c>
      <c r="AI2425" t="s">
        <v>65</v>
      </c>
      <c r="AJ2425" t="s">
        <v>57</v>
      </c>
      <c r="AK2425" t="s">
        <v>978</v>
      </c>
      <c r="AL2425" t="s">
        <v>977</v>
      </c>
    </row>
    <row r="2426" spans="5:44" x14ac:dyDescent="0.25">
      <c r="I2426" t="str">
        <f t="shared" si="197"/>
        <v>mslug3</v>
      </c>
      <c r="J2426" t="str">
        <f t="shared" si="198"/>
        <v/>
      </c>
      <c r="L2426" t="str">
        <f t="shared" si="201"/>
        <v>NGM-2560</v>
      </c>
      <c r="M2426" t="str">
        <f t="shared" si="201"/>
        <v>20000323</v>
      </c>
      <c r="N2426" t="str">
        <f t="shared" si="201"/>
        <v>メタルスラッグ 3</v>
      </c>
      <c r="O2426" t="str">
        <f t="shared" si="201"/>
        <v/>
      </c>
      <c r="P2426" t="str">
        <f t="shared" si="201"/>
        <v/>
      </c>
      <c r="T2426" t="str">
        <f t="shared" si="199"/>
        <v/>
      </c>
      <c r="V2426" t="str">
        <f t="shared" si="200"/>
        <v>MVS</v>
      </c>
      <c r="W2426" t="str">
        <f t="shared" si="200"/>
        <v>MVS,AES</v>
      </c>
      <c r="AG2426" t="s">
        <v>6</v>
      </c>
      <c r="AH2426" t="s">
        <v>976</v>
      </c>
      <c r="AI2426" t="s">
        <v>164</v>
      </c>
      <c r="AJ2426" t="s">
        <v>57</v>
      </c>
      <c r="AK2426" t="s">
        <v>975</v>
      </c>
      <c r="AL2426" t="s">
        <v>974</v>
      </c>
    </row>
    <row r="2427" spans="5:44" x14ac:dyDescent="0.25">
      <c r="I2427" t="str">
        <f t="shared" si="197"/>
        <v>mslug3</v>
      </c>
      <c r="J2427" t="str">
        <f t="shared" si="198"/>
        <v/>
      </c>
      <c r="L2427" t="str">
        <f t="shared" si="201"/>
        <v>NGM-2560</v>
      </c>
      <c r="M2427" t="str">
        <f t="shared" si="201"/>
        <v>20000323</v>
      </c>
      <c r="N2427" t="str">
        <f t="shared" si="201"/>
        <v>メタルスラッグ 3</v>
      </c>
      <c r="O2427" t="str">
        <f t="shared" si="201"/>
        <v/>
      </c>
      <c r="P2427" t="str">
        <f t="shared" si="201"/>
        <v/>
      </c>
      <c r="T2427" t="str">
        <f t="shared" si="199"/>
        <v/>
      </c>
      <c r="V2427" t="str">
        <f t="shared" si="200"/>
        <v>MVS</v>
      </c>
      <c r="W2427" t="str">
        <f t="shared" si="200"/>
        <v>MVS,AES</v>
      </c>
      <c r="AG2427" t="s">
        <v>6</v>
      </c>
      <c r="AH2427" t="s">
        <v>973</v>
      </c>
      <c r="AI2427" t="s">
        <v>160</v>
      </c>
      <c r="AJ2427" t="s">
        <v>57</v>
      </c>
      <c r="AK2427" t="s">
        <v>972</v>
      </c>
      <c r="AL2427" t="s">
        <v>971</v>
      </c>
    </row>
    <row r="2428" spans="5:44" x14ac:dyDescent="0.25">
      <c r="I2428" t="str">
        <f t="shared" si="197"/>
        <v>mslug3</v>
      </c>
      <c r="J2428" t="str">
        <f t="shared" si="198"/>
        <v/>
      </c>
      <c r="L2428" t="str">
        <f t="shared" si="201"/>
        <v>NGM-2560</v>
      </c>
      <c r="M2428" t="str">
        <f t="shared" si="201"/>
        <v>20000323</v>
      </c>
      <c r="N2428" t="str">
        <f t="shared" si="201"/>
        <v>メタルスラッグ 3</v>
      </c>
      <c r="O2428" t="str">
        <f t="shared" si="201"/>
        <v/>
      </c>
      <c r="P2428" t="str">
        <f t="shared" si="201"/>
        <v/>
      </c>
      <c r="T2428" t="str">
        <f t="shared" si="199"/>
        <v/>
      </c>
      <c r="V2428" t="str">
        <f t="shared" si="200"/>
        <v>MVS</v>
      </c>
      <c r="W2428" t="str">
        <f t="shared" si="200"/>
        <v>MVS,AES</v>
      </c>
      <c r="AG2428" t="s">
        <v>6</v>
      </c>
      <c r="AH2428" t="s">
        <v>970</v>
      </c>
      <c r="AI2428" t="s">
        <v>156</v>
      </c>
      <c r="AJ2428" t="s">
        <v>57</v>
      </c>
      <c r="AK2428" t="s">
        <v>969</v>
      </c>
      <c r="AL2428" t="s">
        <v>968</v>
      </c>
    </row>
    <row r="2429" spans="5:44" x14ac:dyDescent="0.25">
      <c r="I2429" t="str">
        <f t="shared" si="197"/>
        <v>mslug3</v>
      </c>
      <c r="J2429" t="str">
        <f t="shared" si="198"/>
        <v/>
      </c>
      <c r="L2429" t="str">
        <f t="shared" si="201"/>
        <v>NGM-2560</v>
      </c>
      <c r="M2429" t="str">
        <f t="shared" si="201"/>
        <v>20000323</v>
      </c>
      <c r="N2429" t="str">
        <f t="shared" si="201"/>
        <v>メタルスラッグ 3</v>
      </c>
      <c r="O2429" t="str">
        <f t="shared" si="201"/>
        <v/>
      </c>
      <c r="P2429" t="str">
        <f t="shared" si="201"/>
        <v/>
      </c>
      <c r="T2429" t="str">
        <f t="shared" si="199"/>
        <v/>
      </c>
      <c r="V2429" t="str">
        <f t="shared" si="200"/>
        <v>MVS</v>
      </c>
      <c r="W2429" t="str">
        <f t="shared" si="200"/>
        <v>MVS,AES</v>
      </c>
      <c r="AG2429" t="s">
        <v>6</v>
      </c>
      <c r="AH2429" t="s">
        <v>967</v>
      </c>
      <c r="AI2429" t="s">
        <v>152</v>
      </c>
      <c r="AJ2429" t="s">
        <v>57</v>
      </c>
      <c r="AK2429" t="s">
        <v>966</v>
      </c>
      <c r="AL2429" t="s">
        <v>965</v>
      </c>
    </row>
    <row r="2430" spans="5:44" x14ac:dyDescent="0.25">
      <c r="I2430" t="str">
        <f t="shared" si="197"/>
        <v>mslug3</v>
      </c>
      <c r="J2430" t="str">
        <f t="shared" si="198"/>
        <v/>
      </c>
      <c r="L2430" t="str">
        <f t="shared" si="201"/>
        <v>NGM-2560</v>
      </c>
      <c r="M2430" t="str">
        <f t="shared" si="201"/>
        <v>20000323</v>
      </c>
      <c r="N2430" t="str">
        <f t="shared" si="201"/>
        <v>メタルスラッグ 3</v>
      </c>
      <c r="O2430" t="str">
        <f t="shared" si="201"/>
        <v/>
      </c>
      <c r="P2430" t="str">
        <f t="shared" si="201"/>
        <v/>
      </c>
      <c r="T2430" t="str">
        <f t="shared" si="199"/>
        <v/>
      </c>
      <c r="V2430" t="str">
        <f t="shared" si="200"/>
        <v>MVS</v>
      </c>
      <c r="W2430" t="str">
        <f t="shared" si="200"/>
        <v>MVS,AES</v>
      </c>
      <c r="AG2430" t="s">
        <v>6</v>
      </c>
      <c r="AH2430" t="s">
        <v>964</v>
      </c>
      <c r="AI2430" t="s">
        <v>148</v>
      </c>
      <c r="AJ2430" t="s">
        <v>57</v>
      </c>
      <c r="AK2430" t="s">
        <v>963</v>
      </c>
      <c r="AL2430" t="s">
        <v>962</v>
      </c>
    </row>
    <row r="2431" spans="5:44" x14ac:dyDescent="0.25">
      <c r="E2431" t="s">
        <v>1952</v>
      </c>
      <c r="F2431" t="s">
        <v>1951</v>
      </c>
      <c r="G2431" t="s">
        <v>113</v>
      </c>
      <c r="H2431" t="s">
        <v>1912</v>
      </c>
      <c r="I2431" t="str">
        <f t="shared" si="197"/>
        <v>mslug3a</v>
      </c>
      <c r="J2431" t="str">
        <f t="shared" si="198"/>
        <v>mslug3aserial</v>
      </c>
      <c r="K2431" t="s">
        <v>1373</v>
      </c>
      <c r="L2431" t="str">
        <f t="shared" si="201"/>
        <v>NGM-2560</v>
      </c>
      <c r="M2431" t="str">
        <f t="shared" si="201"/>
        <v>20000323</v>
      </c>
      <c r="N2431" t="str">
        <f t="shared" si="201"/>
        <v>メタルスラッグ 3</v>
      </c>
      <c r="O2431" t="str">
        <f t="shared" si="201"/>
        <v/>
      </c>
      <c r="P2431" t="str">
        <f t="shared" si="201"/>
        <v/>
      </c>
      <c r="Q2431" t="s">
        <v>1950</v>
      </c>
      <c r="S2431" t="s">
        <v>46</v>
      </c>
      <c r="T2431" t="str">
        <f t="shared" si="199"/>
        <v>mslug3arelease</v>
      </c>
      <c r="U2431" t="s">
        <v>106</v>
      </c>
      <c r="V2431" t="str">
        <f t="shared" si="200"/>
        <v>MVS</v>
      </c>
      <c r="W2431" t="str">
        <f t="shared" si="200"/>
        <v>MVS,AES</v>
      </c>
      <c r="Y2431" t="s">
        <v>45</v>
      </c>
      <c r="Z2431" t="s">
        <v>44</v>
      </c>
      <c r="AB2431" t="s">
        <v>43</v>
      </c>
      <c r="AC2431" t="s">
        <v>42</v>
      </c>
      <c r="AD2431" t="s">
        <v>41</v>
      </c>
      <c r="AE2431" t="s">
        <v>704</v>
      </c>
      <c r="AG2431" t="s">
        <v>40</v>
      </c>
      <c r="AH2431" t="s">
        <v>1949</v>
      </c>
      <c r="AI2431" t="s">
        <v>1924</v>
      </c>
      <c r="AJ2431" t="s">
        <v>33</v>
      </c>
      <c r="AK2431" t="s">
        <v>1948</v>
      </c>
      <c r="AL2431" t="s">
        <v>1947</v>
      </c>
      <c r="AP2431" t="s">
        <v>138</v>
      </c>
      <c r="AQ2431" t="s">
        <v>1946</v>
      </c>
      <c r="AR2431" t="s">
        <v>1007</v>
      </c>
    </row>
    <row r="2432" spans="5:44" x14ac:dyDescent="0.25">
      <c r="I2432" t="str">
        <f t="shared" si="197"/>
        <v>mslug3a</v>
      </c>
      <c r="J2432" t="str">
        <f t="shared" si="198"/>
        <v>mslug3arelease</v>
      </c>
      <c r="K2432" t="s">
        <v>46</v>
      </c>
      <c r="L2432" t="str">
        <f t="shared" si="201"/>
        <v>NGM-2560</v>
      </c>
      <c r="M2432" t="str">
        <f t="shared" si="201"/>
        <v>20000323</v>
      </c>
      <c r="N2432" t="str">
        <f t="shared" si="201"/>
        <v>メタルスラッグ 3</v>
      </c>
      <c r="O2432" t="str">
        <f t="shared" si="201"/>
        <v/>
      </c>
      <c r="P2432" t="str">
        <f t="shared" si="201"/>
        <v/>
      </c>
      <c r="Q2432" t="s">
        <v>1945</v>
      </c>
      <c r="T2432" t="str">
        <f t="shared" si="199"/>
        <v/>
      </c>
      <c r="V2432" t="str">
        <f t="shared" si="200"/>
        <v>MVS</v>
      </c>
      <c r="W2432" t="str">
        <f t="shared" si="200"/>
        <v>MVS,AES</v>
      </c>
      <c r="AG2432" t="s">
        <v>40</v>
      </c>
      <c r="AH2432" t="s">
        <v>1944</v>
      </c>
      <c r="AI2432" t="s">
        <v>15</v>
      </c>
      <c r="AJ2432" t="s">
        <v>11</v>
      </c>
      <c r="AK2432" t="s">
        <v>1943</v>
      </c>
      <c r="AL2432" t="s">
        <v>1942</v>
      </c>
    </row>
    <row r="2433" spans="5:44" x14ac:dyDescent="0.25">
      <c r="I2433" t="str">
        <f t="shared" si="197"/>
        <v>mslug3a</v>
      </c>
      <c r="J2433" t="str">
        <f t="shared" si="198"/>
        <v>mslug3aalt_title</v>
      </c>
      <c r="K2433" t="s">
        <v>1218</v>
      </c>
      <c r="L2433" t="str">
        <f t="shared" si="201"/>
        <v>NGM-2560</v>
      </c>
      <c r="M2433" t="str">
        <f t="shared" si="201"/>
        <v>20000323</v>
      </c>
      <c r="N2433" t="str">
        <f t="shared" si="201"/>
        <v>メタルスラッグ 3</v>
      </c>
      <c r="O2433" t="str">
        <f t="shared" si="201"/>
        <v/>
      </c>
      <c r="P2433" t="str">
        <f t="shared" si="201"/>
        <v/>
      </c>
      <c r="Q2433" t="s">
        <v>1927</v>
      </c>
      <c r="T2433" t="str">
        <f t="shared" si="199"/>
        <v/>
      </c>
      <c r="V2433" t="str">
        <f t="shared" si="200"/>
        <v>MVS</v>
      </c>
      <c r="W2433" t="str">
        <f t="shared" si="200"/>
        <v>MVS,AES</v>
      </c>
      <c r="AG2433" t="s">
        <v>40</v>
      </c>
      <c r="AH2433" t="s">
        <v>1941</v>
      </c>
      <c r="AI2433" t="s">
        <v>23</v>
      </c>
      <c r="AJ2433" t="s">
        <v>11</v>
      </c>
      <c r="AK2433" t="s">
        <v>1940</v>
      </c>
      <c r="AL2433" t="s">
        <v>1939</v>
      </c>
    </row>
    <row r="2434" spans="5:44" x14ac:dyDescent="0.25">
      <c r="I2434" t="str">
        <f t="shared" si="197"/>
        <v>mslug3a</v>
      </c>
      <c r="J2434" t="str">
        <f t="shared" si="198"/>
        <v/>
      </c>
      <c r="L2434" t="str">
        <f t="shared" si="201"/>
        <v>NGM-2560</v>
      </c>
      <c r="M2434" t="str">
        <f t="shared" si="201"/>
        <v>20000323</v>
      </c>
      <c r="N2434" t="str">
        <f t="shared" si="201"/>
        <v>メタルスラッグ 3</v>
      </c>
      <c r="O2434" t="str">
        <f t="shared" si="201"/>
        <v/>
      </c>
      <c r="P2434" t="str">
        <f t="shared" si="201"/>
        <v/>
      </c>
      <c r="S2434" t="s">
        <v>36</v>
      </c>
      <c r="T2434" t="str">
        <f t="shared" si="199"/>
        <v>mslug3acompatibility</v>
      </c>
      <c r="U2434" t="s">
        <v>218</v>
      </c>
      <c r="V2434" t="str">
        <f t="shared" si="200"/>
        <v>MVS</v>
      </c>
      <c r="W2434" t="str">
        <f t="shared" si="200"/>
        <v>MVS,AES</v>
      </c>
      <c r="AB2434" t="s">
        <v>34</v>
      </c>
      <c r="AE2434" t="s">
        <v>480</v>
      </c>
      <c r="AG2434" t="s">
        <v>538</v>
      </c>
      <c r="AI2434" t="s">
        <v>9</v>
      </c>
      <c r="AJ2434" t="s">
        <v>480</v>
      </c>
      <c r="AN2434" t="s">
        <v>537</v>
      </c>
    </row>
    <row r="2435" spans="5:44" x14ac:dyDescent="0.25">
      <c r="I2435" t="str">
        <f t="shared" ref="I2435:I2498" si="202">IF(E2435="",I2434,E2435)</f>
        <v>mslug3a</v>
      </c>
      <c r="J2435" t="str">
        <f t="shared" ref="J2435:J2498" si="203">IF(K2435="","",I2435&amp;K2435)</f>
        <v/>
      </c>
      <c r="L2435" t="str">
        <f t="shared" si="201"/>
        <v>NGM-2560</v>
      </c>
      <c r="M2435" t="str">
        <f t="shared" si="201"/>
        <v>20000323</v>
      </c>
      <c r="N2435" t="str">
        <f t="shared" si="201"/>
        <v>メタルスラッグ 3</v>
      </c>
      <c r="O2435" t="str">
        <f t="shared" si="201"/>
        <v/>
      </c>
      <c r="P2435" t="str">
        <f t="shared" si="201"/>
        <v/>
      </c>
      <c r="T2435" t="str">
        <f t="shared" ref="T2435:T2498" si="204">IF(S2435="","",I2435&amp;S2435)</f>
        <v/>
      </c>
      <c r="V2435" t="str">
        <f t="shared" si="200"/>
        <v>MVS</v>
      </c>
      <c r="W2435" t="str">
        <f t="shared" si="200"/>
        <v>MVS,AES</v>
      </c>
      <c r="AB2435" t="s">
        <v>29</v>
      </c>
      <c r="AE2435" t="s">
        <v>92</v>
      </c>
      <c r="AH2435" t="s">
        <v>1000</v>
      </c>
      <c r="AI2435" t="s">
        <v>9</v>
      </c>
      <c r="AJ2435" t="s">
        <v>92</v>
      </c>
      <c r="AK2435" t="s">
        <v>999</v>
      </c>
      <c r="AL2435" t="s">
        <v>998</v>
      </c>
    </row>
    <row r="2436" spans="5:44" x14ac:dyDescent="0.25">
      <c r="I2436" t="str">
        <f t="shared" si="202"/>
        <v>mslug3a</v>
      </c>
      <c r="J2436" t="str">
        <f t="shared" si="203"/>
        <v/>
      </c>
      <c r="L2436" t="str">
        <f t="shared" si="201"/>
        <v>NGM-2560</v>
      </c>
      <c r="M2436" t="str">
        <f t="shared" si="201"/>
        <v>20000323</v>
      </c>
      <c r="N2436" t="str">
        <f t="shared" si="201"/>
        <v>メタルスラッグ 3</v>
      </c>
      <c r="O2436" t="str">
        <f t="shared" si="201"/>
        <v/>
      </c>
      <c r="P2436" t="str">
        <f t="shared" si="201"/>
        <v/>
      </c>
      <c r="T2436" t="str">
        <f t="shared" si="204"/>
        <v/>
      </c>
      <c r="V2436" t="str">
        <f t="shared" si="200"/>
        <v>MVS</v>
      </c>
      <c r="W2436" t="str">
        <f t="shared" si="200"/>
        <v>MVS,AES</v>
      </c>
      <c r="AB2436" t="s">
        <v>24</v>
      </c>
      <c r="AE2436" t="s">
        <v>65</v>
      </c>
      <c r="AH2436" t="s">
        <v>997</v>
      </c>
      <c r="AI2436" t="s">
        <v>9</v>
      </c>
      <c r="AJ2436" t="s">
        <v>11</v>
      </c>
      <c r="AK2436" t="s">
        <v>996</v>
      </c>
      <c r="AL2436" t="s">
        <v>995</v>
      </c>
    </row>
    <row r="2437" spans="5:44" x14ac:dyDescent="0.25">
      <c r="I2437" t="str">
        <f t="shared" si="202"/>
        <v>mslug3a</v>
      </c>
      <c r="J2437" t="str">
        <f t="shared" si="203"/>
        <v/>
      </c>
      <c r="L2437" t="str">
        <f t="shared" si="201"/>
        <v>NGM-2560</v>
      </c>
      <c r="M2437" t="str">
        <f t="shared" si="201"/>
        <v>20000323</v>
      </c>
      <c r="N2437" t="str">
        <f t="shared" si="201"/>
        <v>メタルスラッグ 3</v>
      </c>
      <c r="O2437" t="str">
        <f t="shared" si="201"/>
        <v/>
      </c>
      <c r="P2437" t="str">
        <f t="shared" si="201"/>
        <v/>
      </c>
      <c r="T2437" t="str">
        <f t="shared" si="204"/>
        <v/>
      </c>
      <c r="V2437" t="str">
        <f t="shared" si="200"/>
        <v>MVS</v>
      </c>
      <c r="W2437" t="str">
        <f t="shared" si="200"/>
        <v>MVS,AES</v>
      </c>
      <c r="AH2437" t="s">
        <v>994</v>
      </c>
      <c r="AI2437" t="s">
        <v>11</v>
      </c>
      <c r="AJ2437" t="s">
        <v>11</v>
      </c>
      <c r="AK2437" t="s">
        <v>993</v>
      </c>
      <c r="AL2437" t="s">
        <v>992</v>
      </c>
    </row>
    <row r="2438" spans="5:44" x14ac:dyDescent="0.25">
      <c r="I2438" t="str">
        <f t="shared" si="202"/>
        <v>mslug3a</v>
      </c>
      <c r="J2438" t="str">
        <f t="shared" si="203"/>
        <v/>
      </c>
      <c r="L2438" t="str">
        <f t="shared" si="201"/>
        <v>NGM-2560</v>
      </c>
      <c r="M2438" t="str">
        <f t="shared" si="201"/>
        <v>20000323</v>
      </c>
      <c r="N2438" t="str">
        <f t="shared" si="201"/>
        <v>メタルスラッグ 3</v>
      </c>
      <c r="O2438" t="str">
        <f t="shared" si="201"/>
        <v/>
      </c>
      <c r="P2438" t="str">
        <f t="shared" si="201"/>
        <v/>
      </c>
      <c r="T2438" t="str">
        <f t="shared" si="204"/>
        <v/>
      </c>
      <c r="V2438" t="str">
        <f t="shared" si="200"/>
        <v>MVS</v>
      </c>
      <c r="W2438" t="str">
        <f t="shared" si="200"/>
        <v>MVS,AES</v>
      </c>
      <c r="AH2438" t="s">
        <v>991</v>
      </c>
      <c r="AI2438" t="s">
        <v>57</v>
      </c>
      <c r="AJ2438" t="s">
        <v>11</v>
      </c>
      <c r="AK2438" t="s">
        <v>990</v>
      </c>
      <c r="AL2438" t="s">
        <v>989</v>
      </c>
    </row>
    <row r="2439" spans="5:44" x14ac:dyDescent="0.25">
      <c r="I2439" t="str">
        <f t="shared" si="202"/>
        <v>mslug3a</v>
      </c>
      <c r="J2439" t="str">
        <f t="shared" si="203"/>
        <v/>
      </c>
      <c r="L2439" t="str">
        <f t="shared" si="201"/>
        <v>NGM-2560</v>
      </c>
      <c r="M2439" t="str">
        <f t="shared" si="201"/>
        <v>20000323</v>
      </c>
      <c r="N2439" t="str">
        <f t="shared" si="201"/>
        <v>メタルスラッグ 3</v>
      </c>
      <c r="O2439" t="str">
        <f t="shared" si="201"/>
        <v/>
      </c>
      <c r="P2439" t="str">
        <f t="shared" si="201"/>
        <v/>
      </c>
      <c r="T2439" t="str">
        <f t="shared" si="204"/>
        <v/>
      </c>
      <c r="V2439" t="str">
        <f t="shared" si="200"/>
        <v>MVS</v>
      </c>
      <c r="W2439" t="str">
        <f t="shared" si="200"/>
        <v>MVS,AES</v>
      </c>
      <c r="AH2439" t="s">
        <v>988</v>
      </c>
      <c r="AI2439" t="s">
        <v>250</v>
      </c>
      <c r="AJ2439" t="s">
        <v>11</v>
      </c>
      <c r="AK2439" t="s">
        <v>987</v>
      </c>
      <c r="AL2439" t="s">
        <v>986</v>
      </c>
    </row>
    <row r="2440" spans="5:44" x14ac:dyDescent="0.25">
      <c r="I2440" t="str">
        <f t="shared" si="202"/>
        <v>mslug3a</v>
      </c>
      <c r="J2440" t="str">
        <f t="shared" si="203"/>
        <v/>
      </c>
      <c r="L2440" t="str">
        <f t="shared" si="201"/>
        <v>NGM-2560</v>
      </c>
      <c r="M2440" t="str">
        <f t="shared" si="201"/>
        <v>20000323</v>
      </c>
      <c r="N2440" t="str">
        <f t="shared" si="201"/>
        <v>メタルスラッグ 3</v>
      </c>
      <c r="O2440" t="str">
        <f t="shared" si="201"/>
        <v/>
      </c>
      <c r="P2440" t="str">
        <f t="shared" si="201"/>
        <v/>
      </c>
      <c r="T2440" t="str">
        <f t="shared" si="204"/>
        <v/>
      </c>
      <c r="V2440" t="str">
        <f t="shared" si="200"/>
        <v>MVS</v>
      </c>
      <c r="W2440" t="str">
        <f t="shared" si="200"/>
        <v>MVS,AES</v>
      </c>
      <c r="AB2440" t="s">
        <v>12</v>
      </c>
      <c r="AE2440" t="s">
        <v>175</v>
      </c>
      <c r="AG2440" t="s">
        <v>6</v>
      </c>
      <c r="AH2440" t="s">
        <v>985</v>
      </c>
      <c r="AI2440" t="s">
        <v>9</v>
      </c>
      <c r="AJ2440" t="s">
        <v>57</v>
      </c>
      <c r="AK2440" t="s">
        <v>984</v>
      </c>
      <c r="AL2440" t="s">
        <v>983</v>
      </c>
    </row>
    <row r="2441" spans="5:44" x14ac:dyDescent="0.25">
      <c r="I2441" t="str">
        <f t="shared" si="202"/>
        <v>mslug3a</v>
      </c>
      <c r="J2441" t="str">
        <f t="shared" si="203"/>
        <v/>
      </c>
      <c r="L2441" t="str">
        <f t="shared" si="201"/>
        <v>NGM-2560</v>
      </c>
      <c r="M2441" t="str">
        <f t="shared" si="201"/>
        <v>20000323</v>
      </c>
      <c r="N2441" t="str">
        <f t="shared" si="201"/>
        <v>メタルスラッグ 3</v>
      </c>
      <c r="O2441" t="str">
        <f t="shared" si="201"/>
        <v/>
      </c>
      <c r="P2441" t="str">
        <f t="shared" si="201"/>
        <v/>
      </c>
      <c r="T2441" t="str">
        <f t="shared" si="204"/>
        <v/>
      </c>
      <c r="V2441" t="str">
        <f t="shared" si="200"/>
        <v>MVS</v>
      </c>
      <c r="W2441" t="str">
        <f t="shared" si="200"/>
        <v>MVS,AES</v>
      </c>
      <c r="AG2441" t="s">
        <v>6</v>
      </c>
      <c r="AH2441" t="s">
        <v>982</v>
      </c>
      <c r="AI2441" t="s">
        <v>4</v>
      </c>
      <c r="AJ2441" t="s">
        <v>57</v>
      </c>
      <c r="AK2441" t="s">
        <v>981</v>
      </c>
      <c r="AL2441" t="s">
        <v>980</v>
      </c>
    </row>
    <row r="2442" spans="5:44" x14ac:dyDescent="0.25">
      <c r="I2442" t="str">
        <f t="shared" si="202"/>
        <v>mslug3a</v>
      </c>
      <c r="J2442" t="str">
        <f t="shared" si="203"/>
        <v/>
      </c>
      <c r="L2442" t="str">
        <f t="shared" si="201"/>
        <v>NGM-2560</v>
      </c>
      <c r="M2442" t="str">
        <f t="shared" si="201"/>
        <v>20000323</v>
      </c>
      <c r="N2442" t="str">
        <f t="shared" si="201"/>
        <v>メタルスラッグ 3</v>
      </c>
      <c r="O2442" t="str">
        <f t="shared" si="201"/>
        <v/>
      </c>
      <c r="P2442" t="str">
        <f t="shared" si="201"/>
        <v/>
      </c>
      <c r="T2442" t="str">
        <f t="shared" si="204"/>
        <v/>
      </c>
      <c r="V2442" t="str">
        <f t="shared" si="200"/>
        <v>MVS</v>
      </c>
      <c r="W2442" t="str">
        <f t="shared" si="200"/>
        <v>MVS,AES</v>
      </c>
      <c r="AG2442" t="s">
        <v>6</v>
      </c>
      <c r="AH2442" t="s">
        <v>979</v>
      </c>
      <c r="AI2442" t="s">
        <v>65</v>
      </c>
      <c r="AJ2442" t="s">
        <v>57</v>
      </c>
      <c r="AK2442" t="s">
        <v>978</v>
      </c>
      <c r="AL2442" t="s">
        <v>977</v>
      </c>
    </row>
    <row r="2443" spans="5:44" x14ac:dyDescent="0.25">
      <c r="I2443" t="str">
        <f t="shared" si="202"/>
        <v>mslug3a</v>
      </c>
      <c r="J2443" t="str">
        <f t="shared" si="203"/>
        <v/>
      </c>
      <c r="L2443" t="str">
        <f t="shared" si="201"/>
        <v>NGM-2560</v>
      </c>
      <c r="M2443" t="str">
        <f t="shared" si="201"/>
        <v>20000323</v>
      </c>
      <c r="N2443" t="str">
        <f t="shared" si="201"/>
        <v>メタルスラッグ 3</v>
      </c>
      <c r="O2443" t="str">
        <f t="shared" si="201"/>
        <v/>
      </c>
      <c r="P2443" t="str">
        <f t="shared" si="201"/>
        <v/>
      </c>
      <c r="T2443" t="str">
        <f t="shared" si="204"/>
        <v/>
      </c>
      <c r="V2443" t="str">
        <f t="shared" si="200"/>
        <v>MVS</v>
      </c>
      <c r="W2443" t="str">
        <f t="shared" si="200"/>
        <v>MVS,AES</v>
      </c>
      <c r="AG2443" t="s">
        <v>6</v>
      </c>
      <c r="AH2443" t="s">
        <v>976</v>
      </c>
      <c r="AI2443" t="s">
        <v>164</v>
      </c>
      <c r="AJ2443" t="s">
        <v>57</v>
      </c>
      <c r="AK2443" t="s">
        <v>975</v>
      </c>
      <c r="AL2443" t="s">
        <v>974</v>
      </c>
    </row>
    <row r="2444" spans="5:44" x14ac:dyDescent="0.25">
      <c r="I2444" t="str">
        <f t="shared" si="202"/>
        <v>mslug3a</v>
      </c>
      <c r="J2444" t="str">
        <f t="shared" si="203"/>
        <v/>
      </c>
      <c r="L2444" t="str">
        <f t="shared" si="201"/>
        <v>NGM-2560</v>
      </c>
      <c r="M2444" t="str">
        <f t="shared" si="201"/>
        <v>20000323</v>
      </c>
      <c r="N2444" t="str">
        <f t="shared" si="201"/>
        <v>メタルスラッグ 3</v>
      </c>
      <c r="O2444" t="str">
        <f t="shared" si="201"/>
        <v/>
      </c>
      <c r="P2444" t="str">
        <f t="shared" si="201"/>
        <v/>
      </c>
      <c r="T2444" t="str">
        <f t="shared" si="204"/>
        <v/>
      </c>
      <c r="V2444" t="str">
        <f t="shared" si="200"/>
        <v>MVS</v>
      </c>
      <c r="W2444" t="str">
        <f t="shared" si="200"/>
        <v>MVS,AES</v>
      </c>
      <c r="AG2444" t="s">
        <v>6</v>
      </c>
      <c r="AH2444" t="s">
        <v>973</v>
      </c>
      <c r="AI2444" t="s">
        <v>160</v>
      </c>
      <c r="AJ2444" t="s">
        <v>57</v>
      </c>
      <c r="AK2444" t="s">
        <v>972</v>
      </c>
      <c r="AL2444" t="s">
        <v>971</v>
      </c>
    </row>
    <row r="2445" spans="5:44" x14ac:dyDescent="0.25">
      <c r="I2445" t="str">
        <f t="shared" si="202"/>
        <v>mslug3a</v>
      </c>
      <c r="J2445" t="str">
        <f t="shared" si="203"/>
        <v/>
      </c>
      <c r="L2445" t="str">
        <f t="shared" si="201"/>
        <v>NGM-2560</v>
      </c>
      <c r="M2445" t="str">
        <f t="shared" si="201"/>
        <v>20000323</v>
      </c>
      <c r="N2445" t="str">
        <f t="shared" si="201"/>
        <v>メタルスラッグ 3</v>
      </c>
      <c r="O2445" t="str">
        <f t="shared" si="201"/>
        <v/>
      </c>
      <c r="P2445" t="str">
        <f t="shared" si="201"/>
        <v/>
      </c>
      <c r="T2445" t="str">
        <f t="shared" si="204"/>
        <v/>
      </c>
      <c r="V2445" t="str">
        <f t="shared" si="200"/>
        <v>MVS</v>
      </c>
      <c r="W2445" t="str">
        <f t="shared" si="200"/>
        <v>MVS,AES</v>
      </c>
      <c r="AG2445" t="s">
        <v>6</v>
      </c>
      <c r="AH2445" t="s">
        <v>970</v>
      </c>
      <c r="AI2445" t="s">
        <v>156</v>
      </c>
      <c r="AJ2445" t="s">
        <v>57</v>
      </c>
      <c r="AK2445" t="s">
        <v>969</v>
      </c>
      <c r="AL2445" t="s">
        <v>968</v>
      </c>
    </row>
    <row r="2446" spans="5:44" x14ac:dyDescent="0.25">
      <c r="I2446" t="str">
        <f t="shared" si="202"/>
        <v>mslug3a</v>
      </c>
      <c r="J2446" t="str">
        <f t="shared" si="203"/>
        <v/>
      </c>
      <c r="L2446" t="str">
        <f t="shared" si="201"/>
        <v>NGM-2560</v>
      </c>
      <c r="M2446" t="str">
        <f t="shared" si="201"/>
        <v>20000323</v>
      </c>
      <c r="N2446" t="str">
        <f t="shared" si="201"/>
        <v>メタルスラッグ 3</v>
      </c>
      <c r="O2446" t="str">
        <f t="shared" si="201"/>
        <v/>
      </c>
      <c r="P2446" t="str">
        <f t="shared" si="201"/>
        <v/>
      </c>
      <c r="T2446" t="str">
        <f t="shared" si="204"/>
        <v/>
      </c>
      <c r="V2446" t="str">
        <f t="shared" si="200"/>
        <v>MVS</v>
      </c>
      <c r="W2446" t="str">
        <f t="shared" si="200"/>
        <v>MVS,AES</v>
      </c>
      <c r="AG2446" t="s">
        <v>6</v>
      </c>
      <c r="AH2446" t="s">
        <v>967</v>
      </c>
      <c r="AI2446" t="s">
        <v>152</v>
      </c>
      <c r="AJ2446" t="s">
        <v>57</v>
      </c>
      <c r="AK2446" t="s">
        <v>966</v>
      </c>
      <c r="AL2446" t="s">
        <v>965</v>
      </c>
    </row>
    <row r="2447" spans="5:44" x14ac:dyDescent="0.25">
      <c r="I2447" t="str">
        <f t="shared" si="202"/>
        <v>mslug3a</v>
      </c>
      <c r="J2447" t="str">
        <f t="shared" si="203"/>
        <v/>
      </c>
      <c r="L2447" t="str">
        <f t="shared" si="201"/>
        <v>NGM-2560</v>
      </c>
      <c r="M2447" t="str">
        <f t="shared" si="201"/>
        <v>20000323</v>
      </c>
      <c r="N2447" t="str">
        <f t="shared" si="201"/>
        <v>メタルスラッグ 3</v>
      </c>
      <c r="O2447" t="str">
        <f t="shared" si="201"/>
        <v/>
      </c>
      <c r="P2447" t="str">
        <f t="shared" si="201"/>
        <v/>
      </c>
      <c r="T2447" t="str">
        <f t="shared" si="204"/>
        <v/>
      </c>
      <c r="V2447" t="str">
        <f t="shared" si="200"/>
        <v>MVS</v>
      </c>
      <c r="W2447" t="str">
        <f t="shared" si="200"/>
        <v>MVS,AES</v>
      </c>
      <c r="AG2447" t="s">
        <v>6</v>
      </c>
      <c r="AH2447" t="s">
        <v>964</v>
      </c>
      <c r="AI2447" t="s">
        <v>148</v>
      </c>
      <c r="AJ2447" t="s">
        <v>57</v>
      </c>
      <c r="AK2447" t="s">
        <v>963</v>
      </c>
      <c r="AL2447" t="s">
        <v>962</v>
      </c>
    </row>
    <row r="2448" spans="5:44" x14ac:dyDescent="0.25">
      <c r="E2448" t="s">
        <v>1938</v>
      </c>
      <c r="F2448" t="s">
        <v>1937</v>
      </c>
      <c r="G2448" t="s">
        <v>113</v>
      </c>
      <c r="H2448" t="s">
        <v>1912</v>
      </c>
      <c r="I2448" t="str">
        <f t="shared" si="202"/>
        <v>mslug3h</v>
      </c>
      <c r="J2448" t="str">
        <f t="shared" si="203"/>
        <v>mslug3hserial</v>
      </c>
      <c r="K2448" t="s">
        <v>1373</v>
      </c>
      <c r="L2448" t="str">
        <f t="shared" si="201"/>
        <v>NGH-2560</v>
      </c>
      <c r="M2448" t="str">
        <f t="shared" si="201"/>
        <v>20000601</v>
      </c>
      <c r="N2448" t="str">
        <f t="shared" si="201"/>
        <v>メタルスラッグ 3</v>
      </c>
      <c r="O2448" t="str">
        <f t="shared" si="201"/>
        <v/>
      </c>
      <c r="P2448" t="str">
        <f t="shared" si="201"/>
        <v/>
      </c>
      <c r="Q2448" t="s">
        <v>1936</v>
      </c>
      <c r="S2448" t="s">
        <v>46</v>
      </c>
      <c r="T2448" t="str">
        <f t="shared" si="204"/>
        <v>mslug3hrelease</v>
      </c>
      <c r="U2448" t="s">
        <v>35</v>
      </c>
      <c r="V2448" t="str">
        <f t="shared" si="200"/>
        <v>AES</v>
      </c>
      <c r="W2448" t="str">
        <f t="shared" si="200"/>
        <v>MVS,AES</v>
      </c>
      <c r="Y2448" t="s">
        <v>45</v>
      </c>
      <c r="Z2448" t="s">
        <v>44</v>
      </c>
      <c r="AB2448" t="s">
        <v>43</v>
      </c>
      <c r="AC2448" t="s">
        <v>42</v>
      </c>
      <c r="AD2448" t="s">
        <v>41</v>
      </c>
      <c r="AE2448" t="s">
        <v>23</v>
      </c>
      <c r="AG2448" t="s">
        <v>40</v>
      </c>
      <c r="AH2448" t="s">
        <v>1935</v>
      </c>
      <c r="AI2448" t="s">
        <v>9</v>
      </c>
      <c r="AJ2448" t="s">
        <v>15</v>
      </c>
      <c r="AK2448" t="s">
        <v>1934</v>
      </c>
      <c r="AL2448" t="s">
        <v>1933</v>
      </c>
      <c r="AP2448" t="s">
        <v>138</v>
      </c>
      <c r="AQ2448" t="s">
        <v>1932</v>
      </c>
      <c r="AR2448" t="s">
        <v>1007</v>
      </c>
    </row>
    <row r="2449" spans="5:43" x14ac:dyDescent="0.25">
      <c r="I2449" t="str">
        <f t="shared" si="202"/>
        <v>mslug3h</v>
      </c>
      <c r="J2449" t="str">
        <f t="shared" si="203"/>
        <v>mslug3hrelease</v>
      </c>
      <c r="K2449" t="s">
        <v>46</v>
      </c>
      <c r="L2449" t="str">
        <f t="shared" si="201"/>
        <v>NGH-2560</v>
      </c>
      <c r="M2449" t="str">
        <f t="shared" si="201"/>
        <v>20000601</v>
      </c>
      <c r="N2449" t="str">
        <f t="shared" si="201"/>
        <v>メタルスラッグ 3</v>
      </c>
      <c r="O2449" t="str">
        <f t="shared" si="201"/>
        <v/>
      </c>
      <c r="P2449" t="str">
        <f t="shared" si="201"/>
        <v/>
      </c>
      <c r="Q2449" t="s">
        <v>1931</v>
      </c>
      <c r="T2449" t="str">
        <f t="shared" si="204"/>
        <v/>
      </c>
      <c r="V2449" t="str">
        <f t="shared" si="200"/>
        <v>AES</v>
      </c>
      <c r="W2449" t="str">
        <f t="shared" si="200"/>
        <v>MVS,AES</v>
      </c>
      <c r="AG2449" t="s">
        <v>40</v>
      </c>
      <c r="AH2449" t="s">
        <v>1930</v>
      </c>
      <c r="AI2449" t="s">
        <v>15</v>
      </c>
      <c r="AJ2449" t="s">
        <v>11</v>
      </c>
      <c r="AK2449" t="s">
        <v>1929</v>
      </c>
      <c r="AL2449" t="s">
        <v>1928</v>
      </c>
    </row>
    <row r="2450" spans="5:43" x14ac:dyDescent="0.25">
      <c r="I2450" t="str">
        <f t="shared" si="202"/>
        <v>mslug3h</v>
      </c>
      <c r="J2450" t="str">
        <f t="shared" si="203"/>
        <v>mslug3halt_title</v>
      </c>
      <c r="K2450" t="s">
        <v>1218</v>
      </c>
      <c r="L2450" t="str">
        <f t="shared" si="201"/>
        <v>NGH-2560</v>
      </c>
      <c r="M2450" t="str">
        <f t="shared" si="201"/>
        <v>20000601</v>
      </c>
      <c r="N2450" t="str">
        <f t="shared" si="201"/>
        <v>メタルスラッグ 3</v>
      </c>
      <c r="O2450" t="str">
        <f t="shared" si="201"/>
        <v/>
      </c>
      <c r="P2450" t="str">
        <f t="shared" si="201"/>
        <v/>
      </c>
      <c r="Q2450" t="s">
        <v>1927</v>
      </c>
      <c r="T2450" t="str">
        <f t="shared" si="204"/>
        <v/>
      </c>
      <c r="V2450" t="str">
        <f t="shared" si="200"/>
        <v>AES</v>
      </c>
      <c r="W2450" t="str">
        <f t="shared" si="200"/>
        <v>MVS,AES</v>
      </c>
      <c r="AB2450" t="s">
        <v>34</v>
      </c>
      <c r="AE2450" t="s">
        <v>480</v>
      </c>
      <c r="AG2450" t="s">
        <v>538</v>
      </c>
      <c r="AI2450" t="s">
        <v>9</v>
      </c>
      <c r="AJ2450" t="s">
        <v>480</v>
      </c>
      <c r="AN2450" t="s">
        <v>537</v>
      </c>
    </row>
    <row r="2451" spans="5:43" x14ac:dyDescent="0.25">
      <c r="I2451" t="str">
        <f t="shared" si="202"/>
        <v>mslug3h</v>
      </c>
      <c r="J2451" t="str">
        <f t="shared" si="203"/>
        <v/>
      </c>
      <c r="L2451" t="str">
        <f t="shared" si="201"/>
        <v>NGH-2560</v>
      </c>
      <c r="M2451" t="str">
        <f t="shared" si="201"/>
        <v>20000601</v>
      </c>
      <c r="N2451" t="str">
        <f t="shared" si="201"/>
        <v>メタルスラッグ 3</v>
      </c>
      <c r="O2451" t="str">
        <f t="shared" si="201"/>
        <v/>
      </c>
      <c r="P2451" t="str">
        <f t="shared" si="201"/>
        <v/>
      </c>
      <c r="S2451" t="s">
        <v>36</v>
      </c>
      <c r="T2451" t="str">
        <f t="shared" si="204"/>
        <v>mslug3hcompatibility</v>
      </c>
      <c r="U2451" t="s">
        <v>218</v>
      </c>
      <c r="V2451" t="str">
        <f t="shared" si="200"/>
        <v>AES</v>
      </c>
      <c r="W2451" t="str">
        <f t="shared" si="200"/>
        <v>MVS,AES</v>
      </c>
      <c r="AB2451" t="s">
        <v>29</v>
      </c>
      <c r="AE2451" t="s">
        <v>92</v>
      </c>
      <c r="AH2451" t="s">
        <v>1000</v>
      </c>
      <c r="AI2451" t="s">
        <v>9</v>
      </c>
      <c r="AJ2451" t="s">
        <v>92</v>
      </c>
      <c r="AK2451" t="s">
        <v>999</v>
      </c>
      <c r="AL2451" t="s">
        <v>998</v>
      </c>
    </row>
    <row r="2452" spans="5:43" x14ac:dyDescent="0.25">
      <c r="I2452" t="str">
        <f t="shared" si="202"/>
        <v>mslug3h</v>
      </c>
      <c r="J2452" t="str">
        <f t="shared" si="203"/>
        <v/>
      </c>
      <c r="L2452" t="str">
        <f t="shared" si="201"/>
        <v>NGH-2560</v>
      </c>
      <c r="M2452" t="str">
        <f t="shared" si="201"/>
        <v>20000601</v>
      </c>
      <c r="N2452" t="str">
        <f t="shared" si="201"/>
        <v>メタルスラッグ 3</v>
      </c>
      <c r="O2452" t="str">
        <f t="shared" si="201"/>
        <v/>
      </c>
      <c r="P2452" t="str">
        <f t="shared" si="201"/>
        <v/>
      </c>
      <c r="T2452" t="str">
        <f t="shared" si="204"/>
        <v/>
      </c>
      <c r="V2452" t="str">
        <f t="shared" si="200"/>
        <v>AES</v>
      </c>
      <c r="W2452" t="str">
        <f t="shared" si="200"/>
        <v>MVS,AES</v>
      </c>
      <c r="AB2452" t="s">
        <v>24</v>
      </c>
      <c r="AE2452" t="s">
        <v>65</v>
      </c>
      <c r="AH2452" t="s">
        <v>997</v>
      </c>
      <c r="AI2452" t="s">
        <v>9</v>
      </c>
      <c r="AJ2452" t="s">
        <v>11</v>
      </c>
      <c r="AK2452" t="s">
        <v>996</v>
      </c>
      <c r="AL2452" t="s">
        <v>995</v>
      </c>
    </row>
    <row r="2453" spans="5:43" x14ac:dyDescent="0.25">
      <c r="I2453" t="str">
        <f t="shared" si="202"/>
        <v>mslug3h</v>
      </c>
      <c r="J2453" t="str">
        <f t="shared" si="203"/>
        <v/>
      </c>
      <c r="L2453" t="str">
        <f t="shared" si="201"/>
        <v>NGH-2560</v>
      </c>
      <c r="M2453" t="str">
        <f t="shared" si="201"/>
        <v>20000601</v>
      </c>
      <c r="N2453" t="str">
        <f t="shared" si="201"/>
        <v>メタルスラッグ 3</v>
      </c>
      <c r="O2453" t="str">
        <f t="shared" si="201"/>
        <v/>
      </c>
      <c r="P2453" t="str">
        <f t="shared" si="201"/>
        <v/>
      </c>
      <c r="T2453" t="str">
        <f t="shared" si="204"/>
        <v/>
      </c>
      <c r="V2453" t="str">
        <f t="shared" si="200"/>
        <v>AES</v>
      </c>
      <c r="W2453" t="str">
        <f t="shared" si="200"/>
        <v>MVS,AES</v>
      </c>
      <c r="AH2453" t="s">
        <v>994</v>
      </c>
      <c r="AI2453" t="s">
        <v>11</v>
      </c>
      <c r="AJ2453" t="s">
        <v>11</v>
      </c>
      <c r="AK2453" t="s">
        <v>993</v>
      </c>
      <c r="AL2453" t="s">
        <v>992</v>
      </c>
    </row>
    <row r="2454" spans="5:43" x14ac:dyDescent="0.25">
      <c r="I2454" t="str">
        <f t="shared" si="202"/>
        <v>mslug3h</v>
      </c>
      <c r="J2454" t="str">
        <f t="shared" si="203"/>
        <v/>
      </c>
      <c r="L2454" t="str">
        <f t="shared" si="201"/>
        <v>NGH-2560</v>
      </c>
      <c r="M2454" t="str">
        <f t="shared" si="201"/>
        <v>20000601</v>
      </c>
      <c r="N2454" t="str">
        <f t="shared" si="201"/>
        <v>メタルスラッグ 3</v>
      </c>
      <c r="O2454" t="str">
        <f t="shared" si="201"/>
        <v/>
      </c>
      <c r="P2454" t="str">
        <f t="shared" si="201"/>
        <v/>
      </c>
      <c r="T2454" t="str">
        <f t="shared" si="204"/>
        <v/>
      </c>
      <c r="V2454" t="str">
        <f t="shared" si="200"/>
        <v>AES</v>
      </c>
      <c r="W2454" t="str">
        <f t="shared" si="200"/>
        <v>MVS,AES</v>
      </c>
      <c r="AH2454" t="s">
        <v>991</v>
      </c>
      <c r="AI2454" t="s">
        <v>57</v>
      </c>
      <c r="AJ2454" t="s">
        <v>11</v>
      </c>
      <c r="AK2454" t="s">
        <v>990</v>
      </c>
      <c r="AL2454" t="s">
        <v>989</v>
      </c>
    </row>
    <row r="2455" spans="5:43" x14ac:dyDescent="0.25">
      <c r="I2455" t="str">
        <f t="shared" si="202"/>
        <v>mslug3h</v>
      </c>
      <c r="J2455" t="str">
        <f t="shared" si="203"/>
        <v/>
      </c>
      <c r="L2455" t="str">
        <f t="shared" si="201"/>
        <v>NGH-2560</v>
      </c>
      <c r="M2455" t="str">
        <f t="shared" si="201"/>
        <v>20000601</v>
      </c>
      <c r="N2455" t="str">
        <f t="shared" si="201"/>
        <v>メタルスラッグ 3</v>
      </c>
      <c r="O2455" t="str">
        <f t="shared" si="201"/>
        <v/>
      </c>
      <c r="P2455" t="str">
        <f t="shared" si="201"/>
        <v/>
      </c>
      <c r="T2455" t="str">
        <f t="shared" si="204"/>
        <v/>
      </c>
      <c r="V2455" t="str">
        <f t="shared" ref="V2455:W2518" si="205">IFERROR(VLOOKUP($I2455&amp;V$1,$T:$AA,2,0),"")</f>
        <v>AES</v>
      </c>
      <c r="W2455" t="str">
        <f t="shared" si="205"/>
        <v>MVS,AES</v>
      </c>
      <c r="AH2455" t="s">
        <v>988</v>
      </c>
      <c r="AI2455" t="s">
        <v>250</v>
      </c>
      <c r="AJ2455" t="s">
        <v>11</v>
      </c>
      <c r="AK2455" t="s">
        <v>987</v>
      </c>
      <c r="AL2455" t="s">
        <v>986</v>
      </c>
    </row>
    <row r="2456" spans="5:43" x14ac:dyDescent="0.25">
      <c r="I2456" t="str">
        <f t="shared" si="202"/>
        <v>mslug3h</v>
      </c>
      <c r="J2456" t="str">
        <f t="shared" si="203"/>
        <v/>
      </c>
      <c r="L2456" t="str">
        <f t="shared" si="201"/>
        <v>NGH-2560</v>
      </c>
      <c r="M2456" t="str">
        <f t="shared" si="201"/>
        <v>20000601</v>
      </c>
      <c r="N2456" t="str">
        <f t="shared" si="201"/>
        <v>メタルスラッグ 3</v>
      </c>
      <c r="O2456" t="str">
        <f t="shared" si="201"/>
        <v/>
      </c>
      <c r="P2456" t="str">
        <f t="shared" si="201"/>
        <v/>
      </c>
      <c r="T2456" t="str">
        <f t="shared" si="204"/>
        <v/>
      </c>
      <c r="V2456" t="str">
        <f t="shared" si="205"/>
        <v>AES</v>
      </c>
      <c r="W2456" t="str">
        <f t="shared" si="205"/>
        <v>MVS,AES</v>
      </c>
      <c r="AB2456" t="s">
        <v>12</v>
      </c>
      <c r="AE2456" t="s">
        <v>175</v>
      </c>
      <c r="AG2456" t="s">
        <v>6</v>
      </c>
      <c r="AH2456" t="s">
        <v>985</v>
      </c>
      <c r="AI2456" t="s">
        <v>9</v>
      </c>
      <c r="AJ2456" t="s">
        <v>57</v>
      </c>
      <c r="AK2456" t="s">
        <v>984</v>
      </c>
      <c r="AL2456" t="s">
        <v>983</v>
      </c>
    </row>
    <row r="2457" spans="5:43" x14ac:dyDescent="0.25">
      <c r="I2457" t="str">
        <f t="shared" si="202"/>
        <v>mslug3h</v>
      </c>
      <c r="J2457" t="str">
        <f t="shared" si="203"/>
        <v/>
      </c>
      <c r="L2457" t="str">
        <f t="shared" si="201"/>
        <v>NGH-2560</v>
      </c>
      <c r="M2457" t="str">
        <f t="shared" si="201"/>
        <v>20000601</v>
      </c>
      <c r="N2457" t="str">
        <f t="shared" si="201"/>
        <v>メタルスラッグ 3</v>
      </c>
      <c r="O2457" t="str">
        <f t="shared" si="201"/>
        <v/>
      </c>
      <c r="P2457" t="str">
        <f t="shared" si="201"/>
        <v/>
      </c>
      <c r="T2457" t="str">
        <f t="shared" si="204"/>
        <v/>
      </c>
      <c r="V2457" t="str">
        <f t="shared" si="205"/>
        <v>AES</v>
      </c>
      <c r="W2457" t="str">
        <f t="shared" si="205"/>
        <v>MVS,AES</v>
      </c>
      <c r="AG2457" t="s">
        <v>6</v>
      </c>
      <c r="AH2457" t="s">
        <v>982</v>
      </c>
      <c r="AI2457" t="s">
        <v>4</v>
      </c>
      <c r="AJ2457" t="s">
        <v>57</v>
      </c>
      <c r="AK2457" t="s">
        <v>981</v>
      </c>
      <c r="AL2457" t="s">
        <v>980</v>
      </c>
    </row>
    <row r="2458" spans="5:43" x14ac:dyDescent="0.25">
      <c r="I2458" t="str">
        <f t="shared" si="202"/>
        <v>mslug3h</v>
      </c>
      <c r="J2458" t="str">
        <f t="shared" si="203"/>
        <v/>
      </c>
      <c r="L2458" t="str">
        <f t="shared" si="201"/>
        <v>NGH-2560</v>
      </c>
      <c r="M2458" t="str">
        <f t="shared" si="201"/>
        <v>20000601</v>
      </c>
      <c r="N2458" t="str">
        <f t="shared" si="201"/>
        <v>メタルスラッグ 3</v>
      </c>
      <c r="O2458" t="str">
        <f t="shared" si="201"/>
        <v/>
      </c>
      <c r="P2458" t="str">
        <f t="shared" si="201"/>
        <v/>
      </c>
      <c r="T2458" t="str">
        <f t="shared" si="204"/>
        <v/>
      </c>
      <c r="V2458" t="str">
        <f t="shared" si="205"/>
        <v>AES</v>
      </c>
      <c r="W2458" t="str">
        <f t="shared" si="205"/>
        <v>MVS,AES</v>
      </c>
      <c r="AG2458" t="s">
        <v>6</v>
      </c>
      <c r="AH2458" t="s">
        <v>979</v>
      </c>
      <c r="AI2458" t="s">
        <v>65</v>
      </c>
      <c r="AJ2458" t="s">
        <v>57</v>
      </c>
      <c r="AK2458" t="s">
        <v>978</v>
      </c>
      <c r="AL2458" t="s">
        <v>977</v>
      </c>
    </row>
    <row r="2459" spans="5:43" x14ac:dyDescent="0.25">
      <c r="I2459" t="str">
        <f t="shared" si="202"/>
        <v>mslug3h</v>
      </c>
      <c r="J2459" t="str">
        <f t="shared" si="203"/>
        <v/>
      </c>
      <c r="L2459" t="str">
        <f t="shared" si="201"/>
        <v>NGH-2560</v>
      </c>
      <c r="M2459" t="str">
        <f t="shared" si="201"/>
        <v>20000601</v>
      </c>
      <c r="N2459" t="str">
        <f t="shared" si="201"/>
        <v>メタルスラッグ 3</v>
      </c>
      <c r="O2459" t="str">
        <f t="shared" si="201"/>
        <v/>
      </c>
      <c r="P2459" t="str">
        <f t="shared" si="201"/>
        <v/>
      </c>
      <c r="T2459" t="str">
        <f t="shared" si="204"/>
        <v/>
      </c>
      <c r="V2459" t="str">
        <f t="shared" si="205"/>
        <v>AES</v>
      </c>
      <c r="W2459" t="str">
        <f t="shared" si="205"/>
        <v>MVS,AES</v>
      </c>
      <c r="AG2459" t="s">
        <v>6</v>
      </c>
      <c r="AH2459" t="s">
        <v>976</v>
      </c>
      <c r="AI2459" t="s">
        <v>164</v>
      </c>
      <c r="AJ2459" t="s">
        <v>57</v>
      </c>
      <c r="AK2459" t="s">
        <v>975</v>
      </c>
      <c r="AL2459" t="s">
        <v>974</v>
      </c>
    </row>
    <row r="2460" spans="5:43" x14ac:dyDescent="0.25">
      <c r="I2460" t="str">
        <f t="shared" si="202"/>
        <v>mslug3h</v>
      </c>
      <c r="J2460" t="str">
        <f t="shared" si="203"/>
        <v/>
      </c>
      <c r="L2460" t="str">
        <f t="shared" si="201"/>
        <v>NGH-2560</v>
      </c>
      <c r="M2460" t="str">
        <f t="shared" si="201"/>
        <v>20000601</v>
      </c>
      <c r="N2460" t="str">
        <f t="shared" si="201"/>
        <v>メタルスラッグ 3</v>
      </c>
      <c r="O2460" t="str">
        <f t="shared" si="201"/>
        <v/>
      </c>
      <c r="P2460" t="str">
        <f t="shared" si="201"/>
        <v/>
      </c>
      <c r="T2460" t="str">
        <f t="shared" si="204"/>
        <v/>
      </c>
      <c r="V2460" t="str">
        <f t="shared" si="205"/>
        <v>AES</v>
      </c>
      <c r="W2460" t="str">
        <f t="shared" si="205"/>
        <v>MVS,AES</v>
      </c>
      <c r="AG2460" t="s">
        <v>6</v>
      </c>
      <c r="AH2460" t="s">
        <v>973</v>
      </c>
      <c r="AI2460" t="s">
        <v>160</v>
      </c>
      <c r="AJ2460" t="s">
        <v>57</v>
      </c>
      <c r="AK2460" t="s">
        <v>972</v>
      </c>
      <c r="AL2460" t="s">
        <v>971</v>
      </c>
    </row>
    <row r="2461" spans="5:43" x14ac:dyDescent="0.25">
      <c r="I2461" t="str">
        <f t="shared" si="202"/>
        <v>mslug3h</v>
      </c>
      <c r="J2461" t="str">
        <f t="shared" si="203"/>
        <v/>
      </c>
      <c r="L2461" t="str">
        <f t="shared" si="201"/>
        <v>NGH-2560</v>
      </c>
      <c r="M2461" t="str">
        <f t="shared" si="201"/>
        <v>20000601</v>
      </c>
      <c r="N2461" t="str">
        <f t="shared" si="201"/>
        <v>メタルスラッグ 3</v>
      </c>
      <c r="O2461" t="str">
        <f t="shared" si="201"/>
        <v/>
      </c>
      <c r="P2461" t="str">
        <f t="shared" si="201"/>
        <v/>
      </c>
      <c r="T2461" t="str">
        <f t="shared" si="204"/>
        <v/>
      </c>
      <c r="V2461" t="str">
        <f t="shared" si="205"/>
        <v>AES</v>
      </c>
      <c r="W2461" t="str">
        <f t="shared" si="205"/>
        <v>MVS,AES</v>
      </c>
      <c r="AG2461" t="s">
        <v>6</v>
      </c>
      <c r="AH2461" t="s">
        <v>970</v>
      </c>
      <c r="AI2461" t="s">
        <v>156</v>
      </c>
      <c r="AJ2461" t="s">
        <v>57</v>
      </c>
      <c r="AK2461" t="s">
        <v>969</v>
      </c>
      <c r="AL2461" t="s">
        <v>968</v>
      </c>
    </row>
    <row r="2462" spans="5:43" x14ac:dyDescent="0.25">
      <c r="I2462" t="str">
        <f t="shared" si="202"/>
        <v>mslug3h</v>
      </c>
      <c r="J2462" t="str">
        <f t="shared" si="203"/>
        <v/>
      </c>
      <c r="L2462" t="str">
        <f t="shared" si="201"/>
        <v>NGH-2560</v>
      </c>
      <c r="M2462" t="str">
        <f t="shared" si="201"/>
        <v>20000601</v>
      </c>
      <c r="N2462" t="str">
        <f t="shared" si="201"/>
        <v>メタルスラッグ 3</v>
      </c>
      <c r="O2462" t="str">
        <f t="shared" si="201"/>
        <v/>
      </c>
      <c r="P2462" t="str">
        <f t="shared" si="201"/>
        <v/>
      </c>
      <c r="T2462" t="str">
        <f t="shared" si="204"/>
        <v/>
      </c>
      <c r="V2462" t="str">
        <f t="shared" si="205"/>
        <v>AES</v>
      </c>
      <c r="W2462" t="str">
        <f t="shared" si="205"/>
        <v>MVS,AES</v>
      </c>
      <c r="AG2462" t="s">
        <v>6</v>
      </c>
      <c r="AH2462" t="s">
        <v>967</v>
      </c>
      <c r="AI2462" t="s">
        <v>152</v>
      </c>
      <c r="AJ2462" t="s">
        <v>57</v>
      </c>
      <c r="AK2462" t="s">
        <v>966</v>
      </c>
      <c r="AL2462" t="s">
        <v>965</v>
      </c>
    </row>
    <row r="2463" spans="5:43" x14ac:dyDescent="0.25">
      <c r="I2463" t="str">
        <f t="shared" si="202"/>
        <v>mslug3h</v>
      </c>
      <c r="J2463" t="str">
        <f t="shared" si="203"/>
        <v/>
      </c>
      <c r="L2463" t="str">
        <f t="shared" ref="L2463:P2513" si="206">IFERROR(VLOOKUP($I2463&amp;L$1,$J:$Q,8,0),"")</f>
        <v>NGH-2560</v>
      </c>
      <c r="M2463" t="str">
        <f t="shared" si="206"/>
        <v>20000601</v>
      </c>
      <c r="N2463" t="str">
        <f t="shared" si="206"/>
        <v>メタルスラッグ 3</v>
      </c>
      <c r="O2463" t="str">
        <f t="shared" si="206"/>
        <v/>
      </c>
      <c r="P2463" t="str">
        <f t="shared" si="206"/>
        <v/>
      </c>
      <c r="T2463" t="str">
        <f t="shared" si="204"/>
        <v/>
      </c>
      <c r="V2463" t="str">
        <f t="shared" si="205"/>
        <v>AES</v>
      </c>
      <c r="W2463" t="str">
        <f t="shared" si="205"/>
        <v>MVS,AES</v>
      </c>
      <c r="AG2463" t="s">
        <v>6</v>
      </c>
      <c r="AH2463" t="s">
        <v>964</v>
      </c>
      <c r="AI2463" t="s">
        <v>148</v>
      </c>
      <c r="AJ2463" t="s">
        <v>57</v>
      </c>
      <c r="AK2463" t="s">
        <v>963</v>
      </c>
      <c r="AL2463" t="s">
        <v>962</v>
      </c>
    </row>
    <row r="2464" spans="5:43" x14ac:dyDescent="0.25">
      <c r="E2464" t="s">
        <v>1906</v>
      </c>
      <c r="F2464" t="s">
        <v>1926</v>
      </c>
      <c r="G2464" t="s">
        <v>113</v>
      </c>
      <c r="H2464" t="s">
        <v>1912</v>
      </c>
      <c r="I2464" t="str">
        <f t="shared" si="202"/>
        <v>kof2000</v>
      </c>
      <c r="J2464" t="str">
        <f t="shared" si="203"/>
        <v>kof2000serial</v>
      </c>
      <c r="K2464" t="s">
        <v>1373</v>
      </c>
      <c r="L2464" t="str">
        <f t="shared" si="206"/>
        <v>NGM-2570 (MVS), NGH-2570 (AES)</v>
      </c>
      <c r="M2464" t="str">
        <f t="shared" si="206"/>
        <v>20000726 (MVS), 20001221 (AES)</v>
      </c>
      <c r="N2464" t="str">
        <f t="shared" si="206"/>
        <v>ザ・キング・オブ・ファイターズ 2000</v>
      </c>
      <c r="O2464" t="str">
        <f t="shared" si="206"/>
        <v/>
      </c>
      <c r="P2464" t="str">
        <f t="shared" si="206"/>
        <v/>
      </c>
      <c r="Q2464" t="s">
        <v>1911</v>
      </c>
      <c r="S2464" t="s">
        <v>46</v>
      </c>
      <c r="T2464" t="str">
        <f t="shared" si="204"/>
        <v>kof2000release</v>
      </c>
      <c r="U2464" t="s">
        <v>218</v>
      </c>
      <c r="V2464" t="str">
        <f t="shared" si="205"/>
        <v>MVS,AES</v>
      </c>
      <c r="W2464" t="str">
        <f t="shared" si="205"/>
        <v>MVS,AES</v>
      </c>
      <c r="Y2464" t="s">
        <v>45</v>
      </c>
      <c r="Z2464" t="s">
        <v>44</v>
      </c>
      <c r="AB2464" t="s">
        <v>43</v>
      </c>
      <c r="AC2464" t="s">
        <v>42</v>
      </c>
      <c r="AD2464" t="s">
        <v>41</v>
      </c>
      <c r="AE2464" t="s">
        <v>704</v>
      </c>
      <c r="AG2464" t="s">
        <v>40</v>
      </c>
      <c r="AH2464" t="s">
        <v>1925</v>
      </c>
      <c r="AI2464" t="s">
        <v>1924</v>
      </c>
      <c r="AJ2464" t="s">
        <v>33</v>
      </c>
      <c r="AK2464" t="s">
        <v>1923</v>
      </c>
      <c r="AL2464" t="s">
        <v>1922</v>
      </c>
      <c r="AP2464" t="s">
        <v>138</v>
      </c>
      <c r="AQ2464" t="s">
        <v>1921</v>
      </c>
    </row>
    <row r="2465" spans="9:40" x14ac:dyDescent="0.25">
      <c r="I2465" t="str">
        <f t="shared" si="202"/>
        <v>kof2000</v>
      </c>
      <c r="J2465" t="str">
        <f t="shared" si="203"/>
        <v>kof2000release</v>
      </c>
      <c r="K2465" t="s">
        <v>46</v>
      </c>
      <c r="L2465" t="str">
        <f t="shared" si="206"/>
        <v>NGM-2570 (MVS), NGH-2570 (AES)</v>
      </c>
      <c r="M2465" t="str">
        <f t="shared" si="206"/>
        <v>20000726 (MVS), 20001221 (AES)</v>
      </c>
      <c r="N2465" t="str">
        <f t="shared" si="206"/>
        <v>ザ・キング・オブ・ファイターズ 2000</v>
      </c>
      <c r="O2465" t="str">
        <f t="shared" si="206"/>
        <v/>
      </c>
      <c r="P2465" t="str">
        <f t="shared" si="206"/>
        <v/>
      </c>
      <c r="Q2465" t="s">
        <v>1905</v>
      </c>
      <c r="T2465" t="str">
        <f t="shared" si="204"/>
        <v/>
      </c>
      <c r="V2465" t="str">
        <f t="shared" si="205"/>
        <v>MVS,AES</v>
      </c>
      <c r="W2465" t="str">
        <f t="shared" si="205"/>
        <v>MVS,AES</v>
      </c>
      <c r="AG2465" t="s">
        <v>40</v>
      </c>
      <c r="AH2465" t="s">
        <v>1920</v>
      </c>
      <c r="AI2465" t="s">
        <v>15</v>
      </c>
      <c r="AJ2465" t="s">
        <v>11</v>
      </c>
      <c r="AK2465" t="s">
        <v>1919</v>
      </c>
      <c r="AL2465" t="s">
        <v>1918</v>
      </c>
    </row>
    <row r="2466" spans="9:40" x14ac:dyDescent="0.25">
      <c r="I2466" t="str">
        <f t="shared" si="202"/>
        <v>kof2000</v>
      </c>
      <c r="J2466" t="str">
        <f t="shared" si="203"/>
        <v>kof2000alt_title</v>
      </c>
      <c r="K2466" t="s">
        <v>1218</v>
      </c>
      <c r="L2466" t="str">
        <f t="shared" si="206"/>
        <v>NGM-2570 (MVS), NGH-2570 (AES)</v>
      </c>
      <c r="M2466" t="str">
        <f t="shared" si="206"/>
        <v>20000726 (MVS), 20001221 (AES)</v>
      </c>
      <c r="N2466" t="str">
        <f t="shared" si="206"/>
        <v>ザ・キング・オブ・ファイターズ 2000</v>
      </c>
      <c r="O2466" t="str">
        <f t="shared" si="206"/>
        <v/>
      </c>
      <c r="P2466" t="str">
        <f t="shared" si="206"/>
        <v/>
      </c>
      <c r="Q2466" t="s">
        <v>1901</v>
      </c>
      <c r="T2466" t="str">
        <f t="shared" si="204"/>
        <v/>
      </c>
      <c r="V2466" t="str">
        <f t="shared" si="205"/>
        <v>MVS,AES</v>
      </c>
      <c r="W2466" t="str">
        <f t="shared" si="205"/>
        <v>MVS,AES</v>
      </c>
      <c r="AG2466" t="s">
        <v>40</v>
      </c>
      <c r="AH2466" t="s">
        <v>1917</v>
      </c>
      <c r="AI2466" t="s">
        <v>23</v>
      </c>
      <c r="AJ2466" t="s">
        <v>11</v>
      </c>
      <c r="AK2466" t="s">
        <v>1916</v>
      </c>
      <c r="AL2466" t="s">
        <v>1915</v>
      </c>
    </row>
    <row r="2467" spans="9:40" x14ac:dyDescent="0.25">
      <c r="I2467" t="str">
        <f t="shared" si="202"/>
        <v>kof2000</v>
      </c>
      <c r="J2467" t="str">
        <f t="shared" si="203"/>
        <v/>
      </c>
      <c r="L2467" t="str">
        <f t="shared" si="206"/>
        <v>NGM-2570 (MVS), NGH-2570 (AES)</v>
      </c>
      <c r="M2467" t="str">
        <f t="shared" si="206"/>
        <v>20000726 (MVS), 20001221 (AES)</v>
      </c>
      <c r="N2467" t="str">
        <f t="shared" si="206"/>
        <v>ザ・キング・オブ・ファイターズ 2000</v>
      </c>
      <c r="O2467" t="str">
        <f t="shared" si="206"/>
        <v/>
      </c>
      <c r="P2467" t="str">
        <f t="shared" si="206"/>
        <v/>
      </c>
      <c r="S2467" t="s">
        <v>36</v>
      </c>
      <c r="T2467" t="str">
        <f t="shared" si="204"/>
        <v>kof2000compatibility</v>
      </c>
      <c r="U2467" t="s">
        <v>218</v>
      </c>
      <c r="V2467" t="str">
        <f t="shared" si="205"/>
        <v>MVS,AES</v>
      </c>
      <c r="W2467" t="str">
        <f t="shared" si="205"/>
        <v>MVS,AES</v>
      </c>
      <c r="AB2467" t="s">
        <v>34</v>
      </c>
      <c r="AE2467" t="s">
        <v>480</v>
      </c>
      <c r="AG2467" t="s">
        <v>538</v>
      </c>
      <c r="AI2467" t="s">
        <v>9</v>
      </c>
      <c r="AJ2467" t="s">
        <v>480</v>
      </c>
      <c r="AN2467" t="s">
        <v>537</v>
      </c>
    </row>
    <row r="2468" spans="9:40" x14ac:dyDescent="0.25">
      <c r="I2468" t="str">
        <f t="shared" si="202"/>
        <v>kof2000</v>
      </c>
      <c r="J2468" t="str">
        <f t="shared" si="203"/>
        <v/>
      </c>
      <c r="L2468" t="str">
        <f t="shared" si="206"/>
        <v>NGM-2570 (MVS), NGH-2570 (AES)</v>
      </c>
      <c r="M2468" t="str">
        <f t="shared" si="206"/>
        <v>20000726 (MVS), 20001221 (AES)</v>
      </c>
      <c r="N2468" t="str">
        <f t="shared" si="206"/>
        <v>ザ・キング・オブ・ファイターズ 2000</v>
      </c>
      <c r="O2468" t="str">
        <f t="shared" si="206"/>
        <v/>
      </c>
      <c r="P2468" t="str">
        <f t="shared" si="206"/>
        <v/>
      </c>
      <c r="T2468" t="str">
        <f t="shared" si="204"/>
        <v/>
      </c>
      <c r="V2468" t="str">
        <f t="shared" si="205"/>
        <v>MVS,AES</v>
      </c>
      <c r="W2468" t="str">
        <f t="shared" si="205"/>
        <v>MVS,AES</v>
      </c>
      <c r="AB2468" t="s">
        <v>482</v>
      </c>
      <c r="AE2468" t="s">
        <v>480</v>
      </c>
      <c r="AH2468" t="s">
        <v>1900</v>
      </c>
      <c r="AI2468" t="s">
        <v>314</v>
      </c>
      <c r="AJ2468" t="s">
        <v>318</v>
      </c>
      <c r="AK2468" t="s">
        <v>1899</v>
      </c>
      <c r="AL2468" t="s">
        <v>1898</v>
      </c>
    </row>
    <row r="2469" spans="9:40" x14ac:dyDescent="0.25">
      <c r="I2469" t="str">
        <f t="shared" si="202"/>
        <v>kof2000</v>
      </c>
      <c r="J2469" t="str">
        <f t="shared" si="203"/>
        <v/>
      </c>
      <c r="L2469" t="str">
        <f t="shared" si="206"/>
        <v>NGM-2570 (MVS), NGH-2570 (AES)</v>
      </c>
      <c r="M2469" t="str">
        <f t="shared" si="206"/>
        <v>20000726 (MVS), 20001221 (AES)</v>
      </c>
      <c r="N2469" t="str">
        <f t="shared" si="206"/>
        <v>ザ・キング・オブ・ファイターズ 2000</v>
      </c>
      <c r="O2469" t="str">
        <f t="shared" si="206"/>
        <v/>
      </c>
      <c r="P2469" t="str">
        <f t="shared" si="206"/>
        <v/>
      </c>
      <c r="T2469" t="str">
        <f t="shared" si="204"/>
        <v/>
      </c>
      <c r="V2469" t="str">
        <f t="shared" si="205"/>
        <v>MVS,AES</v>
      </c>
      <c r="W2469" t="str">
        <f t="shared" si="205"/>
        <v>MVS,AES</v>
      </c>
      <c r="AB2469" t="s">
        <v>24</v>
      </c>
      <c r="AE2469" t="s">
        <v>65</v>
      </c>
      <c r="AH2469" t="s">
        <v>1897</v>
      </c>
      <c r="AI2469" t="s">
        <v>9</v>
      </c>
      <c r="AJ2469" t="s">
        <v>11</v>
      </c>
      <c r="AK2469" t="s">
        <v>1896</v>
      </c>
      <c r="AL2469" t="s">
        <v>1895</v>
      </c>
    </row>
    <row r="2470" spans="9:40" x14ac:dyDescent="0.25">
      <c r="I2470" t="str">
        <f t="shared" si="202"/>
        <v>kof2000</v>
      </c>
      <c r="J2470" t="str">
        <f t="shared" si="203"/>
        <v/>
      </c>
      <c r="L2470" t="str">
        <f t="shared" si="206"/>
        <v>NGM-2570 (MVS), NGH-2570 (AES)</v>
      </c>
      <c r="M2470" t="str">
        <f t="shared" si="206"/>
        <v>20000726 (MVS), 20001221 (AES)</v>
      </c>
      <c r="N2470" t="str">
        <f t="shared" si="206"/>
        <v>ザ・キング・オブ・ファイターズ 2000</v>
      </c>
      <c r="O2470" t="str">
        <f t="shared" si="206"/>
        <v/>
      </c>
      <c r="P2470" t="str">
        <f t="shared" si="206"/>
        <v/>
      </c>
      <c r="T2470" t="str">
        <f t="shared" si="204"/>
        <v/>
      </c>
      <c r="V2470" t="str">
        <f t="shared" si="205"/>
        <v>MVS,AES</v>
      </c>
      <c r="W2470" t="str">
        <f t="shared" si="205"/>
        <v>MVS,AES</v>
      </c>
      <c r="AH2470" t="s">
        <v>1894</v>
      </c>
      <c r="AI2470" t="s">
        <v>11</v>
      </c>
      <c r="AJ2470" t="s">
        <v>11</v>
      </c>
      <c r="AK2470" t="s">
        <v>1893</v>
      </c>
      <c r="AL2470" t="s">
        <v>1892</v>
      </c>
    </row>
    <row r="2471" spans="9:40" x14ac:dyDescent="0.25">
      <c r="I2471" t="str">
        <f t="shared" si="202"/>
        <v>kof2000</v>
      </c>
      <c r="J2471" t="str">
        <f t="shared" si="203"/>
        <v/>
      </c>
      <c r="L2471" t="str">
        <f t="shared" si="206"/>
        <v>NGM-2570 (MVS), NGH-2570 (AES)</v>
      </c>
      <c r="M2471" t="str">
        <f t="shared" si="206"/>
        <v>20000726 (MVS), 20001221 (AES)</v>
      </c>
      <c r="N2471" t="str">
        <f t="shared" si="206"/>
        <v>ザ・キング・オブ・ファイターズ 2000</v>
      </c>
      <c r="O2471" t="str">
        <f t="shared" si="206"/>
        <v/>
      </c>
      <c r="P2471" t="str">
        <f t="shared" si="206"/>
        <v/>
      </c>
      <c r="T2471" t="str">
        <f t="shared" si="204"/>
        <v/>
      </c>
      <c r="V2471" t="str">
        <f t="shared" si="205"/>
        <v>MVS,AES</v>
      </c>
      <c r="W2471" t="str">
        <f t="shared" si="205"/>
        <v>MVS,AES</v>
      </c>
      <c r="AH2471" t="s">
        <v>1891</v>
      </c>
      <c r="AI2471" t="s">
        <v>57</v>
      </c>
      <c r="AJ2471" t="s">
        <v>11</v>
      </c>
      <c r="AK2471" t="s">
        <v>1890</v>
      </c>
      <c r="AL2471" t="s">
        <v>1889</v>
      </c>
    </row>
    <row r="2472" spans="9:40" x14ac:dyDescent="0.25">
      <c r="I2472" t="str">
        <f t="shared" si="202"/>
        <v>kof2000</v>
      </c>
      <c r="J2472" t="str">
        <f t="shared" si="203"/>
        <v/>
      </c>
      <c r="L2472" t="str">
        <f t="shared" si="206"/>
        <v>NGM-2570 (MVS), NGH-2570 (AES)</v>
      </c>
      <c r="M2472" t="str">
        <f t="shared" si="206"/>
        <v>20000726 (MVS), 20001221 (AES)</v>
      </c>
      <c r="N2472" t="str">
        <f t="shared" si="206"/>
        <v>ザ・キング・オブ・ファイターズ 2000</v>
      </c>
      <c r="O2472" t="str">
        <f t="shared" si="206"/>
        <v/>
      </c>
      <c r="P2472" t="str">
        <f t="shared" si="206"/>
        <v/>
      </c>
      <c r="T2472" t="str">
        <f t="shared" si="204"/>
        <v/>
      </c>
      <c r="V2472" t="str">
        <f t="shared" si="205"/>
        <v>MVS,AES</v>
      </c>
      <c r="W2472" t="str">
        <f t="shared" si="205"/>
        <v>MVS,AES</v>
      </c>
      <c r="AH2472" t="s">
        <v>1888</v>
      </c>
      <c r="AI2472" t="s">
        <v>250</v>
      </c>
      <c r="AJ2472" t="s">
        <v>11</v>
      </c>
      <c r="AK2472" t="s">
        <v>1887</v>
      </c>
      <c r="AL2472" t="s">
        <v>1886</v>
      </c>
    </row>
    <row r="2473" spans="9:40" x14ac:dyDescent="0.25">
      <c r="I2473" t="str">
        <f t="shared" si="202"/>
        <v>kof2000</v>
      </c>
      <c r="J2473" t="str">
        <f t="shared" si="203"/>
        <v/>
      </c>
      <c r="L2473" t="str">
        <f t="shared" si="206"/>
        <v>NGM-2570 (MVS), NGH-2570 (AES)</v>
      </c>
      <c r="M2473" t="str">
        <f t="shared" si="206"/>
        <v>20000726 (MVS), 20001221 (AES)</v>
      </c>
      <c r="N2473" t="str">
        <f t="shared" si="206"/>
        <v>ザ・キング・オブ・ファイターズ 2000</v>
      </c>
      <c r="O2473" t="str">
        <f t="shared" si="206"/>
        <v/>
      </c>
      <c r="P2473" t="str">
        <f t="shared" si="206"/>
        <v/>
      </c>
      <c r="T2473" t="str">
        <f t="shared" si="204"/>
        <v/>
      </c>
      <c r="V2473" t="str">
        <f t="shared" si="205"/>
        <v>MVS,AES</v>
      </c>
      <c r="W2473" t="str">
        <f t="shared" si="205"/>
        <v>MVS,AES</v>
      </c>
      <c r="AB2473" t="s">
        <v>12</v>
      </c>
      <c r="AE2473" t="s">
        <v>175</v>
      </c>
      <c r="AG2473" t="s">
        <v>6</v>
      </c>
      <c r="AH2473" t="s">
        <v>1885</v>
      </c>
      <c r="AI2473" t="s">
        <v>9</v>
      </c>
      <c r="AJ2473" t="s">
        <v>57</v>
      </c>
      <c r="AK2473" t="s">
        <v>1884</v>
      </c>
      <c r="AL2473" t="s">
        <v>1883</v>
      </c>
    </row>
    <row r="2474" spans="9:40" x14ac:dyDescent="0.25">
      <c r="I2474" t="str">
        <f t="shared" si="202"/>
        <v>kof2000</v>
      </c>
      <c r="J2474" t="str">
        <f t="shared" si="203"/>
        <v/>
      </c>
      <c r="L2474" t="str">
        <f t="shared" si="206"/>
        <v>NGM-2570 (MVS), NGH-2570 (AES)</v>
      </c>
      <c r="M2474" t="str">
        <f t="shared" si="206"/>
        <v>20000726 (MVS), 20001221 (AES)</v>
      </c>
      <c r="N2474" t="str">
        <f t="shared" si="206"/>
        <v>ザ・キング・オブ・ファイターズ 2000</v>
      </c>
      <c r="O2474" t="str">
        <f t="shared" si="206"/>
        <v/>
      </c>
      <c r="P2474" t="str">
        <f t="shared" si="206"/>
        <v/>
      </c>
      <c r="T2474" t="str">
        <f t="shared" si="204"/>
        <v/>
      </c>
      <c r="V2474" t="str">
        <f t="shared" si="205"/>
        <v>MVS,AES</v>
      </c>
      <c r="W2474" t="str">
        <f t="shared" si="205"/>
        <v>MVS,AES</v>
      </c>
      <c r="AG2474" t="s">
        <v>6</v>
      </c>
      <c r="AH2474" t="s">
        <v>1882</v>
      </c>
      <c r="AI2474" t="s">
        <v>4</v>
      </c>
      <c r="AJ2474" t="s">
        <v>57</v>
      </c>
      <c r="AK2474" t="s">
        <v>1881</v>
      </c>
      <c r="AL2474" t="s">
        <v>1880</v>
      </c>
    </row>
    <row r="2475" spans="9:40" x14ac:dyDescent="0.25">
      <c r="I2475" t="str">
        <f t="shared" si="202"/>
        <v>kof2000</v>
      </c>
      <c r="J2475" t="str">
        <f t="shared" si="203"/>
        <v/>
      </c>
      <c r="L2475" t="str">
        <f t="shared" si="206"/>
        <v>NGM-2570 (MVS), NGH-2570 (AES)</v>
      </c>
      <c r="M2475" t="str">
        <f t="shared" si="206"/>
        <v>20000726 (MVS), 20001221 (AES)</v>
      </c>
      <c r="N2475" t="str">
        <f t="shared" si="206"/>
        <v>ザ・キング・オブ・ファイターズ 2000</v>
      </c>
      <c r="O2475" t="str">
        <f t="shared" si="206"/>
        <v/>
      </c>
      <c r="P2475" t="str">
        <f t="shared" si="206"/>
        <v/>
      </c>
      <c r="T2475" t="str">
        <f t="shared" si="204"/>
        <v/>
      </c>
      <c r="V2475" t="str">
        <f t="shared" si="205"/>
        <v>MVS,AES</v>
      </c>
      <c r="W2475" t="str">
        <f t="shared" si="205"/>
        <v>MVS,AES</v>
      </c>
      <c r="AG2475" t="s">
        <v>6</v>
      </c>
      <c r="AH2475" t="s">
        <v>1879</v>
      </c>
      <c r="AI2475" t="s">
        <v>65</v>
      </c>
      <c r="AJ2475" t="s">
        <v>57</v>
      </c>
      <c r="AK2475" t="s">
        <v>1878</v>
      </c>
      <c r="AL2475" t="s">
        <v>1877</v>
      </c>
    </row>
    <row r="2476" spans="9:40" x14ac:dyDescent="0.25">
      <c r="I2476" t="str">
        <f t="shared" si="202"/>
        <v>kof2000</v>
      </c>
      <c r="J2476" t="str">
        <f t="shared" si="203"/>
        <v/>
      </c>
      <c r="L2476" t="str">
        <f t="shared" si="206"/>
        <v>NGM-2570 (MVS), NGH-2570 (AES)</v>
      </c>
      <c r="M2476" t="str">
        <f t="shared" si="206"/>
        <v>20000726 (MVS), 20001221 (AES)</v>
      </c>
      <c r="N2476" t="str">
        <f t="shared" si="206"/>
        <v>ザ・キング・オブ・ファイターズ 2000</v>
      </c>
      <c r="O2476" t="str">
        <f t="shared" si="206"/>
        <v/>
      </c>
      <c r="P2476" t="str">
        <f t="shared" si="206"/>
        <v/>
      </c>
      <c r="T2476" t="str">
        <f t="shared" si="204"/>
        <v/>
      </c>
      <c r="V2476" t="str">
        <f t="shared" si="205"/>
        <v>MVS,AES</v>
      </c>
      <c r="W2476" t="str">
        <f t="shared" si="205"/>
        <v>MVS,AES</v>
      </c>
      <c r="AG2476" t="s">
        <v>6</v>
      </c>
      <c r="AH2476" t="s">
        <v>1876</v>
      </c>
      <c r="AI2476" t="s">
        <v>164</v>
      </c>
      <c r="AJ2476" t="s">
        <v>57</v>
      </c>
      <c r="AK2476" t="s">
        <v>1875</v>
      </c>
      <c r="AL2476" t="s">
        <v>1874</v>
      </c>
    </row>
    <row r="2477" spans="9:40" x14ac:dyDescent="0.25">
      <c r="I2477" t="str">
        <f t="shared" si="202"/>
        <v>kof2000</v>
      </c>
      <c r="J2477" t="str">
        <f t="shared" si="203"/>
        <v/>
      </c>
      <c r="L2477" t="str">
        <f t="shared" si="206"/>
        <v>NGM-2570 (MVS), NGH-2570 (AES)</v>
      </c>
      <c r="M2477" t="str">
        <f t="shared" si="206"/>
        <v>20000726 (MVS), 20001221 (AES)</v>
      </c>
      <c r="N2477" t="str">
        <f t="shared" si="206"/>
        <v>ザ・キング・オブ・ファイターズ 2000</v>
      </c>
      <c r="O2477" t="str">
        <f t="shared" si="206"/>
        <v/>
      </c>
      <c r="P2477" t="str">
        <f t="shared" si="206"/>
        <v/>
      </c>
      <c r="T2477" t="str">
        <f t="shared" si="204"/>
        <v/>
      </c>
      <c r="V2477" t="str">
        <f t="shared" si="205"/>
        <v>MVS,AES</v>
      </c>
      <c r="W2477" t="str">
        <f t="shared" si="205"/>
        <v>MVS,AES</v>
      </c>
      <c r="AG2477" t="s">
        <v>6</v>
      </c>
      <c r="AH2477" t="s">
        <v>1873</v>
      </c>
      <c r="AI2477" t="s">
        <v>160</v>
      </c>
      <c r="AJ2477" t="s">
        <v>57</v>
      </c>
      <c r="AK2477" t="s">
        <v>1872</v>
      </c>
      <c r="AL2477" t="s">
        <v>1871</v>
      </c>
    </row>
    <row r="2478" spans="9:40" x14ac:dyDescent="0.25">
      <c r="I2478" t="str">
        <f t="shared" si="202"/>
        <v>kof2000</v>
      </c>
      <c r="J2478" t="str">
        <f t="shared" si="203"/>
        <v/>
      </c>
      <c r="L2478" t="str">
        <f t="shared" si="206"/>
        <v>NGM-2570 (MVS), NGH-2570 (AES)</v>
      </c>
      <c r="M2478" t="str">
        <f t="shared" si="206"/>
        <v>20000726 (MVS), 20001221 (AES)</v>
      </c>
      <c r="N2478" t="str">
        <f t="shared" si="206"/>
        <v>ザ・キング・オブ・ファイターズ 2000</v>
      </c>
      <c r="O2478" t="str">
        <f t="shared" si="206"/>
        <v/>
      </c>
      <c r="P2478" t="str">
        <f t="shared" si="206"/>
        <v/>
      </c>
      <c r="T2478" t="str">
        <f t="shared" si="204"/>
        <v/>
      </c>
      <c r="V2478" t="str">
        <f t="shared" si="205"/>
        <v>MVS,AES</v>
      </c>
      <c r="W2478" t="str">
        <f t="shared" si="205"/>
        <v>MVS,AES</v>
      </c>
      <c r="AG2478" t="s">
        <v>6</v>
      </c>
      <c r="AH2478" t="s">
        <v>1870</v>
      </c>
      <c r="AI2478" t="s">
        <v>156</v>
      </c>
      <c r="AJ2478" t="s">
        <v>57</v>
      </c>
      <c r="AK2478" t="s">
        <v>1869</v>
      </c>
      <c r="AL2478" t="s">
        <v>1868</v>
      </c>
    </row>
    <row r="2479" spans="9:40" x14ac:dyDescent="0.25">
      <c r="I2479" t="str">
        <f t="shared" si="202"/>
        <v>kof2000</v>
      </c>
      <c r="J2479" t="str">
        <f t="shared" si="203"/>
        <v/>
      </c>
      <c r="L2479" t="str">
        <f t="shared" si="206"/>
        <v>NGM-2570 (MVS), NGH-2570 (AES)</v>
      </c>
      <c r="M2479" t="str">
        <f t="shared" si="206"/>
        <v>20000726 (MVS), 20001221 (AES)</v>
      </c>
      <c r="N2479" t="str">
        <f t="shared" si="206"/>
        <v>ザ・キング・オブ・ファイターズ 2000</v>
      </c>
      <c r="O2479" t="str">
        <f t="shared" si="206"/>
        <v/>
      </c>
      <c r="P2479" t="str">
        <f t="shared" si="206"/>
        <v/>
      </c>
      <c r="T2479" t="str">
        <f t="shared" si="204"/>
        <v/>
      </c>
      <c r="V2479" t="str">
        <f t="shared" si="205"/>
        <v>MVS,AES</v>
      </c>
      <c r="W2479" t="str">
        <f t="shared" si="205"/>
        <v>MVS,AES</v>
      </c>
      <c r="AG2479" t="s">
        <v>6</v>
      </c>
      <c r="AH2479" t="s">
        <v>1867</v>
      </c>
      <c r="AI2479" t="s">
        <v>152</v>
      </c>
      <c r="AJ2479" t="s">
        <v>57</v>
      </c>
      <c r="AK2479" t="s">
        <v>1866</v>
      </c>
      <c r="AL2479" t="s">
        <v>1865</v>
      </c>
    </row>
    <row r="2480" spans="9:40" x14ac:dyDescent="0.25">
      <c r="I2480" t="str">
        <f t="shared" si="202"/>
        <v>kof2000</v>
      </c>
      <c r="J2480" t="str">
        <f t="shared" si="203"/>
        <v/>
      </c>
      <c r="L2480" t="str">
        <f t="shared" si="206"/>
        <v>NGM-2570 (MVS), NGH-2570 (AES)</v>
      </c>
      <c r="M2480" t="str">
        <f t="shared" si="206"/>
        <v>20000726 (MVS), 20001221 (AES)</v>
      </c>
      <c r="N2480" t="str">
        <f t="shared" si="206"/>
        <v>ザ・キング・オブ・ファイターズ 2000</v>
      </c>
      <c r="O2480" t="str">
        <f t="shared" si="206"/>
        <v/>
      </c>
      <c r="P2480" t="str">
        <f t="shared" si="206"/>
        <v/>
      </c>
      <c r="T2480" t="str">
        <f t="shared" si="204"/>
        <v/>
      </c>
      <c r="V2480" t="str">
        <f t="shared" si="205"/>
        <v>MVS,AES</v>
      </c>
      <c r="W2480" t="str">
        <f t="shared" si="205"/>
        <v>MVS,AES</v>
      </c>
      <c r="AG2480" t="s">
        <v>6</v>
      </c>
      <c r="AH2480" t="s">
        <v>1864</v>
      </c>
      <c r="AI2480" t="s">
        <v>148</v>
      </c>
      <c r="AJ2480" t="s">
        <v>57</v>
      </c>
      <c r="AK2480" t="s">
        <v>1863</v>
      </c>
      <c r="AL2480" t="s">
        <v>1862</v>
      </c>
    </row>
    <row r="2481" spans="5:44" x14ac:dyDescent="0.25">
      <c r="E2481" t="s">
        <v>1914</v>
      </c>
      <c r="F2481" t="s">
        <v>1913</v>
      </c>
      <c r="G2481" t="s">
        <v>113</v>
      </c>
      <c r="H2481" t="s">
        <v>1912</v>
      </c>
      <c r="I2481" t="str">
        <f t="shared" si="202"/>
        <v>kof2000n</v>
      </c>
      <c r="J2481" t="str">
        <f t="shared" si="203"/>
        <v>kof2000nserial</v>
      </c>
      <c r="K2481" t="s">
        <v>1373</v>
      </c>
      <c r="L2481" t="str">
        <f t="shared" si="206"/>
        <v>NGM-2570 (MVS), NGH-2570 (AES)</v>
      </c>
      <c r="M2481" t="str">
        <f t="shared" si="206"/>
        <v>20000726 (MVS), 20001221 (AES)</v>
      </c>
      <c r="N2481" t="str">
        <f t="shared" si="206"/>
        <v>ザ・キング・オブ・ファイターズ 2000</v>
      </c>
      <c r="O2481" t="str">
        <f t="shared" si="206"/>
        <v/>
      </c>
      <c r="P2481" t="str">
        <f t="shared" si="206"/>
        <v/>
      </c>
      <c r="Q2481" t="s">
        <v>1911</v>
      </c>
      <c r="S2481" t="s">
        <v>46</v>
      </c>
      <c r="T2481" t="str">
        <f t="shared" si="204"/>
        <v>kof2000nrelease</v>
      </c>
      <c r="U2481" t="s">
        <v>218</v>
      </c>
      <c r="V2481" t="str">
        <f t="shared" si="205"/>
        <v>MVS,AES</v>
      </c>
      <c r="W2481" t="str">
        <f t="shared" si="205"/>
        <v>MVS,AES</v>
      </c>
      <c r="Y2481" t="s">
        <v>45</v>
      </c>
      <c r="Z2481" t="s">
        <v>44</v>
      </c>
      <c r="AB2481" t="s">
        <v>43</v>
      </c>
      <c r="AC2481" t="s">
        <v>42</v>
      </c>
      <c r="AD2481" t="s">
        <v>41</v>
      </c>
      <c r="AE2481" t="s">
        <v>23</v>
      </c>
      <c r="AG2481" t="s">
        <v>40</v>
      </c>
      <c r="AH2481" t="s">
        <v>1910</v>
      </c>
      <c r="AI2481" t="s">
        <v>9</v>
      </c>
      <c r="AJ2481" t="s">
        <v>15</v>
      </c>
      <c r="AK2481" t="s">
        <v>1909</v>
      </c>
      <c r="AL2481" t="s">
        <v>1908</v>
      </c>
      <c r="AP2481" t="s">
        <v>138</v>
      </c>
      <c r="AQ2481" t="s">
        <v>1907</v>
      </c>
      <c r="AR2481" t="s">
        <v>1906</v>
      </c>
    </row>
    <row r="2482" spans="5:44" x14ac:dyDescent="0.25">
      <c r="I2482" t="str">
        <f t="shared" si="202"/>
        <v>kof2000n</v>
      </c>
      <c r="J2482" t="str">
        <f t="shared" si="203"/>
        <v>kof2000nrelease</v>
      </c>
      <c r="K2482" t="s">
        <v>46</v>
      </c>
      <c r="L2482" t="str">
        <f t="shared" si="206"/>
        <v>NGM-2570 (MVS), NGH-2570 (AES)</v>
      </c>
      <c r="M2482" t="str">
        <f t="shared" si="206"/>
        <v>20000726 (MVS), 20001221 (AES)</v>
      </c>
      <c r="N2482" t="str">
        <f t="shared" si="206"/>
        <v>ザ・キング・オブ・ファイターズ 2000</v>
      </c>
      <c r="O2482" t="str">
        <f t="shared" si="206"/>
        <v/>
      </c>
      <c r="P2482" t="str">
        <f t="shared" si="206"/>
        <v/>
      </c>
      <c r="Q2482" t="s">
        <v>1905</v>
      </c>
      <c r="T2482" t="str">
        <f t="shared" si="204"/>
        <v/>
      </c>
      <c r="V2482" t="str">
        <f t="shared" si="205"/>
        <v>MVS,AES</v>
      </c>
      <c r="W2482" t="str">
        <f t="shared" si="205"/>
        <v>MVS,AES</v>
      </c>
      <c r="AG2482" t="s">
        <v>40</v>
      </c>
      <c r="AH2482" t="s">
        <v>1904</v>
      </c>
      <c r="AI2482" t="s">
        <v>15</v>
      </c>
      <c r="AJ2482" t="s">
        <v>11</v>
      </c>
      <c r="AK2482" t="s">
        <v>1903</v>
      </c>
      <c r="AL2482" t="s">
        <v>1902</v>
      </c>
    </row>
    <row r="2483" spans="5:44" x14ac:dyDescent="0.25">
      <c r="I2483" t="str">
        <f t="shared" si="202"/>
        <v>kof2000n</v>
      </c>
      <c r="J2483" t="str">
        <f t="shared" si="203"/>
        <v>kof2000nalt_title</v>
      </c>
      <c r="K2483" t="s">
        <v>1218</v>
      </c>
      <c r="L2483" t="str">
        <f t="shared" si="206"/>
        <v>NGM-2570 (MVS), NGH-2570 (AES)</v>
      </c>
      <c r="M2483" t="str">
        <f t="shared" si="206"/>
        <v>20000726 (MVS), 20001221 (AES)</v>
      </c>
      <c r="N2483" t="str">
        <f t="shared" si="206"/>
        <v>ザ・キング・オブ・ファイターズ 2000</v>
      </c>
      <c r="O2483" t="str">
        <f t="shared" si="206"/>
        <v/>
      </c>
      <c r="P2483" t="str">
        <f t="shared" si="206"/>
        <v/>
      </c>
      <c r="Q2483" t="s">
        <v>1901</v>
      </c>
      <c r="T2483" t="str">
        <f t="shared" si="204"/>
        <v/>
      </c>
      <c r="V2483" t="str">
        <f t="shared" si="205"/>
        <v>MVS,AES</v>
      </c>
      <c r="W2483" t="str">
        <f t="shared" si="205"/>
        <v>MVS,AES</v>
      </c>
      <c r="AB2483" t="s">
        <v>34</v>
      </c>
      <c r="AE2483" t="s">
        <v>480</v>
      </c>
      <c r="AG2483" t="s">
        <v>538</v>
      </c>
      <c r="AI2483" t="s">
        <v>9</v>
      </c>
      <c r="AJ2483" t="s">
        <v>480</v>
      </c>
      <c r="AN2483" t="s">
        <v>537</v>
      </c>
    </row>
    <row r="2484" spans="5:44" x14ac:dyDescent="0.25">
      <c r="I2484" t="str">
        <f t="shared" si="202"/>
        <v>kof2000n</v>
      </c>
      <c r="J2484" t="str">
        <f t="shared" si="203"/>
        <v/>
      </c>
      <c r="L2484" t="str">
        <f t="shared" si="206"/>
        <v>NGM-2570 (MVS), NGH-2570 (AES)</v>
      </c>
      <c r="M2484" t="str">
        <f t="shared" si="206"/>
        <v>20000726 (MVS), 20001221 (AES)</v>
      </c>
      <c r="N2484" t="str">
        <f t="shared" si="206"/>
        <v>ザ・キング・オブ・ファイターズ 2000</v>
      </c>
      <c r="O2484" t="str">
        <f t="shared" si="206"/>
        <v/>
      </c>
      <c r="P2484" t="str">
        <f t="shared" si="206"/>
        <v/>
      </c>
      <c r="S2484" t="s">
        <v>36</v>
      </c>
      <c r="T2484" t="str">
        <f t="shared" si="204"/>
        <v>kof2000ncompatibility</v>
      </c>
      <c r="U2484" t="s">
        <v>218</v>
      </c>
      <c r="V2484" t="str">
        <f t="shared" si="205"/>
        <v>MVS,AES</v>
      </c>
      <c r="W2484" t="str">
        <f t="shared" si="205"/>
        <v>MVS,AES</v>
      </c>
      <c r="AB2484" t="s">
        <v>482</v>
      </c>
      <c r="AE2484" t="s">
        <v>480</v>
      </c>
      <c r="AH2484" t="s">
        <v>1900</v>
      </c>
      <c r="AI2484" t="s">
        <v>314</v>
      </c>
      <c r="AJ2484" t="s">
        <v>318</v>
      </c>
      <c r="AK2484" t="s">
        <v>1899</v>
      </c>
      <c r="AL2484" t="s">
        <v>1898</v>
      </c>
    </row>
    <row r="2485" spans="5:44" x14ac:dyDescent="0.25">
      <c r="I2485" t="str">
        <f t="shared" si="202"/>
        <v>kof2000n</v>
      </c>
      <c r="J2485" t="str">
        <f t="shared" si="203"/>
        <v/>
      </c>
      <c r="L2485" t="str">
        <f t="shared" si="206"/>
        <v>NGM-2570 (MVS), NGH-2570 (AES)</v>
      </c>
      <c r="M2485" t="str">
        <f t="shared" si="206"/>
        <v>20000726 (MVS), 20001221 (AES)</v>
      </c>
      <c r="N2485" t="str">
        <f t="shared" si="206"/>
        <v>ザ・キング・オブ・ファイターズ 2000</v>
      </c>
      <c r="O2485" t="str">
        <f t="shared" si="206"/>
        <v/>
      </c>
      <c r="P2485" t="str">
        <f t="shared" si="206"/>
        <v/>
      </c>
      <c r="T2485" t="str">
        <f t="shared" si="204"/>
        <v/>
      </c>
      <c r="V2485" t="str">
        <f t="shared" si="205"/>
        <v>MVS,AES</v>
      </c>
      <c r="W2485" t="str">
        <f t="shared" si="205"/>
        <v>MVS,AES</v>
      </c>
      <c r="AB2485" t="s">
        <v>24</v>
      </c>
      <c r="AE2485" t="s">
        <v>65</v>
      </c>
      <c r="AH2485" t="s">
        <v>1897</v>
      </c>
      <c r="AI2485" t="s">
        <v>9</v>
      </c>
      <c r="AJ2485" t="s">
        <v>11</v>
      </c>
      <c r="AK2485" t="s">
        <v>1896</v>
      </c>
      <c r="AL2485" t="s">
        <v>1895</v>
      </c>
    </row>
    <row r="2486" spans="5:44" x14ac:dyDescent="0.25">
      <c r="I2486" t="str">
        <f t="shared" si="202"/>
        <v>kof2000n</v>
      </c>
      <c r="J2486" t="str">
        <f t="shared" si="203"/>
        <v/>
      </c>
      <c r="L2486" t="str">
        <f t="shared" si="206"/>
        <v>NGM-2570 (MVS), NGH-2570 (AES)</v>
      </c>
      <c r="M2486" t="str">
        <f t="shared" si="206"/>
        <v>20000726 (MVS), 20001221 (AES)</v>
      </c>
      <c r="N2486" t="str">
        <f t="shared" si="206"/>
        <v>ザ・キング・オブ・ファイターズ 2000</v>
      </c>
      <c r="O2486" t="str">
        <f t="shared" si="206"/>
        <v/>
      </c>
      <c r="P2486" t="str">
        <f t="shared" si="206"/>
        <v/>
      </c>
      <c r="T2486" t="str">
        <f t="shared" si="204"/>
        <v/>
      </c>
      <c r="V2486" t="str">
        <f t="shared" si="205"/>
        <v>MVS,AES</v>
      </c>
      <c r="W2486" t="str">
        <f t="shared" si="205"/>
        <v>MVS,AES</v>
      </c>
      <c r="AH2486" t="s">
        <v>1894</v>
      </c>
      <c r="AI2486" t="s">
        <v>11</v>
      </c>
      <c r="AJ2486" t="s">
        <v>11</v>
      </c>
      <c r="AK2486" t="s">
        <v>1893</v>
      </c>
      <c r="AL2486" t="s">
        <v>1892</v>
      </c>
    </row>
    <row r="2487" spans="5:44" x14ac:dyDescent="0.25">
      <c r="I2487" t="str">
        <f t="shared" si="202"/>
        <v>kof2000n</v>
      </c>
      <c r="J2487" t="str">
        <f t="shared" si="203"/>
        <v/>
      </c>
      <c r="L2487" t="str">
        <f t="shared" si="206"/>
        <v>NGM-2570 (MVS), NGH-2570 (AES)</v>
      </c>
      <c r="M2487" t="str">
        <f t="shared" si="206"/>
        <v>20000726 (MVS), 20001221 (AES)</v>
      </c>
      <c r="N2487" t="str">
        <f t="shared" si="206"/>
        <v>ザ・キング・オブ・ファイターズ 2000</v>
      </c>
      <c r="O2487" t="str">
        <f t="shared" si="206"/>
        <v/>
      </c>
      <c r="P2487" t="str">
        <f t="shared" si="206"/>
        <v/>
      </c>
      <c r="T2487" t="str">
        <f t="shared" si="204"/>
        <v/>
      </c>
      <c r="V2487" t="str">
        <f t="shared" si="205"/>
        <v>MVS,AES</v>
      </c>
      <c r="W2487" t="str">
        <f t="shared" si="205"/>
        <v>MVS,AES</v>
      </c>
      <c r="AH2487" t="s">
        <v>1891</v>
      </c>
      <c r="AI2487" t="s">
        <v>57</v>
      </c>
      <c r="AJ2487" t="s">
        <v>11</v>
      </c>
      <c r="AK2487" t="s">
        <v>1890</v>
      </c>
      <c r="AL2487" t="s">
        <v>1889</v>
      </c>
    </row>
    <row r="2488" spans="5:44" x14ac:dyDescent="0.25">
      <c r="I2488" t="str">
        <f t="shared" si="202"/>
        <v>kof2000n</v>
      </c>
      <c r="J2488" t="str">
        <f t="shared" si="203"/>
        <v/>
      </c>
      <c r="L2488" t="str">
        <f t="shared" si="206"/>
        <v>NGM-2570 (MVS), NGH-2570 (AES)</v>
      </c>
      <c r="M2488" t="str">
        <f t="shared" si="206"/>
        <v>20000726 (MVS), 20001221 (AES)</v>
      </c>
      <c r="N2488" t="str">
        <f t="shared" si="206"/>
        <v>ザ・キング・オブ・ファイターズ 2000</v>
      </c>
      <c r="O2488" t="str">
        <f t="shared" si="206"/>
        <v/>
      </c>
      <c r="P2488" t="str">
        <f t="shared" si="206"/>
        <v/>
      </c>
      <c r="T2488" t="str">
        <f t="shared" si="204"/>
        <v/>
      </c>
      <c r="V2488" t="str">
        <f t="shared" si="205"/>
        <v>MVS,AES</v>
      </c>
      <c r="W2488" t="str">
        <f t="shared" si="205"/>
        <v>MVS,AES</v>
      </c>
      <c r="AH2488" t="s">
        <v>1888</v>
      </c>
      <c r="AI2488" t="s">
        <v>250</v>
      </c>
      <c r="AJ2488" t="s">
        <v>11</v>
      </c>
      <c r="AK2488" t="s">
        <v>1887</v>
      </c>
      <c r="AL2488" t="s">
        <v>1886</v>
      </c>
    </row>
    <row r="2489" spans="5:44" x14ac:dyDescent="0.25">
      <c r="I2489" t="str">
        <f t="shared" si="202"/>
        <v>kof2000n</v>
      </c>
      <c r="J2489" t="str">
        <f t="shared" si="203"/>
        <v/>
      </c>
      <c r="L2489" t="str">
        <f t="shared" si="206"/>
        <v>NGM-2570 (MVS), NGH-2570 (AES)</v>
      </c>
      <c r="M2489" t="str">
        <f t="shared" si="206"/>
        <v>20000726 (MVS), 20001221 (AES)</v>
      </c>
      <c r="N2489" t="str">
        <f t="shared" si="206"/>
        <v>ザ・キング・オブ・ファイターズ 2000</v>
      </c>
      <c r="O2489" t="str">
        <f t="shared" si="206"/>
        <v/>
      </c>
      <c r="P2489" t="str">
        <f t="shared" si="206"/>
        <v/>
      </c>
      <c r="T2489" t="str">
        <f t="shared" si="204"/>
        <v/>
      </c>
      <c r="V2489" t="str">
        <f t="shared" si="205"/>
        <v>MVS,AES</v>
      </c>
      <c r="W2489" t="str">
        <f t="shared" si="205"/>
        <v>MVS,AES</v>
      </c>
      <c r="AB2489" t="s">
        <v>12</v>
      </c>
      <c r="AE2489" t="s">
        <v>175</v>
      </c>
      <c r="AG2489" t="s">
        <v>6</v>
      </c>
      <c r="AH2489" t="s">
        <v>1885</v>
      </c>
      <c r="AI2489" t="s">
        <v>9</v>
      </c>
      <c r="AJ2489" t="s">
        <v>57</v>
      </c>
      <c r="AK2489" t="s">
        <v>1884</v>
      </c>
      <c r="AL2489" t="s">
        <v>1883</v>
      </c>
    </row>
    <row r="2490" spans="5:44" x14ac:dyDescent="0.25">
      <c r="I2490" t="str">
        <f t="shared" si="202"/>
        <v>kof2000n</v>
      </c>
      <c r="J2490" t="str">
        <f t="shared" si="203"/>
        <v/>
      </c>
      <c r="L2490" t="str">
        <f t="shared" si="206"/>
        <v>NGM-2570 (MVS), NGH-2570 (AES)</v>
      </c>
      <c r="M2490" t="str">
        <f t="shared" si="206"/>
        <v>20000726 (MVS), 20001221 (AES)</v>
      </c>
      <c r="N2490" t="str">
        <f t="shared" si="206"/>
        <v>ザ・キング・オブ・ファイターズ 2000</v>
      </c>
      <c r="O2490" t="str">
        <f t="shared" si="206"/>
        <v/>
      </c>
      <c r="P2490" t="str">
        <f t="shared" si="206"/>
        <v/>
      </c>
      <c r="T2490" t="str">
        <f t="shared" si="204"/>
        <v/>
      </c>
      <c r="V2490" t="str">
        <f t="shared" si="205"/>
        <v>MVS,AES</v>
      </c>
      <c r="W2490" t="str">
        <f t="shared" si="205"/>
        <v>MVS,AES</v>
      </c>
      <c r="AG2490" t="s">
        <v>6</v>
      </c>
      <c r="AH2490" t="s">
        <v>1882</v>
      </c>
      <c r="AI2490" t="s">
        <v>4</v>
      </c>
      <c r="AJ2490" t="s">
        <v>57</v>
      </c>
      <c r="AK2490" t="s">
        <v>1881</v>
      </c>
      <c r="AL2490" t="s">
        <v>1880</v>
      </c>
    </row>
    <row r="2491" spans="5:44" x14ac:dyDescent="0.25">
      <c r="I2491" t="str">
        <f t="shared" si="202"/>
        <v>kof2000n</v>
      </c>
      <c r="J2491" t="str">
        <f t="shared" si="203"/>
        <v/>
      </c>
      <c r="L2491" t="str">
        <f t="shared" si="206"/>
        <v>NGM-2570 (MVS), NGH-2570 (AES)</v>
      </c>
      <c r="M2491" t="str">
        <f t="shared" si="206"/>
        <v>20000726 (MVS), 20001221 (AES)</v>
      </c>
      <c r="N2491" t="str">
        <f t="shared" si="206"/>
        <v>ザ・キング・オブ・ファイターズ 2000</v>
      </c>
      <c r="O2491" t="str">
        <f t="shared" si="206"/>
        <v/>
      </c>
      <c r="P2491" t="str">
        <f t="shared" si="206"/>
        <v/>
      </c>
      <c r="T2491" t="str">
        <f t="shared" si="204"/>
        <v/>
      </c>
      <c r="V2491" t="str">
        <f t="shared" si="205"/>
        <v>MVS,AES</v>
      </c>
      <c r="W2491" t="str">
        <f t="shared" si="205"/>
        <v>MVS,AES</v>
      </c>
      <c r="AG2491" t="s">
        <v>6</v>
      </c>
      <c r="AH2491" t="s">
        <v>1879</v>
      </c>
      <c r="AI2491" t="s">
        <v>65</v>
      </c>
      <c r="AJ2491" t="s">
        <v>57</v>
      </c>
      <c r="AK2491" t="s">
        <v>1878</v>
      </c>
      <c r="AL2491" t="s">
        <v>1877</v>
      </c>
    </row>
    <row r="2492" spans="5:44" x14ac:dyDescent="0.25">
      <c r="I2492" t="str">
        <f t="shared" si="202"/>
        <v>kof2000n</v>
      </c>
      <c r="J2492" t="str">
        <f t="shared" si="203"/>
        <v/>
      </c>
      <c r="L2492" t="str">
        <f t="shared" si="206"/>
        <v>NGM-2570 (MVS), NGH-2570 (AES)</v>
      </c>
      <c r="M2492" t="str">
        <f t="shared" si="206"/>
        <v>20000726 (MVS), 20001221 (AES)</v>
      </c>
      <c r="N2492" t="str">
        <f t="shared" si="206"/>
        <v>ザ・キング・オブ・ファイターズ 2000</v>
      </c>
      <c r="O2492" t="str">
        <f t="shared" si="206"/>
        <v/>
      </c>
      <c r="P2492" t="str">
        <f t="shared" si="206"/>
        <v/>
      </c>
      <c r="T2492" t="str">
        <f t="shared" si="204"/>
        <v/>
      </c>
      <c r="V2492" t="str">
        <f t="shared" si="205"/>
        <v>MVS,AES</v>
      </c>
      <c r="W2492" t="str">
        <f t="shared" si="205"/>
        <v>MVS,AES</v>
      </c>
      <c r="AG2492" t="s">
        <v>6</v>
      </c>
      <c r="AH2492" t="s">
        <v>1876</v>
      </c>
      <c r="AI2492" t="s">
        <v>164</v>
      </c>
      <c r="AJ2492" t="s">
        <v>57</v>
      </c>
      <c r="AK2492" t="s">
        <v>1875</v>
      </c>
      <c r="AL2492" t="s">
        <v>1874</v>
      </c>
    </row>
    <row r="2493" spans="5:44" x14ac:dyDescent="0.25">
      <c r="I2493" t="str">
        <f t="shared" si="202"/>
        <v>kof2000n</v>
      </c>
      <c r="J2493" t="str">
        <f t="shared" si="203"/>
        <v/>
      </c>
      <c r="L2493" t="str">
        <f t="shared" si="206"/>
        <v>NGM-2570 (MVS), NGH-2570 (AES)</v>
      </c>
      <c r="M2493" t="str">
        <f t="shared" si="206"/>
        <v>20000726 (MVS), 20001221 (AES)</v>
      </c>
      <c r="N2493" t="str">
        <f t="shared" si="206"/>
        <v>ザ・キング・オブ・ファイターズ 2000</v>
      </c>
      <c r="O2493" t="str">
        <f t="shared" si="206"/>
        <v/>
      </c>
      <c r="P2493" t="str">
        <f t="shared" si="206"/>
        <v/>
      </c>
      <c r="T2493" t="str">
        <f t="shared" si="204"/>
        <v/>
      </c>
      <c r="V2493" t="str">
        <f t="shared" si="205"/>
        <v>MVS,AES</v>
      </c>
      <c r="W2493" t="str">
        <f t="shared" si="205"/>
        <v>MVS,AES</v>
      </c>
      <c r="AG2493" t="s">
        <v>6</v>
      </c>
      <c r="AH2493" t="s">
        <v>1873</v>
      </c>
      <c r="AI2493" t="s">
        <v>160</v>
      </c>
      <c r="AJ2493" t="s">
        <v>57</v>
      </c>
      <c r="AK2493" t="s">
        <v>1872</v>
      </c>
      <c r="AL2493" t="s">
        <v>1871</v>
      </c>
    </row>
    <row r="2494" spans="5:44" x14ac:dyDescent="0.25">
      <c r="I2494" t="str">
        <f t="shared" si="202"/>
        <v>kof2000n</v>
      </c>
      <c r="J2494" t="str">
        <f t="shared" si="203"/>
        <v/>
      </c>
      <c r="L2494" t="str">
        <f t="shared" si="206"/>
        <v>NGM-2570 (MVS), NGH-2570 (AES)</v>
      </c>
      <c r="M2494" t="str">
        <f t="shared" si="206"/>
        <v>20000726 (MVS), 20001221 (AES)</v>
      </c>
      <c r="N2494" t="str">
        <f t="shared" si="206"/>
        <v>ザ・キング・オブ・ファイターズ 2000</v>
      </c>
      <c r="O2494" t="str">
        <f t="shared" si="206"/>
        <v/>
      </c>
      <c r="P2494" t="str">
        <f t="shared" si="206"/>
        <v/>
      </c>
      <c r="T2494" t="str">
        <f t="shared" si="204"/>
        <v/>
      </c>
      <c r="V2494" t="str">
        <f t="shared" si="205"/>
        <v>MVS,AES</v>
      </c>
      <c r="W2494" t="str">
        <f t="shared" si="205"/>
        <v>MVS,AES</v>
      </c>
      <c r="AG2494" t="s">
        <v>6</v>
      </c>
      <c r="AH2494" t="s">
        <v>1870</v>
      </c>
      <c r="AI2494" t="s">
        <v>156</v>
      </c>
      <c r="AJ2494" t="s">
        <v>57</v>
      </c>
      <c r="AK2494" t="s">
        <v>1869</v>
      </c>
      <c r="AL2494" t="s">
        <v>1868</v>
      </c>
    </row>
    <row r="2495" spans="5:44" x14ac:dyDescent="0.25">
      <c r="I2495" t="str">
        <f t="shared" si="202"/>
        <v>kof2000n</v>
      </c>
      <c r="J2495" t="str">
        <f t="shared" si="203"/>
        <v/>
      </c>
      <c r="L2495" t="str">
        <f t="shared" si="206"/>
        <v>NGM-2570 (MVS), NGH-2570 (AES)</v>
      </c>
      <c r="M2495" t="str">
        <f t="shared" si="206"/>
        <v>20000726 (MVS), 20001221 (AES)</v>
      </c>
      <c r="N2495" t="str">
        <f t="shared" si="206"/>
        <v>ザ・キング・オブ・ファイターズ 2000</v>
      </c>
      <c r="O2495" t="str">
        <f t="shared" si="206"/>
        <v/>
      </c>
      <c r="P2495" t="str">
        <f t="shared" si="206"/>
        <v/>
      </c>
      <c r="T2495" t="str">
        <f t="shared" si="204"/>
        <v/>
      </c>
      <c r="V2495" t="str">
        <f t="shared" si="205"/>
        <v>MVS,AES</v>
      </c>
      <c r="W2495" t="str">
        <f t="shared" si="205"/>
        <v>MVS,AES</v>
      </c>
      <c r="AG2495" t="s">
        <v>6</v>
      </c>
      <c r="AH2495" t="s">
        <v>1867</v>
      </c>
      <c r="AI2495" t="s">
        <v>152</v>
      </c>
      <c r="AJ2495" t="s">
        <v>57</v>
      </c>
      <c r="AK2495" t="s">
        <v>1866</v>
      </c>
      <c r="AL2495" t="s">
        <v>1865</v>
      </c>
    </row>
    <row r="2496" spans="5:44" x14ac:dyDescent="0.25">
      <c r="I2496" t="str">
        <f t="shared" si="202"/>
        <v>kof2000n</v>
      </c>
      <c r="J2496" t="str">
        <f t="shared" si="203"/>
        <v/>
      </c>
      <c r="L2496" t="str">
        <f t="shared" si="206"/>
        <v>NGM-2570 (MVS), NGH-2570 (AES)</v>
      </c>
      <c r="M2496" t="str">
        <f t="shared" si="206"/>
        <v>20000726 (MVS), 20001221 (AES)</v>
      </c>
      <c r="N2496" t="str">
        <f t="shared" si="206"/>
        <v>ザ・キング・オブ・ファイターズ 2000</v>
      </c>
      <c r="O2496" t="str">
        <f t="shared" si="206"/>
        <v/>
      </c>
      <c r="P2496" t="str">
        <f t="shared" si="206"/>
        <v/>
      </c>
      <c r="T2496" t="str">
        <f t="shared" si="204"/>
        <v/>
      </c>
      <c r="V2496" t="str">
        <f t="shared" si="205"/>
        <v>MVS,AES</v>
      </c>
      <c r="W2496" t="str">
        <f t="shared" si="205"/>
        <v>MVS,AES</v>
      </c>
      <c r="AG2496" t="s">
        <v>6</v>
      </c>
      <c r="AH2496" t="s">
        <v>1864</v>
      </c>
      <c r="AI2496" t="s">
        <v>148</v>
      </c>
      <c r="AJ2496" t="s">
        <v>57</v>
      </c>
      <c r="AK2496" t="s">
        <v>1863</v>
      </c>
      <c r="AL2496" t="s">
        <v>1862</v>
      </c>
    </row>
    <row r="2497" spans="5:43" x14ac:dyDescent="0.25">
      <c r="E2497" t="s">
        <v>1861</v>
      </c>
      <c r="F2497" t="s">
        <v>1860</v>
      </c>
      <c r="G2497" t="s">
        <v>113</v>
      </c>
      <c r="H2497" t="s">
        <v>1859</v>
      </c>
      <c r="I2497" t="str">
        <f t="shared" si="202"/>
        <v>bangbead</v>
      </c>
      <c r="J2497" t="str">
        <f t="shared" si="203"/>
        <v>bangbeadserial</v>
      </c>
      <c r="K2497" t="s">
        <v>1373</v>
      </c>
      <c r="L2497" t="str">
        <f t="shared" si="206"/>
        <v>NGM-2590?</v>
      </c>
      <c r="M2497" t="str">
        <f t="shared" si="206"/>
        <v/>
      </c>
      <c r="N2497" t="str">
        <f t="shared" si="206"/>
        <v>バン・ビード</v>
      </c>
      <c r="O2497" t="str">
        <f t="shared" si="206"/>
        <v/>
      </c>
      <c r="P2497" t="str">
        <f t="shared" si="206"/>
        <v/>
      </c>
      <c r="Q2497" t="s">
        <v>1858</v>
      </c>
      <c r="S2497" t="s">
        <v>46</v>
      </c>
      <c r="T2497" t="str">
        <f t="shared" si="204"/>
        <v>bangbeadrelease</v>
      </c>
      <c r="U2497" t="s">
        <v>106</v>
      </c>
      <c r="V2497" t="str">
        <f t="shared" si="205"/>
        <v>MVS</v>
      </c>
      <c r="W2497" t="str">
        <f t="shared" si="205"/>
        <v>MVS,AES</v>
      </c>
      <c r="Y2497" t="s">
        <v>45</v>
      </c>
      <c r="Z2497" t="s">
        <v>44</v>
      </c>
      <c r="AB2497" t="s">
        <v>43</v>
      </c>
      <c r="AC2497" t="s">
        <v>42</v>
      </c>
      <c r="AD2497" t="s">
        <v>41</v>
      </c>
      <c r="AE2497" t="s">
        <v>3</v>
      </c>
      <c r="AG2497" t="s">
        <v>40</v>
      </c>
      <c r="AH2497" t="s">
        <v>1857</v>
      </c>
      <c r="AI2497" t="s">
        <v>15</v>
      </c>
      <c r="AJ2497" t="s">
        <v>15</v>
      </c>
      <c r="AK2497" t="s">
        <v>1856</v>
      </c>
      <c r="AL2497" t="s">
        <v>1855</v>
      </c>
      <c r="AP2497" t="s">
        <v>138</v>
      </c>
      <c r="AQ2497" t="s">
        <v>1854</v>
      </c>
    </row>
    <row r="2498" spans="5:43" x14ac:dyDescent="0.25">
      <c r="I2498" t="str">
        <f t="shared" si="202"/>
        <v>bangbead</v>
      </c>
      <c r="J2498" t="str">
        <f t="shared" si="203"/>
        <v>bangbeadalt_title</v>
      </c>
      <c r="K2498" t="s">
        <v>1218</v>
      </c>
      <c r="L2498" t="str">
        <f t="shared" si="206"/>
        <v>NGM-2590?</v>
      </c>
      <c r="M2498" t="str">
        <f t="shared" si="206"/>
        <v/>
      </c>
      <c r="N2498" t="str">
        <f t="shared" si="206"/>
        <v>バン・ビード</v>
      </c>
      <c r="O2498" t="str">
        <f t="shared" si="206"/>
        <v/>
      </c>
      <c r="P2498" t="str">
        <f t="shared" si="206"/>
        <v/>
      </c>
      <c r="Q2498" t="s">
        <v>1853</v>
      </c>
      <c r="T2498" t="str">
        <f t="shared" si="204"/>
        <v/>
      </c>
      <c r="V2498" t="str">
        <f t="shared" si="205"/>
        <v>MVS</v>
      </c>
      <c r="W2498" t="str">
        <f t="shared" si="205"/>
        <v>MVS,AES</v>
      </c>
      <c r="AG2498" t="s">
        <v>224</v>
      </c>
      <c r="AI2498" t="s">
        <v>9</v>
      </c>
      <c r="AJ2498" t="s">
        <v>15</v>
      </c>
    </row>
    <row r="2499" spans="5:43" x14ac:dyDescent="0.25">
      <c r="I2499" t="str">
        <f t="shared" ref="I2499:I2562" si="207">IF(E2499="",I2498,E2499)</f>
        <v>bangbead</v>
      </c>
      <c r="J2499" t="str">
        <f t="shared" ref="J2499:J2562" si="208">IF(K2499="","",I2499&amp;K2499)</f>
        <v/>
      </c>
      <c r="L2499" t="str">
        <f t="shared" si="206"/>
        <v>NGM-2590?</v>
      </c>
      <c r="M2499" t="str">
        <f t="shared" si="206"/>
        <v/>
      </c>
      <c r="N2499" t="str">
        <f t="shared" si="206"/>
        <v>バン・ビード</v>
      </c>
      <c r="O2499" t="str">
        <f t="shared" si="206"/>
        <v/>
      </c>
      <c r="P2499" t="str">
        <f t="shared" si="206"/>
        <v/>
      </c>
      <c r="S2499" t="s">
        <v>36</v>
      </c>
      <c r="T2499" t="str">
        <f t="shared" ref="T2499:T2562" si="209">IF(S2499="","",I2499&amp;S2499)</f>
        <v>bangbeadcompatibility</v>
      </c>
      <c r="U2499" t="s">
        <v>218</v>
      </c>
      <c r="V2499" t="str">
        <f t="shared" si="205"/>
        <v>MVS</v>
      </c>
      <c r="W2499" t="str">
        <f t="shared" si="205"/>
        <v>MVS,AES</v>
      </c>
      <c r="AB2499" t="s">
        <v>34</v>
      </c>
      <c r="AE2499" t="s">
        <v>135</v>
      </c>
      <c r="AG2499" t="s">
        <v>538</v>
      </c>
      <c r="AI2499" t="s">
        <v>9</v>
      </c>
      <c r="AJ2499" t="s">
        <v>135</v>
      </c>
      <c r="AN2499" t="s">
        <v>537</v>
      </c>
    </row>
    <row r="2500" spans="5:43" x14ac:dyDescent="0.25">
      <c r="I2500" t="str">
        <f t="shared" si="207"/>
        <v>bangbead</v>
      </c>
      <c r="J2500" t="str">
        <f t="shared" si="208"/>
        <v/>
      </c>
      <c r="L2500" t="str">
        <f t="shared" si="206"/>
        <v>NGM-2590?</v>
      </c>
      <c r="M2500" t="str">
        <f t="shared" si="206"/>
        <v/>
      </c>
      <c r="N2500" t="str">
        <f t="shared" si="206"/>
        <v>バン・ビード</v>
      </c>
      <c r="O2500" t="str">
        <f t="shared" si="206"/>
        <v/>
      </c>
      <c r="P2500" t="str">
        <f t="shared" si="206"/>
        <v/>
      </c>
      <c r="T2500" t="str">
        <f t="shared" si="209"/>
        <v/>
      </c>
      <c r="V2500" t="str">
        <f t="shared" si="205"/>
        <v>MVS</v>
      </c>
      <c r="W2500" t="str">
        <f t="shared" si="205"/>
        <v>MVS,AES</v>
      </c>
      <c r="AB2500" t="s">
        <v>29</v>
      </c>
      <c r="AE2500" t="s">
        <v>27</v>
      </c>
      <c r="AH2500" t="s">
        <v>1852</v>
      </c>
      <c r="AI2500" t="s">
        <v>9</v>
      </c>
      <c r="AJ2500" t="s">
        <v>27</v>
      </c>
      <c r="AK2500" t="s">
        <v>1851</v>
      </c>
      <c r="AL2500" t="s">
        <v>1850</v>
      </c>
    </row>
    <row r="2501" spans="5:43" x14ac:dyDescent="0.25">
      <c r="I2501" t="str">
        <f t="shared" si="207"/>
        <v>bangbead</v>
      </c>
      <c r="J2501" t="str">
        <f t="shared" si="208"/>
        <v/>
      </c>
      <c r="L2501" t="str">
        <f t="shared" si="206"/>
        <v>NGM-2590?</v>
      </c>
      <c r="M2501" t="str">
        <f t="shared" si="206"/>
        <v/>
      </c>
      <c r="N2501" t="str">
        <f t="shared" si="206"/>
        <v>バン・ビード</v>
      </c>
      <c r="O2501" t="str">
        <f t="shared" si="206"/>
        <v/>
      </c>
      <c r="P2501" t="str">
        <f t="shared" si="206"/>
        <v/>
      </c>
      <c r="T2501" t="str">
        <f t="shared" si="209"/>
        <v/>
      </c>
      <c r="V2501" t="str">
        <f t="shared" si="205"/>
        <v>MVS</v>
      </c>
      <c r="W2501" t="str">
        <f t="shared" si="205"/>
        <v>MVS,AES</v>
      </c>
      <c r="AB2501" t="s">
        <v>24</v>
      </c>
      <c r="AE2501" t="s">
        <v>23</v>
      </c>
      <c r="AH2501" t="s">
        <v>1849</v>
      </c>
      <c r="AI2501" t="s">
        <v>9</v>
      </c>
      <c r="AJ2501" t="s">
        <v>11</v>
      </c>
      <c r="AK2501" t="s">
        <v>1848</v>
      </c>
      <c r="AL2501" t="s">
        <v>1847</v>
      </c>
    </row>
    <row r="2502" spans="5:43" x14ac:dyDescent="0.25">
      <c r="I2502" t="str">
        <f t="shared" si="207"/>
        <v>bangbead</v>
      </c>
      <c r="J2502" t="str">
        <f t="shared" si="208"/>
        <v/>
      </c>
      <c r="L2502" t="str">
        <f t="shared" si="206"/>
        <v>NGM-2590?</v>
      </c>
      <c r="M2502" t="str">
        <f t="shared" si="206"/>
        <v/>
      </c>
      <c r="N2502" t="str">
        <f t="shared" si="206"/>
        <v>バン・ビード</v>
      </c>
      <c r="O2502" t="str">
        <f t="shared" si="206"/>
        <v/>
      </c>
      <c r="P2502" t="str">
        <f t="shared" si="206"/>
        <v/>
      </c>
      <c r="T2502" t="str">
        <f t="shared" si="209"/>
        <v/>
      </c>
      <c r="V2502" t="str">
        <f t="shared" si="205"/>
        <v>MVS</v>
      </c>
      <c r="W2502" t="str">
        <f t="shared" si="205"/>
        <v>MVS,AES</v>
      </c>
      <c r="AH2502" t="s">
        <v>1846</v>
      </c>
      <c r="AI2502" t="s">
        <v>11</v>
      </c>
      <c r="AJ2502" t="s">
        <v>15</v>
      </c>
      <c r="AK2502" t="s">
        <v>1845</v>
      </c>
      <c r="AL2502" t="s">
        <v>1844</v>
      </c>
    </row>
    <row r="2503" spans="5:43" x14ac:dyDescent="0.25">
      <c r="I2503" t="str">
        <f t="shared" si="207"/>
        <v>bangbead</v>
      </c>
      <c r="J2503" t="str">
        <f t="shared" si="208"/>
        <v/>
      </c>
      <c r="L2503" t="str">
        <f t="shared" si="206"/>
        <v>NGM-2590?</v>
      </c>
      <c r="M2503" t="str">
        <f t="shared" si="206"/>
        <v/>
      </c>
      <c r="N2503" t="str">
        <f t="shared" si="206"/>
        <v>バン・ビード</v>
      </c>
      <c r="O2503" t="str">
        <f t="shared" si="206"/>
        <v/>
      </c>
      <c r="P2503" t="str">
        <f t="shared" si="206"/>
        <v/>
      </c>
      <c r="T2503" t="str">
        <f t="shared" si="209"/>
        <v/>
      </c>
      <c r="V2503" t="str">
        <f t="shared" si="205"/>
        <v>MVS</v>
      </c>
      <c r="W2503" t="str">
        <f t="shared" si="205"/>
        <v>MVS,AES</v>
      </c>
      <c r="AB2503" t="s">
        <v>12</v>
      </c>
      <c r="AE2503" t="s">
        <v>65</v>
      </c>
      <c r="AG2503" t="s">
        <v>6</v>
      </c>
      <c r="AH2503" t="s">
        <v>1843</v>
      </c>
      <c r="AI2503" t="s">
        <v>9</v>
      </c>
      <c r="AJ2503" t="s">
        <v>57</v>
      </c>
      <c r="AK2503" t="s">
        <v>1842</v>
      </c>
      <c r="AL2503" t="s">
        <v>1841</v>
      </c>
    </row>
    <row r="2504" spans="5:43" x14ac:dyDescent="0.25">
      <c r="I2504" t="str">
        <f t="shared" si="207"/>
        <v>bangbead</v>
      </c>
      <c r="J2504" t="str">
        <f t="shared" si="208"/>
        <v/>
      </c>
      <c r="L2504" t="str">
        <f t="shared" si="206"/>
        <v>NGM-2590?</v>
      </c>
      <c r="M2504" t="str">
        <f t="shared" si="206"/>
        <v/>
      </c>
      <c r="N2504" t="str">
        <f t="shared" si="206"/>
        <v>バン・ビード</v>
      </c>
      <c r="O2504" t="str">
        <f t="shared" si="206"/>
        <v/>
      </c>
      <c r="P2504" t="str">
        <f t="shared" si="206"/>
        <v/>
      </c>
      <c r="T2504" t="str">
        <f t="shared" si="209"/>
        <v/>
      </c>
      <c r="V2504" t="str">
        <f t="shared" si="205"/>
        <v>MVS</v>
      </c>
      <c r="W2504" t="str">
        <f t="shared" si="205"/>
        <v>MVS,AES</v>
      </c>
      <c r="AG2504" t="s">
        <v>6</v>
      </c>
      <c r="AH2504" t="s">
        <v>1840</v>
      </c>
      <c r="AI2504" t="s">
        <v>4</v>
      </c>
      <c r="AJ2504" t="s">
        <v>57</v>
      </c>
      <c r="AK2504" t="s">
        <v>1839</v>
      </c>
      <c r="AL2504" t="s">
        <v>1838</v>
      </c>
    </row>
    <row r="2505" spans="5:43" x14ac:dyDescent="0.25">
      <c r="E2505" t="s">
        <v>955</v>
      </c>
      <c r="F2505" t="s">
        <v>1837</v>
      </c>
      <c r="G2505" t="s">
        <v>113</v>
      </c>
      <c r="H2505" t="s">
        <v>1836</v>
      </c>
      <c r="I2505" t="str">
        <f t="shared" si="207"/>
        <v>nitd</v>
      </c>
      <c r="J2505" t="str">
        <f t="shared" si="208"/>
        <v>nitdserial</v>
      </c>
      <c r="K2505" t="s">
        <v>1373</v>
      </c>
      <c r="L2505" t="str">
        <f t="shared" si="206"/>
        <v>NGM-2600?</v>
      </c>
      <c r="M2505" t="str">
        <f t="shared" si="206"/>
        <v/>
      </c>
      <c r="N2505" t="str">
        <f t="shared" si="206"/>
        <v>ナイトメアインザダーク</v>
      </c>
      <c r="O2505" t="str">
        <f t="shared" si="206"/>
        <v/>
      </c>
      <c r="P2505" t="str">
        <f t="shared" si="206"/>
        <v/>
      </c>
      <c r="Q2505" t="s">
        <v>1835</v>
      </c>
      <c r="S2505" t="s">
        <v>46</v>
      </c>
      <c r="T2505" t="str">
        <f t="shared" si="209"/>
        <v>nitdrelease</v>
      </c>
      <c r="U2505" t="s">
        <v>106</v>
      </c>
      <c r="V2505" t="str">
        <f t="shared" si="205"/>
        <v>MVS</v>
      </c>
      <c r="W2505" t="str">
        <f t="shared" si="205"/>
        <v>MVS,AES</v>
      </c>
      <c r="Y2505" t="s">
        <v>45</v>
      </c>
      <c r="Z2505" t="s">
        <v>44</v>
      </c>
      <c r="AB2505" t="s">
        <v>43</v>
      </c>
      <c r="AC2505" t="s">
        <v>42</v>
      </c>
      <c r="AD2505" t="s">
        <v>41</v>
      </c>
      <c r="AE2505" t="s">
        <v>15</v>
      </c>
      <c r="AG2505" t="s">
        <v>40</v>
      </c>
      <c r="AH2505" t="s">
        <v>1834</v>
      </c>
      <c r="AI2505" t="s">
        <v>9</v>
      </c>
      <c r="AJ2505" t="s">
        <v>92</v>
      </c>
      <c r="AK2505" t="s">
        <v>1833</v>
      </c>
      <c r="AL2505" t="s">
        <v>1832</v>
      </c>
      <c r="AP2505" t="s">
        <v>138</v>
      </c>
      <c r="AQ2505" t="s">
        <v>1831</v>
      </c>
    </row>
    <row r="2506" spans="5:43" x14ac:dyDescent="0.25">
      <c r="I2506" t="str">
        <f t="shared" si="207"/>
        <v>nitd</v>
      </c>
      <c r="J2506" t="str">
        <f t="shared" si="208"/>
        <v>nitdalt_title</v>
      </c>
      <c r="K2506" t="s">
        <v>1218</v>
      </c>
      <c r="L2506" t="str">
        <f t="shared" si="206"/>
        <v>NGM-2600?</v>
      </c>
      <c r="M2506" t="str">
        <f t="shared" si="206"/>
        <v/>
      </c>
      <c r="N2506" t="str">
        <f t="shared" si="206"/>
        <v>ナイトメアインザダーク</v>
      </c>
      <c r="O2506" t="str">
        <f t="shared" si="206"/>
        <v/>
      </c>
      <c r="P2506" t="str">
        <f t="shared" si="206"/>
        <v/>
      </c>
      <c r="Q2506" t="s">
        <v>1830</v>
      </c>
      <c r="T2506" t="str">
        <f t="shared" si="209"/>
        <v/>
      </c>
      <c r="V2506" t="str">
        <f t="shared" si="205"/>
        <v>MVS</v>
      </c>
      <c r="W2506" t="str">
        <f t="shared" si="205"/>
        <v>MVS,AES</v>
      </c>
      <c r="AB2506" t="s">
        <v>34</v>
      </c>
      <c r="AE2506" t="s">
        <v>135</v>
      </c>
      <c r="AG2506" t="s">
        <v>538</v>
      </c>
      <c r="AI2506" t="s">
        <v>9</v>
      </c>
      <c r="AJ2506" t="s">
        <v>135</v>
      </c>
      <c r="AN2506" t="s">
        <v>537</v>
      </c>
    </row>
    <row r="2507" spans="5:43" x14ac:dyDescent="0.25">
      <c r="I2507" t="str">
        <f t="shared" si="207"/>
        <v>nitd</v>
      </c>
      <c r="J2507" t="str">
        <f t="shared" si="208"/>
        <v/>
      </c>
      <c r="L2507" t="str">
        <f t="shared" si="206"/>
        <v>NGM-2600?</v>
      </c>
      <c r="M2507" t="str">
        <f t="shared" si="206"/>
        <v/>
      </c>
      <c r="N2507" t="str">
        <f t="shared" si="206"/>
        <v>ナイトメアインザダーク</v>
      </c>
      <c r="O2507" t="str">
        <f t="shared" si="206"/>
        <v/>
      </c>
      <c r="P2507" t="str">
        <f t="shared" si="206"/>
        <v/>
      </c>
      <c r="S2507" t="s">
        <v>36</v>
      </c>
      <c r="T2507" t="str">
        <f t="shared" si="209"/>
        <v>nitdcompatibility</v>
      </c>
      <c r="U2507" t="s">
        <v>218</v>
      </c>
      <c r="V2507" t="str">
        <f t="shared" si="205"/>
        <v>MVS</v>
      </c>
      <c r="W2507" t="str">
        <f t="shared" si="205"/>
        <v>MVS,AES</v>
      </c>
      <c r="AB2507" t="s">
        <v>29</v>
      </c>
      <c r="AE2507" t="s">
        <v>92</v>
      </c>
      <c r="AH2507" t="s">
        <v>951</v>
      </c>
      <c r="AI2507" t="s">
        <v>9</v>
      </c>
      <c r="AJ2507" t="s">
        <v>92</v>
      </c>
      <c r="AK2507" t="s">
        <v>950</v>
      </c>
      <c r="AL2507" t="s">
        <v>949</v>
      </c>
    </row>
    <row r="2508" spans="5:43" x14ac:dyDescent="0.25">
      <c r="I2508" t="str">
        <f t="shared" si="207"/>
        <v>nitd</v>
      </c>
      <c r="J2508" t="str">
        <f t="shared" si="208"/>
        <v/>
      </c>
      <c r="L2508" t="str">
        <f t="shared" si="206"/>
        <v>NGM-2600?</v>
      </c>
      <c r="M2508" t="str">
        <f t="shared" si="206"/>
        <v/>
      </c>
      <c r="N2508" t="str">
        <f t="shared" si="206"/>
        <v>ナイトメアインザダーク</v>
      </c>
      <c r="O2508" t="str">
        <f t="shared" si="206"/>
        <v/>
      </c>
      <c r="P2508" t="str">
        <f t="shared" si="206"/>
        <v/>
      </c>
      <c r="T2508" t="str">
        <f t="shared" si="209"/>
        <v/>
      </c>
      <c r="V2508" t="str">
        <f t="shared" si="205"/>
        <v>MVS</v>
      </c>
      <c r="W2508" t="str">
        <f t="shared" si="205"/>
        <v>MVS,AES</v>
      </c>
      <c r="AB2508" t="s">
        <v>24</v>
      </c>
      <c r="AE2508" t="s">
        <v>11</v>
      </c>
      <c r="AH2508" t="s">
        <v>1829</v>
      </c>
      <c r="AI2508" t="s">
        <v>9</v>
      </c>
      <c r="AJ2508" t="s">
        <v>11</v>
      </c>
      <c r="AK2508" t="s">
        <v>1828</v>
      </c>
      <c r="AL2508" t="s">
        <v>1827</v>
      </c>
    </row>
    <row r="2509" spans="5:43" x14ac:dyDescent="0.25">
      <c r="I2509" t="str">
        <f t="shared" si="207"/>
        <v>nitd</v>
      </c>
      <c r="J2509" t="str">
        <f t="shared" si="208"/>
        <v/>
      </c>
      <c r="L2509" t="str">
        <f t="shared" si="206"/>
        <v>NGM-2600?</v>
      </c>
      <c r="M2509" t="str">
        <f t="shared" si="206"/>
        <v/>
      </c>
      <c r="N2509" t="str">
        <f t="shared" si="206"/>
        <v>ナイトメアインザダーク</v>
      </c>
      <c r="O2509" t="str">
        <f t="shared" si="206"/>
        <v/>
      </c>
      <c r="P2509" t="str">
        <f t="shared" si="206"/>
        <v/>
      </c>
      <c r="T2509" t="str">
        <f t="shared" si="209"/>
        <v/>
      </c>
      <c r="V2509" t="str">
        <f t="shared" si="205"/>
        <v>MVS</v>
      </c>
      <c r="W2509" t="str">
        <f t="shared" si="205"/>
        <v>MVS,AES</v>
      </c>
      <c r="AB2509" t="s">
        <v>12</v>
      </c>
      <c r="AE2509" t="s">
        <v>65</v>
      </c>
      <c r="AG2509" t="s">
        <v>6</v>
      </c>
      <c r="AH2509" t="s">
        <v>1826</v>
      </c>
      <c r="AI2509" t="s">
        <v>9</v>
      </c>
      <c r="AJ2509" t="s">
        <v>57</v>
      </c>
      <c r="AK2509" t="s">
        <v>1825</v>
      </c>
      <c r="AL2509" t="s">
        <v>1824</v>
      </c>
    </row>
    <row r="2510" spans="5:43" x14ac:dyDescent="0.25">
      <c r="I2510" t="str">
        <f t="shared" si="207"/>
        <v>nitd</v>
      </c>
      <c r="J2510" t="str">
        <f t="shared" si="208"/>
        <v/>
      </c>
      <c r="L2510" t="str">
        <f t="shared" si="206"/>
        <v>NGM-2600?</v>
      </c>
      <c r="M2510" t="str">
        <f t="shared" si="206"/>
        <v/>
      </c>
      <c r="N2510" t="str">
        <f t="shared" si="206"/>
        <v>ナイトメアインザダーク</v>
      </c>
      <c r="O2510" t="str">
        <f t="shared" si="206"/>
        <v/>
      </c>
      <c r="P2510" t="str">
        <f t="shared" si="206"/>
        <v/>
      </c>
      <c r="T2510" t="str">
        <f t="shared" si="209"/>
        <v/>
      </c>
      <c r="V2510" t="str">
        <f t="shared" si="205"/>
        <v>MVS</v>
      </c>
      <c r="W2510" t="str">
        <f t="shared" si="205"/>
        <v>MVS,AES</v>
      </c>
      <c r="AG2510" t="s">
        <v>6</v>
      </c>
      <c r="AH2510" t="s">
        <v>1823</v>
      </c>
      <c r="AI2510" t="s">
        <v>4</v>
      </c>
      <c r="AJ2510" t="s">
        <v>57</v>
      </c>
      <c r="AK2510" t="s">
        <v>1822</v>
      </c>
      <c r="AL2510" t="s">
        <v>1821</v>
      </c>
    </row>
    <row r="2511" spans="5:43" x14ac:dyDescent="0.25">
      <c r="E2511" t="s">
        <v>1808</v>
      </c>
      <c r="F2511" t="s">
        <v>1820</v>
      </c>
      <c r="G2511" t="s">
        <v>959</v>
      </c>
      <c r="H2511" t="s">
        <v>1814</v>
      </c>
      <c r="I2511" t="str">
        <f t="shared" si="207"/>
        <v>sengoku3</v>
      </c>
      <c r="J2511" t="str">
        <f t="shared" si="208"/>
        <v>sengoku3serial</v>
      </c>
      <c r="K2511" t="s">
        <v>1373</v>
      </c>
      <c r="L2511" t="str">
        <f t="shared" si="206"/>
        <v>NGM-2610</v>
      </c>
      <c r="M2511" t="str">
        <f t="shared" si="206"/>
        <v>20010718</v>
      </c>
      <c r="N2511" t="str">
        <f t="shared" si="206"/>
        <v>戦国伝承2001</v>
      </c>
      <c r="O2511" t="str">
        <f t="shared" si="206"/>
        <v/>
      </c>
      <c r="P2511" t="str">
        <f t="shared" si="206"/>
        <v/>
      </c>
      <c r="Q2511" t="s">
        <v>1813</v>
      </c>
      <c r="S2511" t="s">
        <v>46</v>
      </c>
      <c r="T2511" t="str">
        <f t="shared" si="209"/>
        <v>sengoku3release</v>
      </c>
      <c r="U2511" t="s">
        <v>106</v>
      </c>
      <c r="V2511" t="str">
        <f t="shared" si="205"/>
        <v>MVS</v>
      </c>
      <c r="W2511" t="str">
        <f t="shared" si="205"/>
        <v>MVS,AES</v>
      </c>
      <c r="Y2511" t="s">
        <v>45</v>
      </c>
      <c r="Z2511" t="s">
        <v>44</v>
      </c>
      <c r="AB2511" t="s">
        <v>43</v>
      </c>
      <c r="AC2511" t="s">
        <v>42</v>
      </c>
      <c r="AD2511" t="s">
        <v>41</v>
      </c>
      <c r="AE2511" t="s">
        <v>3</v>
      </c>
      <c r="AG2511" t="s">
        <v>40</v>
      </c>
      <c r="AH2511" t="s">
        <v>1819</v>
      </c>
      <c r="AI2511" t="s">
        <v>15</v>
      </c>
      <c r="AJ2511" t="s">
        <v>15</v>
      </c>
      <c r="AK2511" t="s">
        <v>1818</v>
      </c>
      <c r="AL2511" t="s">
        <v>1817</v>
      </c>
      <c r="AP2511" t="s">
        <v>138</v>
      </c>
      <c r="AQ2511" t="s">
        <v>1809</v>
      </c>
    </row>
    <row r="2512" spans="5:43" x14ac:dyDescent="0.25">
      <c r="I2512" t="str">
        <f t="shared" si="207"/>
        <v>sengoku3</v>
      </c>
      <c r="J2512" t="str">
        <f t="shared" si="208"/>
        <v>sengoku3release</v>
      </c>
      <c r="K2512" t="s">
        <v>46</v>
      </c>
      <c r="L2512" t="str">
        <f t="shared" si="206"/>
        <v>NGM-2610</v>
      </c>
      <c r="M2512" t="str">
        <f t="shared" si="206"/>
        <v>20010718</v>
      </c>
      <c r="N2512" t="str">
        <f t="shared" si="206"/>
        <v>戦国伝承2001</v>
      </c>
      <c r="O2512" t="str">
        <f t="shared" si="206"/>
        <v/>
      </c>
      <c r="P2512" t="str">
        <f t="shared" si="206"/>
        <v/>
      </c>
      <c r="Q2512" t="s">
        <v>1807</v>
      </c>
      <c r="T2512" t="str">
        <f t="shared" si="209"/>
        <v/>
      </c>
      <c r="V2512" t="str">
        <f t="shared" si="205"/>
        <v>MVS</v>
      </c>
      <c r="W2512" t="str">
        <f t="shared" si="205"/>
        <v>MVS,AES</v>
      </c>
      <c r="AG2512" t="s">
        <v>224</v>
      </c>
      <c r="AI2512" t="s">
        <v>9</v>
      </c>
      <c r="AJ2512" t="s">
        <v>15</v>
      </c>
    </row>
    <row r="2513" spans="5:44" x14ac:dyDescent="0.25">
      <c r="I2513" t="str">
        <f t="shared" si="207"/>
        <v>sengoku3</v>
      </c>
      <c r="J2513" t="str">
        <f t="shared" si="208"/>
        <v>sengoku3alt_title</v>
      </c>
      <c r="K2513" t="s">
        <v>1218</v>
      </c>
      <c r="L2513" t="str">
        <f t="shared" si="206"/>
        <v>NGM-2610</v>
      </c>
      <c r="M2513" t="str">
        <f t="shared" si="206"/>
        <v>20010718</v>
      </c>
      <c r="N2513" t="str">
        <f t="shared" si="206"/>
        <v>戦国伝承2001</v>
      </c>
      <c r="O2513" t="str">
        <f t="shared" si="206"/>
        <v/>
      </c>
      <c r="P2513" t="str">
        <f t="shared" si="206"/>
        <v/>
      </c>
      <c r="Q2513" t="s">
        <v>1806</v>
      </c>
      <c r="T2513" t="str">
        <f t="shared" si="209"/>
        <v/>
      </c>
      <c r="V2513" t="str">
        <f t="shared" si="205"/>
        <v>MVS</v>
      </c>
      <c r="W2513" t="str">
        <f t="shared" si="205"/>
        <v>MVS,AES</v>
      </c>
      <c r="AB2513" t="s">
        <v>34</v>
      </c>
      <c r="AE2513" t="s">
        <v>135</v>
      </c>
      <c r="AG2513" t="s">
        <v>538</v>
      </c>
      <c r="AI2513" t="s">
        <v>9</v>
      </c>
      <c r="AJ2513" t="s">
        <v>135</v>
      </c>
      <c r="AN2513" t="s">
        <v>537</v>
      </c>
    </row>
    <row r="2514" spans="5:44" x14ac:dyDescent="0.25">
      <c r="I2514" t="str">
        <f t="shared" si="207"/>
        <v>sengoku3</v>
      </c>
      <c r="J2514" t="str">
        <f t="shared" si="208"/>
        <v/>
      </c>
      <c r="L2514" t="str">
        <f t="shared" ref="L2514:P2564" si="210">IFERROR(VLOOKUP($I2514&amp;L$1,$J:$Q,8,0),"")</f>
        <v>NGM-2610</v>
      </c>
      <c r="M2514" t="str">
        <f t="shared" si="210"/>
        <v>20010718</v>
      </c>
      <c r="N2514" t="str">
        <f t="shared" si="210"/>
        <v>戦国伝承2001</v>
      </c>
      <c r="O2514" t="str">
        <f t="shared" si="210"/>
        <v/>
      </c>
      <c r="P2514" t="str">
        <f t="shared" si="210"/>
        <v/>
      </c>
      <c r="S2514" t="s">
        <v>36</v>
      </c>
      <c r="T2514" t="str">
        <f t="shared" si="209"/>
        <v>sengoku3compatibility</v>
      </c>
      <c r="U2514" t="s">
        <v>218</v>
      </c>
      <c r="V2514" t="str">
        <f t="shared" si="205"/>
        <v>MVS</v>
      </c>
      <c r="W2514" t="str">
        <f t="shared" si="205"/>
        <v>MVS,AES</v>
      </c>
      <c r="AB2514" t="s">
        <v>29</v>
      </c>
      <c r="AE2514" t="s">
        <v>92</v>
      </c>
      <c r="AH2514" t="s">
        <v>1805</v>
      </c>
      <c r="AI2514" t="s">
        <v>9</v>
      </c>
      <c r="AJ2514" t="s">
        <v>92</v>
      </c>
      <c r="AK2514" t="s">
        <v>1804</v>
      </c>
      <c r="AL2514" t="s">
        <v>1803</v>
      </c>
    </row>
    <row r="2515" spans="5:44" x14ac:dyDescent="0.25">
      <c r="I2515" t="str">
        <f t="shared" si="207"/>
        <v>sengoku3</v>
      </c>
      <c r="J2515" t="str">
        <f t="shared" si="208"/>
        <v/>
      </c>
      <c r="L2515" t="str">
        <f t="shared" si="210"/>
        <v>NGM-2610</v>
      </c>
      <c r="M2515" t="str">
        <f t="shared" si="210"/>
        <v>20010718</v>
      </c>
      <c r="N2515" t="str">
        <f t="shared" si="210"/>
        <v>戦国伝承2001</v>
      </c>
      <c r="O2515" t="str">
        <f t="shared" si="210"/>
        <v/>
      </c>
      <c r="P2515" t="str">
        <f t="shared" si="210"/>
        <v/>
      </c>
      <c r="T2515" t="str">
        <f t="shared" si="209"/>
        <v/>
      </c>
      <c r="V2515" t="str">
        <f t="shared" si="205"/>
        <v>MVS</v>
      </c>
      <c r="W2515" t="str">
        <f t="shared" si="205"/>
        <v>MVS,AES</v>
      </c>
      <c r="AB2515" t="s">
        <v>24</v>
      </c>
      <c r="AE2515" t="s">
        <v>1802</v>
      </c>
      <c r="AH2515" t="s">
        <v>1801</v>
      </c>
      <c r="AI2515" t="s">
        <v>9</v>
      </c>
      <c r="AJ2515" t="s">
        <v>11</v>
      </c>
      <c r="AK2515" t="s">
        <v>1800</v>
      </c>
      <c r="AL2515" t="s">
        <v>1799</v>
      </c>
    </row>
    <row r="2516" spans="5:44" x14ac:dyDescent="0.25">
      <c r="I2516" t="str">
        <f t="shared" si="207"/>
        <v>sengoku3</v>
      </c>
      <c r="J2516" t="str">
        <f t="shared" si="208"/>
        <v/>
      </c>
      <c r="L2516" t="str">
        <f t="shared" si="210"/>
        <v>NGM-2610</v>
      </c>
      <c r="M2516" t="str">
        <f t="shared" si="210"/>
        <v>20010718</v>
      </c>
      <c r="N2516" t="str">
        <f t="shared" si="210"/>
        <v>戦国伝承2001</v>
      </c>
      <c r="O2516" t="str">
        <f t="shared" si="210"/>
        <v/>
      </c>
      <c r="P2516" t="str">
        <f t="shared" si="210"/>
        <v/>
      </c>
      <c r="T2516" t="str">
        <f t="shared" si="209"/>
        <v/>
      </c>
      <c r="V2516" t="str">
        <f t="shared" si="205"/>
        <v>MVS</v>
      </c>
      <c r="W2516" t="str">
        <f t="shared" si="205"/>
        <v>MVS,AES</v>
      </c>
      <c r="AH2516" t="s">
        <v>1798</v>
      </c>
      <c r="AI2516" t="s">
        <v>11</v>
      </c>
      <c r="AJ2516" t="s">
        <v>11</v>
      </c>
      <c r="AK2516" t="s">
        <v>1797</v>
      </c>
      <c r="AL2516" t="s">
        <v>1796</v>
      </c>
    </row>
    <row r="2517" spans="5:44" x14ac:dyDescent="0.25">
      <c r="I2517" t="str">
        <f t="shared" si="207"/>
        <v>sengoku3</v>
      </c>
      <c r="J2517" t="str">
        <f t="shared" si="208"/>
        <v/>
      </c>
      <c r="L2517" t="str">
        <f t="shared" si="210"/>
        <v>NGM-2610</v>
      </c>
      <c r="M2517" t="str">
        <f t="shared" si="210"/>
        <v>20010718</v>
      </c>
      <c r="N2517" t="str">
        <f t="shared" si="210"/>
        <v>戦国伝承2001</v>
      </c>
      <c r="O2517" t="str">
        <f t="shared" si="210"/>
        <v/>
      </c>
      <c r="P2517" t="str">
        <f t="shared" si="210"/>
        <v/>
      </c>
      <c r="T2517" t="str">
        <f t="shared" si="209"/>
        <v/>
      </c>
      <c r="V2517" t="str">
        <f t="shared" si="205"/>
        <v>MVS</v>
      </c>
      <c r="W2517" t="str">
        <f t="shared" si="205"/>
        <v>MVS,AES</v>
      </c>
      <c r="AH2517" t="s">
        <v>1795</v>
      </c>
      <c r="AI2517" t="s">
        <v>57</v>
      </c>
      <c r="AJ2517" t="s">
        <v>11</v>
      </c>
      <c r="AK2517" t="s">
        <v>1794</v>
      </c>
      <c r="AL2517" t="s">
        <v>1793</v>
      </c>
    </row>
    <row r="2518" spans="5:44" x14ac:dyDescent="0.25">
      <c r="I2518" t="str">
        <f t="shared" si="207"/>
        <v>sengoku3</v>
      </c>
      <c r="J2518" t="str">
        <f t="shared" si="208"/>
        <v/>
      </c>
      <c r="L2518" t="str">
        <f t="shared" si="210"/>
        <v>NGM-2610</v>
      </c>
      <c r="M2518" t="str">
        <f t="shared" si="210"/>
        <v>20010718</v>
      </c>
      <c r="N2518" t="str">
        <f t="shared" si="210"/>
        <v>戦国伝承2001</v>
      </c>
      <c r="O2518" t="str">
        <f t="shared" si="210"/>
        <v/>
      </c>
      <c r="P2518" t="str">
        <f t="shared" si="210"/>
        <v/>
      </c>
      <c r="T2518" t="str">
        <f t="shared" si="209"/>
        <v/>
      </c>
      <c r="V2518" t="str">
        <f t="shared" si="205"/>
        <v>MVS</v>
      </c>
      <c r="W2518" t="str">
        <f t="shared" si="205"/>
        <v>MVS,AES</v>
      </c>
      <c r="AH2518" t="s">
        <v>1792</v>
      </c>
      <c r="AI2518" t="s">
        <v>250</v>
      </c>
      <c r="AJ2518" t="s">
        <v>3</v>
      </c>
      <c r="AK2518" t="s">
        <v>1791</v>
      </c>
      <c r="AL2518" t="s">
        <v>1790</v>
      </c>
    </row>
    <row r="2519" spans="5:44" x14ac:dyDescent="0.25">
      <c r="I2519" t="str">
        <f t="shared" si="207"/>
        <v>sengoku3</v>
      </c>
      <c r="J2519" t="str">
        <f t="shared" si="208"/>
        <v/>
      </c>
      <c r="L2519" t="str">
        <f t="shared" si="210"/>
        <v>NGM-2610</v>
      </c>
      <c r="M2519" t="str">
        <f t="shared" si="210"/>
        <v>20010718</v>
      </c>
      <c r="N2519" t="str">
        <f t="shared" si="210"/>
        <v>戦国伝承2001</v>
      </c>
      <c r="O2519" t="str">
        <f t="shared" si="210"/>
        <v/>
      </c>
      <c r="P2519" t="str">
        <f t="shared" si="210"/>
        <v/>
      </c>
      <c r="T2519" t="str">
        <f t="shared" si="209"/>
        <v/>
      </c>
      <c r="V2519" t="str">
        <f t="shared" ref="V2519:W2582" si="211">IFERROR(VLOOKUP($I2519&amp;V$1,$T:$AA,2,0),"")</f>
        <v>MVS</v>
      </c>
      <c r="W2519" t="str">
        <f t="shared" si="211"/>
        <v>MVS,AES</v>
      </c>
      <c r="AB2519" t="s">
        <v>12</v>
      </c>
      <c r="AE2519" t="s">
        <v>160</v>
      </c>
      <c r="AG2519" t="s">
        <v>6</v>
      </c>
      <c r="AH2519" t="s">
        <v>1789</v>
      </c>
      <c r="AI2519" t="s">
        <v>9</v>
      </c>
      <c r="AJ2519" t="s">
        <v>57</v>
      </c>
      <c r="AK2519" t="s">
        <v>1788</v>
      </c>
      <c r="AL2519" t="s">
        <v>1787</v>
      </c>
    </row>
    <row r="2520" spans="5:44" x14ac:dyDescent="0.25">
      <c r="I2520" t="str">
        <f t="shared" si="207"/>
        <v>sengoku3</v>
      </c>
      <c r="J2520" t="str">
        <f t="shared" si="208"/>
        <v/>
      </c>
      <c r="L2520" t="str">
        <f t="shared" si="210"/>
        <v>NGM-2610</v>
      </c>
      <c r="M2520" t="str">
        <f t="shared" si="210"/>
        <v>20010718</v>
      </c>
      <c r="N2520" t="str">
        <f t="shared" si="210"/>
        <v>戦国伝承2001</v>
      </c>
      <c r="O2520" t="str">
        <f t="shared" si="210"/>
        <v/>
      </c>
      <c r="P2520" t="str">
        <f t="shared" si="210"/>
        <v/>
      </c>
      <c r="T2520" t="str">
        <f t="shared" si="209"/>
        <v/>
      </c>
      <c r="V2520" t="str">
        <f t="shared" si="211"/>
        <v>MVS</v>
      </c>
      <c r="W2520" t="str">
        <f t="shared" si="211"/>
        <v>MVS,AES</v>
      </c>
      <c r="AG2520" t="s">
        <v>6</v>
      </c>
      <c r="AH2520" t="s">
        <v>1786</v>
      </c>
      <c r="AI2520" t="s">
        <v>4</v>
      </c>
      <c r="AJ2520" t="s">
        <v>57</v>
      </c>
      <c r="AK2520" t="s">
        <v>1785</v>
      </c>
      <c r="AL2520" t="s">
        <v>1784</v>
      </c>
    </row>
    <row r="2521" spans="5:44" x14ac:dyDescent="0.25">
      <c r="I2521" t="str">
        <f t="shared" si="207"/>
        <v>sengoku3</v>
      </c>
      <c r="J2521" t="str">
        <f t="shared" si="208"/>
        <v/>
      </c>
      <c r="L2521" t="str">
        <f t="shared" si="210"/>
        <v>NGM-2610</v>
      </c>
      <c r="M2521" t="str">
        <f t="shared" si="210"/>
        <v>20010718</v>
      </c>
      <c r="N2521" t="str">
        <f t="shared" si="210"/>
        <v>戦国伝承2001</v>
      </c>
      <c r="O2521" t="str">
        <f t="shared" si="210"/>
        <v/>
      </c>
      <c r="P2521" t="str">
        <f t="shared" si="210"/>
        <v/>
      </c>
      <c r="T2521" t="str">
        <f t="shared" si="209"/>
        <v/>
      </c>
      <c r="V2521" t="str">
        <f t="shared" si="211"/>
        <v>MVS</v>
      </c>
      <c r="W2521" t="str">
        <f t="shared" si="211"/>
        <v>MVS,AES</v>
      </c>
      <c r="AG2521" t="s">
        <v>6</v>
      </c>
      <c r="AH2521" t="s">
        <v>1783</v>
      </c>
      <c r="AI2521" t="s">
        <v>65</v>
      </c>
      <c r="AJ2521" t="s">
        <v>57</v>
      </c>
      <c r="AK2521" t="s">
        <v>1782</v>
      </c>
      <c r="AL2521" t="s">
        <v>1781</v>
      </c>
    </row>
    <row r="2522" spans="5:44" x14ac:dyDescent="0.25">
      <c r="I2522" t="str">
        <f t="shared" si="207"/>
        <v>sengoku3</v>
      </c>
      <c r="J2522" t="str">
        <f t="shared" si="208"/>
        <v/>
      </c>
      <c r="L2522" t="str">
        <f t="shared" si="210"/>
        <v>NGM-2610</v>
      </c>
      <c r="M2522" t="str">
        <f t="shared" si="210"/>
        <v>20010718</v>
      </c>
      <c r="N2522" t="str">
        <f t="shared" si="210"/>
        <v>戦国伝承2001</v>
      </c>
      <c r="O2522" t="str">
        <f t="shared" si="210"/>
        <v/>
      </c>
      <c r="P2522" t="str">
        <f t="shared" si="210"/>
        <v/>
      </c>
      <c r="T2522" t="str">
        <f t="shared" si="209"/>
        <v/>
      </c>
      <c r="V2522" t="str">
        <f t="shared" si="211"/>
        <v>MVS</v>
      </c>
      <c r="W2522" t="str">
        <f t="shared" si="211"/>
        <v>MVS,AES</v>
      </c>
      <c r="AG2522" t="s">
        <v>6</v>
      </c>
      <c r="AH2522" t="s">
        <v>1780</v>
      </c>
      <c r="AI2522" t="s">
        <v>164</v>
      </c>
      <c r="AJ2522" t="s">
        <v>57</v>
      </c>
      <c r="AK2522" t="s">
        <v>1779</v>
      </c>
      <c r="AL2522" t="s">
        <v>1778</v>
      </c>
    </row>
    <row r="2523" spans="5:44" x14ac:dyDescent="0.25">
      <c r="E2523" t="s">
        <v>1816</v>
      </c>
      <c r="F2523" t="s">
        <v>1815</v>
      </c>
      <c r="G2523" t="s">
        <v>959</v>
      </c>
      <c r="H2523" t="s">
        <v>1814</v>
      </c>
      <c r="I2523" t="str">
        <f t="shared" si="207"/>
        <v>sengoku3a</v>
      </c>
      <c r="J2523" t="str">
        <f t="shared" si="208"/>
        <v>sengoku3aserial</v>
      </c>
      <c r="K2523" t="s">
        <v>1373</v>
      </c>
      <c r="L2523" t="str">
        <f t="shared" si="210"/>
        <v>NGM-2610</v>
      </c>
      <c r="M2523" t="str">
        <f t="shared" si="210"/>
        <v>20010718</v>
      </c>
      <c r="N2523" t="str">
        <f t="shared" si="210"/>
        <v>戦国伝承2001</v>
      </c>
      <c r="O2523" t="str">
        <f t="shared" si="210"/>
        <v/>
      </c>
      <c r="P2523" t="str">
        <f t="shared" si="210"/>
        <v/>
      </c>
      <c r="Q2523" t="s">
        <v>1813</v>
      </c>
      <c r="S2523" t="s">
        <v>46</v>
      </c>
      <c r="T2523" t="str">
        <f t="shared" si="209"/>
        <v>sengoku3arelease</v>
      </c>
      <c r="U2523" t="s">
        <v>106</v>
      </c>
      <c r="V2523" t="str">
        <f t="shared" si="211"/>
        <v>MVS</v>
      </c>
      <c r="W2523" t="str">
        <f t="shared" si="211"/>
        <v>MVS,AES</v>
      </c>
      <c r="Y2523" t="s">
        <v>45</v>
      </c>
      <c r="Z2523" t="s">
        <v>44</v>
      </c>
      <c r="AB2523" t="s">
        <v>43</v>
      </c>
      <c r="AC2523" t="s">
        <v>42</v>
      </c>
      <c r="AD2523" t="s">
        <v>41</v>
      </c>
      <c r="AE2523" t="s">
        <v>3</v>
      </c>
      <c r="AG2523" t="s">
        <v>40</v>
      </c>
      <c r="AH2523" t="s">
        <v>1812</v>
      </c>
      <c r="AI2523" t="s">
        <v>15</v>
      </c>
      <c r="AJ2523" t="s">
        <v>15</v>
      </c>
      <c r="AK2523" t="s">
        <v>1811</v>
      </c>
      <c r="AL2523" t="s">
        <v>1810</v>
      </c>
      <c r="AP2523" t="s">
        <v>138</v>
      </c>
      <c r="AQ2523" t="s">
        <v>1809</v>
      </c>
      <c r="AR2523" t="s">
        <v>1808</v>
      </c>
    </row>
    <row r="2524" spans="5:44" x14ac:dyDescent="0.25">
      <c r="I2524" t="str">
        <f t="shared" si="207"/>
        <v>sengoku3a</v>
      </c>
      <c r="J2524" t="str">
        <f t="shared" si="208"/>
        <v>sengoku3arelease</v>
      </c>
      <c r="K2524" t="s">
        <v>46</v>
      </c>
      <c r="L2524" t="str">
        <f t="shared" si="210"/>
        <v>NGM-2610</v>
      </c>
      <c r="M2524" t="str">
        <f t="shared" si="210"/>
        <v>20010718</v>
      </c>
      <c r="N2524" t="str">
        <f t="shared" si="210"/>
        <v>戦国伝承2001</v>
      </c>
      <c r="O2524" t="str">
        <f t="shared" si="210"/>
        <v/>
      </c>
      <c r="P2524" t="str">
        <f t="shared" si="210"/>
        <v/>
      </c>
      <c r="Q2524" t="s">
        <v>1807</v>
      </c>
      <c r="T2524" t="str">
        <f t="shared" si="209"/>
        <v/>
      </c>
      <c r="V2524" t="str">
        <f t="shared" si="211"/>
        <v>MVS</v>
      </c>
      <c r="W2524" t="str">
        <f t="shared" si="211"/>
        <v>MVS,AES</v>
      </c>
      <c r="AG2524" t="s">
        <v>224</v>
      </c>
      <c r="AI2524" t="s">
        <v>9</v>
      </c>
      <c r="AJ2524" t="s">
        <v>15</v>
      </c>
    </row>
    <row r="2525" spans="5:44" x14ac:dyDescent="0.25">
      <c r="I2525" t="str">
        <f t="shared" si="207"/>
        <v>sengoku3a</v>
      </c>
      <c r="J2525" t="str">
        <f t="shared" si="208"/>
        <v>sengoku3aalt_title</v>
      </c>
      <c r="K2525" t="s">
        <v>1218</v>
      </c>
      <c r="L2525" t="str">
        <f t="shared" si="210"/>
        <v>NGM-2610</v>
      </c>
      <c r="M2525" t="str">
        <f t="shared" si="210"/>
        <v>20010718</v>
      </c>
      <c r="N2525" t="str">
        <f t="shared" si="210"/>
        <v>戦国伝承2001</v>
      </c>
      <c r="O2525" t="str">
        <f t="shared" si="210"/>
        <v/>
      </c>
      <c r="P2525" t="str">
        <f t="shared" si="210"/>
        <v/>
      </c>
      <c r="Q2525" t="s">
        <v>1806</v>
      </c>
      <c r="T2525" t="str">
        <f t="shared" si="209"/>
        <v/>
      </c>
      <c r="V2525" t="str">
        <f t="shared" si="211"/>
        <v>MVS</v>
      </c>
      <c r="W2525" t="str">
        <f t="shared" si="211"/>
        <v>MVS,AES</v>
      </c>
      <c r="AB2525" t="s">
        <v>34</v>
      </c>
      <c r="AE2525" t="s">
        <v>135</v>
      </c>
      <c r="AG2525" t="s">
        <v>538</v>
      </c>
      <c r="AI2525" t="s">
        <v>9</v>
      </c>
      <c r="AJ2525" t="s">
        <v>135</v>
      </c>
      <c r="AN2525" t="s">
        <v>537</v>
      </c>
    </row>
    <row r="2526" spans="5:44" x14ac:dyDescent="0.25">
      <c r="I2526" t="str">
        <f t="shared" si="207"/>
        <v>sengoku3a</v>
      </c>
      <c r="J2526" t="str">
        <f t="shared" si="208"/>
        <v/>
      </c>
      <c r="L2526" t="str">
        <f t="shared" si="210"/>
        <v>NGM-2610</v>
      </c>
      <c r="M2526" t="str">
        <f t="shared" si="210"/>
        <v>20010718</v>
      </c>
      <c r="N2526" t="str">
        <f t="shared" si="210"/>
        <v>戦国伝承2001</v>
      </c>
      <c r="O2526" t="str">
        <f t="shared" si="210"/>
        <v/>
      </c>
      <c r="P2526" t="str">
        <f t="shared" si="210"/>
        <v/>
      </c>
      <c r="S2526" t="s">
        <v>36</v>
      </c>
      <c r="T2526" t="str">
        <f t="shared" si="209"/>
        <v>sengoku3acompatibility</v>
      </c>
      <c r="U2526" t="s">
        <v>218</v>
      </c>
      <c r="V2526" t="str">
        <f t="shared" si="211"/>
        <v>MVS</v>
      </c>
      <c r="W2526" t="str">
        <f t="shared" si="211"/>
        <v>MVS,AES</v>
      </c>
      <c r="AB2526" t="s">
        <v>29</v>
      </c>
      <c r="AE2526" t="s">
        <v>92</v>
      </c>
      <c r="AH2526" t="s">
        <v>1805</v>
      </c>
      <c r="AI2526" t="s">
        <v>9</v>
      </c>
      <c r="AJ2526" t="s">
        <v>92</v>
      </c>
      <c r="AK2526" t="s">
        <v>1804</v>
      </c>
      <c r="AL2526" t="s">
        <v>1803</v>
      </c>
    </row>
    <row r="2527" spans="5:44" x14ac:dyDescent="0.25">
      <c r="I2527" t="str">
        <f t="shared" si="207"/>
        <v>sengoku3a</v>
      </c>
      <c r="J2527" t="str">
        <f t="shared" si="208"/>
        <v/>
      </c>
      <c r="L2527" t="str">
        <f t="shared" si="210"/>
        <v>NGM-2610</v>
      </c>
      <c r="M2527" t="str">
        <f t="shared" si="210"/>
        <v>20010718</v>
      </c>
      <c r="N2527" t="str">
        <f t="shared" si="210"/>
        <v>戦国伝承2001</v>
      </c>
      <c r="O2527" t="str">
        <f t="shared" si="210"/>
        <v/>
      </c>
      <c r="P2527" t="str">
        <f t="shared" si="210"/>
        <v/>
      </c>
      <c r="T2527" t="str">
        <f t="shared" si="209"/>
        <v/>
      </c>
      <c r="V2527" t="str">
        <f t="shared" si="211"/>
        <v>MVS</v>
      </c>
      <c r="W2527" t="str">
        <f t="shared" si="211"/>
        <v>MVS,AES</v>
      </c>
      <c r="AB2527" t="s">
        <v>24</v>
      </c>
      <c r="AE2527" t="s">
        <v>1802</v>
      </c>
      <c r="AH2527" t="s">
        <v>1801</v>
      </c>
      <c r="AI2527" t="s">
        <v>9</v>
      </c>
      <c r="AJ2527" t="s">
        <v>11</v>
      </c>
      <c r="AK2527" t="s">
        <v>1800</v>
      </c>
      <c r="AL2527" t="s">
        <v>1799</v>
      </c>
    </row>
    <row r="2528" spans="5:44" x14ac:dyDescent="0.25">
      <c r="I2528" t="str">
        <f t="shared" si="207"/>
        <v>sengoku3a</v>
      </c>
      <c r="J2528" t="str">
        <f t="shared" si="208"/>
        <v/>
      </c>
      <c r="L2528" t="str">
        <f t="shared" si="210"/>
        <v>NGM-2610</v>
      </c>
      <c r="M2528" t="str">
        <f t="shared" si="210"/>
        <v>20010718</v>
      </c>
      <c r="N2528" t="str">
        <f t="shared" si="210"/>
        <v>戦国伝承2001</v>
      </c>
      <c r="O2528" t="str">
        <f t="shared" si="210"/>
        <v/>
      </c>
      <c r="P2528" t="str">
        <f t="shared" si="210"/>
        <v/>
      </c>
      <c r="T2528" t="str">
        <f t="shared" si="209"/>
        <v/>
      </c>
      <c r="V2528" t="str">
        <f t="shared" si="211"/>
        <v>MVS</v>
      </c>
      <c r="W2528" t="str">
        <f t="shared" si="211"/>
        <v>MVS,AES</v>
      </c>
      <c r="AH2528" t="s">
        <v>1798</v>
      </c>
      <c r="AI2528" t="s">
        <v>11</v>
      </c>
      <c r="AJ2528" t="s">
        <v>11</v>
      </c>
      <c r="AK2528" t="s">
        <v>1797</v>
      </c>
      <c r="AL2528" t="s">
        <v>1796</v>
      </c>
    </row>
    <row r="2529" spans="5:43" x14ac:dyDescent="0.25">
      <c r="I2529" t="str">
        <f t="shared" si="207"/>
        <v>sengoku3a</v>
      </c>
      <c r="J2529" t="str">
        <f t="shared" si="208"/>
        <v/>
      </c>
      <c r="L2529" t="str">
        <f t="shared" si="210"/>
        <v>NGM-2610</v>
      </c>
      <c r="M2529" t="str">
        <f t="shared" si="210"/>
        <v>20010718</v>
      </c>
      <c r="N2529" t="str">
        <f t="shared" si="210"/>
        <v>戦国伝承2001</v>
      </c>
      <c r="O2529" t="str">
        <f t="shared" si="210"/>
        <v/>
      </c>
      <c r="P2529" t="str">
        <f t="shared" si="210"/>
        <v/>
      </c>
      <c r="T2529" t="str">
        <f t="shared" si="209"/>
        <v/>
      </c>
      <c r="V2529" t="str">
        <f t="shared" si="211"/>
        <v>MVS</v>
      </c>
      <c r="W2529" t="str">
        <f t="shared" si="211"/>
        <v>MVS,AES</v>
      </c>
      <c r="AH2529" t="s">
        <v>1795</v>
      </c>
      <c r="AI2529" t="s">
        <v>57</v>
      </c>
      <c r="AJ2529" t="s">
        <v>11</v>
      </c>
      <c r="AK2529" t="s">
        <v>1794</v>
      </c>
      <c r="AL2529" t="s">
        <v>1793</v>
      </c>
    </row>
    <row r="2530" spans="5:43" x14ac:dyDescent="0.25">
      <c r="I2530" t="str">
        <f t="shared" si="207"/>
        <v>sengoku3a</v>
      </c>
      <c r="J2530" t="str">
        <f t="shared" si="208"/>
        <v/>
      </c>
      <c r="L2530" t="str">
        <f t="shared" si="210"/>
        <v>NGM-2610</v>
      </c>
      <c r="M2530" t="str">
        <f t="shared" si="210"/>
        <v>20010718</v>
      </c>
      <c r="N2530" t="str">
        <f t="shared" si="210"/>
        <v>戦国伝承2001</v>
      </c>
      <c r="O2530" t="str">
        <f t="shared" si="210"/>
        <v/>
      </c>
      <c r="P2530" t="str">
        <f t="shared" si="210"/>
        <v/>
      </c>
      <c r="T2530" t="str">
        <f t="shared" si="209"/>
        <v/>
      </c>
      <c r="V2530" t="str">
        <f t="shared" si="211"/>
        <v>MVS</v>
      </c>
      <c r="W2530" t="str">
        <f t="shared" si="211"/>
        <v>MVS,AES</v>
      </c>
      <c r="AH2530" t="s">
        <v>1792</v>
      </c>
      <c r="AI2530" t="s">
        <v>250</v>
      </c>
      <c r="AJ2530" t="s">
        <v>3</v>
      </c>
      <c r="AK2530" t="s">
        <v>1791</v>
      </c>
      <c r="AL2530" t="s">
        <v>1790</v>
      </c>
    </row>
    <row r="2531" spans="5:43" x14ac:dyDescent="0.25">
      <c r="I2531" t="str">
        <f t="shared" si="207"/>
        <v>sengoku3a</v>
      </c>
      <c r="J2531" t="str">
        <f t="shared" si="208"/>
        <v/>
      </c>
      <c r="L2531" t="str">
        <f t="shared" si="210"/>
        <v>NGM-2610</v>
      </c>
      <c r="M2531" t="str">
        <f t="shared" si="210"/>
        <v>20010718</v>
      </c>
      <c r="N2531" t="str">
        <f t="shared" si="210"/>
        <v>戦国伝承2001</v>
      </c>
      <c r="O2531" t="str">
        <f t="shared" si="210"/>
        <v/>
      </c>
      <c r="P2531" t="str">
        <f t="shared" si="210"/>
        <v/>
      </c>
      <c r="T2531" t="str">
        <f t="shared" si="209"/>
        <v/>
      </c>
      <c r="V2531" t="str">
        <f t="shared" si="211"/>
        <v>MVS</v>
      </c>
      <c r="W2531" t="str">
        <f t="shared" si="211"/>
        <v>MVS,AES</v>
      </c>
      <c r="AB2531" t="s">
        <v>12</v>
      </c>
      <c r="AE2531" t="s">
        <v>160</v>
      </c>
      <c r="AG2531" t="s">
        <v>6</v>
      </c>
      <c r="AH2531" t="s">
        <v>1789</v>
      </c>
      <c r="AI2531" t="s">
        <v>9</v>
      </c>
      <c r="AJ2531" t="s">
        <v>57</v>
      </c>
      <c r="AK2531" t="s">
        <v>1788</v>
      </c>
      <c r="AL2531" t="s">
        <v>1787</v>
      </c>
    </row>
    <row r="2532" spans="5:43" x14ac:dyDescent="0.25">
      <c r="I2532" t="str">
        <f t="shared" si="207"/>
        <v>sengoku3a</v>
      </c>
      <c r="J2532" t="str">
        <f t="shared" si="208"/>
        <v/>
      </c>
      <c r="L2532" t="str">
        <f t="shared" si="210"/>
        <v>NGM-2610</v>
      </c>
      <c r="M2532" t="str">
        <f t="shared" si="210"/>
        <v>20010718</v>
      </c>
      <c r="N2532" t="str">
        <f t="shared" si="210"/>
        <v>戦国伝承2001</v>
      </c>
      <c r="O2532" t="str">
        <f t="shared" si="210"/>
        <v/>
      </c>
      <c r="P2532" t="str">
        <f t="shared" si="210"/>
        <v/>
      </c>
      <c r="T2532" t="str">
        <f t="shared" si="209"/>
        <v/>
      </c>
      <c r="V2532" t="str">
        <f t="shared" si="211"/>
        <v>MVS</v>
      </c>
      <c r="W2532" t="str">
        <f t="shared" si="211"/>
        <v>MVS,AES</v>
      </c>
      <c r="AG2532" t="s">
        <v>6</v>
      </c>
      <c r="AH2532" t="s">
        <v>1786</v>
      </c>
      <c r="AI2532" t="s">
        <v>4</v>
      </c>
      <c r="AJ2532" t="s">
        <v>57</v>
      </c>
      <c r="AK2532" t="s">
        <v>1785</v>
      </c>
      <c r="AL2532" t="s">
        <v>1784</v>
      </c>
    </row>
    <row r="2533" spans="5:43" x14ac:dyDescent="0.25">
      <c r="I2533" t="str">
        <f t="shared" si="207"/>
        <v>sengoku3a</v>
      </c>
      <c r="J2533" t="str">
        <f t="shared" si="208"/>
        <v/>
      </c>
      <c r="L2533" t="str">
        <f t="shared" si="210"/>
        <v>NGM-2610</v>
      </c>
      <c r="M2533" t="str">
        <f t="shared" si="210"/>
        <v>20010718</v>
      </c>
      <c r="N2533" t="str">
        <f t="shared" si="210"/>
        <v>戦国伝承2001</v>
      </c>
      <c r="O2533" t="str">
        <f t="shared" si="210"/>
        <v/>
      </c>
      <c r="P2533" t="str">
        <f t="shared" si="210"/>
        <v/>
      </c>
      <c r="T2533" t="str">
        <f t="shared" si="209"/>
        <v/>
      </c>
      <c r="V2533" t="str">
        <f t="shared" si="211"/>
        <v>MVS</v>
      </c>
      <c r="W2533" t="str">
        <f t="shared" si="211"/>
        <v>MVS,AES</v>
      </c>
      <c r="AG2533" t="s">
        <v>6</v>
      </c>
      <c r="AH2533" t="s">
        <v>1783</v>
      </c>
      <c r="AI2533" t="s">
        <v>65</v>
      </c>
      <c r="AJ2533" t="s">
        <v>57</v>
      </c>
      <c r="AK2533" t="s">
        <v>1782</v>
      </c>
      <c r="AL2533" t="s">
        <v>1781</v>
      </c>
    </row>
    <row r="2534" spans="5:43" x14ac:dyDescent="0.25">
      <c r="I2534" t="str">
        <f t="shared" si="207"/>
        <v>sengoku3a</v>
      </c>
      <c r="J2534" t="str">
        <f t="shared" si="208"/>
        <v/>
      </c>
      <c r="L2534" t="str">
        <f t="shared" si="210"/>
        <v>NGM-2610</v>
      </c>
      <c r="M2534" t="str">
        <f t="shared" si="210"/>
        <v>20010718</v>
      </c>
      <c r="N2534" t="str">
        <f t="shared" si="210"/>
        <v>戦国伝承2001</v>
      </c>
      <c r="O2534" t="str">
        <f t="shared" si="210"/>
        <v/>
      </c>
      <c r="P2534" t="str">
        <f t="shared" si="210"/>
        <v/>
      </c>
      <c r="T2534" t="str">
        <f t="shared" si="209"/>
        <v/>
      </c>
      <c r="V2534" t="str">
        <f t="shared" si="211"/>
        <v>MVS</v>
      </c>
      <c r="W2534" t="str">
        <f t="shared" si="211"/>
        <v>MVS,AES</v>
      </c>
      <c r="AG2534" t="s">
        <v>6</v>
      </c>
      <c r="AH2534" t="s">
        <v>1780</v>
      </c>
      <c r="AI2534" t="s">
        <v>164</v>
      </c>
      <c r="AJ2534" t="s">
        <v>57</v>
      </c>
      <c r="AK2534" t="s">
        <v>1779</v>
      </c>
      <c r="AL2534" t="s">
        <v>1778</v>
      </c>
    </row>
    <row r="2535" spans="5:43" x14ac:dyDescent="0.25">
      <c r="E2535" t="s">
        <v>905</v>
      </c>
      <c r="F2535" t="s">
        <v>1777</v>
      </c>
      <c r="G2535" t="s">
        <v>959</v>
      </c>
      <c r="H2535" t="s">
        <v>1765</v>
      </c>
      <c r="I2535" t="str">
        <f t="shared" si="207"/>
        <v>kof2001</v>
      </c>
      <c r="J2535" t="str">
        <f t="shared" si="208"/>
        <v>kof2001serial</v>
      </c>
      <c r="K2535" t="s">
        <v>1373</v>
      </c>
      <c r="L2535" t="str">
        <f t="shared" si="210"/>
        <v>NGM-2620?</v>
      </c>
      <c r="M2535" t="str">
        <f t="shared" si="210"/>
        <v>20011115</v>
      </c>
      <c r="N2535" t="str">
        <f t="shared" si="210"/>
        <v>ザ・キング・オブ・ファイターズ 2001</v>
      </c>
      <c r="O2535" t="str">
        <f t="shared" si="210"/>
        <v>AES menus are incomplete and don't function correctly</v>
      </c>
      <c r="P2535" t="str">
        <f t="shared" si="210"/>
        <v/>
      </c>
      <c r="Q2535" t="s">
        <v>1776</v>
      </c>
      <c r="S2535" t="s">
        <v>46</v>
      </c>
      <c r="T2535" t="str">
        <f t="shared" si="209"/>
        <v>kof2001release</v>
      </c>
      <c r="U2535" t="s">
        <v>106</v>
      </c>
      <c r="V2535" t="str">
        <f t="shared" si="211"/>
        <v>MVS</v>
      </c>
      <c r="W2535" t="str">
        <f t="shared" si="211"/>
        <v>MVS</v>
      </c>
      <c r="Y2535" t="s">
        <v>45</v>
      </c>
      <c r="Z2535" t="s">
        <v>44</v>
      </c>
      <c r="AB2535" t="s">
        <v>43</v>
      </c>
      <c r="AC2535" t="s">
        <v>42</v>
      </c>
      <c r="AD2535" t="s">
        <v>41</v>
      </c>
      <c r="AE2535" t="s">
        <v>23</v>
      </c>
      <c r="AG2535" t="s">
        <v>40</v>
      </c>
      <c r="AH2535" t="s">
        <v>1775</v>
      </c>
      <c r="AI2535" t="s">
        <v>9</v>
      </c>
      <c r="AJ2535" t="s">
        <v>15</v>
      </c>
      <c r="AK2535" t="s">
        <v>1774</v>
      </c>
      <c r="AL2535" t="s">
        <v>1773</v>
      </c>
      <c r="AP2535" t="s">
        <v>138</v>
      </c>
      <c r="AQ2535" t="s">
        <v>1760</v>
      </c>
    </row>
    <row r="2536" spans="5:43" x14ac:dyDescent="0.25">
      <c r="I2536" t="str">
        <f t="shared" si="207"/>
        <v>kof2001</v>
      </c>
      <c r="J2536" t="str">
        <f t="shared" si="208"/>
        <v>kof2001release</v>
      </c>
      <c r="K2536" t="s">
        <v>46</v>
      </c>
      <c r="L2536" t="str">
        <f t="shared" si="210"/>
        <v>NGM-2620?</v>
      </c>
      <c r="M2536" t="str">
        <f t="shared" si="210"/>
        <v>20011115</v>
      </c>
      <c r="N2536" t="str">
        <f t="shared" si="210"/>
        <v>ザ・キング・オブ・ファイターズ 2001</v>
      </c>
      <c r="O2536" t="str">
        <f t="shared" si="210"/>
        <v>AES menus are incomplete and don't function correctly</v>
      </c>
      <c r="P2536" t="str">
        <f t="shared" si="210"/>
        <v/>
      </c>
      <c r="Q2536" t="s">
        <v>1772</v>
      </c>
      <c r="T2536" t="str">
        <f t="shared" si="209"/>
        <v/>
      </c>
      <c r="V2536" t="str">
        <f t="shared" si="211"/>
        <v>MVS</v>
      </c>
      <c r="W2536" t="str">
        <f t="shared" si="211"/>
        <v>MVS</v>
      </c>
      <c r="AG2536" t="s">
        <v>40</v>
      </c>
      <c r="AH2536" t="s">
        <v>1771</v>
      </c>
      <c r="AI2536" t="s">
        <v>15</v>
      </c>
      <c r="AJ2536" t="s">
        <v>11</v>
      </c>
      <c r="AK2536" t="s">
        <v>1770</v>
      </c>
      <c r="AL2536" t="s">
        <v>1769</v>
      </c>
    </row>
    <row r="2537" spans="5:43" x14ac:dyDescent="0.25">
      <c r="I2537" t="str">
        <f t="shared" si="207"/>
        <v>kof2001</v>
      </c>
      <c r="J2537" t="str">
        <f t="shared" si="208"/>
        <v>kof2001alt_title</v>
      </c>
      <c r="K2537" t="s">
        <v>1218</v>
      </c>
      <c r="L2537" t="str">
        <f t="shared" si="210"/>
        <v>NGM-2620?</v>
      </c>
      <c r="M2537" t="str">
        <f t="shared" si="210"/>
        <v>20011115</v>
      </c>
      <c r="N2537" t="str">
        <f t="shared" si="210"/>
        <v>ザ・キング・オブ・ファイターズ 2001</v>
      </c>
      <c r="O2537" t="str">
        <f t="shared" si="210"/>
        <v>AES menus are incomplete and don't function correctly</v>
      </c>
      <c r="P2537" t="str">
        <f t="shared" si="210"/>
        <v/>
      </c>
      <c r="Q2537" t="s">
        <v>1755</v>
      </c>
      <c r="T2537" t="str">
        <f t="shared" si="209"/>
        <v/>
      </c>
      <c r="V2537" t="str">
        <f t="shared" si="211"/>
        <v>MVS</v>
      </c>
      <c r="W2537" t="str">
        <f t="shared" si="211"/>
        <v>MVS</v>
      </c>
      <c r="AB2537" t="s">
        <v>34</v>
      </c>
      <c r="AE2537" t="s">
        <v>135</v>
      </c>
      <c r="AG2537" t="s">
        <v>538</v>
      </c>
      <c r="AI2537" t="s">
        <v>9</v>
      </c>
      <c r="AJ2537" t="s">
        <v>135</v>
      </c>
      <c r="AN2537" t="s">
        <v>537</v>
      </c>
    </row>
    <row r="2538" spans="5:43" x14ac:dyDescent="0.25">
      <c r="I2538" t="str">
        <f t="shared" si="207"/>
        <v>kof2001</v>
      </c>
      <c r="J2538" t="str">
        <f t="shared" si="208"/>
        <v>kof2001compat_note</v>
      </c>
      <c r="K2538" t="s">
        <v>111</v>
      </c>
      <c r="L2538" t="str">
        <f t="shared" si="210"/>
        <v>NGM-2620?</v>
      </c>
      <c r="M2538" t="str">
        <f t="shared" si="210"/>
        <v>20011115</v>
      </c>
      <c r="N2538" t="str">
        <f t="shared" si="210"/>
        <v>ザ・キング・オブ・ファイターズ 2001</v>
      </c>
      <c r="O2538" t="str">
        <f t="shared" si="210"/>
        <v>AES menus are incomplete and don't function correctly</v>
      </c>
      <c r="P2538" t="str">
        <f t="shared" si="210"/>
        <v/>
      </c>
      <c r="Q2538" t="s">
        <v>1768</v>
      </c>
      <c r="T2538" t="str">
        <f t="shared" si="209"/>
        <v/>
      </c>
      <c r="V2538" t="str">
        <f t="shared" si="211"/>
        <v>MVS</v>
      </c>
      <c r="W2538" t="str">
        <f t="shared" si="211"/>
        <v>MVS</v>
      </c>
      <c r="AB2538" t="s">
        <v>482</v>
      </c>
      <c r="AE2538" t="s">
        <v>480</v>
      </c>
      <c r="AH2538" t="s">
        <v>1754</v>
      </c>
      <c r="AI2538" t="s">
        <v>314</v>
      </c>
      <c r="AJ2538" t="s">
        <v>318</v>
      </c>
      <c r="AK2538" t="s">
        <v>1753</v>
      </c>
      <c r="AL2538" t="s">
        <v>1752</v>
      </c>
    </row>
    <row r="2539" spans="5:43" x14ac:dyDescent="0.25">
      <c r="I2539" t="str">
        <f t="shared" si="207"/>
        <v>kof2001</v>
      </c>
      <c r="J2539" t="str">
        <f t="shared" si="208"/>
        <v/>
      </c>
      <c r="L2539" t="str">
        <f t="shared" si="210"/>
        <v>NGM-2620?</v>
      </c>
      <c r="M2539" t="str">
        <f t="shared" si="210"/>
        <v>20011115</v>
      </c>
      <c r="N2539" t="str">
        <f t="shared" si="210"/>
        <v>ザ・キング・オブ・ファイターズ 2001</v>
      </c>
      <c r="O2539" t="str">
        <f t="shared" si="210"/>
        <v>AES menus are incomplete and don't function correctly</v>
      </c>
      <c r="P2539" t="str">
        <f t="shared" si="210"/>
        <v/>
      </c>
      <c r="S2539" t="s">
        <v>36</v>
      </c>
      <c r="T2539" t="str">
        <f t="shared" si="209"/>
        <v>kof2001compatibility</v>
      </c>
      <c r="U2539" t="s">
        <v>106</v>
      </c>
      <c r="V2539" t="str">
        <f t="shared" si="211"/>
        <v>MVS</v>
      </c>
      <c r="W2539" t="str">
        <f t="shared" si="211"/>
        <v>MVS</v>
      </c>
      <c r="AB2539" t="s">
        <v>24</v>
      </c>
      <c r="AE2539" t="s">
        <v>65</v>
      </c>
      <c r="AH2539" t="s">
        <v>895</v>
      </c>
      <c r="AI2539" t="s">
        <v>9</v>
      </c>
      <c r="AJ2539" t="s">
        <v>11</v>
      </c>
      <c r="AK2539" t="s">
        <v>894</v>
      </c>
      <c r="AL2539" t="s">
        <v>893</v>
      </c>
    </row>
    <row r="2540" spans="5:43" x14ac:dyDescent="0.25">
      <c r="I2540" t="str">
        <f t="shared" si="207"/>
        <v>kof2001</v>
      </c>
      <c r="J2540" t="str">
        <f t="shared" si="208"/>
        <v/>
      </c>
      <c r="L2540" t="str">
        <f t="shared" si="210"/>
        <v>NGM-2620?</v>
      </c>
      <c r="M2540" t="str">
        <f t="shared" si="210"/>
        <v>20011115</v>
      </c>
      <c r="N2540" t="str">
        <f t="shared" si="210"/>
        <v>ザ・キング・オブ・ファイターズ 2001</v>
      </c>
      <c r="O2540" t="str">
        <f t="shared" si="210"/>
        <v>AES menus are incomplete and don't function correctly</v>
      </c>
      <c r="P2540" t="str">
        <f t="shared" si="210"/>
        <v/>
      </c>
      <c r="T2540" t="str">
        <f t="shared" si="209"/>
        <v/>
      </c>
      <c r="V2540" t="str">
        <f t="shared" si="211"/>
        <v>MVS</v>
      </c>
      <c r="W2540" t="str">
        <f t="shared" si="211"/>
        <v>MVS</v>
      </c>
      <c r="AH2540" t="s">
        <v>892</v>
      </c>
      <c r="AI2540" t="s">
        <v>11</v>
      </c>
      <c r="AJ2540" t="s">
        <v>11</v>
      </c>
      <c r="AK2540" t="s">
        <v>891</v>
      </c>
      <c r="AL2540" t="s">
        <v>890</v>
      </c>
    </row>
    <row r="2541" spans="5:43" x14ac:dyDescent="0.25">
      <c r="I2541" t="str">
        <f t="shared" si="207"/>
        <v>kof2001</v>
      </c>
      <c r="J2541" t="str">
        <f t="shared" si="208"/>
        <v/>
      </c>
      <c r="L2541" t="str">
        <f t="shared" si="210"/>
        <v>NGM-2620?</v>
      </c>
      <c r="M2541" t="str">
        <f t="shared" si="210"/>
        <v>20011115</v>
      </c>
      <c r="N2541" t="str">
        <f t="shared" si="210"/>
        <v>ザ・キング・オブ・ファイターズ 2001</v>
      </c>
      <c r="O2541" t="str">
        <f t="shared" si="210"/>
        <v>AES menus are incomplete and don't function correctly</v>
      </c>
      <c r="P2541" t="str">
        <f t="shared" si="210"/>
        <v/>
      </c>
      <c r="T2541" t="str">
        <f t="shared" si="209"/>
        <v/>
      </c>
      <c r="V2541" t="str">
        <f t="shared" si="211"/>
        <v>MVS</v>
      </c>
      <c r="W2541" t="str">
        <f t="shared" si="211"/>
        <v>MVS</v>
      </c>
      <c r="AH2541" t="s">
        <v>889</v>
      </c>
      <c r="AI2541" t="s">
        <v>57</v>
      </c>
      <c r="AJ2541" t="s">
        <v>11</v>
      </c>
      <c r="AK2541" t="s">
        <v>888</v>
      </c>
      <c r="AL2541" t="s">
        <v>887</v>
      </c>
    </row>
    <row r="2542" spans="5:43" x14ac:dyDescent="0.25">
      <c r="I2542" t="str">
        <f t="shared" si="207"/>
        <v>kof2001</v>
      </c>
      <c r="J2542" t="str">
        <f t="shared" si="208"/>
        <v/>
      </c>
      <c r="L2542" t="str">
        <f t="shared" si="210"/>
        <v>NGM-2620?</v>
      </c>
      <c r="M2542" t="str">
        <f t="shared" si="210"/>
        <v>20011115</v>
      </c>
      <c r="N2542" t="str">
        <f t="shared" si="210"/>
        <v>ザ・キング・オブ・ファイターズ 2001</v>
      </c>
      <c r="O2542" t="str">
        <f t="shared" si="210"/>
        <v>AES menus are incomplete and don't function correctly</v>
      </c>
      <c r="P2542" t="str">
        <f t="shared" si="210"/>
        <v/>
      </c>
      <c r="T2542" t="str">
        <f t="shared" si="209"/>
        <v/>
      </c>
      <c r="V2542" t="str">
        <f t="shared" si="211"/>
        <v>MVS</v>
      </c>
      <c r="W2542" t="str">
        <f t="shared" si="211"/>
        <v>MVS</v>
      </c>
      <c r="AH2542" t="s">
        <v>886</v>
      </c>
      <c r="AI2542" t="s">
        <v>250</v>
      </c>
      <c r="AJ2542" t="s">
        <v>11</v>
      </c>
      <c r="AK2542" t="s">
        <v>885</v>
      </c>
      <c r="AL2542" t="s">
        <v>884</v>
      </c>
    </row>
    <row r="2543" spans="5:43" x14ac:dyDescent="0.25">
      <c r="I2543" t="str">
        <f t="shared" si="207"/>
        <v>kof2001</v>
      </c>
      <c r="J2543" t="str">
        <f t="shared" si="208"/>
        <v/>
      </c>
      <c r="L2543" t="str">
        <f t="shared" si="210"/>
        <v>NGM-2620?</v>
      </c>
      <c r="M2543" t="str">
        <f t="shared" si="210"/>
        <v>20011115</v>
      </c>
      <c r="N2543" t="str">
        <f t="shared" si="210"/>
        <v>ザ・キング・オブ・ファイターズ 2001</v>
      </c>
      <c r="O2543" t="str">
        <f t="shared" si="210"/>
        <v>AES menus are incomplete and don't function correctly</v>
      </c>
      <c r="P2543" t="str">
        <f t="shared" si="210"/>
        <v/>
      </c>
      <c r="T2543" t="str">
        <f t="shared" si="209"/>
        <v/>
      </c>
      <c r="V2543" t="str">
        <f t="shared" si="211"/>
        <v>MVS</v>
      </c>
      <c r="W2543" t="str">
        <f t="shared" si="211"/>
        <v>MVS</v>
      </c>
      <c r="AB2543" t="s">
        <v>12</v>
      </c>
      <c r="AE2543" t="s">
        <v>175</v>
      </c>
      <c r="AG2543" t="s">
        <v>6</v>
      </c>
      <c r="AH2543" t="s">
        <v>1751</v>
      </c>
      <c r="AI2543" t="s">
        <v>9</v>
      </c>
      <c r="AJ2543" t="s">
        <v>57</v>
      </c>
      <c r="AK2543" t="s">
        <v>1750</v>
      </c>
      <c r="AL2543" t="s">
        <v>1749</v>
      </c>
    </row>
    <row r="2544" spans="5:43" x14ac:dyDescent="0.25">
      <c r="I2544" t="str">
        <f t="shared" si="207"/>
        <v>kof2001</v>
      </c>
      <c r="J2544" t="str">
        <f t="shared" si="208"/>
        <v/>
      </c>
      <c r="L2544" t="str">
        <f t="shared" si="210"/>
        <v>NGM-2620?</v>
      </c>
      <c r="M2544" t="str">
        <f t="shared" si="210"/>
        <v>20011115</v>
      </c>
      <c r="N2544" t="str">
        <f t="shared" si="210"/>
        <v>ザ・キング・オブ・ファイターズ 2001</v>
      </c>
      <c r="O2544" t="str">
        <f t="shared" si="210"/>
        <v>AES menus are incomplete and don't function correctly</v>
      </c>
      <c r="P2544" t="str">
        <f t="shared" si="210"/>
        <v/>
      </c>
      <c r="T2544" t="str">
        <f t="shared" si="209"/>
        <v/>
      </c>
      <c r="V2544" t="str">
        <f t="shared" si="211"/>
        <v>MVS</v>
      </c>
      <c r="W2544" t="str">
        <f t="shared" si="211"/>
        <v>MVS</v>
      </c>
      <c r="AG2544" t="s">
        <v>6</v>
      </c>
      <c r="AH2544" t="s">
        <v>1748</v>
      </c>
      <c r="AI2544" t="s">
        <v>4</v>
      </c>
      <c r="AJ2544" t="s">
        <v>57</v>
      </c>
      <c r="AK2544" t="s">
        <v>1747</v>
      </c>
      <c r="AL2544" t="s">
        <v>1746</v>
      </c>
    </row>
    <row r="2545" spans="5:44" x14ac:dyDescent="0.25">
      <c r="I2545" t="str">
        <f t="shared" si="207"/>
        <v>kof2001</v>
      </c>
      <c r="J2545" t="str">
        <f t="shared" si="208"/>
        <v/>
      </c>
      <c r="L2545" t="str">
        <f t="shared" si="210"/>
        <v>NGM-2620?</v>
      </c>
      <c r="M2545" t="str">
        <f t="shared" si="210"/>
        <v>20011115</v>
      </c>
      <c r="N2545" t="str">
        <f t="shared" si="210"/>
        <v>ザ・キング・オブ・ファイターズ 2001</v>
      </c>
      <c r="O2545" t="str">
        <f t="shared" si="210"/>
        <v>AES menus are incomplete and don't function correctly</v>
      </c>
      <c r="P2545" t="str">
        <f t="shared" si="210"/>
        <v/>
      </c>
      <c r="T2545" t="str">
        <f t="shared" si="209"/>
        <v/>
      </c>
      <c r="V2545" t="str">
        <f t="shared" si="211"/>
        <v>MVS</v>
      </c>
      <c r="W2545" t="str">
        <f t="shared" si="211"/>
        <v>MVS</v>
      </c>
      <c r="AG2545" t="s">
        <v>6</v>
      </c>
      <c r="AH2545" t="s">
        <v>1745</v>
      </c>
      <c r="AI2545" t="s">
        <v>65</v>
      </c>
      <c r="AJ2545" t="s">
        <v>57</v>
      </c>
      <c r="AK2545" t="s">
        <v>1744</v>
      </c>
      <c r="AL2545" t="s">
        <v>1743</v>
      </c>
    </row>
    <row r="2546" spans="5:44" x14ac:dyDescent="0.25">
      <c r="I2546" t="str">
        <f t="shared" si="207"/>
        <v>kof2001</v>
      </c>
      <c r="J2546" t="str">
        <f t="shared" si="208"/>
        <v/>
      </c>
      <c r="L2546" t="str">
        <f t="shared" si="210"/>
        <v>NGM-2620?</v>
      </c>
      <c r="M2546" t="str">
        <f t="shared" si="210"/>
        <v>20011115</v>
      </c>
      <c r="N2546" t="str">
        <f t="shared" si="210"/>
        <v>ザ・キング・オブ・ファイターズ 2001</v>
      </c>
      <c r="O2546" t="str">
        <f t="shared" si="210"/>
        <v>AES menus are incomplete and don't function correctly</v>
      </c>
      <c r="P2546" t="str">
        <f t="shared" si="210"/>
        <v/>
      </c>
      <c r="T2546" t="str">
        <f t="shared" si="209"/>
        <v/>
      </c>
      <c r="V2546" t="str">
        <f t="shared" si="211"/>
        <v>MVS</v>
      </c>
      <c r="W2546" t="str">
        <f t="shared" si="211"/>
        <v>MVS</v>
      </c>
      <c r="AG2546" t="s">
        <v>6</v>
      </c>
      <c r="AH2546" t="s">
        <v>1742</v>
      </c>
      <c r="AI2546" t="s">
        <v>164</v>
      </c>
      <c r="AJ2546" t="s">
        <v>57</v>
      </c>
      <c r="AK2546" t="s">
        <v>1741</v>
      </c>
      <c r="AL2546" t="s">
        <v>1740</v>
      </c>
    </row>
    <row r="2547" spans="5:44" x14ac:dyDescent="0.25">
      <c r="I2547" t="str">
        <f t="shared" si="207"/>
        <v>kof2001</v>
      </c>
      <c r="J2547" t="str">
        <f t="shared" si="208"/>
        <v/>
      </c>
      <c r="L2547" t="str">
        <f t="shared" si="210"/>
        <v>NGM-2620?</v>
      </c>
      <c r="M2547" t="str">
        <f t="shared" si="210"/>
        <v>20011115</v>
      </c>
      <c r="N2547" t="str">
        <f t="shared" si="210"/>
        <v>ザ・キング・オブ・ファイターズ 2001</v>
      </c>
      <c r="O2547" t="str">
        <f t="shared" si="210"/>
        <v>AES menus are incomplete and don't function correctly</v>
      </c>
      <c r="P2547" t="str">
        <f t="shared" si="210"/>
        <v/>
      </c>
      <c r="T2547" t="str">
        <f t="shared" si="209"/>
        <v/>
      </c>
      <c r="V2547" t="str">
        <f t="shared" si="211"/>
        <v>MVS</v>
      </c>
      <c r="W2547" t="str">
        <f t="shared" si="211"/>
        <v>MVS</v>
      </c>
      <c r="AG2547" t="s">
        <v>6</v>
      </c>
      <c r="AH2547" t="s">
        <v>1739</v>
      </c>
      <c r="AI2547" t="s">
        <v>160</v>
      </c>
      <c r="AJ2547" t="s">
        <v>57</v>
      </c>
      <c r="AK2547" t="s">
        <v>1738</v>
      </c>
      <c r="AL2547" t="s">
        <v>1737</v>
      </c>
    </row>
    <row r="2548" spans="5:44" x14ac:dyDescent="0.25">
      <c r="I2548" t="str">
        <f t="shared" si="207"/>
        <v>kof2001</v>
      </c>
      <c r="J2548" t="str">
        <f t="shared" si="208"/>
        <v/>
      </c>
      <c r="L2548" t="str">
        <f t="shared" si="210"/>
        <v>NGM-2620?</v>
      </c>
      <c r="M2548" t="str">
        <f t="shared" si="210"/>
        <v>20011115</v>
      </c>
      <c r="N2548" t="str">
        <f t="shared" si="210"/>
        <v>ザ・キング・オブ・ファイターズ 2001</v>
      </c>
      <c r="O2548" t="str">
        <f t="shared" si="210"/>
        <v>AES menus are incomplete and don't function correctly</v>
      </c>
      <c r="P2548" t="str">
        <f t="shared" si="210"/>
        <v/>
      </c>
      <c r="T2548" t="str">
        <f t="shared" si="209"/>
        <v/>
      </c>
      <c r="V2548" t="str">
        <f t="shared" si="211"/>
        <v>MVS</v>
      </c>
      <c r="W2548" t="str">
        <f t="shared" si="211"/>
        <v>MVS</v>
      </c>
      <c r="AG2548" t="s">
        <v>6</v>
      </c>
      <c r="AH2548" t="s">
        <v>1736</v>
      </c>
      <c r="AI2548" t="s">
        <v>156</v>
      </c>
      <c r="AJ2548" t="s">
        <v>57</v>
      </c>
      <c r="AK2548" t="s">
        <v>1735</v>
      </c>
      <c r="AL2548" t="s">
        <v>1734</v>
      </c>
    </row>
    <row r="2549" spans="5:44" x14ac:dyDescent="0.25">
      <c r="I2549" t="str">
        <f t="shared" si="207"/>
        <v>kof2001</v>
      </c>
      <c r="J2549" t="str">
        <f t="shared" si="208"/>
        <v/>
      </c>
      <c r="L2549" t="str">
        <f t="shared" si="210"/>
        <v>NGM-2620?</v>
      </c>
      <c r="M2549" t="str">
        <f t="shared" si="210"/>
        <v>20011115</v>
      </c>
      <c r="N2549" t="str">
        <f t="shared" si="210"/>
        <v>ザ・キング・オブ・ファイターズ 2001</v>
      </c>
      <c r="O2549" t="str">
        <f t="shared" si="210"/>
        <v>AES menus are incomplete and don't function correctly</v>
      </c>
      <c r="P2549" t="str">
        <f t="shared" si="210"/>
        <v/>
      </c>
      <c r="T2549" t="str">
        <f t="shared" si="209"/>
        <v/>
      </c>
      <c r="V2549" t="str">
        <f t="shared" si="211"/>
        <v>MVS</v>
      </c>
      <c r="W2549" t="str">
        <f t="shared" si="211"/>
        <v>MVS</v>
      </c>
      <c r="AG2549" t="s">
        <v>6</v>
      </c>
      <c r="AH2549" t="s">
        <v>1733</v>
      </c>
      <c r="AI2549" t="s">
        <v>152</v>
      </c>
      <c r="AJ2549" t="s">
        <v>57</v>
      </c>
      <c r="AK2549" t="s">
        <v>1732</v>
      </c>
      <c r="AL2549" t="s">
        <v>1731</v>
      </c>
    </row>
    <row r="2550" spans="5:44" x14ac:dyDescent="0.25">
      <c r="I2550" t="str">
        <f t="shared" si="207"/>
        <v>kof2001</v>
      </c>
      <c r="J2550" t="str">
        <f t="shared" si="208"/>
        <v/>
      </c>
      <c r="L2550" t="str">
        <f t="shared" si="210"/>
        <v>NGM-2620?</v>
      </c>
      <c r="M2550" t="str">
        <f t="shared" si="210"/>
        <v>20011115</v>
      </c>
      <c r="N2550" t="str">
        <f t="shared" si="210"/>
        <v>ザ・キング・オブ・ファイターズ 2001</v>
      </c>
      <c r="O2550" t="str">
        <f t="shared" si="210"/>
        <v>AES menus are incomplete and don't function correctly</v>
      </c>
      <c r="P2550" t="str">
        <f t="shared" si="210"/>
        <v/>
      </c>
      <c r="T2550" t="str">
        <f t="shared" si="209"/>
        <v/>
      </c>
      <c r="V2550" t="str">
        <f t="shared" si="211"/>
        <v>MVS</v>
      </c>
      <c r="W2550" t="str">
        <f t="shared" si="211"/>
        <v>MVS</v>
      </c>
      <c r="AG2550" t="s">
        <v>6</v>
      </c>
      <c r="AH2550" t="s">
        <v>1730</v>
      </c>
      <c r="AI2550" t="s">
        <v>148</v>
      </c>
      <c r="AJ2550" t="s">
        <v>57</v>
      </c>
      <c r="AK2550" t="s">
        <v>1729</v>
      </c>
      <c r="AL2550" t="s">
        <v>1728</v>
      </c>
    </row>
    <row r="2551" spans="5:44" x14ac:dyDescent="0.25">
      <c r="E2551" t="s">
        <v>1767</v>
      </c>
      <c r="F2551" t="s">
        <v>1766</v>
      </c>
      <c r="G2551" t="s">
        <v>959</v>
      </c>
      <c r="H2551" t="s">
        <v>1765</v>
      </c>
      <c r="I2551" t="str">
        <f t="shared" si="207"/>
        <v>kof2001h</v>
      </c>
      <c r="J2551" t="str">
        <f t="shared" si="208"/>
        <v>kof2001hserial</v>
      </c>
      <c r="K2551" t="s">
        <v>1373</v>
      </c>
      <c r="L2551" t="str">
        <f t="shared" si="210"/>
        <v>NGH-2621</v>
      </c>
      <c r="M2551" t="str">
        <f t="shared" si="210"/>
        <v>20020314</v>
      </c>
      <c r="N2551" t="str">
        <f t="shared" si="210"/>
        <v>ザ・キング・オブ・ファイターズ 2001</v>
      </c>
      <c r="O2551" t="str">
        <f t="shared" si="210"/>
        <v/>
      </c>
      <c r="P2551" t="str">
        <f t="shared" si="210"/>
        <v/>
      </c>
      <c r="Q2551" t="s">
        <v>1764</v>
      </c>
      <c r="S2551" t="s">
        <v>46</v>
      </c>
      <c r="T2551" t="str">
        <f t="shared" si="209"/>
        <v>kof2001hrelease</v>
      </c>
      <c r="U2551" t="s">
        <v>35</v>
      </c>
      <c r="V2551" t="str">
        <f t="shared" si="211"/>
        <v>AES</v>
      </c>
      <c r="W2551" t="str">
        <f t="shared" si="211"/>
        <v>MVS,AES</v>
      </c>
      <c r="Y2551" t="s">
        <v>45</v>
      </c>
      <c r="Z2551" t="s">
        <v>44</v>
      </c>
      <c r="AB2551" t="s">
        <v>43</v>
      </c>
      <c r="AC2551" t="s">
        <v>42</v>
      </c>
      <c r="AD2551" t="s">
        <v>41</v>
      </c>
      <c r="AE2551" t="s">
        <v>23</v>
      </c>
      <c r="AG2551" t="s">
        <v>40</v>
      </c>
      <c r="AH2551" t="s">
        <v>1763</v>
      </c>
      <c r="AI2551" t="s">
        <v>9</v>
      </c>
      <c r="AJ2551" t="s">
        <v>15</v>
      </c>
      <c r="AK2551" t="s">
        <v>1762</v>
      </c>
      <c r="AL2551" t="s">
        <v>1761</v>
      </c>
      <c r="AP2551" t="s">
        <v>138</v>
      </c>
      <c r="AQ2551" t="s">
        <v>1760</v>
      </c>
      <c r="AR2551" t="s">
        <v>905</v>
      </c>
    </row>
    <row r="2552" spans="5:44" x14ac:dyDescent="0.25">
      <c r="I2552" t="str">
        <f t="shared" si="207"/>
        <v>kof2001h</v>
      </c>
      <c r="J2552" t="str">
        <f t="shared" si="208"/>
        <v>kof2001hrelease</v>
      </c>
      <c r="K2552" t="s">
        <v>46</v>
      </c>
      <c r="L2552" t="str">
        <f t="shared" si="210"/>
        <v>NGH-2621</v>
      </c>
      <c r="M2552" t="str">
        <f t="shared" si="210"/>
        <v>20020314</v>
      </c>
      <c r="N2552" t="str">
        <f t="shared" si="210"/>
        <v>ザ・キング・オブ・ファイターズ 2001</v>
      </c>
      <c r="O2552" t="str">
        <f t="shared" si="210"/>
        <v/>
      </c>
      <c r="P2552" t="str">
        <f t="shared" si="210"/>
        <v/>
      </c>
      <c r="Q2552" t="s">
        <v>1759</v>
      </c>
      <c r="T2552" t="str">
        <f t="shared" si="209"/>
        <v/>
      </c>
      <c r="V2552" t="str">
        <f t="shared" si="211"/>
        <v>AES</v>
      </c>
      <c r="W2552" t="str">
        <f t="shared" si="211"/>
        <v>MVS,AES</v>
      </c>
      <c r="AG2552" t="s">
        <v>40</v>
      </c>
      <c r="AH2552" t="s">
        <v>1758</v>
      </c>
      <c r="AI2552" t="s">
        <v>15</v>
      </c>
      <c r="AJ2552" t="s">
        <v>11</v>
      </c>
      <c r="AK2552" t="s">
        <v>1757</v>
      </c>
      <c r="AL2552" t="s">
        <v>1756</v>
      </c>
    </row>
    <row r="2553" spans="5:44" x14ac:dyDescent="0.25">
      <c r="I2553" t="str">
        <f t="shared" si="207"/>
        <v>kof2001h</v>
      </c>
      <c r="J2553" t="str">
        <f t="shared" si="208"/>
        <v>kof2001halt_title</v>
      </c>
      <c r="K2553" t="s">
        <v>1218</v>
      </c>
      <c r="L2553" t="str">
        <f t="shared" si="210"/>
        <v>NGH-2621</v>
      </c>
      <c r="M2553" t="str">
        <f t="shared" si="210"/>
        <v>20020314</v>
      </c>
      <c r="N2553" t="str">
        <f t="shared" si="210"/>
        <v>ザ・キング・オブ・ファイターズ 2001</v>
      </c>
      <c r="O2553" t="str">
        <f t="shared" si="210"/>
        <v/>
      </c>
      <c r="P2553" t="str">
        <f t="shared" si="210"/>
        <v/>
      </c>
      <c r="Q2553" t="s">
        <v>1755</v>
      </c>
      <c r="T2553" t="str">
        <f t="shared" si="209"/>
        <v/>
      </c>
      <c r="V2553" t="str">
        <f t="shared" si="211"/>
        <v>AES</v>
      </c>
      <c r="W2553" t="str">
        <f t="shared" si="211"/>
        <v>MVS,AES</v>
      </c>
      <c r="AB2553" t="s">
        <v>34</v>
      </c>
      <c r="AE2553" t="s">
        <v>135</v>
      </c>
      <c r="AG2553" t="s">
        <v>538</v>
      </c>
      <c r="AI2553" t="s">
        <v>9</v>
      </c>
      <c r="AJ2553" t="s">
        <v>135</v>
      </c>
      <c r="AN2553" t="s">
        <v>537</v>
      </c>
    </row>
    <row r="2554" spans="5:44" x14ac:dyDescent="0.25">
      <c r="I2554" t="str">
        <f t="shared" si="207"/>
        <v>kof2001h</v>
      </c>
      <c r="J2554" t="str">
        <f t="shared" si="208"/>
        <v/>
      </c>
      <c r="L2554" t="str">
        <f t="shared" si="210"/>
        <v>NGH-2621</v>
      </c>
      <c r="M2554" t="str">
        <f t="shared" si="210"/>
        <v>20020314</v>
      </c>
      <c r="N2554" t="str">
        <f t="shared" si="210"/>
        <v>ザ・キング・オブ・ファイターズ 2001</v>
      </c>
      <c r="O2554" t="str">
        <f t="shared" si="210"/>
        <v/>
      </c>
      <c r="P2554" t="str">
        <f t="shared" si="210"/>
        <v/>
      </c>
      <c r="S2554" t="s">
        <v>36</v>
      </c>
      <c r="T2554" t="str">
        <f t="shared" si="209"/>
        <v>kof2001hcompatibility</v>
      </c>
      <c r="U2554" t="s">
        <v>218</v>
      </c>
      <c r="V2554" t="str">
        <f t="shared" si="211"/>
        <v>AES</v>
      </c>
      <c r="W2554" t="str">
        <f t="shared" si="211"/>
        <v>MVS,AES</v>
      </c>
      <c r="AB2554" t="s">
        <v>482</v>
      </c>
      <c r="AE2554" t="s">
        <v>480</v>
      </c>
      <c r="AH2554" t="s">
        <v>1754</v>
      </c>
      <c r="AI2554" t="s">
        <v>314</v>
      </c>
      <c r="AJ2554" t="s">
        <v>318</v>
      </c>
      <c r="AK2554" t="s">
        <v>1753</v>
      </c>
      <c r="AL2554" t="s">
        <v>1752</v>
      </c>
    </row>
    <row r="2555" spans="5:44" x14ac:dyDescent="0.25">
      <c r="I2555" t="str">
        <f t="shared" si="207"/>
        <v>kof2001h</v>
      </c>
      <c r="J2555" t="str">
        <f t="shared" si="208"/>
        <v/>
      </c>
      <c r="L2555" t="str">
        <f t="shared" si="210"/>
        <v>NGH-2621</v>
      </c>
      <c r="M2555" t="str">
        <f t="shared" si="210"/>
        <v>20020314</v>
      </c>
      <c r="N2555" t="str">
        <f t="shared" si="210"/>
        <v>ザ・キング・オブ・ファイターズ 2001</v>
      </c>
      <c r="O2555" t="str">
        <f t="shared" si="210"/>
        <v/>
      </c>
      <c r="P2555" t="str">
        <f t="shared" si="210"/>
        <v/>
      </c>
      <c r="T2555" t="str">
        <f t="shared" si="209"/>
        <v/>
      </c>
      <c r="V2555" t="str">
        <f t="shared" si="211"/>
        <v>AES</v>
      </c>
      <c r="W2555" t="str">
        <f t="shared" si="211"/>
        <v>MVS,AES</v>
      </c>
      <c r="AB2555" t="s">
        <v>24</v>
      </c>
      <c r="AE2555" t="s">
        <v>65</v>
      </c>
      <c r="AH2555" t="s">
        <v>895</v>
      </c>
      <c r="AI2555" t="s">
        <v>9</v>
      </c>
      <c r="AJ2555" t="s">
        <v>11</v>
      </c>
      <c r="AK2555" t="s">
        <v>894</v>
      </c>
      <c r="AL2555" t="s">
        <v>893</v>
      </c>
    </row>
    <row r="2556" spans="5:44" x14ac:dyDescent="0.25">
      <c r="I2556" t="str">
        <f t="shared" si="207"/>
        <v>kof2001h</v>
      </c>
      <c r="J2556" t="str">
        <f t="shared" si="208"/>
        <v/>
      </c>
      <c r="L2556" t="str">
        <f t="shared" si="210"/>
        <v>NGH-2621</v>
      </c>
      <c r="M2556" t="str">
        <f t="shared" si="210"/>
        <v>20020314</v>
      </c>
      <c r="N2556" t="str">
        <f t="shared" si="210"/>
        <v>ザ・キング・オブ・ファイターズ 2001</v>
      </c>
      <c r="O2556" t="str">
        <f t="shared" si="210"/>
        <v/>
      </c>
      <c r="P2556" t="str">
        <f t="shared" si="210"/>
        <v/>
      </c>
      <c r="T2556" t="str">
        <f t="shared" si="209"/>
        <v/>
      </c>
      <c r="V2556" t="str">
        <f t="shared" si="211"/>
        <v>AES</v>
      </c>
      <c r="W2556" t="str">
        <f t="shared" si="211"/>
        <v>MVS,AES</v>
      </c>
      <c r="AH2556" t="s">
        <v>892</v>
      </c>
      <c r="AI2556" t="s">
        <v>11</v>
      </c>
      <c r="AJ2556" t="s">
        <v>11</v>
      </c>
      <c r="AK2556" t="s">
        <v>891</v>
      </c>
      <c r="AL2556" t="s">
        <v>890</v>
      </c>
    </row>
    <row r="2557" spans="5:44" x14ac:dyDescent="0.25">
      <c r="I2557" t="str">
        <f t="shared" si="207"/>
        <v>kof2001h</v>
      </c>
      <c r="J2557" t="str">
        <f t="shared" si="208"/>
        <v/>
      </c>
      <c r="L2557" t="str">
        <f t="shared" si="210"/>
        <v>NGH-2621</v>
      </c>
      <c r="M2557" t="str">
        <f t="shared" si="210"/>
        <v>20020314</v>
      </c>
      <c r="N2557" t="str">
        <f t="shared" si="210"/>
        <v>ザ・キング・オブ・ファイターズ 2001</v>
      </c>
      <c r="O2557" t="str">
        <f t="shared" si="210"/>
        <v/>
      </c>
      <c r="P2557" t="str">
        <f t="shared" si="210"/>
        <v/>
      </c>
      <c r="T2557" t="str">
        <f t="shared" si="209"/>
        <v/>
      </c>
      <c r="V2557" t="str">
        <f t="shared" si="211"/>
        <v>AES</v>
      </c>
      <c r="W2557" t="str">
        <f t="shared" si="211"/>
        <v>MVS,AES</v>
      </c>
      <c r="AH2557" t="s">
        <v>889</v>
      </c>
      <c r="AI2557" t="s">
        <v>57</v>
      </c>
      <c r="AJ2557" t="s">
        <v>11</v>
      </c>
      <c r="AK2557" t="s">
        <v>888</v>
      </c>
      <c r="AL2557" t="s">
        <v>887</v>
      </c>
    </row>
    <row r="2558" spans="5:44" x14ac:dyDescent="0.25">
      <c r="I2558" t="str">
        <f t="shared" si="207"/>
        <v>kof2001h</v>
      </c>
      <c r="J2558" t="str">
        <f t="shared" si="208"/>
        <v/>
      </c>
      <c r="L2558" t="str">
        <f t="shared" si="210"/>
        <v>NGH-2621</v>
      </c>
      <c r="M2558" t="str">
        <f t="shared" si="210"/>
        <v>20020314</v>
      </c>
      <c r="N2558" t="str">
        <f t="shared" si="210"/>
        <v>ザ・キング・オブ・ファイターズ 2001</v>
      </c>
      <c r="O2558" t="str">
        <f t="shared" si="210"/>
        <v/>
      </c>
      <c r="P2558" t="str">
        <f t="shared" si="210"/>
        <v/>
      </c>
      <c r="T2558" t="str">
        <f t="shared" si="209"/>
        <v/>
      </c>
      <c r="V2558" t="str">
        <f t="shared" si="211"/>
        <v>AES</v>
      </c>
      <c r="W2558" t="str">
        <f t="shared" si="211"/>
        <v>MVS,AES</v>
      </c>
      <c r="AH2558" t="s">
        <v>886</v>
      </c>
      <c r="AI2558" t="s">
        <v>250</v>
      </c>
      <c r="AJ2558" t="s">
        <v>11</v>
      </c>
      <c r="AK2558" t="s">
        <v>885</v>
      </c>
      <c r="AL2558" t="s">
        <v>884</v>
      </c>
    </row>
    <row r="2559" spans="5:44" x14ac:dyDescent="0.25">
      <c r="I2559" t="str">
        <f t="shared" si="207"/>
        <v>kof2001h</v>
      </c>
      <c r="J2559" t="str">
        <f t="shared" si="208"/>
        <v/>
      </c>
      <c r="L2559" t="str">
        <f t="shared" si="210"/>
        <v>NGH-2621</v>
      </c>
      <c r="M2559" t="str">
        <f t="shared" si="210"/>
        <v>20020314</v>
      </c>
      <c r="N2559" t="str">
        <f t="shared" si="210"/>
        <v>ザ・キング・オブ・ファイターズ 2001</v>
      </c>
      <c r="O2559" t="str">
        <f t="shared" si="210"/>
        <v/>
      </c>
      <c r="P2559" t="str">
        <f t="shared" si="210"/>
        <v/>
      </c>
      <c r="T2559" t="str">
        <f t="shared" si="209"/>
        <v/>
      </c>
      <c r="V2559" t="str">
        <f t="shared" si="211"/>
        <v>AES</v>
      </c>
      <c r="W2559" t="str">
        <f t="shared" si="211"/>
        <v>MVS,AES</v>
      </c>
      <c r="AB2559" t="s">
        <v>12</v>
      </c>
      <c r="AE2559" t="s">
        <v>175</v>
      </c>
      <c r="AG2559" t="s">
        <v>6</v>
      </c>
      <c r="AH2559" t="s">
        <v>1751</v>
      </c>
      <c r="AI2559" t="s">
        <v>9</v>
      </c>
      <c r="AJ2559" t="s">
        <v>57</v>
      </c>
      <c r="AK2559" t="s">
        <v>1750</v>
      </c>
      <c r="AL2559" t="s">
        <v>1749</v>
      </c>
    </row>
    <row r="2560" spans="5:44" x14ac:dyDescent="0.25">
      <c r="I2560" t="str">
        <f t="shared" si="207"/>
        <v>kof2001h</v>
      </c>
      <c r="J2560" t="str">
        <f t="shared" si="208"/>
        <v/>
      </c>
      <c r="L2560" t="str">
        <f t="shared" si="210"/>
        <v>NGH-2621</v>
      </c>
      <c r="M2560" t="str">
        <f t="shared" si="210"/>
        <v>20020314</v>
      </c>
      <c r="N2560" t="str">
        <f t="shared" si="210"/>
        <v>ザ・キング・オブ・ファイターズ 2001</v>
      </c>
      <c r="O2560" t="str">
        <f t="shared" si="210"/>
        <v/>
      </c>
      <c r="P2560" t="str">
        <f t="shared" si="210"/>
        <v/>
      </c>
      <c r="T2560" t="str">
        <f t="shared" si="209"/>
        <v/>
      </c>
      <c r="V2560" t="str">
        <f t="shared" si="211"/>
        <v>AES</v>
      </c>
      <c r="W2560" t="str">
        <f t="shared" si="211"/>
        <v>MVS,AES</v>
      </c>
      <c r="AG2560" t="s">
        <v>6</v>
      </c>
      <c r="AH2560" t="s">
        <v>1748</v>
      </c>
      <c r="AI2560" t="s">
        <v>4</v>
      </c>
      <c r="AJ2560" t="s">
        <v>57</v>
      </c>
      <c r="AK2560" t="s">
        <v>1747</v>
      </c>
      <c r="AL2560" t="s">
        <v>1746</v>
      </c>
    </row>
    <row r="2561" spans="5:43" x14ac:dyDescent="0.25">
      <c r="I2561" t="str">
        <f t="shared" si="207"/>
        <v>kof2001h</v>
      </c>
      <c r="J2561" t="str">
        <f t="shared" si="208"/>
        <v/>
      </c>
      <c r="L2561" t="str">
        <f t="shared" si="210"/>
        <v>NGH-2621</v>
      </c>
      <c r="M2561" t="str">
        <f t="shared" si="210"/>
        <v>20020314</v>
      </c>
      <c r="N2561" t="str">
        <f t="shared" si="210"/>
        <v>ザ・キング・オブ・ファイターズ 2001</v>
      </c>
      <c r="O2561" t="str">
        <f t="shared" si="210"/>
        <v/>
      </c>
      <c r="P2561" t="str">
        <f t="shared" si="210"/>
        <v/>
      </c>
      <c r="T2561" t="str">
        <f t="shared" si="209"/>
        <v/>
      </c>
      <c r="V2561" t="str">
        <f t="shared" si="211"/>
        <v>AES</v>
      </c>
      <c r="W2561" t="str">
        <f t="shared" si="211"/>
        <v>MVS,AES</v>
      </c>
      <c r="AG2561" t="s">
        <v>6</v>
      </c>
      <c r="AH2561" t="s">
        <v>1745</v>
      </c>
      <c r="AI2561" t="s">
        <v>65</v>
      </c>
      <c r="AJ2561" t="s">
        <v>57</v>
      </c>
      <c r="AK2561" t="s">
        <v>1744</v>
      </c>
      <c r="AL2561" t="s">
        <v>1743</v>
      </c>
    </row>
    <row r="2562" spans="5:43" x14ac:dyDescent="0.25">
      <c r="I2562" t="str">
        <f t="shared" si="207"/>
        <v>kof2001h</v>
      </c>
      <c r="J2562" t="str">
        <f t="shared" si="208"/>
        <v/>
      </c>
      <c r="L2562" t="str">
        <f t="shared" si="210"/>
        <v>NGH-2621</v>
      </c>
      <c r="M2562" t="str">
        <f t="shared" si="210"/>
        <v>20020314</v>
      </c>
      <c r="N2562" t="str">
        <f t="shared" si="210"/>
        <v>ザ・キング・オブ・ファイターズ 2001</v>
      </c>
      <c r="O2562" t="str">
        <f t="shared" si="210"/>
        <v/>
      </c>
      <c r="P2562" t="str">
        <f t="shared" si="210"/>
        <v/>
      </c>
      <c r="T2562" t="str">
        <f t="shared" si="209"/>
        <v/>
      </c>
      <c r="V2562" t="str">
        <f t="shared" si="211"/>
        <v>AES</v>
      </c>
      <c r="W2562" t="str">
        <f t="shared" si="211"/>
        <v>MVS,AES</v>
      </c>
      <c r="AG2562" t="s">
        <v>6</v>
      </c>
      <c r="AH2562" t="s">
        <v>1742</v>
      </c>
      <c r="AI2562" t="s">
        <v>164</v>
      </c>
      <c r="AJ2562" t="s">
        <v>57</v>
      </c>
      <c r="AK2562" t="s">
        <v>1741</v>
      </c>
      <c r="AL2562" t="s">
        <v>1740</v>
      </c>
    </row>
    <row r="2563" spans="5:43" x14ac:dyDescent="0.25">
      <c r="I2563" t="str">
        <f t="shared" ref="I2563:I2626" si="212">IF(E2563="",I2562,E2563)</f>
        <v>kof2001h</v>
      </c>
      <c r="J2563" t="str">
        <f t="shared" ref="J2563:J2626" si="213">IF(K2563="","",I2563&amp;K2563)</f>
        <v/>
      </c>
      <c r="L2563" t="str">
        <f t="shared" si="210"/>
        <v>NGH-2621</v>
      </c>
      <c r="M2563" t="str">
        <f t="shared" si="210"/>
        <v>20020314</v>
      </c>
      <c r="N2563" t="str">
        <f t="shared" si="210"/>
        <v>ザ・キング・オブ・ファイターズ 2001</v>
      </c>
      <c r="O2563" t="str">
        <f t="shared" si="210"/>
        <v/>
      </c>
      <c r="P2563" t="str">
        <f t="shared" si="210"/>
        <v/>
      </c>
      <c r="T2563" t="str">
        <f t="shared" ref="T2563:T2626" si="214">IF(S2563="","",I2563&amp;S2563)</f>
        <v/>
      </c>
      <c r="V2563" t="str">
        <f t="shared" si="211"/>
        <v>AES</v>
      </c>
      <c r="W2563" t="str">
        <f t="shared" si="211"/>
        <v>MVS,AES</v>
      </c>
      <c r="AG2563" t="s">
        <v>6</v>
      </c>
      <c r="AH2563" t="s">
        <v>1739</v>
      </c>
      <c r="AI2563" t="s">
        <v>160</v>
      </c>
      <c r="AJ2563" t="s">
        <v>57</v>
      </c>
      <c r="AK2563" t="s">
        <v>1738</v>
      </c>
      <c r="AL2563" t="s">
        <v>1737</v>
      </c>
    </row>
    <row r="2564" spans="5:43" x14ac:dyDescent="0.25">
      <c r="I2564" t="str">
        <f t="shared" si="212"/>
        <v>kof2001h</v>
      </c>
      <c r="J2564" t="str">
        <f t="shared" si="213"/>
        <v/>
      </c>
      <c r="L2564" t="str">
        <f t="shared" si="210"/>
        <v>NGH-2621</v>
      </c>
      <c r="M2564" t="str">
        <f t="shared" si="210"/>
        <v>20020314</v>
      </c>
      <c r="N2564" t="str">
        <f t="shared" si="210"/>
        <v>ザ・キング・オブ・ファイターズ 2001</v>
      </c>
      <c r="O2564" t="str">
        <f t="shared" si="210"/>
        <v/>
      </c>
      <c r="P2564" t="str">
        <f t="shared" si="210"/>
        <v/>
      </c>
      <c r="T2564" t="str">
        <f t="shared" si="214"/>
        <v/>
      </c>
      <c r="V2564" t="str">
        <f t="shared" si="211"/>
        <v>AES</v>
      </c>
      <c r="W2564" t="str">
        <f t="shared" si="211"/>
        <v>MVS,AES</v>
      </c>
      <c r="AG2564" t="s">
        <v>6</v>
      </c>
      <c r="AH2564" t="s">
        <v>1736</v>
      </c>
      <c r="AI2564" t="s">
        <v>156</v>
      </c>
      <c r="AJ2564" t="s">
        <v>57</v>
      </c>
      <c r="AK2564" t="s">
        <v>1735</v>
      </c>
      <c r="AL2564" t="s">
        <v>1734</v>
      </c>
    </row>
    <row r="2565" spans="5:43" x14ac:dyDescent="0.25">
      <c r="I2565" t="str">
        <f t="shared" si="212"/>
        <v>kof2001h</v>
      </c>
      <c r="J2565" t="str">
        <f t="shared" si="213"/>
        <v/>
      </c>
      <c r="L2565" t="str">
        <f t="shared" ref="L2565:P2615" si="215">IFERROR(VLOOKUP($I2565&amp;L$1,$J:$Q,8,0),"")</f>
        <v>NGH-2621</v>
      </c>
      <c r="M2565" t="str">
        <f t="shared" si="215"/>
        <v>20020314</v>
      </c>
      <c r="N2565" t="str">
        <f t="shared" si="215"/>
        <v>ザ・キング・オブ・ファイターズ 2001</v>
      </c>
      <c r="O2565" t="str">
        <f t="shared" si="215"/>
        <v/>
      </c>
      <c r="P2565" t="str">
        <f t="shared" si="215"/>
        <v/>
      </c>
      <c r="T2565" t="str">
        <f t="shared" si="214"/>
        <v/>
      </c>
      <c r="V2565" t="str">
        <f t="shared" si="211"/>
        <v>AES</v>
      </c>
      <c r="W2565" t="str">
        <f t="shared" si="211"/>
        <v>MVS,AES</v>
      </c>
      <c r="AG2565" t="s">
        <v>6</v>
      </c>
      <c r="AH2565" t="s">
        <v>1733</v>
      </c>
      <c r="AI2565" t="s">
        <v>152</v>
      </c>
      <c r="AJ2565" t="s">
        <v>57</v>
      </c>
      <c r="AK2565" t="s">
        <v>1732</v>
      </c>
      <c r="AL2565" t="s">
        <v>1731</v>
      </c>
    </row>
    <row r="2566" spans="5:43" x14ac:dyDescent="0.25">
      <c r="I2566" t="str">
        <f t="shared" si="212"/>
        <v>kof2001h</v>
      </c>
      <c r="J2566" t="str">
        <f t="shared" si="213"/>
        <v/>
      </c>
      <c r="L2566" t="str">
        <f t="shared" si="215"/>
        <v>NGH-2621</v>
      </c>
      <c r="M2566" t="str">
        <f t="shared" si="215"/>
        <v>20020314</v>
      </c>
      <c r="N2566" t="str">
        <f t="shared" si="215"/>
        <v>ザ・キング・オブ・ファイターズ 2001</v>
      </c>
      <c r="O2566" t="str">
        <f t="shared" si="215"/>
        <v/>
      </c>
      <c r="P2566" t="str">
        <f t="shared" si="215"/>
        <v/>
      </c>
      <c r="T2566" t="str">
        <f t="shared" si="214"/>
        <v/>
      </c>
      <c r="V2566" t="str">
        <f t="shared" si="211"/>
        <v>AES</v>
      </c>
      <c r="W2566" t="str">
        <f t="shared" si="211"/>
        <v>MVS,AES</v>
      </c>
      <c r="AG2566" t="s">
        <v>6</v>
      </c>
      <c r="AH2566" t="s">
        <v>1730</v>
      </c>
      <c r="AI2566" t="s">
        <v>148</v>
      </c>
      <c r="AJ2566" t="s">
        <v>57</v>
      </c>
      <c r="AK2566" t="s">
        <v>1729</v>
      </c>
      <c r="AL2566" t="s">
        <v>1728</v>
      </c>
    </row>
    <row r="2567" spans="5:43" x14ac:dyDescent="0.25">
      <c r="E2567" t="s">
        <v>853</v>
      </c>
      <c r="F2567" t="s">
        <v>1727</v>
      </c>
      <c r="G2567" t="s">
        <v>547</v>
      </c>
      <c r="H2567" t="s">
        <v>1719</v>
      </c>
      <c r="I2567" t="str">
        <f t="shared" si="212"/>
        <v>mslug4</v>
      </c>
      <c r="J2567" t="str">
        <f t="shared" si="213"/>
        <v>mslug4serial</v>
      </c>
      <c r="K2567" t="s">
        <v>1373</v>
      </c>
      <c r="L2567" t="str">
        <f t="shared" si="215"/>
        <v>NGM-2630</v>
      </c>
      <c r="M2567" t="str">
        <f t="shared" si="215"/>
        <v>20020327</v>
      </c>
      <c r="N2567" t="str">
        <f t="shared" si="215"/>
        <v>メタルスラッグ4</v>
      </c>
      <c r="O2567" t="str">
        <f t="shared" si="215"/>
        <v/>
      </c>
      <c r="P2567" t="str">
        <f t="shared" si="215"/>
        <v/>
      </c>
      <c r="Q2567" t="s">
        <v>1726</v>
      </c>
      <c r="S2567" t="s">
        <v>46</v>
      </c>
      <c r="T2567" t="str">
        <f t="shared" si="214"/>
        <v>mslug4release</v>
      </c>
      <c r="U2567" t="s">
        <v>106</v>
      </c>
      <c r="V2567" t="str">
        <f t="shared" si="211"/>
        <v>MVS</v>
      </c>
      <c r="W2567" t="str">
        <f t="shared" si="211"/>
        <v>MVS,AES</v>
      </c>
      <c r="Y2567" t="s">
        <v>45</v>
      </c>
      <c r="Z2567" t="s">
        <v>44</v>
      </c>
      <c r="AB2567" t="s">
        <v>43</v>
      </c>
      <c r="AC2567" t="s">
        <v>42</v>
      </c>
      <c r="AD2567" t="s">
        <v>41</v>
      </c>
      <c r="AE2567" t="s">
        <v>23</v>
      </c>
      <c r="AG2567" t="s">
        <v>40</v>
      </c>
      <c r="AH2567" t="s">
        <v>1725</v>
      </c>
      <c r="AI2567" t="s">
        <v>9</v>
      </c>
      <c r="AJ2567" t="s">
        <v>15</v>
      </c>
      <c r="AK2567" t="s">
        <v>1724</v>
      </c>
      <c r="AL2567" t="s">
        <v>1723</v>
      </c>
      <c r="AP2567" t="s">
        <v>138</v>
      </c>
      <c r="AQ2567" t="s">
        <v>1714</v>
      </c>
    </row>
    <row r="2568" spans="5:43" x14ac:dyDescent="0.25">
      <c r="I2568" t="str">
        <f t="shared" si="212"/>
        <v>mslug4</v>
      </c>
      <c r="J2568" t="str">
        <f t="shared" si="213"/>
        <v>mslug4release</v>
      </c>
      <c r="K2568" t="s">
        <v>46</v>
      </c>
      <c r="L2568" t="str">
        <f t="shared" si="215"/>
        <v>NGM-2630</v>
      </c>
      <c r="M2568" t="str">
        <f t="shared" si="215"/>
        <v>20020327</v>
      </c>
      <c r="N2568" t="str">
        <f t="shared" si="215"/>
        <v>メタルスラッグ4</v>
      </c>
      <c r="O2568" t="str">
        <f t="shared" si="215"/>
        <v/>
      </c>
      <c r="P2568" t="str">
        <f t="shared" si="215"/>
        <v/>
      </c>
      <c r="Q2568" t="s">
        <v>1722</v>
      </c>
      <c r="T2568" t="str">
        <f t="shared" si="214"/>
        <v/>
      </c>
      <c r="V2568" t="str">
        <f t="shared" si="211"/>
        <v>MVS</v>
      </c>
      <c r="W2568" t="str">
        <f t="shared" si="211"/>
        <v>MVS,AES</v>
      </c>
      <c r="AG2568" t="s">
        <v>40</v>
      </c>
      <c r="AH2568" t="s">
        <v>852</v>
      </c>
      <c r="AI2568" t="s">
        <v>15</v>
      </c>
      <c r="AJ2568" t="s">
        <v>11</v>
      </c>
      <c r="AK2568" t="s">
        <v>851</v>
      </c>
      <c r="AL2568" t="s">
        <v>850</v>
      </c>
    </row>
    <row r="2569" spans="5:43" x14ac:dyDescent="0.25">
      <c r="I2569" t="str">
        <f t="shared" si="212"/>
        <v>mslug4</v>
      </c>
      <c r="J2569" t="str">
        <f t="shared" si="213"/>
        <v>mslug4alt_title</v>
      </c>
      <c r="K2569" t="s">
        <v>1218</v>
      </c>
      <c r="L2569" t="str">
        <f t="shared" si="215"/>
        <v>NGM-2630</v>
      </c>
      <c r="M2569" t="str">
        <f t="shared" si="215"/>
        <v>20020327</v>
      </c>
      <c r="N2569" t="str">
        <f t="shared" si="215"/>
        <v>メタルスラッグ4</v>
      </c>
      <c r="O2569" t="str">
        <f t="shared" si="215"/>
        <v/>
      </c>
      <c r="P2569" t="str">
        <f t="shared" si="215"/>
        <v/>
      </c>
      <c r="Q2569" t="s">
        <v>1709</v>
      </c>
      <c r="T2569" t="str">
        <f t="shared" si="214"/>
        <v/>
      </c>
      <c r="V2569" t="str">
        <f t="shared" si="211"/>
        <v>MVS</v>
      </c>
      <c r="W2569" t="str">
        <f t="shared" si="211"/>
        <v>MVS,AES</v>
      </c>
      <c r="AB2569" t="s">
        <v>34</v>
      </c>
      <c r="AE2569" t="s">
        <v>480</v>
      </c>
      <c r="AG2569" t="s">
        <v>538</v>
      </c>
      <c r="AI2569" t="s">
        <v>9</v>
      </c>
      <c r="AJ2569" t="s">
        <v>480</v>
      </c>
      <c r="AN2569" t="s">
        <v>537</v>
      </c>
    </row>
    <row r="2570" spans="5:43" x14ac:dyDescent="0.25">
      <c r="I2570" t="str">
        <f t="shared" si="212"/>
        <v>mslug4</v>
      </c>
      <c r="J2570" t="str">
        <f t="shared" si="213"/>
        <v/>
      </c>
      <c r="L2570" t="str">
        <f t="shared" si="215"/>
        <v>NGM-2630</v>
      </c>
      <c r="M2570" t="str">
        <f t="shared" si="215"/>
        <v>20020327</v>
      </c>
      <c r="N2570" t="str">
        <f t="shared" si="215"/>
        <v>メタルスラッグ4</v>
      </c>
      <c r="O2570" t="str">
        <f t="shared" si="215"/>
        <v/>
      </c>
      <c r="P2570" t="str">
        <f t="shared" si="215"/>
        <v/>
      </c>
      <c r="S2570" t="s">
        <v>36</v>
      </c>
      <c r="T2570" t="str">
        <f t="shared" si="214"/>
        <v>mslug4compatibility</v>
      </c>
      <c r="U2570" t="s">
        <v>218</v>
      </c>
      <c r="V2570" t="str">
        <f t="shared" si="211"/>
        <v>MVS</v>
      </c>
      <c r="W2570" t="str">
        <f t="shared" si="211"/>
        <v>MVS,AES</v>
      </c>
      <c r="AB2570" t="s">
        <v>482</v>
      </c>
      <c r="AE2570" t="s">
        <v>480</v>
      </c>
      <c r="AH2570" t="s">
        <v>846</v>
      </c>
      <c r="AI2570" t="s">
        <v>314</v>
      </c>
      <c r="AJ2570" t="s">
        <v>135</v>
      </c>
      <c r="AK2570" t="s">
        <v>845</v>
      </c>
      <c r="AL2570" t="s">
        <v>844</v>
      </c>
    </row>
    <row r="2571" spans="5:43" x14ac:dyDescent="0.25">
      <c r="I2571" t="str">
        <f t="shared" si="212"/>
        <v>mslug4</v>
      </c>
      <c r="J2571" t="str">
        <f t="shared" si="213"/>
        <v/>
      </c>
      <c r="L2571" t="str">
        <f t="shared" si="215"/>
        <v>NGM-2630</v>
      </c>
      <c r="M2571" t="str">
        <f t="shared" si="215"/>
        <v>20020327</v>
      </c>
      <c r="N2571" t="str">
        <f t="shared" si="215"/>
        <v>メタルスラッグ4</v>
      </c>
      <c r="O2571" t="str">
        <f t="shared" si="215"/>
        <v/>
      </c>
      <c r="P2571" t="str">
        <f t="shared" si="215"/>
        <v/>
      </c>
      <c r="T2571" t="str">
        <f t="shared" si="214"/>
        <v/>
      </c>
      <c r="V2571" t="str">
        <f t="shared" si="211"/>
        <v>MVS</v>
      </c>
      <c r="W2571" t="str">
        <f t="shared" si="211"/>
        <v>MVS,AES</v>
      </c>
      <c r="AB2571" t="s">
        <v>24</v>
      </c>
      <c r="AE2571" t="s">
        <v>65</v>
      </c>
      <c r="AH2571" t="s">
        <v>843</v>
      </c>
      <c r="AI2571" t="s">
        <v>9</v>
      </c>
      <c r="AJ2571" t="s">
        <v>57</v>
      </c>
      <c r="AK2571" t="s">
        <v>842</v>
      </c>
      <c r="AL2571" t="s">
        <v>841</v>
      </c>
    </row>
    <row r="2572" spans="5:43" x14ac:dyDescent="0.25">
      <c r="I2572" t="str">
        <f t="shared" si="212"/>
        <v>mslug4</v>
      </c>
      <c r="J2572" t="str">
        <f t="shared" si="213"/>
        <v/>
      </c>
      <c r="L2572" t="str">
        <f t="shared" si="215"/>
        <v>NGM-2630</v>
      </c>
      <c r="M2572" t="str">
        <f t="shared" si="215"/>
        <v>20020327</v>
      </c>
      <c r="N2572" t="str">
        <f t="shared" si="215"/>
        <v>メタルスラッグ4</v>
      </c>
      <c r="O2572" t="str">
        <f t="shared" si="215"/>
        <v/>
      </c>
      <c r="P2572" t="str">
        <f t="shared" si="215"/>
        <v/>
      </c>
      <c r="T2572" t="str">
        <f t="shared" si="214"/>
        <v/>
      </c>
      <c r="V2572" t="str">
        <f t="shared" si="211"/>
        <v>MVS</v>
      </c>
      <c r="W2572" t="str">
        <f t="shared" si="211"/>
        <v>MVS,AES</v>
      </c>
      <c r="AH2572" t="s">
        <v>840</v>
      </c>
      <c r="AI2572" t="s">
        <v>57</v>
      </c>
      <c r="AJ2572" t="s">
        <v>57</v>
      </c>
      <c r="AK2572" t="s">
        <v>839</v>
      </c>
      <c r="AL2572" t="s">
        <v>838</v>
      </c>
    </row>
    <row r="2573" spans="5:43" x14ac:dyDescent="0.25">
      <c r="I2573" t="str">
        <f t="shared" si="212"/>
        <v>mslug4</v>
      </c>
      <c r="J2573" t="str">
        <f t="shared" si="213"/>
        <v/>
      </c>
      <c r="L2573" t="str">
        <f t="shared" si="215"/>
        <v>NGM-2630</v>
      </c>
      <c r="M2573" t="str">
        <f t="shared" si="215"/>
        <v>20020327</v>
      </c>
      <c r="N2573" t="str">
        <f t="shared" si="215"/>
        <v>メタルスラッグ4</v>
      </c>
      <c r="O2573" t="str">
        <f t="shared" si="215"/>
        <v/>
      </c>
      <c r="P2573" t="str">
        <f t="shared" si="215"/>
        <v/>
      </c>
      <c r="T2573" t="str">
        <f t="shared" si="214"/>
        <v/>
      </c>
      <c r="V2573" t="str">
        <f t="shared" si="211"/>
        <v>MVS</v>
      </c>
      <c r="W2573" t="str">
        <f t="shared" si="211"/>
        <v>MVS,AES</v>
      </c>
      <c r="AB2573" t="s">
        <v>12</v>
      </c>
      <c r="AE2573" t="s">
        <v>152</v>
      </c>
      <c r="AG2573" t="s">
        <v>6</v>
      </c>
      <c r="AH2573" t="s">
        <v>837</v>
      </c>
      <c r="AI2573" t="s">
        <v>9</v>
      </c>
      <c r="AJ2573" t="s">
        <v>57</v>
      </c>
      <c r="AK2573" t="s">
        <v>836</v>
      </c>
      <c r="AL2573" t="s">
        <v>835</v>
      </c>
    </row>
    <row r="2574" spans="5:43" x14ac:dyDescent="0.25">
      <c r="I2574" t="str">
        <f t="shared" si="212"/>
        <v>mslug4</v>
      </c>
      <c r="J2574" t="str">
        <f t="shared" si="213"/>
        <v/>
      </c>
      <c r="L2574" t="str">
        <f t="shared" si="215"/>
        <v>NGM-2630</v>
      </c>
      <c r="M2574" t="str">
        <f t="shared" si="215"/>
        <v>20020327</v>
      </c>
      <c r="N2574" t="str">
        <f t="shared" si="215"/>
        <v>メタルスラッグ4</v>
      </c>
      <c r="O2574" t="str">
        <f t="shared" si="215"/>
        <v/>
      </c>
      <c r="P2574" t="str">
        <f t="shared" si="215"/>
        <v/>
      </c>
      <c r="T2574" t="str">
        <f t="shared" si="214"/>
        <v/>
      </c>
      <c r="V2574" t="str">
        <f t="shared" si="211"/>
        <v>MVS</v>
      </c>
      <c r="W2574" t="str">
        <f t="shared" si="211"/>
        <v>MVS,AES</v>
      </c>
      <c r="AG2574" t="s">
        <v>6</v>
      </c>
      <c r="AH2574" t="s">
        <v>834</v>
      </c>
      <c r="AI2574" t="s">
        <v>4</v>
      </c>
      <c r="AJ2574" t="s">
        <v>57</v>
      </c>
      <c r="AK2574" t="s">
        <v>833</v>
      </c>
      <c r="AL2574" t="s">
        <v>832</v>
      </c>
    </row>
    <row r="2575" spans="5:43" x14ac:dyDescent="0.25">
      <c r="I2575" t="str">
        <f t="shared" si="212"/>
        <v>mslug4</v>
      </c>
      <c r="J2575" t="str">
        <f t="shared" si="213"/>
        <v/>
      </c>
      <c r="L2575" t="str">
        <f t="shared" si="215"/>
        <v>NGM-2630</v>
      </c>
      <c r="M2575" t="str">
        <f t="shared" si="215"/>
        <v>20020327</v>
      </c>
      <c r="N2575" t="str">
        <f t="shared" si="215"/>
        <v>メタルスラッグ4</v>
      </c>
      <c r="O2575" t="str">
        <f t="shared" si="215"/>
        <v/>
      </c>
      <c r="P2575" t="str">
        <f t="shared" si="215"/>
        <v/>
      </c>
      <c r="T2575" t="str">
        <f t="shared" si="214"/>
        <v/>
      </c>
      <c r="V2575" t="str">
        <f t="shared" si="211"/>
        <v>MVS</v>
      </c>
      <c r="W2575" t="str">
        <f t="shared" si="211"/>
        <v>MVS,AES</v>
      </c>
      <c r="AG2575" t="s">
        <v>6</v>
      </c>
      <c r="AH2575" t="s">
        <v>831</v>
      </c>
      <c r="AI2575" t="s">
        <v>65</v>
      </c>
      <c r="AJ2575" t="s">
        <v>57</v>
      </c>
      <c r="AK2575" t="s">
        <v>830</v>
      </c>
      <c r="AL2575" t="s">
        <v>829</v>
      </c>
    </row>
    <row r="2576" spans="5:43" x14ac:dyDescent="0.25">
      <c r="I2576" t="str">
        <f t="shared" si="212"/>
        <v>mslug4</v>
      </c>
      <c r="J2576" t="str">
        <f t="shared" si="213"/>
        <v/>
      </c>
      <c r="L2576" t="str">
        <f t="shared" si="215"/>
        <v>NGM-2630</v>
      </c>
      <c r="M2576" t="str">
        <f t="shared" si="215"/>
        <v>20020327</v>
      </c>
      <c r="N2576" t="str">
        <f t="shared" si="215"/>
        <v>メタルスラッグ4</v>
      </c>
      <c r="O2576" t="str">
        <f t="shared" si="215"/>
        <v/>
      </c>
      <c r="P2576" t="str">
        <f t="shared" si="215"/>
        <v/>
      </c>
      <c r="T2576" t="str">
        <f t="shared" si="214"/>
        <v/>
      </c>
      <c r="V2576" t="str">
        <f t="shared" si="211"/>
        <v>MVS</v>
      </c>
      <c r="W2576" t="str">
        <f t="shared" si="211"/>
        <v>MVS,AES</v>
      </c>
      <c r="AG2576" t="s">
        <v>6</v>
      </c>
      <c r="AH2576" t="s">
        <v>828</v>
      </c>
      <c r="AI2576" t="s">
        <v>164</v>
      </c>
      <c r="AJ2576" t="s">
        <v>57</v>
      </c>
      <c r="AK2576" t="s">
        <v>827</v>
      </c>
      <c r="AL2576" t="s">
        <v>826</v>
      </c>
    </row>
    <row r="2577" spans="5:44" x14ac:dyDescent="0.25">
      <c r="I2577" t="str">
        <f t="shared" si="212"/>
        <v>mslug4</v>
      </c>
      <c r="J2577" t="str">
        <f t="shared" si="213"/>
        <v/>
      </c>
      <c r="L2577" t="str">
        <f t="shared" si="215"/>
        <v>NGM-2630</v>
      </c>
      <c r="M2577" t="str">
        <f t="shared" si="215"/>
        <v>20020327</v>
      </c>
      <c r="N2577" t="str">
        <f t="shared" si="215"/>
        <v>メタルスラッグ4</v>
      </c>
      <c r="O2577" t="str">
        <f t="shared" si="215"/>
        <v/>
      </c>
      <c r="P2577" t="str">
        <f t="shared" si="215"/>
        <v/>
      </c>
      <c r="T2577" t="str">
        <f t="shared" si="214"/>
        <v/>
      </c>
      <c r="V2577" t="str">
        <f t="shared" si="211"/>
        <v>MVS</v>
      </c>
      <c r="W2577" t="str">
        <f t="shared" si="211"/>
        <v>MVS,AES</v>
      </c>
      <c r="AG2577" t="s">
        <v>6</v>
      </c>
      <c r="AH2577" t="s">
        <v>825</v>
      </c>
      <c r="AI2577" t="s">
        <v>160</v>
      </c>
      <c r="AJ2577" t="s">
        <v>57</v>
      </c>
      <c r="AK2577" t="s">
        <v>824</v>
      </c>
      <c r="AL2577" t="s">
        <v>823</v>
      </c>
    </row>
    <row r="2578" spans="5:44" x14ac:dyDescent="0.25">
      <c r="I2578" t="str">
        <f t="shared" si="212"/>
        <v>mslug4</v>
      </c>
      <c r="J2578" t="str">
        <f t="shared" si="213"/>
        <v/>
      </c>
      <c r="L2578" t="str">
        <f t="shared" si="215"/>
        <v>NGM-2630</v>
      </c>
      <c r="M2578" t="str">
        <f t="shared" si="215"/>
        <v>20020327</v>
      </c>
      <c r="N2578" t="str">
        <f t="shared" si="215"/>
        <v>メタルスラッグ4</v>
      </c>
      <c r="O2578" t="str">
        <f t="shared" si="215"/>
        <v/>
      </c>
      <c r="P2578" t="str">
        <f t="shared" si="215"/>
        <v/>
      </c>
      <c r="T2578" t="str">
        <f t="shared" si="214"/>
        <v/>
      </c>
      <c r="V2578" t="str">
        <f t="shared" si="211"/>
        <v>MVS</v>
      </c>
      <c r="W2578" t="str">
        <f t="shared" si="211"/>
        <v>MVS,AES</v>
      </c>
      <c r="AG2578" t="s">
        <v>6</v>
      </c>
      <c r="AH2578" t="s">
        <v>822</v>
      </c>
      <c r="AI2578" t="s">
        <v>156</v>
      </c>
      <c r="AJ2578" t="s">
        <v>57</v>
      </c>
      <c r="AK2578" t="s">
        <v>821</v>
      </c>
      <c r="AL2578" t="s">
        <v>820</v>
      </c>
    </row>
    <row r="2579" spans="5:44" x14ac:dyDescent="0.25">
      <c r="E2579" t="s">
        <v>1721</v>
      </c>
      <c r="F2579" t="s">
        <v>1720</v>
      </c>
      <c r="G2579" t="s">
        <v>547</v>
      </c>
      <c r="H2579" t="s">
        <v>1719</v>
      </c>
      <c r="I2579" t="str">
        <f t="shared" si="212"/>
        <v>mslug4h</v>
      </c>
      <c r="J2579" t="str">
        <f t="shared" si="213"/>
        <v>mslug4hserial</v>
      </c>
      <c r="K2579" t="s">
        <v>1373</v>
      </c>
      <c r="L2579" t="str">
        <f t="shared" si="215"/>
        <v>NGH-2630</v>
      </c>
      <c r="M2579" t="str">
        <f t="shared" si="215"/>
        <v>20020613</v>
      </c>
      <c r="N2579" t="str">
        <f t="shared" si="215"/>
        <v>メタルスラッグ4</v>
      </c>
      <c r="O2579" t="str">
        <f t="shared" si="215"/>
        <v/>
      </c>
      <c r="P2579" t="str">
        <f t="shared" si="215"/>
        <v/>
      </c>
      <c r="Q2579" t="s">
        <v>1718</v>
      </c>
      <c r="S2579" t="s">
        <v>46</v>
      </c>
      <c r="T2579" t="str">
        <f t="shared" si="214"/>
        <v>mslug4hrelease</v>
      </c>
      <c r="U2579" t="s">
        <v>35</v>
      </c>
      <c r="V2579" t="str">
        <f t="shared" si="211"/>
        <v>AES</v>
      </c>
      <c r="W2579" t="str">
        <f t="shared" si="211"/>
        <v>MVS,AES</v>
      </c>
      <c r="Y2579" t="s">
        <v>45</v>
      </c>
      <c r="Z2579" t="s">
        <v>44</v>
      </c>
      <c r="AB2579" t="s">
        <v>43</v>
      </c>
      <c r="AC2579" t="s">
        <v>42</v>
      </c>
      <c r="AD2579" t="s">
        <v>41</v>
      </c>
      <c r="AE2579" t="s">
        <v>23</v>
      </c>
      <c r="AG2579" t="s">
        <v>40</v>
      </c>
      <c r="AH2579" t="s">
        <v>1717</v>
      </c>
      <c r="AI2579" t="s">
        <v>9</v>
      </c>
      <c r="AJ2579" t="s">
        <v>15</v>
      </c>
      <c r="AK2579" t="s">
        <v>1716</v>
      </c>
      <c r="AL2579" t="s">
        <v>1715</v>
      </c>
      <c r="AP2579" t="s">
        <v>138</v>
      </c>
      <c r="AQ2579" t="s">
        <v>1714</v>
      </c>
      <c r="AR2579" t="s">
        <v>853</v>
      </c>
    </row>
    <row r="2580" spans="5:44" x14ac:dyDescent="0.25">
      <c r="I2580" t="str">
        <f t="shared" si="212"/>
        <v>mslug4h</v>
      </c>
      <c r="J2580" t="str">
        <f t="shared" si="213"/>
        <v>mslug4hrelease</v>
      </c>
      <c r="K2580" t="s">
        <v>46</v>
      </c>
      <c r="L2580" t="str">
        <f t="shared" si="215"/>
        <v>NGH-2630</v>
      </c>
      <c r="M2580" t="str">
        <f t="shared" si="215"/>
        <v>20020613</v>
      </c>
      <c r="N2580" t="str">
        <f t="shared" si="215"/>
        <v>メタルスラッグ4</v>
      </c>
      <c r="O2580" t="str">
        <f t="shared" si="215"/>
        <v/>
      </c>
      <c r="P2580" t="str">
        <f t="shared" si="215"/>
        <v/>
      </c>
      <c r="Q2580" t="s">
        <v>1713</v>
      </c>
      <c r="T2580" t="str">
        <f t="shared" si="214"/>
        <v/>
      </c>
      <c r="V2580" t="str">
        <f t="shared" si="211"/>
        <v>AES</v>
      </c>
      <c r="W2580" t="str">
        <f t="shared" si="211"/>
        <v>MVS,AES</v>
      </c>
      <c r="AG2580" t="s">
        <v>40</v>
      </c>
      <c r="AH2580" t="s">
        <v>1712</v>
      </c>
      <c r="AI2580" t="s">
        <v>15</v>
      </c>
      <c r="AJ2580" t="s">
        <v>11</v>
      </c>
      <c r="AK2580" t="s">
        <v>1711</v>
      </c>
      <c r="AL2580" t="s">
        <v>1710</v>
      </c>
    </row>
    <row r="2581" spans="5:44" x14ac:dyDescent="0.25">
      <c r="I2581" t="str">
        <f t="shared" si="212"/>
        <v>mslug4h</v>
      </c>
      <c r="J2581" t="str">
        <f t="shared" si="213"/>
        <v>mslug4halt_title</v>
      </c>
      <c r="K2581" t="s">
        <v>1218</v>
      </c>
      <c r="L2581" t="str">
        <f t="shared" si="215"/>
        <v>NGH-2630</v>
      </c>
      <c r="M2581" t="str">
        <f t="shared" si="215"/>
        <v>20020613</v>
      </c>
      <c r="N2581" t="str">
        <f t="shared" si="215"/>
        <v>メタルスラッグ4</v>
      </c>
      <c r="O2581" t="str">
        <f t="shared" si="215"/>
        <v/>
      </c>
      <c r="P2581" t="str">
        <f t="shared" si="215"/>
        <v/>
      </c>
      <c r="Q2581" t="s">
        <v>1709</v>
      </c>
      <c r="T2581" t="str">
        <f t="shared" si="214"/>
        <v/>
      </c>
      <c r="V2581" t="str">
        <f t="shared" si="211"/>
        <v>AES</v>
      </c>
      <c r="W2581" t="str">
        <f t="shared" si="211"/>
        <v>MVS,AES</v>
      </c>
      <c r="AB2581" t="s">
        <v>34</v>
      </c>
      <c r="AE2581" t="s">
        <v>480</v>
      </c>
      <c r="AG2581" t="s">
        <v>538</v>
      </c>
      <c r="AI2581" t="s">
        <v>9</v>
      </c>
      <c r="AJ2581" t="s">
        <v>480</v>
      </c>
      <c r="AN2581" t="s">
        <v>537</v>
      </c>
    </row>
    <row r="2582" spans="5:44" x14ac:dyDescent="0.25">
      <c r="I2582" t="str">
        <f t="shared" si="212"/>
        <v>mslug4h</v>
      </c>
      <c r="J2582" t="str">
        <f t="shared" si="213"/>
        <v/>
      </c>
      <c r="L2582" t="str">
        <f t="shared" si="215"/>
        <v>NGH-2630</v>
      </c>
      <c r="M2582" t="str">
        <f t="shared" si="215"/>
        <v>20020613</v>
      </c>
      <c r="N2582" t="str">
        <f t="shared" si="215"/>
        <v>メタルスラッグ4</v>
      </c>
      <c r="O2582" t="str">
        <f t="shared" si="215"/>
        <v/>
      </c>
      <c r="P2582" t="str">
        <f t="shared" si="215"/>
        <v/>
      </c>
      <c r="S2582" t="s">
        <v>36</v>
      </c>
      <c r="T2582" t="str">
        <f t="shared" si="214"/>
        <v>mslug4hcompatibility</v>
      </c>
      <c r="U2582" t="s">
        <v>218</v>
      </c>
      <c r="V2582" t="str">
        <f t="shared" si="211"/>
        <v>AES</v>
      </c>
      <c r="W2582" t="str">
        <f t="shared" si="211"/>
        <v>MVS,AES</v>
      </c>
      <c r="AB2582" t="s">
        <v>482</v>
      </c>
      <c r="AE2582" t="s">
        <v>480</v>
      </c>
      <c r="AH2582" t="s">
        <v>846</v>
      </c>
      <c r="AI2582" t="s">
        <v>314</v>
      </c>
      <c r="AJ2582" t="s">
        <v>135</v>
      </c>
      <c r="AK2582" t="s">
        <v>845</v>
      </c>
      <c r="AL2582" t="s">
        <v>844</v>
      </c>
    </row>
    <row r="2583" spans="5:44" x14ac:dyDescent="0.25">
      <c r="I2583" t="str">
        <f t="shared" si="212"/>
        <v>mslug4h</v>
      </c>
      <c r="J2583" t="str">
        <f t="shared" si="213"/>
        <v/>
      </c>
      <c r="L2583" t="str">
        <f t="shared" si="215"/>
        <v>NGH-2630</v>
      </c>
      <c r="M2583" t="str">
        <f t="shared" si="215"/>
        <v>20020613</v>
      </c>
      <c r="N2583" t="str">
        <f t="shared" si="215"/>
        <v>メタルスラッグ4</v>
      </c>
      <c r="O2583" t="str">
        <f t="shared" si="215"/>
        <v/>
      </c>
      <c r="P2583" t="str">
        <f t="shared" si="215"/>
        <v/>
      </c>
      <c r="T2583" t="str">
        <f t="shared" si="214"/>
        <v/>
      </c>
      <c r="V2583" t="str">
        <f t="shared" ref="V2583:W2646" si="216">IFERROR(VLOOKUP($I2583&amp;V$1,$T:$AA,2,0),"")</f>
        <v>AES</v>
      </c>
      <c r="W2583" t="str">
        <f t="shared" si="216"/>
        <v>MVS,AES</v>
      </c>
      <c r="AB2583" t="s">
        <v>24</v>
      </c>
      <c r="AE2583" t="s">
        <v>65</v>
      </c>
      <c r="AH2583" t="s">
        <v>843</v>
      </c>
      <c r="AI2583" t="s">
        <v>9</v>
      </c>
      <c r="AJ2583" t="s">
        <v>57</v>
      </c>
      <c r="AK2583" t="s">
        <v>842</v>
      </c>
      <c r="AL2583" t="s">
        <v>841</v>
      </c>
    </row>
    <row r="2584" spans="5:44" x14ac:dyDescent="0.25">
      <c r="I2584" t="str">
        <f t="shared" si="212"/>
        <v>mslug4h</v>
      </c>
      <c r="J2584" t="str">
        <f t="shared" si="213"/>
        <v/>
      </c>
      <c r="L2584" t="str">
        <f t="shared" si="215"/>
        <v>NGH-2630</v>
      </c>
      <c r="M2584" t="str">
        <f t="shared" si="215"/>
        <v>20020613</v>
      </c>
      <c r="N2584" t="str">
        <f t="shared" si="215"/>
        <v>メタルスラッグ4</v>
      </c>
      <c r="O2584" t="str">
        <f t="shared" si="215"/>
        <v/>
      </c>
      <c r="P2584" t="str">
        <f t="shared" si="215"/>
        <v/>
      </c>
      <c r="T2584" t="str">
        <f t="shared" si="214"/>
        <v/>
      </c>
      <c r="V2584" t="str">
        <f t="shared" si="216"/>
        <v>AES</v>
      </c>
      <c r="W2584" t="str">
        <f t="shared" si="216"/>
        <v>MVS,AES</v>
      </c>
      <c r="AH2584" t="s">
        <v>840</v>
      </c>
      <c r="AI2584" t="s">
        <v>57</v>
      </c>
      <c r="AJ2584" t="s">
        <v>57</v>
      </c>
      <c r="AK2584" t="s">
        <v>839</v>
      </c>
      <c r="AL2584" t="s">
        <v>838</v>
      </c>
    </row>
    <row r="2585" spans="5:44" x14ac:dyDescent="0.25">
      <c r="I2585" t="str">
        <f t="shared" si="212"/>
        <v>mslug4h</v>
      </c>
      <c r="J2585" t="str">
        <f t="shared" si="213"/>
        <v/>
      </c>
      <c r="L2585" t="str">
        <f t="shared" si="215"/>
        <v>NGH-2630</v>
      </c>
      <c r="M2585" t="str">
        <f t="shared" si="215"/>
        <v>20020613</v>
      </c>
      <c r="N2585" t="str">
        <f t="shared" si="215"/>
        <v>メタルスラッグ4</v>
      </c>
      <c r="O2585" t="str">
        <f t="shared" si="215"/>
        <v/>
      </c>
      <c r="P2585" t="str">
        <f t="shared" si="215"/>
        <v/>
      </c>
      <c r="T2585" t="str">
        <f t="shared" si="214"/>
        <v/>
      </c>
      <c r="V2585" t="str">
        <f t="shared" si="216"/>
        <v>AES</v>
      </c>
      <c r="W2585" t="str">
        <f t="shared" si="216"/>
        <v>MVS,AES</v>
      </c>
      <c r="AB2585" t="s">
        <v>12</v>
      </c>
      <c r="AE2585" t="s">
        <v>152</v>
      </c>
      <c r="AG2585" t="s">
        <v>6</v>
      </c>
      <c r="AH2585" t="s">
        <v>837</v>
      </c>
      <c r="AI2585" t="s">
        <v>9</v>
      </c>
      <c r="AJ2585" t="s">
        <v>57</v>
      </c>
      <c r="AK2585" t="s">
        <v>836</v>
      </c>
      <c r="AL2585" t="s">
        <v>835</v>
      </c>
    </row>
    <row r="2586" spans="5:44" x14ac:dyDescent="0.25">
      <c r="I2586" t="str">
        <f t="shared" si="212"/>
        <v>mslug4h</v>
      </c>
      <c r="J2586" t="str">
        <f t="shared" si="213"/>
        <v/>
      </c>
      <c r="L2586" t="str">
        <f t="shared" si="215"/>
        <v>NGH-2630</v>
      </c>
      <c r="M2586" t="str">
        <f t="shared" si="215"/>
        <v>20020613</v>
      </c>
      <c r="N2586" t="str">
        <f t="shared" si="215"/>
        <v>メタルスラッグ4</v>
      </c>
      <c r="O2586" t="str">
        <f t="shared" si="215"/>
        <v/>
      </c>
      <c r="P2586" t="str">
        <f t="shared" si="215"/>
        <v/>
      </c>
      <c r="T2586" t="str">
        <f t="shared" si="214"/>
        <v/>
      </c>
      <c r="V2586" t="str">
        <f t="shared" si="216"/>
        <v>AES</v>
      </c>
      <c r="W2586" t="str">
        <f t="shared" si="216"/>
        <v>MVS,AES</v>
      </c>
      <c r="AG2586" t="s">
        <v>6</v>
      </c>
      <c r="AH2586" t="s">
        <v>834</v>
      </c>
      <c r="AI2586" t="s">
        <v>4</v>
      </c>
      <c r="AJ2586" t="s">
        <v>57</v>
      </c>
      <c r="AK2586" t="s">
        <v>833</v>
      </c>
      <c r="AL2586" t="s">
        <v>832</v>
      </c>
    </row>
    <row r="2587" spans="5:44" x14ac:dyDescent="0.25">
      <c r="I2587" t="str">
        <f t="shared" si="212"/>
        <v>mslug4h</v>
      </c>
      <c r="J2587" t="str">
        <f t="shared" si="213"/>
        <v/>
      </c>
      <c r="L2587" t="str">
        <f t="shared" si="215"/>
        <v>NGH-2630</v>
      </c>
      <c r="M2587" t="str">
        <f t="shared" si="215"/>
        <v>20020613</v>
      </c>
      <c r="N2587" t="str">
        <f t="shared" si="215"/>
        <v>メタルスラッグ4</v>
      </c>
      <c r="O2587" t="str">
        <f t="shared" si="215"/>
        <v/>
      </c>
      <c r="P2587" t="str">
        <f t="shared" si="215"/>
        <v/>
      </c>
      <c r="T2587" t="str">
        <f t="shared" si="214"/>
        <v/>
      </c>
      <c r="V2587" t="str">
        <f t="shared" si="216"/>
        <v>AES</v>
      </c>
      <c r="W2587" t="str">
        <f t="shared" si="216"/>
        <v>MVS,AES</v>
      </c>
      <c r="AG2587" t="s">
        <v>6</v>
      </c>
      <c r="AH2587" t="s">
        <v>831</v>
      </c>
      <c r="AI2587" t="s">
        <v>65</v>
      </c>
      <c r="AJ2587" t="s">
        <v>57</v>
      </c>
      <c r="AK2587" t="s">
        <v>830</v>
      </c>
      <c r="AL2587" t="s">
        <v>829</v>
      </c>
    </row>
    <row r="2588" spans="5:44" x14ac:dyDescent="0.25">
      <c r="I2588" t="str">
        <f t="shared" si="212"/>
        <v>mslug4h</v>
      </c>
      <c r="J2588" t="str">
        <f t="shared" si="213"/>
        <v/>
      </c>
      <c r="L2588" t="str">
        <f t="shared" si="215"/>
        <v>NGH-2630</v>
      </c>
      <c r="M2588" t="str">
        <f t="shared" si="215"/>
        <v>20020613</v>
      </c>
      <c r="N2588" t="str">
        <f t="shared" si="215"/>
        <v>メタルスラッグ4</v>
      </c>
      <c r="O2588" t="str">
        <f t="shared" si="215"/>
        <v/>
      </c>
      <c r="P2588" t="str">
        <f t="shared" si="215"/>
        <v/>
      </c>
      <c r="T2588" t="str">
        <f t="shared" si="214"/>
        <v/>
      </c>
      <c r="V2588" t="str">
        <f t="shared" si="216"/>
        <v>AES</v>
      </c>
      <c r="W2588" t="str">
        <f t="shared" si="216"/>
        <v>MVS,AES</v>
      </c>
      <c r="AG2588" t="s">
        <v>6</v>
      </c>
      <c r="AH2588" t="s">
        <v>828</v>
      </c>
      <c r="AI2588" t="s">
        <v>164</v>
      </c>
      <c r="AJ2588" t="s">
        <v>57</v>
      </c>
      <c r="AK2588" t="s">
        <v>827</v>
      </c>
      <c r="AL2588" t="s">
        <v>826</v>
      </c>
    </row>
    <row r="2589" spans="5:44" x14ac:dyDescent="0.25">
      <c r="I2589" t="str">
        <f t="shared" si="212"/>
        <v>mslug4h</v>
      </c>
      <c r="J2589" t="str">
        <f t="shared" si="213"/>
        <v/>
      </c>
      <c r="L2589" t="str">
        <f t="shared" si="215"/>
        <v>NGH-2630</v>
      </c>
      <c r="M2589" t="str">
        <f t="shared" si="215"/>
        <v>20020613</v>
      </c>
      <c r="N2589" t="str">
        <f t="shared" si="215"/>
        <v>メタルスラッグ4</v>
      </c>
      <c r="O2589" t="str">
        <f t="shared" si="215"/>
        <v/>
      </c>
      <c r="P2589" t="str">
        <f t="shared" si="215"/>
        <v/>
      </c>
      <c r="T2589" t="str">
        <f t="shared" si="214"/>
        <v/>
      </c>
      <c r="V2589" t="str">
        <f t="shared" si="216"/>
        <v>AES</v>
      </c>
      <c r="W2589" t="str">
        <f t="shared" si="216"/>
        <v>MVS,AES</v>
      </c>
      <c r="AG2589" t="s">
        <v>6</v>
      </c>
      <c r="AH2589" t="s">
        <v>825</v>
      </c>
      <c r="AI2589" t="s">
        <v>160</v>
      </c>
      <c r="AJ2589" t="s">
        <v>57</v>
      </c>
      <c r="AK2589" t="s">
        <v>824</v>
      </c>
      <c r="AL2589" t="s">
        <v>823</v>
      </c>
    </row>
    <row r="2590" spans="5:44" x14ac:dyDescent="0.25">
      <c r="I2590" t="str">
        <f t="shared" si="212"/>
        <v>mslug4h</v>
      </c>
      <c r="J2590" t="str">
        <f t="shared" si="213"/>
        <v/>
      </c>
      <c r="L2590" t="str">
        <f t="shared" si="215"/>
        <v>NGH-2630</v>
      </c>
      <c r="M2590" t="str">
        <f t="shared" si="215"/>
        <v>20020613</v>
      </c>
      <c r="N2590" t="str">
        <f t="shared" si="215"/>
        <v>メタルスラッグ4</v>
      </c>
      <c r="O2590" t="str">
        <f t="shared" si="215"/>
        <v/>
      </c>
      <c r="P2590" t="str">
        <f t="shared" si="215"/>
        <v/>
      </c>
      <c r="T2590" t="str">
        <f t="shared" si="214"/>
        <v/>
      </c>
      <c r="V2590" t="str">
        <f t="shared" si="216"/>
        <v>AES</v>
      </c>
      <c r="W2590" t="str">
        <f t="shared" si="216"/>
        <v>MVS,AES</v>
      </c>
      <c r="AG2590" t="s">
        <v>6</v>
      </c>
      <c r="AH2590" t="s">
        <v>822</v>
      </c>
      <c r="AI2590" t="s">
        <v>156</v>
      </c>
      <c r="AJ2590" t="s">
        <v>57</v>
      </c>
      <c r="AK2590" t="s">
        <v>821</v>
      </c>
      <c r="AL2590" t="s">
        <v>820</v>
      </c>
    </row>
    <row r="2591" spans="5:44" x14ac:dyDescent="0.25">
      <c r="E2591" t="s">
        <v>1694</v>
      </c>
      <c r="F2591" t="s">
        <v>1708</v>
      </c>
      <c r="G2591" t="s">
        <v>547</v>
      </c>
      <c r="H2591" t="s">
        <v>1700</v>
      </c>
      <c r="I2591" t="str">
        <f t="shared" si="212"/>
        <v>rotd</v>
      </c>
      <c r="J2591" t="str">
        <f t="shared" si="213"/>
        <v>rotdserial</v>
      </c>
      <c r="K2591" t="s">
        <v>1373</v>
      </c>
      <c r="L2591" t="str">
        <f t="shared" si="215"/>
        <v>NGM-2640?</v>
      </c>
      <c r="M2591" t="str">
        <f t="shared" si="215"/>
        <v>20020606</v>
      </c>
      <c r="N2591" t="str">
        <f t="shared" si="215"/>
        <v>レイジ・オブ・ザ・ドラゴンズ</v>
      </c>
      <c r="O2591" t="str">
        <f t="shared" si="215"/>
        <v/>
      </c>
      <c r="P2591" t="str">
        <f t="shared" si="215"/>
        <v/>
      </c>
      <c r="Q2591" t="s">
        <v>1707</v>
      </c>
      <c r="S2591" t="s">
        <v>46</v>
      </c>
      <c r="T2591" t="str">
        <f t="shared" si="214"/>
        <v>rotdrelease</v>
      </c>
      <c r="U2591" t="s">
        <v>106</v>
      </c>
      <c r="V2591" t="str">
        <f t="shared" si="216"/>
        <v>MVS</v>
      </c>
      <c r="W2591" t="str">
        <f t="shared" si="216"/>
        <v>MVS,AES</v>
      </c>
      <c r="Y2591" t="s">
        <v>45</v>
      </c>
      <c r="Z2591" t="s">
        <v>44</v>
      </c>
      <c r="AB2591" t="s">
        <v>43</v>
      </c>
      <c r="AC2591" t="s">
        <v>42</v>
      </c>
      <c r="AD2591" t="s">
        <v>41</v>
      </c>
      <c r="AE2591" t="s">
        <v>57</v>
      </c>
      <c r="AG2591" t="s">
        <v>40</v>
      </c>
      <c r="AH2591" t="s">
        <v>1706</v>
      </c>
      <c r="AI2591" t="s">
        <v>9</v>
      </c>
      <c r="AJ2591" t="s">
        <v>57</v>
      </c>
      <c r="AK2591" t="s">
        <v>1705</v>
      </c>
      <c r="AL2591" t="s">
        <v>1704</v>
      </c>
      <c r="AP2591" t="s">
        <v>138</v>
      </c>
      <c r="AQ2591" t="s">
        <v>1695</v>
      </c>
    </row>
    <row r="2592" spans="5:44" x14ac:dyDescent="0.25">
      <c r="I2592" t="str">
        <f t="shared" si="212"/>
        <v>rotd</v>
      </c>
      <c r="J2592" t="str">
        <f t="shared" si="213"/>
        <v>rotdrelease</v>
      </c>
      <c r="K2592" t="s">
        <v>46</v>
      </c>
      <c r="L2592" t="str">
        <f t="shared" si="215"/>
        <v>NGM-2640?</v>
      </c>
      <c r="M2592" t="str">
        <f t="shared" si="215"/>
        <v>20020606</v>
      </c>
      <c r="N2592" t="str">
        <f t="shared" si="215"/>
        <v>レイジ・オブ・ザ・ドラゴンズ</v>
      </c>
      <c r="O2592" t="str">
        <f t="shared" si="215"/>
        <v/>
      </c>
      <c r="P2592" t="str">
        <f t="shared" si="215"/>
        <v/>
      </c>
      <c r="Q2592" t="s">
        <v>1703</v>
      </c>
      <c r="T2592" t="str">
        <f t="shared" si="214"/>
        <v/>
      </c>
      <c r="V2592" t="str">
        <f t="shared" si="216"/>
        <v>MVS</v>
      </c>
      <c r="W2592" t="str">
        <f t="shared" si="216"/>
        <v>MVS,AES</v>
      </c>
      <c r="AB2592" t="s">
        <v>34</v>
      </c>
      <c r="AE2592" t="s">
        <v>135</v>
      </c>
      <c r="AG2592" t="s">
        <v>538</v>
      </c>
      <c r="AI2592" t="s">
        <v>9</v>
      </c>
      <c r="AJ2592" t="s">
        <v>135</v>
      </c>
      <c r="AN2592" t="s">
        <v>537</v>
      </c>
    </row>
    <row r="2593" spans="5:44" x14ac:dyDescent="0.25">
      <c r="I2593" t="str">
        <f t="shared" si="212"/>
        <v>rotd</v>
      </c>
      <c r="J2593" t="str">
        <f t="shared" si="213"/>
        <v>rotdalt_title</v>
      </c>
      <c r="K2593" t="s">
        <v>1218</v>
      </c>
      <c r="L2593" t="str">
        <f t="shared" si="215"/>
        <v>NGM-2640?</v>
      </c>
      <c r="M2593" t="str">
        <f t="shared" si="215"/>
        <v>20020606</v>
      </c>
      <c r="N2593" t="str">
        <f t="shared" si="215"/>
        <v>レイジ・オブ・ザ・ドラゴンズ</v>
      </c>
      <c r="O2593" t="str">
        <f t="shared" si="215"/>
        <v/>
      </c>
      <c r="P2593" t="str">
        <f t="shared" si="215"/>
        <v/>
      </c>
      <c r="Q2593" t="s">
        <v>1689</v>
      </c>
      <c r="T2593" t="str">
        <f t="shared" si="214"/>
        <v/>
      </c>
      <c r="V2593" t="str">
        <f t="shared" si="216"/>
        <v>MVS</v>
      </c>
      <c r="W2593" t="str">
        <f t="shared" si="216"/>
        <v>MVS,AES</v>
      </c>
      <c r="AB2593" t="s">
        <v>482</v>
      </c>
      <c r="AE2593" t="s">
        <v>480</v>
      </c>
      <c r="AH2593" t="s">
        <v>1688</v>
      </c>
      <c r="AI2593" t="s">
        <v>314</v>
      </c>
      <c r="AJ2593" t="s">
        <v>135</v>
      </c>
      <c r="AK2593" t="s">
        <v>1687</v>
      </c>
      <c r="AL2593" t="s">
        <v>1686</v>
      </c>
    </row>
    <row r="2594" spans="5:44" x14ac:dyDescent="0.25">
      <c r="I2594" t="str">
        <f t="shared" si="212"/>
        <v>rotd</v>
      </c>
      <c r="J2594" t="str">
        <f t="shared" si="213"/>
        <v/>
      </c>
      <c r="L2594" t="str">
        <f t="shared" si="215"/>
        <v>NGM-2640?</v>
      </c>
      <c r="M2594" t="str">
        <f t="shared" si="215"/>
        <v>20020606</v>
      </c>
      <c r="N2594" t="str">
        <f t="shared" si="215"/>
        <v>レイジ・オブ・ザ・ドラゴンズ</v>
      </c>
      <c r="O2594" t="str">
        <f t="shared" si="215"/>
        <v/>
      </c>
      <c r="P2594" t="str">
        <f t="shared" si="215"/>
        <v/>
      </c>
      <c r="S2594" t="s">
        <v>36</v>
      </c>
      <c r="T2594" t="str">
        <f t="shared" si="214"/>
        <v>rotdcompatibility</v>
      </c>
      <c r="U2594" t="s">
        <v>218</v>
      </c>
      <c r="V2594" t="str">
        <f t="shared" si="216"/>
        <v>MVS</v>
      </c>
      <c r="W2594" t="str">
        <f t="shared" si="216"/>
        <v>MVS,AES</v>
      </c>
      <c r="AB2594" t="s">
        <v>24</v>
      </c>
      <c r="AE2594" t="s">
        <v>65</v>
      </c>
      <c r="AH2594" t="s">
        <v>1685</v>
      </c>
      <c r="AI2594" t="s">
        <v>9</v>
      </c>
      <c r="AJ2594" t="s">
        <v>57</v>
      </c>
      <c r="AK2594" t="s">
        <v>1684</v>
      </c>
      <c r="AL2594" t="s">
        <v>1683</v>
      </c>
    </row>
    <row r="2595" spans="5:44" x14ac:dyDescent="0.25">
      <c r="I2595" t="str">
        <f t="shared" si="212"/>
        <v>rotd</v>
      </c>
      <c r="J2595" t="str">
        <f t="shared" si="213"/>
        <v/>
      </c>
      <c r="L2595" t="str">
        <f t="shared" si="215"/>
        <v>NGM-2640?</v>
      </c>
      <c r="M2595" t="str">
        <f t="shared" si="215"/>
        <v>20020606</v>
      </c>
      <c r="N2595" t="str">
        <f t="shared" si="215"/>
        <v>レイジ・オブ・ザ・ドラゴンズ</v>
      </c>
      <c r="O2595" t="str">
        <f t="shared" si="215"/>
        <v/>
      </c>
      <c r="P2595" t="str">
        <f t="shared" si="215"/>
        <v/>
      </c>
      <c r="T2595" t="str">
        <f t="shared" si="214"/>
        <v/>
      </c>
      <c r="V2595" t="str">
        <f t="shared" si="216"/>
        <v>MVS</v>
      </c>
      <c r="W2595" t="str">
        <f t="shared" si="216"/>
        <v>MVS,AES</v>
      </c>
      <c r="AH2595" t="s">
        <v>1682</v>
      </c>
      <c r="AI2595" t="s">
        <v>57</v>
      </c>
      <c r="AJ2595" t="s">
        <v>57</v>
      </c>
      <c r="AK2595" t="s">
        <v>1681</v>
      </c>
      <c r="AL2595" t="s">
        <v>1680</v>
      </c>
    </row>
    <row r="2596" spans="5:44" x14ac:dyDescent="0.25">
      <c r="I2596" t="str">
        <f t="shared" si="212"/>
        <v>rotd</v>
      </c>
      <c r="J2596" t="str">
        <f t="shared" si="213"/>
        <v/>
      </c>
      <c r="L2596" t="str">
        <f t="shared" si="215"/>
        <v>NGM-2640?</v>
      </c>
      <c r="M2596" t="str">
        <f t="shared" si="215"/>
        <v>20020606</v>
      </c>
      <c r="N2596" t="str">
        <f t="shared" si="215"/>
        <v>レイジ・オブ・ザ・ドラゴンズ</v>
      </c>
      <c r="O2596" t="str">
        <f t="shared" si="215"/>
        <v/>
      </c>
      <c r="P2596" t="str">
        <f t="shared" si="215"/>
        <v/>
      </c>
      <c r="T2596" t="str">
        <f t="shared" si="214"/>
        <v/>
      </c>
      <c r="V2596" t="str">
        <f t="shared" si="216"/>
        <v>MVS</v>
      </c>
      <c r="W2596" t="str">
        <f t="shared" si="216"/>
        <v>MVS,AES</v>
      </c>
      <c r="AB2596" t="s">
        <v>12</v>
      </c>
      <c r="AE2596" t="s">
        <v>175</v>
      </c>
      <c r="AG2596" t="s">
        <v>6</v>
      </c>
      <c r="AH2596" t="s">
        <v>1679</v>
      </c>
      <c r="AI2596" t="s">
        <v>9</v>
      </c>
      <c r="AJ2596" t="s">
        <v>57</v>
      </c>
      <c r="AK2596" t="s">
        <v>1678</v>
      </c>
      <c r="AL2596" t="s">
        <v>1677</v>
      </c>
    </row>
    <row r="2597" spans="5:44" x14ac:dyDescent="0.25">
      <c r="I2597" t="str">
        <f t="shared" si="212"/>
        <v>rotd</v>
      </c>
      <c r="J2597" t="str">
        <f t="shared" si="213"/>
        <v/>
      </c>
      <c r="L2597" t="str">
        <f t="shared" si="215"/>
        <v>NGM-2640?</v>
      </c>
      <c r="M2597" t="str">
        <f t="shared" si="215"/>
        <v>20020606</v>
      </c>
      <c r="N2597" t="str">
        <f t="shared" si="215"/>
        <v>レイジ・オブ・ザ・ドラゴンズ</v>
      </c>
      <c r="O2597" t="str">
        <f t="shared" si="215"/>
        <v/>
      </c>
      <c r="P2597" t="str">
        <f t="shared" si="215"/>
        <v/>
      </c>
      <c r="T2597" t="str">
        <f t="shared" si="214"/>
        <v/>
      </c>
      <c r="V2597" t="str">
        <f t="shared" si="216"/>
        <v>MVS</v>
      </c>
      <c r="W2597" t="str">
        <f t="shared" si="216"/>
        <v>MVS,AES</v>
      </c>
      <c r="AG2597" t="s">
        <v>6</v>
      </c>
      <c r="AH2597" t="s">
        <v>1676</v>
      </c>
      <c r="AI2597" t="s">
        <v>4</v>
      </c>
      <c r="AJ2597" t="s">
        <v>57</v>
      </c>
      <c r="AK2597" t="s">
        <v>1675</v>
      </c>
      <c r="AL2597" t="s">
        <v>1674</v>
      </c>
    </row>
    <row r="2598" spans="5:44" x14ac:dyDescent="0.25">
      <c r="I2598" t="str">
        <f t="shared" si="212"/>
        <v>rotd</v>
      </c>
      <c r="J2598" t="str">
        <f t="shared" si="213"/>
        <v/>
      </c>
      <c r="L2598" t="str">
        <f t="shared" si="215"/>
        <v>NGM-2640?</v>
      </c>
      <c r="M2598" t="str">
        <f t="shared" si="215"/>
        <v>20020606</v>
      </c>
      <c r="N2598" t="str">
        <f t="shared" si="215"/>
        <v>レイジ・オブ・ザ・ドラゴンズ</v>
      </c>
      <c r="O2598" t="str">
        <f t="shared" si="215"/>
        <v/>
      </c>
      <c r="P2598" t="str">
        <f t="shared" si="215"/>
        <v/>
      </c>
      <c r="T2598" t="str">
        <f t="shared" si="214"/>
        <v/>
      </c>
      <c r="V2598" t="str">
        <f t="shared" si="216"/>
        <v>MVS</v>
      </c>
      <c r="W2598" t="str">
        <f t="shared" si="216"/>
        <v>MVS,AES</v>
      </c>
      <c r="AG2598" t="s">
        <v>6</v>
      </c>
      <c r="AH2598" t="s">
        <v>1673</v>
      </c>
      <c r="AI2598" t="s">
        <v>65</v>
      </c>
      <c r="AJ2598" t="s">
        <v>57</v>
      </c>
      <c r="AK2598" t="s">
        <v>1672</v>
      </c>
      <c r="AL2598" t="s">
        <v>1671</v>
      </c>
    </row>
    <row r="2599" spans="5:44" x14ac:dyDescent="0.25">
      <c r="I2599" t="str">
        <f t="shared" si="212"/>
        <v>rotd</v>
      </c>
      <c r="J2599" t="str">
        <f t="shared" si="213"/>
        <v/>
      </c>
      <c r="L2599" t="str">
        <f t="shared" si="215"/>
        <v>NGM-2640?</v>
      </c>
      <c r="M2599" t="str">
        <f t="shared" si="215"/>
        <v>20020606</v>
      </c>
      <c r="N2599" t="str">
        <f t="shared" si="215"/>
        <v>レイジ・オブ・ザ・ドラゴンズ</v>
      </c>
      <c r="O2599" t="str">
        <f t="shared" si="215"/>
        <v/>
      </c>
      <c r="P2599" t="str">
        <f t="shared" si="215"/>
        <v/>
      </c>
      <c r="T2599" t="str">
        <f t="shared" si="214"/>
        <v/>
      </c>
      <c r="V2599" t="str">
        <f t="shared" si="216"/>
        <v>MVS</v>
      </c>
      <c r="W2599" t="str">
        <f t="shared" si="216"/>
        <v>MVS,AES</v>
      </c>
      <c r="AG2599" t="s">
        <v>6</v>
      </c>
      <c r="AH2599" t="s">
        <v>1670</v>
      </c>
      <c r="AI2599" t="s">
        <v>164</v>
      </c>
      <c r="AJ2599" t="s">
        <v>57</v>
      </c>
      <c r="AK2599" t="s">
        <v>1669</v>
      </c>
      <c r="AL2599" t="s">
        <v>1668</v>
      </c>
    </row>
    <row r="2600" spans="5:44" x14ac:dyDescent="0.25">
      <c r="I2600" t="str">
        <f t="shared" si="212"/>
        <v>rotd</v>
      </c>
      <c r="J2600" t="str">
        <f t="shared" si="213"/>
        <v/>
      </c>
      <c r="L2600" t="str">
        <f t="shared" si="215"/>
        <v>NGM-2640?</v>
      </c>
      <c r="M2600" t="str">
        <f t="shared" si="215"/>
        <v>20020606</v>
      </c>
      <c r="N2600" t="str">
        <f t="shared" si="215"/>
        <v>レイジ・オブ・ザ・ドラゴンズ</v>
      </c>
      <c r="O2600" t="str">
        <f t="shared" si="215"/>
        <v/>
      </c>
      <c r="P2600" t="str">
        <f t="shared" si="215"/>
        <v/>
      </c>
      <c r="T2600" t="str">
        <f t="shared" si="214"/>
        <v/>
      </c>
      <c r="V2600" t="str">
        <f t="shared" si="216"/>
        <v>MVS</v>
      </c>
      <c r="W2600" t="str">
        <f t="shared" si="216"/>
        <v>MVS,AES</v>
      </c>
      <c r="AG2600" t="s">
        <v>6</v>
      </c>
      <c r="AH2600" t="s">
        <v>1667</v>
      </c>
      <c r="AI2600" t="s">
        <v>160</v>
      </c>
      <c r="AJ2600" t="s">
        <v>57</v>
      </c>
      <c r="AK2600" t="s">
        <v>1666</v>
      </c>
      <c r="AL2600" t="s">
        <v>1665</v>
      </c>
    </row>
    <row r="2601" spans="5:44" x14ac:dyDescent="0.25">
      <c r="I2601" t="str">
        <f t="shared" si="212"/>
        <v>rotd</v>
      </c>
      <c r="J2601" t="str">
        <f t="shared" si="213"/>
        <v/>
      </c>
      <c r="L2601" t="str">
        <f t="shared" si="215"/>
        <v>NGM-2640?</v>
      </c>
      <c r="M2601" t="str">
        <f t="shared" si="215"/>
        <v>20020606</v>
      </c>
      <c r="N2601" t="str">
        <f t="shared" si="215"/>
        <v>レイジ・オブ・ザ・ドラゴンズ</v>
      </c>
      <c r="O2601" t="str">
        <f t="shared" si="215"/>
        <v/>
      </c>
      <c r="P2601" t="str">
        <f t="shared" si="215"/>
        <v/>
      </c>
      <c r="T2601" t="str">
        <f t="shared" si="214"/>
        <v/>
      </c>
      <c r="V2601" t="str">
        <f t="shared" si="216"/>
        <v>MVS</v>
      </c>
      <c r="W2601" t="str">
        <f t="shared" si="216"/>
        <v>MVS,AES</v>
      </c>
      <c r="AG2601" t="s">
        <v>6</v>
      </c>
      <c r="AH2601" t="s">
        <v>1664</v>
      </c>
      <c r="AI2601" t="s">
        <v>156</v>
      </c>
      <c r="AJ2601" t="s">
        <v>57</v>
      </c>
      <c r="AK2601" t="s">
        <v>1663</v>
      </c>
      <c r="AL2601" t="s">
        <v>1662</v>
      </c>
    </row>
    <row r="2602" spans="5:44" x14ac:dyDescent="0.25">
      <c r="I2602" t="str">
        <f t="shared" si="212"/>
        <v>rotd</v>
      </c>
      <c r="J2602" t="str">
        <f t="shared" si="213"/>
        <v/>
      </c>
      <c r="L2602" t="str">
        <f t="shared" si="215"/>
        <v>NGM-2640?</v>
      </c>
      <c r="M2602" t="str">
        <f t="shared" si="215"/>
        <v>20020606</v>
      </c>
      <c r="N2602" t="str">
        <f t="shared" si="215"/>
        <v>レイジ・オブ・ザ・ドラゴンズ</v>
      </c>
      <c r="O2602" t="str">
        <f t="shared" si="215"/>
        <v/>
      </c>
      <c r="P2602" t="str">
        <f t="shared" si="215"/>
        <v/>
      </c>
      <c r="T2602" t="str">
        <f t="shared" si="214"/>
        <v/>
      </c>
      <c r="V2602" t="str">
        <f t="shared" si="216"/>
        <v>MVS</v>
      </c>
      <c r="W2602" t="str">
        <f t="shared" si="216"/>
        <v>MVS,AES</v>
      </c>
      <c r="AG2602" t="s">
        <v>6</v>
      </c>
      <c r="AH2602" t="s">
        <v>1661</v>
      </c>
      <c r="AI2602" t="s">
        <v>152</v>
      </c>
      <c r="AJ2602" t="s">
        <v>57</v>
      </c>
      <c r="AK2602" t="s">
        <v>1660</v>
      </c>
      <c r="AL2602" t="s">
        <v>1659</v>
      </c>
    </row>
    <row r="2603" spans="5:44" x14ac:dyDescent="0.25">
      <c r="I2603" t="str">
        <f t="shared" si="212"/>
        <v>rotd</v>
      </c>
      <c r="J2603" t="str">
        <f t="shared" si="213"/>
        <v/>
      </c>
      <c r="L2603" t="str">
        <f t="shared" si="215"/>
        <v>NGM-2640?</v>
      </c>
      <c r="M2603" t="str">
        <f t="shared" si="215"/>
        <v>20020606</v>
      </c>
      <c r="N2603" t="str">
        <f t="shared" si="215"/>
        <v>レイジ・オブ・ザ・ドラゴンズ</v>
      </c>
      <c r="O2603" t="str">
        <f t="shared" si="215"/>
        <v/>
      </c>
      <c r="P2603" t="str">
        <f t="shared" si="215"/>
        <v/>
      </c>
      <c r="T2603" t="str">
        <f t="shared" si="214"/>
        <v/>
      </c>
      <c r="V2603" t="str">
        <f t="shared" si="216"/>
        <v>MVS</v>
      </c>
      <c r="W2603" t="str">
        <f t="shared" si="216"/>
        <v>MVS,AES</v>
      </c>
      <c r="AG2603" t="s">
        <v>6</v>
      </c>
      <c r="AH2603" t="s">
        <v>1658</v>
      </c>
      <c r="AI2603" t="s">
        <v>148</v>
      </c>
      <c r="AJ2603" t="s">
        <v>57</v>
      </c>
      <c r="AK2603" t="s">
        <v>1657</v>
      </c>
      <c r="AL2603" t="s">
        <v>1656</v>
      </c>
    </row>
    <row r="2604" spans="5:44" x14ac:dyDescent="0.25">
      <c r="E2604" t="s">
        <v>1702</v>
      </c>
      <c r="F2604" t="s">
        <v>1701</v>
      </c>
      <c r="G2604" t="s">
        <v>547</v>
      </c>
      <c r="H2604" t="s">
        <v>1700</v>
      </c>
      <c r="I2604" t="str">
        <f t="shared" si="212"/>
        <v>rotdh</v>
      </c>
      <c r="J2604" t="str">
        <f t="shared" si="213"/>
        <v>rotdhserial</v>
      </c>
      <c r="K2604" t="s">
        <v>1373</v>
      </c>
      <c r="L2604" t="str">
        <f t="shared" si="215"/>
        <v>NGH-2640?</v>
      </c>
      <c r="M2604" t="str">
        <f t="shared" si="215"/>
        <v>20020926</v>
      </c>
      <c r="N2604" t="str">
        <f t="shared" si="215"/>
        <v>レイジ・オブ・ザ・ドラゴンズ</v>
      </c>
      <c r="O2604" t="str">
        <f t="shared" si="215"/>
        <v/>
      </c>
      <c r="P2604" t="str">
        <f t="shared" si="215"/>
        <v/>
      </c>
      <c r="Q2604" t="s">
        <v>1699</v>
      </c>
      <c r="S2604" t="s">
        <v>46</v>
      </c>
      <c r="T2604" t="str">
        <f t="shared" si="214"/>
        <v>rotdhrelease</v>
      </c>
      <c r="U2604" t="s">
        <v>35</v>
      </c>
      <c r="V2604" t="str">
        <f t="shared" si="216"/>
        <v>AES</v>
      </c>
      <c r="W2604" t="str">
        <f t="shared" si="216"/>
        <v>MVS,AES</v>
      </c>
      <c r="Y2604" t="s">
        <v>45</v>
      </c>
      <c r="Z2604" t="s">
        <v>44</v>
      </c>
      <c r="AB2604" t="s">
        <v>43</v>
      </c>
      <c r="AC2604" t="s">
        <v>42</v>
      </c>
      <c r="AD2604" t="s">
        <v>41</v>
      </c>
      <c r="AE2604" t="s">
        <v>377</v>
      </c>
      <c r="AG2604" t="s">
        <v>40</v>
      </c>
      <c r="AH2604" t="s">
        <v>1698</v>
      </c>
      <c r="AI2604" t="s">
        <v>9</v>
      </c>
      <c r="AJ2604" t="s">
        <v>15</v>
      </c>
      <c r="AK2604" t="s">
        <v>1697</v>
      </c>
      <c r="AL2604" t="s">
        <v>1696</v>
      </c>
      <c r="AP2604" t="s">
        <v>138</v>
      </c>
      <c r="AQ2604" t="s">
        <v>1695</v>
      </c>
      <c r="AR2604" t="s">
        <v>1694</v>
      </c>
    </row>
    <row r="2605" spans="5:44" x14ac:dyDescent="0.25">
      <c r="I2605" t="str">
        <f t="shared" si="212"/>
        <v>rotdh</v>
      </c>
      <c r="J2605" t="str">
        <f t="shared" si="213"/>
        <v>rotdhrelease</v>
      </c>
      <c r="K2605" t="s">
        <v>46</v>
      </c>
      <c r="L2605" t="str">
        <f t="shared" si="215"/>
        <v>NGH-2640?</v>
      </c>
      <c r="M2605" t="str">
        <f t="shared" si="215"/>
        <v>20020926</v>
      </c>
      <c r="N2605" t="str">
        <f t="shared" si="215"/>
        <v>レイジ・オブ・ザ・ドラゴンズ</v>
      </c>
      <c r="O2605" t="str">
        <f t="shared" si="215"/>
        <v/>
      </c>
      <c r="P2605" t="str">
        <f t="shared" si="215"/>
        <v/>
      </c>
      <c r="Q2605" t="s">
        <v>1693</v>
      </c>
      <c r="T2605" t="str">
        <f t="shared" si="214"/>
        <v/>
      </c>
      <c r="V2605" t="str">
        <f t="shared" si="216"/>
        <v>AES</v>
      </c>
      <c r="W2605" t="str">
        <f t="shared" si="216"/>
        <v>MVS,AES</v>
      </c>
      <c r="AG2605" t="s">
        <v>40</v>
      </c>
      <c r="AH2605" t="s">
        <v>1692</v>
      </c>
      <c r="AI2605" t="s">
        <v>15</v>
      </c>
      <c r="AJ2605" t="s">
        <v>3</v>
      </c>
      <c r="AK2605" t="s">
        <v>1691</v>
      </c>
      <c r="AL2605" t="s">
        <v>1690</v>
      </c>
    </row>
    <row r="2606" spans="5:44" x14ac:dyDescent="0.25">
      <c r="I2606" t="str">
        <f t="shared" si="212"/>
        <v>rotdh</v>
      </c>
      <c r="J2606" t="str">
        <f t="shared" si="213"/>
        <v>rotdhalt_title</v>
      </c>
      <c r="K2606" t="s">
        <v>1218</v>
      </c>
      <c r="L2606" t="str">
        <f t="shared" si="215"/>
        <v>NGH-2640?</v>
      </c>
      <c r="M2606" t="str">
        <f t="shared" si="215"/>
        <v>20020926</v>
      </c>
      <c r="N2606" t="str">
        <f t="shared" si="215"/>
        <v>レイジ・オブ・ザ・ドラゴンズ</v>
      </c>
      <c r="O2606" t="str">
        <f t="shared" si="215"/>
        <v/>
      </c>
      <c r="P2606" t="str">
        <f t="shared" si="215"/>
        <v/>
      </c>
      <c r="Q2606" t="s">
        <v>1689</v>
      </c>
      <c r="T2606" t="str">
        <f t="shared" si="214"/>
        <v/>
      </c>
      <c r="V2606" t="str">
        <f t="shared" si="216"/>
        <v>AES</v>
      </c>
      <c r="W2606" t="str">
        <f t="shared" si="216"/>
        <v>MVS,AES</v>
      </c>
      <c r="AB2606" t="s">
        <v>34</v>
      </c>
      <c r="AE2606" t="s">
        <v>135</v>
      </c>
      <c r="AG2606" t="s">
        <v>538</v>
      </c>
      <c r="AI2606" t="s">
        <v>9</v>
      </c>
      <c r="AJ2606" t="s">
        <v>135</v>
      </c>
      <c r="AN2606" t="s">
        <v>537</v>
      </c>
    </row>
    <row r="2607" spans="5:44" x14ac:dyDescent="0.25">
      <c r="I2607" t="str">
        <f t="shared" si="212"/>
        <v>rotdh</v>
      </c>
      <c r="J2607" t="str">
        <f t="shared" si="213"/>
        <v/>
      </c>
      <c r="L2607" t="str">
        <f t="shared" si="215"/>
        <v>NGH-2640?</v>
      </c>
      <c r="M2607" t="str">
        <f t="shared" si="215"/>
        <v>20020926</v>
      </c>
      <c r="N2607" t="str">
        <f t="shared" si="215"/>
        <v>レイジ・オブ・ザ・ドラゴンズ</v>
      </c>
      <c r="O2607" t="str">
        <f t="shared" si="215"/>
        <v/>
      </c>
      <c r="P2607" t="str">
        <f t="shared" si="215"/>
        <v/>
      </c>
      <c r="S2607" t="s">
        <v>36</v>
      </c>
      <c r="T2607" t="str">
        <f t="shared" si="214"/>
        <v>rotdhcompatibility</v>
      </c>
      <c r="U2607" t="s">
        <v>218</v>
      </c>
      <c r="V2607" t="str">
        <f t="shared" si="216"/>
        <v>AES</v>
      </c>
      <c r="W2607" t="str">
        <f t="shared" si="216"/>
        <v>MVS,AES</v>
      </c>
      <c r="AB2607" t="s">
        <v>482</v>
      </c>
      <c r="AE2607" t="s">
        <v>480</v>
      </c>
      <c r="AH2607" t="s">
        <v>1688</v>
      </c>
      <c r="AI2607" t="s">
        <v>314</v>
      </c>
      <c r="AJ2607" t="s">
        <v>135</v>
      </c>
      <c r="AK2607" t="s">
        <v>1687</v>
      </c>
      <c r="AL2607" t="s">
        <v>1686</v>
      </c>
    </row>
    <row r="2608" spans="5:44" x14ac:dyDescent="0.25">
      <c r="I2608" t="str">
        <f t="shared" si="212"/>
        <v>rotdh</v>
      </c>
      <c r="J2608" t="str">
        <f t="shared" si="213"/>
        <v/>
      </c>
      <c r="L2608" t="str">
        <f t="shared" si="215"/>
        <v>NGH-2640?</v>
      </c>
      <c r="M2608" t="str">
        <f t="shared" si="215"/>
        <v>20020926</v>
      </c>
      <c r="N2608" t="str">
        <f t="shared" si="215"/>
        <v>レイジ・オブ・ザ・ドラゴンズ</v>
      </c>
      <c r="O2608" t="str">
        <f t="shared" si="215"/>
        <v/>
      </c>
      <c r="P2608" t="str">
        <f t="shared" si="215"/>
        <v/>
      </c>
      <c r="T2608" t="str">
        <f t="shared" si="214"/>
        <v/>
      </c>
      <c r="V2608" t="str">
        <f t="shared" si="216"/>
        <v>AES</v>
      </c>
      <c r="W2608" t="str">
        <f t="shared" si="216"/>
        <v>MVS,AES</v>
      </c>
      <c r="AB2608" t="s">
        <v>24</v>
      </c>
      <c r="AE2608" t="s">
        <v>65</v>
      </c>
      <c r="AH2608" t="s">
        <v>1685</v>
      </c>
      <c r="AI2608" t="s">
        <v>9</v>
      </c>
      <c r="AJ2608" t="s">
        <v>57</v>
      </c>
      <c r="AK2608" t="s">
        <v>1684</v>
      </c>
      <c r="AL2608" t="s">
        <v>1683</v>
      </c>
    </row>
    <row r="2609" spans="5:43" x14ac:dyDescent="0.25">
      <c r="I2609" t="str">
        <f t="shared" si="212"/>
        <v>rotdh</v>
      </c>
      <c r="J2609" t="str">
        <f t="shared" si="213"/>
        <v/>
      </c>
      <c r="L2609" t="str">
        <f t="shared" si="215"/>
        <v>NGH-2640?</v>
      </c>
      <c r="M2609" t="str">
        <f t="shared" si="215"/>
        <v>20020926</v>
      </c>
      <c r="N2609" t="str">
        <f t="shared" si="215"/>
        <v>レイジ・オブ・ザ・ドラゴンズ</v>
      </c>
      <c r="O2609" t="str">
        <f t="shared" si="215"/>
        <v/>
      </c>
      <c r="P2609" t="str">
        <f t="shared" si="215"/>
        <v/>
      </c>
      <c r="T2609" t="str">
        <f t="shared" si="214"/>
        <v/>
      </c>
      <c r="V2609" t="str">
        <f t="shared" si="216"/>
        <v>AES</v>
      </c>
      <c r="W2609" t="str">
        <f t="shared" si="216"/>
        <v>MVS,AES</v>
      </c>
      <c r="AH2609" t="s">
        <v>1682</v>
      </c>
      <c r="AI2609" t="s">
        <v>57</v>
      </c>
      <c r="AJ2609" t="s">
        <v>57</v>
      </c>
      <c r="AK2609" t="s">
        <v>1681</v>
      </c>
      <c r="AL2609" t="s">
        <v>1680</v>
      </c>
    </row>
    <row r="2610" spans="5:43" x14ac:dyDescent="0.25">
      <c r="I2610" t="str">
        <f t="shared" si="212"/>
        <v>rotdh</v>
      </c>
      <c r="J2610" t="str">
        <f t="shared" si="213"/>
        <v/>
      </c>
      <c r="L2610" t="str">
        <f t="shared" si="215"/>
        <v>NGH-2640?</v>
      </c>
      <c r="M2610" t="str">
        <f t="shared" si="215"/>
        <v>20020926</v>
      </c>
      <c r="N2610" t="str">
        <f t="shared" si="215"/>
        <v>レイジ・オブ・ザ・ドラゴンズ</v>
      </c>
      <c r="O2610" t="str">
        <f t="shared" si="215"/>
        <v/>
      </c>
      <c r="P2610" t="str">
        <f t="shared" si="215"/>
        <v/>
      </c>
      <c r="T2610" t="str">
        <f t="shared" si="214"/>
        <v/>
      </c>
      <c r="V2610" t="str">
        <f t="shared" si="216"/>
        <v>AES</v>
      </c>
      <c r="W2610" t="str">
        <f t="shared" si="216"/>
        <v>MVS,AES</v>
      </c>
      <c r="AB2610" t="s">
        <v>12</v>
      </c>
      <c r="AE2610" t="s">
        <v>175</v>
      </c>
      <c r="AG2610" t="s">
        <v>6</v>
      </c>
      <c r="AH2610" t="s">
        <v>1679</v>
      </c>
      <c r="AI2610" t="s">
        <v>9</v>
      </c>
      <c r="AJ2610" t="s">
        <v>57</v>
      </c>
      <c r="AK2610" t="s">
        <v>1678</v>
      </c>
      <c r="AL2610" t="s">
        <v>1677</v>
      </c>
    </row>
    <row r="2611" spans="5:43" x14ac:dyDescent="0.25">
      <c r="I2611" t="str">
        <f t="shared" si="212"/>
        <v>rotdh</v>
      </c>
      <c r="J2611" t="str">
        <f t="shared" si="213"/>
        <v/>
      </c>
      <c r="L2611" t="str">
        <f t="shared" si="215"/>
        <v>NGH-2640?</v>
      </c>
      <c r="M2611" t="str">
        <f t="shared" si="215"/>
        <v>20020926</v>
      </c>
      <c r="N2611" t="str">
        <f t="shared" si="215"/>
        <v>レイジ・オブ・ザ・ドラゴンズ</v>
      </c>
      <c r="O2611" t="str">
        <f t="shared" si="215"/>
        <v/>
      </c>
      <c r="P2611" t="str">
        <f t="shared" si="215"/>
        <v/>
      </c>
      <c r="T2611" t="str">
        <f t="shared" si="214"/>
        <v/>
      </c>
      <c r="V2611" t="str">
        <f t="shared" si="216"/>
        <v>AES</v>
      </c>
      <c r="W2611" t="str">
        <f t="shared" si="216"/>
        <v>MVS,AES</v>
      </c>
      <c r="AG2611" t="s">
        <v>6</v>
      </c>
      <c r="AH2611" t="s">
        <v>1676</v>
      </c>
      <c r="AI2611" t="s">
        <v>4</v>
      </c>
      <c r="AJ2611" t="s">
        <v>57</v>
      </c>
      <c r="AK2611" t="s">
        <v>1675</v>
      </c>
      <c r="AL2611" t="s">
        <v>1674</v>
      </c>
    </row>
    <row r="2612" spans="5:43" x14ac:dyDescent="0.25">
      <c r="I2612" t="str">
        <f t="shared" si="212"/>
        <v>rotdh</v>
      </c>
      <c r="J2612" t="str">
        <f t="shared" si="213"/>
        <v/>
      </c>
      <c r="L2612" t="str">
        <f t="shared" si="215"/>
        <v>NGH-2640?</v>
      </c>
      <c r="M2612" t="str">
        <f t="shared" si="215"/>
        <v>20020926</v>
      </c>
      <c r="N2612" t="str">
        <f t="shared" si="215"/>
        <v>レイジ・オブ・ザ・ドラゴンズ</v>
      </c>
      <c r="O2612" t="str">
        <f t="shared" si="215"/>
        <v/>
      </c>
      <c r="P2612" t="str">
        <f t="shared" si="215"/>
        <v/>
      </c>
      <c r="T2612" t="str">
        <f t="shared" si="214"/>
        <v/>
      </c>
      <c r="V2612" t="str">
        <f t="shared" si="216"/>
        <v>AES</v>
      </c>
      <c r="W2612" t="str">
        <f t="shared" si="216"/>
        <v>MVS,AES</v>
      </c>
      <c r="AG2612" t="s">
        <v>6</v>
      </c>
      <c r="AH2612" t="s">
        <v>1673</v>
      </c>
      <c r="AI2612" t="s">
        <v>65</v>
      </c>
      <c r="AJ2612" t="s">
        <v>57</v>
      </c>
      <c r="AK2612" t="s">
        <v>1672</v>
      </c>
      <c r="AL2612" t="s">
        <v>1671</v>
      </c>
    </row>
    <row r="2613" spans="5:43" x14ac:dyDescent="0.25">
      <c r="I2613" t="str">
        <f t="shared" si="212"/>
        <v>rotdh</v>
      </c>
      <c r="J2613" t="str">
        <f t="shared" si="213"/>
        <v/>
      </c>
      <c r="L2613" t="str">
        <f t="shared" si="215"/>
        <v>NGH-2640?</v>
      </c>
      <c r="M2613" t="str">
        <f t="shared" si="215"/>
        <v>20020926</v>
      </c>
      <c r="N2613" t="str">
        <f t="shared" si="215"/>
        <v>レイジ・オブ・ザ・ドラゴンズ</v>
      </c>
      <c r="O2613" t="str">
        <f t="shared" si="215"/>
        <v/>
      </c>
      <c r="P2613" t="str">
        <f t="shared" si="215"/>
        <v/>
      </c>
      <c r="T2613" t="str">
        <f t="shared" si="214"/>
        <v/>
      </c>
      <c r="V2613" t="str">
        <f t="shared" si="216"/>
        <v>AES</v>
      </c>
      <c r="W2613" t="str">
        <f t="shared" si="216"/>
        <v>MVS,AES</v>
      </c>
      <c r="AG2613" t="s">
        <v>6</v>
      </c>
      <c r="AH2613" t="s">
        <v>1670</v>
      </c>
      <c r="AI2613" t="s">
        <v>164</v>
      </c>
      <c r="AJ2613" t="s">
        <v>57</v>
      </c>
      <c r="AK2613" t="s">
        <v>1669</v>
      </c>
      <c r="AL2613" t="s">
        <v>1668</v>
      </c>
    </row>
    <row r="2614" spans="5:43" x14ac:dyDescent="0.25">
      <c r="I2614" t="str">
        <f t="shared" si="212"/>
        <v>rotdh</v>
      </c>
      <c r="J2614" t="str">
        <f t="shared" si="213"/>
        <v/>
      </c>
      <c r="L2614" t="str">
        <f t="shared" si="215"/>
        <v>NGH-2640?</v>
      </c>
      <c r="M2614" t="str">
        <f t="shared" si="215"/>
        <v>20020926</v>
      </c>
      <c r="N2614" t="str">
        <f t="shared" si="215"/>
        <v>レイジ・オブ・ザ・ドラゴンズ</v>
      </c>
      <c r="O2614" t="str">
        <f t="shared" si="215"/>
        <v/>
      </c>
      <c r="P2614" t="str">
        <f t="shared" si="215"/>
        <v/>
      </c>
      <c r="T2614" t="str">
        <f t="shared" si="214"/>
        <v/>
      </c>
      <c r="V2614" t="str">
        <f t="shared" si="216"/>
        <v>AES</v>
      </c>
      <c r="W2614" t="str">
        <f t="shared" si="216"/>
        <v>MVS,AES</v>
      </c>
      <c r="AG2614" t="s">
        <v>6</v>
      </c>
      <c r="AH2614" t="s">
        <v>1667</v>
      </c>
      <c r="AI2614" t="s">
        <v>160</v>
      </c>
      <c r="AJ2614" t="s">
        <v>57</v>
      </c>
      <c r="AK2614" t="s">
        <v>1666</v>
      </c>
      <c r="AL2614" t="s">
        <v>1665</v>
      </c>
    </row>
    <row r="2615" spans="5:43" x14ac:dyDescent="0.25">
      <c r="I2615" t="str">
        <f t="shared" si="212"/>
        <v>rotdh</v>
      </c>
      <c r="J2615" t="str">
        <f t="shared" si="213"/>
        <v/>
      </c>
      <c r="L2615" t="str">
        <f t="shared" si="215"/>
        <v>NGH-2640?</v>
      </c>
      <c r="M2615" t="str">
        <f t="shared" si="215"/>
        <v>20020926</v>
      </c>
      <c r="N2615" t="str">
        <f t="shared" si="215"/>
        <v>レイジ・オブ・ザ・ドラゴンズ</v>
      </c>
      <c r="O2615" t="str">
        <f t="shared" si="215"/>
        <v/>
      </c>
      <c r="P2615" t="str">
        <f t="shared" si="215"/>
        <v/>
      </c>
      <c r="T2615" t="str">
        <f t="shared" si="214"/>
        <v/>
      </c>
      <c r="V2615" t="str">
        <f t="shared" si="216"/>
        <v>AES</v>
      </c>
      <c r="W2615" t="str">
        <f t="shared" si="216"/>
        <v>MVS,AES</v>
      </c>
      <c r="AG2615" t="s">
        <v>6</v>
      </c>
      <c r="AH2615" t="s">
        <v>1664</v>
      </c>
      <c r="AI2615" t="s">
        <v>156</v>
      </c>
      <c r="AJ2615" t="s">
        <v>57</v>
      </c>
      <c r="AK2615" t="s">
        <v>1663</v>
      </c>
      <c r="AL2615" t="s">
        <v>1662</v>
      </c>
    </row>
    <row r="2616" spans="5:43" x14ac:dyDescent="0.25">
      <c r="I2616" t="str">
        <f t="shared" si="212"/>
        <v>rotdh</v>
      </c>
      <c r="J2616" t="str">
        <f t="shared" si="213"/>
        <v/>
      </c>
      <c r="L2616" t="str">
        <f t="shared" ref="L2616:P2666" si="217">IFERROR(VLOOKUP($I2616&amp;L$1,$J:$Q,8,0),"")</f>
        <v>NGH-2640?</v>
      </c>
      <c r="M2616" t="str">
        <f t="shared" si="217"/>
        <v>20020926</v>
      </c>
      <c r="N2616" t="str">
        <f t="shared" si="217"/>
        <v>レイジ・オブ・ザ・ドラゴンズ</v>
      </c>
      <c r="O2616" t="str">
        <f t="shared" si="217"/>
        <v/>
      </c>
      <c r="P2616" t="str">
        <f t="shared" si="217"/>
        <v/>
      </c>
      <c r="T2616" t="str">
        <f t="shared" si="214"/>
        <v/>
      </c>
      <c r="V2616" t="str">
        <f t="shared" si="216"/>
        <v>AES</v>
      </c>
      <c r="W2616" t="str">
        <f t="shared" si="216"/>
        <v>MVS,AES</v>
      </c>
      <c r="AG2616" t="s">
        <v>6</v>
      </c>
      <c r="AH2616" t="s">
        <v>1661</v>
      </c>
      <c r="AI2616" t="s">
        <v>152</v>
      </c>
      <c r="AJ2616" t="s">
        <v>57</v>
      </c>
      <c r="AK2616" t="s">
        <v>1660</v>
      </c>
      <c r="AL2616" t="s">
        <v>1659</v>
      </c>
    </row>
    <row r="2617" spans="5:43" x14ac:dyDescent="0.25">
      <c r="I2617" t="str">
        <f t="shared" si="212"/>
        <v>rotdh</v>
      </c>
      <c r="J2617" t="str">
        <f t="shared" si="213"/>
        <v/>
      </c>
      <c r="L2617" t="str">
        <f t="shared" si="217"/>
        <v>NGH-2640?</v>
      </c>
      <c r="M2617" t="str">
        <f t="shared" si="217"/>
        <v>20020926</v>
      </c>
      <c r="N2617" t="str">
        <f t="shared" si="217"/>
        <v>レイジ・オブ・ザ・ドラゴンズ</v>
      </c>
      <c r="O2617" t="str">
        <f t="shared" si="217"/>
        <v/>
      </c>
      <c r="P2617" t="str">
        <f t="shared" si="217"/>
        <v/>
      </c>
      <c r="T2617" t="str">
        <f t="shared" si="214"/>
        <v/>
      </c>
      <c r="V2617" t="str">
        <f t="shared" si="216"/>
        <v>AES</v>
      </c>
      <c r="W2617" t="str">
        <f t="shared" si="216"/>
        <v>MVS,AES</v>
      </c>
      <c r="AG2617" t="s">
        <v>6</v>
      </c>
      <c r="AH2617" t="s">
        <v>1658</v>
      </c>
      <c r="AI2617" t="s">
        <v>148</v>
      </c>
      <c r="AJ2617" t="s">
        <v>57</v>
      </c>
      <c r="AK2617" t="s">
        <v>1657</v>
      </c>
      <c r="AL2617" t="s">
        <v>1656</v>
      </c>
    </row>
    <row r="2618" spans="5:43" x14ac:dyDescent="0.25">
      <c r="E2618" t="s">
        <v>592</v>
      </c>
      <c r="F2618" t="s">
        <v>1655</v>
      </c>
      <c r="G2618" t="s">
        <v>547</v>
      </c>
      <c r="H2618" t="s">
        <v>1654</v>
      </c>
      <c r="I2618" t="str">
        <f t="shared" si="212"/>
        <v>kof2002</v>
      </c>
      <c r="J2618" t="str">
        <f t="shared" si="213"/>
        <v>kof2002serial</v>
      </c>
      <c r="K2618" t="s">
        <v>1373</v>
      </c>
      <c r="L2618" t="str">
        <f t="shared" si="217"/>
        <v>NGM-2650 (MVS), NGM-2650 (AES)</v>
      </c>
      <c r="M2618" t="str">
        <f t="shared" si="217"/>
        <v>20021010 (MVS), 20021219 (AES)</v>
      </c>
      <c r="N2618" t="str">
        <f t="shared" si="217"/>
        <v>ザ・キング・オブ・ファイターズ 2002</v>
      </c>
      <c r="O2618" t="str">
        <f t="shared" si="217"/>
        <v/>
      </c>
      <c r="P2618" t="str">
        <f t="shared" si="217"/>
        <v/>
      </c>
      <c r="Q2618" t="s">
        <v>1653</v>
      </c>
      <c r="S2618" t="s">
        <v>46</v>
      </c>
      <c r="T2618" t="str">
        <f t="shared" si="214"/>
        <v>kof2002release</v>
      </c>
      <c r="U2618" t="s">
        <v>218</v>
      </c>
      <c r="V2618" t="str">
        <f t="shared" si="216"/>
        <v>MVS,AES</v>
      </c>
      <c r="W2618" t="str">
        <f t="shared" si="216"/>
        <v>MVS,AES</v>
      </c>
      <c r="Y2618" t="s">
        <v>45</v>
      </c>
      <c r="Z2618" t="s">
        <v>44</v>
      </c>
      <c r="AB2618" t="s">
        <v>43</v>
      </c>
      <c r="AC2618" t="s">
        <v>42</v>
      </c>
      <c r="AD2618" t="s">
        <v>41</v>
      </c>
      <c r="AE2618" t="s">
        <v>23</v>
      </c>
      <c r="AG2618" t="s">
        <v>40</v>
      </c>
      <c r="AH2618" t="s">
        <v>817</v>
      </c>
      <c r="AI2618" t="s">
        <v>9</v>
      </c>
      <c r="AJ2618" t="s">
        <v>15</v>
      </c>
      <c r="AK2618" t="s">
        <v>816</v>
      </c>
      <c r="AL2618" t="s">
        <v>815</v>
      </c>
      <c r="AP2618" t="s">
        <v>138</v>
      </c>
      <c r="AQ2618" t="s">
        <v>1652</v>
      </c>
    </row>
    <row r="2619" spans="5:43" x14ac:dyDescent="0.25">
      <c r="I2619" t="str">
        <f t="shared" si="212"/>
        <v>kof2002</v>
      </c>
      <c r="J2619" t="str">
        <f t="shared" si="213"/>
        <v>kof2002release</v>
      </c>
      <c r="K2619" t="s">
        <v>46</v>
      </c>
      <c r="L2619" t="str">
        <f t="shared" si="217"/>
        <v>NGM-2650 (MVS), NGM-2650 (AES)</v>
      </c>
      <c r="M2619" t="str">
        <f t="shared" si="217"/>
        <v>20021010 (MVS), 20021219 (AES)</v>
      </c>
      <c r="N2619" t="str">
        <f t="shared" si="217"/>
        <v>ザ・キング・オブ・ファイターズ 2002</v>
      </c>
      <c r="O2619" t="str">
        <f t="shared" si="217"/>
        <v/>
      </c>
      <c r="P2619" t="str">
        <f t="shared" si="217"/>
        <v/>
      </c>
      <c r="Q2619" t="s">
        <v>1651</v>
      </c>
      <c r="T2619" t="str">
        <f t="shared" si="214"/>
        <v/>
      </c>
      <c r="V2619" t="str">
        <f t="shared" si="216"/>
        <v>MVS,AES</v>
      </c>
      <c r="W2619" t="str">
        <f t="shared" si="216"/>
        <v>MVS,AES</v>
      </c>
      <c r="AG2619" t="s">
        <v>40</v>
      </c>
      <c r="AH2619" t="s">
        <v>769</v>
      </c>
      <c r="AI2619" t="s">
        <v>15</v>
      </c>
      <c r="AJ2619" t="s">
        <v>11</v>
      </c>
      <c r="AK2619" t="s">
        <v>768</v>
      </c>
      <c r="AL2619" t="s">
        <v>767</v>
      </c>
    </row>
    <row r="2620" spans="5:43" x14ac:dyDescent="0.25">
      <c r="I2620" t="str">
        <f t="shared" si="212"/>
        <v>kof2002</v>
      </c>
      <c r="J2620" t="str">
        <f t="shared" si="213"/>
        <v>kof2002alt_title</v>
      </c>
      <c r="K2620" t="s">
        <v>1218</v>
      </c>
      <c r="L2620" t="str">
        <f t="shared" si="217"/>
        <v>NGM-2650 (MVS), NGM-2650 (AES)</v>
      </c>
      <c r="M2620" t="str">
        <f t="shared" si="217"/>
        <v>20021010 (MVS), 20021219 (AES)</v>
      </c>
      <c r="N2620" t="str">
        <f t="shared" si="217"/>
        <v>ザ・キング・オブ・ファイターズ 2002</v>
      </c>
      <c r="O2620" t="str">
        <f t="shared" si="217"/>
        <v/>
      </c>
      <c r="P2620" t="str">
        <f t="shared" si="217"/>
        <v/>
      </c>
      <c r="Q2620" t="s">
        <v>1650</v>
      </c>
      <c r="T2620" t="str">
        <f t="shared" si="214"/>
        <v/>
      </c>
      <c r="V2620" t="str">
        <f t="shared" si="216"/>
        <v>MVS,AES</v>
      </c>
      <c r="W2620" t="str">
        <f t="shared" si="216"/>
        <v>MVS,AES</v>
      </c>
      <c r="AB2620" t="s">
        <v>34</v>
      </c>
      <c r="AE2620" t="s">
        <v>135</v>
      </c>
      <c r="AG2620" t="s">
        <v>538</v>
      </c>
      <c r="AI2620" t="s">
        <v>9</v>
      </c>
      <c r="AJ2620" t="s">
        <v>135</v>
      </c>
      <c r="AN2620" t="s">
        <v>537</v>
      </c>
    </row>
    <row r="2621" spans="5:43" x14ac:dyDescent="0.25">
      <c r="I2621" t="str">
        <f t="shared" si="212"/>
        <v>kof2002</v>
      </c>
      <c r="J2621" t="str">
        <f t="shared" si="213"/>
        <v/>
      </c>
      <c r="L2621" t="str">
        <f t="shared" si="217"/>
        <v>NGM-2650 (MVS), NGM-2650 (AES)</v>
      </c>
      <c r="M2621" t="str">
        <f t="shared" si="217"/>
        <v>20021010 (MVS), 20021219 (AES)</v>
      </c>
      <c r="N2621" t="str">
        <f t="shared" si="217"/>
        <v>ザ・キング・オブ・ファイターズ 2002</v>
      </c>
      <c r="O2621" t="str">
        <f t="shared" si="217"/>
        <v/>
      </c>
      <c r="P2621" t="str">
        <f t="shared" si="217"/>
        <v/>
      </c>
      <c r="S2621" t="s">
        <v>36</v>
      </c>
      <c r="T2621" t="str">
        <f t="shared" si="214"/>
        <v>kof2002compatibility</v>
      </c>
      <c r="U2621" t="s">
        <v>218</v>
      </c>
      <c r="V2621" t="str">
        <f t="shared" si="216"/>
        <v>MVS,AES</v>
      </c>
      <c r="W2621" t="str">
        <f t="shared" si="216"/>
        <v>MVS,AES</v>
      </c>
      <c r="AB2621" t="s">
        <v>482</v>
      </c>
      <c r="AE2621" t="s">
        <v>480</v>
      </c>
      <c r="AH2621" t="s">
        <v>739</v>
      </c>
      <c r="AI2621" t="s">
        <v>314</v>
      </c>
      <c r="AJ2621" t="s">
        <v>135</v>
      </c>
      <c r="AK2621" t="s">
        <v>738</v>
      </c>
      <c r="AL2621" t="s">
        <v>737</v>
      </c>
    </row>
    <row r="2622" spans="5:43" x14ac:dyDescent="0.25">
      <c r="I2622" t="str">
        <f t="shared" si="212"/>
        <v>kof2002</v>
      </c>
      <c r="J2622" t="str">
        <f t="shared" si="213"/>
        <v/>
      </c>
      <c r="L2622" t="str">
        <f t="shared" si="217"/>
        <v>NGM-2650 (MVS), NGM-2650 (AES)</v>
      </c>
      <c r="M2622" t="str">
        <f t="shared" si="217"/>
        <v>20021010 (MVS), 20021219 (AES)</v>
      </c>
      <c r="N2622" t="str">
        <f t="shared" si="217"/>
        <v>ザ・キング・オブ・ファイターズ 2002</v>
      </c>
      <c r="O2622" t="str">
        <f t="shared" si="217"/>
        <v/>
      </c>
      <c r="P2622" t="str">
        <f t="shared" si="217"/>
        <v/>
      </c>
      <c r="T2622" t="str">
        <f t="shared" si="214"/>
        <v/>
      </c>
      <c r="V2622" t="str">
        <f t="shared" si="216"/>
        <v>MVS,AES</v>
      </c>
      <c r="W2622" t="str">
        <f t="shared" si="216"/>
        <v>MVS,AES</v>
      </c>
      <c r="AB2622" t="s">
        <v>24</v>
      </c>
      <c r="AE2622" t="s">
        <v>65</v>
      </c>
      <c r="AH2622" t="s">
        <v>736</v>
      </c>
      <c r="AI2622" t="s">
        <v>9</v>
      </c>
      <c r="AJ2622" t="s">
        <v>57</v>
      </c>
      <c r="AK2622" t="s">
        <v>735</v>
      </c>
      <c r="AL2622" t="s">
        <v>734</v>
      </c>
    </row>
    <row r="2623" spans="5:43" x14ac:dyDescent="0.25">
      <c r="I2623" t="str">
        <f t="shared" si="212"/>
        <v>kof2002</v>
      </c>
      <c r="J2623" t="str">
        <f t="shared" si="213"/>
        <v/>
      </c>
      <c r="L2623" t="str">
        <f t="shared" si="217"/>
        <v>NGM-2650 (MVS), NGM-2650 (AES)</v>
      </c>
      <c r="M2623" t="str">
        <f t="shared" si="217"/>
        <v>20021010 (MVS), 20021219 (AES)</v>
      </c>
      <c r="N2623" t="str">
        <f t="shared" si="217"/>
        <v>ザ・キング・オブ・ファイターズ 2002</v>
      </c>
      <c r="O2623" t="str">
        <f t="shared" si="217"/>
        <v/>
      </c>
      <c r="P2623" t="str">
        <f t="shared" si="217"/>
        <v/>
      </c>
      <c r="T2623" t="str">
        <f t="shared" si="214"/>
        <v/>
      </c>
      <c r="V2623" t="str">
        <f t="shared" si="216"/>
        <v>MVS,AES</v>
      </c>
      <c r="W2623" t="str">
        <f t="shared" si="216"/>
        <v>MVS,AES</v>
      </c>
      <c r="AH2623" t="s">
        <v>733</v>
      </c>
      <c r="AI2623" t="s">
        <v>57</v>
      </c>
      <c r="AJ2623" t="s">
        <v>57</v>
      </c>
      <c r="AK2623" t="s">
        <v>732</v>
      </c>
      <c r="AL2623" t="s">
        <v>731</v>
      </c>
    </row>
    <row r="2624" spans="5:43" x14ac:dyDescent="0.25">
      <c r="I2624" t="str">
        <f t="shared" si="212"/>
        <v>kof2002</v>
      </c>
      <c r="J2624" t="str">
        <f t="shared" si="213"/>
        <v/>
      </c>
      <c r="L2624" t="str">
        <f t="shared" si="217"/>
        <v>NGM-2650 (MVS), NGM-2650 (AES)</v>
      </c>
      <c r="M2624" t="str">
        <f t="shared" si="217"/>
        <v>20021010 (MVS), 20021219 (AES)</v>
      </c>
      <c r="N2624" t="str">
        <f t="shared" si="217"/>
        <v>ザ・キング・オブ・ファイターズ 2002</v>
      </c>
      <c r="O2624" t="str">
        <f t="shared" si="217"/>
        <v/>
      </c>
      <c r="P2624" t="str">
        <f t="shared" si="217"/>
        <v/>
      </c>
      <c r="T2624" t="str">
        <f t="shared" si="214"/>
        <v/>
      </c>
      <c r="V2624" t="str">
        <f t="shared" si="216"/>
        <v>MVS,AES</v>
      </c>
      <c r="W2624" t="str">
        <f t="shared" si="216"/>
        <v>MVS,AES</v>
      </c>
      <c r="AB2624" t="s">
        <v>12</v>
      </c>
      <c r="AE2624" t="s">
        <v>175</v>
      </c>
      <c r="AG2624" t="s">
        <v>6</v>
      </c>
      <c r="AH2624" t="s">
        <v>730</v>
      </c>
      <c r="AI2624" t="s">
        <v>9</v>
      </c>
      <c r="AJ2624" t="s">
        <v>57</v>
      </c>
      <c r="AK2624" t="s">
        <v>729</v>
      </c>
      <c r="AL2624" t="s">
        <v>728</v>
      </c>
    </row>
    <row r="2625" spans="5:43" x14ac:dyDescent="0.25">
      <c r="I2625" t="str">
        <f t="shared" si="212"/>
        <v>kof2002</v>
      </c>
      <c r="J2625" t="str">
        <f t="shared" si="213"/>
        <v/>
      </c>
      <c r="L2625" t="str">
        <f t="shared" si="217"/>
        <v>NGM-2650 (MVS), NGM-2650 (AES)</v>
      </c>
      <c r="M2625" t="str">
        <f t="shared" si="217"/>
        <v>20021010 (MVS), 20021219 (AES)</v>
      </c>
      <c r="N2625" t="str">
        <f t="shared" si="217"/>
        <v>ザ・キング・オブ・ファイターズ 2002</v>
      </c>
      <c r="O2625" t="str">
        <f t="shared" si="217"/>
        <v/>
      </c>
      <c r="P2625" t="str">
        <f t="shared" si="217"/>
        <v/>
      </c>
      <c r="T2625" t="str">
        <f t="shared" si="214"/>
        <v/>
      </c>
      <c r="V2625" t="str">
        <f t="shared" si="216"/>
        <v>MVS,AES</v>
      </c>
      <c r="W2625" t="str">
        <f t="shared" si="216"/>
        <v>MVS,AES</v>
      </c>
      <c r="AG2625" t="s">
        <v>6</v>
      </c>
      <c r="AH2625" t="s">
        <v>727</v>
      </c>
      <c r="AI2625" t="s">
        <v>4</v>
      </c>
      <c r="AJ2625" t="s">
        <v>57</v>
      </c>
      <c r="AK2625" t="s">
        <v>726</v>
      </c>
      <c r="AL2625" t="s">
        <v>725</v>
      </c>
    </row>
    <row r="2626" spans="5:43" x14ac:dyDescent="0.25">
      <c r="I2626" t="str">
        <f t="shared" si="212"/>
        <v>kof2002</v>
      </c>
      <c r="J2626" t="str">
        <f t="shared" si="213"/>
        <v/>
      </c>
      <c r="L2626" t="str">
        <f t="shared" si="217"/>
        <v>NGM-2650 (MVS), NGM-2650 (AES)</v>
      </c>
      <c r="M2626" t="str">
        <f t="shared" si="217"/>
        <v>20021010 (MVS), 20021219 (AES)</v>
      </c>
      <c r="N2626" t="str">
        <f t="shared" si="217"/>
        <v>ザ・キング・オブ・ファイターズ 2002</v>
      </c>
      <c r="O2626" t="str">
        <f t="shared" si="217"/>
        <v/>
      </c>
      <c r="P2626" t="str">
        <f t="shared" si="217"/>
        <v/>
      </c>
      <c r="T2626" t="str">
        <f t="shared" si="214"/>
        <v/>
      </c>
      <c r="V2626" t="str">
        <f t="shared" si="216"/>
        <v>MVS,AES</v>
      </c>
      <c r="W2626" t="str">
        <f t="shared" si="216"/>
        <v>MVS,AES</v>
      </c>
      <c r="AG2626" t="s">
        <v>6</v>
      </c>
      <c r="AH2626" t="s">
        <v>724</v>
      </c>
      <c r="AI2626" t="s">
        <v>65</v>
      </c>
      <c r="AJ2626" t="s">
        <v>57</v>
      </c>
      <c r="AK2626" t="s">
        <v>723</v>
      </c>
      <c r="AL2626" t="s">
        <v>722</v>
      </c>
    </row>
    <row r="2627" spans="5:43" x14ac:dyDescent="0.25">
      <c r="I2627" t="str">
        <f t="shared" ref="I2627:I2690" si="218">IF(E2627="",I2626,E2627)</f>
        <v>kof2002</v>
      </c>
      <c r="J2627" t="str">
        <f t="shared" ref="J2627:J2690" si="219">IF(K2627="","",I2627&amp;K2627)</f>
        <v/>
      </c>
      <c r="L2627" t="str">
        <f t="shared" si="217"/>
        <v>NGM-2650 (MVS), NGM-2650 (AES)</v>
      </c>
      <c r="M2627" t="str">
        <f t="shared" si="217"/>
        <v>20021010 (MVS), 20021219 (AES)</v>
      </c>
      <c r="N2627" t="str">
        <f t="shared" si="217"/>
        <v>ザ・キング・オブ・ファイターズ 2002</v>
      </c>
      <c r="O2627" t="str">
        <f t="shared" si="217"/>
        <v/>
      </c>
      <c r="P2627" t="str">
        <f t="shared" si="217"/>
        <v/>
      </c>
      <c r="T2627" t="str">
        <f t="shared" ref="T2627:T2690" si="220">IF(S2627="","",I2627&amp;S2627)</f>
        <v/>
      </c>
      <c r="V2627" t="str">
        <f t="shared" si="216"/>
        <v>MVS,AES</v>
      </c>
      <c r="W2627" t="str">
        <f t="shared" si="216"/>
        <v>MVS,AES</v>
      </c>
      <c r="AG2627" t="s">
        <v>6</v>
      </c>
      <c r="AH2627" t="s">
        <v>721</v>
      </c>
      <c r="AI2627" t="s">
        <v>164</v>
      </c>
      <c r="AJ2627" t="s">
        <v>57</v>
      </c>
      <c r="AK2627" t="s">
        <v>720</v>
      </c>
      <c r="AL2627" t="s">
        <v>719</v>
      </c>
    </row>
    <row r="2628" spans="5:43" x14ac:dyDescent="0.25">
      <c r="I2628" t="str">
        <f t="shared" si="218"/>
        <v>kof2002</v>
      </c>
      <c r="J2628" t="str">
        <f t="shared" si="219"/>
        <v/>
      </c>
      <c r="L2628" t="str">
        <f t="shared" si="217"/>
        <v>NGM-2650 (MVS), NGM-2650 (AES)</v>
      </c>
      <c r="M2628" t="str">
        <f t="shared" si="217"/>
        <v>20021010 (MVS), 20021219 (AES)</v>
      </c>
      <c r="N2628" t="str">
        <f t="shared" si="217"/>
        <v>ザ・キング・オブ・ファイターズ 2002</v>
      </c>
      <c r="O2628" t="str">
        <f t="shared" si="217"/>
        <v/>
      </c>
      <c r="P2628" t="str">
        <f t="shared" si="217"/>
        <v/>
      </c>
      <c r="T2628" t="str">
        <f t="shared" si="220"/>
        <v/>
      </c>
      <c r="V2628" t="str">
        <f t="shared" si="216"/>
        <v>MVS,AES</v>
      </c>
      <c r="W2628" t="str">
        <f t="shared" si="216"/>
        <v>MVS,AES</v>
      </c>
      <c r="AG2628" t="s">
        <v>6</v>
      </c>
      <c r="AH2628" t="s">
        <v>718</v>
      </c>
      <c r="AI2628" t="s">
        <v>160</v>
      </c>
      <c r="AJ2628" t="s">
        <v>57</v>
      </c>
      <c r="AK2628" t="s">
        <v>717</v>
      </c>
      <c r="AL2628" t="s">
        <v>716</v>
      </c>
    </row>
    <row r="2629" spans="5:43" x14ac:dyDescent="0.25">
      <c r="I2629" t="str">
        <f t="shared" si="218"/>
        <v>kof2002</v>
      </c>
      <c r="J2629" t="str">
        <f t="shared" si="219"/>
        <v/>
      </c>
      <c r="L2629" t="str">
        <f t="shared" si="217"/>
        <v>NGM-2650 (MVS), NGM-2650 (AES)</v>
      </c>
      <c r="M2629" t="str">
        <f t="shared" si="217"/>
        <v>20021010 (MVS), 20021219 (AES)</v>
      </c>
      <c r="N2629" t="str">
        <f t="shared" si="217"/>
        <v>ザ・キング・オブ・ファイターズ 2002</v>
      </c>
      <c r="O2629" t="str">
        <f t="shared" si="217"/>
        <v/>
      </c>
      <c r="P2629" t="str">
        <f t="shared" si="217"/>
        <v/>
      </c>
      <c r="T2629" t="str">
        <f t="shared" si="220"/>
        <v/>
      </c>
      <c r="V2629" t="str">
        <f t="shared" si="216"/>
        <v>MVS,AES</v>
      </c>
      <c r="W2629" t="str">
        <f t="shared" si="216"/>
        <v>MVS,AES</v>
      </c>
      <c r="AG2629" t="s">
        <v>6</v>
      </c>
      <c r="AH2629" t="s">
        <v>715</v>
      </c>
      <c r="AI2629" t="s">
        <v>156</v>
      </c>
      <c r="AJ2629" t="s">
        <v>57</v>
      </c>
      <c r="AK2629" t="s">
        <v>714</v>
      </c>
      <c r="AL2629" t="s">
        <v>713</v>
      </c>
    </row>
    <row r="2630" spans="5:43" x14ac:dyDescent="0.25">
      <c r="I2630" t="str">
        <f t="shared" si="218"/>
        <v>kof2002</v>
      </c>
      <c r="J2630" t="str">
        <f t="shared" si="219"/>
        <v/>
      </c>
      <c r="L2630" t="str">
        <f t="shared" si="217"/>
        <v>NGM-2650 (MVS), NGM-2650 (AES)</v>
      </c>
      <c r="M2630" t="str">
        <f t="shared" si="217"/>
        <v>20021010 (MVS), 20021219 (AES)</v>
      </c>
      <c r="N2630" t="str">
        <f t="shared" si="217"/>
        <v>ザ・キング・オブ・ファイターズ 2002</v>
      </c>
      <c r="O2630" t="str">
        <f t="shared" si="217"/>
        <v/>
      </c>
      <c r="P2630" t="str">
        <f t="shared" si="217"/>
        <v/>
      </c>
      <c r="T2630" t="str">
        <f t="shared" si="220"/>
        <v/>
      </c>
      <c r="V2630" t="str">
        <f t="shared" si="216"/>
        <v>MVS,AES</v>
      </c>
      <c r="W2630" t="str">
        <f t="shared" si="216"/>
        <v>MVS,AES</v>
      </c>
      <c r="AG2630" t="s">
        <v>6</v>
      </c>
      <c r="AH2630" t="s">
        <v>712</v>
      </c>
      <c r="AI2630" t="s">
        <v>152</v>
      </c>
      <c r="AJ2630" t="s">
        <v>57</v>
      </c>
      <c r="AK2630" t="s">
        <v>711</v>
      </c>
      <c r="AL2630" t="s">
        <v>710</v>
      </c>
    </row>
    <row r="2631" spans="5:43" x14ac:dyDescent="0.25">
      <c r="I2631" t="str">
        <f t="shared" si="218"/>
        <v>kof2002</v>
      </c>
      <c r="J2631" t="str">
        <f t="shared" si="219"/>
        <v/>
      </c>
      <c r="L2631" t="str">
        <f t="shared" si="217"/>
        <v>NGM-2650 (MVS), NGM-2650 (AES)</v>
      </c>
      <c r="M2631" t="str">
        <f t="shared" si="217"/>
        <v>20021010 (MVS), 20021219 (AES)</v>
      </c>
      <c r="N2631" t="str">
        <f t="shared" si="217"/>
        <v>ザ・キング・オブ・ファイターズ 2002</v>
      </c>
      <c r="O2631" t="str">
        <f t="shared" si="217"/>
        <v/>
      </c>
      <c r="P2631" t="str">
        <f t="shared" si="217"/>
        <v/>
      </c>
      <c r="T2631" t="str">
        <f t="shared" si="220"/>
        <v/>
      </c>
      <c r="V2631" t="str">
        <f t="shared" si="216"/>
        <v>MVS,AES</v>
      </c>
      <c r="W2631" t="str">
        <f t="shared" si="216"/>
        <v>MVS,AES</v>
      </c>
      <c r="AG2631" t="s">
        <v>6</v>
      </c>
      <c r="AH2631" t="s">
        <v>709</v>
      </c>
      <c r="AI2631" t="s">
        <v>148</v>
      </c>
      <c r="AJ2631" t="s">
        <v>57</v>
      </c>
      <c r="AK2631" t="s">
        <v>708</v>
      </c>
      <c r="AL2631" t="s">
        <v>707</v>
      </c>
    </row>
    <row r="2632" spans="5:43" x14ac:dyDescent="0.25">
      <c r="E2632" t="s">
        <v>542</v>
      </c>
      <c r="F2632" t="s">
        <v>1649</v>
      </c>
      <c r="G2632" t="s">
        <v>547</v>
      </c>
      <c r="H2632" t="s">
        <v>1648</v>
      </c>
      <c r="I2632" t="str">
        <f t="shared" si="218"/>
        <v>matrim</v>
      </c>
      <c r="J2632" t="str">
        <f t="shared" si="219"/>
        <v>matrimserial</v>
      </c>
      <c r="K2632" t="s">
        <v>1373</v>
      </c>
      <c r="L2632" t="str">
        <f t="shared" si="217"/>
        <v>NGM-2660 (MVS), NGM-2660 (AES)</v>
      </c>
      <c r="M2632" t="str">
        <f t="shared" si="217"/>
        <v>20030320 (MVS), 20030529 (AES)</v>
      </c>
      <c r="N2632" t="str">
        <f t="shared" si="217"/>
        <v>新・豪血寺一族 闘婚</v>
      </c>
      <c r="O2632" t="str">
        <f t="shared" si="217"/>
        <v/>
      </c>
      <c r="P2632" t="str">
        <f t="shared" si="217"/>
        <v/>
      </c>
      <c r="Q2632" t="s">
        <v>1647</v>
      </c>
      <c r="S2632" t="s">
        <v>46</v>
      </c>
      <c r="T2632" t="str">
        <f t="shared" si="220"/>
        <v>matrimrelease</v>
      </c>
      <c r="U2632" t="s">
        <v>218</v>
      </c>
      <c r="V2632" t="str">
        <f t="shared" si="216"/>
        <v>MVS,AES</v>
      </c>
      <c r="W2632" t="str">
        <f t="shared" si="216"/>
        <v>MVS,AES</v>
      </c>
      <c r="Y2632" t="s">
        <v>45</v>
      </c>
      <c r="Z2632" t="s">
        <v>44</v>
      </c>
      <c r="AB2632" t="s">
        <v>43</v>
      </c>
      <c r="AC2632" t="s">
        <v>42</v>
      </c>
      <c r="AD2632" t="s">
        <v>41</v>
      </c>
      <c r="AE2632" t="s">
        <v>23</v>
      </c>
      <c r="AG2632" t="s">
        <v>40</v>
      </c>
      <c r="AH2632" t="s">
        <v>546</v>
      </c>
      <c r="AI2632" t="s">
        <v>9</v>
      </c>
      <c r="AJ2632" t="s">
        <v>15</v>
      </c>
      <c r="AK2632" t="s">
        <v>545</v>
      </c>
      <c r="AL2632" t="s">
        <v>544</v>
      </c>
      <c r="AP2632" t="s">
        <v>138</v>
      </c>
      <c r="AQ2632" t="s">
        <v>1646</v>
      </c>
    </row>
    <row r="2633" spans="5:43" x14ac:dyDescent="0.25">
      <c r="I2633" t="str">
        <f t="shared" si="218"/>
        <v>matrim</v>
      </c>
      <c r="J2633" t="str">
        <f t="shared" si="219"/>
        <v>matrimrelease</v>
      </c>
      <c r="K2633" t="s">
        <v>46</v>
      </c>
      <c r="L2633" t="str">
        <f t="shared" si="217"/>
        <v>NGM-2660 (MVS), NGM-2660 (AES)</v>
      </c>
      <c r="M2633" t="str">
        <f t="shared" si="217"/>
        <v>20030320 (MVS), 20030529 (AES)</v>
      </c>
      <c r="N2633" t="str">
        <f t="shared" si="217"/>
        <v>新・豪血寺一族 闘婚</v>
      </c>
      <c r="O2633" t="str">
        <f t="shared" si="217"/>
        <v/>
      </c>
      <c r="P2633" t="str">
        <f t="shared" si="217"/>
        <v/>
      </c>
      <c r="Q2633" t="s">
        <v>1645</v>
      </c>
      <c r="T2633" t="str">
        <f t="shared" si="220"/>
        <v/>
      </c>
      <c r="V2633" t="str">
        <f t="shared" si="216"/>
        <v>MVS,AES</v>
      </c>
      <c r="W2633" t="str">
        <f t="shared" si="216"/>
        <v>MVS,AES</v>
      </c>
      <c r="AG2633" t="s">
        <v>40</v>
      </c>
      <c r="AH2633" t="s">
        <v>541</v>
      </c>
      <c r="AI2633" t="s">
        <v>15</v>
      </c>
      <c r="AJ2633" t="s">
        <v>11</v>
      </c>
      <c r="AK2633" t="s">
        <v>540</v>
      </c>
      <c r="AL2633" t="s">
        <v>539</v>
      </c>
    </row>
    <row r="2634" spans="5:43" x14ac:dyDescent="0.25">
      <c r="I2634" t="str">
        <f t="shared" si="218"/>
        <v>matrim</v>
      </c>
      <c r="J2634" t="str">
        <f t="shared" si="219"/>
        <v>matrimalt_title</v>
      </c>
      <c r="K2634" t="s">
        <v>1218</v>
      </c>
      <c r="L2634" t="str">
        <f t="shared" si="217"/>
        <v>NGM-2660 (MVS), NGM-2660 (AES)</v>
      </c>
      <c r="M2634" t="str">
        <f t="shared" si="217"/>
        <v>20030320 (MVS), 20030529 (AES)</v>
      </c>
      <c r="N2634" t="str">
        <f t="shared" si="217"/>
        <v>新・豪血寺一族 闘婚</v>
      </c>
      <c r="O2634" t="str">
        <f t="shared" si="217"/>
        <v/>
      </c>
      <c r="P2634" t="str">
        <f t="shared" si="217"/>
        <v/>
      </c>
      <c r="Q2634" t="s">
        <v>1644</v>
      </c>
      <c r="T2634" t="str">
        <f t="shared" si="220"/>
        <v/>
      </c>
      <c r="V2634" t="str">
        <f t="shared" si="216"/>
        <v>MVS,AES</v>
      </c>
      <c r="W2634" t="str">
        <f t="shared" si="216"/>
        <v>MVS,AES</v>
      </c>
      <c r="AB2634" t="s">
        <v>34</v>
      </c>
      <c r="AE2634" t="s">
        <v>480</v>
      </c>
      <c r="AG2634" t="s">
        <v>538</v>
      </c>
      <c r="AI2634" t="s">
        <v>9</v>
      </c>
      <c r="AJ2634" t="s">
        <v>480</v>
      </c>
      <c r="AN2634" t="s">
        <v>537</v>
      </c>
    </row>
    <row r="2635" spans="5:43" x14ac:dyDescent="0.25">
      <c r="I2635" t="str">
        <f t="shared" si="218"/>
        <v>matrim</v>
      </c>
      <c r="J2635" t="str">
        <f t="shared" si="219"/>
        <v/>
      </c>
      <c r="L2635" t="str">
        <f t="shared" si="217"/>
        <v>NGM-2660 (MVS), NGM-2660 (AES)</v>
      </c>
      <c r="M2635" t="str">
        <f t="shared" si="217"/>
        <v>20030320 (MVS), 20030529 (AES)</v>
      </c>
      <c r="N2635" t="str">
        <f t="shared" si="217"/>
        <v>新・豪血寺一族 闘婚</v>
      </c>
      <c r="O2635" t="str">
        <f t="shared" si="217"/>
        <v/>
      </c>
      <c r="P2635" t="str">
        <f t="shared" si="217"/>
        <v/>
      </c>
      <c r="S2635" t="s">
        <v>36</v>
      </c>
      <c r="T2635" t="str">
        <f t="shared" si="220"/>
        <v>matrimcompatibility</v>
      </c>
      <c r="U2635" t="s">
        <v>218</v>
      </c>
      <c r="V2635" t="str">
        <f t="shared" si="216"/>
        <v>MVS,AES</v>
      </c>
      <c r="W2635" t="str">
        <f t="shared" si="216"/>
        <v>MVS,AES</v>
      </c>
      <c r="AB2635" t="s">
        <v>482</v>
      </c>
      <c r="AE2635" t="s">
        <v>480</v>
      </c>
      <c r="AH2635" t="s">
        <v>1643</v>
      </c>
      <c r="AI2635" t="s">
        <v>314</v>
      </c>
      <c r="AJ2635" t="s">
        <v>135</v>
      </c>
      <c r="AK2635" t="s">
        <v>1642</v>
      </c>
      <c r="AL2635" t="s">
        <v>1641</v>
      </c>
    </row>
    <row r="2636" spans="5:43" x14ac:dyDescent="0.25">
      <c r="I2636" t="str">
        <f t="shared" si="218"/>
        <v>matrim</v>
      </c>
      <c r="J2636" t="str">
        <f t="shared" si="219"/>
        <v/>
      </c>
      <c r="L2636" t="str">
        <f t="shared" si="217"/>
        <v>NGM-2660 (MVS), NGM-2660 (AES)</v>
      </c>
      <c r="M2636" t="str">
        <f t="shared" si="217"/>
        <v>20030320 (MVS), 20030529 (AES)</v>
      </c>
      <c r="N2636" t="str">
        <f t="shared" si="217"/>
        <v>新・豪血寺一族 闘婚</v>
      </c>
      <c r="O2636" t="str">
        <f t="shared" si="217"/>
        <v/>
      </c>
      <c r="P2636" t="str">
        <f t="shared" si="217"/>
        <v/>
      </c>
      <c r="T2636" t="str">
        <f t="shared" si="220"/>
        <v/>
      </c>
      <c r="V2636" t="str">
        <f t="shared" si="216"/>
        <v>MVS,AES</v>
      </c>
      <c r="W2636" t="str">
        <f t="shared" si="216"/>
        <v>MVS,AES</v>
      </c>
      <c r="AB2636" t="s">
        <v>24</v>
      </c>
      <c r="AE2636" t="s">
        <v>65</v>
      </c>
      <c r="AH2636" t="s">
        <v>1640</v>
      </c>
      <c r="AI2636" t="s">
        <v>9</v>
      </c>
      <c r="AJ2636" t="s">
        <v>57</v>
      </c>
      <c r="AK2636" t="s">
        <v>1639</v>
      </c>
      <c r="AL2636" t="s">
        <v>1638</v>
      </c>
    </row>
    <row r="2637" spans="5:43" x14ac:dyDescent="0.25">
      <c r="I2637" t="str">
        <f t="shared" si="218"/>
        <v>matrim</v>
      </c>
      <c r="J2637" t="str">
        <f t="shared" si="219"/>
        <v/>
      </c>
      <c r="L2637" t="str">
        <f t="shared" si="217"/>
        <v>NGM-2660 (MVS), NGM-2660 (AES)</v>
      </c>
      <c r="M2637" t="str">
        <f t="shared" si="217"/>
        <v>20030320 (MVS), 20030529 (AES)</v>
      </c>
      <c r="N2637" t="str">
        <f t="shared" si="217"/>
        <v>新・豪血寺一族 闘婚</v>
      </c>
      <c r="O2637" t="str">
        <f t="shared" si="217"/>
        <v/>
      </c>
      <c r="P2637" t="str">
        <f t="shared" si="217"/>
        <v/>
      </c>
      <c r="T2637" t="str">
        <f t="shared" si="220"/>
        <v/>
      </c>
      <c r="V2637" t="str">
        <f t="shared" si="216"/>
        <v>MVS,AES</v>
      </c>
      <c r="W2637" t="str">
        <f t="shared" si="216"/>
        <v>MVS,AES</v>
      </c>
      <c r="AH2637" t="s">
        <v>1637</v>
      </c>
      <c r="AI2637" t="s">
        <v>57</v>
      </c>
      <c r="AJ2637" t="s">
        <v>57</v>
      </c>
      <c r="AK2637" t="s">
        <v>1636</v>
      </c>
      <c r="AL2637" t="s">
        <v>1635</v>
      </c>
    </row>
    <row r="2638" spans="5:43" x14ac:dyDescent="0.25">
      <c r="I2638" t="str">
        <f t="shared" si="218"/>
        <v>matrim</v>
      </c>
      <c r="J2638" t="str">
        <f t="shared" si="219"/>
        <v/>
      </c>
      <c r="L2638" t="str">
        <f t="shared" si="217"/>
        <v>NGM-2660 (MVS), NGM-2660 (AES)</v>
      </c>
      <c r="M2638" t="str">
        <f t="shared" si="217"/>
        <v>20030320 (MVS), 20030529 (AES)</v>
      </c>
      <c r="N2638" t="str">
        <f t="shared" si="217"/>
        <v>新・豪血寺一族 闘婚</v>
      </c>
      <c r="O2638" t="str">
        <f t="shared" si="217"/>
        <v/>
      </c>
      <c r="P2638" t="str">
        <f t="shared" si="217"/>
        <v/>
      </c>
      <c r="T2638" t="str">
        <f t="shared" si="220"/>
        <v/>
      </c>
      <c r="V2638" t="str">
        <f t="shared" si="216"/>
        <v>MVS,AES</v>
      </c>
      <c r="W2638" t="str">
        <f t="shared" si="216"/>
        <v>MVS,AES</v>
      </c>
      <c r="AB2638" t="s">
        <v>12</v>
      </c>
      <c r="AE2638" t="s">
        <v>175</v>
      </c>
      <c r="AG2638" t="s">
        <v>6</v>
      </c>
      <c r="AH2638" t="s">
        <v>1634</v>
      </c>
      <c r="AI2638" t="s">
        <v>9</v>
      </c>
      <c r="AJ2638" t="s">
        <v>57</v>
      </c>
      <c r="AK2638" t="s">
        <v>1633</v>
      </c>
      <c r="AL2638" t="s">
        <v>1632</v>
      </c>
    </row>
    <row r="2639" spans="5:43" x14ac:dyDescent="0.25">
      <c r="I2639" t="str">
        <f t="shared" si="218"/>
        <v>matrim</v>
      </c>
      <c r="J2639" t="str">
        <f t="shared" si="219"/>
        <v/>
      </c>
      <c r="L2639" t="str">
        <f t="shared" si="217"/>
        <v>NGM-2660 (MVS), NGM-2660 (AES)</v>
      </c>
      <c r="M2639" t="str">
        <f t="shared" si="217"/>
        <v>20030320 (MVS), 20030529 (AES)</v>
      </c>
      <c r="N2639" t="str">
        <f t="shared" si="217"/>
        <v>新・豪血寺一族 闘婚</v>
      </c>
      <c r="O2639" t="str">
        <f t="shared" si="217"/>
        <v/>
      </c>
      <c r="P2639" t="str">
        <f t="shared" si="217"/>
        <v/>
      </c>
      <c r="T2639" t="str">
        <f t="shared" si="220"/>
        <v/>
      </c>
      <c r="V2639" t="str">
        <f t="shared" si="216"/>
        <v>MVS,AES</v>
      </c>
      <c r="W2639" t="str">
        <f t="shared" si="216"/>
        <v>MVS,AES</v>
      </c>
      <c r="AG2639" t="s">
        <v>6</v>
      </c>
      <c r="AH2639" t="s">
        <v>1631</v>
      </c>
      <c r="AI2639" t="s">
        <v>4</v>
      </c>
      <c r="AJ2639" t="s">
        <v>57</v>
      </c>
      <c r="AK2639" t="s">
        <v>1630</v>
      </c>
      <c r="AL2639" t="s">
        <v>1629</v>
      </c>
    </row>
    <row r="2640" spans="5:43" x14ac:dyDescent="0.25">
      <c r="I2640" t="str">
        <f t="shared" si="218"/>
        <v>matrim</v>
      </c>
      <c r="J2640" t="str">
        <f t="shared" si="219"/>
        <v/>
      </c>
      <c r="L2640" t="str">
        <f t="shared" si="217"/>
        <v>NGM-2660 (MVS), NGM-2660 (AES)</v>
      </c>
      <c r="M2640" t="str">
        <f t="shared" si="217"/>
        <v>20030320 (MVS), 20030529 (AES)</v>
      </c>
      <c r="N2640" t="str">
        <f t="shared" si="217"/>
        <v>新・豪血寺一族 闘婚</v>
      </c>
      <c r="O2640" t="str">
        <f t="shared" si="217"/>
        <v/>
      </c>
      <c r="P2640" t="str">
        <f t="shared" si="217"/>
        <v/>
      </c>
      <c r="T2640" t="str">
        <f t="shared" si="220"/>
        <v/>
      </c>
      <c r="V2640" t="str">
        <f t="shared" si="216"/>
        <v>MVS,AES</v>
      </c>
      <c r="W2640" t="str">
        <f t="shared" si="216"/>
        <v>MVS,AES</v>
      </c>
      <c r="AG2640" t="s">
        <v>6</v>
      </c>
      <c r="AH2640" t="s">
        <v>1628</v>
      </c>
      <c r="AI2640" t="s">
        <v>65</v>
      </c>
      <c r="AJ2640" t="s">
        <v>57</v>
      </c>
      <c r="AK2640" t="s">
        <v>1627</v>
      </c>
      <c r="AL2640" t="s">
        <v>1626</v>
      </c>
    </row>
    <row r="2641" spans="5:44" x14ac:dyDescent="0.25">
      <c r="I2641" t="str">
        <f t="shared" si="218"/>
        <v>matrim</v>
      </c>
      <c r="J2641" t="str">
        <f t="shared" si="219"/>
        <v/>
      </c>
      <c r="L2641" t="str">
        <f t="shared" si="217"/>
        <v>NGM-2660 (MVS), NGM-2660 (AES)</v>
      </c>
      <c r="M2641" t="str">
        <f t="shared" si="217"/>
        <v>20030320 (MVS), 20030529 (AES)</v>
      </c>
      <c r="N2641" t="str">
        <f t="shared" si="217"/>
        <v>新・豪血寺一族 闘婚</v>
      </c>
      <c r="O2641" t="str">
        <f t="shared" si="217"/>
        <v/>
      </c>
      <c r="P2641" t="str">
        <f t="shared" si="217"/>
        <v/>
      </c>
      <c r="T2641" t="str">
        <f t="shared" si="220"/>
        <v/>
      </c>
      <c r="V2641" t="str">
        <f t="shared" si="216"/>
        <v>MVS,AES</v>
      </c>
      <c r="W2641" t="str">
        <f t="shared" si="216"/>
        <v>MVS,AES</v>
      </c>
      <c r="AG2641" t="s">
        <v>6</v>
      </c>
      <c r="AH2641" t="s">
        <v>1625</v>
      </c>
      <c r="AI2641" t="s">
        <v>164</v>
      </c>
      <c r="AJ2641" t="s">
        <v>57</v>
      </c>
      <c r="AK2641" t="s">
        <v>1624</v>
      </c>
      <c r="AL2641" t="s">
        <v>1623</v>
      </c>
    </row>
    <row r="2642" spans="5:44" x14ac:dyDescent="0.25">
      <c r="I2642" t="str">
        <f t="shared" si="218"/>
        <v>matrim</v>
      </c>
      <c r="J2642" t="str">
        <f t="shared" si="219"/>
        <v/>
      </c>
      <c r="L2642" t="str">
        <f t="shared" si="217"/>
        <v>NGM-2660 (MVS), NGM-2660 (AES)</v>
      </c>
      <c r="M2642" t="str">
        <f t="shared" si="217"/>
        <v>20030320 (MVS), 20030529 (AES)</v>
      </c>
      <c r="N2642" t="str">
        <f t="shared" si="217"/>
        <v>新・豪血寺一族 闘婚</v>
      </c>
      <c r="O2642" t="str">
        <f t="shared" si="217"/>
        <v/>
      </c>
      <c r="P2642" t="str">
        <f t="shared" si="217"/>
        <v/>
      </c>
      <c r="T2642" t="str">
        <f t="shared" si="220"/>
        <v/>
      </c>
      <c r="V2642" t="str">
        <f t="shared" si="216"/>
        <v>MVS,AES</v>
      </c>
      <c r="W2642" t="str">
        <f t="shared" si="216"/>
        <v>MVS,AES</v>
      </c>
      <c r="AG2642" t="s">
        <v>6</v>
      </c>
      <c r="AH2642" t="s">
        <v>1622</v>
      </c>
      <c r="AI2642" t="s">
        <v>160</v>
      </c>
      <c r="AJ2642" t="s">
        <v>57</v>
      </c>
      <c r="AK2642" t="s">
        <v>1621</v>
      </c>
      <c r="AL2642" t="s">
        <v>1620</v>
      </c>
    </row>
    <row r="2643" spans="5:44" x14ac:dyDescent="0.25">
      <c r="I2643" t="str">
        <f t="shared" si="218"/>
        <v>matrim</v>
      </c>
      <c r="J2643" t="str">
        <f t="shared" si="219"/>
        <v/>
      </c>
      <c r="L2643" t="str">
        <f t="shared" si="217"/>
        <v>NGM-2660 (MVS), NGM-2660 (AES)</v>
      </c>
      <c r="M2643" t="str">
        <f t="shared" si="217"/>
        <v>20030320 (MVS), 20030529 (AES)</v>
      </c>
      <c r="N2643" t="str">
        <f t="shared" si="217"/>
        <v>新・豪血寺一族 闘婚</v>
      </c>
      <c r="O2643" t="str">
        <f t="shared" si="217"/>
        <v/>
      </c>
      <c r="P2643" t="str">
        <f t="shared" si="217"/>
        <v/>
      </c>
      <c r="T2643" t="str">
        <f t="shared" si="220"/>
        <v/>
      </c>
      <c r="V2643" t="str">
        <f t="shared" si="216"/>
        <v>MVS,AES</v>
      </c>
      <c r="W2643" t="str">
        <f t="shared" si="216"/>
        <v>MVS,AES</v>
      </c>
      <c r="AG2643" t="s">
        <v>6</v>
      </c>
      <c r="AH2643" t="s">
        <v>1619</v>
      </c>
      <c r="AI2643" t="s">
        <v>156</v>
      </c>
      <c r="AJ2643" t="s">
        <v>57</v>
      </c>
      <c r="AK2643" t="s">
        <v>1618</v>
      </c>
      <c r="AL2643" t="s">
        <v>1617</v>
      </c>
    </row>
    <row r="2644" spans="5:44" x14ac:dyDescent="0.25">
      <c r="I2644" t="str">
        <f t="shared" si="218"/>
        <v>matrim</v>
      </c>
      <c r="J2644" t="str">
        <f t="shared" si="219"/>
        <v/>
      </c>
      <c r="L2644" t="str">
        <f t="shared" si="217"/>
        <v>NGM-2660 (MVS), NGM-2660 (AES)</v>
      </c>
      <c r="M2644" t="str">
        <f t="shared" si="217"/>
        <v>20030320 (MVS), 20030529 (AES)</v>
      </c>
      <c r="N2644" t="str">
        <f t="shared" si="217"/>
        <v>新・豪血寺一族 闘婚</v>
      </c>
      <c r="O2644" t="str">
        <f t="shared" si="217"/>
        <v/>
      </c>
      <c r="P2644" t="str">
        <f t="shared" si="217"/>
        <v/>
      </c>
      <c r="T2644" t="str">
        <f t="shared" si="220"/>
        <v/>
      </c>
      <c r="V2644" t="str">
        <f t="shared" si="216"/>
        <v>MVS,AES</v>
      </c>
      <c r="W2644" t="str">
        <f t="shared" si="216"/>
        <v>MVS,AES</v>
      </c>
      <c r="AG2644" t="s">
        <v>6</v>
      </c>
      <c r="AH2644" t="s">
        <v>1616</v>
      </c>
      <c r="AI2644" t="s">
        <v>152</v>
      </c>
      <c r="AJ2644" t="s">
        <v>57</v>
      </c>
      <c r="AK2644" t="s">
        <v>1615</v>
      </c>
      <c r="AL2644" t="s">
        <v>1614</v>
      </c>
    </row>
    <row r="2645" spans="5:44" x14ac:dyDescent="0.25">
      <c r="I2645" t="str">
        <f t="shared" si="218"/>
        <v>matrim</v>
      </c>
      <c r="J2645" t="str">
        <f t="shared" si="219"/>
        <v/>
      </c>
      <c r="L2645" t="str">
        <f t="shared" si="217"/>
        <v>NGM-2660 (MVS), NGM-2660 (AES)</v>
      </c>
      <c r="M2645" t="str">
        <f t="shared" si="217"/>
        <v>20030320 (MVS), 20030529 (AES)</v>
      </c>
      <c r="N2645" t="str">
        <f t="shared" si="217"/>
        <v>新・豪血寺一族 闘婚</v>
      </c>
      <c r="O2645" t="str">
        <f t="shared" si="217"/>
        <v/>
      </c>
      <c r="P2645" t="str">
        <f t="shared" si="217"/>
        <v/>
      </c>
      <c r="T2645" t="str">
        <f t="shared" si="220"/>
        <v/>
      </c>
      <c r="V2645" t="str">
        <f t="shared" si="216"/>
        <v>MVS,AES</v>
      </c>
      <c r="W2645" t="str">
        <f t="shared" si="216"/>
        <v>MVS,AES</v>
      </c>
      <c r="AG2645" t="s">
        <v>6</v>
      </c>
      <c r="AH2645" t="s">
        <v>1613</v>
      </c>
      <c r="AI2645" t="s">
        <v>148</v>
      </c>
      <c r="AJ2645" t="s">
        <v>57</v>
      </c>
      <c r="AK2645" t="s">
        <v>1612</v>
      </c>
      <c r="AL2645" t="s">
        <v>1611</v>
      </c>
    </row>
    <row r="2646" spans="5:44" x14ac:dyDescent="0.25">
      <c r="E2646" t="s">
        <v>1597</v>
      </c>
      <c r="F2646" t="s">
        <v>1610</v>
      </c>
      <c r="G2646" t="s">
        <v>195</v>
      </c>
      <c r="H2646" t="s">
        <v>1603</v>
      </c>
      <c r="I2646" t="str">
        <f t="shared" si="218"/>
        <v>pnyaa</v>
      </c>
      <c r="J2646" t="str">
        <f t="shared" si="219"/>
        <v>pnyaaserial</v>
      </c>
      <c r="K2646" t="s">
        <v>1373</v>
      </c>
      <c r="L2646" t="str">
        <f t="shared" si="217"/>
        <v>NGM-2670</v>
      </c>
      <c r="M2646" t="str">
        <f t="shared" si="217"/>
        <v>20031224</v>
      </c>
      <c r="N2646" t="str">
        <f t="shared" si="217"/>
        <v>ポチッとにゃ～</v>
      </c>
      <c r="O2646" t="str">
        <f t="shared" si="217"/>
        <v/>
      </c>
      <c r="P2646" t="str">
        <f t="shared" si="217"/>
        <v/>
      </c>
      <c r="Q2646" t="s">
        <v>1602</v>
      </c>
      <c r="S2646" t="s">
        <v>46</v>
      </c>
      <c r="T2646" t="str">
        <f t="shared" si="220"/>
        <v>pnyaarelease</v>
      </c>
      <c r="U2646" t="s">
        <v>106</v>
      </c>
      <c r="V2646" t="str">
        <f t="shared" si="216"/>
        <v>MVS</v>
      </c>
      <c r="W2646" t="str">
        <f t="shared" si="216"/>
        <v>MVS,AES</v>
      </c>
      <c r="Y2646" t="s">
        <v>45</v>
      </c>
      <c r="Z2646" t="s">
        <v>44</v>
      </c>
      <c r="AB2646" t="s">
        <v>43</v>
      </c>
      <c r="AC2646" t="s">
        <v>42</v>
      </c>
      <c r="AD2646" t="s">
        <v>41</v>
      </c>
      <c r="AE2646" t="s">
        <v>15</v>
      </c>
      <c r="AG2646" t="s">
        <v>40</v>
      </c>
      <c r="AH2646" t="s">
        <v>1609</v>
      </c>
      <c r="AI2646" t="s">
        <v>9</v>
      </c>
      <c r="AJ2646" t="s">
        <v>15</v>
      </c>
      <c r="AK2646" t="s">
        <v>1608</v>
      </c>
      <c r="AL2646" t="s">
        <v>1607</v>
      </c>
      <c r="AP2646" t="s">
        <v>138</v>
      </c>
      <c r="AQ2646" t="s">
        <v>1598</v>
      </c>
    </row>
    <row r="2647" spans="5:44" x14ac:dyDescent="0.25">
      <c r="I2647" t="str">
        <f t="shared" si="218"/>
        <v>pnyaa</v>
      </c>
      <c r="J2647" t="str">
        <f t="shared" si="219"/>
        <v>pnyaarelease</v>
      </c>
      <c r="K2647" t="s">
        <v>46</v>
      </c>
      <c r="L2647" t="str">
        <f t="shared" si="217"/>
        <v>NGM-2670</v>
      </c>
      <c r="M2647" t="str">
        <f t="shared" si="217"/>
        <v>20031224</v>
      </c>
      <c r="N2647" t="str">
        <f t="shared" si="217"/>
        <v>ポチッとにゃ～</v>
      </c>
      <c r="O2647" t="str">
        <f t="shared" si="217"/>
        <v/>
      </c>
      <c r="P2647" t="str">
        <f t="shared" si="217"/>
        <v/>
      </c>
      <c r="Q2647" t="s">
        <v>1596</v>
      </c>
      <c r="T2647" t="str">
        <f t="shared" si="220"/>
        <v/>
      </c>
      <c r="V2647" t="str">
        <f t="shared" ref="V2647:W2710" si="221">IFERROR(VLOOKUP($I2647&amp;V$1,$T:$AA,2,0),"")</f>
        <v>MVS</v>
      </c>
      <c r="W2647" t="str">
        <f t="shared" si="221"/>
        <v>MVS,AES</v>
      </c>
      <c r="AB2647" t="s">
        <v>34</v>
      </c>
      <c r="AE2647" t="s">
        <v>135</v>
      </c>
      <c r="AG2647" t="s">
        <v>538</v>
      </c>
      <c r="AI2647" t="s">
        <v>9</v>
      </c>
      <c r="AJ2647" t="s">
        <v>135</v>
      </c>
      <c r="AN2647" t="s">
        <v>537</v>
      </c>
    </row>
    <row r="2648" spans="5:44" x14ac:dyDescent="0.25">
      <c r="I2648" t="str">
        <f t="shared" si="218"/>
        <v>pnyaa</v>
      </c>
      <c r="J2648" t="str">
        <f t="shared" si="219"/>
        <v>pnyaaalt_title</v>
      </c>
      <c r="K2648" t="s">
        <v>1218</v>
      </c>
      <c r="L2648" t="str">
        <f t="shared" si="217"/>
        <v>NGM-2670</v>
      </c>
      <c r="M2648" t="str">
        <f t="shared" si="217"/>
        <v>20031224</v>
      </c>
      <c r="N2648" t="str">
        <f t="shared" si="217"/>
        <v>ポチッとにゃ～</v>
      </c>
      <c r="O2648" t="str">
        <f t="shared" si="217"/>
        <v/>
      </c>
      <c r="P2648" t="str">
        <f t="shared" si="217"/>
        <v/>
      </c>
      <c r="Q2648" t="s">
        <v>1595</v>
      </c>
      <c r="T2648" t="str">
        <f t="shared" si="220"/>
        <v/>
      </c>
      <c r="V2648" t="str">
        <f t="shared" si="221"/>
        <v>MVS</v>
      </c>
      <c r="W2648" t="str">
        <f t="shared" si="221"/>
        <v>MVS,AES</v>
      </c>
      <c r="AB2648" t="s">
        <v>482</v>
      </c>
      <c r="AE2648" t="s">
        <v>480</v>
      </c>
      <c r="AH2648" t="s">
        <v>1606</v>
      </c>
      <c r="AI2648" t="s">
        <v>314</v>
      </c>
      <c r="AJ2648" t="s">
        <v>480</v>
      </c>
      <c r="AK2648" t="s">
        <v>1593</v>
      </c>
      <c r="AL2648" t="s">
        <v>1592</v>
      </c>
    </row>
    <row r="2649" spans="5:44" x14ac:dyDescent="0.25">
      <c r="I2649" t="str">
        <f t="shared" si="218"/>
        <v>pnyaa</v>
      </c>
      <c r="J2649" t="str">
        <f t="shared" si="219"/>
        <v/>
      </c>
      <c r="L2649" t="str">
        <f t="shared" si="217"/>
        <v>NGM-2670</v>
      </c>
      <c r="M2649" t="str">
        <f t="shared" si="217"/>
        <v>20031224</v>
      </c>
      <c r="N2649" t="str">
        <f t="shared" si="217"/>
        <v>ポチッとにゃ～</v>
      </c>
      <c r="O2649" t="str">
        <f t="shared" si="217"/>
        <v/>
      </c>
      <c r="P2649" t="str">
        <f t="shared" si="217"/>
        <v/>
      </c>
      <c r="S2649" t="s">
        <v>36</v>
      </c>
      <c r="T2649" t="str">
        <f t="shared" si="220"/>
        <v>pnyaacompatibility</v>
      </c>
      <c r="U2649" t="s">
        <v>218</v>
      </c>
      <c r="V2649" t="str">
        <f t="shared" si="221"/>
        <v>MVS</v>
      </c>
      <c r="W2649" t="str">
        <f t="shared" si="221"/>
        <v>MVS,AES</v>
      </c>
      <c r="AB2649" t="s">
        <v>24</v>
      </c>
      <c r="AE2649" t="s">
        <v>11</v>
      </c>
      <c r="AH2649" t="s">
        <v>1591</v>
      </c>
      <c r="AI2649" t="s">
        <v>9</v>
      </c>
      <c r="AJ2649" t="s">
        <v>11</v>
      </c>
      <c r="AK2649" t="s">
        <v>1590</v>
      </c>
      <c r="AL2649" t="s">
        <v>1589</v>
      </c>
    </row>
    <row r="2650" spans="5:44" x14ac:dyDescent="0.25">
      <c r="I2650" t="str">
        <f t="shared" si="218"/>
        <v>pnyaa</v>
      </c>
      <c r="J2650" t="str">
        <f t="shared" si="219"/>
        <v/>
      </c>
      <c r="L2650" t="str">
        <f t="shared" si="217"/>
        <v>NGM-2670</v>
      </c>
      <c r="M2650" t="str">
        <f t="shared" si="217"/>
        <v>20031224</v>
      </c>
      <c r="N2650" t="str">
        <f t="shared" si="217"/>
        <v>ポチッとにゃ～</v>
      </c>
      <c r="O2650" t="str">
        <f t="shared" si="217"/>
        <v/>
      </c>
      <c r="P2650" t="str">
        <f t="shared" si="217"/>
        <v/>
      </c>
      <c r="T2650" t="str">
        <f t="shared" si="220"/>
        <v/>
      </c>
      <c r="V2650" t="str">
        <f t="shared" si="221"/>
        <v>MVS</v>
      </c>
      <c r="W2650" t="str">
        <f t="shared" si="221"/>
        <v>MVS,AES</v>
      </c>
      <c r="AB2650" t="s">
        <v>12</v>
      </c>
      <c r="AE2650" t="s">
        <v>65</v>
      </c>
      <c r="AG2650" t="s">
        <v>6</v>
      </c>
      <c r="AH2650" t="s">
        <v>1588</v>
      </c>
      <c r="AI2650" t="s">
        <v>9</v>
      </c>
      <c r="AJ2650" t="s">
        <v>57</v>
      </c>
      <c r="AK2650" t="s">
        <v>1587</v>
      </c>
      <c r="AL2650" t="s">
        <v>1586</v>
      </c>
    </row>
    <row r="2651" spans="5:44" x14ac:dyDescent="0.25">
      <c r="I2651" t="str">
        <f t="shared" si="218"/>
        <v>pnyaa</v>
      </c>
      <c r="J2651" t="str">
        <f t="shared" si="219"/>
        <v/>
      </c>
      <c r="L2651" t="str">
        <f t="shared" si="217"/>
        <v>NGM-2670</v>
      </c>
      <c r="M2651" t="str">
        <f t="shared" si="217"/>
        <v>20031224</v>
      </c>
      <c r="N2651" t="str">
        <f t="shared" si="217"/>
        <v>ポチッとにゃ～</v>
      </c>
      <c r="O2651" t="str">
        <f t="shared" si="217"/>
        <v/>
      </c>
      <c r="P2651" t="str">
        <f t="shared" si="217"/>
        <v/>
      </c>
      <c r="T2651" t="str">
        <f t="shared" si="220"/>
        <v/>
      </c>
      <c r="V2651" t="str">
        <f t="shared" si="221"/>
        <v>MVS</v>
      </c>
      <c r="W2651" t="str">
        <f t="shared" si="221"/>
        <v>MVS,AES</v>
      </c>
      <c r="AG2651" t="s">
        <v>6</v>
      </c>
      <c r="AH2651" t="s">
        <v>1585</v>
      </c>
      <c r="AI2651" t="s">
        <v>4</v>
      </c>
      <c r="AJ2651" t="s">
        <v>57</v>
      </c>
      <c r="AK2651" t="s">
        <v>1584</v>
      </c>
      <c r="AL2651" t="s">
        <v>1583</v>
      </c>
    </row>
    <row r="2652" spans="5:44" x14ac:dyDescent="0.25">
      <c r="E2652" t="s">
        <v>1605</v>
      </c>
      <c r="F2652" t="s">
        <v>1604</v>
      </c>
      <c r="G2652" t="s">
        <v>195</v>
      </c>
      <c r="H2652" t="s">
        <v>1603</v>
      </c>
      <c r="I2652" t="str">
        <f t="shared" si="218"/>
        <v>pnyaaa</v>
      </c>
      <c r="J2652" t="str">
        <f t="shared" si="219"/>
        <v>pnyaaaserial</v>
      </c>
      <c r="K2652" t="s">
        <v>1373</v>
      </c>
      <c r="L2652" t="str">
        <f t="shared" si="217"/>
        <v>NGM-2670</v>
      </c>
      <c r="M2652" t="str">
        <f t="shared" si="217"/>
        <v>20031224</v>
      </c>
      <c r="N2652" t="str">
        <f t="shared" si="217"/>
        <v>ポチッとにゃ～</v>
      </c>
      <c r="O2652" t="str">
        <f t="shared" si="217"/>
        <v/>
      </c>
      <c r="P2652" t="str">
        <f t="shared" si="217"/>
        <v/>
      </c>
      <c r="Q2652" t="s">
        <v>1602</v>
      </c>
      <c r="S2652" t="s">
        <v>46</v>
      </c>
      <c r="T2652" t="str">
        <f t="shared" si="220"/>
        <v>pnyaaarelease</v>
      </c>
      <c r="U2652" t="s">
        <v>106</v>
      </c>
      <c r="V2652" t="str">
        <f t="shared" si="221"/>
        <v>MVS</v>
      </c>
      <c r="W2652" t="str">
        <f t="shared" si="221"/>
        <v>MVS,AES</v>
      </c>
      <c r="Y2652" t="s">
        <v>45</v>
      </c>
      <c r="Z2652" t="s">
        <v>44</v>
      </c>
      <c r="AB2652" t="s">
        <v>43</v>
      </c>
      <c r="AC2652" t="s">
        <v>42</v>
      </c>
      <c r="AD2652" t="s">
        <v>41</v>
      </c>
      <c r="AE2652" t="s">
        <v>15</v>
      </c>
      <c r="AG2652" t="s">
        <v>40</v>
      </c>
      <c r="AH2652" t="s">
        <v>1601</v>
      </c>
      <c r="AI2652" t="s">
        <v>9</v>
      </c>
      <c r="AJ2652" t="s">
        <v>15</v>
      </c>
      <c r="AK2652" t="s">
        <v>1600</v>
      </c>
      <c r="AL2652" t="s">
        <v>1599</v>
      </c>
      <c r="AP2652" t="s">
        <v>138</v>
      </c>
      <c r="AQ2652" t="s">
        <v>1598</v>
      </c>
      <c r="AR2652" t="s">
        <v>1597</v>
      </c>
    </row>
    <row r="2653" spans="5:44" x14ac:dyDescent="0.25">
      <c r="I2653" t="str">
        <f t="shared" si="218"/>
        <v>pnyaaa</v>
      </c>
      <c r="J2653" t="str">
        <f t="shared" si="219"/>
        <v>pnyaaarelease</v>
      </c>
      <c r="K2653" t="s">
        <v>46</v>
      </c>
      <c r="L2653" t="str">
        <f t="shared" si="217"/>
        <v>NGM-2670</v>
      </c>
      <c r="M2653" t="str">
        <f t="shared" si="217"/>
        <v>20031224</v>
      </c>
      <c r="N2653" t="str">
        <f t="shared" si="217"/>
        <v>ポチッとにゃ～</v>
      </c>
      <c r="O2653" t="str">
        <f t="shared" si="217"/>
        <v/>
      </c>
      <c r="P2653" t="str">
        <f t="shared" si="217"/>
        <v/>
      </c>
      <c r="Q2653" t="s">
        <v>1596</v>
      </c>
      <c r="T2653" t="str">
        <f t="shared" si="220"/>
        <v/>
      </c>
      <c r="V2653" t="str">
        <f t="shared" si="221"/>
        <v>MVS</v>
      </c>
      <c r="W2653" t="str">
        <f t="shared" si="221"/>
        <v>MVS,AES</v>
      </c>
      <c r="AB2653" t="s">
        <v>34</v>
      </c>
      <c r="AE2653" t="s">
        <v>135</v>
      </c>
      <c r="AG2653" t="s">
        <v>538</v>
      </c>
      <c r="AI2653" t="s">
        <v>9</v>
      </c>
      <c r="AJ2653" t="s">
        <v>135</v>
      </c>
      <c r="AN2653" t="s">
        <v>537</v>
      </c>
    </row>
    <row r="2654" spans="5:44" x14ac:dyDescent="0.25">
      <c r="I2654" t="str">
        <f t="shared" si="218"/>
        <v>pnyaaa</v>
      </c>
      <c r="J2654" t="str">
        <f t="shared" si="219"/>
        <v>pnyaaaalt_title</v>
      </c>
      <c r="K2654" t="s">
        <v>1218</v>
      </c>
      <c r="L2654" t="str">
        <f t="shared" si="217"/>
        <v>NGM-2670</v>
      </c>
      <c r="M2654" t="str">
        <f t="shared" si="217"/>
        <v>20031224</v>
      </c>
      <c r="N2654" t="str">
        <f t="shared" si="217"/>
        <v>ポチッとにゃ～</v>
      </c>
      <c r="O2654" t="str">
        <f t="shared" si="217"/>
        <v/>
      </c>
      <c r="P2654" t="str">
        <f t="shared" si="217"/>
        <v/>
      </c>
      <c r="Q2654" t="s">
        <v>1595</v>
      </c>
      <c r="T2654" t="str">
        <f t="shared" si="220"/>
        <v/>
      </c>
      <c r="V2654" t="str">
        <f t="shared" si="221"/>
        <v>MVS</v>
      </c>
      <c r="W2654" t="str">
        <f t="shared" si="221"/>
        <v>MVS,AES</v>
      </c>
      <c r="AB2654" t="s">
        <v>482</v>
      </c>
      <c r="AE2654" t="s">
        <v>480</v>
      </c>
      <c r="AH2654" t="s">
        <v>1594</v>
      </c>
      <c r="AI2654" t="s">
        <v>314</v>
      </c>
      <c r="AJ2654" t="s">
        <v>480</v>
      </c>
      <c r="AK2654" t="s">
        <v>1593</v>
      </c>
      <c r="AL2654" t="s">
        <v>1592</v>
      </c>
    </row>
    <row r="2655" spans="5:44" x14ac:dyDescent="0.25">
      <c r="I2655" t="str">
        <f t="shared" si="218"/>
        <v>pnyaaa</v>
      </c>
      <c r="J2655" t="str">
        <f t="shared" si="219"/>
        <v/>
      </c>
      <c r="L2655" t="str">
        <f t="shared" si="217"/>
        <v>NGM-2670</v>
      </c>
      <c r="M2655" t="str">
        <f t="shared" si="217"/>
        <v>20031224</v>
      </c>
      <c r="N2655" t="str">
        <f t="shared" si="217"/>
        <v>ポチッとにゃ～</v>
      </c>
      <c r="O2655" t="str">
        <f t="shared" si="217"/>
        <v/>
      </c>
      <c r="P2655" t="str">
        <f t="shared" si="217"/>
        <v/>
      </c>
      <c r="S2655" t="s">
        <v>36</v>
      </c>
      <c r="T2655" t="str">
        <f t="shared" si="220"/>
        <v>pnyaaacompatibility</v>
      </c>
      <c r="U2655" t="s">
        <v>218</v>
      </c>
      <c r="V2655" t="str">
        <f t="shared" si="221"/>
        <v>MVS</v>
      </c>
      <c r="W2655" t="str">
        <f t="shared" si="221"/>
        <v>MVS,AES</v>
      </c>
      <c r="AB2655" t="s">
        <v>24</v>
      </c>
      <c r="AE2655" t="s">
        <v>11</v>
      </c>
      <c r="AH2655" t="s">
        <v>1591</v>
      </c>
      <c r="AI2655" t="s">
        <v>9</v>
      </c>
      <c r="AJ2655" t="s">
        <v>11</v>
      </c>
      <c r="AK2655" t="s">
        <v>1590</v>
      </c>
      <c r="AL2655" t="s">
        <v>1589</v>
      </c>
    </row>
    <row r="2656" spans="5:44" x14ac:dyDescent="0.25">
      <c r="I2656" t="str">
        <f t="shared" si="218"/>
        <v>pnyaaa</v>
      </c>
      <c r="J2656" t="str">
        <f t="shared" si="219"/>
        <v/>
      </c>
      <c r="L2656" t="str">
        <f t="shared" si="217"/>
        <v>NGM-2670</v>
      </c>
      <c r="M2656" t="str">
        <f t="shared" si="217"/>
        <v>20031224</v>
      </c>
      <c r="N2656" t="str">
        <f t="shared" si="217"/>
        <v>ポチッとにゃ～</v>
      </c>
      <c r="O2656" t="str">
        <f t="shared" si="217"/>
        <v/>
      </c>
      <c r="P2656" t="str">
        <f t="shared" si="217"/>
        <v/>
      </c>
      <c r="T2656" t="str">
        <f t="shared" si="220"/>
        <v/>
      </c>
      <c r="V2656" t="str">
        <f t="shared" si="221"/>
        <v>MVS</v>
      </c>
      <c r="W2656" t="str">
        <f t="shared" si="221"/>
        <v>MVS,AES</v>
      </c>
      <c r="AB2656" t="s">
        <v>12</v>
      </c>
      <c r="AE2656" t="s">
        <v>65</v>
      </c>
      <c r="AG2656" t="s">
        <v>6</v>
      </c>
      <c r="AH2656" t="s">
        <v>1588</v>
      </c>
      <c r="AI2656" t="s">
        <v>9</v>
      </c>
      <c r="AJ2656" t="s">
        <v>57</v>
      </c>
      <c r="AK2656" t="s">
        <v>1587</v>
      </c>
      <c r="AL2656" t="s">
        <v>1586</v>
      </c>
    </row>
    <row r="2657" spans="5:44" x14ac:dyDescent="0.25">
      <c r="I2657" t="str">
        <f t="shared" si="218"/>
        <v>pnyaaa</v>
      </c>
      <c r="J2657" t="str">
        <f t="shared" si="219"/>
        <v/>
      </c>
      <c r="L2657" t="str">
        <f t="shared" si="217"/>
        <v>NGM-2670</v>
      </c>
      <c r="M2657" t="str">
        <f t="shared" si="217"/>
        <v>20031224</v>
      </c>
      <c r="N2657" t="str">
        <f t="shared" si="217"/>
        <v>ポチッとにゃ～</v>
      </c>
      <c r="O2657" t="str">
        <f t="shared" si="217"/>
        <v/>
      </c>
      <c r="P2657" t="str">
        <f t="shared" si="217"/>
        <v/>
      </c>
      <c r="T2657" t="str">
        <f t="shared" si="220"/>
        <v/>
      </c>
      <c r="V2657" t="str">
        <f t="shared" si="221"/>
        <v>MVS</v>
      </c>
      <c r="W2657" t="str">
        <f t="shared" si="221"/>
        <v>MVS,AES</v>
      </c>
      <c r="AG2657" t="s">
        <v>6</v>
      </c>
      <c r="AH2657" t="s">
        <v>1585</v>
      </c>
      <c r="AI2657" t="s">
        <v>4</v>
      </c>
      <c r="AJ2657" t="s">
        <v>57</v>
      </c>
      <c r="AK2657" t="s">
        <v>1584</v>
      </c>
      <c r="AL2657" t="s">
        <v>1583</v>
      </c>
    </row>
    <row r="2658" spans="5:44" x14ac:dyDescent="0.25">
      <c r="E2658" t="s">
        <v>441</v>
      </c>
      <c r="F2658" t="s">
        <v>1582</v>
      </c>
      <c r="G2658" t="s">
        <v>195</v>
      </c>
      <c r="H2658" t="s">
        <v>1436</v>
      </c>
      <c r="I2658" t="str">
        <f t="shared" si="218"/>
        <v>mslug5</v>
      </c>
      <c r="J2658" t="str">
        <f t="shared" si="219"/>
        <v>mslug5serial</v>
      </c>
      <c r="K2658" t="s">
        <v>1373</v>
      </c>
      <c r="L2658" t="str">
        <f t="shared" si="217"/>
        <v>NGM-2680</v>
      </c>
      <c r="M2658" t="str">
        <f t="shared" si="217"/>
        <v>20031114</v>
      </c>
      <c r="N2658" t="str">
        <f t="shared" si="217"/>
        <v>メタルスラッグ5</v>
      </c>
      <c r="O2658" t="str">
        <f t="shared" si="217"/>
        <v/>
      </c>
      <c r="P2658" t="str">
        <f t="shared" si="217"/>
        <v/>
      </c>
      <c r="Q2658" t="s">
        <v>1581</v>
      </c>
      <c r="S2658" t="s">
        <v>46</v>
      </c>
      <c r="T2658" t="str">
        <f t="shared" si="220"/>
        <v>mslug5release</v>
      </c>
      <c r="U2658" t="s">
        <v>106</v>
      </c>
      <c r="V2658" t="str">
        <f t="shared" si="221"/>
        <v>MVS</v>
      </c>
      <c r="W2658" t="str">
        <f t="shared" si="221"/>
        <v>MVS,AES</v>
      </c>
      <c r="Y2658" t="s">
        <v>45</v>
      </c>
      <c r="Z2658" t="s">
        <v>44</v>
      </c>
      <c r="AB2658" t="s">
        <v>43</v>
      </c>
      <c r="AC2658" t="s">
        <v>42</v>
      </c>
      <c r="AD2658" t="s">
        <v>41</v>
      </c>
      <c r="AE2658" t="s">
        <v>57</v>
      </c>
      <c r="AG2658" t="s">
        <v>1429</v>
      </c>
      <c r="AH2658" t="s">
        <v>1580</v>
      </c>
      <c r="AI2658" t="s">
        <v>9</v>
      </c>
      <c r="AJ2658" t="s">
        <v>11</v>
      </c>
      <c r="AK2658" t="s">
        <v>1579</v>
      </c>
      <c r="AL2658" t="s">
        <v>1578</v>
      </c>
      <c r="AP2658" t="s">
        <v>138</v>
      </c>
      <c r="AQ2658" t="s">
        <v>1567</v>
      </c>
    </row>
    <row r="2659" spans="5:44" x14ac:dyDescent="0.25">
      <c r="I2659" t="str">
        <f t="shared" si="218"/>
        <v>mslug5</v>
      </c>
      <c r="J2659" t="str">
        <f t="shared" si="219"/>
        <v>mslug5release</v>
      </c>
      <c r="K2659" t="s">
        <v>46</v>
      </c>
      <c r="L2659" t="str">
        <f t="shared" si="217"/>
        <v>NGM-2680</v>
      </c>
      <c r="M2659" t="str">
        <f t="shared" si="217"/>
        <v>20031114</v>
      </c>
      <c r="N2659" t="str">
        <f t="shared" si="217"/>
        <v>メタルスラッグ5</v>
      </c>
      <c r="O2659" t="str">
        <f t="shared" si="217"/>
        <v/>
      </c>
      <c r="P2659" t="str">
        <f t="shared" si="217"/>
        <v/>
      </c>
      <c r="Q2659" t="s">
        <v>1577</v>
      </c>
      <c r="T2659" t="str">
        <f t="shared" si="220"/>
        <v/>
      </c>
      <c r="V2659" t="str">
        <f t="shared" si="221"/>
        <v>MVS</v>
      </c>
      <c r="W2659" t="str">
        <f t="shared" si="221"/>
        <v>MVS,AES</v>
      </c>
      <c r="AG2659" t="s">
        <v>1429</v>
      </c>
      <c r="AH2659" t="s">
        <v>1576</v>
      </c>
      <c r="AI2659" t="s">
        <v>1427</v>
      </c>
      <c r="AJ2659" t="s">
        <v>11</v>
      </c>
      <c r="AK2659" t="s">
        <v>1575</v>
      </c>
      <c r="AL2659" t="s">
        <v>1574</v>
      </c>
    </row>
    <row r="2660" spans="5:44" x14ac:dyDescent="0.25">
      <c r="I2660" t="str">
        <f t="shared" si="218"/>
        <v>mslug5</v>
      </c>
      <c r="J2660" t="str">
        <f t="shared" si="219"/>
        <v>mslug5alt_title</v>
      </c>
      <c r="K2660" t="s">
        <v>1218</v>
      </c>
      <c r="L2660" t="str">
        <f t="shared" si="217"/>
        <v>NGM-2680</v>
      </c>
      <c r="M2660" t="str">
        <f t="shared" si="217"/>
        <v>20031114</v>
      </c>
      <c r="N2660" t="str">
        <f t="shared" si="217"/>
        <v>メタルスラッグ5</v>
      </c>
      <c r="O2660" t="str">
        <f t="shared" si="217"/>
        <v/>
      </c>
      <c r="P2660" t="str">
        <f t="shared" si="217"/>
        <v/>
      </c>
      <c r="Q2660" t="s">
        <v>1562</v>
      </c>
      <c r="T2660" t="str">
        <f t="shared" si="220"/>
        <v/>
      </c>
      <c r="V2660" t="str">
        <f t="shared" si="221"/>
        <v>MVS</v>
      </c>
      <c r="W2660" t="str">
        <f t="shared" si="221"/>
        <v>MVS,AES</v>
      </c>
      <c r="AB2660" t="s">
        <v>34</v>
      </c>
      <c r="AE2660" t="s">
        <v>135</v>
      </c>
      <c r="AG2660" t="s">
        <v>538</v>
      </c>
      <c r="AI2660" t="s">
        <v>9</v>
      </c>
      <c r="AJ2660" t="s">
        <v>135</v>
      </c>
      <c r="AN2660" t="s">
        <v>537</v>
      </c>
    </row>
    <row r="2661" spans="5:44" x14ac:dyDescent="0.25">
      <c r="I2661" t="str">
        <f t="shared" si="218"/>
        <v>mslug5</v>
      </c>
      <c r="J2661" t="str">
        <f t="shared" si="219"/>
        <v/>
      </c>
      <c r="L2661" t="str">
        <f t="shared" si="217"/>
        <v>NGM-2680</v>
      </c>
      <c r="M2661" t="str">
        <f t="shared" si="217"/>
        <v>20031114</v>
      </c>
      <c r="N2661" t="str">
        <f t="shared" si="217"/>
        <v>メタルスラッグ5</v>
      </c>
      <c r="O2661" t="str">
        <f t="shared" si="217"/>
        <v/>
      </c>
      <c r="P2661" t="str">
        <f t="shared" si="217"/>
        <v/>
      </c>
      <c r="S2661" t="s">
        <v>36</v>
      </c>
      <c r="T2661" t="str">
        <f t="shared" si="220"/>
        <v>mslug5compatibility</v>
      </c>
      <c r="U2661" t="s">
        <v>218</v>
      </c>
      <c r="V2661" t="str">
        <f t="shared" si="221"/>
        <v>MVS</v>
      </c>
      <c r="W2661" t="str">
        <f t="shared" si="221"/>
        <v>MVS,AES</v>
      </c>
      <c r="AB2661" t="s">
        <v>482</v>
      </c>
      <c r="AE2661" t="s">
        <v>480</v>
      </c>
      <c r="AH2661" t="s">
        <v>481</v>
      </c>
      <c r="AI2661" t="s">
        <v>314</v>
      </c>
      <c r="AJ2661" t="s">
        <v>480</v>
      </c>
      <c r="AK2661" t="s">
        <v>479</v>
      </c>
      <c r="AL2661" t="s">
        <v>478</v>
      </c>
    </row>
    <row r="2662" spans="5:44" x14ac:dyDescent="0.25">
      <c r="I2662" t="str">
        <f t="shared" si="218"/>
        <v>mslug5</v>
      </c>
      <c r="J2662" t="str">
        <f t="shared" si="219"/>
        <v/>
      </c>
      <c r="L2662" t="str">
        <f t="shared" si="217"/>
        <v>NGM-2680</v>
      </c>
      <c r="M2662" t="str">
        <f t="shared" si="217"/>
        <v>20031114</v>
      </c>
      <c r="N2662" t="str">
        <f t="shared" si="217"/>
        <v>メタルスラッグ5</v>
      </c>
      <c r="O2662" t="str">
        <f t="shared" si="217"/>
        <v/>
      </c>
      <c r="P2662" t="str">
        <f t="shared" si="217"/>
        <v/>
      </c>
      <c r="T2662" t="str">
        <f t="shared" si="220"/>
        <v/>
      </c>
      <c r="V2662" t="str">
        <f t="shared" si="221"/>
        <v>MVS</v>
      </c>
      <c r="W2662" t="str">
        <f t="shared" si="221"/>
        <v>MVS,AES</v>
      </c>
      <c r="AB2662" t="s">
        <v>24</v>
      </c>
      <c r="AE2662" t="s">
        <v>65</v>
      </c>
      <c r="AH2662" t="s">
        <v>477</v>
      </c>
      <c r="AI2662" t="s">
        <v>9</v>
      </c>
      <c r="AJ2662" t="s">
        <v>57</v>
      </c>
      <c r="AK2662" t="s">
        <v>476</v>
      </c>
      <c r="AL2662" t="s">
        <v>475</v>
      </c>
    </row>
    <row r="2663" spans="5:44" x14ac:dyDescent="0.25">
      <c r="I2663" t="str">
        <f t="shared" si="218"/>
        <v>mslug5</v>
      </c>
      <c r="J2663" t="str">
        <f t="shared" si="219"/>
        <v/>
      </c>
      <c r="L2663" t="str">
        <f t="shared" si="217"/>
        <v>NGM-2680</v>
      </c>
      <c r="M2663" t="str">
        <f t="shared" si="217"/>
        <v>20031114</v>
      </c>
      <c r="N2663" t="str">
        <f t="shared" si="217"/>
        <v>メタルスラッグ5</v>
      </c>
      <c r="O2663" t="str">
        <f t="shared" si="217"/>
        <v/>
      </c>
      <c r="P2663" t="str">
        <f t="shared" si="217"/>
        <v/>
      </c>
      <c r="T2663" t="str">
        <f t="shared" si="220"/>
        <v/>
      </c>
      <c r="V2663" t="str">
        <f t="shared" si="221"/>
        <v>MVS</v>
      </c>
      <c r="W2663" t="str">
        <f t="shared" si="221"/>
        <v>MVS,AES</v>
      </c>
      <c r="AH2663" t="s">
        <v>474</v>
      </c>
      <c r="AI2663" t="s">
        <v>57</v>
      </c>
      <c r="AJ2663" t="s">
        <v>57</v>
      </c>
      <c r="AK2663" t="s">
        <v>473</v>
      </c>
      <c r="AL2663" t="s">
        <v>472</v>
      </c>
    </row>
    <row r="2664" spans="5:44" x14ac:dyDescent="0.25">
      <c r="I2664" t="str">
        <f t="shared" si="218"/>
        <v>mslug5</v>
      </c>
      <c r="J2664" t="str">
        <f t="shared" si="219"/>
        <v/>
      </c>
      <c r="L2664" t="str">
        <f t="shared" si="217"/>
        <v>NGM-2680</v>
      </c>
      <c r="M2664" t="str">
        <f t="shared" si="217"/>
        <v>20031114</v>
      </c>
      <c r="N2664" t="str">
        <f t="shared" si="217"/>
        <v>メタルスラッグ5</v>
      </c>
      <c r="O2664" t="str">
        <f t="shared" si="217"/>
        <v/>
      </c>
      <c r="P2664" t="str">
        <f t="shared" si="217"/>
        <v/>
      </c>
      <c r="T2664" t="str">
        <f t="shared" si="220"/>
        <v/>
      </c>
      <c r="V2664" t="str">
        <f t="shared" si="221"/>
        <v>MVS</v>
      </c>
      <c r="W2664" t="str">
        <f t="shared" si="221"/>
        <v>MVS,AES</v>
      </c>
      <c r="AB2664" t="s">
        <v>12</v>
      </c>
      <c r="AE2664" t="s">
        <v>175</v>
      </c>
      <c r="AG2664" t="s">
        <v>6</v>
      </c>
      <c r="AH2664" t="s">
        <v>471</v>
      </c>
      <c r="AI2664" t="s">
        <v>9</v>
      </c>
      <c r="AJ2664" t="s">
        <v>57</v>
      </c>
      <c r="AK2664" t="s">
        <v>470</v>
      </c>
      <c r="AL2664" t="s">
        <v>469</v>
      </c>
    </row>
    <row r="2665" spans="5:44" x14ac:dyDescent="0.25">
      <c r="I2665" t="str">
        <f t="shared" si="218"/>
        <v>mslug5</v>
      </c>
      <c r="J2665" t="str">
        <f t="shared" si="219"/>
        <v/>
      </c>
      <c r="L2665" t="str">
        <f t="shared" si="217"/>
        <v>NGM-2680</v>
      </c>
      <c r="M2665" t="str">
        <f t="shared" si="217"/>
        <v>20031114</v>
      </c>
      <c r="N2665" t="str">
        <f t="shared" si="217"/>
        <v>メタルスラッグ5</v>
      </c>
      <c r="O2665" t="str">
        <f t="shared" si="217"/>
        <v/>
      </c>
      <c r="P2665" t="str">
        <f t="shared" si="217"/>
        <v/>
      </c>
      <c r="T2665" t="str">
        <f t="shared" si="220"/>
        <v/>
      </c>
      <c r="V2665" t="str">
        <f t="shared" si="221"/>
        <v>MVS</v>
      </c>
      <c r="W2665" t="str">
        <f t="shared" si="221"/>
        <v>MVS,AES</v>
      </c>
      <c r="AG2665" t="s">
        <v>6</v>
      </c>
      <c r="AH2665" t="s">
        <v>468</v>
      </c>
      <c r="AI2665" t="s">
        <v>4</v>
      </c>
      <c r="AJ2665" t="s">
        <v>57</v>
      </c>
      <c r="AK2665" t="s">
        <v>467</v>
      </c>
      <c r="AL2665" t="s">
        <v>466</v>
      </c>
    </row>
    <row r="2666" spans="5:44" x14ac:dyDescent="0.25">
      <c r="I2666" t="str">
        <f t="shared" si="218"/>
        <v>mslug5</v>
      </c>
      <c r="J2666" t="str">
        <f t="shared" si="219"/>
        <v/>
      </c>
      <c r="L2666" t="str">
        <f t="shared" si="217"/>
        <v>NGM-2680</v>
      </c>
      <c r="M2666" t="str">
        <f t="shared" si="217"/>
        <v>20031114</v>
      </c>
      <c r="N2666" t="str">
        <f t="shared" si="217"/>
        <v>メタルスラッグ5</v>
      </c>
      <c r="O2666" t="str">
        <f t="shared" si="217"/>
        <v/>
      </c>
      <c r="P2666" t="str">
        <f t="shared" si="217"/>
        <v/>
      </c>
      <c r="T2666" t="str">
        <f t="shared" si="220"/>
        <v/>
      </c>
      <c r="V2666" t="str">
        <f t="shared" si="221"/>
        <v>MVS</v>
      </c>
      <c r="W2666" t="str">
        <f t="shared" si="221"/>
        <v>MVS,AES</v>
      </c>
      <c r="AG2666" t="s">
        <v>6</v>
      </c>
      <c r="AH2666" t="s">
        <v>465</v>
      </c>
      <c r="AI2666" t="s">
        <v>65</v>
      </c>
      <c r="AJ2666" t="s">
        <v>57</v>
      </c>
      <c r="AK2666" t="s">
        <v>464</v>
      </c>
      <c r="AL2666" t="s">
        <v>463</v>
      </c>
    </row>
    <row r="2667" spans="5:44" x14ac:dyDescent="0.25">
      <c r="I2667" t="str">
        <f t="shared" si="218"/>
        <v>mslug5</v>
      </c>
      <c r="J2667" t="str">
        <f t="shared" si="219"/>
        <v/>
      </c>
      <c r="L2667" t="str">
        <f t="shared" ref="L2667:P2717" si="222">IFERROR(VLOOKUP($I2667&amp;L$1,$J:$Q,8,0),"")</f>
        <v>NGM-2680</v>
      </c>
      <c r="M2667" t="str">
        <f t="shared" si="222"/>
        <v>20031114</v>
      </c>
      <c r="N2667" t="str">
        <f t="shared" si="222"/>
        <v>メタルスラッグ5</v>
      </c>
      <c r="O2667" t="str">
        <f t="shared" si="222"/>
        <v/>
      </c>
      <c r="P2667" t="str">
        <f t="shared" si="222"/>
        <v/>
      </c>
      <c r="T2667" t="str">
        <f t="shared" si="220"/>
        <v/>
      </c>
      <c r="V2667" t="str">
        <f t="shared" si="221"/>
        <v>MVS</v>
      </c>
      <c r="W2667" t="str">
        <f t="shared" si="221"/>
        <v>MVS,AES</v>
      </c>
      <c r="AG2667" t="s">
        <v>6</v>
      </c>
      <c r="AH2667" t="s">
        <v>462</v>
      </c>
      <c r="AI2667" t="s">
        <v>164</v>
      </c>
      <c r="AJ2667" t="s">
        <v>57</v>
      </c>
      <c r="AK2667" t="s">
        <v>461</v>
      </c>
      <c r="AL2667" t="s">
        <v>460</v>
      </c>
    </row>
    <row r="2668" spans="5:44" x14ac:dyDescent="0.25">
      <c r="I2668" t="str">
        <f t="shared" si="218"/>
        <v>mslug5</v>
      </c>
      <c r="J2668" t="str">
        <f t="shared" si="219"/>
        <v/>
      </c>
      <c r="L2668" t="str">
        <f t="shared" si="222"/>
        <v>NGM-2680</v>
      </c>
      <c r="M2668" t="str">
        <f t="shared" si="222"/>
        <v>20031114</v>
      </c>
      <c r="N2668" t="str">
        <f t="shared" si="222"/>
        <v>メタルスラッグ5</v>
      </c>
      <c r="O2668" t="str">
        <f t="shared" si="222"/>
        <v/>
      </c>
      <c r="P2668" t="str">
        <f t="shared" si="222"/>
        <v/>
      </c>
      <c r="T2668" t="str">
        <f t="shared" si="220"/>
        <v/>
      </c>
      <c r="V2668" t="str">
        <f t="shared" si="221"/>
        <v>MVS</v>
      </c>
      <c r="W2668" t="str">
        <f t="shared" si="221"/>
        <v>MVS,AES</v>
      </c>
      <c r="AG2668" t="s">
        <v>6</v>
      </c>
      <c r="AH2668" t="s">
        <v>459</v>
      </c>
      <c r="AI2668" t="s">
        <v>160</v>
      </c>
      <c r="AJ2668" t="s">
        <v>57</v>
      </c>
      <c r="AK2668" t="s">
        <v>458</v>
      </c>
      <c r="AL2668" t="s">
        <v>457</v>
      </c>
    </row>
    <row r="2669" spans="5:44" x14ac:dyDescent="0.25">
      <c r="I2669" t="str">
        <f t="shared" si="218"/>
        <v>mslug5</v>
      </c>
      <c r="J2669" t="str">
        <f t="shared" si="219"/>
        <v/>
      </c>
      <c r="L2669" t="str">
        <f t="shared" si="222"/>
        <v>NGM-2680</v>
      </c>
      <c r="M2669" t="str">
        <f t="shared" si="222"/>
        <v>20031114</v>
      </c>
      <c r="N2669" t="str">
        <f t="shared" si="222"/>
        <v>メタルスラッグ5</v>
      </c>
      <c r="O2669" t="str">
        <f t="shared" si="222"/>
        <v/>
      </c>
      <c r="P2669" t="str">
        <f t="shared" si="222"/>
        <v/>
      </c>
      <c r="T2669" t="str">
        <f t="shared" si="220"/>
        <v/>
      </c>
      <c r="V2669" t="str">
        <f t="shared" si="221"/>
        <v>MVS</v>
      </c>
      <c r="W2669" t="str">
        <f t="shared" si="221"/>
        <v>MVS,AES</v>
      </c>
      <c r="AG2669" t="s">
        <v>6</v>
      </c>
      <c r="AH2669" t="s">
        <v>456</v>
      </c>
      <c r="AI2669" t="s">
        <v>156</v>
      </c>
      <c r="AJ2669" t="s">
        <v>57</v>
      </c>
      <c r="AK2669" t="s">
        <v>455</v>
      </c>
      <c r="AL2669" t="s">
        <v>454</v>
      </c>
    </row>
    <row r="2670" spans="5:44" x14ac:dyDescent="0.25">
      <c r="I2670" t="str">
        <f t="shared" si="218"/>
        <v>mslug5</v>
      </c>
      <c r="J2670" t="str">
        <f t="shared" si="219"/>
        <v/>
      </c>
      <c r="L2670" t="str">
        <f t="shared" si="222"/>
        <v>NGM-2680</v>
      </c>
      <c r="M2670" t="str">
        <f t="shared" si="222"/>
        <v>20031114</v>
      </c>
      <c r="N2670" t="str">
        <f t="shared" si="222"/>
        <v>メタルスラッグ5</v>
      </c>
      <c r="O2670" t="str">
        <f t="shared" si="222"/>
        <v/>
      </c>
      <c r="P2670" t="str">
        <f t="shared" si="222"/>
        <v/>
      </c>
      <c r="T2670" t="str">
        <f t="shared" si="220"/>
        <v/>
      </c>
      <c r="V2670" t="str">
        <f t="shared" si="221"/>
        <v>MVS</v>
      </c>
      <c r="W2670" t="str">
        <f t="shared" si="221"/>
        <v>MVS,AES</v>
      </c>
      <c r="AG2670" t="s">
        <v>6</v>
      </c>
      <c r="AH2670" t="s">
        <v>453</v>
      </c>
      <c r="AI2670" t="s">
        <v>152</v>
      </c>
      <c r="AJ2670" t="s">
        <v>57</v>
      </c>
      <c r="AK2670" t="s">
        <v>452</v>
      </c>
      <c r="AL2670" t="s">
        <v>451</v>
      </c>
    </row>
    <row r="2671" spans="5:44" x14ac:dyDescent="0.25">
      <c r="I2671" t="str">
        <f t="shared" si="218"/>
        <v>mslug5</v>
      </c>
      <c r="J2671" t="str">
        <f t="shared" si="219"/>
        <v/>
      </c>
      <c r="L2671" t="str">
        <f t="shared" si="222"/>
        <v>NGM-2680</v>
      </c>
      <c r="M2671" t="str">
        <f t="shared" si="222"/>
        <v>20031114</v>
      </c>
      <c r="N2671" t="str">
        <f t="shared" si="222"/>
        <v>メタルスラッグ5</v>
      </c>
      <c r="O2671" t="str">
        <f t="shared" si="222"/>
        <v/>
      </c>
      <c r="P2671" t="str">
        <f t="shared" si="222"/>
        <v/>
      </c>
      <c r="T2671" t="str">
        <f t="shared" si="220"/>
        <v/>
      </c>
      <c r="V2671" t="str">
        <f t="shared" si="221"/>
        <v>MVS</v>
      </c>
      <c r="W2671" t="str">
        <f t="shared" si="221"/>
        <v>MVS,AES</v>
      </c>
      <c r="AG2671" t="s">
        <v>6</v>
      </c>
      <c r="AH2671" t="s">
        <v>450</v>
      </c>
      <c r="AI2671" t="s">
        <v>148</v>
      </c>
      <c r="AJ2671" t="s">
        <v>57</v>
      </c>
      <c r="AK2671" t="s">
        <v>449</v>
      </c>
      <c r="AL2671" t="s">
        <v>448</v>
      </c>
    </row>
    <row r="2672" spans="5:44" x14ac:dyDescent="0.25">
      <c r="E2672" t="s">
        <v>1573</v>
      </c>
      <c r="F2672" t="s">
        <v>1572</v>
      </c>
      <c r="G2672" t="s">
        <v>195</v>
      </c>
      <c r="H2672" t="s">
        <v>1436</v>
      </c>
      <c r="I2672" t="str">
        <f t="shared" si="218"/>
        <v>mslug5h</v>
      </c>
      <c r="J2672" t="str">
        <f t="shared" si="219"/>
        <v>mslug5hserial</v>
      </c>
      <c r="K2672" t="s">
        <v>1373</v>
      </c>
      <c r="L2672" t="str">
        <f t="shared" si="222"/>
        <v>NGH-2680</v>
      </c>
      <c r="M2672" t="str">
        <f t="shared" si="222"/>
        <v>20040219</v>
      </c>
      <c r="N2672" t="str">
        <f t="shared" si="222"/>
        <v>メタルスラッグ5</v>
      </c>
      <c r="O2672" t="str">
        <f t="shared" si="222"/>
        <v/>
      </c>
      <c r="P2672" t="str">
        <f t="shared" si="222"/>
        <v/>
      </c>
      <c r="Q2672" t="s">
        <v>1571</v>
      </c>
      <c r="S2672" t="s">
        <v>46</v>
      </c>
      <c r="T2672" t="str">
        <f t="shared" si="220"/>
        <v>mslug5hrelease</v>
      </c>
      <c r="U2672" t="s">
        <v>218</v>
      </c>
      <c r="V2672" t="str">
        <f t="shared" si="221"/>
        <v>MVS,AES</v>
      </c>
      <c r="W2672" t="str">
        <f t="shared" si="221"/>
        <v>MVS,AES</v>
      </c>
      <c r="Y2672" t="s">
        <v>45</v>
      </c>
      <c r="Z2672" t="s">
        <v>44</v>
      </c>
      <c r="AB2672" t="s">
        <v>43</v>
      </c>
      <c r="AC2672" t="s">
        <v>42</v>
      </c>
      <c r="AD2672" t="s">
        <v>41</v>
      </c>
      <c r="AE2672" t="s">
        <v>57</v>
      </c>
      <c r="AG2672" t="s">
        <v>1429</v>
      </c>
      <c r="AH2672" t="s">
        <v>1570</v>
      </c>
      <c r="AI2672" t="s">
        <v>9</v>
      </c>
      <c r="AJ2672" t="s">
        <v>11</v>
      </c>
      <c r="AK2672" t="s">
        <v>1569</v>
      </c>
      <c r="AL2672" t="s">
        <v>1568</v>
      </c>
      <c r="AP2672" t="s">
        <v>138</v>
      </c>
      <c r="AQ2672" t="s">
        <v>1567</v>
      </c>
      <c r="AR2672" t="s">
        <v>441</v>
      </c>
    </row>
    <row r="2673" spans="5:43" x14ac:dyDescent="0.25">
      <c r="I2673" t="str">
        <f t="shared" si="218"/>
        <v>mslug5h</v>
      </c>
      <c r="J2673" t="str">
        <f t="shared" si="219"/>
        <v>mslug5hrelease</v>
      </c>
      <c r="K2673" t="s">
        <v>46</v>
      </c>
      <c r="L2673" t="str">
        <f t="shared" si="222"/>
        <v>NGH-2680</v>
      </c>
      <c r="M2673" t="str">
        <f t="shared" si="222"/>
        <v>20040219</v>
      </c>
      <c r="N2673" t="str">
        <f t="shared" si="222"/>
        <v>メタルスラッグ5</v>
      </c>
      <c r="O2673" t="str">
        <f t="shared" si="222"/>
        <v/>
      </c>
      <c r="P2673" t="str">
        <f t="shared" si="222"/>
        <v/>
      </c>
      <c r="Q2673" t="s">
        <v>1566</v>
      </c>
      <c r="T2673" t="str">
        <f t="shared" si="220"/>
        <v/>
      </c>
      <c r="V2673" t="str">
        <f t="shared" si="221"/>
        <v>MVS,AES</v>
      </c>
      <c r="W2673" t="str">
        <f t="shared" si="221"/>
        <v>MVS,AES</v>
      </c>
      <c r="AG2673" t="s">
        <v>1429</v>
      </c>
      <c r="AH2673" t="s">
        <v>1565</v>
      </c>
      <c r="AI2673" t="s">
        <v>1427</v>
      </c>
      <c r="AJ2673" t="s">
        <v>11</v>
      </c>
      <c r="AK2673" t="s">
        <v>1564</v>
      </c>
      <c r="AL2673" t="s">
        <v>1563</v>
      </c>
    </row>
    <row r="2674" spans="5:43" x14ac:dyDescent="0.25">
      <c r="I2674" t="str">
        <f t="shared" si="218"/>
        <v>mslug5h</v>
      </c>
      <c r="J2674" t="str">
        <f t="shared" si="219"/>
        <v>mslug5halt_title</v>
      </c>
      <c r="K2674" t="s">
        <v>1218</v>
      </c>
      <c r="L2674" t="str">
        <f t="shared" si="222"/>
        <v>NGH-2680</v>
      </c>
      <c r="M2674" t="str">
        <f t="shared" si="222"/>
        <v>20040219</v>
      </c>
      <c r="N2674" t="str">
        <f t="shared" si="222"/>
        <v>メタルスラッグ5</v>
      </c>
      <c r="O2674" t="str">
        <f t="shared" si="222"/>
        <v/>
      </c>
      <c r="P2674" t="str">
        <f t="shared" si="222"/>
        <v/>
      </c>
      <c r="Q2674" t="s">
        <v>1562</v>
      </c>
      <c r="T2674" t="str">
        <f t="shared" si="220"/>
        <v/>
      </c>
      <c r="V2674" t="str">
        <f t="shared" si="221"/>
        <v>MVS,AES</v>
      </c>
      <c r="W2674" t="str">
        <f t="shared" si="221"/>
        <v>MVS,AES</v>
      </c>
      <c r="AB2674" t="s">
        <v>34</v>
      </c>
      <c r="AE2674" t="s">
        <v>135</v>
      </c>
      <c r="AG2674" t="s">
        <v>538</v>
      </c>
      <c r="AI2674" t="s">
        <v>9</v>
      </c>
      <c r="AJ2674" t="s">
        <v>135</v>
      </c>
      <c r="AN2674" t="s">
        <v>537</v>
      </c>
    </row>
    <row r="2675" spans="5:43" x14ac:dyDescent="0.25">
      <c r="I2675" t="str">
        <f t="shared" si="218"/>
        <v>mslug5h</v>
      </c>
      <c r="J2675" t="str">
        <f t="shared" si="219"/>
        <v/>
      </c>
      <c r="L2675" t="str">
        <f t="shared" si="222"/>
        <v>NGH-2680</v>
      </c>
      <c r="M2675" t="str">
        <f t="shared" si="222"/>
        <v>20040219</v>
      </c>
      <c r="N2675" t="str">
        <f t="shared" si="222"/>
        <v>メタルスラッグ5</v>
      </c>
      <c r="O2675" t="str">
        <f t="shared" si="222"/>
        <v/>
      </c>
      <c r="P2675" t="str">
        <f t="shared" si="222"/>
        <v/>
      </c>
      <c r="S2675" t="s">
        <v>36</v>
      </c>
      <c r="T2675" t="str">
        <f t="shared" si="220"/>
        <v>mslug5hcompatibility</v>
      </c>
      <c r="U2675" t="s">
        <v>218</v>
      </c>
      <c r="V2675" t="str">
        <f t="shared" si="221"/>
        <v>MVS,AES</v>
      </c>
      <c r="W2675" t="str">
        <f t="shared" si="221"/>
        <v>MVS,AES</v>
      </c>
      <c r="AB2675" t="s">
        <v>482</v>
      </c>
      <c r="AE2675" t="s">
        <v>480</v>
      </c>
      <c r="AH2675" t="s">
        <v>481</v>
      </c>
      <c r="AI2675" t="s">
        <v>314</v>
      </c>
      <c r="AJ2675" t="s">
        <v>480</v>
      </c>
      <c r="AK2675" t="s">
        <v>479</v>
      </c>
      <c r="AL2675" t="s">
        <v>478</v>
      </c>
    </row>
    <row r="2676" spans="5:43" x14ac:dyDescent="0.25">
      <c r="I2676" t="str">
        <f t="shared" si="218"/>
        <v>mslug5h</v>
      </c>
      <c r="J2676" t="str">
        <f t="shared" si="219"/>
        <v/>
      </c>
      <c r="L2676" t="str">
        <f t="shared" si="222"/>
        <v>NGH-2680</v>
      </c>
      <c r="M2676" t="str">
        <f t="shared" si="222"/>
        <v>20040219</v>
      </c>
      <c r="N2676" t="str">
        <f t="shared" si="222"/>
        <v>メタルスラッグ5</v>
      </c>
      <c r="O2676" t="str">
        <f t="shared" si="222"/>
        <v/>
      </c>
      <c r="P2676" t="str">
        <f t="shared" si="222"/>
        <v/>
      </c>
      <c r="T2676" t="str">
        <f t="shared" si="220"/>
        <v/>
      </c>
      <c r="V2676" t="str">
        <f t="shared" si="221"/>
        <v>MVS,AES</v>
      </c>
      <c r="W2676" t="str">
        <f t="shared" si="221"/>
        <v>MVS,AES</v>
      </c>
      <c r="AB2676" t="s">
        <v>24</v>
      </c>
      <c r="AE2676" t="s">
        <v>65</v>
      </c>
      <c r="AH2676" t="s">
        <v>477</v>
      </c>
      <c r="AI2676" t="s">
        <v>9</v>
      </c>
      <c r="AJ2676" t="s">
        <v>57</v>
      </c>
      <c r="AK2676" t="s">
        <v>476</v>
      </c>
      <c r="AL2676" t="s">
        <v>475</v>
      </c>
    </row>
    <row r="2677" spans="5:43" x14ac:dyDescent="0.25">
      <c r="I2677" t="str">
        <f t="shared" si="218"/>
        <v>mslug5h</v>
      </c>
      <c r="J2677" t="str">
        <f t="shared" si="219"/>
        <v/>
      </c>
      <c r="L2677" t="str">
        <f t="shared" si="222"/>
        <v>NGH-2680</v>
      </c>
      <c r="M2677" t="str">
        <f t="shared" si="222"/>
        <v>20040219</v>
      </c>
      <c r="N2677" t="str">
        <f t="shared" si="222"/>
        <v>メタルスラッグ5</v>
      </c>
      <c r="O2677" t="str">
        <f t="shared" si="222"/>
        <v/>
      </c>
      <c r="P2677" t="str">
        <f t="shared" si="222"/>
        <v/>
      </c>
      <c r="T2677" t="str">
        <f t="shared" si="220"/>
        <v/>
      </c>
      <c r="V2677" t="str">
        <f t="shared" si="221"/>
        <v>MVS,AES</v>
      </c>
      <c r="W2677" t="str">
        <f t="shared" si="221"/>
        <v>MVS,AES</v>
      </c>
      <c r="AH2677" t="s">
        <v>474</v>
      </c>
      <c r="AI2677" t="s">
        <v>57</v>
      </c>
      <c r="AJ2677" t="s">
        <v>57</v>
      </c>
      <c r="AK2677" t="s">
        <v>473</v>
      </c>
      <c r="AL2677" t="s">
        <v>472</v>
      </c>
    </row>
    <row r="2678" spans="5:43" x14ac:dyDescent="0.25">
      <c r="I2678" t="str">
        <f t="shared" si="218"/>
        <v>mslug5h</v>
      </c>
      <c r="J2678" t="str">
        <f t="shared" si="219"/>
        <v/>
      </c>
      <c r="L2678" t="str">
        <f t="shared" si="222"/>
        <v>NGH-2680</v>
      </c>
      <c r="M2678" t="str">
        <f t="shared" si="222"/>
        <v>20040219</v>
      </c>
      <c r="N2678" t="str">
        <f t="shared" si="222"/>
        <v>メタルスラッグ5</v>
      </c>
      <c r="O2678" t="str">
        <f t="shared" si="222"/>
        <v/>
      </c>
      <c r="P2678" t="str">
        <f t="shared" si="222"/>
        <v/>
      </c>
      <c r="T2678" t="str">
        <f t="shared" si="220"/>
        <v/>
      </c>
      <c r="V2678" t="str">
        <f t="shared" si="221"/>
        <v>MVS,AES</v>
      </c>
      <c r="W2678" t="str">
        <f t="shared" si="221"/>
        <v>MVS,AES</v>
      </c>
      <c r="AB2678" t="s">
        <v>12</v>
      </c>
      <c r="AE2678" t="s">
        <v>175</v>
      </c>
      <c r="AG2678" t="s">
        <v>6</v>
      </c>
      <c r="AH2678" t="s">
        <v>471</v>
      </c>
      <c r="AI2678" t="s">
        <v>9</v>
      </c>
      <c r="AJ2678" t="s">
        <v>57</v>
      </c>
      <c r="AK2678" t="s">
        <v>470</v>
      </c>
      <c r="AL2678" t="s">
        <v>469</v>
      </c>
    </row>
    <row r="2679" spans="5:43" x14ac:dyDescent="0.25">
      <c r="I2679" t="str">
        <f t="shared" si="218"/>
        <v>mslug5h</v>
      </c>
      <c r="J2679" t="str">
        <f t="shared" si="219"/>
        <v/>
      </c>
      <c r="L2679" t="str">
        <f t="shared" si="222"/>
        <v>NGH-2680</v>
      </c>
      <c r="M2679" t="str">
        <f t="shared" si="222"/>
        <v>20040219</v>
      </c>
      <c r="N2679" t="str">
        <f t="shared" si="222"/>
        <v>メタルスラッグ5</v>
      </c>
      <c r="O2679" t="str">
        <f t="shared" si="222"/>
        <v/>
      </c>
      <c r="P2679" t="str">
        <f t="shared" si="222"/>
        <v/>
      </c>
      <c r="T2679" t="str">
        <f t="shared" si="220"/>
        <v/>
      </c>
      <c r="V2679" t="str">
        <f t="shared" si="221"/>
        <v>MVS,AES</v>
      </c>
      <c r="W2679" t="str">
        <f t="shared" si="221"/>
        <v>MVS,AES</v>
      </c>
      <c r="AG2679" t="s">
        <v>6</v>
      </c>
      <c r="AH2679" t="s">
        <v>468</v>
      </c>
      <c r="AI2679" t="s">
        <v>4</v>
      </c>
      <c r="AJ2679" t="s">
        <v>57</v>
      </c>
      <c r="AK2679" t="s">
        <v>467</v>
      </c>
      <c r="AL2679" t="s">
        <v>466</v>
      </c>
    </row>
    <row r="2680" spans="5:43" x14ac:dyDescent="0.25">
      <c r="I2680" t="str">
        <f t="shared" si="218"/>
        <v>mslug5h</v>
      </c>
      <c r="J2680" t="str">
        <f t="shared" si="219"/>
        <v/>
      </c>
      <c r="L2680" t="str">
        <f t="shared" si="222"/>
        <v>NGH-2680</v>
      </c>
      <c r="M2680" t="str">
        <f t="shared" si="222"/>
        <v>20040219</v>
      </c>
      <c r="N2680" t="str">
        <f t="shared" si="222"/>
        <v>メタルスラッグ5</v>
      </c>
      <c r="O2680" t="str">
        <f t="shared" si="222"/>
        <v/>
      </c>
      <c r="P2680" t="str">
        <f t="shared" si="222"/>
        <v/>
      </c>
      <c r="T2680" t="str">
        <f t="shared" si="220"/>
        <v/>
      </c>
      <c r="V2680" t="str">
        <f t="shared" si="221"/>
        <v>MVS,AES</v>
      </c>
      <c r="W2680" t="str">
        <f t="shared" si="221"/>
        <v>MVS,AES</v>
      </c>
      <c r="AG2680" t="s">
        <v>6</v>
      </c>
      <c r="AH2680" t="s">
        <v>465</v>
      </c>
      <c r="AI2680" t="s">
        <v>65</v>
      </c>
      <c r="AJ2680" t="s">
        <v>57</v>
      </c>
      <c r="AK2680" t="s">
        <v>464</v>
      </c>
      <c r="AL2680" t="s">
        <v>463</v>
      </c>
    </row>
    <row r="2681" spans="5:43" x14ac:dyDescent="0.25">
      <c r="I2681" t="str">
        <f t="shared" si="218"/>
        <v>mslug5h</v>
      </c>
      <c r="J2681" t="str">
        <f t="shared" si="219"/>
        <v/>
      </c>
      <c r="L2681" t="str">
        <f t="shared" si="222"/>
        <v>NGH-2680</v>
      </c>
      <c r="M2681" t="str">
        <f t="shared" si="222"/>
        <v>20040219</v>
      </c>
      <c r="N2681" t="str">
        <f t="shared" si="222"/>
        <v>メタルスラッグ5</v>
      </c>
      <c r="O2681" t="str">
        <f t="shared" si="222"/>
        <v/>
      </c>
      <c r="P2681" t="str">
        <f t="shared" si="222"/>
        <v/>
      </c>
      <c r="T2681" t="str">
        <f t="shared" si="220"/>
        <v/>
      </c>
      <c r="V2681" t="str">
        <f t="shared" si="221"/>
        <v>MVS,AES</v>
      </c>
      <c r="W2681" t="str">
        <f t="shared" si="221"/>
        <v>MVS,AES</v>
      </c>
      <c r="AG2681" t="s">
        <v>6</v>
      </c>
      <c r="AH2681" t="s">
        <v>462</v>
      </c>
      <c r="AI2681" t="s">
        <v>164</v>
      </c>
      <c r="AJ2681" t="s">
        <v>57</v>
      </c>
      <c r="AK2681" t="s">
        <v>461</v>
      </c>
      <c r="AL2681" t="s">
        <v>460</v>
      </c>
    </row>
    <row r="2682" spans="5:43" x14ac:dyDescent="0.25">
      <c r="I2682" t="str">
        <f t="shared" si="218"/>
        <v>mslug5h</v>
      </c>
      <c r="J2682" t="str">
        <f t="shared" si="219"/>
        <v/>
      </c>
      <c r="L2682" t="str">
        <f t="shared" si="222"/>
        <v>NGH-2680</v>
      </c>
      <c r="M2682" t="str">
        <f t="shared" si="222"/>
        <v>20040219</v>
      </c>
      <c r="N2682" t="str">
        <f t="shared" si="222"/>
        <v>メタルスラッグ5</v>
      </c>
      <c r="O2682" t="str">
        <f t="shared" si="222"/>
        <v/>
      </c>
      <c r="P2682" t="str">
        <f t="shared" si="222"/>
        <v/>
      </c>
      <c r="T2682" t="str">
        <f t="shared" si="220"/>
        <v/>
      </c>
      <c r="V2682" t="str">
        <f t="shared" si="221"/>
        <v>MVS,AES</v>
      </c>
      <c r="W2682" t="str">
        <f t="shared" si="221"/>
        <v>MVS,AES</v>
      </c>
      <c r="AG2682" t="s">
        <v>6</v>
      </c>
      <c r="AH2682" t="s">
        <v>459</v>
      </c>
      <c r="AI2682" t="s">
        <v>160</v>
      </c>
      <c r="AJ2682" t="s">
        <v>57</v>
      </c>
      <c r="AK2682" t="s">
        <v>458</v>
      </c>
      <c r="AL2682" t="s">
        <v>457</v>
      </c>
    </row>
    <row r="2683" spans="5:43" x14ac:dyDescent="0.25">
      <c r="I2683" t="str">
        <f t="shared" si="218"/>
        <v>mslug5h</v>
      </c>
      <c r="J2683" t="str">
        <f t="shared" si="219"/>
        <v/>
      </c>
      <c r="L2683" t="str">
        <f t="shared" si="222"/>
        <v>NGH-2680</v>
      </c>
      <c r="M2683" t="str">
        <f t="shared" si="222"/>
        <v>20040219</v>
      </c>
      <c r="N2683" t="str">
        <f t="shared" si="222"/>
        <v>メタルスラッグ5</v>
      </c>
      <c r="O2683" t="str">
        <f t="shared" si="222"/>
        <v/>
      </c>
      <c r="P2683" t="str">
        <f t="shared" si="222"/>
        <v/>
      </c>
      <c r="T2683" t="str">
        <f t="shared" si="220"/>
        <v/>
      </c>
      <c r="V2683" t="str">
        <f t="shared" si="221"/>
        <v>MVS,AES</v>
      </c>
      <c r="W2683" t="str">
        <f t="shared" si="221"/>
        <v>MVS,AES</v>
      </c>
      <c r="AG2683" t="s">
        <v>6</v>
      </c>
      <c r="AH2683" t="s">
        <v>456</v>
      </c>
      <c r="AI2683" t="s">
        <v>156</v>
      </c>
      <c r="AJ2683" t="s">
        <v>57</v>
      </c>
      <c r="AK2683" t="s">
        <v>455</v>
      </c>
      <c r="AL2683" t="s">
        <v>454</v>
      </c>
    </row>
    <row r="2684" spans="5:43" x14ac:dyDescent="0.25">
      <c r="I2684" t="str">
        <f t="shared" si="218"/>
        <v>mslug5h</v>
      </c>
      <c r="J2684" t="str">
        <f t="shared" si="219"/>
        <v/>
      </c>
      <c r="L2684" t="str">
        <f t="shared" si="222"/>
        <v>NGH-2680</v>
      </c>
      <c r="M2684" t="str">
        <f t="shared" si="222"/>
        <v>20040219</v>
      </c>
      <c r="N2684" t="str">
        <f t="shared" si="222"/>
        <v>メタルスラッグ5</v>
      </c>
      <c r="O2684" t="str">
        <f t="shared" si="222"/>
        <v/>
      </c>
      <c r="P2684" t="str">
        <f t="shared" si="222"/>
        <v/>
      </c>
      <c r="T2684" t="str">
        <f t="shared" si="220"/>
        <v/>
      </c>
      <c r="V2684" t="str">
        <f t="shared" si="221"/>
        <v>MVS,AES</v>
      </c>
      <c r="W2684" t="str">
        <f t="shared" si="221"/>
        <v>MVS,AES</v>
      </c>
      <c r="AG2684" t="s">
        <v>6</v>
      </c>
      <c r="AH2684" t="s">
        <v>453</v>
      </c>
      <c r="AI2684" t="s">
        <v>152</v>
      </c>
      <c r="AJ2684" t="s">
        <v>57</v>
      </c>
      <c r="AK2684" t="s">
        <v>452</v>
      </c>
      <c r="AL2684" t="s">
        <v>451</v>
      </c>
    </row>
    <row r="2685" spans="5:43" x14ac:dyDescent="0.25">
      <c r="I2685" t="str">
        <f t="shared" si="218"/>
        <v>mslug5h</v>
      </c>
      <c r="J2685" t="str">
        <f t="shared" si="219"/>
        <v/>
      </c>
      <c r="L2685" t="str">
        <f t="shared" si="222"/>
        <v>NGH-2680</v>
      </c>
      <c r="M2685" t="str">
        <f t="shared" si="222"/>
        <v>20040219</v>
      </c>
      <c r="N2685" t="str">
        <f t="shared" si="222"/>
        <v>メタルスラッグ5</v>
      </c>
      <c r="O2685" t="str">
        <f t="shared" si="222"/>
        <v/>
      </c>
      <c r="P2685" t="str">
        <f t="shared" si="222"/>
        <v/>
      </c>
      <c r="T2685" t="str">
        <f t="shared" si="220"/>
        <v/>
      </c>
      <c r="V2685" t="str">
        <f t="shared" si="221"/>
        <v>MVS,AES</v>
      </c>
      <c r="W2685" t="str">
        <f t="shared" si="221"/>
        <v>MVS,AES</v>
      </c>
      <c r="AG2685" t="s">
        <v>6</v>
      </c>
      <c r="AH2685" t="s">
        <v>450</v>
      </c>
      <c r="AI2685" t="s">
        <v>148</v>
      </c>
      <c r="AJ2685" t="s">
        <v>57</v>
      </c>
      <c r="AK2685" t="s">
        <v>449</v>
      </c>
      <c r="AL2685" t="s">
        <v>448</v>
      </c>
    </row>
    <row r="2686" spans="5:43" x14ac:dyDescent="0.25">
      <c r="E2686" t="s">
        <v>325</v>
      </c>
      <c r="F2686" t="s">
        <v>1561</v>
      </c>
      <c r="G2686" t="s">
        <v>195</v>
      </c>
      <c r="H2686" t="s">
        <v>1560</v>
      </c>
      <c r="I2686" t="str">
        <f t="shared" si="218"/>
        <v>svc</v>
      </c>
      <c r="J2686" t="str">
        <f t="shared" si="219"/>
        <v>svcserial</v>
      </c>
      <c r="K2686" t="s">
        <v>1373</v>
      </c>
      <c r="L2686" t="str">
        <f t="shared" si="222"/>
        <v>NGM-2690 (MVS), NGH-2690 (AES)</v>
      </c>
      <c r="M2686" t="str">
        <f t="shared" si="222"/>
        <v>20030724 (MVS), 20031113 (AES)</v>
      </c>
      <c r="N2686" t="str">
        <f t="shared" si="222"/>
        <v>エス・エヌ・ケイ バーサス カプコン エスブイシー カオス</v>
      </c>
      <c r="O2686" t="str">
        <f t="shared" si="222"/>
        <v/>
      </c>
      <c r="P2686" t="str">
        <f t="shared" si="222"/>
        <v/>
      </c>
      <c r="Q2686" t="s">
        <v>1559</v>
      </c>
      <c r="S2686" t="s">
        <v>46</v>
      </c>
      <c r="T2686" t="str">
        <f t="shared" si="220"/>
        <v>svcrelease</v>
      </c>
      <c r="U2686" t="s">
        <v>218</v>
      </c>
      <c r="V2686" t="str">
        <f t="shared" si="221"/>
        <v>MVS,AES</v>
      </c>
      <c r="W2686" t="str">
        <f t="shared" si="221"/>
        <v>MVS,AES</v>
      </c>
      <c r="Y2686" t="s">
        <v>45</v>
      </c>
      <c r="Z2686" t="s">
        <v>44</v>
      </c>
      <c r="AB2686" t="s">
        <v>43</v>
      </c>
      <c r="AC2686" t="s">
        <v>42</v>
      </c>
      <c r="AD2686" t="s">
        <v>41</v>
      </c>
      <c r="AE2686" t="s">
        <v>57</v>
      </c>
      <c r="AG2686" t="s">
        <v>1429</v>
      </c>
      <c r="AH2686" t="s">
        <v>1558</v>
      </c>
      <c r="AI2686" t="s">
        <v>9</v>
      </c>
      <c r="AJ2686" t="s">
        <v>11</v>
      </c>
      <c r="AK2686" t="s">
        <v>1557</v>
      </c>
      <c r="AL2686" t="s">
        <v>1556</v>
      </c>
      <c r="AP2686" t="s">
        <v>138</v>
      </c>
      <c r="AQ2686" t="s">
        <v>1555</v>
      </c>
    </row>
    <row r="2687" spans="5:43" x14ac:dyDescent="0.25">
      <c r="I2687" t="str">
        <f t="shared" si="218"/>
        <v>svc</v>
      </c>
      <c r="J2687" t="str">
        <f t="shared" si="219"/>
        <v>svcrelease</v>
      </c>
      <c r="K2687" t="s">
        <v>46</v>
      </c>
      <c r="L2687" t="str">
        <f t="shared" si="222"/>
        <v>NGM-2690 (MVS), NGH-2690 (AES)</v>
      </c>
      <c r="M2687" t="str">
        <f t="shared" si="222"/>
        <v>20030724 (MVS), 20031113 (AES)</v>
      </c>
      <c r="N2687" t="str">
        <f t="shared" si="222"/>
        <v>エス・エヌ・ケイ バーサス カプコン エスブイシー カオス</v>
      </c>
      <c r="O2687" t="str">
        <f t="shared" si="222"/>
        <v/>
      </c>
      <c r="P2687" t="str">
        <f t="shared" si="222"/>
        <v/>
      </c>
      <c r="Q2687" t="s">
        <v>1554</v>
      </c>
      <c r="T2687" t="str">
        <f t="shared" si="220"/>
        <v/>
      </c>
      <c r="V2687" t="str">
        <f t="shared" si="221"/>
        <v>MVS,AES</v>
      </c>
      <c r="W2687" t="str">
        <f t="shared" si="221"/>
        <v>MVS,AES</v>
      </c>
      <c r="AG2687" t="s">
        <v>1429</v>
      </c>
      <c r="AH2687" t="s">
        <v>1553</v>
      </c>
      <c r="AI2687" t="s">
        <v>1427</v>
      </c>
      <c r="AJ2687" t="s">
        <v>11</v>
      </c>
      <c r="AK2687" t="s">
        <v>1552</v>
      </c>
      <c r="AL2687" t="s">
        <v>1551</v>
      </c>
    </row>
    <row r="2688" spans="5:43" x14ac:dyDescent="0.25">
      <c r="I2688" t="str">
        <f t="shared" si="218"/>
        <v>svc</v>
      </c>
      <c r="J2688" t="str">
        <f t="shared" si="219"/>
        <v>svcalt_title</v>
      </c>
      <c r="K2688" t="s">
        <v>1218</v>
      </c>
      <c r="L2688" t="str">
        <f t="shared" si="222"/>
        <v>NGM-2690 (MVS), NGH-2690 (AES)</v>
      </c>
      <c r="M2688" t="str">
        <f t="shared" si="222"/>
        <v>20030724 (MVS), 20031113 (AES)</v>
      </c>
      <c r="N2688" t="str">
        <f t="shared" si="222"/>
        <v>エス・エヌ・ケイ バーサス カプコン エスブイシー カオス</v>
      </c>
      <c r="O2688" t="str">
        <f t="shared" si="222"/>
        <v/>
      </c>
      <c r="P2688" t="str">
        <f t="shared" si="222"/>
        <v/>
      </c>
      <c r="Q2688" t="s">
        <v>1550</v>
      </c>
      <c r="T2688" t="str">
        <f t="shared" si="220"/>
        <v/>
      </c>
      <c r="V2688" t="str">
        <f t="shared" si="221"/>
        <v>MVS,AES</v>
      </c>
      <c r="W2688" t="str">
        <f t="shared" si="221"/>
        <v>MVS,AES</v>
      </c>
      <c r="AB2688" t="s">
        <v>34</v>
      </c>
      <c r="AE2688" t="s">
        <v>480</v>
      </c>
      <c r="AG2688" t="s">
        <v>538</v>
      </c>
      <c r="AI2688" t="s">
        <v>9</v>
      </c>
      <c r="AJ2688" t="s">
        <v>480</v>
      </c>
      <c r="AN2688" t="s">
        <v>537</v>
      </c>
    </row>
    <row r="2689" spans="5:43" x14ac:dyDescent="0.25">
      <c r="I2689" t="str">
        <f t="shared" si="218"/>
        <v>svc</v>
      </c>
      <c r="J2689" t="str">
        <f t="shared" si="219"/>
        <v/>
      </c>
      <c r="L2689" t="str">
        <f t="shared" si="222"/>
        <v>NGM-2690 (MVS), NGH-2690 (AES)</v>
      </c>
      <c r="M2689" t="str">
        <f t="shared" si="222"/>
        <v>20030724 (MVS), 20031113 (AES)</v>
      </c>
      <c r="N2689" t="str">
        <f t="shared" si="222"/>
        <v>エス・エヌ・ケイ バーサス カプコン エスブイシー カオス</v>
      </c>
      <c r="O2689" t="str">
        <f t="shared" si="222"/>
        <v/>
      </c>
      <c r="P2689" t="str">
        <f t="shared" si="222"/>
        <v/>
      </c>
      <c r="S2689" t="s">
        <v>36</v>
      </c>
      <c r="T2689" t="str">
        <f t="shared" si="220"/>
        <v>svccompatibility</v>
      </c>
      <c r="U2689" t="s">
        <v>218</v>
      </c>
      <c r="V2689" t="str">
        <f t="shared" si="221"/>
        <v>MVS,AES</v>
      </c>
      <c r="W2689" t="str">
        <f t="shared" si="221"/>
        <v>MVS,AES</v>
      </c>
      <c r="AB2689" t="s">
        <v>482</v>
      </c>
      <c r="AE2689" t="s">
        <v>480</v>
      </c>
      <c r="AH2689" t="s">
        <v>1549</v>
      </c>
      <c r="AI2689" t="s">
        <v>314</v>
      </c>
      <c r="AJ2689" t="s">
        <v>480</v>
      </c>
      <c r="AK2689" t="s">
        <v>1548</v>
      </c>
      <c r="AL2689" t="s">
        <v>1547</v>
      </c>
    </row>
    <row r="2690" spans="5:43" x14ac:dyDescent="0.25">
      <c r="I2690" t="str">
        <f t="shared" si="218"/>
        <v>svc</v>
      </c>
      <c r="J2690" t="str">
        <f t="shared" si="219"/>
        <v/>
      </c>
      <c r="L2690" t="str">
        <f t="shared" si="222"/>
        <v>NGM-2690 (MVS), NGH-2690 (AES)</v>
      </c>
      <c r="M2690" t="str">
        <f t="shared" si="222"/>
        <v>20030724 (MVS), 20031113 (AES)</v>
      </c>
      <c r="N2690" t="str">
        <f t="shared" si="222"/>
        <v>エス・エヌ・ケイ バーサス カプコン エスブイシー カオス</v>
      </c>
      <c r="O2690" t="str">
        <f t="shared" si="222"/>
        <v/>
      </c>
      <c r="P2690" t="str">
        <f t="shared" si="222"/>
        <v/>
      </c>
      <c r="T2690" t="str">
        <f t="shared" si="220"/>
        <v/>
      </c>
      <c r="V2690" t="str">
        <f t="shared" si="221"/>
        <v>MVS,AES</v>
      </c>
      <c r="W2690" t="str">
        <f t="shared" si="221"/>
        <v>MVS,AES</v>
      </c>
      <c r="AB2690" t="s">
        <v>24</v>
      </c>
      <c r="AE2690" t="s">
        <v>65</v>
      </c>
      <c r="AH2690" t="s">
        <v>1546</v>
      </c>
      <c r="AI2690" t="s">
        <v>9</v>
      </c>
      <c r="AJ2690" t="s">
        <v>57</v>
      </c>
      <c r="AK2690" t="s">
        <v>1545</v>
      </c>
      <c r="AL2690" t="s">
        <v>1544</v>
      </c>
    </row>
    <row r="2691" spans="5:43" x14ac:dyDescent="0.25">
      <c r="I2691" t="str">
        <f t="shared" ref="I2691:I2754" si="223">IF(E2691="",I2690,E2691)</f>
        <v>svc</v>
      </c>
      <c r="J2691" t="str">
        <f t="shared" ref="J2691:J2754" si="224">IF(K2691="","",I2691&amp;K2691)</f>
        <v/>
      </c>
      <c r="L2691" t="str">
        <f t="shared" si="222"/>
        <v>NGM-2690 (MVS), NGH-2690 (AES)</v>
      </c>
      <c r="M2691" t="str">
        <f t="shared" si="222"/>
        <v>20030724 (MVS), 20031113 (AES)</v>
      </c>
      <c r="N2691" t="str">
        <f t="shared" si="222"/>
        <v>エス・エヌ・ケイ バーサス カプコン エスブイシー カオス</v>
      </c>
      <c r="O2691" t="str">
        <f t="shared" si="222"/>
        <v/>
      </c>
      <c r="P2691" t="str">
        <f t="shared" si="222"/>
        <v/>
      </c>
      <c r="T2691" t="str">
        <f t="shared" ref="T2691:T2754" si="225">IF(S2691="","",I2691&amp;S2691)</f>
        <v/>
      </c>
      <c r="V2691" t="str">
        <f t="shared" si="221"/>
        <v>MVS,AES</v>
      </c>
      <c r="W2691" t="str">
        <f t="shared" si="221"/>
        <v>MVS,AES</v>
      </c>
      <c r="AH2691" t="s">
        <v>1543</v>
      </c>
      <c r="AI2691" t="s">
        <v>57</v>
      </c>
      <c r="AJ2691" t="s">
        <v>57</v>
      </c>
      <c r="AK2691" t="s">
        <v>1542</v>
      </c>
      <c r="AL2691" t="s">
        <v>1541</v>
      </c>
    </row>
    <row r="2692" spans="5:43" x14ac:dyDescent="0.25">
      <c r="I2692" t="str">
        <f t="shared" si="223"/>
        <v>svc</v>
      </c>
      <c r="J2692" t="str">
        <f t="shared" si="224"/>
        <v/>
      </c>
      <c r="L2692" t="str">
        <f t="shared" si="222"/>
        <v>NGM-2690 (MVS), NGH-2690 (AES)</v>
      </c>
      <c r="M2692" t="str">
        <f t="shared" si="222"/>
        <v>20030724 (MVS), 20031113 (AES)</v>
      </c>
      <c r="N2692" t="str">
        <f t="shared" si="222"/>
        <v>エス・エヌ・ケイ バーサス カプコン エスブイシー カオス</v>
      </c>
      <c r="O2692" t="str">
        <f t="shared" si="222"/>
        <v/>
      </c>
      <c r="P2692" t="str">
        <f t="shared" si="222"/>
        <v/>
      </c>
      <c r="T2692" t="str">
        <f t="shared" si="225"/>
        <v/>
      </c>
      <c r="V2692" t="str">
        <f t="shared" si="221"/>
        <v>MVS,AES</v>
      </c>
      <c r="W2692" t="str">
        <f t="shared" si="221"/>
        <v>MVS,AES</v>
      </c>
      <c r="AB2692" t="s">
        <v>12</v>
      </c>
      <c r="AE2692" t="s">
        <v>175</v>
      </c>
      <c r="AG2692" t="s">
        <v>6</v>
      </c>
      <c r="AH2692" t="s">
        <v>1540</v>
      </c>
      <c r="AI2692" t="s">
        <v>9</v>
      </c>
      <c r="AJ2692" t="s">
        <v>57</v>
      </c>
      <c r="AK2692" t="s">
        <v>1539</v>
      </c>
      <c r="AL2692" t="s">
        <v>1538</v>
      </c>
    </row>
    <row r="2693" spans="5:43" x14ac:dyDescent="0.25">
      <c r="I2693" t="str">
        <f t="shared" si="223"/>
        <v>svc</v>
      </c>
      <c r="J2693" t="str">
        <f t="shared" si="224"/>
        <v/>
      </c>
      <c r="L2693" t="str">
        <f t="shared" si="222"/>
        <v>NGM-2690 (MVS), NGH-2690 (AES)</v>
      </c>
      <c r="M2693" t="str">
        <f t="shared" si="222"/>
        <v>20030724 (MVS), 20031113 (AES)</v>
      </c>
      <c r="N2693" t="str">
        <f t="shared" si="222"/>
        <v>エス・エヌ・ケイ バーサス カプコン エスブイシー カオス</v>
      </c>
      <c r="O2693" t="str">
        <f t="shared" si="222"/>
        <v/>
      </c>
      <c r="P2693" t="str">
        <f t="shared" si="222"/>
        <v/>
      </c>
      <c r="T2693" t="str">
        <f t="shared" si="225"/>
        <v/>
      </c>
      <c r="V2693" t="str">
        <f t="shared" si="221"/>
        <v>MVS,AES</v>
      </c>
      <c r="W2693" t="str">
        <f t="shared" si="221"/>
        <v>MVS,AES</v>
      </c>
      <c r="AG2693" t="s">
        <v>6</v>
      </c>
      <c r="AH2693" t="s">
        <v>1537</v>
      </c>
      <c r="AI2693" t="s">
        <v>4</v>
      </c>
      <c r="AJ2693" t="s">
        <v>57</v>
      </c>
      <c r="AK2693" t="s">
        <v>1536</v>
      </c>
      <c r="AL2693" t="s">
        <v>1535</v>
      </c>
    </row>
    <row r="2694" spans="5:43" x14ac:dyDescent="0.25">
      <c r="I2694" t="str">
        <f t="shared" si="223"/>
        <v>svc</v>
      </c>
      <c r="J2694" t="str">
        <f t="shared" si="224"/>
        <v/>
      </c>
      <c r="L2694" t="str">
        <f t="shared" si="222"/>
        <v>NGM-2690 (MVS), NGH-2690 (AES)</v>
      </c>
      <c r="M2694" t="str">
        <f t="shared" si="222"/>
        <v>20030724 (MVS), 20031113 (AES)</v>
      </c>
      <c r="N2694" t="str">
        <f t="shared" si="222"/>
        <v>エス・エヌ・ケイ バーサス カプコン エスブイシー カオス</v>
      </c>
      <c r="O2694" t="str">
        <f t="shared" si="222"/>
        <v/>
      </c>
      <c r="P2694" t="str">
        <f t="shared" si="222"/>
        <v/>
      </c>
      <c r="T2694" t="str">
        <f t="shared" si="225"/>
        <v/>
      </c>
      <c r="V2694" t="str">
        <f t="shared" si="221"/>
        <v>MVS,AES</v>
      </c>
      <c r="W2694" t="str">
        <f t="shared" si="221"/>
        <v>MVS,AES</v>
      </c>
      <c r="AG2694" t="s">
        <v>6</v>
      </c>
      <c r="AH2694" t="s">
        <v>1534</v>
      </c>
      <c r="AI2694" t="s">
        <v>65</v>
      </c>
      <c r="AJ2694" t="s">
        <v>57</v>
      </c>
      <c r="AK2694" t="s">
        <v>1533</v>
      </c>
      <c r="AL2694" t="s">
        <v>1532</v>
      </c>
    </row>
    <row r="2695" spans="5:43" x14ac:dyDescent="0.25">
      <c r="I2695" t="str">
        <f t="shared" si="223"/>
        <v>svc</v>
      </c>
      <c r="J2695" t="str">
        <f t="shared" si="224"/>
        <v/>
      </c>
      <c r="L2695" t="str">
        <f t="shared" si="222"/>
        <v>NGM-2690 (MVS), NGH-2690 (AES)</v>
      </c>
      <c r="M2695" t="str">
        <f t="shared" si="222"/>
        <v>20030724 (MVS), 20031113 (AES)</v>
      </c>
      <c r="N2695" t="str">
        <f t="shared" si="222"/>
        <v>エス・エヌ・ケイ バーサス カプコン エスブイシー カオス</v>
      </c>
      <c r="O2695" t="str">
        <f t="shared" si="222"/>
        <v/>
      </c>
      <c r="P2695" t="str">
        <f t="shared" si="222"/>
        <v/>
      </c>
      <c r="T2695" t="str">
        <f t="shared" si="225"/>
        <v/>
      </c>
      <c r="V2695" t="str">
        <f t="shared" si="221"/>
        <v>MVS,AES</v>
      </c>
      <c r="W2695" t="str">
        <f t="shared" si="221"/>
        <v>MVS,AES</v>
      </c>
      <c r="AG2695" t="s">
        <v>6</v>
      </c>
      <c r="AH2695" t="s">
        <v>1531</v>
      </c>
      <c r="AI2695" t="s">
        <v>164</v>
      </c>
      <c r="AJ2695" t="s">
        <v>57</v>
      </c>
      <c r="AK2695" t="s">
        <v>1530</v>
      </c>
      <c r="AL2695" t="s">
        <v>1529</v>
      </c>
    </row>
    <row r="2696" spans="5:43" x14ac:dyDescent="0.25">
      <c r="I2696" t="str">
        <f t="shared" si="223"/>
        <v>svc</v>
      </c>
      <c r="J2696" t="str">
        <f t="shared" si="224"/>
        <v/>
      </c>
      <c r="L2696" t="str">
        <f t="shared" si="222"/>
        <v>NGM-2690 (MVS), NGH-2690 (AES)</v>
      </c>
      <c r="M2696" t="str">
        <f t="shared" si="222"/>
        <v>20030724 (MVS), 20031113 (AES)</v>
      </c>
      <c r="N2696" t="str">
        <f t="shared" si="222"/>
        <v>エス・エヌ・ケイ バーサス カプコン エスブイシー カオス</v>
      </c>
      <c r="O2696" t="str">
        <f t="shared" si="222"/>
        <v/>
      </c>
      <c r="P2696" t="str">
        <f t="shared" si="222"/>
        <v/>
      </c>
      <c r="T2696" t="str">
        <f t="shared" si="225"/>
        <v/>
      </c>
      <c r="V2696" t="str">
        <f t="shared" si="221"/>
        <v>MVS,AES</v>
      </c>
      <c r="W2696" t="str">
        <f t="shared" si="221"/>
        <v>MVS,AES</v>
      </c>
      <c r="AG2696" t="s">
        <v>6</v>
      </c>
      <c r="AH2696" t="s">
        <v>1528</v>
      </c>
      <c r="AI2696" t="s">
        <v>160</v>
      </c>
      <c r="AJ2696" t="s">
        <v>57</v>
      </c>
      <c r="AK2696" t="s">
        <v>1527</v>
      </c>
      <c r="AL2696" t="s">
        <v>1526</v>
      </c>
    </row>
    <row r="2697" spans="5:43" x14ac:dyDescent="0.25">
      <c r="I2697" t="str">
        <f t="shared" si="223"/>
        <v>svc</v>
      </c>
      <c r="J2697" t="str">
        <f t="shared" si="224"/>
        <v/>
      </c>
      <c r="L2697" t="str">
        <f t="shared" si="222"/>
        <v>NGM-2690 (MVS), NGH-2690 (AES)</v>
      </c>
      <c r="M2697" t="str">
        <f t="shared" si="222"/>
        <v>20030724 (MVS), 20031113 (AES)</v>
      </c>
      <c r="N2697" t="str">
        <f t="shared" si="222"/>
        <v>エス・エヌ・ケイ バーサス カプコン エスブイシー カオス</v>
      </c>
      <c r="O2697" t="str">
        <f t="shared" si="222"/>
        <v/>
      </c>
      <c r="P2697" t="str">
        <f t="shared" si="222"/>
        <v/>
      </c>
      <c r="T2697" t="str">
        <f t="shared" si="225"/>
        <v/>
      </c>
      <c r="V2697" t="str">
        <f t="shared" si="221"/>
        <v>MVS,AES</v>
      </c>
      <c r="W2697" t="str">
        <f t="shared" si="221"/>
        <v>MVS,AES</v>
      </c>
      <c r="AG2697" t="s">
        <v>6</v>
      </c>
      <c r="AH2697" t="s">
        <v>1525</v>
      </c>
      <c r="AI2697" t="s">
        <v>156</v>
      </c>
      <c r="AJ2697" t="s">
        <v>57</v>
      </c>
      <c r="AK2697" t="s">
        <v>1524</v>
      </c>
      <c r="AL2697" t="s">
        <v>1523</v>
      </c>
    </row>
    <row r="2698" spans="5:43" x14ac:dyDescent="0.25">
      <c r="I2698" t="str">
        <f t="shared" si="223"/>
        <v>svc</v>
      </c>
      <c r="J2698" t="str">
        <f t="shared" si="224"/>
        <v/>
      </c>
      <c r="L2698" t="str">
        <f t="shared" si="222"/>
        <v>NGM-2690 (MVS), NGH-2690 (AES)</v>
      </c>
      <c r="M2698" t="str">
        <f t="shared" si="222"/>
        <v>20030724 (MVS), 20031113 (AES)</v>
      </c>
      <c r="N2698" t="str">
        <f t="shared" si="222"/>
        <v>エス・エヌ・ケイ バーサス カプコン エスブイシー カオス</v>
      </c>
      <c r="O2698" t="str">
        <f t="shared" si="222"/>
        <v/>
      </c>
      <c r="P2698" t="str">
        <f t="shared" si="222"/>
        <v/>
      </c>
      <c r="T2698" t="str">
        <f t="shared" si="225"/>
        <v/>
      </c>
      <c r="V2698" t="str">
        <f t="shared" si="221"/>
        <v>MVS,AES</v>
      </c>
      <c r="W2698" t="str">
        <f t="shared" si="221"/>
        <v>MVS,AES</v>
      </c>
      <c r="AG2698" t="s">
        <v>6</v>
      </c>
      <c r="AH2698" t="s">
        <v>1522</v>
      </c>
      <c r="AI2698" t="s">
        <v>152</v>
      </c>
      <c r="AJ2698" t="s">
        <v>57</v>
      </c>
      <c r="AK2698" t="s">
        <v>1521</v>
      </c>
      <c r="AL2698" t="s">
        <v>1520</v>
      </c>
    </row>
    <row r="2699" spans="5:43" x14ac:dyDescent="0.25">
      <c r="I2699" t="str">
        <f t="shared" si="223"/>
        <v>svc</v>
      </c>
      <c r="J2699" t="str">
        <f t="shared" si="224"/>
        <v/>
      </c>
      <c r="L2699" t="str">
        <f t="shared" si="222"/>
        <v>NGM-2690 (MVS), NGH-2690 (AES)</v>
      </c>
      <c r="M2699" t="str">
        <f t="shared" si="222"/>
        <v>20030724 (MVS), 20031113 (AES)</v>
      </c>
      <c r="N2699" t="str">
        <f t="shared" si="222"/>
        <v>エス・エヌ・ケイ バーサス カプコン エスブイシー カオス</v>
      </c>
      <c r="O2699" t="str">
        <f t="shared" si="222"/>
        <v/>
      </c>
      <c r="P2699" t="str">
        <f t="shared" si="222"/>
        <v/>
      </c>
      <c r="T2699" t="str">
        <f t="shared" si="225"/>
        <v/>
      </c>
      <c r="V2699" t="str">
        <f t="shared" si="221"/>
        <v>MVS,AES</v>
      </c>
      <c r="W2699" t="str">
        <f t="shared" si="221"/>
        <v>MVS,AES</v>
      </c>
      <c r="AG2699" t="s">
        <v>6</v>
      </c>
      <c r="AH2699" t="s">
        <v>1519</v>
      </c>
      <c r="AI2699" t="s">
        <v>148</v>
      </c>
      <c r="AJ2699" t="s">
        <v>57</v>
      </c>
      <c r="AK2699" t="s">
        <v>1518</v>
      </c>
      <c r="AL2699" t="s">
        <v>1517</v>
      </c>
    </row>
    <row r="2700" spans="5:43" x14ac:dyDescent="0.25">
      <c r="E2700" t="s">
        <v>270</v>
      </c>
      <c r="F2700" t="s">
        <v>1516</v>
      </c>
      <c r="G2700" t="s">
        <v>195</v>
      </c>
      <c r="H2700" t="s">
        <v>1374</v>
      </c>
      <c r="I2700" t="str">
        <f t="shared" si="223"/>
        <v>samsho5</v>
      </c>
      <c r="J2700" t="str">
        <f t="shared" si="224"/>
        <v>samsho5serial</v>
      </c>
      <c r="K2700" t="s">
        <v>1373</v>
      </c>
      <c r="L2700" t="str">
        <f t="shared" si="222"/>
        <v>NGM-2700</v>
      </c>
      <c r="M2700" t="str">
        <f t="shared" si="222"/>
        <v>20031010</v>
      </c>
      <c r="N2700" t="str">
        <f t="shared" si="222"/>
        <v>サムライスピリッツ 零</v>
      </c>
      <c r="O2700" t="str">
        <f t="shared" si="222"/>
        <v>AES menus have incorrect graphics</v>
      </c>
      <c r="P2700" t="str">
        <f t="shared" si="222"/>
        <v/>
      </c>
      <c r="Q2700" t="s">
        <v>1507</v>
      </c>
      <c r="S2700" t="s">
        <v>46</v>
      </c>
      <c r="T2700" t="str">
        <f t="shared" si="225"/>
        <v>samsho5release</v>
      </c>
      <c r="U2700" t="s">
        <v>106</v>
      </c>
      <c r="V2700" t="str">
        <f t="shared" si="221"/>
        <v>MVS</v>
      </c>
      <c r="W2700" t="str">
        <f t="shared" si="221"/>
        <v>MVS</v>
      </c>
      <c r="Y2700" t="s">
        <v>45</v>
      </c>
      <c r="Z2700" t="s">
        <v>44</v>
      </c>
      <c r="AB2700" t="s">
        <v>43</v>
      </c>
      <c r="AC2700" t="s">
        <v>42</v>
      </c>
      <c r="AD2700" t="s">
        <v>41</v>
      </c>
      <c r="AE2700" t="s">
        <v>57</v>
      </c>
      <c r="AG2700" t="s">
        <v>40</v>
      </c>
      <c r="AH2700" t="s">
        <v>1515</v>
      </c>
      <c r="AI2700" t="s">
        <v>9</v>
      </c>
      <c r="AJ2700" t="s">
        <v>11</v>
      </c>
      <c r="AK2700" t="s">
        <v>1514</v>
      </c>
      <c r="AL2700" t="s">
        <v>1513</v>
      </c>
      <c r="AP2700" t="s">
        <v>138</v>
      </c>
      <c r="AQ2700" t="s">
        <v>1493</v>
      </c>
    </row>
    <row r="2701" spans="5:43" x14ac:dyDescent="0.25">
      <c r="I2701" t="str">
        <f t="shared" si="223"/>
        <v>samsho5</v>
      </c>
      <c r="J2701" t="str">
        <f t="shared" si="224"/>
        <v>samsho5release</v>
      </c>
      <c r="K2701" t="s">
        <v>46</v>
      </c>
      <c r="L2701" t="str">
        <f t="shared" si="222"/>
        <v>NGM-2700</v>
      </c>
      <c r="M2701" t="str">
        <f t="shared" si="222"/>
        <v>20031010</v>
      </c>
      <c r="N2701" t="str">
        <f t="shared" si="222"/>
        <v>サムライスピリッツ 零</v>
      </c>
      <c r="O2701" t="str">
        <f t="shared" si="222"/>
        <v>AES menus have incorrect graphics</v>
      </c>
      <c r="P2701" t="str">
        <f t="shared" si="222"/>
        <v/>
      </c>
      <c r="Q2701" t="s">
        <v>1503</v>
      </c>
      <c r="T2701" t="str">
        <f t="shared" si="225"/>
        <v/>
      </c>
      <c r="V2701" t="str">
        <f t="shared" si="221"/>
        <v>MVS</v>
      </c>
      <c r="W2701" t="str">
        <f t="shared" si="221"/>
        <v>MVS</v>
      </c>
      <c r="AG2701" t="s">
        <v>40</v>
      </c>
      <c r="AH2701" t="s">
        <v>1512</v>
      </c>
      <c r="AI2701" t="s">
        <v>11</v>
      </c>
      <c r="AJ2701" t="s">
        <v>11</v>
      </c>
      <c r="AK2701" t="s">
        <v>1511</v>
      </c>
      <c r="AL2701" t="s">
        <v>1510</v>
      </c>
    </row>
    <row r="2702" spans="5:43" x14ac:dyDescent="0.25">
      <c r="I2702" t="str">
        <f t="shared" si="223"/>
        <v>samsho5</v>
      </c>
      <c r="J2702" t="str">
        <f t="shared" si="224"/>
        <v>samsho5alt_title</v>
      </c>
      <c r="K2702" t="s">
        <v>1218</v>
      </c>
      <c r="L2702" t="str">
        <f t="shared" si="222"/>
        <v>NGM-2700</v>
      </c>
      <c r="M2702" t="str">
        <f t="shared" si="222"/>
        <v>20031010</v>
      </c>
      <c r="N2702" t="str">
        <f t="shared" si="222"/>
        <v>サムライスピリッツ 零</v>
      </c>
      <c r="O2702" t="str">
        <f t="shared" si="222"/>
        <v>AES menus have incorrect graphics</v>
      </c>
      <c r="P2702" t="str">
        <f t="shared" si="222"/>
        <v/>
      </c>
      <c r="Q2702" t="s">
        <v>1488</v>
      </c>
      <c r="T2702" t="str">
        <f t="shared" si="225"/>
        <v/>
      </c>
      <c r="V2702" t="str">
        <f t="shared" si="221"/>
        <v>MVS</v>
      </c>
      <c r="W2702" t="str">
        <f t="shared" si="221"/>
        <v>MVS</v>
      </c>
      <c r="AB2702" t="s">
        <v>34</v>
      </c>
      <c r="AE2702" t="s">
        <v>135</v>
      </c>
      <c r="AG2702" t="s">
        <v>538</v>
      </c>
      <c r="AI2702" t="s">
        <v>9</v>
      </c>
      <c r="AJ2702" t="s">
        <v>135</v>
      </c>
      <c r="AN2702" t="s">
        <v>537</v>
      </c>
    </row>
    <row r="2703" spans="5:43" x14ac:dyDescent="0.25">
      <c r="I2703" t="str">
        <f t="shared" si="223"/>
        <v>samsho5</v>
      </c>
      <c r="J2703" t="str">
        <f t="shared" si="224"/>
        <v>samsho5compat_note</v>
      </c>
      <c r="K2703" t="s">
        <v>111</v>
      </c>
      <c r="L2703" t="str">
        <f t="shared" si="222"/>
        <v>NGM-2700</v>
      </c>
      <c r="M2703" t="str">
        <f t="shared" si="222"/>
        <v>20031010</v>
      </c>
      <c r="N2703" t="str">
        <f t="shared" si="222"/>
        <v>サムライスピリッツ 零</v>
      </c>
      <c r="O2703" t="str">
        <f t="shared" si="222"/>
        <v>AES menus have incorrect graphics</v>
      </c>
      <c r="P2703" t="str">
        <f t="shared" si="222"/>
        <v/>
      </c>
      <c r="Q2703" t="s">
        <v>1012</v>
      </c>
      <c r="T2703" t="str">
        <f t="shared" si="225"/>
        <v/>
      </c>
      <c r="V2703" t="str">
        <f t="shared" si="221"/>
        <v>MVS</v>
      </c>
      <c r="W2703" t="str">
        <f t="shared" si="221"/>
        <v>MVS</v>
      </c>
      <c r="AB2703" t="s">
        <v>482</v>
      </c>
      <c r="AE2703" t="s">
        <v>480</v>
      </c>
      <c r="AH2703" t="s">
        <v>1487</v>
      </c>
      <c r="AI2703" t="s">
        <v>314</v>
      </c>
      <c r="AJ2703" t="s">
        <v>480</v>
      </c>
      <c r="AK2703" t="s">
        <v>1486</v>
      </c>
      <c r="AL2703" t="s">
        <v>1485</v>
      </c>
    </row>
    <row r="2704" spans="5:43" x14ac:dyDescent="0.25">
      <c r="I2704" t="str">
        <f t="shared" si="223"/>
        <v>samsho5</v>
      </c>
      <c r="J2704" t="str">
        <f t="shared" si="224"/>
        <v/>
      </c>
      <c r="L2704" t="str">
        <f t="shared" si="222"/>
        <v>NGM-2700</v>
      </c>
      <c r="M2704" t="str">
        <f t="shared" si="222"/>
        <v>20031010</v>
      </c>
      <c r="N2704" t="str">
        <f t="shared" si="222"/>
        <v>サムライスピリッツ 零</v>
      </c>
      <c r="O2704" t="str">
        <f t="shared" si="222"/>
        <v>AES menus have incorrect graphics</v>
      </c>
      <c r="P2704" t="str">
        <f t="shared" si="222"/>
        <v/>
      </c>
      <c r="S2704" t="s">
        <v>36</v>
      </c>
      <c r="T2704" t="str">
        <f t="shared" si="225"/>
        <v>samsho5compatibility</v>
      </c>
      <c r="U2704" t="s">
        <v>106</v>
      </c>
      <c r="V2704" t="str">
        <f t="shared" si="221"/>
        <v>MVS</v>
      </c>
      <c r="W2704" t="str">
        <f t="shared" si="221"/>
        <v>MVS</v>
      </c>
      <c r="AB2704" t="s">
        <v>24</v>
      </c>
      <c r="AE2704" t="s">
        <v>65</v>
      </c>
      <c r="AH2704" t="s">
        <v>1484</v>
      </c>
      <c r="AI2704" t="s">
        <v>9</v>
      </c>
      <c r="AJ2704" t="s">
        <v>57</v>
      </c>
      <c r="AK2704" t="s">
        <v>1483</v>
      </c>
      <c r="AL2704" t="s">
        <v>1482</v>
      </c>
    </row>
    <row r="2705" spans="5:44" x14ac:dyDescent="0.25">
      <c r="I2705" t="str">
        <f t="shared" si="223"/>
        <v>samsho5</v>
      </c>
      <c r="J2705" t="str">
        <f t="shared" si="224"/>
        <v/>
      </c>
      <c r="L2705" t="str">
        <f t="shared" si="222"/>
        <v>NGM-2700</v>
      </c>
      <c r="M2705" t="str">
        <f t="shared" si="222"/>
        <v>20031010</v>
      </c>
      <c r="N2705" t="str">
        <f t="shared" si="222"/>
        <v>サムライスピリッツ 零</v>
      </c>
      <c r="O2705" t="str">
        <f t="shared" si="222"/>
        <v>AES menus have incorrect graphics</v>
      </c>
      <c r="P2705" t="str">
        <f t="shared" si="222"/>
        <v/>
      </c>
      <c r="T2705" t="str">
        <f t="shared" si="225"/>
        <v/>
      </c>
      <c r="V2705" t="str">
        <f t="shared" si="221"/>
        <v>MVS</v>
      </c>
      <c r="W2705" t="str">
        <f t="shared" si="221"/>
        <v>MVS</v>
      </c>
      <c r="AH2705" t="s">
        <v>1481</v>
      </c>
      <c r="AI2705" t="s">
        <v>57</v>
      </c>
      <c r="AJ2705" t="s">
        <v>57</v>
      </c>
      <c r="AK2705" t="s">
        <v>1480</v>
      </c>
      <c r="AL2705" t="s">
        <v>1479</v>
      </c>
    </row>
    <row r="2706" spans="5:44" x14ac:dyDescent="0.25">
      <c r="I2706" t="str">
        <f t="shared" si="223"/>
        <v>samsho5</v>
      </c>
      <c r="J2706" t="str">
        <f t="shared" si="224"/>
        <v/>
      </c>
      <c r="L2706" t="str">
        <f t="shared" si="222"/>
        <v>NGM-2700</v>
      </c>
      <c r="M2706" t="str">
        <f t="shared" si="222"/>
        <v>20031010</v>
      </c>
      <c r="N2706" t="str">
        <f t="shared" si="222"/>
        <v>サムライスピリッツ 零</v>
      </c>
      <c r="O2706" t="str">
        <f t="shared" si="222"/>
        <v>AES menus have incorrect graphics</v>
      </c>
      <c r="P2706" t="str">
        <f t="shared" si="222"/>
        <v/>
      </c>
      <c r="T2706" t="str">
        <f t="shared" si="225"/>
        <v/>
      </c>
      <c r="V2706" t="str">
        <f t="shared" si="221"/>
        <v>MVS</v>
      </c>
      <c r="W2706" t="str">
        <f t="shared" si="221"/>
        <v>MVS</v>
      </c>
      <c r="AB2706" t="s">
        <v>12</v>
      </c>
      <c r="AE2706" t="s">
        <v>175</v>
      </c>
      <c r="AG2706" t="s">
        <v>6</v>
      </c>
      <c r="AH2706" t="s">
        <v>1478</v>
      </c>
      <c r="AI2706" t="s">
        <v>9</v>
      </c>
      <c r="AJ2706" t="s">
        <v>57</v>
      </c>
      <c r="AK2706" t="s">
        <v>1477</v>
      </c>
      <c r="AL2706" t="s">
        <v>1476</v>
      </c>
    </row>
    <row r="2707" spans="5:44" x14ac:dyDescent="0.25">
      <c r="I2707" t="str">
        <f t="shared" si="223"/>
        <v>samsho5</v>
      </c>
      <c r="J2707" t="str">
        <f t="shared" si="224"/>
        <v/>
      </c>
      <c r="L2707" t="str">
        <f t="shared" si="222"/>
        <v>NGM-2700</v>
      </c>
      <c r="M2707" t="str">
        <f t="shared" si="222"/>
        <v>20031010</v>
      </c>
      <c r="N2707" t="str">
        <f t="shared" si="222"/>
        <v>サムライスピリッツ 零</v>
      </c>
      <c r="O2707" t="str">
        <f t="shared" si="222"/>
        <v>AES menus have incorrect graphics</v>
      </c>
      <c r="P2707" t="str">
        <f t="shared" si="222"/>
        <v/>
      </c>
      <c r="T2707" t="str">
        <f t="shared" si="225"/>
        <v/>
      </c>
      <c r="V2707" t="str">
        <f t="shared" si="221"/>
        <v>MVS</v>
      </c>
      <c r="W2707" t="str">
        <f t="shared" si="221"/>
        <v>MVS</v>
      </c>
      <c r="AG2707" t="s">
        <v>6</v>
      </c>
      <c r="AH2707" t="s">
        <v>1475</v>
      </c>
      <c r="AI2707" t="s">
        <v>4</v>
      </c>
      <c r="AJ2707" t="s">
        <v>57</v>
      </c>
      <c r="AK2707" t="s">
        <v>1474</v>
      </c>
      <c r="AL2707" t="s">
        <v>1473</v>
      </c>
    </row>
    <row r="2708" spans="5:44" x14ac:dyDescent="0.25">
      <c r="I2708" t="str">
        <f t="shared" si="223"/>
        <v>samsho5</v>
      </c>
      <c r="J2708" t="str">
        <f t="shared" si="224"/>
        <v/>
      </c>
      <c r="L2708" t="str">
        <f t="shared" si="222"/>
        <v>NGM-2700</v>
      </c>
      <c r="M2708" t="str">
        <f t="shared" si="222"/>
        <v>20031010</v>
      </c>
      <c r="N2708" t="str">
        <f t="shared" si="222"/>
        <v>サムライスピリッツ 零</v>
      </c>
      <c r="O2708" t="str">
        <f t="shared" si="222"/>
        <v>AES menus have incorrect graphics</v>
      </c>
      <c r="P2708" t="str">
        <f t="shared" si="222"/>
        <v/>
      </c>
      <c r="T2708" t="str">
        <f t="shared" si="225"/>
        <v/>
      </c>
      <c r="V2708" t="str">
        <f t="shared" si="221"/>
        <v>MVS</v>
      </c>
      <c r="W2708" t="str">
        <f t="shared" si="221"/>
        <v>MVS</v>
      </c>
      <c r="AG2708" t="s">
        <v>6</v>
      </c>
      <c r="AH2708" t="s">
        <v>1472</v>
      </c>
      <c r="AI2708" t="s">
        <v>65</v>
      </c>
      <c r="AJ2708" t="s">
        <v>57</v>
      </c>
      <c r="AK2708" t="s">
        <v>1471</v>
      </c>
      <c r="AL2708" t="s">
        <v>1470</v>
      </c>
    </row>
    <row r="2709" spans="5:44" x14ac:dyDescent="0.25">
      <c r="I2709" t="str">
        <f t="shared" si="223"/>
        <v>samsho5</v>
      </c>
      <c r="J2709" t="str">
        <f t="shared" si="224"/>
        <v/>
      </c>
      <c r="L2709" t="str">
        <f t="shared" si="222"/>
        <v>NGM-2700</v>
      </c>
      <c r="M2709" t="str">
        <f t="shared" si="222"/>
        <v>20031010</v>
      </c>
      <c r="N2709" t="str">
        <f t="shared" si="222"/>
        <v>サムライスピリッツ 零</v>
      </c>
      <c r="O2709" t="str">
        <f t="shared" si="222"/>
        <v>AES menus have incorrect graphics</v>
      </c>
      <c r="P2709" t="str">
        <f t="shared" si="222"/>
        <v/>
      </c>
      <c r="T2709" t="str">
        <f t="shared" si="225"/>
        <v/>
      </c>
      <c r="V2709" t="str">
        <f t="shared" si="221"/>
        <v>MVS</v>
      </c>
      <c r="W2709" t="str">
        <f t="shared" si="221"/>
        <v>MVS</v>
      </c>
      <c r="AG2709" t="s">
        <v>6</v>
      </c>
      <c r="AH2709" t="s">
        <v>1469</v>
      </c>
      <c r="AI2709" t="s">
        <v>164</v>
      </c>
      <c r="AJ2709" t="s">
        <v>57</v>
      </c>
      <c r="AK2709" t="s">
        <v>1468</v>
      </c>
      <c r="AL2709" t="s">
        <v>1467</v>
      </c>
    </row>
    <row r="2710" spans="5:44" x14ac:dyDescent="0.25">
      <c r="I2710" t="str">
        <f t="shared" si="223"/>
        <v>samsho5</v>
      </c>
      <c r="J2710" t="str">
        <f t="shared" si="224"/>
        <v/>
      </c>
      <c r="L2710" t="str">
        <f t="shared" si="222"/>
        <v>NGM-2700</v>
      </c>
      <c r="M2710" t="str">
        <f t="shared" si="222"/>
        <v>20031010</v>
      </c>
      <c r="N2710" t="str">
        <f t="shared" si="222"/>
        <v>サムライスピリッツ 零</v>
      </c>
      <c r="O2710" t="str">
        <f t="shared" si="222"/>
        <v>AES menus have incorrect graphics</v>
      </c>
      <c r="P2710" t="str">
        <f t="shared" si="222"/>
        <v/>
      </c>
      <c r="T2710" t="str">
        <f t="shared" si="225"/>
        <v/>
      </c>
      <c r="V2710" t="str">
        <f t="shared" si="221"/>
        <v>MVS</v>
      </c>
      <c r="W2710" t="str">
        <f t="shared" si="221"/>
        <v>MVS</v>
      </c>
      <c r="AG2710" t="s">
        <v>6</v>
      </c>
      <c r="AH2710" t="s">
        <v>1466</v>
      </c>
      <c r="AI2710" t="s">
        <v>160</v>
      </c>
      <c r="AJ2710" t="s">
        <v>57</v>
      </c>
      <c r="AK2710" t="s">
        <v>1465</v>
      </c>
      <c r="AL2710" t="s">
        <v>1464</v>
      </c>
    </row>
    <row r="2711" spans="5:44" x14ac:dyDescent="0.25">
      <c r="I2711" t="str">
        <f t="shared" si="223"/>
        <v>samsho5</v>
      </c>
      <c r="J2711" t="str">
        <f t="shared" si="224"/>
        <v/>
      </c>
      <c r="L2711" t="str">
        <f t="shared" si="222"/>
        <v>NGM-2700</v>
      </c>
      <c r="M2711" t="str">
        <f t="shared" si="222"/>
        <v>20031010</v>
      </c>
      <c r="N2711" t="str">
        <f t="shared" si="222"/>
        <v>サムライスピリッツ 零</v>
      </c>
      <c r="O2711" t="str">
        <f t="shared" si="222"/>
        <v>AES menus have incorrect graphics</v>
      </c>
      <c r="P2711" t="str">
        <f t="shared" si="222"/>
        <v/>
      </c>
      <c r="T2711" t="str">
        <f t="shared" si="225"/>
        <v/>
      </c>
      <c r="V2711" t="str">
        <f t="shared" ref="V2711:W2774" si="226">IFERROR(VLOOKUP($I2711&amp;V$1,$T:$AA,2,0),"")</f>
        <v>MVS</v>
      </c>
      <c r="W2711" t="str">
        <f t="shared" si="226"/>
        <v>MVS</v>
      </c>
      <c r="AG2711" t="s">
        <v>6</v>
      </c>
      <c r="AH2711" t="s">
        <v>1463</v>
      </c>
      <c r="AI2711" t="s">
        <v>156</v>
      </c>
      <c r="AJ2711" t="s">
        <v>57</v>
      </c>
      <c r="AK2711" t="s">
        <v>1462</v>
      </c>
      <c r="AL2711" t="s">
        <v>1461</v>
      </c>
    </row>
    <row r="2712" spans="5:44" x14ac:dyDescent="0.25">
      <c r="I2712" t="str">
        <f t="shared" si="223"/>
        <v>samsho5</v>
      </c>
      <c r="J2712" t="str">
        <f t="shared" si="224"/>
        <v/>
      </c>
      <c r="L2712" t="str">
        <f t="shared" si="222"/>
        <v>NGM-2700</v>
      </c>
      <c r="M2712" t="str">
        <f t="shared" si="222"/>
        <v>20031010</v>
      </c>
      <c r="N2712" t="str">
        <f t="shared" si="222"/>
        <v>サムライスピリッツ 零</v>
      </c>
      <c r="O2712" t="str">
        <f t="shared" si="222"/>
        <v>AES menus have incorrect graphics</v>
      </c>
      <c r="P2712" t="str">
        <f t="shared" si="222"/>
        <v/>
      </c>
      <c r="T2712" t="str">
        <f t="shared" si="225"/>
        <v/>
      </c>
      <c r="V2712" t="str">
        <f t="shared" si="226"/>
        <v>MVS</v>
      </c>
      <c r="W2712" t="str">
        <f t="shared" si="226"/>
        <v>MVS</v>
      </c>
      <c r="AG2712" t="s">
        <v>6</v>
      </c>
      <c r="AH2712" t="s">
        <v>1460</v>
      </c>
      <c r="AI2712" t="s">
        <v>152</v>
      </c>
      <c r="AJ2712" t="s">
        <v>57</v>
      </c>
      <c r="AK2712" t="s">
        <v>1459</v>
      </c>
      <c r="AL2712" t="s">
        <v>1458</v>
      </c>
    </row>
    <row r="2713" spans="5:44" x14ac:dyDescent="0.25">
      <c r="I2713" t="str">
        <f t="shared" si="223"/>
        <v>samsho5</v>
      </c>
      <c r="J2713" t="str">
        <f t="shared" si="224"/>
        <v/>
      </c>
      <c r="L2713" t="str">
        <f t="shared" si="222"/>
        <v>NGM-2700</v>
      </c>
      <c r="M2713" t="str">
        <f t="shared" si="222"/>
        <v>20031010</v>
      </c>
      <c r="N2713" t="str">
        <f t="shared" si="222"/>
        <v>サムライスピリッツ 零</v>
      </c>
      <c r="O2713" t="str">
        <f t="shared" si="222"/>
        <v>AES menus have incorrect graphics</v>
      </c>
      <c r="P2713" t="str">
        <f t="shared" si="222"/>
        <v/>
      </c>
      <c r="T2713" t="str">
        <f t="shared" si="225"/>
        <v/>
      </c>
      <c r="V2713" t="str">
        <f t="shared" si="226"/>
        <v>MVS</v>
      </c>
      <c r="W2713" t="str">
        <f t="shared" si="226"/>
        <v>MVS</v>
      </c>
      <c r="AG2713" t="s">
        <v>6</v>
      </c>
      <c r="AH2713" t="s">
        <v>1457</v>
      </c>
      <c r="AI2713" t="s">
        <v>148</v>
      </c>
      <c r="AJ2713" t="s">
        <v>57</v>
      </c>
      <c r="AK2713" t="s">
        <v>1456</v>
      </c>
      <c r="AL2713" t="s">
        <v>1455</v>
      </c>
    </row>
    <row r="2714" spans="5:44" x14ac:dyDescent="0.25">
      <c r="E2714" t="s">
        <v>1509</v>
      </c>
      <c r="F2714" t="s">
        <v>1508</v>
      </c>
      <c r="G2714" t="s">
        <v>195</v>
      </c>
      <c r="H2714" t="s">
        <v>1374</v>
      </c>
      <c r="I2714" t="str">
        <f t="shared" si="223"/>
        <v>samsho5a</v>
      </c>
      <c r="J2714" t="str">
        <f t="shared" si="224"/>
        <v>samsho5aserial</v>
      </c>
      <c r="K2714" t="s">
        <v>1373</v>
      </c>
      <c r="L2714" t="str">
        <f t="shared" si="222"/>
        <v>NGM-2700</v>
      </c>
      <c r="M2714" t="str">
        <f t="shared" si="222"/>
        <v>20031010</v>
      </c>
      <c r="N2714" t="str">
        <f t="shared" si="222"/>
        <v>サムライスピリッツ 零</v>
      </c>
      <c r="O2714" t="str">
        <f t="shared" si="222"/>
        <v/>
      </c>
      <c r="P2714" t="str">
        <f t="shared" si="222"/>
        <v/>
      </c>
      <c r="Q2714" t="s">
        <v>1507</v>
      </c>
      <c r="S2714" t="s">
        <v>46</v>
      </c>
      <c r="T2714" t="str">
        <f t="shared" si="225"/>
        <v>samsho5arelease</v>
      </c>
      <c r="U2714" t="s">
        <v>106</v>
      </c>
      <c r="V2714" t="str">
        <f t="shared" si="226"/>
        <v>MVS</v>
      </c>
      <c r="W2714" t="str">
        <f t="shared" si="226"/>
        <v>MVS</v>
      </c>
      <c r="Y2714" t="s">
        <v>45</v>
      </c>
      <c r="Z2714" t="s">
        <v>44</v>
      </c>
      <c r="AB2714" t="s">
        <v>43</v>
      </c>
      <c r="AC2714" t="s">
        <v>42</v>
      </c>
      <c r="AD2714" t="s">
        <v>41</v>
      </c>
      <c r="AE2714" t="s">
        <v>57</v>
      </c>
      <c r="AG2714" t="s">
        <v>40</v>
      </c>
      <c r="AH2714" t="s">
        <v>1506</v>
      </c>
      <c r="AI2714" t="s">
        <v>9</v>
      </c>
      <c r="AJ2714" t="s">
        <v>11</v>
      </c>
      <c r="AK2714" t="s">
        <v>1505</v>
      </c>
      <c r="AL2714" t="s">
        <v>1504</v>
      </c>
      <c r="AP2714" t="s">
        <v>138</v>
      </c>
      <c r="AQ2714" t="s">
        <v>1493</v>
      </c>
      <c r="AR2714" t="s">
        <v>270</v>
      </c>
    </row>
    <row r="2715" spans="5:44" x14ac:dyDescent="0.25">
      <c r="I2715" t="str">
        <f t="shared" si="223"/>
        <v>samsho5a</v>
      </c>
      <c r="J2715" t="str">
        <f t="shared" si="224"/>
        <v>samsho5arelease</v>
      </c>
      <c r="K2715" t="s">
        <v>46</v>
      </c>
      <c r="L2715" t="str">
        <f t="shared" si="222"/>
        <v>NGM-2700</v>
      </c>
      <c r="M2715" t="str">
        <f t="shared" si="222"/>
        <v>20031010</v>
      </c>
      <c r="N2715" t="str">
        <f t="shared" si="222"/>
        <v>サムライスピリッツ 零</v>
      </c>
      <c r="O2715" t="str">
        <f t="shared" si="222"/>
        <v/>
      </c>
      <c r="P2715" t="str">
        <f t="shared" si="222"/>
        <v/>
      </c>
      <c r="Q2715" t="s">
        <v>1503</v>
      </c>
      <c r="T2715" t="str">
        <f t="shared" si="225"/>
        <v/>
      </c>
      <c r="V2715" t="str">
        <f t="shared" si="226"/>
        <v>MVS</v>
      </c>
      <c r="W2715" t="str">
        <f t="shared" si="226"/>
        <v>MVS</v>
      </c>
      <c r="AG2715" t="s">
        <v>40</v>
      </c>
      <c r="AH2715" t="s">
        <v>1502</v>
      </c>
      <c r="AI2715" t="s">
        <v>11</v>
      </c>
      <c r="AJ2715" t="s">
        <v>11</v>
      </c>
      <c r="AK2715" t="s">
        <v>1501</v>
      </c>
      <c r="AL2715" t="s">
        <v>1500</v>
      </c>
    </row>
    <row r="2716" spans="5:44" x14ac:dyDescent="0.25">
      <c r="I2716" t="str">
        <f t="shared" si="223"/>
        <v>samsho5a</v>
      </c>
      <c r="J2716" t="str">
        <f t="shared" si="224"/>
        <v>samsho5aalt_title</v>
      </c>
      <c r="K2716" t="s">
        <v>1218</v>
      </c>
      <c r="L2716" t="str">
        <f t="shared" si="222"/>
        <v>NGM-2700</v>
      </c>
      <c r="M2716" t="str">
        <f t="shared" si="222"/>
        <v>20031010</v>
      </c>
      <c r="N2716" t="str">
        <f t="shared" si="222"/>
        <v>サムライスピリッツ 零</v>
      </c>
      <c r="O2716" t="str">
        <f t="shared" si="222"/>
        <v/>
      </c>
      <c r="P2716" t="str">
        <f t="shared" si="222"/>
        <v/>
      </c>
      <c r="Q2716" t="s">
        <v>1488</v>
      </c>
      <c r="T2716" t="str">
        <f t="shared" si="225"/>
        <v/>
      </c>
      <c r="V2716" t="str">
        <f t="shared" si="226"/>
        <v>MVS</v>
      </c>
      <c r="W2716" t="str">
        <f t="shared" si="226"/>
        <v>MVS</v>
      </c>
      <c r="AB2716" t="s">
        <v>34</v>
      </c>
      <c r="AE2716" t="s">
        <v>135</v>
      </c>
      <c r="AG2716" t="s">
        <v>538</v>
      </c>
      <c r="AI2716" t="s">
        <v>9</v>
      </c>
      <c r="AJ2716" t="s">
        <v>135</v>
      </c>
      <c r="AN2716" t="s">
        <v>537</v>
      </c>
    </row>
    <row r="2717" spans="5:44" x14ac:dyDescent="0.25">
      <c r="I2717" t="str">
        <f t="shared" si="223"/>
        <v>samsho5a</v>
      </c>
      <c r="J2717" t="str">
        <f t="shared" si="224"/>
        <v/>
      </c>
      <c r="L2717" t="str">
        <f t="shared" si="222"/>
        <v>NGM-2700</v>
      </c>
      <c r="M2717" t="str">
        <f t="shared" si="222"/>
        <v>20031010</v>
      </c>
      <c r="N2717" t="str">
        <f t="shared" si="222"/>
        <v>サムライスピリッツ 零</v>
      </c>
      <c r="O2717" t="str">
        <f t="shared" si="222"/>
        <v/>
      </c>
      <c r="P2717" t="str">
        <f t="shared" si="222"/>
        <v/>
      </c>
      <c r="S2717" t="s">
        <v>36</v>
      </c>
      <c r="T2717" t="str">
        <f t="shared" si="225"/>
        <v>samsho5acompatibility</v>
      </c>
      <c r="U2717" t="s">
        <v>106</v>
      </c>
      <c r="V2717" t="str">
        <f t="shared" si="226"/>
        <v>MVS</v>
      </c>
      <c r="W2717" t="str">
        <f t="shared" si="226"/>
        <v>MVS</v>
      </c>
      <c r="AB2717" t="s">
        <v>482</v>
      </c>
      <c r="AE2717" t="s">
        <v>480</v>
      </c>
      <c r="AH2717" t="s">
        <v>1487</v>
      </c>
      <c r="AI2717" t="s">
        <v>314</v>
      </c>
      <c r="AJ2717" t="s">
        <v>480</v>
      </c>
      <c r="AK2717" t="s">
        <v>1486</v>
      </c>
      <c r="AL2717" t="s">
        <v>1485</v>
      </c>
    </row>
    <row r="2718" spans="5:44" x14ac:dyDescent="0.25">
      <c r="I2718" t="str">
        <f t="shared" si="223"/>
        <v>samsho5a</v>
      </c>
      <c r="J2718" t="str">
        <f t="shared" si="224"/>
        <v/>
      </c>
      <c r="L2718" t="str">
        <f t="shared" ref="L2718:P2768" si="227">IFERROR(VLOOKUP($I2718&amp;L$1,$J:$Q,8,0),"")</f>
        <v>NGM-2700</v>
      </c>
      <c r="M2718" t="str">
        <f t="shared" si="227"/>
        <v>20031010</v>
      </c>
      <c r="N2718" t="str">
        <f t="shared" si="227"/>
        <v>サムライスピリッツ 零</v>
      </c>
      <c r="O2718" t="str">
        <f t="shared" si="227"/>
        <v/>
      </c>
      <c r="P2718" t="str">
        <f t="shared" si="227"/>
        <v/>
      </c>
      <c r="T2718" t="str">
        <f t="shared" si="225"/>
        <v/>
      </c>
      <c r="V2718" t="str">
        <f t="shared" si="226"/>
        <v>MVS</v>
      </c>
      <c r="W2718" t="str">
        <f t="shared" si="226"/>
        <v>MVS</v>
      </c>
      <c r="AB2718" t="s">
        <v>24</v>
      </c>
      <c r="AE2718" t="s">
        <v>65</v>
      </c>
      <c r="AH2718" t="s">
        <v>1484</v>
      </c>
      <c r="AI2718" t="s">
        <v>9</v>
      </c>
      <c r="AJ2718" t="s">
        <v>57</v>
      </c>
      <c r="AK2718" t="s">
        <v>1483</v>
      </c>
      <c r="AL2718" t="s">
        <v>1482</v>
      </c>
    </row>
    <row r="2719" spans="5:44" x14ac:dyDescent="0.25">
      <c r="I2719" t="str">
        <f t="shared" si="223"/>
        <v>samsho5a</v>
      </c>
      <c r="J2719" t="str">
        <f t="shared" si="224"/>
        <v/>
      </c>
      <c r="L2719" t="str">
        <f t="shared" si="227"/>
        <v>NGM-2700</v>
      </c>
      <c r="M2719" t="str">
        <f t="shared" si="227"/>
        <v>20031010</v>
      </c>
      <c r="N2719" t="str">
        <f t="shared" si="227"/>
        <v>サムライスピリッツ 零</v>
      </c>
      <c r="O2719" t="str">
        <f t="shared" si="227"/>
        <v/>
      </c>
      <c r="P2719" t="str">
        <f t="shared" si="227"/>
        <v/>
      </c>
      <c r="T2719" t="str">
        <f t="shared" si="225"/>
        <v/>
      </c>
      <c r="V2719" t="str">
        <f t="shared" si="226"/>
        <v>MVS</v>
      </c>
      <c r="W2719" t="str">
        <f t="shared" si="226"/>
        <v>MVS</v>
      </c>
      <c r="AH2719" t="s">
        <v>1481</v>
      </c>
      <c r="AI2719" t="s">
        <v>57</v>
      </c>
      <c r="AJ2719" t="s">
        <v>57</v>
      </c>
      <c r="AK2719" t="s">
        <v>1480</v>
      </c>
      <c r="AL2719" t="s">
        <v>1479</v>
      </c>
    </row>
    <row r="2720" spans="5:44" x14ac:dyDescent="0.25">
      <c r="I2720" t="str">
        <f t="shared" si="223"/>
        <v>samsho5a</v>
      </c>
      <c r="J2720" t="str">
        <f t="shared" si="224"/>
        <v/>
      </c>
      <c r="L2720" t="str">
        <f t="shared" si="227"/>
        <v>NGM-2700</v>
      </c>
      <c r="M2720" t="str">
        <f t="shared" si="227"/>
        <v>20031010</v>
      </c>
      <c r="N2720" t="str">
        <f t="shared" si="227"/>
        <v>サムライスピリッツ 零</v>
      </c>
      <c r="O2720" t="str">
        <f t="shared" si="227"/>
        <v/>
      </c>
      <c r="P2720" t="str">
        <f t="shared" si="227"/>
        <v/>
      </c>
      <c r="T2720" t="str">
        <f t="shared" si="225"/>
        <v/>
      </c>
      <c r="V2720" t="str">
        <f t="shared" si="226"/>
        <v>MVS</v>
      </c>
      <c r="W2720" t="str">
        <f t="shared" si="226"/>
        <v>MVS</v>
      </c>
      <c r="AB2720" t="s">
        <v>12</v>
      </c>
      <c r="AE2720" t="s">
        <v>175</v>
      </c>
      <c r="AG2720" t="s">
        <v>6</v>
      </c>
      <c r="AH2720" t="s">
        <v>1478</v>
      </c>
      <c r="AI2720" t="s">
        <v>9</v>
      </c>
      <c r="AJ2720" t="s">
        <v>57</v>
      </c>
      <c r="AK2720" t="s">
        <v>1477</v>
      </c>
      <c r="AL2720" t="s">
        <v>1476</v>
      </c>
    </row>
    <row r="2721" spans="5:44" x14ac:dyDescent="0.25">
      <c r="I2721" t="str">
        <f t="shared" si="223"/>
        <v>samsho5a</v>
      </c>
      <c r="J2721" t="str">
        <f t="shared" si="224"/>
        <v/>
      </c>
      <c r="L2721" t="str">
        <f t="shared" si="227"/>
        <v>NGM-2700</v>
      </c>
      <c r="M2721" t="str">
        <f t="shared" si="227"/>
        <v>20031010</v>
      </c>
      <c r="N2721" t="str">
        <f t="shared" si="227"/>
        <v>サムライスピリッツ 零</v>
      </c>
      <c r="O2721" t="str">
        <f t="shared" si="227"/>
        <v/>
      </c>
      <c r="P2721" t="str">
        <f t="shared" si="227"/>
        <v/>
      </c>
      <c r="T2721" t="str">
        <f t="shared" si="225"/>
        <v/>
      </c>
      <c r="V2721" t="str">
        <f t="shared" si="226"/>
        <v>MVS</v>
      </c>
      <c r="W2721" t="str">
        <f t="shared" si="226"/>
        <v>MVS</v>
      </c>
      <c r="AG2721" t="s">
        <v>6</v>
      </c>
      <c r="AH2721" t="s">
        <v>1475</v>
      </c>
      <c r="AI2721" t="s">
        <v>4</v>
      </c>
      <c r="AJ2721" t="s">
        <v>57</v>
      </c>
      <c r="AK2721" t="s">
        <v>1474</v>
      </c>
      <c r="AL2721" t="s">
        <v>1473</v>
      </c>
    </row>
    <row r="2722" spans="5:44" x14ac:dyDescent="0.25">
      <c r="I2722" t="str">
        <f t="shared" si="223"/>
        <v>samsho5a</v>
      </c>
      <c r="J2722" t="str">
        <f t="shared" si="224"/>
        <v/>
      </c>
      <c r="L2722" t="str">
        <f t="shared" si="227"/>
        <v>NGM-2700</v>
      </c>
      <c r="M2722" t="str">
        <f t="shared" si="227"/>
        <v>20031010</v>
      </c>
      <c r="N2722" t="str">
        <f t="shared" si="227"/>
        <v>サムライスピリッツ 零</v>
      </c>
      <c r="O2722" t="str">
        <f t="shared" si="227"/>
        <v/>
      </c>
      <c r="P2722" t="str">
        <f t="shared" si="227"/>
        <v/>
      </c>
      <c r="T2722" t="str">
        <f t="shared" si="225"/>
        <v/>
      </c>
      <c r="V2722" t="str">
        <f t="shared" si="226"/>
        <v>MVS</v>
      </c>
      <c r="W2722" t="str">
        <f t="shared" si="226"/>
        <v>MVS</v>
      </c>
      <c r="AG2722" t="s">
        <v>6</v>
      </c>
      <c r="AH2722" t="s">
        <v>1472</v>
      </c>
      <c r="AI2722" t="s">
        <v>65</v>
      </c>
      <c r="AJ2722" t="s">
        <v>57</v>
      </c>
      <c r="AK2722" t="s">
        <v>1471</v>
      </c>
      <c r="AL2722" t="s">
        <v>1470</v>
      </c>
    </row>
    <row r="2723" spans="5:44" x14ac:dyDescent="0.25">
      <c r="I2723" t="str">
        <f t="shared" si="223"/>
        <v>samsho5a</v>
      </c>
      <c r="J2723" t="str">
        <f t="shared" si="224"/>
        <v/>
      </c>
      <c r="L2723" t="str">
        <f t="shared" si="227"/>
        <v>NGM-2700</v>
      </c>
      <c r="M2723" t="str">
        <f t="shared" si="227"/>
        <v>20031010</v>
      </c>
      <c r="N2723" t="str">
        <f t="shared" si="227"/>
        <v>サムライスピリッツ 零</v>
      </c>
      <c r="O2723" t="str">
        <f t="shared" si="227"/>
        <v/>
      </c>
      <c r="P2723" t="str">
        <f t="shared" si="227"/>
        <v/>
      </c>
      <c r="T2723" t="str">
        <f t="shared" si="225"/>
        <v/>
      </c>
      <c r="V2723" t="str">
        <f t="shared" si="226"/>
        <v>MVS</v>
      </c>
      <c r="W2723" t="str">
        <f t="shared" si="226"/>
        <v>MVS</v>
      </c>
      <c r="AG2723" t="s">
        <v>6</v>
      </c>
      <c r="AH2723" t="s">
        <v>1469</v>
      </c>
      <c r="AI2723" t="s">
        <v>164</v>
      </c>
      <c r="AJ2723" t="s">
        <v>57</v>
      </c>
      <c r="AK2723" t="s">
        <v>1468</v>
      </c>
      <c r="AL2723" t="s">
        <v>1467</v>
      </c>
    </row>
    <row r="2724" spans="5:44" x14ac:dyDescent="0.25">
      <c r="I2724" t="str">
        <f t="shared" si="223"/>
        <v>samsho5a</v>
      </c>
      <c r="J2724" t="str">
        <f t="shared" si="224"/>
        <v/>
      </c>
      <c r="L2724" t="str">
        <f t="shared" si="227"/>
        <v>NGM-2700</v>
      </c>
      <c r="M2724" t="str">
        <f t="shared" si="227"/>
        <v>20031010</v>
      </c>
      <c r="N2724" t="str">
        <f t="shared" si="227"/>
        <v>サムライスピリッツ 零</v>
      </c>
      <c r="O2724" t="str">
        <f t="shared" si="227"/>
        <v/>
      </c>
      <c r="P2724" t="str">
        <f t="shared" si="227"/>
        <v/>
      </c>
      <c r="T2724" t="str">
        <f t="shared" si="225"/>
        <v/>
      </c>
      <c r="V2724" t="str">
        <f t="shared" si="226"/>
        <v>MVS</v>
      </c>
      <c r="W2724" t="str">
        <f t="shared" si="226"/>
        <v>MVS</v>
      </c>
      <c r="AG2724" t="s">
        <v>6</v>
      </c>
      <c r="AH2724" t="s">
        <v>1466</v>
      </c>
      <c r="AI2724" t="s">
        <v>160</v>
      </c>
      <c r="AJ2724" t="s">
        <v>57</v>
      </c>
      <c r="AK2724" t="s">
        <v>1465</v>
      </c>
      <c r="AL2724" t="s">
        <v>1464</v>
      </c>
    </row>
    <row r="2725" spans="5:44" x14ac:dyDescent="0.25">
      <c r="I2725" t="str">
        <f t="shared" si="223"/>
        <v>samsho5a</v>
      </c>
      <c r="J2725" t="str">
        <f t="shared" si="224"/>
        <v/>
      </c>
      <c r="L2725" t="str">
        <f t="shared" si="227"/>
        <v>NGM-2700</v>
      </c>
      <c r="M2725" t="str">
        <f t="shared" si="227"/>
        <v>20031010</v>
      </c>
      <c r="N2725" t="str">
        <f t="shared" si="227"/>
        <v>サムライスピリッツ 零</v>
      </c>
      <c r="O2725" t="str">
        <f t="shared" si="227"/>
        <v/>
      </c>
      <c r="P2725" t="str">
        <f t="shared" si="227"/>
        <v/>
      </c>
      <c r="T2725" t="str">
        <f t="shared" si="225"/>
        <v/>
      </c>
      <c r="V2725" t="str">
        <f t="shared" si="226"/>
        <v>MVS</v>
      </c>
      <c r="W2725" t="str">
        <f t="shared" si="226"/>
        <v>MVS</v>
      </c>
      <c r="AG2725" t="s">
        <v>6</v>
      </c>
      <c r="AH2725" t="s">
        <v>1463</v>
      </c>
      <c r="AI2725" t="s">
        <v>156</v>
      </c>
      <c r="AJ2725" t="s">
        <v>57</v>
      </c>
      <c r="AK2725" t="s">
        <v>1462</v>
      </c>
      <c r="AL2725" t="s">
        <v>1461</v>
      </c>
    </row>
    <row r="2726" spans="5:44" x14ac:dyDescent="0.25">
      <c r="I2726" t="str">
        <f t="shared" si="223"/>
        <v>samsho5a</v>
      </c>
      <c r="J2726" t="str">
        <f t="shared" si="224"/>
        <v/>
      </c>
      <c r="L2726" t="str">
        <f t="shared" si="227"/>
        <v>NGM-2700</v>
      </c>
      <c r="M2726" t="str">
        <f t="shared" si="227"/>
        <v>20031010</v>
      </c>
      <c r="N2726" t="str">
        <f t="shared" si="227"/>
        <v>サムライスピリッツ 零</v>
      </c>
      <c r="O2726" t="str">
        <f t="shared" si="227"/>
        <v/>
      </c>
      <c r="P2726" t="str">
        <f t="shared" si="227"/>
        <v/>
      </c>
      <c r="T2726" t="str">
        <f t="shared" si="225"/>
        <v/>
      </c>
      <c r="V2726" t="str">
        <f t="shared" si="226"/>
        <v>MVS</v>
      </c>
      <c r="W2726" t="str">
        <f t="shared" si="226"/>
        <v>MVS</v>
      </c>
      <c r="AG2726" t="s">
        <v>6</v>
      </c>
      <c r="AH2726" t="s">
        <v>1460</v>
      </c>
      <c r="AI2726" t="s">
        <v>152</v>
      </c>
      <c r="AJ2726" t="s">
        <v>57</v>
      </c>
      <c r="AK2726" t="s">
        <v>1459</v>
      </c>
      <c r="AL2726" t="s">
        <v>1458</v>
      </c>
    </row>
    <row r="2727" spans="5:44" x14ac:dyDescent="0.25">
      <c r="I2727" t="str">
        <f t="shared" si="223"/>
        <v>samsho5a</v>
      </c>
      <c r="J2727" t="str">
        <f t="shared" si="224"/>
        <v/>
      </c>
      <c r="L2727" t="str">
        <f t="shared" si="227"/>
        <v>NGM-2700</v>
      </c>
      <c r="M2727" t="str">
        <f t="shared" si="227"/>
        <v>20031010</v>
      </c>
      <c r="N2727" t="str">
        <f t="shared" si="227"/>
        <v>サムライスピリッツ 零</v>
      </c>
      <c r="O2727" t="str">
        <f t="shared" si="227"/>
        <v/>
      </c>
      <c r="P2727" t="str">
        <f t="shared" si="227"/>
        <v/>
      </c>
      <c r="T2727" t="str">
        <f t="shared" si="225"/>
        <v/>
      </c>
      <c r="V2727" t="str">
        <f t="shared" si="226"/>
        <v>MVS</v>
      </c>
      <c r="W2727" t="str">
        <f t="shared" si="226"/>
        <v>MVS</v>
      </c>
      <c r="AG2727" t="s">
        <v>6</v>
      </c>
      <c r="AH2727" t="s">
        <v>1457</v>
      </c>
      <c r="AI2727" t="s">
        <v>148</v>
      </c>
      <c r="AJ2727" t="s">
        <v>57</v>
      </c>
      <c r="AK2727" t="s">
        <v>1456</v>
      </c>
      <c r="AL2727" t="s">
        <v>1455</v>
      </c>
    </row>
    <row r="2728" spans="5:44" x14ac:dyDescent="0.25">
      <c r="E2728" t="s">
        <v>1499</v>
      </c>
      <c r="F2728" t="s">
        <v>1498</v>
      </c>
      <c r="G2728" t="s">
        <v>195</v>
      </c>
      <c r="H2728" t="s">
        <v>1374</v>
      </c>
      <c r="I2728" t="str">
        <f t="shared" si="223"/>
        <v>samsho5h</v>
      </c>
      <c r="J2728" t="str">
        <f t="shared" si="224"/>
        <v>samsho5hserial</v>
      </c>
      <c r="K2728" t="s">
        <v>1373</v>
      </c>
      <c r="L2728" t="str">
        <f t="shared" si="227"/>
        <v>NGH-2700</v>
      </c>
      <c r="M2728" t="str">
        <f t="shared" si="227"/>
        <v>20031211</v>
      </c>
      <c r="N2728" t="str">
        <f t="shared" si="227"/>
        <v>サムライスピリッツ 零</v>
      </c>
      <c r="O2728" t="str">
        <f t="shared" si="227"/>
        <v/>
      </c>
      <c r="P2728" t="str">
        <f t="shared" si="227"/>
        <v/>
      </c>
      <c r="Q2728" t="s">
        <v>1497</v>
      </c>
      <c r="S2728" t="s">
        <v>46</v>
      </c>
      <c r="T2728" t="str">
        <f t="shared" si="225"/>
        <v>samsho5hrelease</v>
      </c>
      <c r="U2728" t="s">
        <v>35</v>
      </c>
      <c r="V2728" t="str">
        <f t="shared" si="226"/>
        <v>AES</v>
      </c>
      <c r="W2728" t="str">
        <f t="shared" si="226"/>
        <v>MVS,AES</v>
      </c>
      <c r="Y2728" t="s">
        <v>45</v>
      </c>
      <c r="Z2728" t="s">
        <v>44</v>
      </c>
      <c r="AB2728" t="s">
        <v>43</v>
      </c>
      <c r="AC2728" t="s">
        <v>42</v>
      </c>
      <c r="AD2728" t="s">
        <v>41</v>
      </c>
      <c r="AE2728" t="s">
        <v>57</v>
      </c>
      <c r="AG2728" t="s">
        <v>40</v>
      </c>
      <c r="AH2728" t="s">
        <v>1496</v>
      </c>
      <c r="AI2728" t="s">
        <v>9</v>
      </c>
      <c r="AJ2728" t="s">
        <v>11</v>
      </c>
      <c r="AK2728" t="s">
        <v>1495</v>
      </c>
      <c r="AL2728" t="s">
        <v>1494</v>
      </c>
      <c r="AP2728" t="s">
        <v>138</v>
      </c>
      <c r="AQ2728" t="s">
        <v>1493</v>
      </c>
      <c r="AR2728" t="s">
        <v>270</v>
      </c>
    </row>
    <row r="2729" spans="5:44" x14ac:dyDescent="0.25">
      <c r="I2729" t="str">
        <f t="shared" si="223"/>
        <v>samsho5h</v>
      </c>
      <c r="J2729" t="str">
        <f t="shared" si="224"/>
        <v>samsho5hrelease</v>
      </c>
      <c r="K2729" t="s">
        <v>46</v>
      </c>
      <c r="L2729" t="str">
        <f t="shared" si="227"/>
        <v>NGH-2700</v>
      </c>
      <c r="M2729" t="str">
        <f t="shared" si="227"/>
        <v>20031211</v>
      </c>
      <c r="N2729" t="str">
        <f t="shared" si="227"/>
        <v>サムライスピリッツ 零</v>
      </c>
      <c r="O2729" t="str">
        <f t="shared" si="227"/>
        <v/>
      </c>
      <c r="P2729" t="str">
        <f t="shared" si="227"/>
        <v/>
      </c>
      <c r="Q2729" t="s">
        <v>1492</v>
      </c>
      <c r="T2729" t="str">
        <f t="shared" si="225"/>
        <v/>
      </c>
      <c r="V2729" t="str">
        <f t="shared" si="226"/>
        <v>AES</v>
      </c>
      <c r="W2729" t="str">
        <f t="shared" si="226"/>
        <v>MVS,AES</v>
      </c>
      <c r="AG2729" t="s">
        <v>40</v>
      </c>
      <c r="AH2729" t="s">
        <v>1491</v>
      </c>
      <c r="AI2729" t="s">
        <v>11</v>
      </c>
      <c r="AJ2729" t="s">
        <v>11</v>
      </c>
      <c r="AK2729" t="s">
        <v>1490</v>
      </c>
      <c r="AL2729" t="s">
        <v>1489</v>
      </c>
    </row>
    <row r="2730" spans="5:44" x14ac:dyDescent="0.25">
      <c r="I2730" t="str">
        <f t="shared" si="223"/>
        <v>samsho5h</v>
      </c>
      <c r="J2730" t="str">
        <f t="shared" si="224"/>
        <v>samsho5halt_title</v>
      </c>
      <c r="K2730" t="s">
        <v>1218</v>
      </c>
      <c r="L2730" t="str">
        <f t="shared" si="227"/>
        <v>NGH-2700</v>
      </c>
      <c r="M2730" t="str">
        <f t="shared" si="227"/>
        <v>20031211</v>
      </c>
      <c r="N2730" t="str">
        <f t="shared" si="227"/>
        <v>サムライスピリッツ 零</v>
      </c>
      <c r="O2730" t="str">
        <f t="shared" si="227"/>
        <v/>
      </c>
      <c r="P2730" t="str">
        <f t="shared" si="227"/>
        <v/>
      </c>
      <c r="Q2730" t="s">
        <v>1488</v>
      </c>
      <c r="T2730" t="str">
        <f t="shared" si="225"/>
        <v/>
      </c>
      <c r="V2730" t="str">
        <f t="shared" si="226"/>
        <v>AES</v>
      </c>
      <c r="W2730" t="str">
        <f t="shared" si="226"/>
        <v>MVS,AES</v>
      </c>
      <c r="AB2730" t="s">
        <v>34</v>
      </c>
      <c r="AE2730" t="s">
        <v>135</v>
      </c>
      <c r="AG2730" t="s">
        <v>538</v>
      </c>
      <c r="AI2730" t="s">
        <v>9</v>
      </c>
      <c r="AJ2730" t="s">
        <v>135</v>
      </c>
      <c r="AN2730" t="s">
        <v>537</v>
      </c>
    </row>
    <row r="2731" spans="5:44" x14ac:dyDescent="0.25">
      <c r="I2731" t="str">
        <f t="shared" si="223"/>
        <v>samsho5h</v>
      </c>
      <c r="J2731" t="str">
        <f t="shared" si="224"/>
        <v/>
      </c>
      <c r="L2731" t="str">
        <f t="shared" si="227"/>
        <v>NGH-2700</v>
      </c>
      <c r="M2731" t="str">
        <f t="shared" si="227"/>
        <v>20031211</v>
      </c>
      <c r="N2731" t="str">
        <f t="shared" si="227"/>
        <v>サムライスピリッツ 零</v>
      </c>
      <c r="O2731" t="str">
        <f t="shared" si="227"/>
        <v/>
      </c>
      <c r="P2731" t="str">
        <f t="shared" si="227"/>
        <v/>
      </c>
      <c r="S2731" t="s">
        <v>36</v>
      </c>
      <c r="T2731" t="str">
        <f t="shared" si="225"/>
        <v>samsho5hcompatibility</v>
      </c>
      <c r="U2731" t="s">
        <v>218</v>
      </c>
      <c r="V2731" t="str">
        <f t="shared" si="226"/>
        <v>AES</v>
      </c>
      <c r="W2731" t="str">
        <f t="shared" si="226"/>
        <v>MVS,AES</v>
      </c>
      <c r="AB2731" t="s">
        <v>482</v>
      </c>
      <c r="AE2731" t="s">
        <v>480</v>
      </c>
      <c r="AH2731" t="s">
        <v>1487</v>
      </c>
      <c r="AI2731" t="s">
        <v>314</v>
      </c>
      <c r="AJ2731" t="s">
        <v>480</v>
      </c>
      <c r="AK2731" t="s">
        <v>1486</v>
      </c>
      <c r="AL2731" t="s">
        <v>1485</v>
      </c>
    </row>
    <row r="2732" spans="5:44" x14ac:dyDescent="0.25">
      <c r="I2732" t="str">
        <f t="shared" si="223"/>
        <v>samsho5h</v>
      </c>
      <c r="J2732" t="str">
        <f t="shared" si="224"/>
        <v/>
      </c>
      <c r="L2732" t="str">
        <f t="shared" si="227"/>
        <v>NGH-2700</v>
      </c>
      <c r="M2732" t="str">
        <f t="shared" si="227"/>
        <v>20031211</v>
      </c>
      <c r="N2732" t="str">
        <f t="shared" si="227"/>
        <v>サムライスピリッツ 零</v>
      </c>
      <c r="O2732" t="str">
        <f t="shared" si="227"/>
        <v/>
      </c>
      <c r="P2732" t="str">
        <f t="shared" si="227"/>
        <v/>
      </c>
      <c r="T2732" t="str">
        <f t="shared" si="225"/>
        <v/>
      </c>
      <c r="V2732" t="str">
        <f t="shared" si="226"/>
        <v>AES</v>
      </c>
      <c r="W2732" t="str">
        <f t="shared" si="226"/>
        <v>MVS,AES</v>
      </c>
      <c r="AB2732" t="s">
        <v>24</v>
      </c>
      <c r="AE2732" t="s">
        <v>65</v>
      </c>
      <c r="AH2732" t="s">
        <v>1484</v>
      </c>
      <c r="AI2732" t="s">
        <v>9</v>
      </c>
      <c r="AJ2732" t="s">
        <v>57</v>
      </c>
      <c r="AK2732" t="s">
        <v>1483</v>
      </c>
      <c r="AL2732" t="s">
        <v>1482</v>
      </c>
    </row>
    <row r="2733" spans="5:44" x14ac:dyDescent="0.25">
      <c r="I2733" t="str">
        <f t="shared" si="223"/>
        <v>samsho5h</v>
      </c>
      <c r="J2733" t="str">
        <f t="shared" si="224"/>
        <v/>
      </c>
      <c r="L2733" t="str">
        <f t="shared" si="227"/>
        <v>NGH-2700</v>
      </c>
      <c r="M2733" t="str">
        <f t="shared" si="227"/>
        <v>20031211</v>
      </c>
      <c r="N2733" t="str">
        <f t="shared" si="227"/>
        <v>サムライスピリッツ 零</v>
      </c>
      <c r="O2733" t="str">
        <f t="shared" si="227"/>
        <v/>
      </c>
      <c r="P2733" t="str">
        <f t="shared" si="227"/>
        <v/>
      </c>
      <c r="T2733" t="str">
        <f t="shared" si="225"/>
        <v/>
      </c>
      <c r="V2733" t="str">
        <f t="shared" si="226"/>
        <v>AES</v>
      </c>
      <c r="W2733" t="str">
        <f t="shared" si="226"/>
        <v>MVS,AES</v>
      </c>
      <c r="AH2733" t="s">
        <v>1481</v>
      </c>
      <c r="AI2733" t="s">
        <v>57</v>
      </c>
      <c r="AJ2733" t="s">
        <v>57</v>
      </c>
      <c r="AK2733" t="s">
        <v>1480</v>
      </c>
      <c r="AL2733" t="s">
        <v>1479</v>
      </c>
    </row>
    <row r="2734" spans="5:44" x14ac:dyDescent="0.25">
      <c r="I2734" t="str">
        <f t="shared" si="223"/>
        <v>samsho5h</v>
      </c>
      <c r="J2734" t="str">
        <f t="shared" si="224"/>
        <v/>
      </c>
      <c r="L2734" t="str">
        <f t="shared" si="227"/>
        <v>NGH-2700</v>
      </c>
      <c r="M2734" t="str">
        <f t="shared" si="227"/>
        <v>20031211</v>
      </c>
      <c r="N2734" t="str">
        <f t="shared" si="227"/>
        <v>サムライスピリッツ 零</v>
      </c>
      <c r="O2734" t="str">
        <f t="shared" si="227"/>
        <v/>
      </c>
      <c r="P2734" t="str">
        <f t="shared" si="227"/>
        <v/>
      </c>
      <c r="T2734" t="str">
        <f t="shared" si="225"/>
        <v/>
      </c>
      <c r="V2734" t="str">
        <f t="shared" si="226"/>
        <v>AES</v>
      </c>
      <c r="W2734" t="str">
        <f t="shared" si="226"/>
        <v>MVS,AES</v>
      </c>
      <c r="AB2734" t="s">
        <v>12</v>
      </c>
      <c r="AE2734" t="s">
        <v>175</v>
      </c>
      <c r="AG2734" t="s">
        <v>6</v>
      </c>
      <c r="AH2734" t="s">
        <v>1478</v>
      </c>
      <c r="AI2734" t="s">
        <v>9</v>
      </c>
      <c r="AJ2734" t="s">
        <v>57</v>
      </c>
      <c r="AK2734" t="s">
        <v>1477</v>
      </c>
      <c r="AL2734" t="s">
        <v>1476</v>
      </c>
    </row>
    <row r="2735" spans="5:44" x14ac:dyDescent="0.25">
      <c r="I2735" t="str">
        <f t="shared" si="223"/>
        <v>samsho5h</v>
      </c>
      <c r="J2735" t="str">
        <f t="shared" si="224"/>
        <v/>
      </c>
      <c r="L2735" t="str">
        <f t="shared" si="227"/>
        <v>NGH-2700</v>
      </c>
      <c r="M2735" t="str">
        <f t="shared" si="227"/>
        <v>20031211</v>
      </c>
      <c r="N2735" t="str">
        <f t="shared" si="227"/>
        <v>サムライスピリッツ 零</v>
      </c>
      <c r="O2735" t="str">
        <f t="shared" si="227"/>
        <v/>
      </c>
      <c r="P2735" t="str">
        <f t="shared" si="227"/>
        <v/>
      </c>
      <c r="T2735" t="str">
        <f t="shared" si="225"/>
        <v/>
      </c>
      <c r="V2735" t="str">
        <f t="shared" si="226"/>
        <v>AES</v>
      </c>
      <c r="W2735" t="str">
        <f t="shared" si="226"/>
        <v>MVS,AES</v>
      </c>
      <c r="AG2735" t="s">
        <v>6</v>
      </c>
      <c r="AH2735" t="s">
        <v>1475</v>
      </c>
      <c r="AI2735" t="s">
        <v>4</v>
      </c>
      <c r="AJ2735" t="s">
        <v>57</v>
      </c>
      <c r="AK2735" t="s">
        <v>1474</v>
      </c>
      <c r="AL2735" t="s">
        <v>1473</v>
      </c>
    </row>
    <row r="2736" spans="5:44" x14ac:dyDescent="0.25">
      <c r="I2736" t="str">
        <f t="shared" si="223"/>
        <v>samsho5h</v>
      </c>
      <c r="J2736" t="str">
        <f t="shared" si="224"/>
        <v/>
      </c>
      <c r="L2736" t="str">
        <f t="shared" si="227"/>
        <v>NGH-2700</v>
      </c>
      <c r="M2736" t="str">
        <f t="shared" si="227"/>
        <v>20031211</v>
      </c>
      <c r="N2736" t="str">
        <f t="shared" si="227"/>
        <v>サムライスピリッツ 零</v>
      </c>
      <c r="O2736" t="str">
        <f t="shared" si="227"/>
        <v/>
      </c>
      <c r="P2736" t="str">
        <f t="shared" si="227"/>
        <v/>
      </c>
      <c r="T2736" t="str">
        <f t="shared" si="225"/>
        <v/>
      </c>
      <c r="V2736" t="str">
        <f t="shared" si="226"/>
        <v>AES</v>
      </c>
      <c r="W2736" t="str">
        <f t="shared" si="226"/>
        <v>MVS,AES</v>
      </c>
      <c r="AG2736" t="s">
        <v>6</v>
      </c>
      <c r="AH2736" t="s">
        <v>1472</v>
      </c>
      <c r="AI2736" t="s">
        <v>65</v>
      </c>
      <c r="AJ2736" t="s">
        <v>57</v>
      </c>
      <c r="AK2736" t="s">
        <v>1471</v>
      </c>
      <c r="AL2736" t="s">
        <v>1470</v>
      </c>
    </row>
    <row r="2737" spans="5:43" x14ac:dyDescent="0.25">
      <c r="I2737" t="str">
        <f t="shared" si="223"/>
        <v>samsho5h</v>
      </c>
      <c r="J2737" t="str">
        <f t="shared" si="224"/>
        <v/>
      </c>
      <c r="L2737" t="str">
        <f t="shared" si="227"/>
        <v>NGH-2700</v>
      </c>
      <c r="M2737" t="str">
        <f t="shared" si="227"/>
        <v>20031211</v>
      </c>
      <c r="N2737" t="str">
        <f t="shared" si="227"/>
        <v>サムライスピリッツ 零</v>
      </c>
      <c r="O2737" t="str">
        <f t="shared" si="227"/>
        <v/>
      </c>
      <c r="P2737" t="str">
        <f t="shared" si="227"/>
        <v/>
      </c>
      <c r="T2737" t="str">
        <f t="shared" si="225"/>
        <v/>
      </c>
      <c r="V2737" t="str">
        <f t="shared" si="226"/>
        <v>AES</v>
      </c>
      <c r="W2737" t="str">
        <f t="shared" si="226"/>
        <v>MVS,AES</v>
      </c>
      <c r="AG2737" t="s">
        <v>6</v>
      </c>
      <c r="AH2737" t="s">
        <v>1469</v>
      </c>
      <c r="AI2737" t="s">
        <v>164</v>
      </c>
      <c r="AJ2737" t="s">
        <v>57</v>
      </c>
      <c r="AK2737" t="s">
        <v>1468</v>
      </c>
      <c r="AL2737" t="s">
        <v>1467</v>
      </c>
    </row>
    <row r="2738" spans="5:43" x14ac:dyDescent="0.25">
      <c r="I2738" t="str">
        <f t="shared" si="223"/>
        <v>samsho5h</v>
      </c>
      <c r="J2738" t="str">
        <f t="shared" si="224"/>
        <v/>
      </c>
      <c r="L2738" t="str">
        <f t="shared" si="227"/>
        <v>NGH-2700</v>
      </c>
      <c r="M2738" t="str">
        <f t="shared" si="227"/>
        <v>20031211</v>
      </c>
      <c r="N2738" t="str">
        <f t="shared" si="227"/>
        <v>サムライスピリッツ 零</v>
      </c>
      <c r="O2738" t="str">
        <f t="shared" si="227"/>
        <v/>
      </c>
      <c r="P2738" t="str">
        <f t="shared" si="227"/>
        <v/>
      </c>
      <c r="T2738" t="str">
        <f t="shared" si="225"/>
        <v/>
      </c>
      <c r="V2738" t="str">
        <f t="shared" si="226"/>
        <v>AES</v>
      </c>
      <c r="W2738" t="str">
        <f t="shared" si="226"/>
        <v>MVS,AES</v>
      </c>
      <c r="AG2738" t="s">
        <v>6</v>
      </c>
      <c r="AH2738" t="s">
        <v>1466</v>
      </c>
      <c r="AI2738" t="s">
        <v>160</v>
      </c>
      <c r="AJ2738" t="s">
        <v>57</v>
      </c>
      <c r="AK2738" t="s">
        <v>1465</v>
      </c>
      <c r="AL2738" t="s">
        <v>1464</v>
      </c>
    </row>
    <row r="2739" spans="5:43" x14ac:dyDescent="0.25">
      <c r="I2739" t="str">
        <f t="shared" si="223"/>
        <v>samsho5h</v>
      </c>
      <c r="J2739" t="str">
        <f t="shared" si="224"/>
        <v/>
      </c>
      <c r="L2739" t="str">
        <f t="shared" si="227"/>
        <v>NGH-2700</v>
      </c>
      <c r="M2739" t="str">
        <f t="shared" si="227"/>
        <v>20031211</v>
      </c>
      <c r="N2739" t="str">
        <f t="shared" si="227"/>
        <v>サムライスピリッツ 零</v>
      </c>
      <c r="O2739" t="str">
        <f t="shared" si="227"/>
        <v/>
      </c>
      <c r="P2739" t="str">
        <f t="shared" si="227"/>
        <v/>
      </c>
      <c r="T2739" t="str">
        <f t="shared" si="225"/>
        <v/>
      </c>
      <c r="V2739" t="str">
        <f t="shared" si="226"/>
        <v>AES</v>
      </c>
      <c r="W2739" t="str">
        <f t="shared" si="226"/>
        <v>MVS,AES</v>
      </c>
      <c r="AG2739" t="s">
        <v>6</v>
      </c>
      <c r="AH2739" t="s">
        <v>1463</v>
      </c>
      <c r="AI2739" t="s">
        <v>156</v>
      </c>
      <c r="AJ2739" t="s">
        <v>57</v>
      </c>
      <c r="AK2739" t="s">
        <v>1462</v>
      </c>
      <c r="AL2739" t="s">
        <v>1461</v>
      </c>
    </row>
    <row r="2740" spans="5:43" x14ac:dyDescent="0.25">
      <c r="I2740" t="str">
        <f t="shared" si="223"/>
        <v>samsho5h</v>
      </c>
      <c r="J2740" t="str">
        <f t="shared" si="224"/>
        <v/>
      </c>
      <c r="L2740" t="str">
        <f t="shared" si="227"/>
        <v>NGH-2700</v>
      </c>
      <c r="M2740" t="str">
        <f t="shared" si="227"/>
        <v>20031211</v>
      </c>
      <c r="N2740" t="str">
        <f t="shared" si="227"/>
        <v>サムライスピリッツ 零</v>
      </c>
      <c r="O2740" t="str">
        <f t="shared" si="227"/>
        <v/>
      </c>
      <c r="P2740" t="str">
        <f t="shared" si="227"/>
        <v/>
      </c>
      <c r="T2740" t="str">
        <f t="shared" si="225"/>
        <v/>
      </c>
      <c r="V2740" t="str">
        <f t="shared" si="226"/>
        <v>AES</v>
      </c>
      <c r="W2740" t="str">
        <f t="shared" si="226"/>
        <v>MVS,AES</v>
      </c>
      <c r="AG2740" t="s">
        <v>6</v>
      </c>
      <c r="AH2740" t="s">
        <v>1460</v>
      </c>
      <c r="AI2740" t="s">
        <v>152</v>
      </c>
      <c r="AJ2740" t="s">
        <v>57</v>
      </c>
      <c r="AK2740" t="s">
        <v>1459</v>
      </c>
      <c r="AL2740" t="s">
        <v>1458</v>
      </c>
    </row>
    <row r="2741" spans="5:43" x14ac:dyDescent="0.25">
      <c r="I2741" t="str">
        <f t="shared" si="223"/>
        <v>samsho5h</v>
      </c>
      <c r="J2741" t="str">
        <f t="shared" si="224"/>
        <v/>
      </c>
      <c r="L2741" t="str">
        <f t="shared" si="227"/>
        <v>NGH-2700</v>
      </c>
      <c r="M2741" t="str">
        <f t="shared" si="227"/>
        <v>20031211</v>
      </c>
      <c r="N2741" t="str">
        <f t="shared" si="227"/>
        <v>サムライスピリッツ 零</v>
      </c>
      <c r="O2741" t="str">
        <f t="shared" si="227"/>
        <v/>
      </c>
      <c r="P2741" t="str">
        <f t="shared" si="227"/>
        <v/>
      </c>
      <c r="T2741" t="str">
        <f t="shared" si="225"/>
        <v/>
      </c>
      <c r="V2741" t="str">
        <f t="shared" si="226"/>
        <v>AES</v>
      </c>
      <c r="W2741" t="str">
        <f t="shared" si="226"/>
        <v>MVS,AES</v>
      </c>
      <c r="AG2741" t="s">
        <v>6</v>
      </c>
      <c r="AH2741" t="s">
        <v>1457</v>
      </c>
      <c r="AI2741" t="s">
        <v>148</v>
      </c>
      <c r="AJ2741" t="s">
        <v>57</v>
      </c>
      <c r="AK2741" t="s">
        <v>1456</v>
      </c>
      <c r="AL2741" t="s">
        <v>1455</v>
      </c>
    </row>
    <row r="2742" spans="5:43" x14ac:dyDescent="0.25">
      <c r="E2742" t="s">
        <v>188</v>
      </c>
      <c r="F2742" t="s">
        <v>1454</v>
      </c>
      <c r="G2742" t="s">
        <v>195</v>
      </c>
      <c r="H2742" t="s">
        <v>1436</v>
      </c>
      <c r="I2742" t="str">
        <f t="shared" si="223"/>
        <v>kof2003</v>
      </c>
      <c r="J2742" t="str">
        <f t="shared" si="224"/>
        <v>kof2003serial</v>
      </c>
      <c r="K2742" t="s">
        <v>1373</v>
      </c>
      <c r="L2742" t="str">
        <f t="shared" si="227"/>
        <v>NGM-2710</v>
      </c>
      <c r="M2742" t="str">
        <f t="shared" si="227"/>
        <v>20031212</v>
      </c>
      <c r="N2742" t="str">
        <f t="shared" si="227"/>
        <v>ザ・キング・オブ・ファイターズ 2003</v>
      </c>
      <c r="O2742" t="str">
        <f t="shared" si="227"/>
        <v/>
      </c>
      <c r="P2742" t="str">
        <f t="shared" si="227"/>
        <v/>
      </c>
      <c r="Q2742" t="s">
        <v>1453</v>
      </c>
      <c r="S2742" t="s">
        <v>46</v>
      </c>
      <c r="T2742" t="str">
        <f t="shared" si="225"/>
        <v>kof2003release</v>
      </c>
      <c r="U2742" t="s">
        <v>106</v>
      </c>
      <c r="V2742" t="str">
        <f t="shared" si="226"/>
        <v>MVS</v>
      </c>
      <c r="W2742" t="str">
        <f t="shared" si="226"/>
        <v>MVS,AES</v>
      </c>
      <c r="Y2742" t="s">
        <v>45</v>
      </c>
      <c r="Z2742" t="s">
        <v>44</v>
      </c>
      <c r="AB2742" t="s">
        <v>43</v>
      </c>
      <c r="AC2742" t="s">
        <v>42</v>
      </c>
      <c r="AD2742" t="s">
        <v>41</v>
      </c>
      <c r="AE2742" t="s">
        <v>704</v>
      </c>
      <c r="AG2742" t="s">
        <v>1429</v>
      </c>
      <c r="AH2742" t="s">
        <v>1452</v>
      </c>
      <c r="AI2742" t="s">
        <v>9</v>
      </c>
      <c r="AJ2742" t="s">
        <v>11</v>
      </c>
      <c r="AK2742" t="s">
        <v>1451</v>
      </c>
      <c r="AL2742" t="s">
        <v>1450</v>
      </c>
      <c r="AP2742" t="s">
        <v>138</v>
      </c>
      <c r="AQ2742" t="s">
        <v>1449</v>
      </c>
    </row>
    <row r="2743" spans="5:43" x14ac:dyDescent="0.25">
      <c r="I2743" t="str">
        <f t="shared" si="223"/>
        <v>kof2003</v>
      </c>
      <c r="J2743" t="str">
        <f t="shared" si="224"/>
        <v>kof2003release</v>
      </c>
      <c r="K2743" t="s">
        <v>46</v>
      </c>
      <c r="L2743" t="str">
        <f t="shared" si="227"/>
        <v>NGM-2710</v>
      </c>
      <c r="M2743" t="str">
        <f t="shared" si="227"/>
        <v>20031212</v>
      </c>
      <c r="N2743" t="str">
        <f t="shared" si="227"/>
        <v>ザ・キング・オブ・ファイターズ 2003</v>
      </c>
      <c r="O2743" t="str">
        <f t="shared" si="227"/>
        <v/>
      </c>
      <c r="P2743" t="str">
        <f t="shared" si="227"/>
        <v/>
      </c>
      <c r="Q2743" t="s">
        <v>1448</v>
      </c>
      <c r="T2743" t="str">
        <f t="shared" si="225"/>
        <v/>
      </c>
      <c r="V2743" t="str">
        <f t="shared" si="226"/>
        <v>MVS</v>
      </c>
      <c r="W2743" t="str">
        <f t="shared" si="226"/>
        <v>MVS,AES</v>
      </c>
      <c r="AG2743" t="s">
        <v>1429</v>
      </c>
      <c r="AH2743" t="s">
        <v>1447</v>
      </c>
      <c r="AI2743" t="s">
        <v>1427</v>
      </c>
      <c r="AJ2743" t="s">
        <v>11</v>
      </c>
      <c r="AK2743" t="s">
        <v>1446</v>
      </c>
      <c r="AL2743" t="s">
        <v>1445</v>
      </c>
    </row>
    <row r="2744" spans="5:43" x14ac:dyDescent="0.25">
      <c r="I2744" t="str">
        <f t="shared" si="223"/>
        <v>kof2003</v>
      </c>
      <c r="J2744" t="str">
        <f t="shared" si="224"/>
        <v>kof2003alt_title</v>
      </c>
      <c r="K2744" t="s">
        <v>1218</v>
      </c>
      <c r="L2744" t="str">
        <f t="shared" si="227"/>
        <v>NGM-2710</v>
      </c>
      <c r="M2744" t="str">
        <f t="shared" si="227"/>
        <v>20031212</v>
      </c>
      <c r="N2744" t="str">
        <f t="shared" si="227"/>
        <v>ザ・キング・オブ・ファイターズ 2003</v>
      </c>
      <c r="O2744" t="str">
        <f t="shared" si="227"/>
        <v/>
      </c>
      <c r="P2744" t="str">
        <f t="shared" si="227"/>
        <v/>
      </c>
      <c r="Q2744" t="s">
        <v>1424</v>
      </c>
      <c r="T2744" t="str">
        <f t="shared" si="225"/>
        <v/>
      </c>
      <c r="V2744" t="str">
        <f t="shared" si="226"/>
        <v>MVS</v>
      </c>
      <c r="W2744" t="str">
        <f t="shared" si="226"/>
        <v>MVS,AES</v>
      </c>
      <c r="AG2744" t="s">
        <v>40</v>
      </c>
      <c r="AH2744" t="s">
        <v>1444</v>
      </c>
      <c r="AI2744" t="s">
        <v>57</v>
      </c>
      <c r="AJ2744" t="s">
        <v>15</v>
      </c>
      <c r="AK2744" t="s">
        <v>1443</v>
      </c>
      <c r="AL2744" t="s">
        <v>1442</v>
      </c>
    </row>
    <row r="2745" spans="5:43" x14ac:dyDescent="0.25">
      <c r="I2745" t="str">
        <f t="shared" si="223"/>
        <v>kof2003</v>
      </c>
      <c r="J2745" t="str">
        <f t="shared" si="224"/>
        <v/>
      </c>
      <c r="L2745" t="str">
        <f t="shared" si="227"/>
        <v>NGM-2710</v>
      </c>
      <c r="M2745" t="str">
        <f t="shared" si="227"/>
        <v>20031212</v>
      </c>
      <c r="N2745" t="str">
        <f t="shared" si="227"/>
        <v>ザ・キング・オブ・ファイターズ 2003</v>
      </c>
      <c r="O2745" t="str">
        <f t="shared" si="227"/>
        <v/>
      </c>
      <c r="P2745" t="str">
        <f t="shared" si="227"/>
        <v/>
      </c>
      <c r="S2745" t="s">
        <v>36</v>
      </c>
      <c r="T2745" t="str">
        <f t="shared" si="225"/>
        <v>kof2003compatibility</v>
      </c>
      <c r="U2745" t="s">
        <v>218</v>
      </c>
      <c r="V2745" t="str">
        <f t="shared" si="226"/>
        <v>MVS</v>
      </c>
      <c r="W2745" t="str">
        <f t="shared" si="226"/>
        <v>MVS,AES</v>
      </c>
      <c r="AB2745" t="s">
        <v>34</v>
      </c>
      <c r="AE2745" t="s">
        <v>480</v>
      </c>
      <c r="AG2745" t="s">
        <v>538</v>
      </c>
      <c r="AI2745" t="s">
        <v>9</v>
      </c>
      <c r="AJ2745" t="s">
        <v>480</v>
      </c>
      <c r="AN2745" t="s">
        <v>537</v>
      </c>
    </row>
    <row r="2746" spans="5:43" x14ac:dyDescent="0.25">
      <c r="I2746" t="str">
        <f t="shared" si="223"/>
        <v>kof2003</v>
      </c>
      <c r="J2746" t="str">
        <f t="shared" si="224"/>
        <v/>
      </c>
      <c r="L2746" t="str">
        <f t="shared" si="227"/>
        <v>NGM-2710</v>
      </c>
      <c r="M2746" t="str">
        <f t="shared" si="227"/>
        <v>20031212</v>
      </c>
      <c r="N2746" t="str">
        <f t="shared" si="227"/>
        <v>ザ・キング・オブ・ファイターズ 2003</v>
      </c>
      <c r="O2746" t="str">
        <f t="shared" si="227"/>
        <v/>
      </c>
      <c r="P2746" t="str">
        <f t="shared" si="227"/>
        <v/>
      </c>
      <c r="T2746" t="str">
        <f t="shared" si="225"/>
        <v/>
      </c>
      <c r="V2746" t="str">
        <f t="shared" si="226"/>
        <v>MVS</v>
      </c>
      <c r="W2746" t="str">
        <f t="shared" si="226"/>
        <v>MVS,AES</v>
      </c>
      <c r="AB2746" t="s">
        <v>482</v>
      </c>
      <c r="AE2746" t="s">
        <v>480</v>
      </c>
      <c r="AH2746" t="s">
        <v>1441</v>
      </c>
      <c r="AI2746" t="s">
        <v>314</v>
      </c>
      <c r="AJ2746" t="s">
        <v>480</v>
      </c>
      <c r="AK2746" t="s">
        <v>1440</v>
      </c>
      <c r="AL2746" t="s">
        <v>1439</v>
      </c>
    </row>
    <row r="2747" spans="5:43" x14ac:dyDescent="0.25">
      <c r="I2747" t="str">
        <f t="shared" si="223"/>
        <v>kof2003</v>
      </c>
      <c r="J2747" t="str">
        <f t="shared" si="224"/>
        <v/>
      </c>
      <c r="L2747" t="str">
        <f t="shared" si="227"/>
        <v>NGM-2710</v>
      </c>
      <c r="M2747" t="str">
        <f t="shared" si="227"/>
        <v>20031212</v>
      </c>
      <c r="N2747" t="str">
        <f t="shared" si="227"/>
        <v>ザ・キング・オブ・ファイターズ 2003</v>
      </c>
      <c r="O2747" t="str">
        <f t="shared" si="227"/>
        <v/>
      </c>
      <c r="P2747" t="str">
        <f t="shared" si="227"/>
        <v/>
      </c>
      <c r="T2747" t="str">
        <f t="shared" si="225"/>
        <v/>
      </c>
      <c r="V2747" t="str">
        <f t="shared" si="226"/>
        <v>MVS</v>
      </c>
      <c r="W2747" t="str">
        <f t="shared" si="226"/>
        <v>MVS,AES</v>
      </c>
      <c r="AB2747" t="s">
        <v>24</v>
      </c>
      <c r="AE2747" t="s">
        <v>65</v>
      </c>
      <c r="AH2747" t="s">
        <v>181</v>
      </c>
      <c r="AI2747" t="s">
        <v>9</v>
      </c>
      <c r="AJ2747" t="s">
        <v>57</v>
      </c>
      <c r="AK2747" t="s">
        <v>180</v>
      </c>
      <c r="AL2747" t="s">
        <v>179</v>
      </c>
    </row>
    <row r="2748" spans="5:43" x14ac:dyDescent="0.25">
      <c r="I2748" t="str">
        <f t="shared" si="223"/>
        <v>kof2003</v>
      </c>
      <c r="J2748" t="str">
        <f t="shared" si="224"/>
        <v/>
      </c>
      <c r="L2748" t="str">
        <f t="shared" si="227"/>
        <v>NGM-2710</v>
      </c>
      <c r="M2748" t="str">
        <f t="shared" si="227"/>
        <v>20031212</v>
      </c>
      <c r="N2748" t="str">
        <f t="shared" si="227"/>
        <v>ザ・キング・オブ・ファイターズ 2003</v>
      </c>
      <c r="O2748" t="str">
        <f t="shared" si="227"/>
        <v/>
      </c>
      <c r="P2748" t="str">
        <f t="shared" si="227"/>
        <v/>
      </c>
      <c r="T2748" t="str">
        <f t="shared" si="225"/>
        <v/>
      </c>
      <c r="V2748" t="str">
        <f t="shared" si="226"/>
        <v>MVS</v>
      </c>
      <c r="W2748" t="str">
        <f t="shared" si="226"/>
        <v>MVS,AES</v>
      </c>
      <c r="AH2748" t="s">
        <v>178</v>
      </c>
      <c r="AI2748" t="s">
        <v>57</v>
      </c>
      <c r="AJ2748" t="s">
        <v>57</v>
      </c>
      <c r="AK2748" t="s">
        <v>177</v>
      </c>
      <c r="AL2748" t="s">
        <v>176</v>
      </c>
    </row>
    <row r="2749" spans="5:43" x14ac:dyDescent="0.25">
      <c r="I2749" t="str">
        <f t="shared" si="223"/>
        <v>kof2003</v>
      </c>
      <c r="J2749" t="str">
        <f t="shared" si="224"/>
        <v/>
      </c>
      <c r="L2749" t="str">
        <f t="shared" si="227"/>
        <v>NGM-2710</v>
      </c>
      <c r="M2749" t="str">
        <f t="shared" si="227"/>
        <v>20031212</v>
      </c>
      <c r="N2749" t="str">
        <f t="shared" si="227"/>
        <v>ザ・キング・オブ・ファイターズ 2003</v>
      </c>
      <c r="O2749" t="str">
        <f t="shared" si="227"/>
        <v/>
      </c>
      <c r="P2749" t="str">
        <f t="shared" si="227"/>
        <v/>
      </c>
      <c r="T2749" t="str">
        <f t="shared" si="225"/>
        <v/>
      </c>
      <c r="V2749" t="str">
        <f t="shared" si="226"/>
        <v>MVS</v>
      </c>
      <c r="W2749" t="str">
        <f t="shared" si="226"/>
        <v>MVS,AES</v>
      </c>
      <c r="AB2749" t="s">
        <v>12</v>
      </c>
      <c r="AE2749" t="s">
        <v>175</v>
      </c>
      <c r="AG2749" t="s">
        <v>6</v>
      </c>
      <c r="AH2749" t="s">
        <v>174</v>
      </c>
      <c r="AI2749" t="s">
        <v>9</v>
      </c>
      <c r="AJ2749" t="s">
        <v>57</v>
      </c>
      <c r="AK2749" t="s">
        <v>173</v>
      </c>
      <c r="AL2749" t="s">
        <v>172</v>
      </c>
    </row>
    <row r="2750" spans="5:43" x14ac:dyDescent="0.25">
      <c r="I2750" t="str">
        <f t="shared" si="223"/>
        <v>kof2003</v>
      </c>
      <c r="J2750" t="str">
        <f t="shared" si="224"/>
        <v/>
      </c>
      <c r="L2750" t="str">
        <f t="shared" si="227"/>
        <v>NGM-2710</v>
      </c>
      <c r="M2750" t="str">
        <f t="shared" si="227"/>
        <v>20031212</v>
      </c>
      <c r="N2750" t="str">
        <f t="shared" si="227"/>
        <v>ザ・キング・オブ・ファイターズ 2003</v>
      </c>
      <c r="O2750" t="str">
        <f t="shared" si="227"/>
        <v/>
      </c>
      <c r="P2750" t="str">
        <f t="shared" si="227"/>
        <v/>
      </c>
      <c r="T2750" t="str">
        <f t="shared" si="225"/>
        <v/>
      </c>
      <c r="V2750" t="str">
        <f t="shared" si="226"/>
        <v>MVS</v>
      </c>
      <c r="W2750" t="str">
        <f t="shared" si="226"/>
        <v>MVS,AES</v>
      </c>
      <c r="AG2750" t="s">
        <v>6</v>
      </c>
      <c r="AH2750" t="s">
        <v>171</v>
      </c>
      <c r="AI2750" t="s">
        <v>4</v>
      </c>
      <c r="AJ2750" t="s">
        <v>57</v>
      </c>
      <c r="AK2750" t="s">
        <v>170</v>
      </c>
      <c r="AL2750" t="s">
        <v>169</v>
      </c>
    </row>
    <row r="2751" spans="5:43" x14ac:dyDescent="0.25">
      <c r="I2751" t="str">
        <f t="shared" si="223"/>
        <v>kof2003</v>
      </c>
      <c r="J2751" t="str">
        <f t="shared" si="224"/>
        <v/>
      </c>
      <c r="L2751" t="str">
        <f t="shared" si="227"/>
        <v>NGM-2710</v>
      </c>
      <c r="M2751" t="str">
        <f t="shared" si="227"/>
        <v>20031212</v>
      </c>
      <c r="N2751" t="str">
        <f t="shared" si="227"/>
        <v>ザ・キング・オブ・ファイターズ 2003</v>
      </c>
      <c r="O2751" t="str">
        <f t="shared" si="227"/>
        <v/>
      </c>
      <c r="P2751" t="str">
        <f t="shared" si="227"/>
        <v/>
      </c>
      <c r="T2751" t="str">
        <f t="shared" si="225"/>
        <v/>
      </c>
      <c r="V2751" t="str">
        <f t="shared" si="226"/>
        <v>MVS</v>
      </c>
      <c r="W2751" t="str">
        <f t="shared" si="226"/>
        <v>MVS,AES</v>
      </c>
      <c r="AG2751" t="s">
        <v>6</v>
      </c>
      <c r="AH2751" t="s">
        <v>168</v>
      </c>
      <c r="AI2751" t="s">
        <v>65</v>
      </c>
      <c r="AJ2751" t="s">
        <v>57</v>
      </c>
      <c r="AK2751" t="s">
        <v>167</v>
      </c>
      <c r="AL2751" t="s">
        <v>166</v>
      </c>
    </row>
    <row r="2752" spans="5:43" x14ac:dyDescent="0.25">
      <c r="I2752" t="str">
        <f t="shared" si="223"/>
        <v>kof2003</v>
      </c>
      <c r="J2752" t="str">
        <f t="shared" si="224"/>
        <v/>
      </c>
      <c r="L2752" t="str">
        <f t="shared" si="227"/>
        <v>NGM-2710</v>
      </c>
      <c r="M2752" t="str">
        <f t="shared" si="227"/>
        <v>20031212</v>
      </c>
      <c r="N2752" t="str">
        <f t="shared" si="227"/>
        <v>ザ・キング・オブ・ファイターズ 2003</v>
      </c>
      <c r="O2752" t="str">
        <f t="shared" si="227"/>
        <v/>
      </c>
      <c r="P2752" t="str">
        <f t="shared" si="227"/>
        <v/>
      </c>
      <c r="T2752" t="str">
        <f t="shared" si="225"/>
        <v/>
      </c>
      <c r="V2752" t="str">
        <f t="shared" si="226"/>
        <v>MVS</v>
      </c>
      <c r="W2752" t="str">
        <f t="shared" si="226"/>
        <v>MVS,AES</v>
      </c>
      <c r="AG2752" t="s">
        <v>6</v>
      </c>
      <c r="AH2752" t="s">
        <v>165</v>
      </c>
      <c r="AI2752" t="s">
        <v>164</v>
      </c>
      <c r="AJ2752" t="s">
        <v>57</v>
      </c>
      <c r="AK2752" t="s">
        <v>163</v>
      </c>
      <c r="AL2752" t="s">
        <v>162</v>
      </c>
    </row>
    <row r="2753" spans="5:44" x14ac:dyDescent="0.25">
      <c r="I2753" t="str">
        <f t="shared" si="223"/>
        <v>kof2003</v>
      </c>
      <c r="J2753" t="str">
        <f t="shared" si="224"/>
        <v/>
      </c>
      <c r="L2753" t="str">
        <f t="shared" si="227"/>
        <v>NGM-2710</v>
      </c>
      <c r="M2753" t="str">
        <f t="shared" si="227"/>
        <v>20031212</v>
      </c>
      <c r="N2753" t="str">
        <f t="shared" si="227"/>
        <v>ザ・キング・オブ・ファイターズ 2003</v>
      </c>
      <c r="O2753" t="str">
        <f t="shared" si="227"/>
        <v/>
      </c>
      <c r="P2753" t="str">
        <f t="shared" si="227"/>
        <v/>
      </c>
      <c r="T2753" t="str">
        <f t="shared" si="225"/>
        <v/>
      </c>
      <c r="V2753" t="str">
        <f t="shared" si="226"/>
        <v>MVS</v>
      </c>
      <c r="W2753" t="str">
        <f t="shared" si="226"/>
        <v>MVS,AES</v>
      </c>
      <c r="AG2753" t="s">
        <v>6</v>
      </c>
      <c r="AH2753" t="s">
        <v>161</v>
      </c>
      <c r="AI2753" t="s">
        <v>160</v>
      </c>
      <c r="AJ2753" t="s">
        <v>57</v>
      </c>
      <c r="AK2753" t="s">
        <v>159</v>
      </c>
      <c r="AL2753" t="s">
        <v>158</v>
      </c>
    </row>
    <row r="2754" spans="5:44" x14ac:dyDescent="0.25">
      <c r="I2754" t="str">
        <f t="shared" si="223"/>
        <v>kof2003</v>
      </c>
      <c r="J2754" t="str">
        <f t="shared" si="224"/>
        <v/>
      </c>
      <c r="L2754" t="str">
        <f t="shared" si="227"/>
        <v>NGM-2710</v>
      </c>
      <c r="M2754" t="str">
        <f t="shared" si="227"/>
        <v>20031212</v>
      </c>
      <c r="N2754" t="str">
        <f t="shared" si="227"/>
        <v>ザ・キング・オブ・ファイターズ 2003</v>
      </c>
      <c r="O2754" t="str">
        <f t="shared" si="227"/>
        <v/>
      </c>
      <c r="P2754" t="str">
        <f t="shared" si="227"/>
        <v/>
      </c>
      <c r="T2754" t="str">
        <f t="shared" si="225"/>
        <v/>
      </c>
      <c r="V2754" t="str">
        <f t="shared" si="226"/>
        <v>MVS</v>
      </c>
      <c r="W2754" t="str">
        <f t="shared" si="226"/>
        <v>MVS,AES</v>
      </c>
      <c r="AG2754" t="s">
        <v>6</v>
      </c>
      <c r="AH2754" t="s">
        <v>157</v>
      </c>
      <c r="AI2754" t="s">
        <v>156</v>
      </c>
      <c r="AJ2754" t="s">
        <v>57</v>
      </c>
      <c r="AK2754" t="s">
        <v>155</v>
      </c>
      <c r="AL2754" t="s">
        <v>154</v>
      </c>
    </row>
    <row r="2755" spans="5:44" x14ac:dyDescent="0.25">
      <c r="I2755" t="str">
        <f t="shared" ref="I2755:I2818" si="228">IF(E2755="",I2754,E2755)</f>
        <v>kof2003</v>
      </c>
      <c r="J2755" t="str">
        <f t="shared" ref="J2755:J2818" si="229">IF(K2755="","",I2755&amp;K2755)</f>
        <v/>
      </c>
      <c r="L2755" t="str">
        <f t="shared" si="227"/>
        <v>NGM-2710</v>
      </c>
      <c r="M2755" t="str">
        <f t="shared" si="227"/>
        <v>20031212</v>
      </c>
      <c r="N2755" t="str">
        <f t="shared" si="227"/>
        <v>ザ・キング・オブ・ファイターズ 2003</v>
      </c>
      <c r="O2755" t="str">
        <f t="shared" si="227"/>
        <v/>
      </c>
      <c r="P2755" t="str">
        <f t="shared" si="227"/>
        <v/>
      </c>
      <c r="T2755" t="str">
        <f t="shared" ref="T2755:T2818" si="230">IF(S2755="","",I2755&amp;S2755)</f>
        <v/>
      </c>
      <c r="V2755" t="str">
        <f t="shared" si="226"/>
        <v>MVS</v>
      </c>
      <c r="W2755" t="str">
        <f t="shared" si="226"/>
        <v>MVS,AES</v>
      </c>
      <c r="AG2755" t="s">
        <v>6</v>
      </c>
      <c r="AH2755" t="s">
        <v>153</v>
      </c>
      <c r="AI2755" t="s">
        <v>152</v>
      </c>
      <c r="AJ2755" t="s">
        <v>57</v>
      </c>
      <c r="AK2755" t="s">
        <v>151</v>
      </c>
      <c r="AL2755" t="s">
        <v>150</v>
      </c>
    </row>
    <row r="2756" spans="5:44" x14ac:dyDescent="0.25">
      <c r="I2756" t="str">
        <f t="shared" si="228"/>
        <v>kof2003</v>
      </c>
      <c r="J2756" t="str">
        <f t="shared" si="229"/>
        <v/>
      </c>
      <c r="L2756" t="str">
        <f t="shared" si="227"/>
        <v>NGM-2710</v>
      </c>
      <c r="M2756" t="str">
        <f t="shared" si="227"/>
        <v>20031212</v>
      </c>
      <c r="N2756" t="str">
        <f t="shared" si="227"/>
        <v>ザ・キング・オブ・ファイターズ 2003</v>
      </c>
      <c r="O2756" t="str">
        <f t="shared" si="227"/>
        <v/>
      </c>
      <c r="P2756" t="str">
        <f t="shared" si="227"/>
        <v/>
      </c>
      <c r="T2756" t="str">
        <f t="shared" si="230"/>
        <v/>
      </c>
      <c r="V2756" t="str">
        <f t="shared" si="226"/>
        <v>MVS</v>
      </c>
      <c r="W2756" t="str">
        <f t="shared" si="226"/>
        <v>MVS,AES</v>
      </c>
      <c r="AG2756" t="s">
        <v>6</v>
      </c>
      <c r="AH2756" t="s">
        <v>149</v>
      </c>
      <c r="AI2756" t="s">
        <v>148</v>
      </c>
      <c r="AJ2756" t="s">
        <v>57</v>
      </c>
      <c r="AK2756" t="s">
        <v>147</v>
      </c>
      <c r="AL2756" t="s">
        <v>146</v>
      </c>
    </row>
    <row r="2757" spans="5:44" x14ac:dyDescent="0.25">
      <c r="E2757" t="s">
        <v>1438</v>
      </c>
      <c r="F2757" t="s">
        <v>1437</v>
      </c>
      <c r="G2757" t="s">
        <v>195</v>
      </c>
      <c r="H2757" t="s">
        <v>1436</v>
      </c>
      <c r="I2757" t="str">
        <f t="shared" si="228"/>
        <v>kof2003h</v>
      </c>
      <c r="J2757" t="str">
        <f t="shared" si="229"/>
        <v>kof2003hserial</v>
      </c>
      <c r="K2757" t="s">
        <v>1373</v>
      </c>
      <c r="L2757" t="str">
        <f t="shared" si="227"/>
        <v>NGH-2710</v>
      </c>
      <c r="M2757" t="str">
        <f t="shared" si="227"/>
        <v>20040318</v>
      </c>
      <c r="N2757" t="str">
        <f t="shared" si="227"/>
        <v>ザ・キング・オブ・ファイターズ 2003</v>
      </c>
      <c r="O2757" t="str">
        <f t="shared" si="227"/>
        <v/>
      </c>
      <c r="P2757" t="str">
        <f t="shared" si="227"/>
        <v/>
      </c>
      <c r="Q2757" t="s">
        <v>1435</v>
      </c>
      <c r="S2757" t="s">
        <v>46</v>
      </c>
      <c r="T2757" t="str">
        <f t="shared" si="230"/>
        <v>kof2003hrelease</v>
      </c>
      <c r="U2757" t="s">
        <v>35</v>
      </c>
      <c r="V2757" t="str">
        <f t="shared" si="226"/>
        <v>AES</v>
      </c>
      <c r="W2757" t="str">
        <f t="shared" si="226"/>
        <v>MVS,AES</v>
      </c>
      <c r="Y2757" t="s">
        <v>45</v>
      </c>
      <c r="Z2757" t="s">
        <v>44</v>
      </c>
      <c r="AB2757" t="s">
        <v>43</v>
      </c>
      <c r="AC2757" t="s">
        <v>42</v>
      </c>
      <c r="AD2757" t="s">
        <v>41</v>
      </c>
      <c r="AE2757" t="s">
        <v>704</v>
      </c>
      <c r="AG2757" t="s">
        <v>1429</v>
      </c>
      <c r="AH2757" t="s">
        <v>1434</v>
      </c>
      <c r="AI2757" t="s">
        <v>9</v>
      </c>
      <c r="AJ2757" t="s">
        <v>11</v>
      </c>
      <c r="AK2757" t="s">
        <v>1433</v>
      </c>
      <c r="AL2757" t="s">
        <v>1432</v>
      </c>
      <c r="AP2757" t="s">
        <v>138</v>
      </c>
      <c r="AQ2757" t="s">
        <v>1431</v>
      </c>
      <c r="AR2757" t="s">
        <v>188</v>
      </c>
    </row>
    <row r="2758" spans="5:44" x14ac:dyDescent="0.25">
      <c r="I2758" t="str">
        <f t="shared" si="228"/>
        <v>kof2003h</v>
      </c>
      <c r="J2758" t="str">
        <f t="shared" si="229"/>
        <v>kof2003hrelease</v>
      </c>
      <c r="K2758" t="s">
        <v>46</v>
      </c>
      <c r="L2758" t="str">
        <f t="shared" si="227"/>
        <v>NGH-2710</v>
      </c>
      <c r="M2758" t="str">
        <f t="shared" si="227"/>
        <v>20040318</v>
      </c>
      <c r="N2758" t="str">
        <f t="shared" si="227"/>
        <v>ザ・キング・オブ・ファイターズ 2003</v>
      </c>
      <c r="O2758" t="str">
        <f t="shared" si="227"/>
        <v/>
      </c>
      <c r="P2758" t="str">
        <f t="shared" si="227"/>
        <v/>
      </c>
      <c r="Q2758" t="s">
        <v>1430</v>
      </c>
      <c r="T2758" t="str">
        <f t="shared" si="230"/>
        <v/>
      </c>
      <c r="V2758" t="str">
        <f t="shared" si="226"/>
        <v>AES</v>
      </c>
      <c r="W2758" t="str">
        <f t="shared" si="226"/>
        <v>MVS,AES</v>
      </c>
      <c r="AG2758" t="s">
        <v>1429</v>
      </c>
      <c r="AH2758" t="s">
        <v>1428</v>
      </c>
      <c r="AI2758" t="s">
        <v>1427</v>
      </c>
      <c r="AJ2758" t="s">
        <v>11</v>
      </c>
      <c r="AK2758" t="s">
        <v>1426</v>
      </c>
      <c r="AL2758" t="s">
        <v>1425</v>
      </c>
    </row>
    <row r="2759" spans="5:44" x14ac:dyDescent="0.25">
      <c r="I2759" t="str">
        <f t="shared" si="228"/>
        <v>kof2003h</v>
      </c>
      <c r="J2759" t="str">
        <f t="shared" si="229"/>
        <v>kof2003halt_title</v>
      </c>
      <c r="K2759" t="s">
        <v>1218</v>
      </c>
      <c r="L2759" t="str">
        <f t="shared" si="227"/>
        <v>NGH-2710</v>
      </c>
      <c r="M2759" t="str">
        <f t="shared" si="227"/>
        <v>20040318</v>
      </c>
      <c r="N2759" t="str">
        <f t="shared" si="227"/>
        <v>ザ・キング・オブ・ファイターズ 2003</v>
      </c>
      <c r="O2759" t="str">
        <f t="shared" si="227"/>
        <v/>
      </c>
      <c r="P2759" t="str">
        <f t="shared" si="227"/>
        <v/>
      </c>
      <c r="Q2759" t="s">
        <v>1424</v>
      </c>
      <c r="T2759" t="str">
        <f t="shared" si="230"/>
        <v/>
      </c>
      <c r="V2759" t="str">
        <f t="shared" si="226"/>
        <v>AES</v>
      </c>
      <c r="W2759" t="str">
        <f t="shared" si="226"/>
        <v>MVS,AES</v>
      </c>
      <c r="AG2759" t="s">
        <v>40</v>
      </c>
      <c r="AH2759" t="s">
        <v>1423</v>
      </c>
      <c r="AI2759" t="s">
        <v>57</v>
      </c>
      <c r="AJ2759" t="s">
        <v>15</v>
      </c>
      <c r="AK2759" t="s">
        <v>1422</v>
      </c>
      <c r="AL2759" t="s">
        <v>1421</v>
      </c>
    </row>
    <row r="2760" spans="5:44" x14ac:dyDescent="0.25">
      <c r="I2760" t="str">
        <f t="shared" si="228"/>
        <v>kof2003h</v>
      </c>
      <c r="J2760" t="str">
        <f t="shared" si="229"/>
        <v/>
      </c>
      <c r="L2760" t="str">
        <f t="shared" si="227"/>
        <v>NGH-2710</v>
      </c>
      <c r="M2760" t="str">
        <f t="shared" si="227"/>
        <v>20040318</v>
      </c>
      <c r="N2760" t="str">
        <f t="shared" si="227"/>
        <v>ザ・キング・オブ・ファイターズ 2003</v>
      </c>
      <c r="O2760" t="str">
        <f t="shared" si="227"/>
        <v/>
      </c>
      <c r="P2760" t="str">
        <f t="shared" si="227"/>
        <v/>
      </c>
      <c r="S2760" t="s">
        <v>36</v>
      </c>
      <c r="T2760" t="str">
        <f t="shared" si="230"/>
        <v>kof2003hcompatibility</v>
      </c>
      <c r="U2760" t="s">
        <v>218</v>
      </c>
      <c r="V2760" t="str">
        <f t="shared" si="226"/>
        <v>AES</v>
      </c>
      <c r="W2760" t="str">
        <f t="shared" si="226"/>
        <v>MVS,AES</v>
      </c>
      <c r="AB2760" t="s">
        <v>34</v>
      </c>
      <c r="AE2760" t="s">
        <v>480</v>
      </c>
      <c r="AG2760" t="s">
        <v>538</v>
      </c>
      <c r="AI2760" t="s">
        <v>9</v>
      </c>
      <c r="AJ2760" t="s">
        <v>480</v>
      </c>
      <c r="AN2760" t="s">
        <v>537</v>
      </c>
    </row>
    <row r="2761" spans="5:44" x14ac:dyDescent="0.25">
      <c r="I2761" t="str">
        <f t="shared" si="228"/>
        <v>kof2003h</v>
      </c>
      <c r="J2761" t="str">
        <f t="shared" si="229"/>
        <v/>
      </c>
      <c r="L2761" t="str">
        <f t="shared" si="227"/>
        <v>NGH-2710</v>
      </c>
      <c r="M2761" t="str">
        <f t="shared" si="227"/>
        <v>20040318</v>
      </c>
      <c r="N2761" t="str">
        <f t="shared" si="227"/>
        <v>ザ・キング・オブ・ファイターズ 2003</v>
      </c>
      <c r="O2761" t="str">
        <f t="shared" si="227"/>
        <v/>
      </c>
      <c r="P2761" t="str">
        <f t="shared" si="227"/>
        <v/>
      </c>
      <c r="T2761" t="str">
        <f t="shared" si="230"/>
        <v/>
      </c>
      <c r="V2761" t="str">
        <f t="shared" si="226"/>
        <v>AES</v>
      </c>
      <c r="W2761" t="str">
        <f t="shared" si="226"/>
        <v>MVS,AES</v>
      </c>
      <c r="AB2761" t="s">
        <v>482</v>
      </c>
      <c r="AE2761" t="s">
        <v>480</v>
      </c>
      <c r="AH2761" t="s">
        <v>1420</v>
      </c>
      <c r="AI2761" t="s">
        <v>314</v>
      </c>
      <c r="AJ2761" t="s">
        <v>480</v>
      </c>
      <c r="AK2761" t="s">
        <v>1419</v>
      </c>
      <c r="AL2761" t="s">
        <v>1418</v>
      </c>
    </row>
    <row r="2762" spans="5:44" x14ac:dyDescent="0.25">
      <c r="I2762" t="str">
        <f t="shared" si="228"/>
        <v>kof2003h</v>
      </c>
      <c r="J2762" t="str">
        <f t="shared" si="229"/>
        <v/>
      </c>
      <c r="L2762" t="str">
        <f t="shared" si="227"/>
        <v>NGH-2710</v>
      </c>
      <c r="M2762" t="str">
        <f t="shared" si="227"/>
        <v>20040318</v>
      </c>
      <c r="N2762" t="str">
        <f t="shared" si="227"/>
        <v>ザ・キング・オブ・ファイターズ 2003</v>
      </c>
      <c r="O2762" t="str">
        <f t="shared" si="227"/>
        <v/>
      </c>
      <c r="P2762" t="str">
        <f t="shared" si="227"/>
        <v/>
      </c>
      <c r="T2762" t="str">
        <f t="shared" si="230"/>
        <v/>
      </c>
      <c r="V2762" t="str">
        <f t="shared" si="226"/>
        <v>AES</v>
      </c>
      <c r="W2762" t="str">
        <f t="shared" si="226"/>
        <v>MVS,AES</v>
      </c>
      <c r="AB2762" t="s">
        <v>24</v>
      </c>
      <c r="AE2762" t="s">
        <v>65</v>
      </c>
      <c r="AH2762" t="s">
        <v>181</v>
      </c>
      <c r="AI2762" t="s">
        <v>9</v>
      </c>
      <c r="AJ2762" t="s">
        <v>57</v>
      </c>
      <c r="AK2762" t="s">
        <v>180</v>
      </c>
      <c r="AL2762" t="s">
        <v>179</v>
      </c>
    </row>
    <row r="2763" spans="5:44" x14ac:dyDescent="0.25">
      <c r="I2763" t="str">
        <f t="shared" si="228"/>
        <v>kof2003h</v>
      </c>
      <c r="J2763" t="str">
        <f t="shared" si="229"/>
        <v/>
      </c>
      <c r="L2763" t="str">
        <f t="shared" si="227"/>
        <v>NGH-2710</v>
      </c>
      <c r="M2763" t="str">
        <f t="shared" si="227"/>
        <v>20040318</v>
      </c>
      <c r="N2763" t="str">
        <f t="shared" si="227"/>
        <v>ザ・キング・オブ・ファイターズ 2003</v>
      </c>
      <c r="O2763" t="str">
        <f t="shared" si="227"/>
        <v/>
      </c>
      <c r="P2763" t="str">
        <f t="shared" si="227"/>
        <v/>
      </c>
      <c r="T2763" t="str">
        <f t="shared" si="230"/>
        <v/>
      </c>
      <c r="V2763" t="str">
        <f t="shared" si="226"/>
        <v>AES</v>
      </c>
      <c r="W2763" t="str">
        <f t="shared" si="226"/>
        <v>MVS,AES</v>
      </c>
      <c r="AH2763" t="s">
        <v>178</v>
      </c>
      <c r="AI2763" t="s">
        <v>57</v>
      </c>
      <c r="AJ2763" t="s">
        <v>57</v>
      </c>
      <c r="AK2763" t="s">
        <v>177</v>
      </c>
      <c r="AL2763" t="s">
        <v>176</v>
      </c>
    </row>
    <row r="2764" spans="5:44" x14ac:dyDescent="0.25">
      <c r="I2764" t="str">
        <f t="shared" si="228"/>
        <v>kof2003h</v>
      </c>
      <c r="J2764" t="str">
        <f t="shared" si="229"/>
        <v/>
      </c>
      <c r="L2764" t="str">
        <f t="shared" si="227"/>
        <v>NGH-2710</v>
      </c>
      <c r="M2764" t="str">
        <f t="shared" si="227"/>
        <v>20040318</v>
      </c>
      <c r="N2764" t="str">
        <f t="shared" si="227"/>
        <v>ザ・キング・オブ・ファイターズ 2003</v>
      </c>
      <c r="O2764" t="str">
        <f t="shared" si="227"/>
        <v/>
      </c>
      <c r="P2764" t="str">
        <f t="shared" si="227"/>
        <v/>
      </c>
      <c r="T2764" t="str">
        <f t="shared" si="230"/>
        <v/>
      </c>
      <c r="V2764" t="str">
        <f t="shared" si="226"/>
        <v>AES</v>
      </c>
      <c r="W2764" t="str">
        <f t="shared" si="226"/>
        <v>MVS,AES</v>
      </c>
      <c r="AB2764" t="s">
        <v>12</v>
      </c>
      <c r="AE2764" t="s">
        <v>175</v>
      </c>
      <c r="AG2764" t="s">
        <v>6</v>
      </c>
      <c r="AH2764" t="s">
        <v>1417</v>
      </c>
      <c r="AI2764" t="s">
        <v>9</v>
      </c>
      <c r="AJ2764" t="s">
        <v>57</v>
      </c>
      <c r="AK2764" t="s">
        <v>1416</v>
      </c>
      <c r="AL2764" t="s">
        <v>1415</v>
      </c>
    </row>
    <row r="2765" spans="5:44" x14ac:dyDescent="0.25">
      <c r="I2765" t="str">
        <f t="shared" si="228"/>
        <v>kof2003h</v>
      </c>
      <c r="J2765" t="str">
        <f t="shared" si="229"/>
        <v/>
      </c>
      <c r="L2765" t="str">
        <f t="shared" si="227"/>
        <v>NGH-2710</v>
      </c>
      <c r="M2765" t="str">
        <f t="shared" si="227"/>
        <v>20040318</v>
      </c>
      <c r="N2765" t="str">
        <f t="shared" si="227"/>
        <v>ザ・キング・オブ・ファイターズ 2003</v>
      </c>
      <c r="O2765" t="str">
        <f t="shared" si="227"/>
        <v/>
      </c>
      <c r="P2765" t="str">
        <f t="shared" si="227"/>
        <v/>
      </c>
      <c r="T2765" t="str">
        <f t="shared" si="230"/>
        <v/>
      </c>
      <c r="V2765" t="str">
        <f t="shared" si="226"/>
        <v>AES</v>
      </c>
      <c r="W2765" t="str">
        <f t="shared" si="226"/>
        <v>MVS,AES</v>
      </c>
      <c r="AG2765" t="s">
        <v>6</v>
      </c>
      <c r="AH2765" t="s">
        <v>1414</v>
      </c>
      <c r="AI2765" t="s">
        <v>4</v>
      </c>
      <c r="AJ2765" t="s">
        <v>57</v>
      </c>
      <c r="AK2765" t="s">
        <v>1413</v>
      </c>
      <c r="AL2765" t="s">
        <v>1412</v>
      </c>
    </row>
    <row r="2766" spans="5:44" x14ac:dyDescent="0.25">
      <c r="I2766" t="str">
        <f t="shared" si="228"/>
        <v>kof2003h</v>
      </c>
      <c r="J2766" t="str">
        <f t="shared" si="229"/>
        <v/>
      </c>
      <c r="L2766" t="str">
        <f t="shared" si="227"/>
        <v>NGH-2710</v>
      </c>
      <c r="M2766" t="str">
        <f t="shared" si="227"/>
        <v>20040318</v>
      </c>
      <c r="N2766" t="str">
        <f t="shared" si="227"/>
        <v>ザ・キング・オブ・ファイターズ 2003</v>
      </c>
      <c r="O2766" t="str">
        <f t="shared" si="227"/>
        <v/>
      </c>
      <c r="P2766" t="str">
        <f t="shared" si="227"/>
        <v/>
      </c>
      <c r="T2766" t="str">
        <f t="shared" si="230"/>
        <v/>
      </c>
      <c r="V2766" t="str">
        <f t="shared" si="226"/>
        <v>AES</v>
      </c>
      <c r="W2766" t="str">
        <f t="shared" si="226"/>
        <v>MVS,AES</v>
      </c>
      <c r="AG2766" t="s">
        <v>6</v>
      </c>
      <c r="AH2766" t="s">
        <v>1411</v>
      </c>
      <c r="AI2766" t="s">
        <v>65</v>
      </c>
      <c r="AJ2766" t="s">
        <v>57</v>
      </c>
      <c r="AK2766" t="s">
        <v>1410</v>
      </c>
      <c r="AL2766" t="s">
        <v>1409</v>
      </c>
    </row>
    <row r="2767" spans="5:44" x14ac:dyDescent="0.25">
      <c r="I2767" t="str">
        <f t="shared" si="228"/>
        <v>kof2003h</v>
      </c>
      <c r="J2767" t="str">
        <f t="shared" si="229"/>
        <v/>
      </c>
      <c r="L2767" t="str">
        <f t="shared" si="227"/>
        <v>NGH-2710</v>
      </c>
      <c r="M2767" t="str">
        <f t="shared" si="227"/>
        <v>20040318</v>
      </c>
      <c r="N2767" t="str">
        <f t="shared" si="227"/>
        <v>ザ・キング・オブ・ファイターズ 2003</v>
      </c>
      <c r="O2767" t="str">
        <f t="shared" si="227"/>
        <v/>
      </c>
      <c r="P2767" t="str">
        <f t="shared" si="227"/>
        <v/>
      </c>
      <c r="T2767" t="str">
        <f t="shared" si="230"/>
        <v/>
      </c>
      <c r="V2767" t="str">
        <f t="shared" si="226"/>
        <v>AES</v>
      </c>
      <c r="W2767" t="str">
        <f t="shared" si="226"/>
        <v>MVS,AES</v>
      </c>
      <c r="AG2767" t="s">
        <v>6</v>
      </c>
      <c r="AH2767" t="s">
        <v>1408</v>
      </c>
      <c r="AI2767" t="s">
        <v>164</v>
      </c>
      <c r="AJ2767" t="s">
        <v>57</v>
      </c>
      <c r="AK2767" t="s">
        <v>1407</v>
      </c>
      <c r="AL2767" t="s">
        <v>1406</v>
      </c>
    </row>
    <row r="2768" spans="5:44" x14ac:dyDescent="0.25">
      <c r="I2768" t="str">
        <f t="shared" si="228"/>
        <v>kof2003h</v>
      </c>
      <c r="J2768" t="str">
        <f t="shared" si="229"/>
        <v/>
      </c>
      <c r="L2768" t="str">
        <f t="shared" si="227"/>
        <v>NGH-2710</v>
      </c>
      <c r="M2768" t="str">
        <f t="shared" si="227"/>
        <v>20040318</v>
      </c>
      <c r="N2768" t="str">
        <f t="shared" si="227"/>
        <v>ザ・キング・オブ・ファイターズ 2003</v>
      </c>
      <c r="O2768" t="str">
        <f t="shared" si="227"/>
        <v/>
      </c>
      <c r="P2768" t="str">
        <f t="shared" si="227"/>
        <v/>
      </c>
      <c r="T2768" t="str">
        <f t="shared" si="230"/>
        <v/>
      </c>
      <c r="V2768" t="str">
        <f t="shared" si="226"/>
        <v>AES</v>
      </c>
      <c r="W2768" t="str">
        <f t="shared" si="226"/>
        <v>MVS,AES</v>
      </c>
      <c r="AG2768" t="s">
        <v>6</v>
      </c>
      <c r="AH2768" t="s">
        <v>1405</v>
      </c>
      <c r="AI2768" t="s">
        <v>160</v>
      </c>
      <c r="AJ2768" t="s">
        <v>57</v>
      </c>
      <c r="AK2768" t="s">
        <v>1404</v>
      </c>
      <c r="AL2768" t="s">
        <v>1403</v>
      </c>
    </row>
    <row r="2769" spans="5:43" x14ac:dyDescent="0.25">
      <c r="I2769" t="str">
        <f t="shared" si="228"/>
        <v>kof2003h</v>
      </c>
      <c r="J2769" t="str">
        <f t="shared" si="229"/>
        <v/>
      </c>
      <c r="L2769" t="str">
        <f t="shared" ref="L2769:P2819" si="231">IFERROR(VLOOKUP($I2769&amp;L$1,$J:$Q,8,0),"")</f>
        <v>NGH-2710</v>
      </c>
      <c r="M2769" t="str">
        <f t="shared" si="231"/>
        <v>20040318</v>
      </c>
      <c r="N2769" t="str">
        <f t="shared" si="231"/>
        <v>ザ・キング・オブ・ファイターズ 2003</v>
      </c>
      <c r="O2769" t="str">
        <f t="shared" si="231"/>
        <v/>
      </c>
      <c r="P2769" t="str">
        <f t="shared" si="231"/>
        <v/>
      </c>
      <c r="T2769" t="str">
        <f t="shared" si="230"/>
        <v/>
      </c>
      <c r="V2769" t="str">
        <f t="shared" si="226"/>
        <v>AES</v>
      </c>
      <c r="W2769" t="str">
        <f t="shared" si="226"/>
        <v>MVS,AES</v>
      </c>
      <c r="AG2769" t="s">
        <v>6</v>
      </c>
      <c r="AH2769" t="s">
        <v>1402</v>
      </c>
      <c r="AI2769" t="s">
        <v>156</v>
      </c>
      <c r="AJ2769" t="s">
        <v>57</v>
      </c>
      <c r="AK2769" t="s">
        <v>1401</v>
      </c>
      <c r="AL2769" t="s">
        <v>1400</v>
      </c>
    </row>
    <row r="2770" spans="5:43" x14ac:dyDescent="0.25">
      <c r="I2770" t="str">
        <f t="shared" si="228"/>
        <v>kof2003h</v>
      </c>
      <c r="J2770" t="str">
        <f t="shared" si="229"/>
        <v/>
      </c>
      <c r="L2770" t="str">
        <f t="shared" si="231"/>
        <v>NGH-2710</v>
      </c>
      <c r="M2770" t="str">
        <f t="shared" si="231"/>
        <v>20040318</v>
      </c>
      <c r="N2770" t="str">
        <f t="shared" si="231"/>
        <v>ザ・キング・オブ・ファイターズ 2003</v>
      </c>
      <c r="O2770" t="str">
        <f t="shared" si="231"/>
        <v/>
      </c>
      <c r="P2770" t="str">
        <f t="shared" si="231"/>
        <v/>
      </c>
      <c r="T2770" t="str">
        <f t="shared" si="230"/>
        <v/>
      </c>
      <c r="V2770" t="str">
        <f t="shared" si="226"/>
        <v>AES</v>
      </c>
      <c r="W2770" t="str">
        <f t="shared" si="226"/>
        <v>MVS,AES</v>
      </c>
      <c r="AG2770" t="s">
        <v>6</v>
      </c>
      <c r="AH2770" t="s">
        <v>1399</v>
      </c>
      <c r="AI2770" t="s">
        <v>152</v>
      </c>
      <c r="AJ2770" t="s">
        <v>57</v>
      </c>
      <c r="AK2770" t="s">
        <v>1398</v>
      </c>
      <c r="AL2770" t="s">
        <v>1397</v>
      </c>
    </row>
    <row r="2771" spans="5:43" x14ac:dyDescent="0.25">
      <c r="I2771" t="str">
        <f t="shared" si="228"/>
        <v>kof2003h</v>
      </c>
      <c r="J2771" t="str">
        <f t="shared" si="229"/>
        <v/>
      </c>
      <c r="L2771" t="str">
        <f t="shared" si="231"/>
        <v>NGH-2710</v>
      </c>
      <c r="M2771" t="str">
        <f t="shared" si="231"/>
        <v>20040318</v>
      </c>
      <c r="N2771" t="str">
        <f t="shared" si="231"/>
        <v>ザ・キング・オブ・ファイターズ 2003</v>
      </c>
      <c r="O2771" t="str">
        <f t="shared" si="231"/>
        <v/>
      </c>
      <c r="P2771" t="str">
        <f t="shared" si="231"/>
        <v/>
      </c>
      <c r="T2771" t="str">
        <f t="shared" si="230"/>
        <v/>
      </c>
      <c r="V2771" t="str">
        <f t="shared" si="226"/>
        <v>AES</v>
      </c>
      <c r="W2771" t="str">
        <f t="shared" si="226"/>
        <v>MVS,AES</v>
      </c>
      <c r="AG2771" t="s">
        <v>6</v>
      </c>
      <c r="AH2771" t="s">
        <v>1396</v>
      </c>
      <c r="AI2771" t="s">
        <v>148</v>
      </c>
      <c r="AJ2771" t="s">
        <v>57</v>
      </c>
      <c r="AK2771" t="s">
        <v>1395</v>
      </c>
      <c r="AL2771" t="s">
        <v>1394</v>
      </c>
    </row>
    <row r="2772" spans="5:43" x14ac:dyDescent="0.25">
      <c r="E2772" t="s">
        <v>1367</v>
      </c>
      <c r="F2772" t="s">
        <v>1393</v>
      </c>
      <c r="G2772" t="s">
        <v>143</v>
      </c>
      <c r="H2772" t="s">
        <v>1374</v>
      </c>
      <c r="I2772" t="str">
        <f t="shared" si="228"/>
        <v>samsh5sp</v>
      </c>
      <c r="J2772" t="str">
        <f t="shared" si="229"/>
        <v>samsh5spserial</v>
      </c>
      <c r="K2772" t="s">
        <v>1373</v>
      </c>
      <c r="L2772" t="str">
        <f t="shared" si="231"/>
        <v>NGM-2720</v>
      </c>
      <c r="M2772" t="str">
        <f t="shared" si="231"/>
        <v>20040422</v>
      </c>
      <c r="N2772" t="str">
        <f t="shared" si="231"/>
        <v>サムライスピリッツ零 SPECIAL</v>
      </c>
      <c r="O2772" t="str">
        <f t="shared" si="231"/>
        <v/>
      </c>
      <c r="P2772" t="str">
        <f t="shared" si="231"/>
        <v/>
      </c>
      <c r="Q2772" t="s">
        <v>1392</v>
      </c>
      <c r="S2772" t="s">
        <v>46</v>
      </c>
      <c r="T2772" t="str">
        <f t="shared" si="230"/>
        <v>samsh5sprelease</v>
      </c>
      <c r="U2772" t="s">
        <v>106</v>
      </c>
      <c r="V2772" t="str">
        <f t="shared" si="226"/>
        <v>MVS</v>
      </c>
      <c r="W2772" t="str">
        <f t="shared" si="226"/>
        <v>MVS,AES</v>
      </c>
      <c r="Y2772" t="s">
        <v>45</v>
      </c>
      <c r="Z2772" t="s">
        <v>44</v>
      </c>
      <c r="AB2772" t="s">
        <v>43</v>
      </c>
      <c r="AC2772" t="s">
        <v>42</v>
      </c>
      <c r="AD2772" t="s">
        <v>41</v>
      </c>
      <c r="AE2772" t="s">
        <v>57</v>
      </c>
      <c r="AG2772" t="s">
        <v>40</v>
      </c>
      <c r="AH2772" t="s">
        <v>1391</v>
      </c>
      <c r="AI2772" t="s">
        <v>9</v>
      </c>
      <c r="AJ2772" t="s">
        <v>11</v>
      </c>
      <c r="AK2772" t="s">
        <v>1390</v>
      </c>
      <c r="AL2772" t="s">
        <v>1389</v>
      </c>
      <c r="AP2772" t="s">
        <v>138</v>
      </c>
      <c r="AQ2772" t="s">
        <v>1368</v>
      </c>
    </row>
    <row r="2773" spans="5:43" x14ac:dyDescent="0.25">
      <c r="I2773" t="str">
        <f t="shared" si="228"/>
        <v>samsh5sp</v>
      </c>
      <c r="J2773" t="str">
        <f t="shared" si="229"/>
        <v>samsh5sprelease</v>
      </c>
      <c r="K2773" t="s">
        <v>46</v>
      </c>
      <c r="L2773" t="str">
        <f t="shared" si="231"/>
        <v>NGM-2720</v>
      </c>
      <c r="M2773" t="str">
        <f t="shared" si="231"/>
        <v>20040422</v>
      </c>
      <c r="N2773" t="str">
        <f t="shared" si="231"/>
        <v>サムライスピリッツ零 SPECIAL</v>
      </c>
      <c r="O2773" t="str">
        <f t="shared" si="231"/>
        <v/>
      </c>
      <c r="P2773" t="str">
        <f t="shared" si="231"/>
        <v/>
      </c>
      <c r="Q2773" t="s">
        <v>1388</v>
      </c>
      <c r="T2773" t="str">
        <f t="shared" si="230"/>
        <v/>
      </c>
      <c r="V2773" t="str">
        <f t="shared" si="226"/>
        <v>MVS</v>
      </c>
      <c r="W2773" t="str">
        <f t="shared" si="226"/>
        <v>MVS,AES</v>
      </c>
      <c r="AG2773" t="s">
        <v>40</v>
      </c>
      <c r="AH2773" t="s">
        <v>1387</v>
      </c>
      <c r="AI2773" t="s">
        <v>11</v>
      </c>
      <c r="AJ2773" t="s">
        <v>11</v>
      </c>
      <c r="AK2773" t="s">
        <v>1386</v>
      </c>
      <c r="AL2773" t="s">
        <v>1385</v>
      </c>
    </row>
    <row r="2774" spans="5:43" x14ac:dyDescent="0.25">
      <c r="I2774" t="str">
        <f t="shared" si="228"/>
        <v>samsh5sp</v>
      </c>
      <c r="J2774" t="str">
        <f t="shared" si="229"/>
        <v>samsh5spalt_title</v>
      </c>
      <c r="K2774" t="s">
        <v>1218</v>
      </c>
      <c r="L2774" t="str">
        <f t="shared" si="231"/>
        <v>NGM-2720</v>
      </c>
      <c r="M2774" t="str">
        <f t="shared" si="231"/>
        <v>20040422</v>
      </c>
      <c r="N2774" t="str">
        <f t="shared" si="231"/>
        <v>サムライスピリッツ零 SPECIAL</v>
      </c>
      <c r="O2774" t="str">
        <f t="shared" si="231"/>
        <v/>
      </c>
      <c r="P2774" t="str">
        <f t="shared" si="231"/>
        <v/>
      </c>
      <c r="Q2774" t="s">
        <v>1362</v>
      </c>
      <c r="T2774" t="str">
        <f t="shared" si="230"/>
        <v/>
      </c>
      <c r="V2774" t="str">
        <f t="shared" si="226"/>
        <v>MVS</v>
      </c>
      <c r="W2774" t="str">
        <f t="shared" si="226"/>
        <v>MVS,AES</v>
      </c>
      <c r="AB2774" t="s">
        <v>34</v>
      </c>
      <c r="AE2774" t="s">
        <v>135</v>
      </c>
      <c r="AG2774" t="s">
        <v>538</v>
      </c>
      <c r="AI2774" t="s">
        <v>9</v>
      </c>
      <c r="AJ2774" t="s">
        <v>135</v>
      </c>
      <c r="AN2774" t="s">
        <v>537</v>
      </c>
    </row>
    <row r="2775" spans="5:43" x14ac:dyDescent="0.25">
      <c r="I2775" t="str">
        <f t="shared" si="228"/>
        <v>samsh5sp</v>
      </c>
      <c r="J2775" t="str">
        <f t="shared" si="229"/>
        <v/>
      </c>
      <c r="L2775" t="str">
        <f t="shared" si="231"/>
        <v>NGM-2720</v>
      </c>
      <c r="M2775" t="str">
        <f t="shared" si="231"/>
        <v>20040422</v>
      </c>
      <c r="N2775" t="str">
        <f t="shared" si="231"/>
        <v>サムライスピリッツ零 SPECIAL</v>
      </c>
      <c r="O2775" t="str">
        <f t="shared" si="231"/>
        <v/>
      </c>
      <c r="P2775" t="str">
        <f t="shared" si="231"/>
        <v/>
      </c>
      <c r="S2775" t="s">
        <v>36</v>
      </c>
      <c r="T2775" t="str">
        <f t="shared" si="230"/>
        <v>samsh5spcompatibility</v>
      </c>
      <c r="U2775" t="s">
        <v>218</v>
      </c>
      <c r="V2775" t="str">
        <f t="shared" ref="V2775:W2838" si="232">IFERROR(VLOOKUP($I2775&amp;V$1,$T:$AA,2,0),"")</f>
        <v>MVS</v>
      </c>
      <c r="W2775" t="str">
        <f t="shared" si="232"/>
        <v>MVS,AES</v>
      </c>
      <c r="AB2775" t="s">
        <v>482</v>
      </c>
      <c r="AE2775" t="s">
        <v>480</v>
      </c>
      <c r="AH2775" t="s">
        <v>1361</v>
      </c>
      <c r="AI2775" t="s">
        <v>314</v>
      </c>
      <c r="AJ2775" t="s">
        <v>480</v>
      </c>
      <c r="AK2775" t="s">
        <v>1360</v>
      </c>
      <c r="AL2775" t="s">
        <v>1359</v>
      </c>
    </row>
    <row r="2776" spans="5:43" x14ac:dyDescent="0.25">
      <c r="I2776" t="str">
        <f t="shared" si="228"/>
        <v>samsh5sp</v>
      </c>
      <c r="J2776" t="str">
        <f t="shared" si="229"/>
        <v/>
      </c>
      <c r="L2776" t="str">
        <f t="shared" si="231"/>
        <v>NGM-2720</v>
      </c>
      <c r="M2776" t="str">
        <f t="shared" si="231"/>
        <v>20040422</v>
      </c>
      <c r="N2776" t="str">
        <f t="shared" si="231"/>
        <v>サムライスピリッツ零 SPECIAL</v>
      </c>
      <c r="O2776" t="str">
        <f t="shared" si="231"/>
        <v/>
      </c>
      <c r="P2776" t="str">
        <f t="shared" si="231"/>
        <v/>
      </c>
      <c r="T2776" t="str">
        <f t="shared" si="230"/>
        <v/>
      </c>
      <c r="V2776" t="str">
        <f t="shared" si="232"/>
        <v>MVS</v>
      </c>
      <c r="W2776" t="str">
        <f t="shared" si="232"/>
        <v>MVS,AES</v>
      </c>
      <c r="AB2776" t="s">
        <v>24</v>
      </c>
      <c r="AE2776" t="s">
        <v>65</v>
      </c>
      <c r="AH2776" t="s">
        <v>1358</v>
      </c>
      <c r="AI2776" t="s">
        <v>9</v>
      </c>
      <c r="AJ2776" t="s">
        <v>57</v>
      </c>
      <c r="AK2776" t="s">
        <v>1357</v>
      </c>
      <c r="AL2776" t="s">
        <v>1356</v>
      </c>
    </row>
    <row r="2777" spans="5:43" x14ac:dyDescent="0.25">
      <c r="I2777" t="str">
        <f t="shared" si="228"/>
        <v>samsh5sp</v>
      </c>
      <c r="J2777" t="str">
        <f t="shared" si="229"/>
        <v/>
      </c>
      <c r="L2777" t="str">
        <f t="shared" si="231"/>
        <v>NGM-2720</v>
      </c>
      <c r="M2777" t="str">
        <f t="shared" si="231"/>
        <v>20040422</v>
      </c>
      <c r="N2777" t="str">
        <f t="shared" si="231"/>
        <v>サムライスピリッツ零 SPECIAL</v>
      </c>
      <c r="O2777" t="str">
        <f t="shared" si="231"/>
        <v/>
      </c>
      <c r="P2777" t="str">
        <f t="shared" si="231"/>
        <v/>
      </c>
      <c r="T2777" t="str">
        <f t="shared" si="230"/>
        <v/>
      </c>
      <c r="V2777" t="str">
        <f t="shared" si="232"/>
        <v>MVS</v>
      </c>
      <c r="W2777" t="str">
        <f t="shared" si="232"/>
        <v>MVS,AES</v>
      </c>
      <c r="AH2777" t="s">
        <v>1355</v>
      </c>
      <c r="AI2777" t="s">
        <v>57</v>
      </c>
      <c r="AJ2777" t="s">
        <v>57</v>
      </c>
      <c r="AK2777" t="s">
        <v>1354</v>
      </c>
      <c r="AL2777" t="s">
        <v>1353</v>
      </c>
    </row>
    <row r="2778" spans="5:43" x14ac:dyDescent="0.25">
      <c r="I2778" t="str">
        <f t="shared" si="228"/>
        <v>samsh5sp</v>
      </c>
      <c r="J2778" t="str">
        <f t="shared" si="229"/>
        <v/>
      </c>
      <c r="L2778" t="str">
        <f t="shared" si="231"/>
        <v>NGM-2720</v>
      </c>
      <c r="M2778" t="str">
        <f t="shared" si="231"/>
        <v>20040422</v>
      </c>
      <c r="N2778" t="str">
        <f t="shared" si="231"/>
        <v>サムライスピリッツ零 SPECIAL</v>
      </c>
      <c r="O2778" t="str">
        <f t="shared" si="231"/>
        <v/>
      </c>
      <c r="P2778" t="str">
        <f t="shared" si="231"/>
        <v/>
      </c>
      <c r="T2778" t="str">
        <f t="shared" si="230"/>
        <v/>
      </c>
      <c r="V2778" t="str">
        <f t="shared" si="232"/>
        <v>MVS</v>
      </c>
      <c r="W2778" t="str">
        <f t="shared" si="232"/>
        <v>MVS,AES</v>
      </c>
      <c r="AB2778" t="s">
        <v>12</v>
      </c>
      <c r="AE2778" t="s">
        <v>175</v>
      </c>
      <c r="AG2778" t="s">
        <v>6</v>
      </c>
      <c r="AH2778" t="s">
        <v>1352</v>
      </c>
      <c r="AI2778" t="s">
        <v>9</v>
      </c>
      <c r="AJ2778" t="s">
        <v>57</v>
      </c>
      <c r="AK2778" t="s">
        <v>1351</v>
      </c>
      <c r="AL2778" t="s">
        <v>1350</v>
      </c>
    </row>
    <row r="2779" spans="5:43" x14ac:dyDescent="0.25">
      <c r="I2779" t="str">
        <f t="shared" si="228"/>
        <v>samsh5sp</v>
      </c>
      <c r="J2779" t="str">
        <f t="shared" si="229"/>
        <v/>
      </c>
      <c r="L2779" t="str">
        <f t="shared" si="231"/>
        <v>NGM-2720</v>
      </c>
      <c r="M2779" t="str">
        <f t="shared" si="231"/>
        <v>20040422</v>
      </c>
      <c r="N2779" t="str">
        <f t="shared" si="231"/>
        <v>サムライスピリッツ零 SPECIAL</v>
      </c>
      <c r="O2779" t="str">
        <f t="shared" si="231"/>
        <v/>
      </c>
      <c r="P2779" t="str">
        <f t="shared" si="231"/>
        <v/>
      </c>
      <c r="T2779" t="str">
        <f t="shared" si="230"/>
        <v/>
      </c>
      <c r="V2779" t="str">
        <f t="shared" si="232"/>
        <v>MVS</v>
      </c>
      <c r="W2779" t="str">
        <f t="shared" si="232"/>
        <v>MVS,AES</v>
      </c>
      <c r="AG2779" t="s">
        <v>6</v>
      </c>
      <c r="AH2779" t="s">
        <v>1349</v>
      </c>
      <c r="AI2779" t="s">
        <v>4</v>
      </c>
      <c r="AJ2779" t="s">
        <v>57</v>
      </c>
      <c r="AK2779" t="s">
        <v>1348</v>
      </c>
      <c r="AL2779" t="s">
        <v>1347</v>
      </c>
    </row>
    <row r="2780" spans="5:43" x14ac:dyDescent="0.25">
      <c r="I2780" t="str">
        <f t="shared" si="228"/>
        <v>samsh5sp</v>
      </c>
      <c r="J2780" t="str">
        <f t="shared" si="229"/>
        <v/>
      </c>
      <c r="L2780" t="str">
        <f t="shared" si="231"/>
        <v>NGM-2720</v>
      </c>
      <c r="M2780" t="str">
        <f t="shared" si="231"/>
        <v>20040422</v>
      </c>
      <c r="N2780" t="str">
        <f t="shared" si="231"/>
        <v>サムライスピリッツ零 SPECIAL</v>
      </c>
      <c r="O2780" t="str">
        <f t="shared" si="231"/>
        <v/>
      </c>
      <c r="P2780" t="str">
        <f t="shared" si="231"/>
        <v/>
      </c>
      <c r="T2780" t="str">
        <f t="shared" si="230"/>
        <v/>
      </c>
      <c r="V2780" t="str">
        <f t="shared" si="232"/>
        <v>MVS</v>
      </c>
      <c r="W2780" t="str">
        <f t="shared" si="232"/>
        <v>MVS,AES</v>
      </c>
      <c r="AG2780" t="s">
        <v>6</v>
      </c>
      <c r="AH2780" t="s">
        <v>1346</v>
      </c>
      <c r="AI2780" t="s">
        <v>65</v>
      </c>
      <c r="AJ2780" t="s">
        <v>57</v>
      </c>
      <c r="AK2780" t="s">
        <v>1345</v>
      </c>
      <c r="AL2780" t="s">
        <v>1344</v>
      </c>
    </row>
    <row r="2781" spans="5:43" x14ac:dyDescent="0.25">
      <c r="I2781" t="str">
        <f t="shared" si="228"/>
        <v>samsh5sp</v>
      </c>
      <c r="J2781" t="str">
        <f t="shared" si="229"/>
        <v/>
      </c>
      <c r="L2781" t="str">
        <f t="shared" si="231"/>
        <v>NGM-2720</v>
      </c>
      <c r="M2781" t="str">
        <f t="shared" si="231"/>
        <v>20040422</v>
      </c>
      <c r="N2781" t="str">
        <f t="shared" si="231"/>
        <v>サムライスピリッツ零 SPECIAL</v>
      </c>
      <c r="O2781" t="str">
        <f t="shared" si="231"/>
        <v/>
      </c>
      <c r="P2781" t="str">
        <f t="shared" si="231"/>
        <v/>
      </c>
      <c r="T2781" t="str">
        <f t="shared" si="230"/>
        <v/>
      </c>
      <c r="V2781" t="str">
        <f t="shared" si="232"/>
        <v>MVS</v>
      </c>
      <c r="W2781" t="str">
        <f t="shared" si="232"/>
        <v>MVS,AES</v>
      </c>
      <c r="AG2781" t="s">
        <v>6</v>
      </c>
      <c r="AH2781" t="s">
        <v>1343</v>
      </c>
      <c r="AI2781" t="s">
        <v>164</v>
      </c>
      <c r="AJ2781" t="s">
        <v>57</v>
      </c>
      <c r="AK2781" t="s">
        <v>1342</v>
      </c>
      <c r="AL2781" t="s">
        <v>1341</v>
      </c>
    </row>
    <row r="2782" spans="5:43" x14ac:dyDescent="0.25">
      <c r="I2782" t="str">
        <f t="shared" si="228"/>
        <v>samsh5sp</v>
      </c>
      <c r="J2782" t="str">
        <f t="shared" si="229"/>
        <v/>
      </c>
      <c r="L2782" t="str">
        <f t="shared" si="231"/>
        <v>NGM-2720</v>
      </c>
      <c r="M2782" t="str">
        <f t="shared" si="231"/>
        <v>20040422</v>
      </c>
      <c r="N2782" t="str">
        <f t="shared" si="231"/>
        <v>サムライスピリッツ零 SPECIAL</v>
      </c>
      <c r="O2782" t="str">
        <f t="shared" si="231"/>
        <v/>
      </c>
      <c r="P2782" t="str">
        <f t="shared" si="231"/>
        <v/>
      </c>
      <c r="T2782" t="str">
        <f t="shared" si="230"/>
        <v/>
      </c>
      <c r="V2782" t="str">
        <f t="shared" si="232"/>
        <v>MVS</v>
      </c>
      <c r="W2782" t="str">
        <f t="shared" si="232"/>
        <v>MVS,AES</v>
      </c>
      <c r="AG2782" t="s">
        <v>6</v>
      </c>
      <c r="AH2782" t="s">
        <v>1340</v>
      </c>
      <c r="AI2782" t="s">
        <v>160</v>
      </c>
      <c r="AJ2782" t="s">
        <v>57</v>
      </c>
      <c r="AK2782" t="s">
        <v>1339</v>
      </c>
      <c r="AL2782" t="s">
        <v>1338</v>
      </c>
    </row>
    <row r="2783" spans="5:43" x14ac:dyDescent="0.25">
      <c r="I2783" t="str">
        <f t="shared" si="228"/>
        <v>samsh5sp</v>
      </c>
      <c r="J2783" t="str">
        <f t="shared" si="229"/>
        <v/>
      </c>
      <c r="L2783" t="str">
        <f t="shared" si="231"/>
        <v>NGM-2720</v>
      </c>
      <c r="M2783" t="str">
        <f t="shared" si="231"/>
        <v>20040422</v>
      </c>
      <c r="N2783" t="str">
        <f t="shared" si="231"/>
        <v>サムライスピリッツ零 SPECIAL</v>
      </c>
      <c r="O2783" t="str">
        <f t="shared" si="231"/>
        <v/>
      </c>
      <c r="P2783" t="str">
        <f t="shared" si="231"/>
        <v/>
      </c>
      <c r="T2783" t="str">
        <f t="shared" si="230"/>
        <v/>
      </c>
      <c r="V2783" t="str">
        <f t="shared" si="232"/>
        <v>MVS</v>
      </c>
      <c r="W2783" t="str">
        <f t="shared" si="232"/>
        <v>MVS,AES</v>
      </c>
      <c r="AG2783" t="s">
        <v>6</v>
      </c>
      <c r="AH2783" t="s">
        <v>1337</v>
      </c>
      <c r="AI2783" t="s">
        <v>156</v>
      </c>
      <c r="AJ2783" t="s">
        <v>57</v>
      </c>
      <c r="AK2783" t="s">
        <v>1336</v>
      </c>
      <c r="AL2783" t="s">
        <v>1335</v>
      </c>
    </row>
    <row r="2784" spans="5:43" x14ac:dyDescent="0.25">
      <c r="I2784" t="str">
        <f t="shared" si="228"/>
        <v>samsh5sp</v>
      </c>
      <c r="J2784" t="str">
        <f t="shared" si="229"/>
        <v/>
      </c>
      <c r="L2784" t="str">
        <f t="shared" si="231"/>
        <v>NGM-2720</v>
      </c>
      <c r="M2784" t="str">
        <f t="shared" si="231"/>
        <v>20040422</v>
      </c>
      <c r="N2784" t="str">
        <f t="shared" si="231"/>
        <v>サムライスピリッツ零 SPECIAL</v>
      </c>
      <c r="O2784" t="str">
        <f t="shared" si="231"/>
        <v/>
      </c>
      <c r="P2784" t="str">
        <f t="shared" si="231"/>
        <v/>
      </c>
      <c r="T2784" t="str">
        <f t="shared" si="230"/>
        <v/>
      </c>
      <c r="V2784" t="str">
        <f t="shared" si="232"/>
        <v>MVS</v>
      </c>
      <c r="W2784" t="str">
        <f t="shared" si="232"/>
        <v>MVS,AES</v>
      </c>
      <c r="AG2784" t="s">
        <v>6</v>
      </c>
      <c r="AH2784" t="s">
        <v>1334</v>
      </c>
      <c r="AI2784" t="s">
        <v>152</v>
      </c>
      <c r="AJ2784" t="s">
        <v>57</v>
      </c>
      <c r="AK2784" t="s">
        <v>1333</v>
      </c>
      <c r="AL2784" t="s">
        <v>1332</v>
      </c>
    </row>
    <row r="2785" spans="5:44" x14ac:dyDescent="0.25">
      <c r="I2785" t="str">
        <f t="shared" si="228"/>
        <v>samsh5sp</v>
      </c>
      <c r="J2785" t="str">
        <f t="shared" si="229"/>
        <v/>
      </c>
      <c r="L2785" t="str">
        <f t="shared" si="231"/>
        <v>NGM-2720</v>
      </c>
      <c r="M2785" t="str">
        <f t="shared" si="231"/>
        <v>20040422</v>
      </c>
      <c r="N2785" t="str">
        <f t="shared" si="231"/>
        <v>サムライスピリッツ零 SPECIAL</v>
      </c>
      <c r="O2785" t="str">
        <f t="shared" si="231"/>
        <v/>
      </c>
      <c r="P2785" t="str">
        <f t="shared" si="231"/>
        <v/>
      </c>
      <c r="T2785" t="str">
        <f t="shared" si="230"/>
        <v/>
      </c>
      <c r="V2785" t="str">
        <f t="shared" si="232"/>
        <v>MVS</v>
      </c>
      <c r="W2785" t="str">
        <f t="shared" si="232"/>
        <v>MVS,AES</v>
      </c>
      <c r="AG2785" t="s">
        <v>6</v>
      </c>
      <c r="AH2785" t="s">
        <v>1331</v>
      </c>
      <c r="AI2785" t="s">
        <v>148</v>
      </c>
      <c r="AJ2785" t="s">
        <v>57</v>
      </c>
      <c r="AK2785" t="s">
        <v>1330</v>
      </c>
      <c r="AL2785" t="s">
        <v>1329</v>
      </c>
    </row>
    <row r="2786" spans="5:44" x14ac:dyDescent="0.25">
      <c r="E2786" t="s">
        <v>1384</v>
      </c>
      <c r="F2786" t="s">
        <v>1383</v>
      </c>
      <c r="G2786" t="s">
        <v>143</v>
      </c>
      <c r="H2786" t="s">
        <v>1374</v>
      </c>
      <c r="I2786" t="str">
        <f t="shared" si="228"/>
        <v>samsh5sph</v>
      </c>
      <c r="J2786" t="str">
        <f t="shared" si="229"/>
        <v>samsh5sphserial</v>
      </c>
      <c r="K2786" t="s">
        <v>1373</v>
      </c>
      <c r="L2786" t="str">
        <f t="shared" si="231"/>
        <v>NGH-2720</v>
      </c>
      <c r="M2786" t="str">
        <f t="shared" si="231"/>
        <v>20040715</v>
      </c>
      <c r="N2786" t="str">
        <f t="shared" si="231"/>
        <v>サムライスピリッツ零 SPECIAL</v>
      </c>
      <c r="O2786" t="str">
        <f t="shared" si="231"/>
        <v/>
      </c>
      <c r="P2786" t="str">
        <f t="shared" si="231"/>
        <v/>
      </c>
      <c r="Q2786" t="s">
        <v>1372</v>
      </c>
      <c r="S2786" t="s">
        <v>46</v>
      </c>
      <c r="T2786" t="str">
        <f t="shared" si="230"/>
        <v>samsh5sphrelease</v>
      </c>
      <c r="U2786" t="s">
        <v>35</v>
      </c>
      <c r="V2786" t="str">
        <f t="shared" si="232"/>
        <v>AES</v>
      </c>
      <c r="W2786" t="str">
        <f t="shared" si="232"/>
        <v>MVS,AES</v>
      </c>
      <c r="Y2786" t="s">
        <v>45</v>
      </c>
      <c r="Z2786" t="s">
        <v>44</v>
      </c>
      <c r="AB2786" t="s">
        <v>43</v>
      </c>
      <c r="AC2786" t="s">
        <v>42</v>
      </c>
      <c r="AD2786" t="s">
        <v>41</v>
      </c>
      <c r="AE2786" t="s">
        <v>57</v>
      </c>
      <c r="AG2786" t="s">
        <v>40</v>
      </c>
      <c r="AH2786" t="s">
        <v>1382</v>
      </c>
      <c r="AI2786" t="s">
        <v>9</v>
      </c>
      <c r="AJ2786" t="s">
        <v>11</v>
      </c>
      <c r="AK2786" t="s">
        <v>1381</v>
      </c>
      <c r="AL2786" t="s">
        <v>1380</v>
      </c>
      <c r="AP2786" t="s">
        <v>138</v>
      </c>
      <c r="AQ2786" t="s">
        <v>1368</v>
      </c>
      <c r="AR2786" t="s">
        <v>1367</v>
      </c>
    </row>
    <row r="2787" spans="5:44" x14ac:dyDescent="0.25">
      <c r="I2787" t="str">
        <f t="shared" si="228"/>
        <v>samsh5sph</v>
      </c>
      <c r="J2787" t="str">
        <f t="shared" si="229"/>
        <v>samsh5sphrelease</v>
      </c>
      <c r="K2787" t="s">
        <v>46</v>
      </c>
      <c r="L2787" t="str">
        <f t="shared" si="231"/>
        <v>NGH-2720</v>
      </c>
      <c r="M2787" t="str">
        <f t="shared" si="231"/>
        <v>20040715</v>
      </c>
      <c r="N2787" t="str">
        <f t="shared" si="231"/>
        <v>サムライスピリッツ零 SPECIAL</v>
      </c>
      <c r="O2787" t="str">
        <f t="shared" si="231"/>
        <v/>
      </c>
      <c r="P2787" t="str">
        <f t="shared" si="231"/>
        <v/>
      </c>
      <c r="Q2787" t="s">
        <v>1366</v>
      </c>
      <c r="T2787" t="str">
        <f t="shared" si="230"/>
        <v/>
      </c>
      <c r="V2787" t="str">
        <f t="shared" si="232"/>
        <v>AES</v>
      </c>
      <c r="W2787" t="str">
        <f t="shared" si="232"/>
        <v>MVS,AES</v>
      </c>
      <c r="AG2787" t="s">
        <v>40</v>
      </c>
      <c r="AH2787" t="s">
        <v>1379</v>
      </c>
      <c r="AI2787" t="s">
        <v>11</v>
      </c>
      <c r="AJ2787" t="s">
        <v>11</v>
      </c>
      <c r="AK2787" t="s">
        <v>1378</v>
      </c>
      <c r="AL2787" t="s">
        <v>1377</v>
      </c>
    </row>
    <row r="2788" spans="5:44" x14ac:dyDescent="0.25">
      <c r="I2788" t="str">
        <f t="shared" si="228"/>
        <v>samsh5sph</v>
      </c>
      <c r="J2788" t="str">
        <f t="shared" si="229"/>
        <v>samsh5sphalt_title</v>
      </c>
      <c r="K2788" t="s">
        <v>1218</v>
      </c>
      <c r="L2788" t="str">
        <f t="shared" si="231"/>
        <v>NGH-2720</v>
      </c>
      <c r="M2788" t="str">
        <f t="shared" si="231"/>
        <v>20040715</v>
      </c>
      <c r="N2788" t="str">
        <f t="shared" si="231"/>
        <v>サムライスピリッツ零 SPECIAL</v>
      </c>
      <c r="O2788" t="str">
        <f t="shared" si="231"/>
        <v/>
      </c>
      <c r="P2788" t="str">
        <f t="shared" si="231"/>
        <v/>
      </c>
      <c r="Q2788" t="s">
        <v>1362</v>
      </c>
      <c r="T2788" t="str">
        <f t="shared" si="230"/>
        <v/>
      </c>
      <c r="V2788" t="str">
        <f t="shared" si="232"/>
        <v>AES</v>
      </c>
      <c r="W2788" t="str">
        <f t="shared" si="232"/>
        <v>MVS,AES</v>
      </c>
      <c r="AB2788" t="s">
        <v>34</v>
      </c>
      <c r="AE2788" t="s">
        <v>135</v>
      </c>
      <c r="AG2788" t="s">
        <v>538</v>
      </c>
      <c r="AI2788" t="s">
        <v>9</v>
      </c>
      <c r="AJ2788" t="s">
        <v>135</v>
      </c>
      <c r="AN2788" t="s">
        <v>537</v>
      </c>
    </row>
    <row r="2789" spans="5:44" x14ac:dyDescent="0.25">
      <c r="I2789" t="str">
        <f t="shared" si="228"/>
        <v>samsh5sph</v>
      </c>
      <c r="J2789" t="str">
        <f t="shared" si="229"/>
        <v/>
      </c>
      <c r="L2789" t="str">
        <f t="shared" si="231"/>
        <v>NGH-2720</v>
      </c>
      <c r="M2789" t="str">
        <f t="shared" si="231"/>
        <v>20040715</v>
      </c>
      <c r="N2789" t="str">
        <f t="shared" si="231"/>
        <v>サムライスピリッツ零 SPECIAL</v>
      </c>
      <c r="O2789" t="str">
        <f t="shared" si="231"/>
        <v/>
      </c>
      <c r="P2789" t="str">
        <f t="shared" si="231"/>
        <v/>
      </c>
      <c r="S2789" t="s">
        <v>36</v>
      </c>
      <c r="T2789" t="str">
        <f t="shared" si="230"/>
        <v>samsh5sphcompatibility</v>
      </c>
      <c r="U2789" t="s">
        <v>218</v>
      </c>
      <c r="V2789" t="str">
        <f t="shared" si="232"/>
        <v>AES</v>
      </c>
      <c r="W2789" t="str">
        <f t="shared" si="232"/>
        <v>MVS,AES</v>
      </c>
      <c r="AB2789" t="s">
        <v>482</v>
      </c>
      <c r="AE2789" t="s">
        <v>480</v>
      </c>
      <c r="AH2789" t="s">
        <v>1361</v>
      </c>
      <c r="AI2789" t="s">
        <v>314</v>
      </c>
      <c r="AJ2789" t="s">
        <v>480</v>
      </c>
      <c r="AK2789" t="s">
        <v>1360</v>
      </c>
      <c r="AL2789" t="s">
        <v>1359</v>
      </c>
    </row>
    <row r="2790" spans="5:44" x14ac:dyDescent="0.25">
      <c r="I2790" t="str">
        <f t="shared" si="228"/>
        <v>samsh5sph</v>
      </c>
      <c r="J2790" t="str">
        <f t="shared" si="229"/>
        <v/>
      </c>
      <c r="L2790" t="str">
        <f t="shared" si="231"/>
        <v>NGH-2720</v>
      </c>
      <c r="M2790" t="str">
        <f t="shared" si="231"/>
        <v>20040715</v>
      </c>
      <c r="N2790" t="str">
        <f t="shared" si="231"/>
        <v>サムライスピリッツ零 SPECIAL</v>
      </c>
      <c r="O2790" t="str">
        <f t="shared" si="231"/>
        <v/>
      </c>
      <c r="P2790" t="str">
        <f t="shared" si="231"/>
        <v/>
      </c>
      <c r="T2790" t="str">
        <f t="shared" si="230"/>
        <v/>
      </c>
      <c r="V2790" t="str">
        <f t="shared" si="232"/>
        <v>AES</v>
      </c>
      <c r="W2790" t="str">
        <f t="shared" si="232"/>
        <v>MVS,AES</v>
      </c>
      <c r="AB2790" t="s">
        <v>24</v>
      </c>
      <c r="AE2790" t="s">
        <v>65</v>
      </c>
      <c r="AH2790" t="s">
        <v>1358</v>
      </c>
      <c r="AI2790" t="s">
        <v>9</v>
      </c>
      <c r="AJ2790" t="s">
        <v>57</v>
      </c>
      <c r="AK2790" t="s">
        <v>1357</v>
      </c>
      <c r="AL2790" t="s">
        <v>1356</v>
      </c>
    </row>
    <row r="2791" spans="5:44" x14ac:dyDescent="0.25">
      <c r="I2791" t="str">
        <f t="shared" si="228"/>
        <v>samsh5sph</v>
      </c>
      <c r="J2791" t="str">
        <f t="shared" si="229"/>
        <v/>
      </c>
      <c r="L2791" t="str">
        <f t="shared" si="231"/>
        <v>NGH-2720</v>
      </c>
      <c r="M2791" t="str">
        <f t="shared" si="231"/>
        <v>20040715</v>
      </c>
      <c r="N2791" t="str">
        <f t="shared" si="231"/>
        <v>サムライスピリッツ零 SPECIAL</v>
      </c>
      <c r="O2791" t="str">
        <f t="shared" si="231"/>
        <v/>
      </c>
      <c r="P2791" t="str">
        <f t="shared" si="231"/>
        <v/>
      </c>
      <c r="T2791" t="str">
        <f t="shared" si="230"/>
        <v/>
      </c>
      <c r="V2791" t="str">
        <f t="shared" si="232"/>
        <v>AES</v>
      </c>
      <c r="W2791" t="str">
        <f t="shared" si="232"/>
        <v>MVS,AES</v>
      </c>
      <c r="AH2791" t="s">
        <v>1355</v>
      </c>
      <c r="AI2791" t="s">
        <v>57</v>
      </c>
      <c r="AJ2791" t="s">
        <v>57</v>
      </c>
      <c r="AK2791" t="s">
        <v>1354</v>
      </c>
      <c r="AL2791" t="s">
        <v>1353</v>
      </c>
    </row>
    <row r="2792" spans="5:44" x14ac:dyDescent="0.25">
      <c r="I2792" t="str">
        <f t="shared" si="228"/>
        <v>samsh5sph</v>
      </c>
      <c r="J2792" t="str">
        <f t="shared" si="229"/>
        <v/>
      </c>
      <c r="L2792" t="str">
        <f t="shared" si="231"/>
        <v>NGH-2720</v>
      </c>
      <c r="M2792" t="str">
        <f t="shared" si="231"/>
        <v>20040715</v>
      </c>
      <c r="N2792" t="str">
        <f t="shared" si="231"/>
        <v>サムライスピリッツ零 SPECIAL</v>
      </c>
      <c r="O2792" t="str">
        <f t="shared" si="231"/>
        <v/>
      </c>
      <c r="P2792" t="str">
        <f t="shared" si="231"/>
        <v/>
      </c>
      <c r="T2792" t="str">
        <f t="shared" si="230"/>
        <v/>
      </c>
      <c r="V2792" t="str">
        <f t="shared" si="232"/>
        <v>AES</v>
      </c>
      <c r="W2792" t="str">
        <f t="shared" si="232"/>
        <v>MVS,AES</v>
      </c>
      <c r="AB2792" t="s">
        <v>12</v>
      </c>
      <c r="AE2792" t="s">
        <v>175</v>
      </c>
      <c r="AG2792" t="s">
        <v>6</v>
      </c>
      <c r="AH2792" t="s">
        <v>1352</v>
      </c>
      <c r="AI2792" t="s">
        <v>9</v>
      </c>
      <c r="AJ2792" t="s">
        <v>57</v>
      </c>
      <c r="AK2792" t="s">
        <v>1351</v>
      </c>
      <c r="AL2792" t="s">
        <v>1350</v>
      </c>
    </row>
    <row r="2793" spans="5:44" x14ac:dyDescent="0.25">
      <c r="I2793" t="str">
        <f t="shared" si="228"/>
        <v>samsh5sph</v>
      </c>
      <c r="J2793" t="str">
        <f t="shared" si="229"/>
        <v/>
      </c>
      <c r="L2793" t="str">
        <f t="shared" si="231"/>
        <v>NGH-2720</v>
      </c>
      <c r="M2793" t="str">
        <f t="shared" si="231"/>
        <v>20040715</v>
      </c>
      <c r="N2793" t="str">
        <f t="shared" si="231"/>
        <v>サムライスピリッツ零 SPECIAL</v>
      </c>
      <c r="O2793" t="str">
        <f t="shared" si="231"/>
        <v/>
      </c>
      <c r="P2793" t="str">
        <f t="shared" si="231"/>
        <v/>
      </c>
      <c r="T2793" t="str">
        <f t="shared" si="230"/>
        <v/>
      </c>
      <c r="V2793" t="str">
        <f t="shared" si="232"/>
        <v>AES</v>
      </c>
      <c r="W2793" t="str">
        <f t="shared" si="232"/>
        <v>MVS,AES</v>
      </c>
      <c r="AG2793" t="s">
        <v>6</v>
      </c>
      <c r="AH2793" t="s">
        <v>1349</v>
      </c>
      <c r="AI2793" t="s">
        <v>4</v>
      </c>
      <c r="AJ2793" t="s">
        <v>57</v>
      </c>
      <c r="AK2793" t="s">
        <v>1348</v>
      </c>
      <c r="AL2793" t="s">
        <v>1347</v>
      </c>
    </row>
    <row r="2794" spans="5:44" x14ac:dyDescent="0.25">
      <c r="I2794" t="str">
        <f t="shared" si="228"/>
        <v>samsh5sph</v>
      </c>
      <c r="J2794" t="str">
        <f t="shared" si="229"/>
        <v/>
      </c>
      <c r="L2794" t="str">
        <f t="shared" si="231"/>
        <v>NGH-2720</v>
      </c>
      <c r="M2794" t="str">
        <f t="shared" si="231"/>
        <v>20040715</v>
      </c>
      <c r="N2794" t="str">
        <f t="shared" si="231"/>
        <v>サムライスピリッツ零 SPECIAL</v>
      </c>
      <c r="O2794" t="str">
        <f t="shared" si="231"/>
        <v/>
      </c>
      <c r="P2794" t="str">
        <f t="shared" si="231"/>
        <v/>
      </c>
      <c r="T2794" t="str">
        <f t="shared" si="230"/>
        <v/>
      </c>
      <c r="V2794" t="str">
        <f t="shared" si="232"/>
        <v>AES</v>
      </c>
      <c r="W2794" t="str">
        <f t="shared" si="232"/>
        <v>MVS,AES</v>
      </c>
      <c r="AG2794" t="s">
        <v>6</v>
      </c>
      <c r="AH2794" t="s">
        <v>1346</v>
      </c>
      <c r="AI2794" t="s">
        <v>65</v>
      </c>
      <c r="AJ2794" t="s">
        <v>57</v>
      </c>
      <c r="AK2794" t="s">
        <v>1345</v>
      </c>
      <c r="AL2794" t="s">
        <v>1344</v>
      </c>
    </row>
    <row r="2795" spans="5:44" x14ac:dyDescent="0.25">
      <c r="I2795" t="str">
        <f t="shared" si="228"/>
        <v>samsh5sph</v>
      </c>
      <c r="J2795" t="str">
        <f t="shared" si="229"/>
        <v/>
      </c>
      <c r="L2795" t="str">
        <f t="shared" si="231"/>
        <v>NGH-2720</v>
      </c>
      <c r="M2795" t="str">
        <f t="shared" si="231"/>
        <v>20040715</v>
      </c>
      <c r="N2795" t="str">
        <f t="shared" si="231"/>
        <v>サムライスピリッツ零 SPECIAL</v>
      </c>
      <c r="O2795" t="str">
        <f t="shared" si="231"/>
        <v/>
      </c>
      <c r="P2795" t="str">
        <f t="shared" si="231"/>
        <v/>
      </c>
      <c r="T2795" t="str">
        <f t="shared" si="230"/>
        <v/>
      </c>
      <c r="V2795" t="str">
        <f t="shared" si="232"/>
        <v>AES</v>
      </c>
      <c r="W2795" t="str">
        <f t="shared" si="232"/>
        <v>MVS,AES</v>
      </c>
      <c r="AG2795" t="s">
        <v>6</v>
      </c>
      <c r="AH2795" t="s">
        <v>1343</v>
      </c>
      <c r="AI2795" t="s">
        <v>164</v>
      </c>
      <c r="AJ2795" t="s">
        <v>57</v>
      </c>
      <c r="AK2795" t="s">
        <v>1342</v>
      </c>
      <c r="AL2795" t="s">
        <v>1341</v>
      </c>
    </row>
    <row r="2796" spans="5:44" x14ac:dyDescent="0.25">
      <c r="I2796" t="str">
        <f t="shared" si="228"/>
        <v>samsh5sph</v>
      </c>
      <c r="J2796" t="str">
        <f t="shared" si="229"/>
        <v/>
      </c>
      <c r="L2796" t="str">
        <f t="shared" si="231"/>
        <v>NGH-2720</v>
      </c>
      <c r="M2796" t="str">
        <f t="shared" si="231"/>
        <v>20040715</v>
      </c>
      <c r="N2796" t="str">
        <f t="shared" si="231"/>
        <v>サムライスピリッツ零 SPECIAL</v>
      </c>
      <c r="O2796" t="str">
        <f t="shared" si="231"/>
        <v/>
      </c>
      <c r="P2796" t="str">
        <f t="shared" si="231"/>
        <v/>
      </c>
      <c r="T2796" t="str">
        <f t="shared" si="230"/>
        <v/>
      </c>
      <c r="V2796" t="str">
        <f t="shared" si="232"/>
        <v>AES</v>
      </c>
      <c r="W2796" t="str">
        <f t="shared" si="232"/>
        <v>MVS,AES</v>
      </c>
      <c r="AG2796" t="s">
        <v>6</v>
      </c>
      <c r="AH2796" t="s">
        <v>1340</v>
      </c>
      <c r="AI2796" t="s">
        <v>160</v>
      </c>
      <c r="AJ2796" t="s">
        <v>57</v>
      </c>
      <c r="AK2796" t="s">
        <v>1339</v>
      </c>
      <c r="AL2796" t="s">
        <v>1338</v>
      </c>
    </row>
    <row r="2797" spans="5:44" x14ac:dyDescent="0.25">
      <c r="I2797" t="str">
        <f t="shared" si="228"/>
        <v>samsh5sph</v>
      </c>
      <c r="J2797" t="str">
        <f t="shared" si="229"/>
        <v/>
      </c>
      <c r="L2797" t="str">
        <f t="shared" si="231"/>
        <v>NGH-2720</v>
      </c>
      <c r="M2797" t="str">
        <f t="shared" si="231"/>
        <v>20040715</v>
      </c>
      <c r="N2797" t="str">
        <f t="shared" si="231"/>
        <v>サムライスピリッツ零 SPECIAL</v>
      </c>
      <c r="O2797" t="str">
        <f t="shared" si="231"/>
        <v/>
      </c>
      <c r="P2797" t="str">
        <f t="shared" si="231"/>
        <v/>
      </c>
      <c r="T2797" t="str">
        <f t="shared" si="230"/>
        <v/>
      </c>
      <c r="V2797" t="str">
        <f t="shared" si="232"/>
        <v>AES</v>
      </c>
      <c r="W2797" t="str">
        <f t="shared" si="232"/>
        <v>MVS,AES</v>
      </c>
      <c r="AG2797" t="s">
        <v>6</v>
      </c>
      <c r="AH2797" t="s">
        <v>1337</v>
      </c>
      <c r="AI2797" t="s">
        <v>156</v>
      </c>
      <c r="AJ2797" t="s">
        <v>57</v>
      </c>
      <c r="AK2797" t="s">
        <v>1336</v>
      </c>
      <c r="AL2797" t="s">
        <v>1335</v>
      </c>
    </row>
    <row r="2798" spans="5:44" x14ac:dyDescent="0.25">
      <c r="I2798" t="str">
        <f t="shared" si="228"/>
        <v>samsh5sph</v>
      </c>
      <c r="J2798" t="str">
        <f t="shared" si="229"/>
        <v/>
      </c>
      <c r="L2798" t="str">
        <f t="shared" si="231"/>
        <v>NGH-2720</v>
      </c>
      <c r="M2798" t="str">
        <f t="shared" si="231"/>
        <v>20040715</v>
      </c>
      <c r="N2798" t="str">
        <f t="shared" si="231"/>
        <v>サムライスピリッツ零 SPECIAL</v>
      </c>
      <c r="O2798" t="str">
        <f t="shared" si="231"/>
        <v/>
      </c>
      <c r="P2798" t="str">
        <f t="shared" si="231"/>
        <v/>
      </c>
      <c r="T2798" t="str">
        <f t="shared" si="230"/>
        <v/>
      </c>
      <c r="V2798" t="str">
        <f t="shared" si="232"/>
        <v>AES</v>
      </c>
      <c r="W2798" t="str">
        <f t="shared" si="232"/>
        <v>MVS,AES</v>
      </c>
      <c r="AG2798" t="s">
        <v>6</v>
      </c>
      <c r="AH2798" t="s">
        <v>1334</v>
      </c>
      <c r="AI2798" t="s">
        <v>152</v>
      </c>
      <c r="AJ2798" t="s">
        <v>57</v>
      </c>
      <c r="AK2798" t="s">
        <v>1333</v>
      </c>
      <c r="AL2798" t="s">
        <v>1332</v>
      </c>
    </row>
    <row r="2799" spans="5:44" x14ac:dyDescent="0.25">
      <c r="I2799" t="str">
        <f t="shared" si="228"/>
        <v>samsh5sph</v>
      </c>
      <c r="J2799" t="str">
        <f t="shared" si="229"/>
        <v/>
      </c>
      <c r="L2799" t="str">
        <f t="shared" si="231"/>
        <v>NGH-2720</v>
      </c>
      <c r="M2799" t="str">
        <f t="shared" si="231"/>
        <v>20040715</v>
      </c>
      <c r="N2799" t="str">
        <f t="shared" si="231"/>
        <v>サムライスピリッツ零 SPECIAL</v>
      </c>
      <c r="O2799" t="str">
        <f t="shared" si="231"/>
        <v/>
      </c>
      <c r="P2799" t="str">
        <f t="shared" si="231"/>
        <v/>
      </c>
      <c r="T2799" t="str">
        <f t="shared" si="230"/>
        <v/>
      </c>
      <c r="V2799" t="str">
        <f t="shared" si="232"/>
        <v>AES</v>
      </c>
      <c r="W2799" t="str">
        <f t="shared" si="232"/>
        <v>MVS,AES</v>
      </c>
      <c r="AG2799" t="s">
        <v>6</v>
      </c>
      <c r="AH2799" t="s">
        <v>1331</v>
      </c>
      <c r="AI2799" t="s">
        <v>148</v>
      </c>
      <c r="AJ2799" t="s">
        <v>57</v>
      </c>
      <c r="AK2799" t="s">
        <v>1330</v>
      </c>
      <c r="AL2799" t="s">
        <v>1329</v>
      </c>
    </row>
    <row r="2800" spans="5:44" x14ac:dyDescent="0.25">
      <c r="E2800" t="s">
        <v>1376</v>
      </c>
      <c r="F2800" t="s">
        <v>1375</v>
      </c>
      <c r="G2800" t="s">
        <v>143</v>
      </c>
      <c r="H2800" t="s">
        <v>1374</v>
      </c>
      <c r="I2800" t="str">
        <f t="shared" si="228"/>
        <v>samsh5spho</v>
      </c>
      <c r="J2800" t="str">
        <f t="shared" si="229"/>
        <v>samsh5sphoserial</v>
      </c>
      <c r="K2800" t="s">
        <v>1373</v>
      </c>
      <c r="L2800" t="str">
        <f t="shared" si="231"/>
        <v>NGH-2720</v>
      </c>
      <c r="M2800" t="str">
        <f t="shared" si="231"/>
        <v>20040715</v>
      </c>
      <c r="N2800" t="str">
        <f t="shared" si="231"/>
        <v>サムライスピリッツ零 SPECIAL</v>
      </c>
      <c r="O2800" t="str">
        <f t="shared" si="231"/>
        <v/>
      </c>
      <c r="P2800" t="str">
        <f t="shared" si="231"/>
        <v/>
      </c>
      <c r="Q2800" t="s">
        <v>1372</v>
      </c>
      <c r="S2800" t="s">
        <v>46</v>
      </c>
      <c r="T2800" t="str">
        <f t="shared" si="230"/>
        <v>samsh5sphorelease</v>
      </c>
      <c r="U2800" t="s">
        <v>35</v>
      </c>
      <c r="V2800" t="str">
        <f t="shared" si="232"/>
        <v>AES</v>
      </c>
      <c r="W2800" t="str">
        <f t="shared" si="232"/>
        <v>MVS,AES</v>
      </c>
      <c r="Y2800" t="s">
        <v>45</v>
      </c>
      <c r="Z2800" t="s">
        <v>44</v>
      </c>
      <c r="AB2800" t="s">
        <v>43</v>
      </c>
      <c r="AC2800" t="s">
        <v>42</v>
      </c>
      <c r="AD2800" t="s">
        <v>41</v>
      </c>
      <c r="AE2800" t="s">
        <v>57</v>
      </c>
      <c r="AG2800" t="s">
        <v>40</v>
      </c>
      <c r="AH2800" t="s">
        <v>1371</v>
      </c>
      <c r="AI2800" t="s">
        <v>9</v>
      </c>
      <c r="AJ2800" t="s">
        <v>11</v>
      </c>
      <c r="AK2800" t="s">
        <v>1370</v>
      </c>
      <c r="AL2800" t="s">
        <v>1369</v>
      </c>
      <c r="AP2800" t="s">
        <v>138</v>
      </c>
      <c r="AQ2800" t="s">
        <v>1368</v>
      </c>
      <c r="AR2800" t="s">
        <v>1367</v>
      </c>
    </row>
    <row r="2801" spans="5:43" x14ac:dyDescent="0.25">
      <c r="I2801" t="str">
        <f t="shared" si="228"/>
        <v>samsh5spho</v>
      </c>
      <c r="J2801" t="str">
        <f t="shared" si="229"/>
        <v>samsh5sphorelease</v>
      </c>
      <c r="K2801" t="s">
        <v>46</v>
      </c>
      <c r="L2801" t="str">
        <f t="shared" si="231"/>
        <v>NGH-2720</v>
      </c>
      <c r="M2801" t="str">
        <f t="shared" si="231"/>
        <v>20040715</v>
      </c>
      <c r="N2801" t="str">
        <f t="shared" si="231"/>
        <v>サムライスピリッツ零 SPECIAL</v>
      </c>
      <c r="O2801" t="str">
        <f t="shared" si="231"/>
        <v/>
      </c>
      <c r="P2801" t="str">
        <f t="shared" si="231"/>
        <v/>
      </c>
      <c r="Q2801" t="s">
        <v>1366</v>
      </c>
      <c r="T2801" t="str">
        <f t="shared" si="230"/>
        <v/>
      </c>
      <c r="V2801" t="str">
        <f t="shared" si="232"/>
        <v>AES</v>
      </c>
      <c r="W2801" t="str">
        <f t="shared" si="232"/>
        <v>MVS,AES</v>
      </c>
      <c r="AG2801" t="s">
        <v>40</v>
      </c>
      <c r="AH2801" t="s">
        <v>1365</v>
      </c>
      <c r="AI2801" t="s">
        <v>11</v>
      </c>
      <c r="AJ2801" t="s">
        <v>11</v>
      </c>
      <c r="AK2801" t="s">
        <v>1364</v>
      </c>
      <c r="AL2801" t="s">
        <v>1363</v>
      </c>
    </row>
    <row r="2802" spans="5:43" x14ac:dyDescent="0.25">
      <c r="I2802" t="str">
        <f t="shared" si="228"/>
        <v>samsh5spho</v>
      </c>
      <c r="J2802" t="str">
        <f t="shared" si="229"/>
        <v>samsh5sphoalt_title</v>
      </c>
      <c r="K2802" t="s">
        <v>1218</v>
      </c>
      <c r="L2802" t="str">
        <f t="shared" si="231"/>
        <v>NGH-2720</v>
      </c>
      <c r="M2802" t="str">
        <f t="shared" si="231"/>
        <v>20040715</v>
      </c>
      <c r="N2802" t="str">
        <f t="shared" si="231"/>
        <v>サムライスピリッツ零 SPECIAL</v>
      </c>
      <c r="O2802" t="str">
        <f t="shared" si="231"/>
        <v/>
      </c>
      <c r="P2802" t="str">
        <f t="shared" si="231"/>
        <v/>
      </c>
      <c r="Q2802" t="s">
        <v>1362</v>
      </c>
      <c r="T2802" t="str">
        <f t="shared" si="230"/>
        <v/>
      </c>
      <c r="V2802" t="str">
        <f t="shared" si="232"/>
        <v>AES</v>
      </c>
      <c r="W2802" t="str">
        <f t="shared" si="232"/>
        <v>MVS,AES</v>
      </c>
      <c r="AB2802" t="s">
        <v>34</v>
      </c>
      <c r="AE2802" t="s">
        <v>135</v>
      </c>
      <c r="AG2802" t="s">
        <v>538</v>
      </c>
      <c r="AI2802" t="s">
        <v>9</v>
      </c>
      <c r="AJ2802" t="s">
        <v>135</v>
      </c>
      <c r="AN2802" t="s">
        <v>537</v>
      </c>
    </row>
    <row r="2803" spans="5:43" x14ac:dyDescent="0.25">
      <c r="I2803" t="str">
        <f t="shared" si="228"/>
        <v>samsh5spho</v>
      </c>
      <c r="J2803" t="str">
        <f t="shared" si="229"/>
        <v/>
      </c>
      <c r="L2803" t="str">
        <f t="shared" si="231"/>
        <v>NGH-2720</v>
      </c>
      <c r="M2803" t="str">
        <f t="shared" si="231"/>
        <v>20040715</v>
      </c>
      <c r="N2803" t="str">
        <f t="shared" si="231"/>
        <v>サムライスピリッツ零 SPECIAL</v>
      </c>
      <c r="O2803" t="str">
        <f t="shared" si="231"/>
        <v/>
      </c>
      <c r="P2803" t="str">
        <f t="shared" si="231"/>
        <v/>
      </c>
      <c r="S2803" t="s">
        <v>36</v>
      </c>
      <c r="T2803" t="str">
        <f t="shared" si="230"/>
        <v>samsh5sphocompatibility</v>
      </c>
      <c r="U2803" t="s">
        <v>218</v>
      </c>
      <c r="V2803" t="str">
        <f t="shared" si="232"/>
        <v>AES</v>
      </c>
      <c r="W2803" t="str">
        <f t="shared" si="232"/>
        <v>MVS,AES</v>
      </c>
      <c r="AB2803" t="s">
        <v>482</v>
      </c>
      <c r="AE2803" t="s">
        <v>480</v>
      </c>
      <c r="AH2803" t="s">
        <v>1361</v>
      </c>
      <c r="AI2803" t="s">
        <v>314</v>
      </c>
      <c r="AJ2803" t="s">
        <v>480</v>
      </c>
      <c r="AK2803" t="s">
        <v>1360</v>
      </c>
      <c r="AL2803" t="s">
        <v>1359</v>
      </c>
    </row>
    <row r="2804" spans="5:43" x14ac:dyDescent="0.25">
      <c r="I2804" t="str">
        <f t="shared" si="228"/>
        <v>samsh5spho</v>
      </c>
      <c r="J2804" t="str">
        <f t="shared" si="229"/>
        <v/>
      </c>
      <c r="L2804" t="str">
        <f t="shared" si="231"/>
        <v>NGH-2720</v>
      </c>
      <c r="M2804" t="str">
        <f t="shared" si="231"/>
        <v>20040715</v>
      </c>
      <c r="N2804" t="str">
        <f t="shared" si="231"/>
        <v>サムライスピリッツ零 SPECIAL</v>
      </c>
      <c r="O2804" t="str">
        <f t="shared" si="231"/>
        <v/>
      </c>
      <c r="P2804" t="str">
        <f t="shared" si="231"/>
        <v/>
      </c>
      <c r="T2804" t="str">
        <f t="shared" si="230"/>
        <v/>
      </c>
      <c r="V2804" t="str">
        <f t="shared" si="232"/>
        <v>AES</v>
      </c>
      <c r="W2804" t="str">
        <f t="shared" si="232"/>
        <v>MVS,AES</v>
      </c>
      <c r="AB2804" t="s">
        <v>24</v>
      </c>
      <c r="AE2804" t="s">
        <v>65</v>
      </c>
      <c r="AH2804" t="s">
        <v>1358</v>
      </c>
      <c r="AI2804" t="s">
        <v>9</v>
      </c>
      <c r="AJ2804" t="s">
        <v>57</v>
      </c>
      <c r="AK2804" t="s">
        <v>1357</v>
      </c>
      <c r="AL2804" t="s">
        <v>1356</v>
      </c>
    </row>
    <row r="2805" spans="5:43" x14ac:dyDescent="0.25">
      <c r="I2805" t="str">
        <f t="shared" si="228"/>
        <v>samsh5spho</v>
      </c>
      <c r="J2805" t="str">
        <f t="shared" si="229"/>
        <v/>
      </c>
      <c r="L2805" t="str">
        <f t="shared" si="231"/>
        <v>NGH-2720</v>
      </c>
      <c r="M2805" t="str">
        <f t="shared" si="231"/>
        <v>20040715</v>
      </c>
      <c r="N2805" t="str">
        <f t="shared" si="231"/>
        <v>サムライスピリッツ零 SPECIAL</v>
      </c>
      <c r="O2805" t="str">
        <f t="shared" si="231"/>
        <v/>
      </c>
      <c r="P2805" t="str">
        <f t="shared" si="231"/>
        <v/>
      </c>
      <c r="T2805" t="str">
        <f t="shared" si="230"/>
        <v/>
      </c>
      <c r="V2805" t="str">
        <f t="shared" si="232"/>
        <v>AES</v>
      </c>
      <c r="W2805" t="str">
        <f t="shared" si="232"/>
        <v>MVS,AES</v>
      </c>
      <c r="AH2805" t="s">
        <v>1355</v>
      </c>
      <c r="AI2805" t="s">
        <v>57</v>
      </c>
      <c r="AJ2805" t="s">
        <v>57</v>
      </c>
      <c r="AK2805" t="s">
        <v>1354</v>
      </c>
      <c r="AL2805" t="s">
        <v>1353</v>
      </c>
    </row>
    <row r="2806" spans="5:43" x14ac:dyDescent="0.25">
      <c r="I2806" t="str">
        <f t="shared" si="228"/>
        <v>samsh5spho</v>
      </c>
      <c r="J2806" t="str">
        <f t="shared" si="229"/>
        <v/>
      </c>
      <c r="L2806" t="str">
        <f t="shared" si="231"/>
        <v>NGH-2720</v>
      </c>
      <c r="M2806" t="str">
        <f t="shared" si="231"/>
        <v>20040715</v>
      </c>
      <c r="N2806" t="str">
        <f t="shared" si="231"/>
        <v>サムライスピリッツ零 SPECIAL</v>
      </c>
      <c r="O2806" t="str">
        <f t="shared" si="231"/>
        <v/>
      </c>
      <c r="P2806" t="str">
        <f t="shared" si="231"/>
        <v/>
      </c>
      <c r="T2806" t="str">
        <f t="shared" si="230"/>
        <v/>
      </c>
      <c r="V2806" t="str">
        <f t="shared" si="232"/>
        <v>AES</v>
      </c>
      <c r="W2806" t="str">
        <f t="shared" si="232"/>
        <v>MVS,AES</v>
      </c>
      <c r="AB2806" t="s">
        <v>12</v>
      </c>
      <c r="AE2806" t="s">
        <v>175</v>
      </c>
      <c r="AG2806" t="s">
        <v>6</v>
      </c>
      <c r="AH2806" t="s">
        <v>1352</v>
      </c>
      <c r="AI2806" t="s">
        <v>9</v>
      </c>
      <c r="AJ2806" t="s">
        <v>57</v>
      </c>
      <c r="AK2806" t="s">
        <v>1351</v>
      </c>
      <c r="AL2806" t="s">
        <v>1350</v>
      </c>
    </row>
    <row r="2807" spans="5:43" x14ac:dyDescent="0.25">
      <c r="I2807" t="str">
        <f t="shared" si="228"/>
        <v>samsh5spho</v>
      </c>
      <c r="J2807" t="str">
        <f t="shared" si="229"/>
        <v/>
      </c>
      <c r="L2807" t="str">
        <f t="shared" si="231"/>
        <v>NGH-2720</v>
      </c>
      <c r="M2807" t="str">
        <f t="shared" si="231"/>
        <v>20040715</v>
      </c>
      <c r="N2807" t="str">
        <f t="shared" si="231"/>
        <v>サムライスピリッツ零 SPECIAL</v>
      </c>
      <c r="O2807" t="str">
        <f t="shared" si="231"/>
        <v/>
      </c>
      <c r="P2807" t="str">
        <f t="shared" si="231"/>
        <v/>
      </c>
      <c r="T2807" t="str">
        <f t="shared" si="230"/>
        <v/>
      </c>
      <c r="V2807" t="str">
        <f t="shared" si="232"/>
        <v>AES</v>
      </c>
      <c r="W2807" t="str">
        <f t="shared" si="232"/>
        <v>MVS,AES</v>
      </c>
      <c r="AG2807" t="s">
        <v>6</v>
      </c>
      <c r="AH2807" t="s">
        <v>1349</v>
      </c>
      <c r="AI2807" t="s">
        <v>4</v>
      </c>
      <c r="AJ2807" t="s">
        <v>57</v>
      </c>
      <c r="AK2807" t="s">
        <v>1348</v>
      </c>
      <c r="AL2807" t="s">
        <v>1347</v>
      </c>
    </row>
    <row r="2808" spans="5:43" x14ac:dyDescent="0.25">
      <c r="I2808" t="str">
        <f t="shared" si="228"/>
        <v>samsh5spho</v>
      </c>
      <c r="J2808" t="str">
        <f t="shared" si="229"/>
        <v/>
      </c>
      <c r="L2808" t="str">
        <f t="shared" si="231"/>
        <v>NGH-2720</v>
      </c>
      <c r="M2808" t="str">
        <f t="shared" si="231"/>
        <v>20040715</v>
      </c>
      <c r="N2808" t="str">
        <f t="shared" si="231"/>
        <v>サムライスピリッツ零 SPECIAL</v>
      </c>
      <c r="O2808" t="str">
        <f t="shared" si="231"/>
        <v/>
      </c>
      <c r="P2808" t="str">
        <f t="shared" si="231"/>
        <v/>
      </c>
      <c r="T2808" t="str">
        <f t="shared" si="230"/>
        <v/>
      </c>
      <c r="V2808" t="str">
        <f t="shared" si="232"/>
        <v>AES</v>
      </c>
      <c r="W2808" t="str">
        <f t="shared" si="232"/>
        <v>MVS,AES</v>
      </c>
      <c r="AG2808" t="s">
        <v>6</v>
      </c>
      <c r="AH2808" t="s">
        <v>1346</v>
      </c>
      <c r="AI2808" t="s">
        <v>65</v>
      </c>
      <c r="AJ2808" t="s">
        <v>57</v>
      </c>
      <c r="AK2808" t="s">
        <v>1345</v>
      </c>
      <c r="AL2808" t="s">
        <v>1344</v>
      </c>
    </row>
    <row r="2809" spans="5:43" x14ac:dyDescent="0.25">
      <c r="I2809" t="str">
        <f t="shared" si="228"/>
        <v>samsh5spho</v>
      </c>
      <c r="J2809" t="str">
        <f t="shared" si="229"/>
        <v/>
      </c>
      <c r="L2809" t="str">
        <f t="shared" si="231"/>
        <v>NGH-2720</v>
      </c>
      <c r="M2809" t="str">
        <f t="shared" si="231"/>
        <v>20040715</v>
      </c>
      <c r="N2809" t="str">
        <f t="shared" si="231"/>
        <v>サムライスピリッツ零 SPECIAL</v>
      </c>
      <c r="O2809" t="str">
        <f t="shared" si="231"/>
        <v/>
      </c>
      <c r="P2809" t="str">
        <f t="shared" si="231"/>
        <v/>
      </c>
      <c r="T2809" t="str">
        <f t="shared" si="230"/>
        <v/>
      </c>
      <c r="V2809" t="str">
        <f t="shared" si="232"/>
        <v>AES</v>
      </c>
      <c r="W2809" t="str">
        <f t="shared" si="232"/>
        <v>MVS,AES</v>
      </c>
      <c r="AG2809" t="s">
        <v>6</v>
      </c>
      <c r="AH2809" t="s">
        <v>1343</v>
      </c>
      <c r="AI2809" t="s">
        <v>164</v>
      </c>
      <c r="AJ2809" t="s">
        <v>57</v>
      </c>
      <c r="AK2809" t="s">
        <v>1342</v>
      </c>
      <c r="AL2809" t="s">
        <v>1341</v>
      </c>
    </row>
    <row r="2810" spans="5:43" x14ac:dyDescent="0.25">
      <c r="I2810" t="str">
        <f t="shared" si="228"/>
        <v>samsh5spho</v>
      </c>
      <c r="J2810" t="str">
        <f t="shared" si="229"/>
        <v/>
      </c>
      <c r="L2810" t="str">
        <f t="shared" si="231"/>
        <v>NGH-2720</v>
      </c>
      <c r="M2810" t="str">
        <f t="shared" si="231"/>
        <v>20040715</v>
      </c>
      <c r="N2810" t="str">
        <f t="shared" si="231"/>
        <v>サムライスピリッツ零 SPECIAL</v>
      </c>
      <c r="O2810" t="str">
        <f t="shared" si="231"/>
        <v/>
      </c>
      <c r="P2810" t="str">
        <f t="shared" si="231"/>
        <v/>
      </c>
      <c r="T2810" t="str">
        <f t="shared" si="230"/>
        <v/>
      </c>
      <c r="V2810" t="str">
        <f t="shared" si="232"/>
        <v>AES</v>
      </c>
      <c r="W2810" t="str">
        <f t="shared" si="232"/>
        <v>MVS,AES</v>
      </c>
      <c r="AG2810" t="s">
        <v>6</v>
      </c>
      <c r="AH2810" t="s">
        <v>1340</v>
      </c>
      <c r="AI2810" t="s">
        <v>160</v>
      </c>
      <c r="AJ2810" t="s">
        <v>57</v>
      </c>
      <c r="AK2810" t="s">
        <v>1339</v>
      </c>
      <c r="AL2810" t="s">
        <v>1338</v>
      </c>
    </row>
    <row r="2811" spans="5:43" x14ac:dyDescent="0.25">
      <c r="I2811" t="str">
        <f t="shared" si="228"/>
        <v>samsh5spho</v>
      </c>
      <c r="J2811" t="str">
        <f t="shared" si="229"/>
        <v/>
      </c>
      <c r="L2811" t="str">
        <f t="shared" si="231"/>
        <v>NGH-2720</v>
      </c>
      <c r="M2811" t="str">
        <f t="shared" si="231"/>
        <v>20040715</v>
      </c>
      <c r="N2811" t="str">
        <f t="shared" si="231"/>
        <v>サムライスピリッツ零 SPECIAL</v>
      </c>
      <c r="O2811" t="str">
        <f t="shared" si="231"/>
        <v/>
      </c>
      <c r="P2811" t="str">
        <f t="shared" si="231"/>
        <v/>
      </c>
      <c r="T2811" t="str">
        <f t="shared" si="230"/>
        <v/>
      </c>
      <c r="V2811" t="str">
        <f t="shared" si="232"/>
        <v>AES</v>
      </c>
      <c r="W2811" t="str">
        <f t="shared" si="232"/>
        <v>MVS,AES</v>
      </c>
      <c r="AG2811" t="s">
        <v>6</v>
      </c>
      <c r="AH2811" t="s">
        <v>1337</v>
      </c>
      <c r="AI2811" t="s">
        <v>156</v>
      </c>
      <c r="AJ2811" t="s">
        <v>57</v>
      </c>
      <c r="AK2811" t="s">
        <v>1336</v>
      </c>
      <c r="AL2811" t="s">
        <v>1335</v>
      </c>
    </row>
    <row r="2812" spans="5:43" x14ac:dyDescent="0.25">
      <c r="I2812" t="str">
        <f t="shared" si="228"/>
        <v>samsh5spho</v>
      </c>
      <c r="J2812" t="str">
        <f t="shared" si="229"/>
        <v/>
      </c>
      <c r="L2812" t="str">
        <f t="shared" si="231"/>
        <v>NGH-2720</v>
      </c>
      <c r="M2812" t="str">
        <f t="shared" si="231"/>
        <v>20040715</v>
      </c>
      <c r="N2812" t="str">
        <f t="shared" si="231"/>
        <v>サムライスピリッツ零 SPECIAL</v>
      </c>
      <c r="O2812" t="str">
        <f t="shared" si="231"/>
        <v/>
      </c>
      <c r="P2812" t="str">
        <f t="shared" si="231"/>
        <v/>
      </c>
      <c r="T2812" t="str">
        <f t="shared" si="230"/>
        <v/>
      </c>
      <c r="V2812" t="str">
        <f t="shared" si="232"/>
        <v>AES</v>
      </c>
      <c r="W2812" t="str">
        <f t="shared" si="232"/>
        <v>MVS,AES</v>
      </c>
      <c r="AG2812" t="s">
        <v>6</v>
      </c>
      <c r="AH2812" t="s">
        <v>1334</v>
      </c>
      <c r="AI2812" t="s">
        <v>152</v>
      </c>
      <c r="AJ2812" t="s">
        <v>57</v>
      </c>
      <c r="AK2812" t="s">
        <v>1333</v>
      </c>
      <c r="AL2812" t="s">
        <v>1332</v>
      </c>
    </row>
    <row r="2813" spans="5:43" x14ac:dyDescent="0.25">
      <c r="I2813" t="str">
        <f t="shared" si="228"/>
        <v>samsh5spho</v>
      </c>
      <c r="J2813" t="str">
        <f t="shared" si="229"/>
        <v/>
      </c>
      <c r="L2813" t="str">
        <f t="shared" si="231"/>
        <v>NGH-2720</v>
      </c>
      <c r="M2813" t="str">
        <f t="shared" si="231"/>
        <v>20040715</v>
      </c>
      <c r="N2813" t="str">
        <f t="shared" si="231"/>
        <v>サムライスピリッツ零 SPECIAL</v>
      </c>
      <c r="O2813" t="str">
        <f t="shared" si="231"/>
        <v/>
      </c>
      <c r="P2813" t="str">
        <f t="shared" si="231"/>
        <v/>
      </c>
      <c r="T2813" t="str">
        <f t="shared" si="230"/>
        <v/>
      </c>
      <c r="V2813" t="str">
        <f t="shared" si="232"/>
        <v>AES</v>
      </c>
      <c r="W2813" t="str">
        <f t="shared" si="232"/>
        <v>MVS,AES</v>
      </c>
      <c r="AG2813" t="s">
        <v>6</v>
      </c>
      <c r="AH2813" t="s">
        <v>1331</v>
      </c>
      <c r="AI2813" t="s">
        <v>148</v>
      </c>
      <c r="AJ2813" t="s">
        <v>57</v>
      </c>
      <c r="AK2813" t="s">
        <v>1330</v>
      </c>
      <c r="AL2813" t="s">
        <v>1329</v>
      </c>
    </row>
    <row r="2814" spans="5:43" x14ac:dyDescent="0.25">
      <c r="E2814" t="s">
        <v>1317</v>
      </c>
      <c r="F2814" t="s">
        <v>1328</v>
      </c>
      <c r="G2814" t="s">
        <v>959</v>
      </c>
      <c r="H2814" t="s">
        <v>1322</v>
      </c>
      <c r="I2814" t="str">
        <f t="shared" si="228"/>
        <v>jockeygp</v>
      </c>
      <c r="J2814" t="str">
        <f t="shared" si="229"/>
        <v/>
      </c>
      <c r="L2814" t="str">
        <f t="shared" si="231"/>
        <v/>
      </c>
      <c r="M2814" t="str">
        <f t="shared" si="231"/>
        <v/>
      </c>
      <c r="N2814" t="str">
        <f t="shared" si="231"/>
        <v/>
      </c>
      <c r="O2814" t="str">
        <f t="shared" si="231"/>
        <v/>
      </c>
      <c r="P2814" t="str">
        <f t="shared" si="231"/>
        <v/>
      </c>
      <c r="S2814" t="s">
        <v>46</v>
      </c>
      <c r="T2814" t="str">
        <f t="shared" si="230"/>
        <v>jockeygprelease</v>
      </c>
      <c r="U2814" t="s">
        <v>106</v>
      </c>
      <c r="V2814" t="str">
        <f t="shared" si="232"/>
        <v>MVS</v>
      </c>
      <c r="W2814" t="str">
        <f t="shared" si="232"/>
        <v>MVS</v>
      </c>
      <c r="Y2814" t="s">
        <v>45</v>
      </c>
      <c r="Z2814" t="s">
        <v>44</v>
      </c>
      <c r="AB2814" t="s">
        <v>43</v>
      </c>
      <c r="AC2814" t="s">
        <v>42</v>
      </c>
      <c r="AD2814" t="s">
        <v>41</v>
      </c>
      <c r="AE2814" t="s">
        <v>3</v>
      </c>
      <c r="AG2814" t="s">
        <v>40</v>
      </c>
      <c r="AH2814" t="s">
        <v>1327</v>
      </c>
      <c r="AI2814" t="s">
        <v>9</v>
      </c>
      <c r="AJ2814" t="s">
        <v>15</v>
      </c>
      <c r="AK2814" t="s">
        <v>1326</v>
      </c>
      <c r="AL2814" t="s">
        <v>1325</v>
      </c>
      <c r="AP2814" t="s">
        <v>138</v>
      </c>
      <c r="AQ2814" t="s">
        <v>1318</v>
      </c>
    </row>
    <row r="2815" spans="5:43" x14ac:dyDescent="0.25">
      <c r="I2815" t="str">
        <f t="shared" si="228"/>
        <v>jockeygp</v>
      </c>
      <c r="J2815" t="str">
        <f t="shared" si="229"/>
        <v/>
      </c>
      <c r="L2815" t="str">
        <f t="shared" si="231"/>
        <v/>
      </c>
      <c r="M2815" t="str">
        <f t="shared" si="231"/>
        <v/>
      </c>
      <c r="N2815" t="str">
        <f t="shared" si="231"/>
        <v/>
      </c>
      <c r="O2815" t="str">
        <f t="shared" si="231"/>
        <v/>
      </c>
      <c r="P2815" t="str">
        <f t="shared" si="231"/>
        <v/>
      </c>
      <c r="S2815" t="s">
        <v>36</v>
      </c>
      <c r="T2815" t="str">
        <f t="shared" si="230"/>
        <v>jockeygpcompatibility</v>
      </c>
      <c r="U2815" t="s">
        <v>106</v>
      </c>
      <c r="V2815" t="str">
        <f t="shared" si="232"/>
        <v>MVS</v>
      </c>
      <c r="W2815" t="str">
        <f t="shared" si="232"/>
        <v>MVS</v>
      </c>
      <c r="AG2815" t="s">
        <v>538</v>
      </c>
      <c r="AI2815" t="s">
        <v>15</v>
      </c>
      <c r="AJ2815" t="s">
        <v>15</v>
      </c>
      <c r="AN2815" t="s">
        <v>1291</v>
      </c>
    </row>
    <row r="2816" spans="5:43" x14ac:dyDescent="0.25">
      <c r="I2816" t="str">
        <f t="shared" si="228"/>
        <v>jockeygp</v>
      </c>
      <c r="J2816" t="str">
        <f t="shared" si="229"/>
        <v/>
      </c>
      <c r="L2816" t="str">
        <f t="shared" si="231"/>
        <v/>
      </c>
      <c r="M2816" t="str">
        <f t="shared" si="231"/>
        <v/>
      </c>
      <c r="N2816" t="str">
        <f t="shared" si="231"/>
        <v/>
      </c>
      <c r="O2816" t="str">
        <f t="shared" si="231"/>
        <v/>
      </c>
      <c r="P2816" t="str">
        <f t="shared" si="231"/>
        <v/>
      </c>
      <c r="T2816" t="str">
        <f t="shared" si="230"/>
        <v/>
      </c>
      <c r="V2816" t="str">
        <f t="shared" si="232"/>
        <v>MVS</v>
      </c>
      <c r="W2816" t="str">
        <f t="shared" si="232"/>
        <v>MVS</v>
      </c>
      <c r="AB2816" t="s">
        <v>34</v>
      </c>
      <c r="AE2816" t="s">
        <v>135</v>
      </c>
      <c r="AG2816" t="s">
        <v>538</v>
      </c>
      <c r="AI2816" t="s">
        <v>9</v>
      </c>
      <c r="AJ2816" t="s">
        <v>135</v>
      </c>
      <c r="AN2816" t="s">
        <v>537</v>
      </c>
    </row>
    <row r="2817" spans="5:44" x14ac:dyDescent="0.25">
      <c r="I2817" t="str">
        <f t="shared" si="228"/>
        <v>jockeygp</v>
      </c>
      <c r="J2817" t="str">
        <f t="shared" si="229"/>
        <v/>
      </c>
      <c r="L2817" t="str">
        <f t="shared" si="231"/>
        <v/>
      </c>
      <c r="M2817" t="str">
        <f t="shared" si="231"/>
        <v/>
      </c>
      <c r="N2817" t="str">
        <f t="shared" si="231"/>
        <v/>
      </c>
      <c r="O2817" t="str">
        <f t="shared" si="231"/>
        <v/>
      </c>
      <c r="P2817" t="str">
        <f t="shared" si="231"/>
        <v/>
      </c>
      <c r="T2817" t="str">
        <f t="shared" si="230"/>
        <v/>
      </c>
      <c r="V2817" t="str">
        <f t="shared" si="232"/>
        <v>MVS</v>
      </c>
      <c r="W2817" t="str">
        <f t="shared" si="232"/>
        <v>MVS</v>
      </c>
      <c r="AB2817" t="s">
        <v>482</v>
      </c>
      <c r="AE2817" t="s">
        <v>480</v>
      </c>
      <c r="AH2817" t="s">
        <v>1316</v>
      </c>
      <c r="AI2817" t="s">
        <v>314</v>
      </c>
      <c r="AJ2817" t="s">
        <v>480</v>
      </c>
      <c r="AK2817" t="s">
        <v>1315</v>
      </c>
      <c r="AL2817" t="s">
        <v>1314</v>
      </c>
    </row>
    <row r="2818" spans="5:44" x14ac:dyDescent="0.25">
      <c r="I2818" t="str">
        <f t="shared" si="228"/>
        <v>jockeygp</v>
      </c>
      <c r="J2818" t="str">
        <f t="shared" si="229"/>
        <v/>
      </c>
      <c r="L2818" t="str">
        <f t="shared" si="231"/>
        <v/>
      </c>
      <c r="M2818" t="str">
        <f t="shared" si="231"/>
        <v/>
      </c>
      <c r="N2818" t="str">
        <f t="shared" si="231"/>
        <v/>
      </c>
      <c r="O2818" t="str">
        <f t="shared" si="231"/>
        <v/>
      </c>
      <c r="P2818" t="str">
        <f t="shared" si="231"/>
        <v/>
      </c>
      <c r="T2818" t="str">
        <f t="shared" si="230"/>
        <v/>
      </c>
      <c r="V2818" t="str">
        <f t="shared" si="232"/>
        <v>MVS</v>
      </c>
      <c r="W2818" t="str">
        <f t="shared" si="232"/>
        <v>MVS</v>
      </c>
      <c r="AB2818" t="s">
        <v>24</v>
      </c>
      <c r="AE2818" t="s">
        <v>1179</v>
      </c>
      <c r="AH2818" t="s">
        <v>1313</v>
      </c>
      <c r="AI2818" t="s">
        <v>9</v>
      </c>
      <c r="AJ2818" t="s">
        <v>3</v>
      </c>
      <c r="AK2818" t="s">
        <v>1312</v>
      </c>
      <c r="AL2818" t="s">
        <v>1311</v>
      </c>
    </row>
    <row r="2819" spans="5:44" x14ac:dyDescent="0.25">
      <c r="I2819" t="str">
        <f t="shared" ref="I2819:I2882" si="233">IF(E2819="",I2818,E2819)</f>
        <v>jockeygp</v>
      </c>
      <c r="J2819" t="str">
        <f t="shared" ref="J2819:J2882" si="234">IF(K2819="","",I2819&amp;K2819)</f>
        <v/>
      </c>
      <c r="L2819" t="str">
        <f t="shared" si="231"/>
        <v/>
      </c>
      <c r="M2819" t="str">
        <f t="shared" si="231"/>
        <v/>
      </c>
      <c r="N2819" t="str">
        <f t="shared" si="231"/>
        <v/>
      </c>
      <c r="O2819" t="str">
        <f t="shared" si="231"/>
        <v/>
      </c>
      <c r="P2819" t="str">
        <f t="shared" si="231"/>
        <v/>
      </c>
      <c r="T2819" t="str">
        <f t="shared" ref="T2819:T2882" si="235">IF(S2819="","",I2819&amp;S2819)</f>
        <v/>
      </c>
      <c r="V2819" t="str">
        <f t="shared" si="232"/>
        <v>MVS</v>
      </c>
      <c r="W2819" t="str">
        <f t="shared" si="232"/>
        <v>MVS</v>
      </c>
      <c r="AB2819" t="s">
        <v>12</v>
      </c>
      <c r="AE2819" t="s">
        <v>65</v>
      </c>
      <c r="AG2819" t="s">
        <v>6</v>
      </c>
      <c r="AH2819" t="s">
        <v>1310</v>
      </c>
      <c r="AI2819" t="s">
        <v>9</v>
      </c>
      <c r="AJ2819" t="s">
        <v>57</v>
      </c>
      <c r="AK2819" t="s">
        <v>1309</v>
      </c>
      <c r="AL2819" t="s">
        <v>1308</v>
      </c>
    </row>
    <row r="2820" spans="5:44" x14ac:dyDescent="0.25">
      <c r="I2820" t="str">
        <f t="shared" si="233"/>
        <v>jockeygp</v>
      </c>
      <c r="J2820" t="str">
        <f t="shared" si="234"/>
        <v/>
      </c>
      <c r="L2820" t="str">
        <f t="shared" ref="L2820:P2870" si="236">IFERROR(VLOOKUP($I2820&amp;L$1,$J:$Q,8,0),"")</f>
        <v/>
      </c>
      <c r="M2820" t="str">
        <f t="shared" si="236"/>
        <v/>
      </c>
      <c r="N2820" t="str">
        <f t="shared" si="236"/>
        <v/>
      </c>
      <c r="O2820" t="str">
        <f t="shared" si="236"/>
        <v/>
      </c>
      <c r="P2820" t="str">
        <f t="shared" si="236"/>
        <v/>
      </c>
      <c r="T2820" t="str">
        <f t="shared" si="235"/>
        <v/>
      </c>
      <c r="V2820" t="str">
        <f t="shared" si="232"/>
        <v>MVS</v>
      </c>
      <c r="W2820" t="str">
        <f t="shared" si="232"/>
        <v>MVS</v>
      </c>
      <c r="AG2820" t="s">
        <v>6</v>
      </c>
      <c r="AH2820" t="s">
        <v>1307</v>
      </c>
      <c r="AI2820" t="s">
        <v>4</v>
      </c>
      <c r="AJ2820" t="s">
        <v>57</v>
      </c>
      <c r="AK2820" t="s">
        <v>1306</v>
      </c>
      <c r="AL2820" t="s">
        <v>1305</v>
      </c>
    </row>
    <row r="2821" spans="5:44" x14ac:dyDescent="0.25">
      <c r="E2821" t="s">
        <v>1324</v>
      </c>
      <c r="F2821" t="s">
        <v>1323</v>
      </c>
      <c r="G2821" t="s">
        <v>959</v>
      </c>
      <c r="H2821" t="s">
        <v>1322</v>
      </c>
      <c r="I2821" t="str">
        <f t="shared" si="233"/>
        <v>jockeygpa</v>
      </c>
      <c r="J2821" t="str">
        <f t="shared" si="234"/>
        <v/>
      </c>
      <c r="L2821" t="str">
        <f t="shared" si="236"/>
        <v/>
      </c>
      <c r="M2821" t="str">
        <f t="shared" si="236"/>
        <v/>
      </c>
      <c r="N2821" t="str">
        <f t="shared" si="236"/>
        <v/>
      </c>
      <c r="O2821" t="str">
        <f t="shared" si="236"/>
        <v/>
      </c>
      <c r="P2821" t="str">
        <f t="shared" si="236"/>
        <v/>
      </c>
      <c r="S2821" t="s">
        <v>46</v>
      </c>
      <c r="T2821" t="str">
        <f t="shared" si="235"/>
        <v>jockeygparelease</v>
      </c>
      <c r="U2821" t="s">
        <v>106</v>
      </c>
      <c r="V2821" t="str">
        <f t="shared" si="232"/>
        <v>MVS</v>
      </c>
      <c r="W2821" t="str">
        <f t="shared" si="232"/>
        <v>MVS</v>
      </c>
      <c r="Y2821" t="s">
        <v>45</v>
      </c>
      <c r="Z2821" t="s">
        <v>44</v>
      </c>
      <c r="AB2821" t="s">
        <v>43</v>
      </c>
      <c r="AC2821" t="s">
        <v>42</v>
      </c>
      <c r="AD2821" t="s">
        <v>41</v>
      </c>
      <c r="AE2821" t="s">
        <v>3</v>
      </c>
      <c r="AG2821" t="s">
        <v>40</v>
      </c>
      <c r="AH2821" t="s">
        <v>1321</v>
      </c>
      <c r="AI2821" t="s">
        <v>9</v>
      </c>
      <c r="AJ2821" t="s">
        <v>15</v>
      </c>
      <c r="AK2821" t="s">
        <v>1320</v>
      </c>
      <c r="AL2821" t="s">
        <v>1319</v>
      </c>
      <c r="AP2821" t="s">
        <v>138</v>
      </c>
      <c r="AQ2821" t="s">
        <v>1318</v>
      </c>
      <c r="AR2821" t="s">
        <v>1317</v>
      </c>
    </row>
    <row r="2822" spans="5:44" x14ac:dyDescent="0.25">
      <c r="I2822" t="str">
        <f t="shared" si="233"/>
        <v>jockeygpa</v>
      </c>
      <c r="J2822" t="str">
        <f t="shared" si="234"/>
        <v/>
      </c>
      <c r="L2822" t="str">
        <f t="shared" si="236"/>
        <v/>
      </c>
      <c r="M2822" t="str">
        <f t="shared" si="236"/>
        <v/>
      </c>
      <c r="N2822" t="str">
        <f t="shared" si="236"/>
        <v/>
      </c>
      <c r="O2822" t="str">
        <f t="shared" si="236"/>
        <v/>
      </c>
      <c r="P2822" t="str">
        <f t="shared" si="236"/>
        <v/>
      </c>
      <c r="S2822" t="s">
        <v>36</v>
      </c>
      <c r="T2822" t="str">
        <f t="shared" si="235"/>
        <v>jockeygpacompatibility</v>
      </c>
      <c r="U2822" t="s">
        <v>106</v>
      </c>
      <c r="V2822" t="str">
        <f t="shared" si="232"/>
        <v>MVS</v>
      </c>
      <c r="W2822" t="str">
        <f t="shared" si="232"/>
        <v>MVS</v>
      </c>
      <c r="AG2822" t="s">
        <v>538</v>
      </c>
      <c r="AI2822" t="s">
        <v>15</v>
      </c>
      <c r="AJ2822" t="s">
        <v>15</v>
      </c>
      <c r="AN2822" t="s">
        <v>1291</v>
      </c>
    </row>
    <row r="2823" spans="5:44" x14ac:dyDescent="0.25">
      <c r="I2823" t="str">
        <f t="shared" si="233"/>
        <v>jockeygpa</v>
      </c>
      <c r="J2823" t="str">
        <f t="shared" si="234"/>
        <v/>
      </c>
      <c r="L2823" t="str">
        <f t="shared" si="236"/>
        <v/>
      </c>
      <c r="M2823" t="str">
        <f t="shared" si="236"/>
        <v/>
      </c>
      <c r="N2823" t="str">
        <f t="shared" si="236"/>
        <v/>
      </c>
      <c r="O2823" t="str">
        <f t="shared" si="236"/>
        <v/>
      </c>
      <c r="P2823" t="str">
        <f t="shared" si="236"/>
        <v/>
      </c>
      <c r="T2823" t="str">
        <f t="shared" si="235"/>
        <v/>
      </c>
      <c r="V2823" t="str">
        <f t="shared" si="232"/>
        <v>MVS</v>
      </c>
      <c r="W2823" t="str">
        <f t="shared" si="232"/>
        <v>MVS</v>
      </c>
      <c r="AB2823" t="s">
        <v>34</v>
      </c>
      <c r="AE2823" t="s">
        <v>135</v>
      </c>
      <c r="AG2823" t="s">
        <v>538</v>
      </c>
      <c r="AI2823" t="s">
        <v>9</v>
      </c>
      <c r="AJ2823" t="s">
        <v>135</v>
      </c>
      <c r="AN2823" t="s">
        <v>537</v>
      </c>
    </row>
    <row r="2824" spans="5:44" x14ac:dyDescent="0.25">
      <c r="I2824" t="str">
        <f t="shared" si="233"/>
        <v>jockeygpa</v>
      </c>
      <c r="J2824" t="str">
        <f t="shared" si="234"/>
        <v/>
      </c>
      <c r="L2824" t="str">
        <f t="shared" si="236"/>
        <v/>
      </c>
      <c r="M2824" t="str">
        <f t="shared" si="236"/>
        <v/>
      </c>
      <c r="N2824" t="str">
        <f t="shared" si="236"/>
        <v/>
      </c>
      <c r="O2824" t="str">
        <f t="shared" si="236"/>
        <v/>
      </c>
      <c r="P2824" t="str">
        <f t="shared" si="236"/>
        <v/>
      </c>
      <c r="T2824" t="str">
        <f t="shared" si="235"/>
        <v/>
      </c>
      <c r="V2824" t="str">
        <f t="shared" si="232"/>
        <v>MVS</v>
      </c>
      <c r="W2824" t="str">
        <f t="shared" si="232"/>
        <v>MVS</v>
      </c>
      <c r="AB2824" t="s">
        <v>482</v>
      </c>
      <c r="AE2824" t="s">
        <v>480</v>
      </c>
      <c r="AH2824" t="s">
        <v>1316</v>
      </c>
      <c r="AI2824" t="s">
        <v>314</v>
      </c>
      <c r="AJ2824" t="s">
        <v>480</v>
      </c>
      <c r="AK2824" t="s">
        <v>1315</v>
      </c>
      <c r="AL2824" t="s">
        <v>1314</v>
      </c>
    </row>
    <row r="2825" spans="5:44" x14ac:dyDescent="0.25">
      <c r="I2825" t="str">
        <f t="shared" si="233"/>
        <v>jockeygpa</v>
      </c>
      <c r="J2825" t="str">
        <f t="shared" si="234"/>
        <v/>
      </c>
      <c r="L2825" t="str">
        <f t="shared" si="236"/>
        <v/>
      </c>
      <c r="M2825" t="str">
        <f t="shared" si="236"/>
        <v/>
      </c>
      <c r="N2825" t="str">
        <f t="shared" si="236"/>
        <v/>
      </c>
      <c r="O2825" t="str">
        <f t="shared" si="236"/>
        <v/>
      </c>
      <c r="P2825" t="str">
        <f t="shared" si="236"/>
        <v/>
      </c>
      <c r="T2825" t="str">
        <f t="shared" si="235"/>
        <v/>
      </c>
      <c r="V2825" t="str">
        <f t="shared" si="232"/>
        <v>MVS</v>
      </c>
      <c r="W2825" t="str">
        <f t="shared" si="232"/>
        <v>MVS</v>
      </c>
      <c r="AB2825" t="s">
        <v>24</v>
      </c>
      <c r="AE2825" t="s">
        <v>1179</v>
      </c>
      <c r="AH2825" t="s">
        <v>1313</v>
      </c>
      <c r="AI2825" t="s">
        <v>9</v>
      </c>
      <c r="AJ2825" t="s">
        <v>3</v>
      </c>
      <c r="AK2825" t="s">
        <v>1312</v>
      </c>
      <c r="AL2825" t="s">
        <v>1311</v>
      </c>
    </row>
    <row r="2826" spans="5:44" x14ac:dyDescent="0.25">
      <c r="I2826" t="str">
        <f t="shared" si="233"/>
        <v>jockeygpa</v>
      </c>
      <c r="J2826" t="str">
        <f t="shared" si="234"/>
        <v/>
      </c>
      <c r="L2826" t="str">
        <f t="shared" si="236"/>
        <v/>
      </c>
      <c r="M2826" t="str">
        <f t="shared" si="236"/>
        <v/>
      </c>
      <c r="N2826" t="str">
        <f t="shared" si="236"/>
        <v/>
      </c>
      <c r="O2826" t="str">
        <f t="shared" si="236"/>
        <v/>
      </c>
      <c r="P2826" t="str">
        <f t="shared" si="236"/>
        <v/>
      </c>
      <c r="T2826" t="str">
        <f t="shared" si="235"/>
        <v/>
      </c>
      <c r="V2826" t="str">
        <f t="shared" si="232"/>
        <v>MVS</v>
      </c>
      <c r="W2826" t="str">
        <f t="shared" si="232"/>
        <v>MVS</v>
      </c>
      <c r="AB2826" t="s">
        <v>12</v>
      </c>
      <c r="AE2826" t="s">
        <v>65</v>
      </c>
      <c r="AG2826" t="s">
        <v>6</v>
      </c>
      <c r="AH2826" t="s">
        <v>1310</v>
      </c>
      <c r="AI2826" t="s">
        <v>9</v>
      </c>
      <c r="AJ2826" t="s">
        <v>57</v>
      </c>
      <c r="AK2826" t="s">
        <v>1309</v>
      </c>
      <c r="AL2826" t="s">
        <v>1308</v>
      </c>
    </row>
    <row r="2827" spans="5:44" x14ac:dyDescent="0.25">
      <c r="I2827" t="str">
        <f t="shared" si="233"/>
        <v>jockeygpa</v>
      </c>
      <c r="J2827" t="str">
        <f t="shared" si="234"/>
        <v/>
      </c>
      <c r="L2827" t="str">
        <f t="shared" si="236"/>
        <v/>
      </c>
      <c r="M2827" t="str">
        <f t="shared" si="236"/>
        <v/>
      </c>
      <c r="N2827" t="str">
        <f t="shared" si="236"/>
        <v/>
      </c>
      <c r="O2827" t="str">
        <f t="shared" si="236"/>
        <v/>
      </c>
      <c r="P2827" t="str">
        <f t="shared" si="236"/>
        <v/>
      </c>
      <c r="T2827" t="str">
        <f t="shared" si="235"/>
        <v/>
      </c>
      <c r="V2827" t="str">
        <f t="shared" si="232"/>
        <v>MVS</v>
      </c>
      <c r="W2827" t="str">
        <f t="shared" si="232"/>
        <v>MVS</v>
      </c>
      <c r="AG2827" t="s">
        <v>6</v>
      </c>
      <c r="AH2827" t="s">
        <v>1307</v>
      </c>
      <c r="AI2827" t="s">
        <v>4</v>
      </c>
      <c r="AJ2827" t="s">
        <v>57</v>
      </c>
      <c r="AK2827" t="s">
        <v>1306</v>
      </c>
      <c r="AL2827" t="s">
        <v>1305</v>
      </c>
    </row>
    <row r="2828" spans="5:44" x14ac:dyDescent="0.25">
      <c r="E2828" t="s">
        <v>1304</v>
      </c>
      <c r="F2828" t="s">
        <v>1303</v>
      </c>
      <c r="G2828" t="s">
        <v>1145</v>
      </c>
      <c r="H2828" t="s">
        <v>1302</v>
      </c>
      <c r="I2828" t="str">
        <f t="shared" si="233"/>
        <v>dragonsh</v>
      </c>
      <c r="J2828" t="str">
        <f t="shared" si="234"/>
        <v/>
      </c>
      <c r="L2828" t="str">
        <f t="shared" si="236"/>
        <v/>
      </c>
      <c r="M2828" t="str">
        <f t="shared" si="236"/>
        <v/>
      </c>
      <c r="N2828" t="str">
        <f t="shared" si="236"/>
        <v/>
      </c>
      <c r="O2828" t="str">
        <f t="shared" si="236"/>
        <v/>
      </c>
      <c r="P2828" t="str">
        <f t="shared" si="236"/>
        <v/>
      </c>
      <c r="S2828" t="s">
        <v>46</v>
      </c>
      <c r="T2828" t="str">
        <f t="shared" si="235"/>
        <v>dragonshrelease</v>
      </c>
      <c r="U2828" t="s">
        <v>106</v>
      </c>
      <c r="V2828" t="str">
        <f t="shared" si="232"/>
        <v>MVS</v>
      </c>
      <c r="W2828" t="str">
        <f t="shared" si="232"/>
        <v>MVS,AES</v>
      </c>
      <c r="Y2828" t="s">
        <v>45</v>
      </c>
      <c r="Z2828" t="s">
        <v>44</v>
      </c>
      <c r="AB2828" t="s">
        <v>43</v>
      </c>
      <c r="AC2828" t="s">
        <v>42</v>
      </c>
      <c r="AD2828" t="s">
        <v>41</v>
      </c>
      <c r="AE2828" t="s">
        <v>15</v>
      </c>
      <c r="AG2828" t="s">
        <v>6</v>
      </c>
      <c r="AH2828" t="s">
        <v>1301</v>
      </c>
      <c r="AI2828" t="s">
        <v>9</v>
      </c>
      <c r="AJ2828" t="s">
        <v>92</v>
      </c>
      <c r="AK2828" t="s">
        <v>1300</v>
      </c>
      <c r="AL2828" t="s">
        <v>1299</v>
      </c>
    </row>
    <row r="2829" spans="5:44" x14ac:dyDescent="0.25">
      <c r="I2829" t="str">
        <f t="shared" si="233"/>
        <v>dragonsh</v>
      </c>
      <c r="J2829" t="str">
        <f t="shared" si="234"/>
        <v/>
      </c>
      <c r="L2829" t="str">
        <f t="shared" si="236"/>
        <v/>
      </c>
      <c r="M2829" t="str">
        <f t="shared" si="236"/>
        <v/>
      </c>
      <c r="N2829" t="str">
        <f t="shared" si="236"/>
        <v/>
      </c>
      <c r="O2829" t="str">
        <f t="shared" si="236"/>
        <v/>
      </c>
      <c r="P2829" t="str">
        <f t="shared" si="236"/>
        <v/>
      </c>
      <c r="S2829" t="s">
        <v>36</v>
      </c>
      <c r="T2829" t="str">
        <f t="shared" si="235"/>
        <v>dragonshcompatibility</v>
      </c>
      <c r="U2829" t="s">
        <v>218</v>
      </c>
      <c r="V2829" t="str">
        <f t="shared" si="232"/>
        <v>MVS</v>
      </c>
      <c r="W2829" t="str">
        <f t="shared" si="232"/>
        <v>MVS,AES</v>
      </c>
      <c r="AG2829" t="s">
        <v>6</v>
      </c>
      <c r="AH2829" t="s">
        <v>1298</v>
      </c>
      <c r="AI2829" t="s">
        <v>4</v>
      </c>
      <c r="AJ2829" t="s">
        <v>92</v>
      </c>
      <c r="AK2829" t="s">
        <v>1297</v>
      </c>
      <c r="AL2829" t="s">
        <v>1296</v>
      </c>
    </row>
    <row r="2830" spans="5:44" x14ac:dyDescent="0.25">
      <c r="I2830" t="str">
        <f t="shared" si="233"/>
        <v>dragonsh</v>
      </c>
      <c r="J2830" t="str">
        <f t="shared" si="234"/>
        <v/>
      </c>
      <c r="L2830" t="str">
        <f t="shared" si="236"/>
        <v/>
      </c>
      <c r="M2830" t="str">
        <f t="shared" si="236"/>
        <v/>
      </c>
      <c r="N2830" t="str">
        <f t="shared" si="236"/>
        <v/>
      </c>
      <c r="O2830" t="str">
        <f t="shared" si="236"/>
        <v/>
      </c>
      <c r="P2830" t="str">
        <f t="shared" si="236"/>
        <v/>
      </c>
      <c r="T2830" t="str">
        <f t="shared" si="235"/>
        <v/>
      </c>
      <c r="V2830" t="str">
        <f t="shared" si="232"/>
        <v>MVS</v>
      </c>
      <c r="W2830" t="str">
        <f t="shared" si="232"/>
        <v>MVS,AES</v>
      </c>
      <c r="AB2830" t="s">
        <v>34</v>
      </c>
      <c r="AE2830" t="s">
        <v>33</v>
      </c>
      <c r="AH2830" t="s">
        <v>1295</v>
      </c>
      <c r="AI2830" t="s">
        <v>9</v>
      </c>
      <c r="AJ2830" t="s">
        <v>27</v>
      </c>
      <c r="AK2830" t="s">
        <v>1294</v>
      </c>
      <c r="AL2830" t="s">
        <v>1293</v>
      </c>
      <c r="AM2830" t="s">
        <v>1192</v>
      </c>
    </row>
    <row r="2831" spans="5:44" x14ac:dyDescent="0.25">
      <c r="I2831" t="str">
        <f t="shared" si="233"/>
        <v>dragonsh</v>
      </c>
      <c r="J2831" t="str">
        <f t="shared" si="234"/>
        <v/>
      </c>
      <c r="L2831" t="str">
        <f t="shared" si="236"/>
        <v/>
      </c>
      <c r="M2831" t="str">
        <f t="shared" si="236"/>
        <v/>
      </c>
      <c r="N2831" t="str">
        <f t="shared" si="236"/>
        <v/>
      </c>
      <c r="O2831" t="str">
        <f t="shared" si="236"/>
        <v/>
      </c>
      <c r="P2831" t="str">
        <f t="shared" si="236"/>
        <v/>
      </c>
      <c r="T2831" t="str">
        <f t="shared" si="235"/>
        <v/>
      </c>
      <c r="V2831" t="str">
        <f t="shared" si="232"/>
        <v>MVS</v>
      </c>
      <c r="W2831" t="str">
        <f t="shared" si="232"/>
        <v>MVS,AES</v>
      </c>
      <c r="AB2831" t="s">
        <v>29</v>
      </c>
      <c r="AE2831" t="s">
        <v>1292</v>
      </c>
      <c r="AG2831" t="s">
        <v>538</v>
      </c>
      <c r="AI2831" t="s">
        <v>537</v>
      </c>
      <c r="AJ2831" t="s">
        <v>1292</v>
      </c>
      <c r="AN2831" t="s">
        <v>1291</v>
      </c>
    </row>
    <row r="2832" spans="5:44" x14ac:dyDescent="0.25">
      <c r="I2832" t="str">
        <f t="shared" si="233"/>
        <v>dragonsh</v>
      </c>
      <c r="J2832" t="str">
        <f t="shared" si="234"/>
        <v/>
      </c>
      <c r="L2832" t="str">
        <f t="shared" si="236"/>
        <v/>
      </c>
      <c r="M2832" t="str">
        <f t="shared" si="236"/>
        <v/>
      </c>
      <c r="N2832" t="str">
        <f t="shared" si="236"/>
        <v/>
      </c>
      <c r="O2832" t="str">
        <f t="shared" si="236"/>
        <v/>
      </c>
      <c r="P2832" t="str">
        <f t="shared" si="236"/>
        <v/>
      </c>
      <c r="T2832" t="str">
        <f t="shared" si="235"/>
        <v/>
      </c>
      <c r="V2832" t="str">
        <f t="shared" si="232"/>
        <v>MVS</v>
      </c>
      <c r="W2832" t="str">
        <f t="shared" si="232"/>
        <v>MVS,AES</v>
      </c>
      <c r="AB2832" t="s">
        <v>24</v>
      </c>
      <c r="AE2832" t="s">
        <v>3</v>
      </c>
      <c r="AH2832" t="s">
        <v>1290</v>
      </c>
      <c r="AI2832" t="s">
        <v>9</v>
      </c>
      <c r="AJ2832" t="s">
        <v>3</v>
      </c>
      <c r="AM2832" t="s">
        <v>1289</v>
      </c>
    </row>
    <row r="2833" spans="5:38" x14ac:dyDescent="0.25">
      <c r="I2833" t="str">
        <f t="shared" si="233"/>
        <v>dragonsh</v>
      </c>
      <c r="J2833" t="str">
        <f t="shared" si="234"/>
        <v/>
      </c>
      <c r="L2833" t="str">
        <f t="shared" si="236"/>
        <v/>
      </c>
      <c r="M2833" t="str">
        <f t="shared" si="236"/>
        <v/>
      </c>
      <c r="N2833" t="str">
        <f t="shared" si="236"/>
        <v/>
      </c>
      <c r="O2833" t="str">
        <f t="shared" si="236"/>
        <v/>
      </c>
      <c r="P2833" t="str">
        <f t="shared" si="236"/>
        <v/>
      </c>
      <c r="T2833" t="str">
        <f t="shared" si="235"/>
        <v/>
      </c>
      <c r="V2833" t="str">
        <f t="shared" si="232"/>
        <v>MVS</v>
      </c>
      <c r="W2833" t="str">
        <f t="shared" si="232"/>
        <v>MVS,AES</v>
      </c>
      <c r="AB2833" t="s">
        <v>12</v>
      </c>
      <c r="AE2833" t="s">
        <v>160</v>
      </c>
      <c r="AG2833" t="s">
        <v>6</v>
      </c>
      <c r="AH2833" t="s">
        <v>1288</v>
      </c>
      <c r="AI2833" t="s">
        <v>9</v>
      </c>
      <c r="AJ2833" t="s">
        <v>65</v>
      </c>
      <c r="AK2833" t="s">
        <v>1287</v>
      </c>
      <c r="AL2833" t="s">
        <v>1286</v>
      </c>
    </row>
    <row r="2834" spans="5:38" x14ac:dyDescent="0.25">
      <c r="I2834" t="str">
        <f t="shared" si="233"/>
        <v>dragonsh</v>
      </c>
      <c r="J2834" t="str">
        <f t="shared" si="234"/>
        <v/>
      </c>
      <c r="L2834" t="str">
        <f t="shared" si="236"/>
        <v/>
      </c>
      <c r="M2834" t="str">
        <f t="shared" si="236"/>
        <v/>
      </c>
      <c r="N2834" t="str">
        <f t="shared" si="236"/>
        <v/>
      </c>
      <c r="O2834" t="str">
        <f t="shared" si="236"/>
        <v/>
      </c>
      <c r="P2834" t="str">
        <f t="shared" si="236"/>
        <v/>
      </c>
      <c r="T2834" t="str">
        <f t="shared" si="235"/>
        <v/>
      </c>
      <c r="V2834" t="str">
        <f t="shared" si="232"/>
        <v>MVS</v>
      </c>
      <c r="W2834" t="str">
        <f t="shared" si="232"/>
        <v>MVS,AES</v>
      </c>
      <c r="AG2834" t="s">
        <v>6</v>
      </c>
      <c r="AH2834" t="s">
        <v>1285</v>
      </c>
      <c r="AI2834" t="s">
        <v>4</v>
      </c>
      <c r="AJ2834" t="s">
        <v>65</v>
      </c>
      <c r="AK2834" t="s">
        <v>1284</v>
      </c>
      <c r="AL2834" t="s">
        <v>1283</v>
      </c>
    </row>
    <row r="2835" spans="5:38" x14ac:dyDescent="0.25">
      <c r="E2835" t="s">
        <v>1282</v>
      </c>
      <c r="F2835" t="s">
        <v>1281</v>
      </c>
      <c r="G2835" t="s">
        <v>1280</v>
      </c>
      <c r="H2835" t="s">
        <v>194</v>
      </c>
      <c r="I2835" t="str">
        <f t="shared" si="233"/>
        <v>zintrckb</v>
      </c>
      <c r="J2835" t="str">
        <f t="shared" si="234"/>
        <v/>
      </c>
      <c r="L2835" t="str">
        <f t="shared" si="236"/>
        <v/>
      </c>
      <c r="M2835" t="str">
        <f t="shared" si="236"/>
        <v/>
      </c>
      <c r="N2835" t="str">
        <f t="shared" si="236"/>
        <v/>
      </c>
      <c r="O2835" t="str">
        <f t="shared" si="236"/>
        <v/>
      </c>
      <c r="P2835" t="str">
        <f t="shared" si="236"/>
        <v/>
      </c>
      <c r="S2835" t="s">
        <v>46</v>
      </c>
      <c r="T2835" t="str">
        <f t="shared" si="235"/>
        <v>zintrckbrelease</v>
      </c>
      <c r="U2835" t="s">
        <v>106</v>
      </c>
      <c r="V2835" t="str">
        <f t="shared" si="232"/>
        <v>MVS</v>
      </c>
      <c r="W2835" t="str">
        <f t="shared" si="232"/>
        <v>MVS,AES</v>
      </c>
      <c r="Y2835" t="s">
        <v>45</v>
      </c>
      <c r="Z2835" t="s">
        <v>44</v>
      </c>
      <c r="AB2835" t="s">
        <v>43</v>
      </c>
      <c r="AC2835" t="s">
        <v>42</v>
      </c>
      <c r="AD2835" t="s">
        <v>41</v>
      </c>
      <c r="AE2835" t="s">
        <v>15</v>
      </c>
      <c r="AG2835" t="s">
        <v>40</v>
      </c>
      <c r="AH2835" t="s">
        <v>1279</v>
      </c>
      <c r="AI2835" t="s">
        <v>9</v>
      </c>
      <c r="AJ2835" t="s">
        <v>15</v>
      </c>
      <c r="AK2835" t="s">
        <v>1278</v>
      </c>
      <c r="AL2835" t="s">
        <v>1277</v>
      </c>
    </row>
    <row r="2836" spans="5:38" x14ac:dyDescent="0.25">
      <c r="I2836" t="str">
        <f t="shared" si="233"/>
        <v>zintrckb</v>
      </c>
      <c r="J2836" t="str">
        <f t="shared" si="234"/>
        <v/>
      </c>
      <c r="L2836" t="str">
        <f t="shared" si="236"/>
        <v/>
      </c>
      <c r="M2836" t="str">
        <f t="shared" si="236"/>
        <v/>
      </c>
      <c r="N2836" t="str">
        <f t="shared" si="236"/>
        <v/>
      </c>
      <c r="O2836" t="str">
        <f t="shared" si="236"/>
        <v/>
      </c>
      <c r="P2836" t="str">
        <f t="shared" si="236"/>
        <v/>
      </c>
      <c r="S2836" t="s">
        <v>36</v>
      </c>
      <c r="T2836" t="str">
        <f t="shared" si="235"/>
        <v>zintrckbcompatibility</v>
      </c>
      <c r="U2836" t="s">
        <v>218</v>
      </c>
      <c r="V2836" t="str">
        <f t="shared" si="232"/>
        <v>MVS</v>
      </c>
      <c r="W2836" t="str">
        <f t="shared" si="232"/>
        <v>MVS,AES</v>
      </c>
      <c r="AB2836" t="s">
        <v>34</v>
      </c>
      <c r="AE2836" t="s">
        <v>33</v>
      </c>
      <c r="AH2836" t="s">
        <v>1276</v>
      </c>
      <c r="AI2836" t="s">
        <v>9</v>
      </c>
      <c r="AJ2836" t="s">
        <v>27</v>
      </c>
      <c r="AK2836" t="s">
        <v>1275</v>
      </c>
      <c r="AL2836" t="s">
        <v>1274</v>
      </c>
    </row>
    <row r="2837" spans="5:38" x14ac:dyDescent="0.25">
      <c r="I2837" t="str">
        <f t="shared" si="233"/>
        <v>zintrckb</v>
      </c>
      <c r="J2837" t="str">
        <f t="shared" si="234"/>
        <v/>
      </c>
      <c r="L2837" t="str">
        <f t="shared" si="236"/>
        <v/>
      </c>
      <c r="M2837" t="str">
        <f t="shared" si="236"/>
        <v/>
      </c>
      <c r="N2837" t="str">
        <f t="shared" si="236"/>
        <v/>
      </c>
      <c r="O2837" t="str">
        <f t="shared" si="236"/>
        <v/>
      </c>
      <c r="P2837" t="str">
        <f t="shared" si="236"/>
        <v/>
      </c>
      <c r="T2837" t="str">
        <f t="shared" si="235"/>
        <v/>
      </c>
      <c r="V2837" t="str">
        <f t="shared" si="232"/>
        <v>MVS</v>
      </c>
      <c r="W2837" t="str">
        <f t="shared" si="232"/>
        <v>MVS,AES</v>
      </c>
      <c r="AB2837" t="s">
        <v>29</v>
      </c>
      <c r="AE2837" t="s">
        <v>27</v>
      </c>
      <c r="AH2837" t="s">
        <v>1273</v>
      </c>
      <c r="AI2837" t="s">
        <v>9</v>
      </c>
      <c r="AJ2837" t="s">
        <v>27</v>
      </c>
      <c r="AK2837" t="s">
        <v>1272</v>
      </c>
      <c r="AL2837" t="s">
        <v>1271</v>
      </c>
    </row>
    <row r="2838" spans="5:38" x14ac:dyDescent="0.25">
      <c r="I2838" t="str">
        <f t="shared" si="233"/>
        <v>zintrckb</v>
      </c>
      <c r="J2838" t="str">
        <f t="shared" si="234"/>
        <v/>
      </c>
      <c r="L2838" t="str">
        <f t="shared" si="236"/>
        <v/>
      </c>
      <c r="M2838" t="str">
        <f t="shared" si="236"/>
        <v/>
      </c>
      <c r="N2838" t="str">
        <f t="shared" si="236"/>
        <v/>
      </c>
      <c r="O2838" t="str">
        <f t="shared" si="236"/>
        <v/>
      </c>
      <c r="P2838" t="str">
        <f t="shared" si="236"/>
        <v/>
      </c>
      <c r="T2838" t="str">
        <f t="shared" si="235"/>
        <v/>
      </c>
      <c r="V2838" t="str">
        <f t="shared" si="232"/>
        <v>MVS</v>
      </c>
      <c r="W2838" t="str">
        <f t="shared" si="232"/>
        <v>MVS,AES</v>
      </c>
      <c r="AB2838" t="s">
        <v>24</v>
      </c>
      <c r="AE2838" t="s">
        <v>3</v>
      </c>
      <c r="AH2838" t="s">
        <v>1270</v>
      </c>
      <c r="AI2838" t="s">
        <v>9</v>
      </c>
      <c r="AJ2838" t="s">
        <v>3</v>
      </c>
      <c r="AK2838" t="s">
        <v>1269</v>
      </c>
      <c r="AL2838" t="s">
        <v>1268</v>
      </c>
    </row>
    <row r="2839" spans="5:38" x14ac:dyDescent="0.25">
      <c r="I2839" t="str">
        <f t="shared" si="233"/>
        <v>zintrckb</v>
      </c>
      <c r="J2839" t="str">
        <f t="shared" si="234"/>
        <v/>
      </c>
      <c r="L2839" t="str">
        <f t="shared" si="236"/>
        <v/>
      </c>
      <c r="M2839" t="str">
        <f t="shared" si="236"/>
        <v/>
      </c>
      <c r="N2839" t="str">
        <f t="shared" si="236"/>
        <v/>
      </c>
      <c r="O2839" t="str">
        <f t="shared" si="236"/>
        <v/>
      </c>
      <c r="P2839" t="str">
        <f t="shared" si="236"/>
        <v/>
      </c>
      <c r="T2839" t="str">
        <f t="shared" si="235"/>
        <v/>
      </c>
      <c r="V2839" t="str">
        <f t="shared" ref="V2839:W2902" si="237">IFERROR(VLOOKUP($I2839&amp;V$1,$T:$AA,2,0),"")</f>
        <v>MVS</v>
      </c>
      <c r="W2839" t="str">
        <f t="shared" si="237"/>
        <v>MVS,AES</v>
      </c>
      <c r="AB2839" t="s">
        <v>12</v>
      </c>
      <c r="AE2839" t="s">
        <v>11</v>
      </c>
      <c r="AG2839" t="s">
        <v>6</v>
      </c>
      <c r="AH2839" t="s">
        <v>1267</v>
      </c>
      <c r="AI2839" t="s">
        <v>9</v>
      </c>
      <c r="AJ2839" t="s">
        <v>3</v>
      </c>
      <c r="AK2839" t="s">
        <v>1266</v>
      </c>
      <c r="AL2839" t="s">
        <v>1265</v>
      </c>
    </row>
    <row r="2840" spans="5:38" x14ac:dyDescent="0.25">
      <c r="I2840" t="str">
        <f t="shared" si="233"/>
        <v>zintrckb</v>
      </c>
      <c r="J2840" t="str">
        <f t="shared" si="234"/>
        <v/>
      </c>
      <c r="L2840" t="str">
        <f t="shared" si="236"/>
        <v/>
      </c>
      <c r="M2840" t="str">
        <f t="shared" si="236"/>
        <v/>
      </c>
      <c r="N2840" t="str">
        <f t="shared" si="236"/>
        <v/>
      </c>
      <c r="O2840" t="str">
        <f t="shared" si="236"/>
        <v/>
      </c>
      <c r="P2840" t="str">
        <f t="shared" si="236"/>
        <v/>
      </c>
      <c r="T2840" t="str">
        <f t="shared" si="235"/>
        <v/>
      </c>
      <c r="V2840" t="str">
        <f t="shared" si="237"/>
        <v>MVS</v>
      </c>
      <c r="W2840" t="str">
        <f t="shared" si="237"/>
        <v>MVS,AES</v>
      </c>
      <c r="AG2840" t="s">
        <v>6</v>
      </c>
      <c r="AH2840" t="s">
        <v>1264</v>
      </c>
      <c r="AI2840" t="s">
        <v>4</v>
      </c>
      <c r="AJ2840" t="s">
        <v>3</v>
      </c>
      <c r="AK2840" t="s">
        <v>1263</v>
      </c>
      <c r="AL2840" t="s">
        <v>1262</v>
      </c>
    </row>
    <row r="2841" spans="5:38" x14ac:dyDescent="0.25">
      <c r="E2841" t="s">
        <v>1261</v>
      </c>
      <c r="F2841" t="s">
        <v>1260</v>
      </c>
      <c r="G2841" t="s">
        <v>1239</v>
      </c>
      <c r="H2841" t="s">
        <v>194</v>
      </c>
      <c r="I2841" t="str">
        <f t="shared" si="233"/>
        <v>froman2b</v>
      </c>
      <c r="J2841" t="str">
        <f t="shared" si="234"/>
        <v/>
      </c>
      <c r="L2841" t="str">
        <f t="shared" si="236"/>
        <v/>
      </c>
      <c r="M2841" t="str">
        <f t="shared" si="236"/>
        <v/>
      </c>
      <c r="N2841" t="str">
        <f t="shared" si="236"/>
        <v/>
      </c>
      <c r="O2841" t="str">
        <f t="shared" si="236"/>
        <v/>
      </c>
      <c r="P2841" t="str">
        <f t="shared" si="236"/>
        <v/>
      </c>
      <c r="S2841" t="s">
        <v>46</v>
      </c>
      <c r="T2841" t="str">
        <f t="shared" si="235"/>
        <v>froman2brelease</v>
      </c>
      <c r="U2841" t="s">
        <v>106</v>
      </c>
      <c r="V2841" t="str">
        <f t="shared" si="237"/>
        <v>MVS</v>
      </c>
      <c r="W2841" t="str">
        <f t="shared" si="237"/>
        <v>MVS,AES</v>
      </c>
      <c r="Y2841" t="s">
        <v>45</v>
      </c>
      <c r="Z2841" t="s">
        <v>44</v>
      </c>
      <c r="AB2841" t="s">
        <v>43</v>
      </c>
      <c r="AC2841" t="s">
        <v>42</v>
      </c>
      <c r="AD2841" t="s">
        <v>41</v>
      </c>
      <c r="AE2841" t="s">
        <v>15</v>
      </c>
      <c r="AG2841" t="s">
        <v>40</v>
      </c>
      <c r="AH2841" t="s">
        <v>1259</v>
      </c>
      <c r="AI2841" t="s">
        <v>9</v>
      </c>
      <c r="AJ2841" t="s">
        <v>480</v>
      </c>
      <c r="AK2841" t="s">
        <v>1258</v>
      </c>
      <c r="AL2841" t="s">
        <v>1257</v>
      </c>
    </row>
    <row r="2842" spans="5:38" x14ac:dyDescent="0.25">
      <c r="I2842" t="str">
        <f t="shared" si="233"/>
        <v>froman2b</v>
      </c>
      <c r="J2842" t="str">
        <f t="shared" si="234"/>
        <v/>
      </c>
      <c r="L2842" t="str">
        <f t="shared" si="236"/>
        <v/>
      </c>
      <c r="M2842" t="str">
        <f t="shared" si="236"/>
        <v/>
      </c>
      <c r="N2842" t="str">
        <f t="shared" si="236"/>
        <v/>
      </c>
      <c r="O2842" t="str">
        <f t="shared" si="236"/>
        <v/>
      </c>
      <c r="P2842" t="str">
        <f t="shared" si="236"/>
        <v/>
      </c>
      <c r="S2842" t="s">
        <v>36</v>
      </c>
      <c r="T2842" t="str">
        <f t="shared" si="235"/>
        <v>froman2bcompatibility</v>
      </c>
      <c r="U2842" t="s">
        <v>218</v>
      </c>
      <c r="V2842" t="str">
        <f t="shared" si="237"/>
        <v>MVS</v>
      </c>
      <c r="W2842" t="str">
        <f t="shared" si="237"/>
        <v>MVS,AES</v>
      </c>
      <c r="AB2842" t="s">
        <v>34</v>
      </c>
      <c r="AE2842" t="s">
        <v>33</v>
      </c>
      <c r="AH2842" t="s">
        <v>1256</v>
      </c>
      <c r="AI2842" t="s">
        <v>9</v>
      </c>
      <c r="AJ2842" t="s">
        <v>27</v>
      </c>
      <c r="AK2842" t="s">
        <v>1255</v>
      </c>
      <c r="AL2842" t="s">
        <v>1254</v>
      </c>
    </row>
    <row r="2843" spans="5:38" x14ac:dyDescent="0.25">
      <c r="I2843" t="str">
        <f t="shared" si="233"/>
        <v>froman2b</v>
      </c>
      <c r="J2843" t="str">
        <f t="shared" si="234"/>
        <v/>
      </c>
      <c r="L2843" t="str">
        <f t="shared" si="236"/>
        <v/>
      </c>
      <c r="M2843" t="str">
        <f t="shared" si="236"/>
        <v/>
      </c>
      <c r="N2843" t="str">
        <f t="shared" si="236"/>
        <v/>
      </c>
      <c r="O2843" t="str">
        <f t="shared" si="236"/>
        <v/>
      </c>
      <c r="P2843" t="str">
        <f t="shared" si="236"/>
        <v/>
      </c>
      <c r="T2843" t="str">
        <f t="shared" si="235"/>
        <v/>
      </c>
      <c r="V2843" t="str">
        <f t="shared" si="237"/>
        <v>MVS</v>
      </c>
      <c r="W2843" t="str">
        <f t="shared" si="237"/>
        <v>MVS,AES</v>
      </c>
      <c r="AB2843" t="s">
        <v>29</v>
      </c>
      <c r="AE2843" t="s">
        <v>27</v>
      </c>
      <c r="AH2843" t="s">
        <v>1253</v>
      </c>
      <c r="AI2843" t="s">
        <v>9</v>
      </c>
      <c r="AJ2843" t="s">
        <v>27</v>
      </c>
      <c r="AK2843" t="s">
        <v>1252</v>
      </c>
      <c r="AL2843" t="s">
        <v>1251</v>
      </c>
    </row>
    <row r="2844" spans="5:38" x14ac:dyDescent="0.25">
      <c r="I2844" t="str">
        <f t="shared" si="233"/>
        <v>froman2b</v>
      </c>
      <c r="J2844" t="str">
        <f t="shared" si="234"/>
        <v/>
      </c>
      <c r="L2844" t="str">
        <f t="shared" si="236"/>
        <v/>
      </c>
      <c r="M2844" t="str">
        <f t="shared" si="236"/>
        <v/>
      </c>
      <c r="N2844" t="str">
        <f t="shared" si="236"/>
        <v/>
      </c>
      <c r="O2844" t="str">
        <f t="shared" si="236"/>
        <v/>
      </c>
      <c r="P2844" t="str">
        <f t="shared" si="236"/>
        <v/>
      </c>
      <c r="T2844" t="str">
        <f t="shared" si="235"/>
        <v/>
      </c>
      <c r="V2844" t="str">
        <f t="shared" si="237"/>
        <v>MVS</v>
      </c>
      <c r="W2844" t="str">
        <f t="shared" si="237"/>
        <v>MVS,AES</v>
      </c>
      <c r="AB2844" t="s">
        <v>24</v>
      </c>
      <c r="AE2844" t="s">
        <v>15</v>
      </c>
      <c r="AH2844" t="s">
        <v>1250</v>
      </c>
      <c r="AI2844" t="s">
        <v>9</v>
      </c>
      <c r="AJ2844" t="s">
        <v>15</v>
      </c>
      <c r="AK2844" t="s">
        <v>1249</v>
      </c>
      <c r="AL2844" t="s">
        <v>1248</v>
      </c>
    </row>
    <row r="2845" spans="5:38" x14ac:dyDescent="0.25">
      <c r="I2845" t="str">
        <f t="shared" si="233"/>
        <v>froman2b</v>
      </c>
      <c r="J2845" t="str">
        <f t="shared" si="234"/>
        <v/>
      </c>
      <c r="L2845" t="str">
        <f t="shared" si="236"/>
        <v/>
      </c>
      <c r="M2845" t="str">
        <f t="shared" si="236"/>
        <v/>
      </c>
      <c r="N2845" t="str">
        <f t="shared" si="236"/>
        <v/>
      </c>
      <c r="O2845" t="str">
        <f t="shared" si="236"/>
        <v/>
      </c>
      <c r="P2845" t="str">
        <f t="shared" si="236"/>
        <v/>
      </c>
      <c r="T2845" t="str">
        <f t="shared" si="235"/>
        <v/>
      </c>
      <c r="V2845" t="str">
        <f t="shared" si="237"/>
        <v>MVS</v>
      </c>
      <c r="W2845" t="str">
        <f t="shared" si="237"/>
        <v>MVS,AES</v>
      </c>
      <c r="AB2845" t="s">
        <v>12</v>
      </c>
      <c r="AE2845" t="s">
        <v>57</v>
      </c>
      <c r="AG2845" t="s">
        <v>6</v>
      </c>
      <c r="AH2845" t="s">
        <v>1247</v>
      </c>
      <c r="AI2845" t="s">
        <v>9</v>
      </c>
      <c r="AJ2845" t="s">
        <v>11</v>
      </c>
      <c r="AK2845" t="s">
        <v>1246</v>
      </c>
      <c r="AL2845" t="s">
        <v>1245</v>
      </c>
    </row>
    <row r="2846" spans="5:38" x14ac:dyDescent="0.25">
      <c r="I2846" t="str">
        <f t="shared" si="233"/>
        <v>froman2b</v>
      </c>
      <c r="J2846" t="str">
        <f t="shared" si="234"/>
        <v/>
      </c>
      <c r="L2846" t="str">
        <f t="shared" si="236"/>
        <v/>
      </c>
      <c r="M2846" t="str">
        <f t="shared" si="236"/>
        <v/>
      </c>
      <c r="N2846" t="str">
        <f t="shared" si="236"/>
        <v/>
      </c>
      <c r="O2846" t="str">
        <f t="shared" si="236"/>
        <v/>
      </c>
      <c r="P2846" t="str">
        <f t="shared" si="236"/>
        <v/>
      </c>
      <c r="T2846" t="str">
        <f t="shared" si="235"/>
        <v/>
      </c>
      <c r="V2846" t="str">
        <f t="shared" si="237"/>
        <v>MVS</v>
      </c>
      <c r="W2846" t="str">
        <f t="shared" si="237"/>
        <v>MVS,AES</v>
      </c>
      <c r="AG2846" t="s">
        <v>6</v>
      </c>
      <c r="AH2846" t="s">
        <v>1244</v>
      </c>
      <c r="AI2846" t="s">
        <v>4</v>
      </c>
      <c r="AJ2846" t="s">
        <v>11</v>
      </c>
      <c r="AK2846" t="s">
        <v>1243</v>
      </c>
      <c r="AL2846" t="s">
        <v>1242</v>
      </c>
    </row>
    <row r="2847" spans="5:38" x14ac:dyDescent="0.25">
      <c r="E2847" t="s">
        <v>1241</v>
      </c>
      <c r="F2847" t="s">
        <v>1240</v>
      </c>
      <c r="G2847" t="s">
        <v>1239</v>
      </c>
      <c r="H2847" t="s">
        <v>194</v>
      </c>
      <c r="I2847" t="str">
        <f t="shared" si="233"/>
        <v>crswd2bl</v>
      </c>
      <c r="J2847" t="str">
        <f t="shared" si="234"/>
        <v/>
      </c>
      <c r="L2847" t="str">
        <f t="shared" si="236"/>
        <v/>
      </c>
      <c r="M2847" t="str">
        <f t="shared" si="236"/>
        <v/>
      </c>
      <c r="N2847" t="str">
        <f t="shared" si="236"/>
        <v/>
      </c>
      <c r="O2847" t="str">
        <f t="shared" si="236"/>
        <v/>
      </c>
      <c r="P2847" t="str">
        <f t="shared" si="236"/>
        <v/>
      </c>
      <c r="S2847" t="s">
        <v>46</v>
      </c>
      <c r="T2847" t="str">
        <f t="shared" si="235"/>
        <v>crswd2blrelease</v>
      </c>
      <c r="U2847" t="s">
        <v>106</v>
      </c>
      <c r="V2847" t="str">
        <f t="shared" si="237"/>
        <v>MVS</v>
      </c>
      <c r="W2847" t="str">
        <f t="shared" si="237"/>
        <v>MVS,AES</v>
      </c>
      <c r="Y2847" t="s">
        <v>45</v>
      </c>
      <c r="Z2847" t="s">
        <v>44</v>
      </c>
      <c r="AB2847" t="s">
        <v>43</v>
      </c>
      <c r="AC2847" t="s">
        <v>42</v>
      </c>
      <c r="AD2847" t="s">
        <v>41</v>
      </c>
      <c r="AE2847" t="s">
        <v>3</v>
      </c>
      <c r="AG2847" t="s">
        <v>40</v>
      </c>
      <c r="AH2847" t="s">
        <v>1238</v>
      </c>
      <c r="AI2847" t="s">
        <v>15</v>
      </c>
      <c r="AJ2847" t="s">
        <v>15</v>
      </c>
      <c r="AK2847" t="s">
        <v>1237</v>
      </c>
      <c r="AL2847" t="s">
        <v>1236</v>
      </c>
    </row>
    <row r="2848" spans="5:38" x14ac:dyDescent="0.25">
      <c r="I2848" t="str">
        <f t="shared" si="233"/>
        <v>crswd2bl</v>
      </c>
      <c r="J2848" t="str">
        <f t="shared" si="234"/>
        <v/>
      </c>
      <c r="L2848" t="str">
        <f t="shared" si="236"/>
        <v/>
      </c>
      <c r="M2848" t="str">
        <f t="shared" si="236"/>
        <v/>
      </c>
      <c r="N2848" t="str">
        <f t="shared" si="236"/>
        <v/>
      </c>
      <c r="O2848" t="str">
        <f t="shared" si="236"/>
        <v/>
      </c>
      <c r="P2848" t="str">
        <f t="shared" si="236"/>
        <v/>
      </c>
      <c r="S2848" t="s">
        <v>36</v>
      </c>
      <c r="T2848" t="str">
        <f t="shared" si="235"/>
        <v>crswd2blcompatibility</v>
      </c>
      <c r="U2848" t="s">
        <v>218</v>
      </c>
      <c r="V2848" t="str">
        <f t="shared" si="237"/>
        <v>MVS</v>
      </c>
      <c r="W2848" t="str">
        <f t="shared" si="237"/>
        <v>MVS,AES</v>
      </c>
      <c r="AG2848" t="s">
        <v>224</v>
      </c>
      <c r="AI2848" t="s">
        <v>9</v>
      </c>
      <c r="AJ2848" t="s">
        <v>15</v>
      </c>
    </row>
    <row r="2849" spans="5:44" x14ac:dyDescent="0.25">
      <c r="I2849" t="str">
        <f t="shared" si="233"/>
        <v>crswd2bl</v>
      </c>
      <c r="J2849" t="str">
        <f t="shared" si="234"/>
        <v/>
      </c>
      <c r="L2849" t="str">
        <f t="shared" si="236"/>
        <v/>
      </c>
      <c r="M2849" t="str">
        <f t="shared" si="236"/>
        <v/>
      </c>
      <c r="N2849" t="str">
        <f t="shared" si="236"/>
        <v/>
      </c>
      <c r="O2849" t="str">
        <f t="shared" si="236"/>
        <v/>
      </c>
      <c r="P2849" t="str">
        <f t="shared" si="236"/>
        <v/>
      </c>
      <c r="T2849" t="str">
        <f t="shared" si="235"/>
        <v/>
      </c>
      <c r="V2849" t="str">
        <f t="shared" si="237"/>
        <v>MVS</v>
      </c>
      <c r="W2849" t="str">
        <f t="shared" si="237"/>
        <v>MVS,AES</v>
      </c>
      <c r="AB2849" t="s">
        <v>34</v>
      </c>
      <c r="AE2849" t="s">
        <v>33</v>
      </c>
      <c r="AH2849" t="s">
        <v>1235</v>
      </c>
      <c r="AI2849" t="s">
        <v>9</v>
      </c>
      <c r="AJ2849" t="s">
        <v>27</v>
      </c>
      <c r="AK2849" t="s">
        <v>1234</v>
      </c>
      <c r="AL2849" t="s">
        <v>1233</v>
      </c>
    </row>
    <row r="2850" spans="5:44" x14ac:dyDescent="0.25">
      <c r="I2850" t="str">
        <f t="shared" si="233"/>
        <v>crswd2bl</v>
      </c>
      <c r="J2850" t="str">
        <f t="shared" si="234"/>
        <v/>
      </c>
      <c r="L2850" t="str">
        <f t="shared" si="236"/>
        <v/>
      </c>
      <c r="M2850" t="str">
        <f t="shared" si="236"/>
        <v/>
      </c>
      <c r="N2850" t="str">
        <f t="shared" si="236"/>
        <v/>
      </c>
      <c r="O2850" t="str">
        <f t="shared" si="236"/>
        <v/>
      </c>
      <c r="P2850" t="str">
        <f t="shared" si="236"/>
        <v/>
      </c>
      <c r="T2850" t="str">
        <f t="shared" si="235"/>
        <v/>
      </c>
      <c r="V2850" t="str">
        <f t="shared" si="237"/>
        <v>MVS</v>
      </c>
      <c r="W2850" t="str">
        <f t="shared" si="237"/>
        <v>MVS,AES</v>
      </c>
      <c r="AB2850" t="s">
        <v>29</v>
      </c>
      <c r="AE2850" t="s">
        <v>27</v>
      </c>
      <c r="AH2850" t="s">
        <v>1232</v>
      </c>
      <c r="AI2850" t="s">
        <v>9</v>
      </c>
      <c r="AJ2850" t="s">
        <v>27</v>
      </c>
      <c r="AK2850" t="s">
        <v>1231</v>
      </c>
      <c r="AL2850" t="s">
        <v>1230</v>
      </c>
    </row>
    <row r="2851" spans="5:44" x14ac:dyDescent="0.25">
      <c r="I2851" t="str">
        <f t="shared" si="233"/>
        <v>crswd2bl</v>
      </c>
      <c r="J2851" t="str">
        <f t="shared" si="234"/>
        <v/>
      </c>
      <c r="L2851" t="str">
        <f t="shared" si="236"/>
        <v/>
      </c>
      <c r="M2851" t="str">
        <f t="shared" si="236"/>
        <v/>
      </c>
      <c r="N2851" t="str">
        <f t="shared" si="236"/>
        <v/>
      </c>
      <c r="O2851" t="str">
        <f t="shared" si="236"/>
        <v/>
      </c>
      <c r="P2851" t="str">
        <f t="shared" si="236"/>
        <v/>
      </c>
      <c r="T2851" t="str">
        <f t="shared" si="235"/>
        <v/>
      </c>
      <c r="V2851" t="str">
        <f t="shared" si="237"/>
        <v>MVS</v>
      </c>
      <c r="W2851" t="str">
        <f t="shared" si="237"/>
        <v>MVS,AES</v>
      </c>
      <c r="AB2851" t="s">
        <v>24</v>
      </c>
      <c r="AE2851" t="s">
        <v>3</v>
      </c>
      <c r="AH2851" t="s">
        <v>1229</v>
      </c>
      <c r="AI2851" t="s">
        <v>9</v>
      </c>
      <c r="AJ2851" t="s">
        <v>3</v>
      </c>
      <c r="AK2851" t="s">
        <v>1228</v>
      </c>
      <c r="AL2851" t="s">
        <v>1227</v>
      </c>
    </row>
    <row r="2852" spans="5:44" x14ac:dyDescent="0.25">
      <c r="I2852" t="str">
        <f t="shared" si="233"/>
        <v>crswd2bl</v>
      </c>
      <c r="J2852" t="str">
        <f t="shared" si="234"/>
        <v/>
      </c>
      <c r="L2852" t="str">
        <f t="shared" si="236"/>
        <v/>
      </c>
      <c r="M2852" t="str">
        <f t="shared" si="236"/>
        <v/>
      </c>
      <c r="N2852" t="str">
        <f t="shared" si="236"/>
        <v/>
      </c>
      <c r="O2852" t="str">
        <f t="shared" si="236"/>
        <v/>
      </c>
      <c r="P2852" t="str">
        <f t="shared" si="236"/>
        <v/>
      </c>
      <c r="T2852" t="str">
        <f t="shared" si="235"/>
        <v/>
      </c>
      <c r="V2852" t="str">
        <f t="shared" si="237"/>
        <v>MVS</v>
      </c>
      <c r="W2852" t="str">
        <f t="shared" si="237"/>
        <v>MVS,AES</v>
      </c>
      <c r="AB2852" t="s">
        <v>12</v>
      </c>
      <c r="AE2852" t="s">
        <v>57</v>
      </c>
      <c r="AG2852" t="s">
        <v>6</v>
      </c>
      <c r="AH2852" t="s">
        <v>1226</v>
      </c>
      <c r="AI2852" t="s">
        <v>9</v>
      </c>
      <c r="AJ2852" t="s">
        <v>11</v>
      </c>
      <c r="AK2852" t="s">
        <v>1225</v>
      </c>
      <c r="AL2852" t="s">
        <v>1224</v>
      </c>
    </row>
    <row r="2853" spans="5:44" x14ac:dyDescent="0.25">
      <c r="I2853" t="str">
        <f t="shared" si="233"/>
        <v>crswd2bl</v>
      </c>
      <c r="J2853" t="str">
        <f t="shared" si="234"/>
        <v/>
      </c>
      <c r="L2853" t="str">
        <f t="shared" si="236"/>
        <v/>
      </c>
      <c r="M2853" t="str">
        <f t="shared" si="236"/>
        <v/>
      </c>
      <c r="N2853" t="str">
        <f t="shared" si="236"/>
        <v/>
      </c>
      <c r="O2853" t="str">
        <f t="shared" si="236"/>
        <v/>
      </c>
      <c r="P2853" t="str">
        <f t="shared" si="236"/>
        <v/>
      </c>
      <c r="T2853" t="str">
        <f t="shared" si="235"/>
        <v/>
      </c>
      <c r="V2853" t="str">
        <f t="shared" si="237"/>
        <v>MVS</v>
      </c>
      <c r="W2853" t="str">
        <f t="shared" si="237"/>
        <v>MVS,AES</v>
      </c>
      <c r="AG2853" t="s">
        <v>6</v>
      </c>
      <c r="AH2853" t="s">
        <v>1223</v>
      </c>
      <c r="AI2853" t="s">
        <v>4</v>
      </c>
      <c r="AJ2853" t="s">
        <v>11</v>
      </c>
      <c r="AK2853" t="s">
        <v>1222</v>
      </c>
      <c r="AL2853" t="s">
        <v>1221</v>
      </c>
    </row>
    <row r="2854" spans="5:44" x14ac:dyDescent="0.25">
      <c r="E2854" t="s">
        <v>1220</v>
      </c>
      <c r="F2854" t="s">
        <v>1219</v>
      </c>
      <c r="G2854" t="s">
        <v>1145</v>
      </c>
      <c r="H2854" t="s">
        <v>194</v>
      </c>
      <c r="I2854" t="str">
        <f t="shared" si="233"/>
        <v>kof97oro</v>
      </c>
      <c r="J2854" t="str">
        <f t="shared" si="234"/>
        <v>kof97oroalt_title</v>
      </c>
      <c r="K2854" t="s">
        <v>1218</v>
      </c>
      <c r="L2854" t="str">
        <f t="shared" si="236"/>
        <v/>
      </c>
      <c r="M2854" t="str">
        <f t="shared" si="236"/>
        <v/>
      </c>
      <c r="N2854" t="str">
        <f t="shared" si="236"/>
        <v>The King of Fighters '97 重出江湖 Plus 2003 (bootleg)</v>
      </c>
      <c r="O2854" t="str">
        <f t="shared" si="236"/>
        <v/>
      </c>
      <c r="P2854" t="str">
        <f t="shared" si="236"/>
        <v/>
      </c>
      <c r="Q2854" t="s">
        <v>1217</v>
      </c>
      <c r="S2854" t="s">
        <v>46</v>
      </c>
      <c r="T2854" t="str">
        <f t="shared" si="235"/>
        <v>kof97ororelease</v>
      </c>
      <c r="U2854" t="s">
        <v>106</v>
      </c>
      <c r="V2854" t="str">
        <f t="shared" si="237"/>
        <v>MVS</v>
      </c>
      <c r="W2854" t="str">
        <f t="shared" si="237"/>
        <v>MVS,AES</v>
      </c>
      <c r="Y2854" t="s">
        <v>45</v>
      </c>
      <c r="Z2854" t="s">
        <v>44</v>
      </c>
      <c r="AB2854" t="s">
        <v>43</v>
      </c>
      <c r="AC2854" t="s">
        <v>42</v>
      </c>
      <c r="AD2854" t="s">
        <v>41</v>
      </c>
      <c r="AE2854" t="s">
        <v>23</v>
      </c>
      <c r="AG2854" t="s">
        <v>40</v>
      </c>
      <c r="AH2854" t="s">
        <v>1216</v>
      </c>
      <c r="AI2854" t="s">
        <v>9</v>
      </c>
      <c r="AJ2854" t="s">
        <v>15</v>
      </c>
      <c r="AK2854" t="s">
        <v>1215</v>
      </c>
      <c r="AL2854" t="s">
        <v>1214</v>
      </c>
      <c r="AP2854" t="s">
        <v>138</v>
      </c>
      <c r="AQ2854" t="s">
        <v>1213</v>
      </c>
      <c r="AR2854" t="s">
        <v>1140</v>
      </c>
    </row>
    <row r="2855" spans="5:44" x14ac:dyDescent="0.25">
      <c r="I2855" t="str">
        <f t="shared" si="233"/>
        <v>kof97oro</v>
      </c>
      <c r="J2855" t="str">
        <f t="shared" si="234"/>
        <v/>
      </c>
      <c r="L2855" t="str">
        <f t="shared" si="236"/>
        <v/>
      </c>
      <c r="M2855" t="str">
        <f t="shared" si="236"/>
        <v/>
      </c>
      <c r="N2855" t="str">
        <f t="shared" si="236"/>
        <v>The King of Fighters '97 重出江湖 Plus 2003 (bootleg)</v>
      </c>
      <c r="O2855" t="str">
        <f t="shared" si="236"/>
        <v/>
      </c>
      <c r="P2855" t="str">
        <f t="shared" si="236"/>
        <v/>
      </c>
      <c r="S2855" t="s">
        <v>36</v>
      </c>
      <c r="T2855" t="str">
        <f t="shared" si="235"/>
        <v>kof97orocompatibility</v>
      </c>
      <c r="U2855" t="s">
        <v>218</v>
      </c>
      <c r="V2855" t="str">
        <f t="shared" si="237"/>
        <v>MVS</v>
      </c>
      <c r="W2855" t="str">
        <f t="shared" si="237"/>
        <v>MVS,AES</v>
      </c>
      <c r="AG2855" t="s">
        <v>40</v>
      </c>
      <c r="AH2855" t="s">
        <v>1212</v>
      </c>
      <c r="AI2855" t="s">
        <v>1179</v>
      </c>
      <c r="AJ2855" t="s">
        <v>15</v>
      </c>
      <c r="AK2855" t="s">
        <v>1211</v>
      </c>
      <c r="AL2855" t="s">
        <v>1210</v>
      </c>
    </row>
    <row r="2856" spans="5:44" x14ac:dyDescent="0.25">
      <c r="I2856" t="str">
        <f t="shared" si="233"/>
        <v>kof97oro</v>
      </c>
      <c r="J2856" t="str">
        <f t="shared" si="234"/>
        <v/>
      </c>
      <c r="L2856" t="str">
        <f t="shared" si="236"/>
        <v/>
      </c>
      <c r="M2856" t="str">
        <f t="shared" si="236"/>
        <v/>
      </c>
      <c r="N2856" t="str">
        <f t="shared" si="236"/>
        <v>The King of Fighters '97 重出江湖 Plus 2003 (bootleg)</v>
      </c>
      <c r="O2856" t="str">
        <f t="shared" si="236"/>
        <v/>
      </c>
      <c r="P2856" t="str">
        <f t="shared" si="236"/>
        <v/>
      </c>
      <c r="T2856" t="str">
        <f t="shared" si="235"/>
        <v/>
      </c>
      <c r="V2856" t="str">
        <f t="shared" si="237"/>
        <v>MVS</v>
      </c>
      <c r="W2856" t="str">
        <f t="shared" si="237"/>
        <v>MVS,AES</v>
      </c>
      <c r="AG2856" t="s">
        <v>224</v>
      </c>
      <c r="AI2856" t="s">
        <v>15</v>
      </c>
      <c r="AJ2856" t="s">
        <v>15</v>
      </c>
    </row>
    <row r="2857" spans="5:44" x14ac:dyDescent="0.25">
      <c r="I2857" t="str">
        <f t="shared" si="233"/>
        <v>kof97oro</v>
      </c>
      <c r="J2857" t="str">
        <f t="shared" si="234"/>
        <v/>
      </c>
      <c r="L2857" t="str">
        <f t="shared" si="236"/>
        <v/>
      </c>
      <c r="M2857" t="str">
        <f t="shared" si="236"/>
        <v/>
      </c>
      <c r="N2857" t="str">
        <f t="shared" si="236"/>
        <v>The King of Fighters '97 重出江湖 Plus 2003 (bootleg)</v>
      </c>
      <c r="O2857" t="str">
        <f t="shared" si="236"/>
        <v/>
      </c>
      <c r="P2857" t="str">
        <f t="shared" si="236"/>
        <v/>
      </c>
      <c r="T2857" t="str">
        <f t="shared" si="235"/>
        <v/>
      </c>
      <c r="V2857" t="str">
        <f t="shared" si="237"/>
        <v>MVS</v>
      </c>
      <c r="W2857" t="str">
        <f t="shared" si="237"/>
        <v>MVS,AES</v>
      </c>
      <c r="AG2857" t="s">
        <v>40</v>
      </c>
      <c r="AH2857" t="s">
        <v>1209</v>
      </c>
      <c r="AI2857" t="s">
        <v>1208</v>
      </c>
      <c r="AJ2857" t="s">
        <v>15</v>
      </c>
      <c r="AK2857" t="s">
        <v>1207</v>
      </c>
      <c r="AL2857" t="s">
        <v>1206</v>
      </c>
    </row>
    <row r="2858" spans="5:44" x14ac:dyDescent="0.25">
      <c r="I2858" t="str">
        <f t="shared" si="233"/>
        <v>kof97oro</v>
      </c>
      <c r="J2858" t="str">
        <f t="shared" si="234"/>
        <v/>
      </c>
      <c r="L2858" t="str">
        <f t="shared" si="236"/>
        <v/>
      </c>
      <c r="M2858" t="str">
        <f t="shared" si="236"/>
        <v/>
      </c>
      <c r="N2858" t="str">
        <f t="shared" si="236"/>
        <v>The King of Fighters '97 重出江湖 Plus 2003 (bootleg)</v>
      </c>
      <c r="O2858" t="str">
        <f t="shared" si="236"/>
        <v/>
      </c>
      <c r="P2858" t="str">
        <f t="shared" si="236"/>
        <v/>
      </c>
      <c r="T2858" t="str">
        <f t="shared" si="235"/>
        <v/>
      </c>
      <c r="V2858" t="str">
        <f t="shared" si="237"/>
        <v>MVS</v>
      </c>
      <c r="W2858" t="str">
        <f t="shared" si="237"/>
        <v>MVS,AES</v>
      </c>
      <c r="AG2858" t="s">
        <v>224</v>
      </c>
      <c r="AI2858" t="s">
        <v>377</v>
      </c>
      <c r="AJ2858" t="s">
        <v>15</v>
      </c>
    </row>
    <row r="2859" spans="5:44" x14ac:dyDescent="0.25">
      <c r="I2859" t="str">
        <f t="shared" si="233"/>
        <v>kof97oro</v>
      </c>
      <c r="J2859" t="str">
        <f t="shared" si="234"/>
        <v/>
      </c>
      <c r="L2859" t="str">
        <f t="shared" si="236"/>
        <v/>
      </c>
      <c r="M2859" t="str">
        <f t="shared" si="236"/>
        <v/>
      </c>
      <c r="N2859" t="str">
        <f t="shared" si="236"/>
        <v>The King of Fighters '97 重出江湖 Plus 2003 (bootleg)</v>
      </c>
      <c r="O2859" t="str">
        <f t="shared" si="236"/>
        <v/>
      </c>
      <c r="P2859" t="str">
        <f t="shared" si="236"/>
        <v/>
      </c>
      <c r="T2859" t="str">
        <f t="shared" si="235"/>
        <v/>
      </c>
      <c r="V2859" t="str">
        <f t="shared" si="237"/>
        <v>MVS</v>
      </c>
      <c r="W2859" t="str">
        <f t="shared" si="237"/>
        <v>MVS,AES</v>
      </c>
      <c r="AB2859" t="s">
        <v>34</v>
      </c>
      <c r="AE2859" t="s">
        <v>33</v>
      </c>
      <c r="AH2859" t="s">
        <v>1205</v>
      </c>
      <c r="AI2859" t="s">
        <v>9</v>
      </c>
      <c r="AJ2859" t="s">
        <v>27</v>
      </c>
      <c r="AK2859" t="s">
        <v>1204</v>
      </c>
      <c r="AL2859" t="s">
        <v>1203</v>
      </c>
    </row>
    <row r="2860" spans="5:44" x14ac:dyDescent="0.25">
      <c r="I2860" t="str">
        <f t="shared" si="233"/>
        <v>kof97oro</v>
      </c>
      <c r="J2860" t="str">
        <f t="shared" si="234"/>
        <v/>
      </c>
      <c r="L2860" t="str">
        <f t="shared" si="236"/>
        <v/>
      </c>
      <c r="M2860" t="str">
        <f t="shared" si="236"/>
        <v/>
      </c>
      <c r="N2860" t="str">
        <f t="shared" si="236"/>
        <v>The King of Fighters '97 重出江湖 Plus 2003 (bootleg)</v>
      </c>
      <c r="O2860" t="str">
        <f t="shared" si="236"/>
        <v/>
      </c>
      <c r="P2860" t="str">
        <f t="shared" si="236"/>
        <v/>
      </c>
      <c r="T2860" t="str">
        <f t="shared" si="235"/>
        <v/>
      </c>
      <c r="V2860" t="str">
        <f t="shared" si="237"/>
        <v>MVS</v>
      </c>
      <c r="W2860" t="str">
        <f t="shared" si="237"/>
        <v>MVS,AES</v>
      </c>
      <c r="AB2860" t="s">
        <v>29</v>
      </c>
      <c r="AE2860" t="s">
        <v>27</v>
      </c>
      <c r="AH2860" t="s">
        <v>1202</v>
      </c>
      <c r="AI2860" t="s">
        <v>9</v>
      </c>
      <c r="AJ2860" t="s">
        <v>27</v>
      </c>
      <c r="AK2860" t="s">
        <v>1132</v>
      </c>
      <c r="AL2860" t="s">
        <v>1131</v>
      </c>
    </row>
    <row r="2861" spans="5:44" x14ac:dyDescent="0.25">
      <c r="I2861" t="str">
        <f t="shared" si="233"/>
        <v>kof97oro</v>
      </c>
      <c r="J2861" t="str">
        <f t="shared" si="234"/>
        <v/>
      </c>
      <c r="L2861" t="str">
        <f t="shared" si="236"/>
        <v/>
      </c>
      <c r="M2861" t="str">
        <f t="shared" si="236"/>
        <v/>
      </c>
      <c r="N2861" t="str">
        <f t="shared" si="236"/>
        <v>The King of Fighters '97 重出江湖 Plus 2003 (bootleg)</v>
      </c>
      <c r="O2861" t="str">
        <f t="shared" si="236"/>
        <v/>
      </c>
      <c r="P2861" t="str">
        <f t="shared" si="236"/>
        <v/>
      </c>
      <c r="T2861" t="str">
        <f t="shared" si="235"/>
        <v/>
      </c>
      <c r="V2861" t="str">
        <f t="shared" si="237"/>
        <v>MVS</v>
      </c>
      <c r="W2861" t="str">
        <f t="shared" si="237"/>
        <v>MVS,AES</v>
      </c>
      <c r="AB2861" t="s">
        <v>24</v>
      </c>
      <c r="AE2861" t="s">
        <v>250</v>
      </c>
      <c r="AH2861" t="s">
        <v>1201</v>
      </c>
      <c r="AI2861" t="s">
        <v>9</v>
      </c>
      <c r="AJ2861" t="s">
        <v>11</v>
      </c>
      <c r="AK2861" t="s">
        <v>1129</v>
      </c>
      <c r="AL2861" t="s">
        <v>1128</v>
      </c>
    </row>
    <row r="2862" spans="5:44" x14ac:dyDescent="0.25">
      <c r="I2862" t="str">
        <f t="shared" si="233"/>
        <v>kof97oro</v>
      </c>
      <c r="J2862" t="str">
        <f t="shared" si="234"/>
        <v/>
      </c>
      <c r="L2862" t="str">
        <f t="shared" si="236"/>
        <v/>
      </c>
      <c r="M2862" t="str">
        <f t="shared" si="236"/>
        <v/>
      </c>
      <c r="N2862" t="str">
        <f t="shared" si="236"/>
        <v>The King of Fighters '97 重出江湖 Plus 2003 (bootleg)</v>
      </c>
      <c r="O2862" t="str">
        <f t="shared" si="236"/>
        <v/>
      </c>
      <c r="P2862" t="str">
        <f t="shared" si="236"/>
        <v/>
      </c>
      <c r="T2862" t="str">
        <f t="shared" si="235"/>
        <v/>
      </c>
      <c r="V2862" t="str">
        <f t="shared" si="237"/>
        <v>MVS</v>
      </c>
      <c r="W2862" t="str">
        <f t="shared" si="237"/>
        <v>MVS,AES</v>
      </c>
      <c r="AH2862" t="s">
        <v>1200</v>
      </c>
      <c r="AI2862" t="s">
        <v>11</v>
      </c>
      <c r="AJ2862" t="s">
        <v>11</v>
      </c>
      <c r="AK2862" t="s">
        <v>1126</v>
      </c>
      <c r="AL2862" t="s">
        <v>1125</v>
      </c>
    </row>
    <row r="2863" spans="5:44" x14ac:dyDescent="0.25">
      <c r="I2863" t="str">
        <f t="shared" si="233"/>
        <v>kof97oro</v>
      </c>
      <c r="J2863" t="str">
        <f t="shared" si="234"/>
        <v/>
      </c>
      <c r="L2863" t="str">
        <f t="shared" si="236"/>
        <v/>
      </c>
      <c r="M2863" t="str">
        <f t="shared" si="236"/>
        <v/>
      </c>
      <c r="N2863" t="str">
        <f t="shared" si="236"/>
        <v>The King of Fighters '97 重出江湖 Plus 2003 (bootleg)</v>
      </c>
      <c r="O2863" t="str">
        <f t="shared" si="236"/>
        <v/>
      </c>
      <c r="P2863" t="str">
        <f t="shared" si="236"/>
        <v/>
      </c>
      <c r="T2863" t="str">
        <f t="shared" si="235"/>
        <v/>
      </c>
      <c r="V2863" t="str">
        <f t="shared" si="237"/>
        <v>MVS</v>
      </c>
      <c r="W2863" t="str">
        <f t="shared" si="237"/>
        <v>MVS,AES</v>
      </c>
      <c r="AH2863" t="s">
        <v>1199</v>
      </c>
      <c r="AI2863" t="s">
        <v>57</v>
      </c>
      <c r="AJ2863" t="s">
        <v>11</v>
      </c>
      <c r="AK2863" t="s">
        <v>1123</v>
      </c>
      <c r="AL2863" t="s">
        <v>1122</v>
      </c>
    </row>
    <row r="2864" spans="5:44" x14ac:dyDescent="0.25">
      <c r="I2864" t="str">
        <f t="shared" si="233"/>
        <v>kof97oro</v>
      </c>
      <c r="J2864" t="str">
        <f t="shared" si="234"/>
        <v/>
      </c>
      <c r="L2864" t="str">
        <f t="shared" si="236"/>
        <v/>
      </c>
      <c r="M2864" t="str">
        <f t="shared" si="236"/>
        <v/>
      </c>
      <c r="N2864" t="str">
        <f t="shared" si="236"/>
        <v>The King of Fighters '97 重出江湖 Plus 2003 (bootleg)</v>
      </c>
      <c r="O2864" t="str">
        <f t="shared" si="236"/>
        <v/>
      </c>
      <c r="P2864" t="str">
        <f t="shared" si="236"/>
        <v/>
      </c>
      <c r="T2864" t="str">
        <f t="shared" si="235"/>
        <v/>
      </c>
      <c r="V2864" t="str">
        <f t="shared" si="237"/>
        <v>MVS</v>
      </c>
      <c r="W2864" t="str">
        <f t="shared" si="237"/>
        <v>MVS,AES</v>
      </c>
      <c r="AB2864" t="s">
        <v>12</v>
      </c>
      <c r="AE2864" t="s">
        <v>620</v>
      </c>
      <c r="AG2864" t="s">
        <v>6</v>
      </c>
      <c r="AH2864" t="s">
        <v>1198</v>
      </c>
      <c r="AI2864" t="s">
        <v>9</v>
      </c>
      <c r="AJ2864" t="s">
        <v>65</v>
      </c>
      <c r="AK2864" t="s">
        <v>1197</v>
      </c>
      <c r="AL2864" t="s">
        <v>1196</v>
      </c>
      <c r="AM2864" t="s">
        <v>1192</v>
      </c>
    </row>
    <row r="2865" spans="5:44" x14ac:dyDescent="0.25">
      <c r="I2865" t="str">
        <f t="shared" si="233"/>
        <v>kof97oro</v>
      </c>
      <c r="J2865" t="str">
        <f t="shared" si="234"/>
        <v/>
      </c>
      <c r="L2865" t="str">
        <f t="shared" si="236"/>
        <v/>
      </c>
      <c r="M2865" t="str">
        <f t="shared" si="236"/>
        <v/>
      </c>
      <c r="N2865" t="str">
        <f t="shared" si="236"/>
        <v>The King of Fighters '97 重出江湖 Plus 2003 (bootleg)</v>
      </c>
      <c r="O2865" t="str">
        <f t="shared" si="236"/>
        <v/>
      </c>
      <c r="P2865" t="str">
        <f t="shared" si="236"/>
        <v/>
      </c>
      <c r="T2865" t="str">
        <f t="shared" si="235"/>
        <v/>
      </c>
      <c r="V2865" t="str">
        <f t="shared" si="237"/>
        <v>MVS</v>
      </c>
      <c r="W2865" t="str">
        <f t="shared" si="237"/>
        <v>MVS,AES</v>
      </c>
      <c r="AG2865" t="s">
        <v>6</v>
      </c>
      <c r="AH2865" t="s">
        <v>1195</v>
      </c>
      <c r="AI2865" t="s">
        <v>4</v>
      </c>
      <c r="AJ2865" t="s">
        <v>65</v>
      </c>
      <c r="AK2865" t="s">
        <v>1194</v>
      </c>
      <c r="AL2865" t="s">
        <v>1193</v>
      </c>
      <c r="AM2865" t="s">
        <v>1192</v>
      </c>
    </row>
    <row r="2866" spans="5:44" x14ac:dyDescent="0.25">
      <c r="I2866" t="str">
        <f t="shared" si="233"/>
        <v>kof97oro</v>
      </c>
      <c r="J2866" t="str">
        <f t="shared" si="234"/>
        <v/>
      </c>
      <c r="L2866" t="str">
        <f t="shared" si="236"/>
        <v/>
      </c>
      <c r="M2866" t="str">
        <f t="shared" si="236"/>
        <v/>
      </c>
      <c r="N2866" t="str">
        <f t="shared" si="236"/>
        <v>The King of Fighters '97 重出江湖 Plus 2003 (bootleg)</v>
      </c>
      <c r="O2866" t="str">
        <f t="shared" si="236"/>
        <v/>
      </c>
      <c r="P2866" t="str">
        <f t="shared" si="236"/>
        <v/>
      </c>
      <c r="T2866" t="str">
        <f t="shared" si="235"/>
        <v/>
      </c>
      <c r="V2866" t="str">
        <f t="shared" si="237"/>
        <v>MVS</v>
      </c>
      <c r="W2866" t="str">
        <f t="shared" si="237"/>
        <v>MVS,AES</v>
      </c>
      <c r="AG2866" t="s">
        <v>6</v>
      </c>
      <c r="AH2866" t="s">
        <v>1191</v>
      </c>
      <c r="AI2866" t="s">
        <v>160</v>
      </c>
      <c r="AJ2866" t="s">
        <v>1179</v>
      </c>
      <c r="AK2866" t="s">
        <v>1190</v>
      </c>
      <c r="AL2866" t="s">
        <v>1189</v>
      </c>
    </row>
    <row r="2867" spans="5:44" x14ac:dyDescent="0.25">
      <c r="I2867" t="str">
        <f t="shared" si="233"/>
        <v>kof97oro</v>
      </c>
      <c r="J2867" t="str">
        <f t="shared" si="234"/>
        <v/>
      </c>
      <c r="L2867" t="str">
        <f t="shared" si="236"/>
        <v/>
      </c>
      <c r="M2867" t="str">
        <f t="shared" si="236"/>
        <v/>
      </c>
      <c r="N2867" t="str">
        <f t="shared" si="236"/>
        <v>The King of Fighters '97 重出江湖 Plus 2003 (bootleg)</v>
      </c>
      <c r="O2867" t="str">
        <f t="shared" si="236"/>
        <v/>
      </c>
      <c r="P2867" t="str">
        <f t="shared" si="236"/>
        <v/>
      </c>
      <c r="T2867" t="str">
        <f t="shared" si="235"/>
        <v/>
      </c>
      <c r="V2867" t="str">
        <f t="shared" si="237"/>
        <v>MVS</v>
      </c>
      <c r="W2867" t="str">
        <f t="shared" si="237"/>
        <v>MVS,AES</v>
      </c>
      <c r="AG2867" t="s">
        <v>6</v>
      </c>
      <c r="AH2867" t="s">
        <v>1188</v>
      </c>
      <c r="AI2867" t="s">
        <v>156</v>
      </c>
      <c r="AJ2867" t="s">
        <v>1179</v>
      </c>
      <c r="AK2867" t="s">
        <v>1187</v>
      </c>
      <c r="AL2867" t="s">
        <v>1186</v>
      </c>
    </row>
    <row r="2868" spans="5:44" x14ac:dyDescent="0.25">
      <c r="I2868" t="str">
        <f t="shared" si="233"/>
        <v>kof97oro</v>
      </c>
      <c r="J2868" t="str">
        <f t="shared" si="234"/>
        <v/>
      </c>
      <c r="L2868" t="str">
        <f t="shared" si="236"/>
        <v/>
      </c>
      <c r="M2868" t="str">
        <f t="shared" si="236"/>
        <v/>
      </c>
      <c r="N2868" t="str">
        <f t="shared" si="236"/>
        <v>The King of Fighters '97 重出江湖 Plus 2003 (bootleg)</v>
      </c>
      <c r="O2868" t="str">
        <f t="shared" si="236"/>
        <v/>
      </c>
      <c r="P2868" t="str">
        <f t="shared" si="236"/>
        <v/>
      </c>
      <c r="T2868" t="str">
        <f t="shared" si="235"/>
        <v/>
      </c>
      <c r="V2868" t="str">
        <f t="shared" si="237"/>
        <v>MVS</v>
      </c>
      <c r="W2868" t="str">
        <f t="shared" si="237"/>
        <v>MVS,AES</v>
      </c>
      <c r="AG2868" t="s">
        <v>6</v>
      </c>
      <c r="AH2868" t="s">
        <v>1185</v>
      </c>
      <c r="AI2868" t="s">
        <v>1184</v>
      </c>
      <c r="AJ2868" t="s">
        <v>1179</v>
      </c>
      <c r="AK2868" t="s">
        <v>1183</v>
      </c>
      <c r="AL2868" t="s">
        <v>1182</v>
      </c>
    </row>
    <row r="2869" spans="5:44" x14ac:dyDescent="0.25">
      <c r="I2869" t="str">
        <f t="shared" si="233"/>
        <v>kof97oro</v>
      </c>
      <c r="J2869" t="str">
        <f t="shared" si="234"/>
        <v/>
      </c>
      <c r="L2869" t="str">
        <f t="shared" si="236"/>
        <v/>
      </c>
      <c r="M2869" t="str">
        <f t="shared" si="236"/>
        <v/>
      </c>
      <c r="N2869" t="str">
        <f t="shared" si="236"/>
        <v>The King of Fighters '97 重出江湖 Plus 2003 (bootleg)</v>
      </c>
      <c r="O2869" t="str">
        <f t="shared" si="236"/>
        <v/>
      </c>
      <c r="P2869" t="str">
        <f t="shared" si="236"/>
        <v/>
      </c>
      <c r="T2869" t="str">
        <f t="shared" si="235"/>
        <v/>
      </c>
      <c r="V2869" t="str">
        <f t="shared" si="237"/>
        <v>MVS</v>
      </c>
      <c r="W2869" t="str">
        <f t="shared" si="237"/>
        <v>MVS,AES</v>
      </c>
      <c r="AG2869" t="s">
        <v>6</v>
      </c>
      <c r="AH2869" t="s">
        <v>1181</v>
      </c>
      <c r="AI2869" t="s">
        <v>1180</v>
      </c>
      <c r="AJ2869" t="s">
        <v>1179</v>
      </c>
      <c r="AK2869" t="s">
        <v>1178</v>
      </c>
      <c r="AL2869" t="s">
        <v>1177</v>
      </c>
    </row>
    <row r="2870" spans="5:44" x14ac:dyDescent="0.25">
      <c r="E2870" t="s">
        <v>1176</v>
      </c>
      <c r="F2870" t="s">
        <v>1175</v>
      </c>
      <c r="G2870" t="s">
        <v>1145</v>
      </c>
      <c r="H2870" t="s">
        <v>194</v>
      </c>
      <c r="I2870" t="str">
        <f t="shared" si="233"/>
        <v>kof97pls</v>
      </c>
      <c r="J2870" t="str">
        <f t="shared" si="234"/>
        <v/>
      </c>
      <c r="L2870" t="str">
        <f t="shared" si="236"/>
        <v/>
      </c>
      <c r="M2870" t="str">
        <f t="shared" si="236"/>
        <v/>
      </c>
      <c r="N2870" t="str">
        <f t="shared" si="236"/>
        <v/>
      </c>
      <c r="O2870" t="str">
        <f t="shared" si="236"/>
        <v/>
      </c>
      <c r="P2870" t="str">
        <f t="shared" si="236"/>
        <v/>
      </c>
      <c r="S2870" t="s">
        <v>46</v>
      </c>
      <c r="T2870" t="str">
        <f t="shared" si="235"/>
        <v>kof97plsrelease</v>
      </c>
      <c r="U2870" t="s">
        <v>106</v>
      </c>
      <c r="V2870" t="str">
        <f t="shared" si="237"/>
        <v>MVS</v>
      </c>
      <c r="W2870" t="str">
        <f t="shared" si="237"/>
        <v>MVS,AES</v>
      </c>
      <c r="Y2870" t="s">
        <v>45</v>
      </c>
      <c r="Z2870" t="s">
        <v>44</v>
      </c>
      <c r="AB2870" t="s">
        <v>43</v>
      </c>
      <c r="AC2870" t="s">
        <v>42</v>
      </c>
      <c r="AD2870" t="s">
        <v>41</v>
      </c>
      <c r="AE2870" t="s">
        <v>23</v>
      </c>
      <c r="AG2870" t="s">
        <v>40</v>
      </c>
      <c r="AH2870" t="s">
        <v>1174</v>
      </c>
      <c r="AI2870" t="s">
        <v>9</v>
      </c>
      <c r="AJ2870" t="s">
        <v>15</v>
      </c>
      <c r="AK2870" t="s">
        <v>1173</v>
      </c>
      <c r="AL2870" t="s">
        <v>1172</v>
      </c>
      <c r="AR2870" t="s">
        <v>1140</v>
      </c>
    </row>
    <row r="2871" spans="5:44" x14ac:dyDescent="0.25">
      <c r="I2871" t="str">
        <f t="shared" si="233"/>
        <v>kof97pls</v>
      </c>
      <c r="J2871" t="str">
        <f t="shared" si="234"/>
        <v/>
      </c>
      <c r="L2871" t="str">
        <f t="shared" ref="L2871:P2921" si="238">IFERROR(VLOOKUP($I2871&amp;L$1,$J:$Q,8,0),"")</f>
        <v/>
      </c>
      <c r="M2871" t="str">
        <f t="shared" si="238"/>
        <v/>
      </c>
      <c r="N2871" t="str">
        <f t="shared" si="238"/>
        <v/>
      </c>
      <c r="O2871" t="str">
        <f t="shared" si="238"/>
        <v/>
      </c>
      <c r="P2871" t="str">
        <f t="shared" si="238"/>
        <v/>
      </c>
      <c r="S2871" t="s">
        <v>36</v>
      </c>
      <c r="T2871" t="str">
        <f t="shared" si="235"/>
        <v>kof97plscompatibility</v>
      </c>
      <c r="U2871" t="s">
        <v>218</v>
      </c>
      <c r="V2871" t="str">
        <f t="shared" si="237"/>
        <v>MVS</v>
      </c>
      <c r="W2871" t="str">
        <f t="shared" si="237"/>
        <v>MVS,AES</v>
      </c>
      <c r="AG2871" t="s">
        <v>40</v>
      </c>
      <c r="AH2871" t="s">
        <v>1171</v>
      </c>
      <c r="AI2871" t="s">
        <v>15</v>
      </c>
      <c r="AJ2871" t="s">
        <v>11</v>
      </c>
      <c r="AK2871" t="s">
        <v>1170</v>
      </c>
      <c r="AL2871" t="s">
        <v>1169</v>
      </c>
    </row>
    <row r="2872" spans="5:44" x14ac:dyDescent="0.25">
      <c r="I2872" t="str">
        <f t="shared" si="233"/>
        <v>kof97pls</v>
      </c>
      <c r="J2872" t="str">
        <f t="shared" si="234"/>
        <v/>
      </c>
      <c r="L2872" t="str">
        <f t="shared" si="238"/>
        <v/>
      </c>
      <c r="M2872" t="str">
        <f t="shared" si="238"/>
        <v/>
      </c>
      <c r="N2872" t="str">
        <f t="shared" si="238"/>
        <v/>
      </c>
      <c r="O2872" t="str">
        <f t="shared" si="238"/>
        <v/>
      </c>
      <c r="P2872" t="str">
        <f t="shared" si="238"/>
        <v/>
      </c>
      <c r="T2872" t="str">
        <f t="shared" si="235"/>
        <v/>
      </c>
      <c r="V2872" t="str">
        <f t="shared" si="237"/>
        <v>MVS</v>
      </c>
      <c r="W2872" t="str">
        <f t="shared" si="237"/>
        <v>MVS,AES</v>
      </c>
      <c r="AB2872" t="s">
        <v>34</v>
      </c>
      <c r="AE2872" t="s">
        <v>33</v>
      </c>
      <c r="AH2872" t="s">
        <v>1168</v>
      </c>
      <c r="AI2872" t="s">
        <v>9</v>
      </c>
      <c r="AJ2872" t="s">
        <v>27</v>
      </c>
      <c r="AK2872" t="s">
        <v>1167</v>
      </c>
      <c r="AL2872" t="s">
        <v>1166</v>
      </c>
    </row>
    <row r="2873" spans="5:44" x14ac:dyDescent="0.25">
      <c r="I2873" t="str">
        <f t="shared" si="233"/>
        <v>kof97pls</v>
      </c>
      <c r="J2873" t="str">
        <f t="shared" si="234"/>
        <v/>
      </c>
      <c r="L2873" t="str">
        <f t="shared" si="238"/>
        <v/>
      </c>
      <c r="M2873" t="str">
        <f t="shared" si="238"/>
        <v/>
      </c>
      <c r="N2873" t="str">
        <f t="shared" si="238"/>
        <v/>
      </c>
      <c r="O2873" t="str">
        <f t="shared" si="238"/>
        <v/>
      </c>
      <c r="P2873" t="str">
        <f t="shared" si="238"/>
        <v/>
      </c>
      <c r="T2873" t="str">
        <f t="shared" si="235"/>
        <v/>
      </c>
      <c r="V2873" t="str">
        <f t="shared" si="237"/>
        <v>MVS</v>
      </c>
      <c r="W2873" t="str">
        <f t="shared" si="237"/>
        <v>MVS,AES</v>
      </c>
      <c r="AB2873" t="s">
        <v>29</v>
      </c>
      <c r="AE2873" t="s">
        <v>27</v>
      </c>
      <c r="AH2873" t="s">
        <v>1133</v>
      </c>
      <c r="AI2873" t="s">
        <v>9</v>
      </c>
      <c r="AJ2873" t="s">
        <v>27</v>
      </c>
      <c r="AK2873" t="s">
        <v>1132</v>
      </c>
      <c r="AL2873" t="s">
        <v>1131</v>
      </c>
    </row>
    <row r="2874" spans="5:44" x14ac:dyDescent="0.25">
      <c r="I2874" t="str">
        <f t="shared" si="233"/>
        <v>kof97pls</v>
      </c>
      <c r="J2874" t="str">
        <f t="shared" si="234"/>
        <v/>
      </c>
      <c r="L2874" t="str">
        <f t="shared" si="238"/>
        <v/>
      </c>
      <c r="M2874" t="str">
        <f t="shared" si="238"/>
        <v/>
      </c>
      <c r="N2874" t="str">
        <f t="shared" si="238"/>
        <v/>
      </c>
      <c r="O2874" t="str">
        <f t="shared" si="238"/>
        <v/>
      </c>
      <c r="P2874" t="str">
        <f t="shared" si="238"/>
        <v/>
      </c>
      <c r="T2874" t="str">
        <f t="shared" si="235"/>
        <v/>
      </c>
      <c r="V2874" t="str">
        <f t="shared" si="237"/>
        <v>MVS</v>
      </c>
      <c r="W2874" t="str">
        <f t="shared" si="237"/>
        <v>MVS,AES</v>
      </c>
      <c r="AB2874" t="s">
        <v>24</v>
      </c>
      <c r="AE2874" t="s">
        <v>250</v>
      </c>
      <c r="AH2874" t="s">
        <v>1130</v>
      </c>
      <c r="AI2874" t="s">
        <v>9</v>
      </c>
      <c r="AJ2874" t="s">
        <v>11</v>
      </c>
      <c r="AK2874" t="s">
        <v>1129</v>
      </c>
      <c r="AL2874" t="s">
        <v>1128</v>
      </c>
    </row>
    <row r="2875" spans="5:44" x14ac:dyDescent="0.25">
      <c r="I2875" t="str">
        <f t="shared" si="233"/>
        <v>kof97pls</v>
      </c>
      <c r="J2875" t="str">
        <f t="shared" si="234"/>
        <v/>
      </c>
      <c r="L2875" t="str">
        <f t="shared" si="238"/>
        <v/>
      </c>
      <c r="M2875" t="str">
        <f t="shared" si="238"/>
        <v/>
      </c>
      <c r="N2875" t="str">
        <f t="shared" si="238"/>
        <v/>
      </c>
      <c r="O2875" t="str">
        <f t="shared" si="238"/>
        <v/>
      </c>
      <c r="P2875" t="str">
        <f t="shared" si="238"/>
        <v/>
      </c>
      <c r="T2875" t="str">
        <f t="shared" si="235"/>
        <v/>
      </c>
      <c r="V2875" t="str">
        <f t="shared" si="237"/>
        <v>MVS</v>
      </c>
      <c r="W2875" t="str">
        <f t="shared" si="237"/>
        <v>MVS,AES</v>
      </c>
      <c r="AH2875" t="s">
        <v>1127</v>
      </c>
      <c r="AI2875" t="s">
        <v>11</v>
      </c>
      <c r="AJ2875" t="s">
        <v>11</v>
      </c>
      <c r="AK2875" t="s">
        <v>1126</v>
      </c>
      <c r="AL2875" t="s">
        <v>1125</v>
      </c>
    </row>
    <row r="2876" spans="5:44" x14ac:dyDescent="0.25">
      <c r="I2876" t="str">
        <f t="shared" si="233"/>
        <v>kof97pls</v>
      </c>
      <c r="J2876" t="str">
        <f t="shared" si="234"/>
        <v/>
      </c>
      <c r="L2876" t="str">
        <f t="shared" si="238"/>
        <v/>
      </c>
      <c r="M2876" t="str">
        <f t="shared" si="238"/>
        <v/>
      </c>
      <c r="N2876" t="str">
        <f t="shared" si="238"/>
        <v/>
      </c>
      <c r="O2876" t="str">
        <f t="shared" si="238"/>
        <v/>
      </c>
      <c r="P2876" t="str">
        <f t="shared" si="238"/>
        <v/>
      </c>
      <c r="T2876" t="str">
        <f t="shared" si="235"/>
        <v/>
      </c>
      <c r="V2876" t="str">
        <f t="shared" si="237"/>
        <v>MVS</v>
      </c>
      <c r="W2876" t="str">
        <f t="shared" si="237"/>
        <v>MVS,AES</v>
      </c>
      <c r="AH2876" t="s">
        <v>1124</v>
      </c>
      <c r="AI2876" t="s">
        <v>57</v>
      </c>
      <c r="AJ2876" t="s">
        <v>11</v>
      </c>
      <c r="AK2876" t="s">
        <v>1123</v>
      </c>
      <c r="AL2876" t="s">
        <v>1122</v>
      </c>
    </row>
    <row r="2877" spans="5:44" x14ac:dyDescent="0.25">
      <c r="I2877" t="str">
        <f t="shared" si="233"/>
        <v>kof97pls</v>
      </c>
      <c r="J2877" t="str">
        <f t="shared" si="234"/>
        <v/>
      </c>
      <c r="L2877" t="str">
        <f t="shared" si="238"/>
        <v/>
      </c>
      <c r="M2877" t="str">
        <f t="shared" si="238"/>
        <v/>
      </c>
      <c r="N2877" t="str">
        <f t="shared" si="238"/>
        <v/>
      </c>
      <c r="O2877" t="str">
        <f t="shared" si="238"/>
        <v/>
      </c>
      <c r="P2877" t="str">
        <f t="shared" si="238"/>
        <v/>
      </c>
      <c r="T2877" t="str">
        <f t="shared" si="235"/>
        <v/>
      </c>
      <c r="V2877" t="str">
        <f t="shared" si="237"/>
        <v>MVS</v>
      </c>
      <c r="W2877" t="str">
        <f t="shared" si="237"/>
        <v>MVS,AES</v>
      </c>
      <c r="AB2877" t="s">
        <v>12</v>
      </c>
      <c r="AE2877" t="s">
        <v>620</v>
      </c>
      <c r="AG2877" t="s">
        <v>6</v>
      </c>
      <c r="AH2877" t="s">
        <v>1165</v>
      </c>
      <c r="AI2877" t="s">
        <v>9</v>
      </c>
      <c r="AJ2877" t="s">
        <v>57</v>
      </c>
      <c r="AK2877" t="s">
        <v>1164</v>
      </c>
      <c r="AL2877" t="s">
        <v>1163</v>
      </c>
    </row>
    <row r="2878" spans="5:44" x14ac:dyDescent="0.25">
      <c r="I2878" t="str">
        <f t="shared" si="233"/>
        <v>kof97pls</v>
      </c>
      <c r="J2878" t="str">
        <f t="shared" si="234"/>
        <v/>
      </c>
      <c r="L2878" t="str">
        <f t="shared" si="238"/>
        <v/>
      </c>
      <c r="M2878" t="str">
        <f t="shared" si="238"/>
        <v/>
      </c>
      <c r="N2878" t="str">
        <f t="shared" si="238"/>
        <v/>
      </c>
      <c r="O2878" t="str">
        <f t="shared" si="238"/>
        <v/>
      </c>
      <c r="P2878" t="str">
        <f t="shared" si="238"/>
        <v/>
      </c>
      <c r="T2878" t="str">
        <f t="shared" si="235"/>
        <v/>
      </c>
      <c r="V2878" t="str">
        <f t="shared" si="237"/>
        <v>MVS</v>
      </c>
      <c r="W2878" t="str">
        <f t="shared" si="237"/>
        <v>MVS,AES</v>
      </c>
      <c r="AG2878" t="s">
        <v>6</v>
      </c>
      <c r="AH2878" t="s">
        <v>1162</v>
      </c>
      <c r="AI2878" t="s">
        <v>4</v>
      </c>
      <c r="AJ2878" t="s">
        <v>57</v>
      </c>
      <c r="AK2878" t="s">
        <v>1161</v>
      </c>
      <c r="AL2878" t="s">
        <v>1160</v>
      </c>
    </row>
    <row r="2879" spans="5:44" x14ac:dyDescent="0.25">
      <c r="I2879" t="str">
        <f t="shared" si="233"/>
        <v>kof97pls</v>
      </c>
      <c r="J2879" t="str">
        <f t="shared" si="234"/>
        <v/>
      </c>
      <c r="L2879" t="str">
        <f t="shared" si="238"/>
        <v/>
      </c>
      <c r="M2879" t="str">
        <f t="shared" si="238"/>
        <v/>
      </c>
      <c r="N2879" t="str">
        <f t="shared" si="238"/>
        <v/>
      </c>
      <c r="O2879" t="str">
        <f t="shared" si="238"/>
        <v/>
      </c>
      <c r="P2879" t="str">
        <f t="shared" si="238"/>
        <v/>
      </c>
      <c r="T2879" t="str">
        <f t="shared" si="235"/>
        <v/>
      </c>
      <c r="V2879" t="str">
        <f t="shared" si="237"/>
        <v>MVS</v>
      </c>
      <c r="W2879" t="str">
        <f t="shared" si="237"/>
        <v>MVS,AES</v>
      </c>
      <c r="AG2879" t="s">
        <v>6</v>
      </c>
      <c r="AH2879" t="s">
        <v>1159</v>
      </c>
      <c r="AI2879" t="s">
        <v>65</v>
      </c>
      <c r="AJ2879" t="s">
        <v>57</v>
      </c>
      <c r="AK2879" t="s">
        <v>1158</v>
      </c>
      <c r="AL2879" t="s">
        <v>1157</v>
      </c>
    </row>
    <row r="2880" spans="5:44" x14ac:dyDescent="0.25">
      <c r="I2880" t="str">
        <f t="shared" si="233"/>
        <v>kof97pls</v>
      </c>
      <c r="J2880" t="str">
        <f t="shared" si="234"/>
        <v/>
      </c>
      <c r="L2880" t="str">
        <f t="shared" si="238"/>
        <v/>
      </c>
      <c r="M2880" t="str">
        <f t="shared" si="238"/>
        <v/>
      </c>
      <c r="N2880" t="str">
        <f t="shared" si="238"/>
        <v/>
      </c>
      <c r="O2880" t="str">
        <f t="shared" si="238"/>
        <v/>
      </c>
      <c r="P2880" t="str">
        <f t="shared" si="238"/>
        <v/>
      </c>
      <c r="T2880" t="str">
        <f t="shared" si="235"/>
        <v/>
      </c>
      <c r="V2880" t="str">
        <f t="shared" si="237"/>
        <v>MVS</v>
      </c>
      <c r="W2880" t="str">
        <f t="shared" si="237"/>
        <v>MVS,AES</v>
      </c>
      <c r="AG2880" t="s">
        <v>6</v>
      </c>
      <c r="AH2880" t="s">
        <v>1156</v>
      </c>
      <c r="AI2880" t="s">
        <v>164</v>
      </c>
      <c r="AJ2880" t="s">
        <v>57</v>
      </c>
      <c r="AK2880" t="s">
        <v>1155</v>
      </c>
      <c r="AL2880" t="s">
        <v>1154</v>
      </c>
    </row>
    <row r="2881" spans="5:45" x14ac:dyDescent="0.25">
      <c r="I2881" t="str">
        <f t="shared" si="233"/>
        <v>kof97pls</v>
      </c>
      <c r="J2881" t="str">
        <f t="shared" si="234"/>
        <v/>
      </c>
      <c r="L2881" t="str">
        <f t="shared" si="238"/>
        <v/>
      </c>
      <c r="M2881" t="str">
        <f t="shared" si="238"/>
        <v/>
      </c>
      <c r="N2881" t="str">
        <f t="shared" si="238"/>
        <v/>
      </c>
      <c r="O2881" t="str">
        <f t="shared" si="238"/>
        <v/>
      </c>
      <c r="P2881" t="str">
        <f t="shared" si="238"/>
        <v/>
      </c>
      <c r="T2881" t="str">
        <f t="shared" si="235"/>
        <v/>
      </c>
      <c r="V2881" t="str">
        <f t="shared" si="237"/>
        <v>MVS</v>
      </c>
      <c r="W2881" t="str">
        <f t="shared" si="237"/>
        <v>MVS,AES</v>
      </c>
      <c r="AG2881" t="s">
        <v>6</v>
      </c>
      <c r="AH2881" t="s">
        <v>1153</v>
      </c>
      <c r="AI2881" t="s">
        <v>160</v>
      </c>
      <c r="AJ2881" t="s">
        <v>11</v>
      </c>
      <c r="AK2881" t="s">
        <v>1152</v>
      </c>
      <c r="AL2881" t="s">
        <v>1151</v>
      </c>
    </row>
    <row r="2882" spans="5:45" x14ac:dyDescent="0.25">
      <c r="I2882" t="str">
        <f t="shared" si="233"/>
        <v>kof97pls</v>
      </c>
      <c r="J2882" t="str">
        <f t="shared" si="234"/>
        <v/>
      </c>
      <c r="L2882" t="str">
        <f t="shared" si="238"/>
        <v/>
      </c>
      <c r="M2882" t="str">
        <f t="shared" si="238"/>
        <v/>
      </c>
      <c r="N2882" t="str">
        <f t="shared" si="238"/>
        <v/>
      </c>
      <c r="O2882" t="str">
        <f t="shared" si="238"/>
        <v/>
      </c>
      <c r="P2882" t="str">
        <f t="shared" si="238"/>
        <v/>
      </c>
      <c r="T2882" t="str">
        <f t="shared" si="235"/>
        <v/>
      </c>
      <c r="V2882" t="str">
        <f t="shared" si="237"/>
        <v>MVS</v>
      </c>
      <c r="W2882" t="str">
        <f t="shared" si="237"/>
        <v>MVS,AES</v>
      </c>
      <c r="AG2882" t="s">
        <v>6</v>
      </c>
      <c r="AH2882" t="s">
        <v>1150</v>
      </c>
      <c r="AI2882" t="s">
        <v>156</v>
      </c>
      <c r="AJ2882" t="s">
        <v>11</v>
      </c>
      <c r="AK2882" t="s">
        <v>1149</v>
      </c>
      <c r="AL2882" t="s">
        <v>1148</v>
      </c>
    </row>
    <row r="2883" spans="5:45" x14ac:dyDescent="0.25">
      <c r="E2883" t="s">
        <v>1147</v>
      </c>
      <c r="F2883" t="s">
        <v>1146</v>
      </c>
      <c r="G2883" t="s">
        <v>1145</v>
      </c>
      <c r="H2883" t="s">
        <v>194</v>
      </c>
      <c r="I2883" t="str">
        <f t="shared" ref="I2883:I2946" si="239">IF(E2883="",I2882,E2883)</f>
        <v>kog</v>
      </c>
      <c r="J2883" t="str">
        <f t="shared" ref="J2883:J2946" si="240">IF(K2883="","",I2883&amp;K2883)</f>
        <v/>
      </c>
      <c r="L2883" t="str">
        <f t="shared" si="238"/>
        <v/>
      </c>
      <c r="M2883" t="str">
        <f t="shared" si="238"/>
        <v/>
      </c>
      <c r="N2883" t="str">
        <f t="shared" si="238"/>
        <v/>
      </c>
      <c r="O2883" t="str">
        <f t="shared" si="238"/>
        <v/>
      </c>
      <c r="P2883" t="str">
        <f t="shared" si="238"/>
        <v/>
      </c>
      <c r="S2883" t="s">
        <v>46</v>
      </c>
      <c r="T2883" t="str">
        <f t="shared" ref="T2883:T2946" si="241">IF(S2883="","",I2883&amp;S2883)</f>
        <v>kogrelease</v>
      </c>
      <c r="U2883" t="s">
        <v>106</v>
      </c>
      <c r="V2883" t="str">
        <f t="shared" si="237"/>
        <v>MVS</v>
      </c>
      <c r="W2883" t="str">
        <f t="shared" si="237"/>
        <v>MVS,AES</v>
      </c>
      <c r="Y2883" t="s">
        <v>45</v>
      </c>
      <c r="Z2883" t="s">
        <v>44</v>
      </c>
      <c r="AB2883" t="s">
        <v>43</v>
      </c>
      <c r="AC2883" t="s">
        <v>42</v>
      </c>
      <c r="AD2883" t="s">
        <v>41</v>
      </c>
      <c r="AE2883" t="s">
        <v>75</v>
      </c>
      <c r="AG2883" t="s">
        <v>40</v>
      </c>
      <c r="AH2883" t="s">
        <v>1144</v>
      </c>
      <c r="AI2883" t="s">
        <v>9</v>
      </c>
      <c r="AJ2883" t="s">
        <v>3</v>
      </c>
      <c r="AK2883" t="s">
        <v>1143</v>
      </c>
      <c r="AL2883" t="s">
        <v>1142</v>
      </c>
      <c r="AP2883" t="s">
        <v>138</v>
      </c>
      <c r="AQ2883" t="s">
        <v>1141</v>
      </c>
      <c r="AR2883" t="s">
        <v>1140</v>
      </c>
      <c r="AS2883" t="s">
        <v>136</v>
      </c>
    </row>
    <row r="2884" spans="5:45" x14ac:dyDescent="0.25">
      <c r="I2884" t="str">
        <f t="shared" si="239"/>
        <v>kog</v>
      </c>
      <c r="J2884" t="str">
        <f t="shared" si="240"/>
        <v/>
      </c>
      <c r="L2884" t="str">
        <f t="shared" si="238"/>
        <v/>
      </c>
      <c r="M2884" t="str">
        <f t="shared" si="238"/>
        <v/>
      </c>
      <c r="N2884" t="str">
        <f t="shared" si="238"/>
        <v/>
      </c>
      <c r="O2884" t="str">
        <f t="shared" si="238"/>
        <v/>
      </c>
      <c r="P2884" t="str">
        <f t="shared" si="238"/>
        <v/>
      </c>
      <c r="S2884" t="s">
        <v>36</v>
      </c>
      <c r="T2884" t="str">
        <f t="shared" si="241"/>
        <v>kogcompatibility</v>
      </c>
      <c r="U2884" t="s">
        <v>218</v>
      </c>
      <c r="V2884" t="str">
        <f t="shared" si="237"/>
        <v>MVS</v>
      </c>
      <c r="W2884" t="str">
        <f t="shared" si="237"/>
        <v>MVS,AES</v>
      </c>
      <c r="AG2884" t="s">
        <v>40</v>
      </c>
      <c r="AH2884" t="s">
        <v>1139</v>
      </c>
      <c r="AI2884" t="s">
        <v>3</v>
      </c>
      <c r="AJ2884" t="s">
        <v>11</v>
      </c>
      <c r="AK2884" t="s">
        <v>1138</v>
      </c>
      <c r="AL2884" t="s">
        <v>1137</v>
      </c>
    </row>
    <row r="2885" spans="5:45" x14ac:dyDescent="0.25">
      <c r="I2885" t="str">
        <f t="shared" si="239"/>
        <v>kog</v>
      </c>
      <c r="J2885" t="str">
        <f t="shared" si="240"/>
        <v/>
      </c>
      <c r="L2885" t="str">
        <f t="shared" si="238"/>
        <v/>
      </c>
      <c r="M2885" t="str">
        <f t="shared" si="238"/>
        <v/>
      </c>
      <c r="N2885" t="str">
        <f t="shared" si="238"/>
        <v/>
      </c>
      <c r="O2885" t="str">
        <f t="shared" si="238"/>
        <v/>
      </c>
      <c r="P2885" t="str">
        <f t="shared" si="238"/>
        <v/>
      </c>
      <c r="T2885" t="str">
        <f t="shared" si="241"/>
        <v/>
      </c>
      <c r="V2885" t="str">
        <f t="shared" si="237"/>
        <v>MVS</v>
      </c>
      <c r="W2885" t="str">
        <f t="shared" si="237"/>
        <v>MVS,AES</v>
      </c>
      <c r="AB2885" t="s">
        <v>34</v>
      </c>
      <c r="AE2885" t="s">
        <v>33</v>
      </c>
      <c r="AH2885" t="s">
        <v>1136</v>
      </c>
      <c r="AI2885" t="s">
        <v>9</v>
      </c>
      <c r="AJ2885" t="s">
        <v>27</v>
      </c>
      <c r="AK2885" t="s">
        <v>1135</v>
      </c>
      <c r="AL2885" t="s">
        <v>1134</v>
      </c>
    </row>
    <row r="2886" spans="5:45" x14ac:dyDescent="0.25">
      <c r="I2886" t="str">
        <f t="shared" si="239"/>
        <v>kog</v>
      </c>
      <c r="J2886" t="str">
        <f t="shared" si="240"/>
        <v/>
      </c>
      <c r="L2886" t="str">
        <f t="shared" si="238"/>
        <v/>
      </c>
      <c r="M2886" t="str">
        <f t="shared" si="238"/>
        <v/>
      </c>
      <c r="N2886" t="str">
        <f t="shared" si="238"/>
        <v/>
      </c>
      <c r="O2886" t="str">
        <f t="shared" si="238"/>
        <v/>
      </c>
      <c r="P2886" t="str">
        <f t="shared" si="238"/>
        <v/>
      </c>
      <c r="T2886" t="str">
        <f t="shared" si="241"/>
        <v/>
      </c>
      <c r="V2886" t="str">
        <f t="shared" si="237"/>
        <v>MVS</v>
      </c>
      <c r="W2886" t="str">
        <f t="shared" si="237"/>
        <v>MVS,AES</v>
      </c>
      <c r="AB2886" t="s">
        <v>29</v>
      </c>
      <c r="AE2886" t="s">
        <v>27</v>
      </c>
      <c r="AH2886" t="s">
        <v>1133</v>
      </c>
      <c r="AI2886" t="s">
        <v>9</v>
      </c>
      <c r="AJ2886" t="s">
        <v>27</v>
      </c>
      <c r="AK2886" t="s">
        <v>1132</v>
      </c>
      <c r="AL2886" t="s">
        <v>1131</v>
      </c>
    </row>
    <row r="2887" spans="5:45" x14ac:dyDescent="0.25">
      <c r="I2887" t="str">
        <f t="shared" si="239"/>
        <v>kog</v>
      </c>
      <c r="J2887" t="str">
        <f t="shared" si="240"/>
        <v/>
      </c>
      <c r="L2887" t="str">
        <f t="shared" si="238"/>
        <v/>
      </c>
      <c r="M2887" t="str">
        <f t="shared" si="238"/>
        <v/>
      </c>
      <c r="N2887" t="str">
        <f t="shared" si="238"/>
        <v/>
      </c>
      <c r="O2887" t="str">
        <f t="shared" si="238"/>
        <v/>
      </c>
      <c r="P2887" t="str">
        <f t="shared" si="238"/>
        <v/>
      </c>
      <c r="T2887" t="str">
        <f t="shared" si="241"/>
        <v/>
      </c>
      <c r="V2887" t="str">
        <f t="shared" si="237"/>
        <v>MVS</v>
      </c>
      <c r="W2887" t="str">
        <f t="shared" si="237"/>
        <v>MVS,AES</v>
      </c>
      <c r="AB2887" t="s">
        <v>24</v>
      </c>
      <c r="AE2887" t="s">
        <v>250</v>
      </c>
      <c r="AH2887" t="s">
        <v>1130</v>
      </c>
      <c r="AI2887" t="s">
        <v>9</v>
      </c>
      <c r="AJ2887" t="s">
        <v>11</v>
      </c>
      <c r="AK2887" t="s">
        <v>1129</v>
      </c>
      <c r="AL2887" t="s">
        <v>1128</v>
      </c>
    </row>
    <row r="2888" spans="5:45" x14ac:dyDescent="0.25">
      <c r="I2888" t="str">
        <f t="shared" si="239"/>
        <v>kog</v>
      </c>
      <c r="J2888" t="str">
        <f t="shared" si="240"/>
        <v/>
      </c>
      <c r="L2888" t="str">
        <f t="shared" si="238"/>
        <v/>
      </c>
      <c r="M2888" t="str">
        <f t="shared" si="238"/>
        <v/>
      </c>
      <c r="N2888" t="str">
        <f t="shared" si="238"/>
        <v/>
      </c>
      <c r="O2888" t="str">
        <f t="shared" si="238"/>
        <v/>
      </c>
      <c r="P2888" t="str">
        <f t="shared" si="238"/>
        <v/>
      </c>
      <c r="T2888" t="str">
        <f t="shared" si="241"/>
        <v/>
      </c>
      <c r="V2888" t="str">
        <f t="shared" si="237"/>
        <v>MVS</v>
      </c>
      <c r="W2888" t="str">
        <f t="shared" si="237"/>
        <v>MVS,AES</v>
      </c>
      <c r="AH2888" t="s">
        <v>1127</v>
      </c>
      <c r="AI2888" t="s">
        <v>11</v>
      </c>
      <c r="AJ2888" t="s">
        <v>11</v>
      </c>
      <c r="AK2888" t="s">
        <v>1126</v>
      </c>
      <c r="AL2888" t="s">
        <v>1125</v>
      </c>
    </row>
    <row r="2889" spans="5:45" x14ac:dyDescent="0.25">
      <c r="I2889" t="str">
        <f t="shared" si="239"/>
        <v>kog</v>
      </c>
      <c r="J2889" t="str">
        <f t="shared" si="240"/>
        <v/>
      </c>
      <c r="L2889" t="str">
        <f t="shared" si="238"/>
        <v/>
      </c>
      <c r="M2889" t="str">
        <f t="shared" si="238"/>
        <v/>
      </c>
      <c r="N2889" t="str">
        <f t="shared" si="238"/>
        <v/>
      </c>
      <c r="O2889" t="str">
        <f t="shared" si="238"/>
        <v/>
      </c>
      <c r="P2889" t="str">
        <f t="shared" si="238"/>
        <v/>
      </c>
      <c r="T2889" t="str">
        <f t="shared" si="241"/>
        <v/>
      </c>
      <c r="V2889" t="str">
        <f t="shared" si="237"/>
        <v>MVS</v>
      </c>
      <c r="W2889" t="str">
        <f t="shared" si="237"/>
        <v>MVS,AES</v>
      </c>
      <c r="AH2889" t="s">
        <v>1124</v>
      </c>
      <c r="AI2889" t="s">
        <v>57</v>
      </c>
      <c r="AJ2889" t="s">
        <v>11</v>
      </c>
      <c r="AK2889" t="s">
        <v>1123</v>
      </c>
      <c r="AL2889" t="s">
        <v>1122</v>
      </c>
    </row>
    <row r="2890" spans="5:45" x14ac:dyDescent="0.25">
      <c r="I2890" t="str">
        <f t="shared" si="239"/>
        <v>kog</v>
      </c>
      <c r="J2890" t="str">
        <f t="shared" si="240"/>
        <v/>
      </c>
      <c r="L2890" t="str">
        <f t="shared" si="238"/>
        <v/>
      </c>
      <c r="M2890" t="str">
        <f t="shared" si="238"/>
        <v/>
      </c>
      <c r="N2890" t="str">
        <f t="shared" si="238"/>
        <v/>
      </c>
      <c r="O2890" t="str">
        <f t="shared" si="238"/>
        <v/>
      </c>
      <c r="P2890" t="str">
        <f t="shared" si="238"/>
        <v/>
      </c>
      <c r="T2890" t="str">
        <f t="shared" si="241"/>
        <v/>
      </c>
      <c r="V2890" t="str">
        <f t="shared" si="237"/>
        <v>MVS</v>
      </c>
      <c r="W2890" t="str">
        <f t="shared" si="237"/>
        <v>MVS,AES</v>
      </c>
      <c r="AB2890" t="s">
        <v>12</v>
      </c>
      <c r="AE2890" t="s">
        <v>620</v>
      </c>
      <c r="AG2890" t="s">
        <v>6</v>
      </c>
      <c r="AH2890" t="s">
        <v>1121</v>
      </c>
      <c r="AI2890" t="s">
        <v>9</v>
      </c>
      <c r="AJ2890" t="s">
        <v>57</v>
      </c>
      <c r="AK2890" t="s">
        <v>1120</v>
      </c>
      <c r="AL2890" t="s">
        <v>1119</v>
      </c>
    </row>
    <row r="2891" spans="5:45" x14ac:dyDescent="0.25">
      <c r="I2891" t="str">
        <f t="shared" si="239"/>
        <v>kog</v>
      </c>
      <c r="J2891" t="str">
        <f t="shared" si="240"/>
        <v/>
      </c>
      <c r="L2891" t="str">
        <f t="shared" si="238"/>
        <v/>
      </c>
      <c r="M2891" t="str">
        <f t="shared" si="238"/>
        <v/>
      </c>
      <c r="N2891" t="str">
        <f t="shared" si="238"/>
        <v/>
      </c>
      <c r="O2891" t="str">
        <f t="shared" si="238"/>
        <v/>
      </c>
      <c r="P2891" t="str">
        <f t="shared" si="238"/>
        <v/>
      </c>
      <c r="T2891" t="str">
        <f t="shared" si="241"/>
        <v/>
      </c>
      <c r="V2891" t="str">
        <f t="shared" si="237"/>
        <v>MVS</v>
      </c>
      <c r="W2891" t="str">
        <f t="shared" si="237"/>
        <v>MVS,AES</v>
      </c>
      <c r="AG2891" t="s">
        <v>6</v>
      </c>
      <c r="AH2891" t="s">
        <v>1118</v>
      </c>
      <c r="AI2891" t="s">
        <v>4</v>
      </c>
      <c r="AJ2891" t="s">
        <v>57</v>
      </c>
      <c r="AK2891" t="s">
        <v>1117</v>
      </c>
      <c r="AL2891" t="s">
        <v>1116</v>
      </c>
    </row>
    <row r="2892" spans="5:45" x14ac:dyDescent="0.25">
      <c r="I2892" t="str">
        <f t="shared" si="239"/>
        <v>kog</v>
      </c>
      <c r="J2892" t="str">
        <f t="shared" si="240"/>
        <v/>
      </c>
      <c r="L2892" t="str">
        <f t="shared" si="238"/>
        <v/>
      </c>
      <c r="M2892" t="str">
        <f t="shared" si="238"/>
        <v/>
      </c>
      <c r="N2892" t="str">
        <f t="shared" si="238"/>
        <v/>
      </c>
      <c r="O2892" t="str">
        <f t="shared" si="238"/>
        <v/>
      </c>
      <c r="P2892" t="str">
        <f t="shared" si="238"/>
        <v/>
      </c>
      <c r="T2892" t="str">
        <f t="shared" si="241"/>
        <v/>
      </c>
      <c r="V2892" t="str">
        <f t="shared" si="237"/>
        <v>MVS</v>
      </c>
      <c r="W2892" t="str">
        <f t="shared" si="237"/>
        <v>MVS,AES</v>
      </c>
      <c r="AG2892" t="s">
        <v>6</v>
      </c>
      <c r="AH2892" t="s">
        <v>1115</v>
      </c>
      <c r="AI2892" t="s">
        <v>65</v>
      </c>
      <c r="AJ2892" t="s">
        <v>57</v>
      </c>
      <c r="AK2892" t="s">
        <v>1114</v>
      </c>
      <c r="AL2892" t="s">
        <v>1113</v>
      </c>
    </row>
    <row r="2893" spans="5:45" x14ac:dyDescent="0.25">
      <c r="I2893" t="str">
        <f t="shared" si="239"/>
        <v>kog</v>
      </c>
      <c r="J2893" t="str">
        <f t="shared" si="240"/>
        <v/>
      </c>
      <c r="L2893" t="str">
        <f t="shared" si="238"/>
        <v/>
      </c>
      <c r="M2893" t="str">
        <f t="shared" si="238"/>
        <v/>
      </c>
      <c r="N2893" t="str">
        <f t="shared" si="238"/>
        <v/>
      </c>
      <c r="O2893" t="str">
        <f t="shared" si="238"/>
        <v/>
      </c>
      <c r="P2893" t="str">
        <f t="shared" si="238"/>
        <v/>
      </c>
      <c r="T2893" t="str">
        <f t="shared" si="241"/>
        <v/>
      </c>
      <c r="V2893" t="str">
        <f t="shared" si="237"/>
        <v>MVS</v>
      </c>
      <c r="W2893" t="str">
        <f t="shared" si="237"/>
        <v>MVS,AES</v>
      </c>
      <c r="AG2893" t="s">
        <v>6</v>
      </c>
      <c r="AH2893" t="s">
        <v>1112</v>
      </c>
      <c r="AI2893" t="s">
        <v>164</v>
      </c>
      <c r="AJ2893" t="s">
        <v>57</v>
      </c>
      <c r="AK2893" t="s">
        <v>1111</v>
      </c>
      <c r="AL2893" t="s">
        <v>1110</v>
      </c>
    </row>
    <row r="2894" spans="5:45" x14ac:dyDescent="0.25">
      <c r="I2894" t="str">
        <f t="shared" si="239"/>
        <v>kog</v>
      </c>
      <c r="J2894" t="str">
        <f t="shared" si="240"/>
        <v/>
      </c>
      <c r="L2894" t="str">
        <f t="shared" si="238"/>
        <v/>
      </c>
      <c r="M2894" t="str">
        <f t="shared" si="238"/>
        <v/>
      </c>
      <c r="N2894" t="str">
        <f t="shared" si="238"/>
        <v/>
      </c>
      <c r="O2894" t="str">
        <f t="shared" si="238"/>
        <v/>
      </c>
      <c r="P2894" t="str">
        <f t="shared" si="238"/>
        <v/>
      </c>
      <c r="T2894" t="str">
        <f t="shared" si="241"/>
        <v/>
      </c>
      <c r="V2894" t="str">
        <f t="shared" si="237"/>
        <v>MVS</v>
      </c>
      <c r="W2894" t="str">
        <f t="shared" si="237"/>
        <v>MVS,AES</v>
      </c>
      <c r="AG2894" t="s">
        <v>6</v>
      </c>
      <c r="AH2894" t="s">
        <v>1109</v>
      </c>
      <c r="AI2894" t="s">
        <v>160</v>
      </c>
      <c r="AJ2894" t="s">
        <v>11</v>
      </c>
      <c r="AK2894" t="s">
        <v>1108</v>
      </c>
      <c r="AL2894" t="s">
        <v>1107</v>
      </c>
    </row>
    <row r="2895" spans="5:45" x14ac:dyDescent="0.25">
      <c r="I2895" t="str">
        <f t="shared" si="239"/>
        <v>kog</v>
      </c>
      <c r="J2895" t="str">
        <f t="shared" si="240"/>
        <v/>
      </c>
      <c r="L2895" t="str">
        <f t="shared" si="238"/>
        <v/>
      </c>
      <c r="M2895" t="str">
        <f t="shared" si="238"/>
        <v/>
      </c>
      <c r="N2895" t="str">
        <f t="shared" si="238"/>
        <v/>
      </c>
      <c r="O2895" t="str">
        <f t="shared" si="238"/>
        <v/>
      </c>
      <c r="P2895" t="str">
        <f t="shared" si="238"/>
        <v/>
      </c>
      <c r="T2895" t="str">
        <f t="shared" si="241"/>
        <v/>
      </c>
      <c r="V2895" t="str">
        <f t="shared" si="237"/>
        <v>MVS</v>
      </c>
      <c r="W2895" t="str">
        <f t="shared" si="237"/>
        <v>MVS,AES</v>
      </c>
      <c r="AG2895" t="s">
        <v>6</v>
      </c>
      <c r="AH2895" t="s">
        <v>1106</v>
      </c>
      <c r="AI2895" t="s">
        <v>156</v>
      </c>
      <c r="AJ2895" t="s">
        <v>11</v>
      </c>
      <c r="AK2895" t="s">
        <v>1105</v>
      </c>
      <c r="AL2895" t="s">
        <v>1104</v>
      </c>
    </row>
    <row r="2896" spans="5:45" x14ac:dyDescent="0.25">
      <c r="E2896" t="s">
        <v>1103</v>
      </c>
      <c r="F2896" t="s">
        <v>1102</v>
      </c>
      <c r="G2896" t="s">
        <v>1101</v>
      </c>
      <c r="H2896" t="s">
        <v>194</v>
      </c>
      <c r="I2896" t="str">
        <f t="shared" si="239"/>
        <v>lans2004</v>
      </c>
      <c r="J2896" t="str">
        <f t="shared" si="240"/>
        <v/>
      </c>
      <c r="L2896" t="str">
        <f t="shared" si="238"/>
        <v/>
      </c>
      <c r="M2896" t="str">
        <f t="shared" si="238"/>
        <v/>
      </c>
      <c r="N2896" t="str">
        <f t="shared" si="238"/>
        <v/>
      </c>
      <c r="O2896" t="str">
        <f t="shared" si="238"/>
        <v/>
      </c>
      <c r="P2896" t="str">
        <f t="shared" si="238"/>
        <v/>
      </c>
      <c r="S2896" t="s">
        <v>46</v>
      </c>
      <c r="T2896" t="str">
        <f t="shared" si="241"/>
        <v>lans2004release</v>
      </c>
      <c r="U2896" t="s">
        <v>106</v>
      </c>
      <c r="V2896" t="str">
        <f t="shared" si="237"/>
        <v>MVS</v>
      </c>
      <c r="W2896" t="str">
        <f t="shared" si="237"/>
        <v>MVS,AES</v>
      </c>
      <c r="Y2896" t="s">
        <v>45</v>
      </c>
      <c r="Z2896" t="s">
        <v>44</v>
      </c>
      <c r="AB2896" t="s">
        <v>43</v>
      </c>
      <c r="AC2896" t="s">
        <v>42</v>
      </c>
      <c r="AD2896" t="s">
        <v>41</v>
      </c>
      <c r="AE2896" t="s">
        <v>75</v>
      </c>
      <c r="AG2896" t="s">
        <v>40</v>
      </c>
      <c r="AH2896" t="s">
        <v>1100</v>
      </c>
      <c r="AI2896" t="s">
        <v>9</v>
      </c>
      <c r="AJ2896" t="s">
        <v>3</v>
      </c>
      <c r="AK2896" t="s">
        <v>1099</v>
      </c>
      <c r="AL2896" t="s">
        <v>1098</v>
      </c>
      <c r="AP2896" t="s">
        <v>138</v>
      </c>
      <c r="AQ2896" t="s">
        <v>1097</v>
      </c>
      <c r="AR2896" t="s">
        <v>1096</v>
      </c>
    </row>
    <row r="2897" spans="5:44" x14ac:dyDescent="0.25">
      <c r="I2897" t="str">
        <f t="shared" si="239"/>
        <v>lans2004</v>
      </c>
      <c r="J2897" t="str">
        <f t="shared" si="240"/>
        <v/>
      </c>
      <c r="L2897" t="str">
        <f t="shared" si="238"/>
        <v/>
      </c>
      <c r="M2897" t="str">
        <f t="shared" si="238"/>
        <v/>
      </c>
      <c r="N2897" t="str">
        <f t="shared" si="238"/>
        <v/>
      </c>
      <c r="O2897" t="str">
        <f t="shared" si="238"/>
        <v/>
      </c>
      <c r="P2897" t="str">
        <f t="shared" si="238"/>
        <v/>
      </c>
      <c r="S2897" t="s">
        <v>36</v>
      </c>
      <c r="T2897" t="str">
        <f t="shared" si="241"/>
        <v>lans2004compatibility</v>
      </c>
      <c r="U2897" t="s">
        <v>218</v>
      </c>
      <c r="V2897" t="str">
        <f t="shared" si="237"/>
        <v>MVS</v>
      </c>
      <c r="W2897" t="str">
        <f t="shared" si="237"/>
        <v>MVS,AES</v>
      </c>
      <c r="AG2897" t="s">
        <v>40</v>
      </c>
      <c r="AH2897" t="s">
        <v>1095</v>
      </c>
      <c r="AI2897" t="s">
        <v>3</v>
      </c>
      <c r="AJ2897" t="s">
        <v>3</v>
      </c>
      <c r="AK2897" t="s">
        <v>1094</v>
      </c>
      <c r="AL2897" t="s">
        <v>1093</v>
      </c>
    </row>
    <row r="2898" spans="5:44" x14ac:dyDescent="0.25">
      <c r="I2898" t="str">
        <f t="shared" si="239"/>
        <v>lans2004</v>
      </c>
      <c r="J2898" t="str">
        <f t="shared" si="240"/>
        <v/>
      </c>
      <c r="L2898" t="str">
        <f t="shared" si="238"/>
        <v/>
      </c>
      <c r="M2898" t="str">
        <f t="shared" si="238"/>
        <v/>
      </c>
      <c r="N2898" t="str">
        <f t="shared" si="238"/>
        <v/>
      </c>
      <c r="O2898" t="str">
        <f t="shared" si="238"/>
        <v/>
      </c>
      <c r="P2898" t="str">
        <f t="shared" si="238"/>
        <v/>
      </c>
      <c r="T2898" t="str">
        <f t="shared" si="241"/>
        <v/>
      </c>
      <c r="V2898" t="str">
        <f t="shared" si="237"/>
        <v>MVS</v>
      </c>
      <c r="W2898" t="str">
        <f t="shared" si="237"/>
        <v>MVS,AES</v>
      </c>
      <c r="AG2898" t="s">
        <v>40</v>
      </c>
      <c r="AH2898" t="s">
        <v>1092</v>
      </c>
      <c r="AI2898" t="s">
        <v>11</v>
      </c>
      <c r="AJ2898" t="s">
        <v>3</v>
      </c>
      <c r="AK2898" t="s">
        <v>1091</v>
      </c>
      <c r="AL2898" t="s">
        <v>1090</v>
      </c>
    </row>
    <row r="2899" spans="5:44" x14ac:dyDescent="0.25">
      <c r="I2899" t="str">
        <f t="shared" si="239"/>
        <v>lans2004</v>
      </c>
      <c r="J2899" t="str">
        <f t="shared" si="240"/>
        <v/>
      </c>
      <c r="L2899" t="str">
        <f t="shared" si="238"/>
        <v/>
      </c>
      <c r="M2899" t="str">
        <f t="shared" si="238"/>
        <v/>
      </c>
      <c r="N2899" t="str">
        <f t="shared" si="238"/>
        <v/>
      </c>
      <c r="O2899" t="str">
        <f t="shared" si="238"/>
        <v/>
      </c>
      <c r="P2899" t="str">
        <f t="shared" si="238"/>
        <v/>
      </c>
      <c r="T2899" t="str">
        <f t="shared" si="241"/>
        <v/>
      </c>
      <c r="V2899" t="str">
        <f t="shared" si="237"/>
        <v>MVS</v>
      </c>
      <c r="W2899" t="str">
        <f t="shared" si="237"/>
        <v>MVS,AES</v>
      </c>
      <c r="AB2899" t="s">
        <v>34</v>
      </c>
      <c r="AE2899" t="s">
        <v>33</v>
      </c>
      <c r="AH2899" t="s">
        <v>1089</v>
      </c>
      <c r="AI2899" t="s">
        <v>9</v>
      </c>
      <c r="AJ2899" t="s">
        <v>27</v>
      </c>
      <c r="AK2899" t="s">
        <v>1088</v>
      </c>
      <c r="AL2899" t="s">
        <v>1087</v>
      </c>
    </row>
    <row r="2900" spans="5:44" x14ac:dyDescent="0.25">
      <c r="I2900" t="str">
        <f t="shared" si="239"/>
        <v>lans2004</v>
      </c>
      <c r="J2900" t="str">
        <f t="shared" si="240"/>
        <v/>
      </c>
      <c r="L2900" t="str">
        <f t="shared" si="238"/>
        <v/>
      </c>
      <c r="M2900" t="str">
        <f t="shared" si="238"/>
        <v/>
      </c>
      <c r="N2900" t="str">
        <f t="shared" si="238"/>
        <v/>
      </c>
      <c r="O2900" t="str">
        <f t="shared" si="238"/>
        <v/>
      </c>
      <c r="P2900" t="str">
        <f t="shared" si="238"/>
        <v/>
      </c>
      <c r="T2900" t="str">
        <f t="shared" si="241"/>
        <v/>
      </c>
      <c r="V2900" t="str">
        <f t="shared" si="237"/>
        <v>MVS</v>
      </c>
      <c r="W2900" t="str">
        <f t="shared" si="237"/>
        <v>MVS,AES</v>
      </c>
      <c r="AB2900" t="s">
        <v>29</v>
      </c>
      <c r="AE2900" t="s">
        <v>27</v>
      </c>
      <c r="AH2900" t="s">
        <v>1086</v>
      </c>
      <c r="AI2900" t="s">
        <v>9</v>
      </c>
      <c r="AJ2900" t="s">
        <v>27</v>
      </c>
      <c r="AK2900" t="s">
        <v>1085</v>
      </c>
      <c r="AL2900" t="s">
        <v>1084</v>
      </c>
    </row>
    <row r="2901" spans="5:44" x14ac:dyDescent="0.25">
      <c r="I2901" t="str">
        <f t="shared" si="239"/>
        <v>lans2004</v>
      </c>
      <c r="J2901" t="str">
        <f t="shared" si="240"/>
        <v/>
      </c>
      <c r="L2901" t="str">
        <f t="shared" si="238"/>
        <v/>
      </c>
      <c r="M2901" t="str">
        <f t="shared" si="238"/>
        <v/>
      </c>
      <c r="N2901" t="str">
        <f t="shared" si="238"/>
        <v/>
      </c>
      <c r="O2901" t="str">
        <f t="shared" si="238"/>
        <v/>
      </c>
      <c r="P2901" t="str">
        <f t="shared" si="238"/>
        <v/>
      </c>
      <c r="T2901" t="str">
        <f t="shared" si="241"/>
        <v/>
      </c>
      <c r="V2901" t="str">
        <f t="shared" si="237"/>
        <v>MVS</v>
      </c>
      <c r="W2901" t="str">
        <f t="shared" si="237"/>
        <v>MVS,AES</v>
      </c>
      <c r="AB2901" t="s">
        <v>24</v>
      </c>
      <c r="AE2901" t="s">
        <v>1083</v>
      </c>
      <c r="AH2901" t="s">
        <v>1082</v>
      </c>
      <c r="AI2901" t="s">
        <v>9</v>
      </c>
      <c r="AJ2901" t="s">
        <v>11</v>
      </c>
      <c r="AK2901" t="s">
        <v>1081</v>
      </c>
      <c r="AL2901" t="s">
        <v>1080</v>
      </c>
    </row>
    <row r="2902" spans="5:44" x14ac:dyDescent="0.25">
      <c r="I2902" t="str">
        <f t="shared" si="239"/>
        <v>lans2004</v>
      </c>
      <c r="J2902" t="str">
        <f t="shared" si="240"/>
        <v/>
      </c>
      <c r="L2902" t="str">
        <f t="shared" si="238"/>
        <v/>
      </c>
      <c r="M2902" t="str">
        <f t="shared" si="238"/>
        <v/>
      </c>
      <c r="N2902" t="str">
        <f t="shared" si="238"/>
        <v/>
      </c>
      <c r="O2902" t="str">
        <f t="shared" si="238"/>
        <v/>
      </c>
      <c r="P2902" t="str">
        <f t="shared" si="238"/>
        <v/>
      </c>
      <c r="T2902" t="str">
        <f t="shared" si="241"/>
        <v/>
      </c>
      <c r="V2902" t="str">
        <f t="shared" si="237"/>
        <v>MVS</v>
      </c>
      <c r="W2902" t="str">
        <f t="shared" si="237"/>
        <v>MVS,AES</v>
      </c>
      <c r="AH2902" t="s">
        <v>1079</v>
      </c>
      <c r="AI2902" t="s">
        <v>11</v>
      </c>
      <c r="AJ2902" t="s">
        <v>11</v>
      </c>
      <c r="AK2902" t="s">
        <v>1078</v>
      </c>
      <c r="AL2902" t="s">
        <v>1077</v>
      </c>
    </row>
    <row r="2903" spans="5:44" x14ac:dyDescent="0.25">
      <c r="I2903" t="str">
        <f t="shared" si="239"/>
        <v>lans2004</v>
      </c>
      <c r="J2903" t="str">
        <f t="shared" si="240"/>
        <v/>
      </c>
      <c r="L2903" t="str">
        <f t="shared" si="238"/>
        <v/>
      </c>
      <c r="M2903" t="str">
        <f t="shared" si="238"/>
        <v/>
      </c>
      <c r="N2903" t="str">
        <f t="shared" si="238"/>
        <v/>
      </c>
      <c r="O2903" t="str">
        <f t="shared" si="238"/>
        <v/>
      </c>
      <c r="P2903" t="str">
        <f t="shared" si="238"/>
        <v/>
      </c>
      <c r="T2903" t="str">
        <f t="shared" si="241"/>
        <v/>
      </c>
      <c r="V2903" t="str">
        <f t="shared" ref="V2903:W2966" si="242">IFERROR(VLOOKUP($I2903&amp;V$1,$T:$AA,2,0),"")</f>
        <v>MVS</v>
      </c>
      <c r="W2903" t="str">
        <f t="shared" si="242"/>
        <v>MVS,AES</v>
      </c>
      <c r="AH2903" t="s">
        <v>1076</v>
      </c>
      <c r="AI2903" t="s">
        <v>57</v>
      </c>
      <c r="AJ2903" t="s">
        <v>3</v>
      </c>
      <c r="AK2903" t="s">
        <v>1075</v>
      </c>
      <c r="AL2903" t="s">
        <v>1074</v>
      </c>
    </row>
    <row r="2904" spans="5:44" x14ac:dyDescent="0.25">
      <c r="I2904" t="str">
        <f t="shared" si="239"/>
        <v>lans2004</v>
      </c>
      <c r="J2904" t="str">
        <f t="shared" si="240"/>
        <v/>
      </c>
      <c r="L2904" t="str">
        <f t="shared" si="238"/>
        <v/>
      </c>
      <c r="M2904" t="str">
        <f t="shared" si="238"/>
        <v/>
      </c>
      <c r="N2904" t="str">
        <f t="shared" si="238"/>
        <v/>
      </c>
      <c r="O2904" t="str">
        <f t="shared" si="238"/>
        <v/>
      </c>
      <c r="P2904" t="str">
        <f t="shared" si="238"/>
        <v/>
      </c>
      <c r="T2904" t="str">
        <f t="shared" si="241"/>
        <v/>
      </c>
      <c r="V2904" t="str">
        <f t="shared" si="242"/>
        <v>MVS</v>
      </c>
      <c r="W2904" t="str">
        <f t="shared" si="242"/>
        <v>MVS,AES</v>
      </c>
      <c r="AB2904" t="s">
        <v>12</v>
      </c>
      <c r="AE2904" t="s">
        <v>152</v>
      </c>
      <c r="AG2904" t="s">
        <v>6</v>
      </c>
      <c r="AH2904" t="s">
        <v>1073</v>
      </c>
      <c r="AI2904" t="s">
        <v>9</v>
      </c>
      <c r="AJ2904" t="s">
        <v>57</v>
      </c>
      <c r="AK2904" t="s">
        <v>1072</v>
      </c>
      <c r="AL2904" t="s">
        <v>1071</v>
      </c>
    </row>
    <row r="2905" spans="5:44" x14ac:dyDescent="0.25">
      <c r="I2905" t="str">
        <f t="shared" si="239"/>
        <v>lans2004</v>
      </c>
      <c r="J2905" t="str">
        <f t="shared" si="240"/>
        <v/>
      </c>
      <c r="L2905" t="str">
        <f t="shared" si="238"/>
        <v/>
      </c>
      <c r="M2905" t="str">
        <f t="shared" si="238"/>
        <v/>
      </c>
      <c r="N2905" t="str">
        <f t="shared" si="238"/>
        <v/>
      </c>
      <c r="O2905" t="str">
        <f t="shared" si="238"/>
        <v/>
      </c>
      <c r="P2905" t="str">
        <f t="shared" si="238"/>
        <v/>
      </c>
      <c r="T2905" t="str">
        <f t="shared" si="241"/>
        <v/>
      </c>
      <c r="V2905" t="str">
        <f t="shared" si="242"/>
        <v>MVS</v>
      </c>
      <c r="W2905" t="str">
        <f t="shared" si="242"/>
        <v>MVS,AES</v>
      </c>
      <c r="AG2905" t="s">
        <v>6</v>
      </c>
      <c r="AH2905" t="s">
        <v>1070</v>
      </c>
      <c r="AI2905" t="s">
        <v>4</v>
      </c>
      <c r="AJ2905" t="s">
        <v>57</v>
      </c>
      <c r="AK2905" t="s">
        <v>1069</v>
      </c>
      <c r="AL2905" t="s">
        <v>1068</v>
      </c>
    </row>
    <row r="2906" spans="5:44" x14ac:dyDescent="0.25">
      <c r="I2906" t="str">
        <f t="shared" si="239"/>
        <v>lans2004</v>
      </c>
      <c r="J2906" t="str">
        <f t="shared" si="240"/>
        <v/>
      </c>
      <c r="L2906" t="str">
        <f t="shared" si="238"/>
        <v/>
      </c>
      <c r="M2906" t="str">
        <f t="shared" si="238"/>
        <v/>
      </c>
      <c r="N2906" t="str">
        <f t="shared" si="238"/>
        <v/>
      </c>
      <c r="O2906" t="str">
        <f t="shared" si="238"/>
        <v/>
      </c>
      <c r="P2906" t="str">
        <f t="shared" si="238"/>
        <v/>
      </c>
      <c r="T2906" t="str">
        <f t="shared" si="241"/>
        <v/>
      </c>
      <c r="V2906" t="str">
        <f t="shared" si="242"/>
        <v>MVS</v>
      </c>
      <c r="W2906" t="str">
        <f t="shared" si="242"/>
        <v>MVS,AES</v>
      </c>
      <c r="AG2906" t="s">
        <v>6</v>
      </c>
      <c r="AH2906" t="s">
        <v>1067</v>
      </c>
      <c r="AI2906" t="s">
        <v>65</v>
      </c>
      <c r="AJ2906" t="s">
        <v>57</v>
      </c>
      <c r="AK2906" t="s">
        <v>1066</v>
      </c>
      <c r="AL2906" t="s">
        <v>1065</v>
      </c>
    </row>
    <row r="2907" spans="5:44" x14ac:dyDescent="0.25">
      <c r="I2907" t="str">
        <f t="shared" si="239"/>
        <v>lans2004</v>
      </c>
      <c r="J2907" t="str">
        <f t="shared" si="240"/>
        <v/>
      </c>
      <c r="L2907" t="str">
        <f t="shared" si="238"/>
        <v/>
      </c>
      <c r="M2907" t="str">
        <f t="shared" si="238"/>
        <v/>
      </c>
      <c r="N2907" t="str">
        <f t="shared" si="238"/>
        <v/>
      </c>
      <c r="O2907" t="str">
        <f t="shared" si="238"/>
        <v/>
      </c>
      <c r="P2907" t="str">
        <f t="shared" si="238"/>
        <v/>
      </c>
      <c r="T2907" t="str">
        <f t="shared" si="241"/>
        <v/>
      </c>
      <c r="V2907" t="str">
        <f t="shared" si="242"/>
        <v>MVS</v>
      </c>
      <c r="W2907" t="str">
        <f t="shared" si="242"/>
        <v>MVS,AES</v>
      </c>
      <c r="AG2907" t="s">
        <v>6</v>
      </c>
      <c r="AH2907" t="s">
        <v>1064</v>
      </c>
      <c r="AI2907" t="s">
        <v>164</v>
      </c>
      <c r="AJ2907" t="s">
        <v>57</v>
      </c>
      <c r="AK2907" t="s">
        <v>1063</v>
      </c>
      <c r="AL2907" t="s">
        <v>1062</v>
      </c>
    </row>
    <row r="2908" spans="5:44" x14ac:dyDescent="0.25">
      <c r="I2908" t="str">
        <f t="shared" si="239"/>
        <v>lans2004</v>
      </c>
      <c r="J2908" t="str">
        <f t="shared" si="240"/>
        <v/>
      </c>
      <c r="L2908" t="str">
        <f t="shared" si="238"/>
        <v/>
      </c>
      <c r="M2908" t="str">
        <f t="shared" si="238"/>
        <v/>
      </c>
      <c r="N2908" t="str">
        <f t="shared" si="238"/>
        <v/>
      </c>
      <c r="O2908" t="str">
        <f t="shared" si="238"/>
        <v/>
      </c>
      <c r="P2908" t="str">
        <f t="shared" si="238"/>
        <v/>
      </c>
      <c r="T2908" t="str">
        <f t="shared" si="241"/>
        <v/>
      </c>
      <c r="V2908" t="str">
        <f t="shared" si="242"/>
        <v>MVS</v>
      </c>
      <c r="W2908" t="str">
        <f t="shared" si="242"/>
        <v>MVS,AES</v>
      </c>
      <c r="AG2908" t="s">
        <v>6</v>
      </c>
      <c r="AH2908" t="s">
        <v>1061</v>
      </c>
      <c r="AI2908" t="s">
        <v>160</v>
      </c>
      <c r="AJ2908" t="s">
        <v>57</v>
      </c>
      <c r="AK2908" t="s">
        <v>1060</v>
      </c>
      <c r="AL2908" t="s">
        <v>1059</v>
      </c>
    </row>
    <row r="2909" spans="5:44" x14ac:dyDescent="0.25">
      <c r="I2909" t="str">
        <f t="shared" si="239"/>
        <v>lans2004</v>
      </c>
      <c r="J2909" t="str">
        <f t="shared" si="240"/>
        <v/>
      </c>
      <c r="L2909" t="str">
        <f t="shared" si="238"/>
        <v/>
      </c>
      <c r="M2909" t="str">
        <f t="shared" si="238"/>
        <v/>
      </c>
      <c r="N2909" t="str">
        <f t="shared" si="238"/>
        <v/>
      </c>
      <c r="O2909" t="str">
        <f t="shared" si="238"/>
        <v/>
      </c>
      <c r="P2909" t="str">
        <f t="shared" si="238"/>
        <v/>
      </c>
      <c r="T2909" t="str">
        <f t="shared" si="241"/>
        <v/>
      </c>
      <c r="V2909" t="str">
        <f t="shared" si="242"/>
        <v>MVS</v>
      </c>
      <c r="W2909" t="str">
        <f t="shared" si="242"/>
        <v>MVS,AES</v>
      </c>
      <c r="AG2909" t="s">
        <v>6</v>
      </c>
      <c r="AH2909" t="s">
        <v>1058</v>
      </c>
      <c r="AI2909" t="s">
        <v>156</v>
      </c>
      <c r="AJ2909" t="s">
        <v>57</v>
      </c>
      <c r="AK2909" t="s">
        <v>1057</v>
      </c>
      <c r="AL2909" t="s">
        <v>1056</v>
      </c>
    </row>
    <row r="2910" spans="5:44" x14ac:dyDescent="0.25">
      <c r="E2910" t="s">
        <v>1055</v>
      </c>
      <c r="F2910" t="s">
        <v>1054</v>
      </c>
      <c r="G2910" t="s">
        <v>1053</v>
      </c>
      <c r="H2910" t="s">
        <v>194</v>
      </c>
      <c r="I2910" t="str">
        <f t="shared" si="239"/>
        <v>garoubl</v>
      </c>
      <c r="J2910" t="str">
        <f t="shared" si="240"/>
        <v/>
      </c>
      <c r="L2910" t="str">
        <f t="shared" si="238"/>
        <v/>
      </c>
      <c r="M2910" t="str">
        <f t="shared" si="238"/>
        <v/>
      </c>
      <c r="N2910" t="str">
        <f t="shared" si="238"/>
        <v/>
      </c>
      <c r="O2910" t="str">
        <f t="shared" si="238"/>
        <v/>
      </c>
      <c r="P2910" t="str">
        <f t="shared" si="238"/>
        <v/>
      </c>
      <c r="S2910" t="s">
        <v>46</v>
      </c>
      <c r="T2910" t="str">
        <f t="shared" si="241"/>
        <v>garoublrelease</v>
      </c>
      <c r="U2910" t="s">
        <v>106</v>
      </c>
      <c r="V2910" t="str">
        <f t="shared" si="242"/>
        <v>MVS</v>
      </c>
      <c r="W2910" t="str">
        <f t="shared" si="242"/>
        <v>MVS,AES</v>
      </c>
      <c r="Y2910" t="s">
        <v>45</v>
      </c>
      <c r="Z2910" t="s">
        <v>44</v>
      </c>
      <c r="AB2910" t="s">
        <v>43</v>
      </c>
      <c r="AC2910" t="s">
        <v>42</v>
      </c>
      <c r="AD2910" t="s">
        <v>41</v>
      </c>
      <c r="AE2910" t="s">
        <v>23</v>
      </c>
      <c r="AG2910" t="s">
        <v>40</v>
      </c>
      <c r="AH2910" t="s">
        <v>1052</v>
      </c>
      <c r="AI2910" t="s">
        <v>9</v>
      </c>
      <c r="AJ2910" t="s">
        <v>15</v>
      </c>
      <c r="AK2910" t="s">
        <v>1051</v>
      </c>
      <c r="AL2910" t="s">
        <v>1050</v>
      </c>
      <c r="AP2910" t="s">
        <v>138</v>
      </c>
      <c r="AQ2910" t="s">
        <v>1049</v>
      </c>
      <c r="AR2910" t="s">
        <v>1048</v>
      </c>
    </row>
    <row r="2911" spans="5:44" x14ac:dyDescent="0.25">
      <c r="I2911" t="str">
        <f t="shared" si="239"/>
        <v>garoubl</v>
      </c>
      <c r="J2911" t="str">
        <f t="shared" si="240"/>
        <v/>
      </c>
      <c r="L2911" t="str">
        <f t="shared" si="238"/>
        <v/>
      </c>
      <c r="M2911" t="str">
        <f t="shared" si="238"/>
        <v/>
      </c>
      <c r="N2911" t="str">
        <f t="shared" si="238"/>
        <v/>
      </c>
      <c r="O2911" t="str">
        <f t="shared" si="238"/>
        <v/>
      </c>
      <c r="P2911" t="str">
        <f t="shared" si="238"/>
        <v/>
      </c>
      <c r="S2911" t="s">
        <v>36</v>
      </c>
      <c r="T2911" t="str">
        <f t="shared" si="241"/>
        <v>garoublcompatibility</v>
      </c>
      <c r="U2911" t="s">
        <v>218</v>
      </c>
      <c r="V2911" t="str">
        <f t="shared" si="242"/>
        <v>MVS</v>
      </c>
      <c r="W2911" t="str">
        <f t="shared" si="242"/>
        <v>MVS,AES</v>
      </c>
      <c r="AG2911" t="s">
        <v>40</v>
      </c>
      <c r="AH2911" t="s">
        <v>1047</v>
      </c>
      <c r="AI2911" t="s">
        <v>15</v>
      </c>
      <c r="AJ2911" t="s">
        <v>11</v>
      </c>
      <c r="AK2911" t="s">
        <v>1046</v>
      </c>
      <c r="AL2911" t="s">
        <v>1045</v>
      </c>
    </row>
    <row r="2912" spans="5:44" x14ac:dyDescent="0.25">
      <c r="I2912" t="str">
        <f t="shared" si="239"/>
        <v>garoubl</v>
      </c>
      <c r="J2912" t="str">
        <f t="shared" si="240"/>
        <v/>
      </c>
      <c r="L2912" t="str">
        <f t="shared" si="238"/>
        <v/>
      </c>
      <c r="M2912" t="str">
        <f t="shared" si="238"/>
        <v/>
      </c>
      <c r="N2912" t="str">
        <f t="shared" si="238"/>
        <v/>
      </c>
      <c r="O2912" t="str">
        <f t="shared" si="238"/>
        <v/>
      </c>
      <c r="P2912" t="str">
        <f t="shared" si="238"/>
        <v/>
      </c>
      <c r="T2912" t="str">
        <f t="shared" si="241"/>
        <v/>
      </c>
      <c r="V2912" t="str">
        <f t="shared" si="242"/>
        <v>MVS</v>
      </c>
      <c r="W2912" t="str">
        <f t="shared" si="242"/>
        <v>MVS,AES</v>
      </c>
      <c r="AB2912" t="s">
        <v>34</v>
      </c>
      <c r="AE2912" t="s">
        <v>33</v>
      </c>
      <c r="AH2912" t="s">
        <v>1044</v>
      </c>
      <c r="AI2912" t="s">
        <v>9</v>
      </c>
      <c r="AJ2912" t="s">
        <v>27</v>
      </c>
      <c r="AK2912" t="s">
        <v>1043</v>
      </c>
      <c r="AL2912" t="s">
        <v>1042</v>
      </c>
    </row>
    <row r="2913" spans="5:44" x14ac:dyDescent="0.25">
      <c r="I2913" t="str">
        <f t="shared" si="239"/>
        <v>garoubl</v>
      </c>
      <c r="J2913" t="str">
        <f t="shared" si="240"/>
        <v/>
      </c>
      <c r="L2913" t="str">
        <f t="shared" si="238"/>
        <v/>
      </c>
      <c r="M2913" t="str">
        <f t="shared" si="238"/>
        <v/>
      </c>
      <c r="N2913" t="str">
        <f t="shared" si="238"/>
        <v/>
      </c>
      <c r="O2913" t="str">
        <f t="shared" si="238"/>
        <v/>
      </c>
      <c r="P2913" t="str">
        <f t="shared" si="238"/>
        <v/>
      </c>
      <c r="T2913" t="str">
        <f t="shared" si="241"/>
        <v/>
      </c>
      <c r="V2913" t="str">
        <f t="shared" si="242"/>
        <v>MVS</v>
      </c>
      <c r="W2913" t="str">
        <f t="shared" si="242"/>
        <v>MVS,AES</v>
      </c>
      <c r="AB2913" t="s">
        <v>29</v>
      </c>
      <c r="AE2913" t="s">
        <v>92</v>
      </c>
      <c r="AH2913" t="s">
        <v>1041</v>
      </c>
      <c r="AI2913" t="s">
        <v>9</v>
      </c>
      <c r="AJ2913" t="s">
        <v>92</v>
      </c>
      <c r="AK2913" t="s">
        <v>1040</v>
      </c>
      <c r="AL2913" t="s">
        <v>1039</v>
      </c>
    </row>
    <row r="2914" spans="5:44" x14ac:dyDescent="0.25">
      <c r="I2914" t="str">
        <f t="shared" si="239"/>
        <v>garoubl</v>
      </c>
      <c r="J2914" t="str">
        <f t="shared" si="240"/>
        <v/>
      </c>
      <c r="L2914" t="str">
        <f t="shared" si="238"/>
        <v/>
      </c>
      <c r="M2914" t="str">
        <f t="shared" si="238"/>
        <v/>
      </c>
      <c r="N2914" t="str">
        <f t="shared" si="238"/>
        <v/>
      </c>
      <c r="O2914" t="str">
        <f t="shared" si="238"/>
        <v/>
      </c>
      <c r="P2914" t="str">
        <f t="shared" si="238"/>
        <v/>
      </c>
      <c r="T2914" t="str">
        <f t="shared" si="241"/>
        <v/>
      </c>
      <c r="V2914" t="str">
        <f t="shared" si="242"/>
        <v>MVS</v>
      </c>
      <c r="W2914" t="str">
        <f t="shared" si="242"/>
        <v>MVS,AES</v>
      </c>
      <c r="AB2914" t="s">
        <v>24</v>
      </c>
      <c r="AE2914" t="s">
        <v>65</v>
      </c>
      <c r="AH2914" t="s">
        <v>1038</v>
      </c>
      <c r="AI2914" t="s">
        <v>9</v>
      </c>
      <c r="AJ2914" t="s">
        <v>11</v>
      </c>
      <c r="AK2914" t="s">
        <v>1037</v>
      </c>
      <c r="AL2914" t="s">
        <v>1036</v>
      </c>
    </row>
    <row r="2915" spans="5:44" x14ac:dyDescent="0.25">
      <c r="I2915" t="str">
        <f t="shared" si="239"/>
        <v>garoubl</v>
      </c>
      <c r="J2915" t="str">
        <f t="shared" si="240"/>
        <v/>
      </c>
      <c r="L2915" t="str">
        <f t="shared" si="238"/>
        <v/>
      </c>
      <c r="M2915" t="str">
        <f t="shared" si="238"/>
        <v/>
      </c>
      <c r="N2915" t="str">
        <f t="shared" si="238"/>
        <v/>
      </c>
      <c r="O2915" t="str">
        <f t="shared" si="238"/>
        <v/>
      </c>
      <c r="P2915" t="str">
        <f t="shared" si="238"/>
        <v/>
      </c>
      <c r="T2915" t="str">
        <f t="shared" si="241"/>
        <v/>
      </c>
      <c r="V2915" t="str">
        <f t="shared" si="242"/>
        <v>MVS</v>
      </c>
      <c r="W2915" t="str">
        <f t="shared" si="242"/>
        <v>MVS,AES</v>
      </c>
      <c r="AH2915" t="s">
        <v>1035</v>
      </c>
      <c r="AI2915" t="s">
        <v>11</v>
      </c>
      <c r="AJ2915" t="s">
        <v>11</v>
      </c>
      <c r="AK2915" t="s">
        <v>1034</v>
      </c>
      <c r="AL2915" t="s">
        <v>1033</v>
      </c>
    </row>
    <row r="2916" spans="5:44" x14ac:dyDescent="0.25">
      <c r="I2916" t="str">
        <f t="shared" si="239"/>
        <v>garoubl</v>
      </c>
      <c r="J2916" t="str">
        <f t="shared" si="240"/>
        <v/>
      </c>
      <c r="L2916" t="str">
        <f t="shared" si="238"/>
        <v/>
      </c>
      <c r="M2916" t="str">
        <f t="shared" si="238"/>
        <v/>
      </c>
      <c r="N2916" t="str">
        <f t="shared" si="238"/>
        <v/>
      </c>
      <c r="O2916" t="str">
        <f t="shared" si="238"/>
        <v/>
      </c>
      <c r="P2916" t="str">
        <f t="shared" si="238"/>
        <v/>
      </c>
      <c r="T2916" t="str">
        <f t="shared" si="241"/>
        <v/>
      </c>
      <c r="V2916" t="str">
        <f t="shared" si="242"/>
        <v>MVS</v>
      </c>
      <c r="W2916" t="str">
        <f t="shared" si="242"/>
        <v>MVS,AES</v>
      </c>
      <c r="AH2916" t="s">
        <v>1032</v>
      </c>
      <c r="AI2916" t="s">
        <v>57</v>
      </c>
      <c r="AJ2916" t="s">
        <v>11</v>
      </c>
      <c r="AK2916" t="s">
        <v>1031</v>
      </c>
      <c r="AL2916" t="s">
        <v>1030</v>
      </c>
    </row>
    <row r="2917" spans="5:44" x14ac:dyDescent="0.25">
      <c r="I2917" t="str">
        <f t="shared" si="239"/>
        <v>garoubl</v>
      </c>
      <c r="J2917" t="str">
        <f t="shared" si="240"/>
        <v/>
      </c>
      <c r="L2917" t="str">
        <f t="shared" si="238"/>
        <v/>
      </c>
      <c r="M2917" t="str">
        <f t="shared" si="238"/>
        <v/>
      </c>
      <c r="N2917" t="str">
        <f t="shared" si="238"/>
        <v/>
      </c>
      <c r="O2917" t="str">
        <f t="shared" si="238"/>
        <v/>
      </c>
      <c r="P2917" t="str">
        <f t="shared" si="238"/>
        <v/>
      </c>
      <c r="T2917" t="str">
        <f t="shared" si="241"/>
        <v/>
      </c>
      <c r="V2917" t="str">
        <f t="shared" si="242"/>
        <v>MVS</v>
      </c>
      <c r="W2917" t="str">
        <f t="shared" si="242"/>
        <v>MVS,AES</v>
      </c>
      <c r="AH2917" t="s">
        <v>1029</v>
      </c>
      <c r="AI2917" t="s">
        <v>250</v>
      </c>
      <c r="AJ2917" t="s">
        <v>11</v>
      </c>
      <c r="AK2917" t="s">
        <v>1028</v>
      </c>
      <c r="AL2917" t="s">
        <v>1027</v>
      </c>
    </row>
    <row r="2918" spans="5:44" x14ac:dyDescent="0.25">
      <c r="I2918" t="str">
        <f t="shared" si="239"/>
        <v>garoubl</v>
      </c>
      <c r="J2918" t="str">
        <f t="shared" si="240"/>
        <v/>
      </c>
      <c r="L2918" t="str">
        <f t="shared" si="238"/>
        <v/>
      </c>
      <c r="M2918" t="str">
        <f t="shared" si="238"/>
        <v/>
      </c>
      <c r="N2918" t="str">
        <f t="shared" si="238"/>
        <v/>
      </c>
      <c r="O2918" t="str">
        <f t="shared" si="238"/>
        <v/>
      </c>
      <c r="P2918" t="str">
        <f t="shared" si="238"/>
        <v/>
      </c>
      <c r="T2918" t="str">
        <f t="shared" si="241"/>
        <v/>
      </c>
      <c r="V2918" t="str">
        <f t="shared" si="242"/>
        <v>MVS</v>
      </c>
      <c r="W2918" t="str">
        <f t="shared" si="242"/>
        <v>MVS,AES</v>
      </c>
      <c r="AB2918" t="s">
        <v>12</v>
      </c>
      <c r="AE2918" t="s">
        <v>175</v>
      </c>
      <c r="AG2918" t="s">
        <v>6</v>
      </c>
      <c r="AH2918" t="s">
        <v>1026</v>
      </c>
      <c r="AI2918" t="s">
        <v>246</v>
      </c>
      <c r="AJ2918" t="s">
        <v>65</v>
      </c>
      <c r="AK2918" t="s">
        <v>1025</v>
      </c>
      <c r="AL2918" t="s">
        <v>1024</v>
      </c>
    </row>
    <row r="2919" spans="5:44" x14ac:dyDescent="0.25">
      <c r="I2919" t="str">
        <f t="shared" si="239"/>
        <v>garoubl</v>
      </c>
      <c r="J2919" t="str">
        <f t="shared" si="240"/>
        <v/>
      </c>
      <c r="L2919" t="str">
        <f t="shared" si="238"/>
        <v/>
      </c>
      <c r="M2919" t="str">
        <f t="shared" si="238"/>
        <v/>
      </c>
      <c r="N2919" t="str">
        <f t="shared" si="238"/>
        <v/>
      </c>
      <c r="O2919" t="str">
        <f t="shared" si="238"/>
        <v/>
      </c>
      <c r="P2919" t="str">
        <f t="shared" si="238"/>
        <v/>
      </c>
      <c r="T2919" t="str">
        <f t="shared" si="241"/>
        <v/>
      </c>
      <c r="V2919" t="str">
        <f t="shared" si="242"/>
        <v>MVS</v>
      </c>
      <c r="W2919" t="str">
        <f t="shared" si="242"/>
        <v>MVS,AES</v>
      </c>
      <c r="AG2919" t="s">
        <v>6</v>
      </c>
      <c r="AH2919" t="s">
        <v>1023</v>
      </c>
      <c r="AI2919" t="s">
        <v>242</v>
      </c>
      <c r="AJ2919" t="s">
        <v>65</v>
      </c>
      <c r="AK2919" t="s">
        <v>1022</v>
      </c>
      <c r="AL2919" t="s">
        <v>1021</v>
      </c>
    </row>
    <row r="2920" spans="5:44" x14ac:dyDescent="0.25">
      <c r="I2920" t="str">
        <f t="shared" si="239"/>
        <v>garoubl</v>
      </c>
      <c r="J2920" t="str">
        <f t="shared" si="240"/>
        <v/>
      </c>
      <c r="L2920" t="str">
        <f t="shared" si="238"/>
        <v/>
      </c>
      <c r="M2920" t="str">
        <f t="shared" si="238"/>
        <v/>
      </c>
      <c r="N2920" t="str">
        <f t="shared" si="238"/>
        <v/>
      </c>
      <c r="O2920" t="str">
        <f t="shared" si="238"/>
        <v/>
      </c>
      <c r="P2920" t="str">
        <f t="shared" si="238"/>
        <v/>
      </c>
      <c r="T2920" t="str">
        <f t="shared" si="241"/>
        <v/>
      </c>
      <c r="V2920" t="str">
        <f t="shared" si="242"/>
        <v>MVS</v>
      </c>
      <c r="W2920" t="str">
        <f t="shared" si="242"/>
        <v>MVS,AES</v>
      </c>
      <c r="AG2920" t="s">
        <v>6</v>
      </c>
      <c r="AH2920" t="s">
        <v>1020</v>
      </c>
      <c r="AI2920" t="s">
        <v>160</v>
      </c>
      <c r="AJ2920" t="s">
        <v>65</v>
      </c>
      <c r="AK2920" t="s">
        <v>1019</v>
      </c>
      <c r="AL2920" t="s">
        <v>1018</v>
      </c>
    </row>
    <row r="2921" spans="5:44" x14ac:dyDescent="0.25">
      <c r="I2921" t="str">
        <f t="shared" si="239"/>
        <v>garoubl</v>
      </c>
      <c r="J2921" t="str">
        <f t="shared" si="240"/>
        <v/>
      </c>
      <c r="L2921" t="str">
        <f t="shared" si="238"/>
        <v/>
      </c>
      <c r="M2921" t="str">
        <f t="shared" si="238"/>
        <v/>
      </c>
      <c r="N2921" t="str">
        <f t="shared" si="238"/>
        <v/>
      </c>
      <c r="O2921" t="str">
        <f t="shared" si="238"/>
        <v/>
      </c>
      <c r="P2921" t="str">
        <f t="shared" si="238"/>
        <v/>
      </c>
      <c r="T2921" t="str">
        <f t="shared" si="241"/>
        <v/>
      </c>
      <c r="V2921" t="str">
        <f t="shared" si="242"/>
        <v>MVS</v>
      </c>
      <c r="W2921" t="str">
        <f t="shared" si="242"/>
        <v>MVS,AES</v>
      </c>
      <c r="AG2921" t="s">
        <v>6</v>
      </c>
      <c r="AH2921" t="s">
        <v>1017</v>
      </c>
      <c r="AI2921" t="s">
        <v>156</v>
      </c>
      <c r="AJ2921" t="s">
        <v>65</v>
      </c>
      <c r="AK2921" t="s">
        <v>1016</v>
      </c>
      <c r="AL2921" t="s">
        <v>1015</v>
      </c>
    </row>
    <row r="2922" spans="5:44" x14ac:dyDescent="0.25">
      <c r="E2922" t="s">
        <v>1014</v>
      </c>
      <c r="F2922" t="s">
        <v>1013</v>
      </c>
      <c r="G2922" t="s">
        <v>113</v>
      </c>
      <c r="H2922" t="s">
        <v>194</v>
      </c>
      <c r="I2922" t="str">
        <f t="shared" si="239"/>
        <v>mslug3b6</v>
      </c>
      <c r="J2922" t="str">
        <f t="shared" si="240"/>
        <v>mslug3b6compat_note</v>
      </c>
      <c r="K2922" t="s">
        <v>111</v>
      </c>
      <c r="L2922" t="str">
        <f t="shared" ref="L2922:P2972" si="243">IFERROR(VLOOKUP($I2922&amp;L$1,$J:$Q,8,0),"")</f>
        <v/>
      </c>
      <c r="M2922" t="str">
        <f t="shared" si="243"/>
        <v/>
      </c>
      <c r="N2922" t="str">
        <f t="shared" si="243"/>
        <v/>
      </c>
      <c r="O2922" t="str">
        <f t="shared" si="243"/>
        <v>AES menus have incorrect graphics</v>
      </c>
      <c r="P2922" t="str">
        <f t="shared" si="243"/>
        <v/>
      </c>
      <c r="Q2922" t="s">
        <v>1012</v>
      </c>
      <c r="S2922" t="s">
        <v>46</v>
      </c>
      <c r="T2922" t="str">
        <f t="shared" si="241"/>
        <v>mslug3b6release</v>
      </c>
      <c r="U2922" t="s">
        <v>106</v>
      </c>
      <c r="V2922" t="str">
        <f t="shared" si="242"/>
        <v>MVS</v>
      </c>
      <c r="W2922" t="str">
        <f t="shared" si="242"/>
        <v>MVS</v>
      </c>
      <c r="Y2922" t="s">
        <v>45</v>
      </c>
      <c r="Z2922" t="s">
        <v>44</v>
      </c>
      <c r="AB2922" t="s">
        <v>43</v>
      </c>
      <c r="AC2922" t="s">
        <v>42</v>
      </c>
      <c r="AD2922" t="s">
        <v>41</v>
      </c>
      <c r="AE2922" t="s">
        <v>23</v>
      </c>
      <c r="AG2922" t="s">
        <v>40</v>
      </c>
      <c r="AH2922" t="s">
        <v>1011</v>
      </c>
      <c r="AI2922" t="s">
        <v>9</v>
      </c>
      <c r="AJ2922" t="s">
        <v>3</v>
      </c>
      <c r="AK2922" t="s">
        <v>1010</v>
      </c>
      <c r="AL2922" t="s">
        <v>1009</v>
      </c>
      <c r="AP2922" t="s">
        <v>138</v>
      </c>
      <c r="AQ2922" t="s">
        <v>1008</v>
      </c>
      <c r="AR2922" t="s">
        <v>1007</v>
      </c>
    </row>
    <row r="2923" spans="5:44" x14ac:dyDescent="0.25">
      <c r="I2923" t="str">
        <f t="shared" si="239"/>
        <v>mslug3b6</v>
      </c>
      <c r="J2923" t="str">
        <f t="shared" si="240"/>
        <v/>
      </c>
      <c r="L2923" t="str">
        <f t="shared" si="243"/>
        <v/>
      </c>
      <c r="M2923" t="str">
        <f t="shared" si="243"/>
        <v/>
      </c>
      <c r="N2923" t="str">
        <f t="shared" si="243"/>
        <v/>
      </c>
      <c r="O2923" t="str">
        <f t="shared" si="243"/>
        <v>AES menus have incorrect graphics</v>
      </c>
      <c r="P2923" t="str">
        <f t="shared" si="243"/>
        <v/>
      </c>
      <c r="S2923" t="s">
        <v>36</v>
      </c>
      <c r="T2923" t="str">
        <f t="shared" si="241"/>
        <v>mslug3b6compatibility</v>
      </c>
      <c r="U2923" t="s">
        <v>106</v>
      </c>
      <c r="V2923" t="str">
        <f t="shared" si="242"/>
        <v>MVS</v>
      </c>
      <c r="W2923" t="str">
        <f t="shared" si="242"/>
        <v>MVS</v>
      </c>
      <c r="AG2923" t="s">
        <v>40</v>
      </c>
      <c r="AH2923" t="s">
        <v>1006</v>
      </c>
      <c r="AI2923" t="s">
        <v>15</v>
      </c>
      <c r="AJ2923" t="s">
        <v>11</v>
      </c>
      <c r="AK2923" t="s">
        <v>1005</v>
      </c>
      <c r="AL2923" t="s">
        <v>1004</v>
      </c>
    </row>
    <row r="2924" spans="5:44" x14ac:dyDescent="0.25">
      <c r="I2924" t="str">
        <f t="shared" si="239"/>
        <v>mslug3b6</v>
      </c>
      <c r="J2924" t="str">
        <f t="shared" si="240"/>
        <v/>
      </c>
      <c r="L2924" t="str">
        <f t="shared" si="243"/>
        <v/>
      </c>
      <c r="M2924" t="str">
        <f t="shared" si="243"/>
        <v/>
      </c>
      <c r="N2924" t="str">
        <f t="shared" si="243"/>
        <v/>
      </c>
      <c r="O2924" t="str">
        <f t="shared" si="243"/>
        <v>AES menus have incorrect graphics</v>
      </c>
      <c r="P2924" t="str">
        <f t="shared" si="243"/>
        <v/>
      </c>
      <c r="T2924" t="str">
        <f t="shared" si="241"/>
        <v/>
      </c>
      <c r="V2924" t="str">
        <f t="shared" si="242"/>
        <v>MVS</v>
      </c>
      <c r="W2924" t="str">
        <f t="shared" si="242"/>
        <v>MVS</v>
      </c>
      <c r="AB2924" t="s">
        <v>34</v>
      </c>
      <c r="AE2924" t="s">
        <v>33</v>
      </c>
      <c r="AH2924" t="s">
        <v>1003</v>
      </c>
      <c r="AI2924" t="s">
        <v>9</v>
      </c>
      <c r="AJ2924" t="s">
        <v>27</v>
      </c>
      <c r="AK2924" t="s">
        <v>1002</v>
      </c>
      <c r="AL2924" t="s">
        <v>1001</v>
      </c>
    </row>
    <row r="2925" spans="5:44" x14ac:dyDescent="0.25">
      <c r="I2925" t="str">
        <f t="shared" si="239"/>
        <v>mslug3b6</v>
      </c>
      <c r="J2925" t="str">
        <f t="shared" si="240"/>
        <v/>
      </c>
      <c r="L2925" t="str">
        <f t="shared" si="243"/>
        <v/>
      </c>
      <c r="M2925" t="str">
        <f t="shared" si="243"/>
        <v/>
      </c>
      <c r="N2925" t="str">
        <f t="shared" si="243"/>
        <v/>
      </c>
      <c r="O2925" t="str">
        <f t="shared" si="243"/>
        <v>AES menus have incorrect graphics</v>
      </c>
      <c r="P2925" t="str">
        <f t="shared" si="243"/>
        <v/>
      </c>
      <c r="T2925" t="str">
        <f t="shared" si="241"/>
        <v/>
      </c>
      <c r="V2925" t="str">
        <f t="shared" si="242"/>
        <v>MVS</v>
      </c>
      <c r="W2925" t="str">
        <f t="shared" si="242"/>
        <v>MVS</v>
      </c>
      <c r="AB2925" t="s">
        <v>29</v>
      </c>
      <c r="AE2925" t="s">
        <v>92</v>
      </c>
      <c r="AH2925" t="s">
        <v>1000</v>
      </c>
      <c r="AI2925" t="s">
        <v>9</v>
      </c>
      <c r="AJ2925" t="s">
        <v>92</v>
      </c>
      <c r="AK2925" t="s">
        <v>999</v>
      </c>
      <c r="AL2925" t="s">
        <v>998</v>
      </c>
    </row>
    <row r="2926" spans="5:44" x14ac:dyDescent="0.25">
      <c r="I2926" t="str">
        <f t="shared" si="239"/>
        <v>mslug3b6</v>
      </c>
      <c r="J2926" t="str">
        <f t="shared" si="240"/>
        <v/>
      </c>
      <c r="L2926" t="str">
        <f t="shared" si="243"/>
        <v/>
      </c>
      <c r="M2926" t="str">
        <f t="shared" si="243"/>
        <v/>
      </c>
      <c r="N2926" t="str">
        <f t="shared" si="243"/>
        <v/>
      </c>
      <c r="O2926" t="str">
        <f t="shared" si="243"/>
        <v>AES menus have incorrect graphics</v>
      </c>
      <c r="P2926" t="str">
        <f t="shared" si="243"/>
        <v/>
      </c>
      <c r="T2926" t="str">
        <f t="shared" si="241"/>
        <v/>
      </c>
      <c r="V2926" t="str">
        <f t="shared" si="242"/>
        <v>MVS</v>
      </c>
      <c r="W2926" t="str">
        <f t="shared" si="242"/>
        <v>MVS</v>
      </c>
      <c r="AB2926" t="s">
        <v>24</v>
      </c>
      <c r="AE2926" t="s">
        <v>65</v>
      </c>
      <c r="AH2926" t="s">
        <v>997</v>
      </c>
      <c r="AI2926" t="s">
        <v>9</v>
      </c>
      <c r="AJ2926" t="s">
        <v>11</v>
      </c>
      <c r="AK2926" t="s">
        <v>996</v>
      </c>
      <c r="AL2926" t="s">
        <v>995</v>
      </c>
    </row>
    <row r="2927" spans="5:44" x14ac:dyDescent="0.25">
      <c r="I2927" t="str">
        <f t="shared" si="239"/>
        <v>mslug3b6</v>
      </c>
      <c r="J2927" t="str">
        <f t="shared" si="240"/>
        <v/>
      </c>
      <c r="L2927" t="str">
        <f t="shared" si="243"/>
        <v/>
      </c>
      <c r="M2927" t="str">
        <f t="shared" si="243"/>
        <v/>
      </c>
      <c r="N2927" t="str">
        <f t="shared" si="243"/>
        <v/>
      </c>
      <c r="O2927" t="str">
        <f t="shared" si="243"/>
        <v>AES menus have incorrect graphics</v>
      </c>
      <c r="P2927" t="str">
        <f t="shared" si="243"/>
        <v/>
      </c>
      <c r="T2927" t="str">
        <f t="shared" si="241"/>
        <v/>
      </c>
      <c r="V2927" t="str">
        <f t="shared" si="242"/>
        <v>MVS</v>
      </c>
      <c r="W2927" t="str">
        <f t="shared" si="242"/>
        <v>MVS</v>
      </c>
      <c r="AH2927" t="s">
        <v>994</v>
      </c>
      <c r="AI2927" t="s">
        <v>11</v>
      </c>
      <c r="AJ2927" t="s">
        <v>11</v>
      </c>
      <c r="AK2927" t="s">
        <v>993</v>
      </c>
      <c r="AL2927" t="s">
        <v>992</v>
      </c>
    </row>
    <row r="2928" spans="5:44" x14ac:dyDescent="0.25">
      <c r="I2928" t="str">
        <f t="shared" si="239"/>
        <v>mslug3b6</v>
      </c>
      <c r="J2928" t="str">
        <f t="shared" si="240"/>
        <v/>
      </c>
      <c r="L2928" t="str">
        <f t="shared" si="243"/>
        <v/>
      </c>
      <c r="M2928" t="str">
        <f t="shared" si="243"/>
        <v/>
      </c>
      <c r="N2928" t="str">
        <f t="shared" si="243"/>
        <v/>
      </c>
      <c r="O2928" t="str">
        <f t="shared" si="243"/>
        <v>AES menus have incorrect graphics</v>
      </c>
      <c r="P2928" t="str">
        <f t="shared" si="243"/>
        <v/>
      </c>
      <c r="T2928" t="str">
        <f t="shared" si="241"/>
        <v/>
      </c>
      <c r="V2928" t="str">
        <f t="shared" si="242"/>
        <v>MVS</v>
      </c>
      <c r="W2928" t="str">
        <f t="shared" si="242"/>
        <v>MVS</v>
      </c>
      <c r="AH2928" t="s">
        <v>991</v>
      </c>
      <c r="AI2928" t="s">
        <v>57</v>
      </c>
      <c r="AJ2928" t="s">
        <v>11</v>
      </c>
      <c r="AK2928" t="s">
        <v>990</v>
      </c>
      <c r="AL2928" t="s">
        <v>989</v>
      </c>
    </row>
    <row r="2929" spans="5:44" x14ac:dyDescent="0.25">
      <c r="I2929" t="str">
        <f t="shared" si="239"/>
        <v>mslug3b6</v>
      </c>
      <c r="J2929" t="str">
        <f t="shared" si="240"/>
        <v/>
      </c>
      <c r="L2929" t="str">
        <f t="shared" si="243"/>
        <v/>
      </c>
      <c r="M2929" t="str">
        <f t="shared" si="243"/>
        <v/>
      </c>
      <c r="N2929" t="str">
        <f t="shared" si="243"/>
        <v/>
      </c>
      <c r="O2929" t="str">
        <f t="shared" si="243"/>
        <v>AES menus have incorrect graphics</v>
      </c>
      <c r="P2929" t="str">
        <f t="shared" si="243"/>
        <v/>
      </c>
      <c r="T2929" t="str">
        <f t="shared" si="241"/>
        <v/>
      </c>
      <c r="V2929" t="str">
        <f t="shared" si="242"/>
        <v>MVS</v>
      </c>
      <c r="W2929" t="str">
        <f t="shared" si="242"/>
        <v>MVS</v>
      </c>
      <c r="AH2929" t="s">
        <v>988</v>
      </c>
      <c r="AI2929" t="s">
        <v>250</v>
      </c>
      <c r="AJ2929" t="s">
        <v>11</v>
      </c>
      <c r="AK2929" t="s">
        <v>987</v>
      </c>
      <c r="AL2929" t="s">
        <v>986</v>
      </c>
    </row>
    <row r="2930" spans="5:44" x14ac:dyDescent="0.25">
      <c r="I2930" t="str">
        <f t="shared" si="239"/>
        <v>mslug3b6</v>
      </c>
      <c r="J2930" t="str">
        <f t="shared" si="240"/>
        <v/>
      </c>
      <c r="L2930" t="str">
        <f t="shared" si="243"/>
        <v/>
      </c>
      <c r="M2930" t="str">
        <f t="shared" si="243"/>
        <v/>
      </c>
      <c r="N2930" t="str">
        <f t="shared" si="243"/>
        <v/>
      </c>
      <c r="O2930" t="str">
        <f t="shared" si="243"/>
        <v>AES menus have incorrect graphics</v>
      </c>
      <c r="P2930" t="str">
        <f t="shared" si="243"/>
        <v/>
      </c>
      <c r="T2930" t="str">
        <f t="shared" si="241"/>
        <v/>
      </c>
      <c r="V2930" t="str">
        <f t="shared" si="242"/>
        <v>MVS</v>
      </c>
      <c r="W2930" t="str">
        <f t="shared" si="242"/>
        <v>MVS</v>
      </c>
      <c r="AB2930" t="s">
        <v>12</v>
      </c>
      <c r="AE2930" t="s">
        <v>175</v>
      </c>
      <c r="AG2930" t="s">
        <v>6</v>
      </c>
      <c r="AH2930" t="s">
        <v>985</v>
      </c>
      <c r="AI2930" t="s">
        <v>9</v>
      </c>
      <c r="AJ2930" t="s">
        <v>57</v>
      </c>
      <c r="AK2930" t="s">
        <v>984</v>
      </c>
      <c r="AL2930" t="s">
        <v>983</v>
      </c>
    </row>
    <row r="2931" spans="5:44" x14ac:dyDescent="0.25">
      <c r="I2931" t="str">
        <f t="shared" si="239"/>
        <v>mslug3b6</v>
      </c>
      <c r="J2931" t="str">
        <f t="shared" si="240"/>
        <v/>
      </c>
      <c r="L2931" t="str">
        <f t="shared" si="243"/>
        <v/>
      </c>
      <c r="M2931" t="str">
        <f t="shared" si="243"/>
        <v/>
      </c>
      <c r="N2931" t="str">
        <f t="shared" si="243"/>
        <v/>
      </c>
      <c r="O2931" t="str">
        <f t="shared" si="243"/>
        <v>AES menus have incorrect graphics</v>
      </c>
      <c r="P2931" t="str">
        <f t="shared" si="243"/>
        <v/>
      </c>
      <c r="T2931" t="str">
        <f t="shared" si="241"/>
        <v/>
      </c>
      <c r="V2931" t="str">
        <f t="shared" si="242"/>
        <v>MVS</v>
      </c>
      <c r="W2931" t="str">
        <f t="shared" si="242"/>
        <v>MVS</v>
      </c>
      <c r="AG2931" t="s">
        <v>6</v>
      </c>
      <c r="AH2931" t="s">
        <v>982</v>
      </c>
      <c r="AI2931" t="s">
        <v>4</v>
      </c>
      <c r="AJ2931" t="s">
        <v>57</v>
      </c>
      <c r="AK2931" t="s">
        <v>981</v>
      </c>
      <c r="AL2931" t="s">
        <v>980</v>
      </c>
    </row>
    <row r="2932" spans="5:44" x14ac:dyDescent="0.25">
      <c r="I2932" t="str">
        <f t="shared" si="239"/>
        <v>mslug3b6</v>
      </c>
      <c r="J2932" t="str">
        <f t="shared" si="240"/>
        <v/>
      </c>
      <c r="L2932" t="str">
        <f t="shared" si="243"/>
        <v/>
      </c>
      <c r="M2932" t="str">
        <f t="shared" si="243"/>
        <v/>
      </c>
      <c r="N2932" t="str">
        <f t="shared" si="243"/>
        <v/>
      </c>
      <c r="O2932" t="str">
        <f t="shared" si="243"/>
        <v>AES menus have incorrect graphics</v>
      </c>
      <c r="P2932" t="str">
        <f t="shared" si="243"/>
        <v/>
      </c>
      <c r="T2932" t="str">
        <f t="shared" si="241"/>
        <v/>
      </c>
      <c r="V2932" t="str">
        <f t="shared" si="242"/>
        <v>MVS</v>
      </c>
      <c r="W2932" t="str">
        <f t="shared" si="242"/>
        <v>MVS</v>
      </c>
      <c r="AG2932" t="s">
        <v>6</v>
      </c>
      <c r="AH2932" t="s">
        <v>979</v>
      </c>
      <c r="AI2932" t="s">
        <v>65</v>
      </c>
      <c r="AJ2932" t="s">
        <v>57</v>
      </c>
      <c r="AK2932" t="s">
        <v>978</v>
      </c>
      <c r="AL2932" t="s">
        <v>977</v>
      </c>
    </row>
    <row r="2933" spans="5:44" x14ac:dyDescent="0.25">
      <c r="I2933" t="str">
        <f t="shared" si="239"/>
        <v>mslug3b6</v>
      </c>
      <c r="J2933" t="str">
        <f t="shared" si="240"/>
        <v/>
      </c>
      <c r="L2933" t="str">
        <f t="shared" si="243"/>
        <v/>
      </c>
      <c r="M2933" t="str">
        <f t="shared" si="243"/>
        <v/>
      </c>
      <c r="N2933" t="str">
        <f t="shared" si="243"/>
        <v/>
      </c>
      <c r="O2933" t="str">
        <f t="shared" si="243"/>
        <v>AES menus have incorrect graphics</v>
      </c>
      <c r="P2933" t="str">
        <f t="shared" si="243"/>
        <v/>
      </c>
      <c r="T2933" t="str">
        <f t="shared" si="241"/>
        <v/>
      </c>
      <c r="V2933" t="str">
        <f t="shared" si="242"/>
        <v>MVS</v>
      </c>
      <c r="W2933" t="str">
        <f t="shared" si="242"/>
        <v>MVS</v>
      </c>
      <c r="AG2933" t="s">
        <v>6</v>
      </c>
      <c r="AH2933" t="s">
        <v>976</v>
      </c>
      <c r="AI2933" t="s">
        <v>164</v>
      </c>
      <c r="AJ2933" t="s">
        <v>57</v>
      </c>
      <c r="AK2933" t="s">
        <v>975</v>
      </c>
      <c r="AL2933" t="s">
        <v>974</v>
      </c>
    </row>
    <row r="2934" spans="5:44" x14ac:dyDescent="0.25">
      <c r="I2934" t="str">
        <f t="shared" si="239"/>
        <v>mslug3b6</v>
      </c>
      <c r="J2934" t="str">
        <f t="shared" si="240"/>
        <v/>
      </c>
      <c r="L2934" t="str">
        <f t="shared" si="243"/>
        <v/>
      </c>
      <c r="M2934" t="str">
        <f t="shared" si="243"/>
        <v/>
      </c>
      <c r="N2934" t="str">
        <f t="shared" si="243"/>
        <v/>
      </c>
      <c r="O2934" t="str">
        <f t="shared" si="243"/>
        <v>AES menus have incorrect graphics</v>
      </c>
      <c r="P2934" t="str">
        <f t="shared" si="243"/>
        <v/>
      </c>
      <c r="T2934" t="str">
        <f t="shared" si="241"/>
        <v/>
      </c>
      <c r="V2934" t="str">
        <f t="shared" si="242"/>
        <v>MVS</v>
      </c>
      <c r="W2934" t="str">
        <f t="shared" si="242"/>
        <v>MVS</v>
      </c>
      <c r="AG2934" t="s">
        <v>6</v>
      </c>
      <c r="AH2934" t="s">
        <v>973</v>
      </c>
      <c r="AI2934" t="s">
        <v>160</v>
      </c>
      <c r="AJ2934" t="s">
        <v>57</v>
      </c>
      <c r="AK2934" t="s">
        <v>972</v>
      </c>
      <c r="AL2934" t="s">
        <v>971</v>
      </c>
    </row>
    <row r="2935" spans="5:44" x14ac:dyDescent="0.25">
      <c r="I2935" t="str">
        <f t="shared" si="239"/>
        <v>mslug3b6</v>
      </c>
      <c r="J2935" t="str">
        <f t="shared" si="240"/>
        <v/>
      </c>
      <c r="L2935" t="str">
        <f t="shared" si="243"/>
        <v/>
      </c>
      <c r="M2935" t="str">
        <f t="shared" si="243"/>
        <v/>
      </c>
      <c r="N2935" t="str">
        <f t="shared" si="243"/>
        <v/>
      </c>
      <c r="O2935" t="str">
        <f t="shared" si="243"/>
        <v>AES menus have incorrect graphics</v>
      </c>
      <c r="P2935" t="str">
        <f t="shared" si="243"/>
        <v/>
      </c>
      <c r="T2935" t="str">
        <f t="shared" si="241"/>
        <v/>
      </c>
      <c r="V2935" t="str">
        <f t="shared" si="242"/>
        <v>MVS</v>
      </c>
      <c r="W2935" t="str">
        <f t="shared" si="242"/>
        <v>MVS</v>
      </c>
      <c r="AG2935" t="s">
        <v>6</v>
      </c>
      <c r="AH2935" t="s">
        <v>970</v>
      </c>
      <c r="AI2935" t="s">
        <v>156</v>
      </c>
      <c r="AJ2935" t="s">
        <v>57</v>
      </c>
      <c r="AK2935" t="s">
        <v>969</v>
      </c>
      <c r="AL2935" t="s">
        <v>968</v>
      </c>
    </row>
    <row r="2936" spans="5:44" x14ac:dyDescent="0.25">
      <c r="I2936" t="str">
        <f t="shared" si="239"/>
        <v>mslug3b6</v>
      </c>
      <c r="J2936" t="str">
        <f t="shared" si="240"/>
        <v/>
      </c>
      <c r="L2936" t="str">
        <f t="shared" si="243"/>
        <v/>
      </c>
      <c r="M2936" t="str">
        <f t="shared" si="243"/>
        <v/>
      </c>
      <c r="N2936" t="str">
        <f t="shared" si="243"/>
        <v/>
      </c>
      <c r="O2936" t="str">
        <f t="shared" si="243"/>
        <v>AES menus have incorrect graphics</v>
      </c>
      <c r="P2936" t="str">
        <f t="shared" si="243"/>
        <v/>
      </c>
      <c r="T2936" t="str">
        <f t="shared" si="241"/>
        <v/>
      </c>
      <c r="V2936" t="str">
        <f t="shared" si="242"/>
        <v>MVS</v>
      </c>
      <c r="W2936" t="str">
        <f t="shared" si="242"/>
        <v>MVS</v>
      </c>
      <c r="AG2936" t="s">
        <v>6</v>
      </c>
      <c r="AH2936" t="s">
        <v>967</v>
      </c>
      <c r="AI2936" t="s">
        <v>152</v>
      </c>
      <c r="AJ2936" t="s">
        <v>57</v>
      </c>
      <c r="AK2936" t="s">
        <v>966</v>
      </c>
      <c r="AL2936" t="s">
        <v>965</v>
      </c>
    </row>
    <row r="2937" spans="5:44" x14ac:dyDescent="0.25">
      <c r="I2937" t="str">
        <f t="shared" si="239"/>
        <v>mslug3b6</v>
      </c>
      <c r="J2937" t="str">
        <f t="shared" si="240"/>
        <v/>
      </c>
      <c r="L2937" t="str">
        <f t="shared" si="243"/>
        <v/>
      </c>
      <c r="M2937" t="str">
        <f t="shared" si="243"/>
        <v/>
      </c>
      <c r="N2937" t="str">
        <f t="shared" si="243"/>
        <v/>
      </c>
      <c r="O2937" t="str">
        <f t="shared" si="243"/>
        <v>AES menus have incorrect graphics</v>
      </c>
      <c r="P2937" t="str">
        <f t="shared" si="243"/>
        <v/>
      </c>
      <c r="T2937" t="str">
        <f t="shared" si="241"/>
        <v/>
      </c>
      <c r="V2937" t="str">
        <f t="shared" si="242"/>
        <v>MVS</v>
      </c>
      <c r="W2937" t="str">
        <f t="shared" si="242"/>
        <v>MVS</v>
      </c>
      <c r="AG2937" t="s">
        <v>6</v>
      </c>
      <c r="AH2937" t="s">
        <v>964</v>
      </c>
      <c r="AI2937" t="s">
        <v>148</v>
      </c>
      <c r="AJ2937" t="s">
        <v>57</v>
      </c>
      <c r="AK2937" t="s">
        <v>963</v>
      </c>
      <c r="AL2937" t="s">
        <v>962</v>
      </c>
    </row>
    <row r="2938" spans="5:44" x14ac:dyDescent="0.25">
      <c r="E2938" t="s">
        <v>961</v>
      </c>
      <c r="F2938" t="s">
        <v>960</v>
      </c>
      <c r="G2938" t="s">
        <v>959</v>
      </c>
      <c r="H2938" t="s">
        <v>194</v>
      </c>
      <c r="I2938" t="str">
        <f t="shared" si="239"/>
        <v>nitdbl</v>
      </c>
      <c r="J2938" t="str">
        <f t="shared" si="240"/>
        <v/>
      </c>
      <c r="L2938" t="str">
        <f t="shared" si="243"/>
        <v/>
      </c>
      <c r="M2938" t="str">
        <f t="shared" si="243"/>
        <v/>
      </c>
      <c r="N2938" t="str">
        <f t="shared" si="243"/>
        <v/>
      </c>
      <c r="O2938" t="str">
        <f t="shared" si="243"/>
        <v/>
      </c>
      <c r="P2938" t="str">
        <f t="shared" si="243"/>
        <v/>
      </c>
      <c r="S2938" t="s">
        <v>46</v>
      </c>
      <c r="T2938" t="str">
        <f t="shared" si="241"/>
        <v>nitdblrelease</v>
      </c>
      <c r="U2938" t="s">
        <v>106</v>
      </c>
      <c r="V2938" t="str">
        <f t="shared" si="242"/>
        <v>MVS</v>
      </c>
      <c r="W2938" t="str">
        <f t="shared" si="242"/>
        <v>MVS,AES</v>
      </c>
      <c r="Y2938" t="s">
        <v>45</v>
      </c>
      <c r="Z2938" t="s">
        <v>44</v>
      </c>
      <c r="AB2938" t="s">
        <v>43</v>
      </c>
      <c r="AC2938" t="s">
        <v>42</v>
      </c>
      <c r="AD2938" t="s">
        <v>41</v>
      </c>
      <c r="AE2938" t="s">
        <v>15</v>
      </c>
      <c r="AG2938" t="s">
        <v>40</v>
      </c>
      <c r="AH2938" t="s">
        <v>958</v>
      </c>
      <c r="AI2938" t="s">
        <v>9</v>
      </c>
      <c r="AJ2938" t="s">
        <v>92</v>
      </c>
      <c r="AK2938" t="s">
        <v>957</v>
      </c>
      <c r="AL2938" t="s">
        <v>956</v>
      </c>
      <c r="AR2938" t="s">
        <v>955</v>
      </c>
    </row>
    <row r="2939" spans="5:44" x14ac:dyDescent="0.25">
      <c r="I2939" t="str">
        <f t="shared" si="239"/>
        <v>nitdbl</v>
      </c>
      <c r="J2939" t="str">
        <f t="shared" si="240"/>
        <v/>
      </c>
      <c r="L2939" t="str">
        <f t="shared" si="243"/>
        <v/>
      </c>
      <c r="M2939" t="str">
        <f t="shared" si="243"/>
        <v/>
      </c>
      <c r="N2939" t="str">
        <f t="shared" si="243"/>
        <v/>
      </c>
      <c r="O2939" t="str">
        <f t="shared" si="243"/>
        <v/>
      </c>
      <c r="P2939" t="str">
        <f t="shared" si="243"/>
        <v/>
      </c>
      <c r="S2939" t="s">
        <v>36</v>
      </c>
      <c r="T2939" t="str">
        <f t="shared" si="241"/>
        <v>nitdblcompatibility</v>
      </c>
      <c r="U2939" t="s">
        <v>218</v>
      </c>
      <c r="V2939" t="str">
        <f t="shared" si="242"/>
        <v>MVS</v>
      </c>
      <c r="W2939" t="str">
        <f t="shared" si="242"/>
        <v>MVS,AES</v>
      </c>
      <c r="AB2939" t="s">
        <v>34</v>
      </c>
      <c r="AE2939" t="s">
        <v>33</v>
      </c>
      <c r="AH2939" t="s">
        <v>954</v>
      </c>
      <c r="AI2939" t="s">
        <v>9</v>
      </c>
      <c r="AJ2939" t="s">
        <v>27</v>
      </c>
      <c r="AK2939" t="s">
        <v>953</v>
      </c>
      <c r="AL2939" t="s">
        <v>952</v>
      </c>
    </row>
    <row r="2940" spans="5:44" x14ac:dyDescent="0.25">
      <c r="I2940" t="str">
        <f t="shared" si="239"/>
        <v>nitdbl</v>
      </c>
      <c r="J2940" t="str">
        <f t="shared" si="240"/>
        <v/>
      </c>
      <c r="L2940" t="str">
        <f t="shared" si="243"/>
        <v/>
      </c>
      <c r="M2940" t="str">
        <f t="shared" si="243"/>
        <v/>
      </c>
      <c r="N2940" t="str">
        <f t="shared" si="243"/>
        <v/>
      </c>
      <c r="O2940" t="str">
        <f t="shared" si="243"/>
        <v/>
      </c>
      <c r="P2940" t="str">
        <f t="shared" si="243"/>
        <v/>
      </c>
      <c r="T2940" t="str">
        <f t="shared" si="241"/>
        <v/>
      </c>
      <c r="V2940" t="str">
        <f t="shared" si="242"/>
        <v>MVS</v>
      </c>
      <c r="W2940" t="str">
        <f t="shared" si="242"/>
        <v>MVS,AES</v>
      </c>
      <c r="AB2940" t="s">
        <v>29</v>
      </c>
      <c r="AE2940" t="s">
        <v>92</v>
      </c>
      <c r="AH2940" t="s">
        <v>951</v>
      </c>
      <c r="AI2940" t="s">
        <v>9</v>
      </c>
      <c r="AJ2940" t="s">
        <v>92</v>
      </c>
      <c r="AK2940" t="s">
        <v>950</v>
      </c>
      <c r="AL2940" t="s">
        <v>949</v>
      </c>
    </row>
    <row r="2941" spans="5:44" x14ac:dyDescent="0.25">
      <c r="I2941" t="str">
        <f t="shared" si="239"/>
        <v>nitdbl</v>
      </c>
      <c r="J2941" t="str">
        <f t="shared" si="240"/>
        <v/>
      </c>
      <c r="L2941" t="str">
        <f t="shared" si="243"/>
        <v/>
      </c>
      <c r="M2941" t="str">
        <f t="shared" si="243"/>
        <v/>
      </c>
      <c r="N2941" t="str">
        <f t="shared" si="243"/>
        <v/>
      </c>
      <c r="O2941" t="str">
        <f t="shared" si="243"/>
        <v/>
      </c>
      <c r="P2941" t="str">
        <f t="shared" si="243"/>
        <v/>
      </c>
      <c r="T2941" t="str">
        <f t="shared" si="241"/>
        <v/>
      </c>
      <c r="V2941" t="str">
        <f t="shared" si="242"/>
        <v>MVS</v>
      </c>
      <c r="W2941" t="str">
        <f t="shared" si="242"/>
        <v>MVS,AES</v>
      </c>
      <c r="AB2941" t="s">
        <v>24</v>
      </c>
      <c r="AE2941" t="s">
        <v>11</v>
      </c>
      <c r="AH2941" t="s">
        <v>948</v>
      </c>
      <c r="AI2941" t="s">
        <v>9</v>
      </c>
      <c r="AJ2941" t="s">
        <v>3</v>
      </c>
      <c r="AK2941" t="s">
        <v>947</v>
      </c>
      <c r="AL2941" t="s">
        <v>946</v>
      </c>
    </row>
    <row r="2942" spans="5:44" x14ac:dyDescent="0.25">
      <c r="I2942" t="str">
        <f t="shared" si="239"/>
        <v>nitdbl</v>
      </c>
      <c r="J2942" t="str">
        <f t="shared" si="240"/>
        <v/>
      </c>
      <c r="L2942" t="str">
        <f t="shared" si="243"/>
        <v/>
      </c>
      <c r="M2942" t="str">
        <f t="shared" si="243"/>
        <v/>
      </c>
      <c r="N2942" t="str">
        <f t="shared" si="243"/>
        <v/>
      </c>
      <c r="O2942" t="str">
        <f t="shared" si="243"/>
        <v/>
      </c>
      <c r="P2942" t="str">
        <f t="shared" si="243"/>
        <v/>
      </c>
      <c r="T2942" t="str">
        <f t="shared" si="241"/>
        <v/>
      </c>
      <c r="V2942" t="str">
        <f t="shared" si="242"/>
        <v>MVS</v>
      </c>
      <c r="W2942" t="str">
        <f t="shared" si="242"/>
        <v>MVS,AES</v>
      </c>
      <c r="AH2942" t="s">
        <v>945</v>
      </c>
      <c r="AI2942" t="s">
        <v>3</v>
      </c>
      <c r="AJ2942" t="s">
        <v>3</v>
      </c>
      <c r="AK2942" t="s">
        <v>944</v>
      </c>
      <c r="AL2942" t="s">
        <v>943</v>
      </c>
    </row>
    <row r="2943" spans="5:44" x14ac:dyDescent="0.25">
      <c r="I2943" t="str">
        <f t="shared" si="239"/>
        <v>nitdbl</v>
      </c>
      <c r="J2943" t="str">
        <f t="shared" si="240"/>
        <v/>
      </c>
      <c r="L2943" t="str">
        <f t="shared" si="243"/>
        <v/>
      </c>
      <c r="M2943" t="str">
        <f t="shared" si="243"/>
        <v/>
      </c>
      <c r="N2943" t="str">
        <f t="shared" si="243"/>
        <v/>
      </c>
      <c r="O2943" t="str">
        <f t="shared" si="243"/>
        <v/>
      </c>
      <c r="P2943" t="str">
        <f t="shared" si="243"/>
        <v/>
      </c>
      <c r="T2943" t="str">
        <f t="shared" si="241"/>
        <v/>
      </c>
      <c r="V2943" t="str">
        <f t="shared" si="242"/>
        <v>MVS</v>
      </c>
      <c r="W2943" t="str">
        <f t="shared" si="242"/>
        <v>MVS,AES</v>
      </c>
      <c r="AB2943" t="s">
        <v>12</v>
      </c>
      <c r="AE2943" t="s">
        <v>57</v>
      </c>
      <c r="AG2943" t="s">
        <v>6</v>
      </c>
      <c r="AH2943" t="s">
        <v>942</v>
      </c>
      <c r="AI2943" t="s">
        <v>9</v>
      </c>
      <c r="AJ2943" t="s">
        <v>3</v>
      </c>
      <c r="AK2943" t="s">
        <v>941</v>
      </c>
      <c r="AL2943" t="s">
        <v>940</v>
      </c>
    </row>
    <row r="2944" spans="5:44" x14ac:dyDescent="0.25">
      <c r="I2944" t="str">
        <f t="shared" si="239"/>
        <v>nitdbl</v>
      </c>
      <c r="J2944" t="str">
        <f t="shared" si="240"/>
        <v/>
      </c>
      <c r="L2944" t="str">
        <f t="shared" si="243"/>
        <v/>
      </c>
      <c r="M2944" t="str">
        <f t="shared" si="243"/>
        <v/>
      </c>
      <c r="N2944" t="str">
        <f t="shared" si="243"/>
        <v/>
      </c>
      <c r="O2944" t="str">
        <f t="shared" si="243"/>
        <v/>
      </c>
      <c r="P2944" t="str">
        <f t="shared" si="243"/>
        <v/>
      </c>
      <c r="T2944" t="str">
        <f t="shared" si="241"/>
        <v/>
      </c>
      <c r="V2944" t="str">
        <f t="shared" si="242"/>
        <v>MVS</v>
      </c>
      <c r="W2944" t="str">
        <f t="shared" si="242"/>
        <v>MVS,AES</v>
      </c>
      <c r="AG2944" t="s">
        <v>6</v>
      </c>
      <c r="AH2944" t="s">
        <v>939</v>
      </c>
      <c r="AI2944" t="s">
        <v>4</v>
      </c>
      <c r="AJ2944" t="s">
        <v>3</v>
      </c>
      <c r="AK2944" t="s">
        <v>938</v>
      </c>
      <c r="AL2944" t="s">
        <v>937</v>
      </c>
    </row>
    <row r="2945" spans="5:44" x14ac:dyDescent="0.25">
      <c r="I2945" t="str">
        <f t="shared" si="239"/>
        <v>nitdbl</v>
      </c>
      <c r="J2945" t="str">
        <f t="shared" si="240"/>
        <v/>
      </c>
      <c r="L2945" t="str">
        <f t="shared" si="243"/>
        <v/>
      </c>
      <c r="M2945" t="str">
        <f t="shared" si="243"/>
        <v/>
      </c>
      <c r="N2945" t="str">
        <f t="shared" si="243"/>
        <v/>
      </c>
      <c r="O2945" t="str">
        <f t="shared" si="243"/>
        <v/>
      </c>
      <c r="P2945" t="str">
        <f t="shared" si="243"/>
        <v/>
      </c>
      <c r="T2945" t="str">
        <f t="shared" si="241"/>
        <v/>
      </c>
      <c r="V2945" t="str">
        <f t="shared" si="242"/>
        <v>MVS</v>
      </c>
      <c r="W2945" t="str">
        <f t="shared" si="242"/>
        <v>MVS,AES</v>
      </c>
      <c r="AG2945" t="s">
        <v>6</v>
      </c>
      <c r="AH2945" t="s">
        <v>936</v>
      </c>
      <c r="AI2945" t="s">
        <v>11</v>
      </c>
      <c r="AJ2945" t="s">
        <v>3</v>
      </c>
      <c r="AK2945" t="s">
        <v>935</v>
      </c>
      <c r="AL2945" t="s">
        <v>934</v>
      </c>
    </row>
    <row r="2946" spans="5:44" x14ac:dyDescent="0.25">
      <c r="I2946" t="str">
        <f t="shared" si="239"/>
        <v>nitdbl</v>
      </c>
      <c r="J2946" t="str">
        <f t="shared" si="240"/>
        <v/>
      </c>
      <c r="L2946" t="str">
        <f t="shared" si="243"/>
        <v/>
      </c>
      <c r="M2946" t="str">
        <f t="shared" si="243"/>
        <v/>
      </c>
      <c r="N2946" t="str">
        <f t="shared" si="243"/>
        <v/>
      </c>
      <c r="O2946" t="str">
        <f t="shared" si="243"/>
        <v/>
      </c>
      <c r="P2946" t="str">
        <f t="shared" si="243"/>
        <v/>
      </c>
      <c r="T2946" t="str">
        <f t="shared" si="241"/>
        <v/>
      </c>
      <c r="V2946" t="str">
        <f t="shared" si="242"/>
        <v>MVS</v>
      </c>
      <c r="W2946" t="str">
        <f t="shared" si="242"/>
        <v>MVS,AES</v>
      </c>
      <c r="AG2946" t="s">
        <v>6</v>
      </c>
      <c r="AH2946" t="s">
        <v>933</v>
      </c>
      <c r="AI2946" t="s">
        <v>932</v>
      </c>
      <c r="AJ2946" t="s">
        <v>3</v>
      </c>
      <c r="AK2946" t="s">
        <v>931</v>
      </c>
      <c r="AL2946" t="s">
        <v>930</v>
      </c>
    </row>
    <row r="2947" spans="5:44" x14ac:dyDescent="0.25">
      <c r="E2947" t="s">
        <v>929</v>
      </c>
      <c r="F2947" t="s">
        <v>928</v>
      </c>
      <c r="G2947" t="s">
        <v>195</v>
      </c>
      <c r="H2947" t="s">
        <v>194</v>
      </c>
      <c r="I2947" t="str">
        <f t="shared" ref="I2947:I3010" si="244">IF(E2947="",I2946,E2947)</f>
        <v>cthd2003</v>
      </c>
      <c r="J2947" t="str">
        <f t="shared" ref="J2947:J3010" si="245">IF(K2947="","",I2947&amp;K2947)</f>
        <v/>
      </c>
      <c r="L2947" t="str">
        <f t="shared" si="243"/>
        <v/>
      </c>
      <c r="M2947" t="str">
        <f t="shared" si="243"/>
        <v/>
      </c>
      <c r="N2947" t="str">
        <f t="shared" si="243"/>
        <v/>
      </c>
      <c r="O2947" t="str">
        <f t="shared" si="243"/>
        <v/>
      </c>
      <c r="P2947" t="str">
        <f t="shared" si="243"/>
        <v/>
      </c>
      <c r="S2947" t="s">
        <v>46</v>
      </c>
      <c r="T2947" t="str">
        <f t="shared" ref="T2947:T3010" si="246">IF(S2947="","",I2947&amp;S2947)</f>
        <v>cthd2003release</v>
      </c>
      <c r="U2947" t="s">
        <v>106</v>
      </c>
      <c r="V2947" t="str">
        <f t="shared" si="242"/>
        <v>MVS</v>
      </c>
      <c r="W2947" t="str">
        <f t="shared" si="242"/>
        <v>MVS,AES</v>
      </c>
      <c r="Y2947" t="s">
        <v>45</v>
      </c>
      <c r="Z2947" t="s">
        <v>44</v>
      </c>
      <c r="AB2947" t="s">
        <v>43</v>
      </c>
      <c r="AC2947" t="s">
        <v>42</v>
      </c>
      <c r="AD2947" t="s">
        <v>41</v>
      </c>
      <c r="AE2947" t="s">
        <v>23</v>
      </c>
      <c r="AG2947" t="s">
        <v>40</v>
      </c>
      <c r="AH2947" t="s">
        <v>927</v>
      </c>
      <c r="AI2947" t="s">
        <v>9</v>
      </c>
      <c r="AJ2947" t="s">
        <v>15</v>
      </c>
      <c r="AK2947" t="s">
        <v>926</v>
      </c>
      <c r="AL2947" t="s">
        <v>925</v>
      </c>
      <c r="AP2947" t="s">
        <v>138</v>
      </c>
      <c r="AQ2947" t="s">
        <v>924</v>
      </c>
      <c r="AR2947" t="s">
        <v>905</v>
      </c>
    </row>
    <row r="2948" spans="5:44" x14ac:dyDescent="0.25">
      <c r="I2948" t="str">
        <f t="shared" si="244"/>
        <v>cthd2003</v>
      </c>
      <c r="J2948" t="str">
        <f t="shared" si="245"/>
        <v/>
      </c>
      <c r="L2948" t="str">
        <f t="shared" si="243"/>
        <v/>
      </c>
      <c r="M2948" t="str">
        <f t="shared" si="243"/>
        <v/>
      </c>
      <c r="N2948" t="str">
        <f t="shared" si="243"/>
        <v/>
      </c>
      <c r="O2948" t="str">
        <f t="shared" si="243"/>
        <v/>
      </c>
      <c r="P2948" t="str">
        <f t="shared" si="243"/>
        <v/>
      </c>
      <c r="S2948" t="s">
        <v>36</v>
      </c>
      <c r="T2948" t="str">
        <f t="shared" si="246"/>
        <v>cthd2003compatibility</v>
      </c>
      <c r="U2948" t="s">
        <v>218</v>
      </c>
      <c r="V2948" t="str">
        <f t="shared" si="242"/>
        <v>MVS</v>
      </c>
      <c r="W2948" t="str">
        <f t="shared" si="242"/>
        <v>MVS,AES</v>
      </c>
      <c r="AG2948" t="s">
        <v>40</v>
      </c>
      <c r="AH2948" t="s">
        <v>904</v>
      </c>
      <c r="AI2948" t="s">
        <v>15</v>
      </c>
      <c r="AJ2948" t="s">
        <v>11</v>
      </c>
      <c r="AK2948" t="s">
        <v>903</v>
      </c>
      <c r="AL2948" t="s">
        <v>902</v>
      </c>
    </row>
    <row r="2949" spans="5:44" x14ac:dyDescent="0.25">
      <c r="I2949" t="str">
        <f t="shared" si="244"/>
        <v>cthd2003</v>
      </c>
      <c r="J2949" t="str">
        <f t="shared" si="245"/>
        <v/>
      </c>
      <c r="L2949" t="str">
        <f t="shared" si="243"/>
        <v/>
      </c>
      <c r="M2949" t="str">
        <f t="shared" si="243"/>
        <v/>
      </c>
      <c r="N2949" t="str">
        <f t="shared" si="243"/>
        <v/>
      </c>
      <c r="O2949" t="str">
        <f t="shared" si="243"/>
        <v/>
      </c>
      <c r="P2949" t="str">
        <f t="shared" si="243"/>
        <v/>
      </c>
      <c r="T2949" t="str">
        <f t="shared" si="246"/>
        <v/>
      </c>
      <c r="V2949" t="str">
        <f t="shared" si="242"/>
        <v>MVS</v>
      </c>
      <c r="W2949" t="str">
        <f t="shared" si="242"/>
        <v>MVS,AES</v>
      </c>
      <c r="AB2949" t="s">
        <v>34</v>
      </c>
      <c r="AE2949" t="s">
        <v>33</v>
      </c>
      <c r="AH2949" t="s">
        <v>923</v>
      </c>
      <c r="AI2949" t="s">
        <v>9</v>
      </c>
      <c r="AJ2949" t="s">
        <v>27</v>
      </c>
      <c r="AK2949" t="s">
        <v>922</v>
      </c>
      <c r="AL2949" t="s">
        <v>921</v>
      </c>
    </row>
    <row r="2950" spans="5:44" x14ac:dyDescent="0.25">
      <c r="I2950" t="str">
        <f t="shared" si="244"/>
        <v>cthd2003</v>
      </c>
      <c r="J2950" t="str">
        <f t="shared" si="245"/>
        <v/>
      </c>
      <c r="L2950" t="str">
        <f t="shared" si="243"/>
        <v/>
      </c>
      <c r="M2950" t="str">
        <f t="shared" si="243"/>
        <v/>
      </c>
      <c r="N2950" t="str">
        <f t="shared" si="243"/>
        <v/>
      </c>
      <c r="O2950" t="str">
        <f t="shared" si="243"/>
        <v/>
      </c>
      <c r="P2950" t="str">
        <f t="shared" si="243"/>
        <v/>
      </c>
      <c r="T2950" t="str">
        <f t="shared" si="246"/>
        <v/>
      </c>
      <c r="V2950" t="str">
        <f t="shared" si="242"/>
        <v>MVS</v>
      </c>
      <c r="W2950" t="str">
        <f t="shared" si="242"/>
        <v>MVS,AES</v>
      </c>
      <c r="AB2950" t="s">
        <v>29</v>
      </c>
      <c r="AE2950" t="s">
        <v>27</v>
      </c>
      <c r="AH2950" t="s">
        <v>898</v>
      </c>
      <c r="AI2950" t="s">
        <v>9</v>
      </c>
      <c r="AJ2950" t="s">
        <v>27</v>
      </c>
      <c r="AK2950" t="s">
        <v>897</v>
      </c>
      <c r="AL2950" t="s">
        <v>896</v>
      </c>
    </row>
    <row r="2951" spans="5:44" x14ac:dyDescent="0.25">
      <c r="I2951" t="str">
        <f t="shared" si="244"/>
        <v>cthd2003</v>
      </c>
      <c r="J2951" t="str">
        <f t="shared" si="245"/>
        <v/>
      </c>
      <c r="L2951" t="str">
        <f t="shared" si="243"/>
        <v/>
      </c>
      <c r="M2951" t="str">
        <f t="shared" si="243"/>
        <v/>
      </c>
      <c r="N2951" t="str">
        <f t="shared" si="243"/>
        <v/>
      </c>
      <c r="O2951" t="str">
        <f t="shared" si="243"/>
        <v/>
      </c>
      <c r="P2951" t="str">
        <f t="shared" si="243"/>
        <v/>
      </c>
      <c r="T2951" t="str">
        <f t="shared" si="246"/>
        <v/>
      </c>
      <c r="V2951" t="str">
        <f t="shared" si="242"/>
        <v>MVS</v>
      </c>
      <c r="W2951" t="str">
        <f t="shared" si="242"/>
        <v>MVS,AES</v>
      </c>
      <c r="AB2951" t="s">
        <v>24</v>
      </c>
      <c r="AE2951" t="s">
        <v>65</v>
      </c>
      <c r="AH2951" t="s">
        <v>895</v>
      </c>
      <c r="AI2951" t="s">
        <v>9</v>
      </c>
      <c r="AJ2951" t="s">
        <v>11</v>
      </c>
      <c r="AK2951" t="s">
        <v>894</v>
      </c>
      <c r="AL2951" t="s">
        <v>893</v>
      </c>
    </row>
    <row r="2952" spans="5:44" x14ac:dyDescent="0.25">
      <c r="I2952" t="str">
        <f t="shared" si="244"/>
        <v>cthd2003</v>
      </c>
      <c r="J2952" t="str">
        <f t="shared" si="245"/>
        <v/>
      </c>
      <c r="L2952" t="str">
        <f t="shared" si="243"/>
        <v/>
      </c>
      <c r="M2952" t="str">
        <f t="shared" si="243"/>
        <v/>
      </c>
      <c r="N2952" t="str">
        <f t="shared" si="243"/>
        <v/>
      </c>
      <c r="O2952" t="str">
        <f t="shared" si="243"/>
        <v/>
      </c>
      <c r="P2952" t="str">
        <f t="shared" si="243"/>
        <v/>
      </c>
      <c r="T2952" t="str">
        <f t="shared" si="246"/>
        <v/>
      </c>
      <c r="V2952" t="str">
        <f t="shared" si="242"/>
        <v>MVS</v>
      </c>
      <c r="W2952" t="str">
        <f t="shared" si="242"/>
        <v>MVS,AES</v>
      </c>
      <c r="AH2952" t="s">
        <v>892</v>
      </c>
      <c r="AI2952" t="s">
        <v>11</v>
      </c>
      <c r="AJ2952" t="s">
        <v>11</v>
      </c>
      <c r="AK2952" t="s">
        <v>891</v>
      </c>
      <c r="AL2952" t="s">
        <v>890</v>
      </c>
    </row>
    <row r="2953" spans="5:44" x14ac:dyDescent="0.25">
      <c r="I2953" t="str">
        <f t="shared" si="244"/>
        <v>cthd2003</v>
      </c>
      <c r="J2953" t="str">
        <f t="shared" si="245"/>
        <v/>
      </c>
      <c r="L2953" t="str">
        <f t="shared" si="243"/>
        <v/>
      </c>
      <c r="M2953" t="str">
        <f t="shared" si="243"/>
        <v/>
      </c>
      <c r="N2953" t="str">
        <f t="shared" si="243"/>
        <v/>
      </c>
      <c r="O2953" t="str">
        <f t="shared" si="243"/>
        <v/>
      </c>
      <c r="P2953" t="str">
        <f t="shared" si="243"/>
        <v/>
      </c>
      <c r="T2953" t="str">
        <f t="shared" si="246"/>
        <v/>
      </c>
      <c r="V2953" t="str">
        <f t="shared" si="242"/>
        <v>MVS</v>
      </c>
      <c r="W2953" t="str">
        <f t="shared" si="242"/>
        <v>MVS,AES</v>
      </c>
      <c r="AH2953" t="s">
        <v>889</v>
      </c>
      <c r="AI2953" t="s">
        <v>57</v>
      </c>
      <c r="AJ2953" t="s">
        <v>11</v>
      </c>
      <c r="AK2953" t="s">
        <v>888</v>
      </c>
      <c r="AL2953" t="s">
        <v>887</v>
      </c>
    </row>
    <row r="2954" spans="5:44" x14ac:dyDescent="0.25">
      <c r="I2954" t="str">
        <f t="shared" si="244"/>
        <v>cthd2003</v>
      </c>
      <c r="J2954" t="str">
        <f t="shared" si="245"/>
        <v/>
      </c>
      <c r="L2954" t="str">
        <f t="shared" si="243"/>
        <v/>
      </c>
      <c r="M2954" t="str">
        <f t="shared" si="243"/>
        <v/>
      </c>
      <c r="N2954" t="str">
        <f t="shared" si="243"/>
        <v/>
      </c>
      <c r="O2954" t="str">
        <f t="shared" si="243"/>
        <v/>
      </c>
      <c r="P2954" t="str">
        <f t="shared" si="243"/>
        <v/>
      </c>
      <c r="T2954" t="str">
        <f t="shared" si="246"/>
        <v/>
      </c>
      <c r="V2954" t="str">
        <f t="shared" si="242"/>
        <v>MVS</v>
      </c>
      <c r="W2954" t="str">
        <f t="shared" si="242"/>
        <v>MVS,AES</v>
      </c>
      <c r="AH2954" t="s">
        <v>886</v>
      </c>
      <c r="AI2954" t="s">
        <v>250</v>
      </c>
      <c r="AJ2954" t="s">
        <v>11</v>
      </c>
      <c r="AK2954" t="s">
        <v>885</v>
      </c>
      <c r="AL2954" t="s">
        <v>884</v>
      </c>
    </row>
    <row r="2955" spans="5:44" x14ac:dyDescent="0.25">
      <c r="I2955" t="str">
        <f t="shared" si="244"/>
        <v>cthd2003</v>
      </c>
      <c r="J2955" t="str">
        <f t="shared" si="245"/>
        <v/>
      </c>
      <c r="L2955" t="str">
        <f t="shared" si="243"/>
        <v/>
      </c>
      <c r="M2955" t="str">
        <f t="shared" si="243"/>
        <v/>
      </c>
      <c r="N2955" t="str">
        <f t="shared" si="243"/>
        <v/>
      </c>
      <c r="O2955" t="str">
        <f t="shared" si="243"/>
        <v/>
      </c>
      <c r="P2955" t="str">
        <f t="shared" si="243"/>
        <v/>
      </c>
      <c r="T2955" t="str">
        <f t="shared" si="246"/>
        <v/>
      </c>
      <c r="V2955" t="str">
        <f t="shared" si="242"/>
        <v>MVS</v>
      </c>
      <c r="W2955" t="str">
        <f t="shared" si="242"/>
        <v>MVS,AES</v>
      </c>
      <c r="AB2955" t="s">
        <v>12</v>
      </c>
      <c r="AE2955" t="s">
        <v>175</v>
      </c>
      <c r="AG2955" t="s">
        <v>6</v>
      </c>
      <c r="AH2955" t="s">
        <v>883</v>
      </c>
      <c r="AI2955" t="s">
        <v>9</v>
      </c>
      <c r="AJ2955" t="s">
        <v>57</v>
      </c>
      <c r="AK2955" t="s">
        <v>882</v>
      </c>
      <c r="AL2955" t="s">
        <v>881</v>
      </c>
    </row>
    <row r="2956" spans="5:44" x14ac:dyDescent="0.25">
      <c r="I2956" t="str">
        <f t="shared" si="244"/>
        <v>cthd2003</v>
      </c>
      <c r="J2956" t="str">
        <f t="shared" si="245"/>
        <v/>
      </c>
      <c r="L2956" t="str">
        <f t="shared" si="243"/>
        <v/>
      </c>
      <c r="M2956" t="str">
        <f t="shared" si="243"/>
        <v/>
      </c>
      <c r="N2956" t="str">
        <f t="shared" si="243"/>
        <v/>
      </c>
      <c r="O2956" t="str">
        <f t="shared" si="243"/>
        <v/>
      </c>
      <c r="P2956" t="str">
        <f t="shared" si="243"/>
        <v/>
      </c>
      <c r="T2956" t="str">
        <f t="shared" si="246"/>
        <v/>
      </c>
      <c r="V2956" t="str">
        <f t="shared" si="242"/>
        <v>MVS</v>
      </c>
      <c r="W2956" t="str">
        <f t="shared" si="242"/>
        <v>MVS,AES</v>
      </c>
      <c r="AG2956" t="s">
        <v>6</v>
      </c>
      <c r="AH2956" t="s">
        <v>880</v>
      </c>
      <c r="AI2956" t="s">
        <v>4</v>
      </c>
      <c r="AJ2956" t="s">
        <v>57</v>
      </c>
      <c r="AK2956" t="s">
        <v>879</v>
      </c>
      <c r="AL2956" t="s">
        <v>878</v>
      </c>
    </row>
    <row r="2957" spans="5:44" x14ac:dyDescent="0.25">
      <c r="I2957" t="str">
        <f t="shared" si="244"/>
        <v>cthd2003</v>
      </c>
      <c r="J2957" t="str">
        <f t="shared" si="245"/>
        <v/>
      </c>
      <c r="L2957" t="str">
        <f t="shared" si="243"/>
        <v/>
      </c>
      <c r="M2957" t="str">
        <f t="shared" si="243"/>
        <v/>
      </c>
      <c r="N2957" t="str">
        <f t="shared" si="243"/>
        <v/>
      </c>
      <c r="O2957" t="str">
        <f t="shared" si="243"/>
        <v/>
      </c>
      <c r="P2957" t="str">
        <f t="shared" si="243"/>
        <v/>
      </c>
      <c r="T2957" t="str">
        <f t="shared" si="246"/>
        <v/>
      </c>
      <c r="V2957" t="str">
        <f t="shared" si="242"/>
        <v>MVS</v>
      </c>
      <c r="W2957" t="str">
        <f t="shared" si="242"/>
        <v>MVS,AES</v>
      </c>
      <c r="AG2957" t="s">
        <v>6</v>
      </c>
      <c r="AH2957" t="s">
        <v>877</v>
      </c>
      <c r="AI2957" t="s">
        <v>65</v>
      </c>
      <c r="AJ2957" t="s">
        <v>57</v>
      </c>
      <c r="AK2957" t="s">
        <v>876</v>
      </c>
      <c r="AL2957" t="s">
        <v>875</v>
      </c>
    </row>
    <row r="2958" spans="5:44" x14ac:dyDescent="0.25">
      <c r="I2958" t="str">
        <f t="shared" si="244"/>
        <v>cthd2003</v>
      </c>
      <c r="J2958" t="str">
        <f t="shared" si="245"/>
        <v/>
      </c>
      <c r="L2958" t="str">
        <f t="shared" si="243"/>
        <v/>
      </c>
      <c r="M2958" t="str">
        <f t="shared" si="243"/>
        <v/>
      </c>
      <c r="N2958" t="str">
        <f t="shared" si="243"/>
        <v/>
      </c>
      <c r="O2958" t="str">
        <f t="shared" si="243"/>
        <v/>
      </c>
      <c r="P2958" t="str">
        <f t="shared" si="243"/>
        <v/>
      </c>
      <c r="T2958" t="str">
        <f t="shared" si="246"/>
        <v/>
      </c>
      <c r="V2958" t="str">
        <f t="shared" si="242"/>
        <v>MVS</v>
      </c>
      <c r="W2958" t="str">
        <f t="shared" si="242"/>
        <v>MVS,AES</v>
      </c>
      <c r="AG2958" t="s">
        <v>6</v>
      </c>
      <c r="AH2958" t="s">
        <v>874</v>
      </c>
      <c r="AI2958" t="s">
        <v>164</v>
      </c>
      <c r="AJ2958" t="s">
        <v>57</v>
      </c>
      <c r="AK2958" t="s">
        <v>873</v>
      </c>
      <c r="AL2958" t="s">
        <v>872</v>
      </c>
    </row>
    <row r="2959" spans="5:44" x14ac:dyDescent="0.25">
      <c r="I2959" t="str">
        <f t="shared" si="244"/>
        <v>cthd2003</v>
      </c>
      <c r="J2959" t="str">
        <f t="shared" si="245"/>
        <v/>
      </c>
      <c r="L2959" t="str">
        <f t="shared" si="243"/>
        <v/>
      </c>
      <c r="M2959" t="str">
        <f t="shared" si="243"/>
        <v/>
      </c>
      <c r="N2959" t="str">
        <f t="shared" si="243"/>
        <v/>
      </c>
      <c r="O2959" t="str">
        <f t="shared" si="243"/>
        <v/>
      </c>
      <c r="P2959" t="str">
        <f t="shared" si="243"/>
        <v/>
      </c>
      <c r="T2959" t="str">
        <f t="shared" si="246"/>
        <v/>
      </c>
      <c r="V2959" t="str">
        <f t="shared" si="242"/>
        <v>MVS</v>
      </c>
      <c r="W2959" t="str">
        <f t="shared" si="242"/>
        <v>MVS,AES</v>
      </c>
      <c r="AG2959" t="s">
        <v>6</v>
      </c>
      <c r="AH2959" t="s">
        <v>871</v>
      </c>
      <c r="AI2959" t="s">
        <v>160</v>
      </c>
      <c r="AJ2959" t="s">
        <v>57</v>
      </c>
      <c r="AK2959" t="s">
        <v>870</v>
      </c>
      <c r="AL2959" t="s">
        <v>869</v>
      </c>
    </row>
    <row r="2960" spans="5:44" x14ac:dyDescent="0.25">
      <c r="I2960" t="str">
        <f t="shared" si="244"/>
        <v>cthd2003</v>
      </c>
      <c r="J2960" t="str">
        <f t="shared" si="245"/>
        <v/>
      </c>
      <c r="L2960" t="str">
        <f t="shared" si="243"/>
        <v/>
      </c>
      <c r="M2960" t="str">
        <f t="shared" si="243"/>
        <v/>
      </c>
      <c r="N2960" t="str">
        <f t="shared" si="243"/>
        <v/>
      </c>
      <c r="O2960" t="str">
        <f t="shared" si="243"/>
        <v/>
      </c>
      <c r="P2960" t="str">
        <f t="shared" si="243"/>
        <v/>
      </c>
      <c r="T2960" t="str">
        <f t="shared" si="246"/>
        <v/>
      </c>
      <c r="V2960" t="str">
        <f t="shared" si="242"/>
        <v>MVS</v>
      </c>
      <c r="W2960" t="str">
        <f t="shared" si="242"/>
        <v>MVS,AES</v>
      </c>
      <c r="AG2960" t="s">
        <v>6</v>
      </c>
      <c r="AH2960" t="s">
        <v>868</v>
      </c>
      <c r="AI2960" t="s">
        <v>156</v>
      </c>
      <c r="AJ2960" t="s">
        <v>57</v>
      </c>
      <c r="AK2960" t="s">
        <v>867</v>
      </c>
      <c r="AL2960" t="s">
        <v>866</v>
      </c>
    </row>
    <row r="2961" spans="5:44" x14ac:dyDescent="0.25">
      <c r="I2961" t="str">
        <f t="shared" si="244"/>
        <v>cthd2003</v>
      </c>
      <c r="J2961" t="str">
        <f t="shared" si="245"/>
        <v/>
      </c>
      <c r="L2961" t="str">
        <f t="shared" si="243"/>
        <v/>
      </c>
      <c r="M2961" t="str">
        <f t="shared" si="243"/>
        <v/>
      </c>
      <c r="N2961" t="str">
        <f t="shared" si="243"/>
        <v/>
      </c>
      <c r="O2961" t="str">
        <f t="shared" si="243"/>
        <v/>
      </c>
      <c r="P2961" t="str">
        <f t="shared" si="243"/>
        <v/>
      </c>
      <c r="T2961" t="str">
        <f t="shared" si="246"/>
        <v/>
      </c>
      <c r="V2961" t="str">
        <f t="shared" si="242"/>
        <v>MVS</v>
      </c>
      <c r="W2961" t="str">
        <f t="shared" si="242"/>
        <v>MVS,AES</v>
      </c>
      <c r="AG2961" t="s">
        <v>6</v>
      </c>
      <c r="AH2961" t="s">
        <v>865</v>
      </c>
      <c r="AI2961" t="s">
        <v>152</v>
      </c>
      <c r="AJ2961" t="s">
        <v>57</v>
      </c>
      <c r="AK2961" t="s">
        <v>864</v>
      </c>
      <c r="AL2961" t="s">
        <v>863</v>
      </c>
    </row>
    <row r="2962" spans="5:44" x14ac:dyDescent="0.25">
      <c r="I2962" t="str">
        <f t="shared" si="244"/>
        <v>cthd2003</v>
      </c>
      <c r="J2962" t="str">
        <f t="shared" si="245"/>
        <v/>
      </c>
      <c r="L2962" t="str">
        <f t="shared" si="243"/>
        <v/>
      </c>
      <c r="M2962" t="str">
        <f t="shared" si="243"/>
        <v/>
      </c>
      <c r="N2962" t="str">
        <f t="shared" si="243"/>
        <v/>
      </c>
      <c r="O2962" t="str">
        <f t="shared" si="243"/>
        <v/>
      </c>
      <c r="P2962" t="str">
        <f t="shared" si="243"/>
        <v/>
      </c>
      <c r="T2962" t="str">
        <f t="shared" si="246"/>
        <v/>
      </c>
      <c r="V2962" t="str">
        <f t="shared" si="242"/>
        <v>MVS</v>
      </c>
      <c r="W2962" t="str">
        <f t="shared" si="242"/>
        <v>MVS,AES</v>
      </c>
      <c r="AG2962" t="s">
        <v>6</v>
      </c>
      <c r="AH2962" t="s">
        <v>862</v>
      </c>
      <c r="AI2962" t="s">
        <v>148</v>
      </c>
      <c r="AJ2962" t="s">
        <v>57</v>
      </c>
      <c r="AK2962" t="s">
        <v>861</v>
      </c>
      <c r="AL2962" t="s">
        <v>860</v>
      </c>
    </row>
    <row r="2963" spans="5:44" x14ac:dyDescent="0.25">
      <c r="E2963" t="s">
        <v>920</v>
      </c>
      <c r="F2963" t="s">
        <v>919</v>
      </c>
      <c r="G2963" t="s">
        <v>195</v>
      </c>
      <c r="H2963" t="s">
        <v>194</v>
      </c>
      <c r="I2963" t="str">
        <f t="shared" si="244"/>
        <v>ct2k3sp</v>
      </c>
      <c r="J2963" t="str">
        <f t="shared" si="245"/>
        <v>ct2k3spcompat_note</v>
      </c>
      <c r="K2963" t="s">
        <v>111</v>
      </c>
      <c r="L2963" t="str">
        <f t="shared" si="243"/>
        <v/>
      </c>
      <c r="M2963" t="str">
        <f t="shared" si="243"/>
        <v/>
      </c>
      <c r="N2963" t="str">
        <f t="shared" si="243"/>
        <v/>
      </c>
      <c r="O2963" t="str">
        <f t="shared" si="243"/>
        <v>Super Plus text remains on screen during gameplay</v>
      </c>
      <c r="P2963" t="str">
        <f t="shared" si="243"/>
        <v/>
      </c>
      <c r="Q2963" t="s">
        <v>330</v>
      </c>
      <c r="S2963" t="s">
        <v>46</v>
      </c>
      <c r="T2963" t="str">
        <f t="shared" si="246"/>
        <v>ct2k3sprelease</v>
      </c>
      <c r="U2963" t="s">
        <v>106</v>
      </c>
      <c r="V2963" t="str">
        <f t="shared" si="242"/>
        <v>MVS</v>
      </c>
      <c r="W2963" t="str">
        <f t="shared" si="242"/>
        <v>MVS</v>
      </c>
      <c r="Y2963" t="s">
        <v>45</v>
      </c>
      <c r="Z2963" t="s">
        <v>44</v>
      </c>
      <c r="AB2963" t="s">
        <v>43</v>
      </c>
      <c r="AC2963" t="s">
        <v>42</v>
      </c>
      <c r="AD2963" t="s">
        <v>41</v>
      </c>
      <c r="AE2963" t="s">
        <v>23</v>
      </c>
      <c r="AG2963" t="s">
        <v>40</v>
      </c>
      <c r="AH2963" t="s">
        <v>918</v>
      </c>
      <c r="AI2963" t="s">
        <v>9</v>
      </c>
      <c r="AJ2963" t="s">
        <v>15</v>
      </c>
      <c r="AK2963" t="s">
        <v>917</v>
      </c>
      <c r="AL2963" t="s">
        <v>916</v>
      </c>
      <c r="AP2963" t="s">
        <v>138</v>
      </c>
      <c r="AQ2963" t="s">
        <v>915</v>
      </c>
      <c r="AR2963" t="s">
        <v>905</v>
      </c>
    </row>
    <row r="2964" spans="5:44" x14ac:dyDescent="0.25">
      <c r="I2964" t="str">
        <f t="shared" si="244"/>
        <v>ct2k3sp</v>
      </c>
      <c r="J2964" t="str">
        <f t="shared" si="245"/>
        <v/>
      </c>
      <c r="L2964" t="str">
        <f t="shared" si="243"/>
        <v/>
      </c>
      <c r="M2964" t="str">
        <f t="shared" si="243"/>
        <v/>
      </c>
      <c r="N2964" t="str">
        <f t="shared" si="243"/>
        <v/>
      </c>
      <c r="O2964" t="str">
        <f t="shared" si="243"/>
        <v>Super Plus text remains on screen during gameplay</v>
      </c>
      <c r="P2964" t="str">
        <f t="shared" si="243"/>
        <v/>
      </c>
      <c r="S2964" t="s">
        <v>36</v>
      </c>
      <c r="T2964" t="str">
        <f t="shared" si="246"/>
        <v>ct2k3spcompatibility</v>
      </c>
      <c r="U2964" t="s">
        <v>106</v>
      </c>
      <c r="V2964" t="str">
        <f t="shared" si="242"/>
        <v>MVS</v>
      </c>
      <c r="W2964" t="str">
        <f t="shared" si="242"/>
        <v>MVS</v>
      </c>
      <c r="AG2964" t="s">
        <v>40</v>
      </c>
      <c r="AH2964" t="s">
        <v>904</v>
      </c>
      <c r="AI2964" t="s">
        <v>15</v>
      </c>
      <c r="AJ2964" t="s">
        <v>11</v>
      </c>
      <c r="AK2964" t="s">
        <v>903</v>
      </c>
      <c r="AL2964" t="s">
        <v>902</v>
      </c>
    </row>
    <row r="2965" spans="5:44" x14ac:dyDescent="0.25">
      <c r="I2965" t="str">
        <f t="shared" si="244"/>
        <v>ct2k3sp</v>
      </c>
      <c r="J2965" t="str">
        <f t="shared" si="245"/>
        <v/>
      </c>
      <c r="L2965" t="str">
        <f t="shared" si="243"/>
        <v/>
      </c>
      <c r="M2965" t="str">
        <f t="shared" si="243"/>
        <v/>
      </c>
      <c r="N2965" t="str">
        <f t="shared" si="243"/>
        <v/>
      </c>
      <c r="O2965" t="str">
        <f t="shared" si="243"/>
        <v>Super Plus text remains on screen during gameplay</v>
      </c>
      <c r="P2965" t="str">
        <f t="shared" si="243"/>
        <v/>
      </c>
      <c r="T2965" t="str">
        <f t="shared" si="246"/>
        <v/>
      </c>
      <c r="V2965" t="str">
        <f t="shared" si="242"/>
        <v>MVS</v>
      </c>
      <c r="W2965" t="str">
        <f t="shared" si="242"/>
        <v>MVS</v>
      </c>
      <c r="AB2965" t="s">
        <v>34</v>
      </c>
      <c r="AE2965" t="s">
        <v>318</v>
      </c>
      <c r="AH2965" t="s">
        <v>914</v>
      </c>
      <c r="AI2965" t="s">
        <v>314</v>
      </c>
      <c r="AJ2965" t="s">
        <v>318</v>
      </c>
      <c r="AK2965" t="s">
        <v>913</v>
      </c>
      <c r="AL2965" t="s">
        <v>912</v>
      </c>
    </row>
    <row r="2966" spans="5:44" x14ac:dyDescent="0.25">
      <c r="I2966" t="str">
        <f t="shared" si="244"/>
        <v>ct2k3sp</v>
      </c>
      <c r="J2966" t="str">
        <f t="shared" si="245"/>
        <v/>
      </c>
      <c r="L2966" t="str">
        <f t="shared" si="243"/>
        <v/>
      </c>
      <c r="M2966" t="str">
        <f t="shared" si="243"/>
        <v/>
      </c>
      <c r="N2966" t="str">
        <f t="shared" si="243"/>
        <v/>
      </c>
      <c r="O2966" t="str">
        <f t="shared" si="243"/>
        <v>Super Plus text remains on screen during gameplay</v>
      </c>
      <c r="P2966" t="str">
        <f t="shared" si="243"/>
        <v/>
      </c>
      <c r="T2966" t="str">
        <f t="shared" si="246"/>
        <v/>
      </c>
      <c r="V2966" t="str">
        <f t="shared" si="242"/>
        <v>MVS</v>
      </c>
      <c r="W2966" t="str">
        <f t="shared" si="242"/>
        <v>MVS</v>
      </c>
      <c r="AB2966" t="s">
        <v>29</v>
      </c>
      <c r="AE2966" t="s">
        <v>27</v>
      </c>
      <c r="AH2966" t="s">
        <v>898</v>
      </c>
      <c r="AI2966" t="s">
        <v>9</v>
      </c>
      <c r="AJ2966" t="s">
        <v>27</v>
      </c>
      <c r="AK2966" t="s">
        <v>897</v>
      </c>
      <c r="AL2966" t="s">
        <v>896</v>
      </c>
    </row>
    <row r="2967" spans="5:44" x14ac:dyDescent="0.25">
      <c r="I2967" t="str">
        <f t="shared" si="244"/>
        <v>ct2k3sp</v>
      </c>
      <c r="J2967" t="str">
        <f t="shared" si="245"/>
        <v/>
      </c>
      <c r="L2967" t="str">
        <f t="shared" si="243"/>
        <v/>
      </c>
      <c r="M2967" t="str">
        <f t="shared" si="243"/>
        <v/>
      </c>
      <c r="N2967" t="str">
        <f t="shared" si="243"/>
        <v/>
      </c>
      <c r="O2967" t="str">
        <f t="shared" si="243"/>
        <v>Super Plus text remains on screen during gameplay</v>
      </c>
      <c r="P2967" t="str">
        <f t="shared" si="243"/>
        <v/>
      </c>
      <c r="T2967" t="str">
        <f t="shared" si="246"/>
        <v/>
      </c>
      <c r="V2967" t="str">
        <f t="shared" ref="V2967:W3030" si="247">IFERROR(VLOOKUP($I2967&amp;V$1,$T:$AA,2,0),"")</f>
        <v>MVS</v>
      </c>
      <c r="W2967" t="str">
        <f t="shared" si="247"/>
        <v>MVS</v>
      </c>
      <c r="AB2967" t="s">
        <v>24</v>
      </c>
      <c r="AE2967" t="s">
        <v>65</v>
      </c>
      <c r="AH2967" t="s">
        <v>895</v>
      </c>
      <c r="AI2967" t="s">
        <v>9</v>
      </c>
      <c r="AJ2967" t="s">
        <v>11</v>
      </c>
      <c r="AK2967" t="s">
        <v>894</v>
      </c>
      <c r="AL2967" t="s">
        <v>893</v>
      </c>
    </row>
    <row r="2968" spans="5:44" x14ac:dyDescent="0.25">
      <c r="I2968" t="str">
        <f t="shared" si="244"/>
        <v>ct2k3sp</v>
      </c>
      <c r="J2968" t="str">
        <f t="shared" si="245"/>
        <v/>
      </c>
      <c r="L2968" t="str">
        <f t="shared" si="243"/>
        <v/>
      </c>
      <c r="M2968" t="str">
        <f t="shared" si="243"/>
        <v/>
      </c>
      <c r="N2968" t="str">
        <f t="shared" si="243"/>
        <v/>
      </c>
      <c r="O2968" t="str">
        <f t="shared" si="243"/>
        <v>Super Plus text remains on screen during gameplay</v>
      </c>
      <c r="P2968" t="str">
        <f t="shared" si="243"/>
        <v/>
      </c>
      <c r="T2968" t="str">
        <f t="shared" si="246"/>
        <v/>
      </c>
      <c r="V2968" t="str">
        <f t="shared" si="247"/>
        <v>MVS</v>
      </c>
      <c r="W2968" t="str">
        <f t="shared" si="247"/>
        <v>MVS</v>
      </c>
      <c r="AH2968" t="s">
        <v>892</v>
      </c>
      <c r="AI2968" t="s">
        <v>11</v>
      </c>
      <c r="AJ2968" t="s">
        <v>11</v>
      </c>
      <c r="AK2968" t="s">
        <v>891</v>
      </c>
      <c r="AL2968" t="s">
        <v>890</v>
      </c>
    </row>
    <row r="2969" spans="5:44" x14ac:dyDescent="0.25">
      <c r="I2969" t="str">
        <f t="shared" si="244"/>
        <v>ct2k3sp</v>
      </c>
      <c r="J2969" t="str">
        <f t="shared" si="245"/>
        <v/>
      </c>
      <c r="L2969" t="str">
        <f t="shared" si="243"/>
        <v/>
      </c>
      <c r="M2969" t="str">
        <f t="shared" si="243"/>
        <v/>
      </c>
      <c r="N2969" t="str">
        <f t="shared" si="243"/>
        <v/>
      </c>
      <c r="O2969" t="str">
        <f t="shared" si="243"/>
        <v>Super Plus text remains on screen during gameplay</v>
      </c>
      <c r="P2969" t="str">
        <f t="shared" si="243"/>
        <v/>
      </c>
      <c r="T2969" t="str">
        <f t="shared" si="246"/>
        <v/>
      </c>
      <c r="V2969" t="str">
        <f t="shared" si="247"/>
        <v>MVS</v>
      </c>
      <c r="W2969" t="str">
        <f t="shared" si="247"/>
        <v>MVS</v>
      </c>
      <c r="AH2969" t="s">
        <v>889</v>
      </c>
      <c r="AI2969" t="s">
        <v>57</v>
      </c>
      <c r="AJ2969" t="s">
        <v>11</v>
      </c>
      <c r="AK2969" t="s">
        <v>888</v>
      </c>
      <c r="AL2969" t="s">
        <v>887</v>
      </c>
    </row>
    <row r="2970" spans="5:44" x14ac:dyDescent="0.25">
      <c r="I2970" t="str">
        <f t="shared" si="244"/>
        <v>ct2k3sp</v>
      </c>
      <c r="J2970" t="str">
        <f t="shared" si="245"/>
        <v/>
      </c>
      <c r="L2970" t="str">
        <f t="shared" si="243"/>
        <v/>
      </c>
      <c r="M2970" t="str">
        <f t="shared" si="243"/>
        <v/>
      </c>
      <c r="N2970" t="str">
        <f t="shared" si="243"/>
        <v/>
      </c>
      <c r="O2970" t="str">
        <f t="shared" si="243"/>
        <v>Super Plus text remains on screen during gameplay</v>
      </c>
      <c r="P2970" t="str">
        <f t="shared" si="243"/>
        <v/>
      </c>
      <c r="T2970" t="str">
        <f t="shared" si="246"/>
        <v/>
      </c>
      <c r="V2970" t="str">
        <f t="shared" si="247"/>
        <v>MVS</v>
      </c>
      <c r="W2970" t="str">
        <f t="shared" si="247"/>
        <v>MVS</v>
      </c>
      <c r="AH2970" t="s">
        <v>886</v>
      </c>
      <c r="AI2970" t="s">
        <v>250</v>
      </c>
      <c r="AJ2970" t="s">
        <v>11</v>
      </c>
      <c r="AK2970" t="s">
        <v>885</v>
      </c>
      <c r="AL2970" t="s">
        <v>884</v>
      </c>
    </row>
    <row r="2971" spans="5:44" x14ac:dyDescent="0.25">
      <c r="I2971" t="str">
        <f t="shared" si="244"/>
        <v>ct2k3sp</v>
      </c>
      <c r="J2971" t="str">
        <f t="shared" si="245"/>
        <v/>
      </c>
      <c r="L2971" t="str">
        <f t="shared" si="243"/>
        <v/>
      </c>
      <c r="M2971" t="str">
        <f t="shared" si="243"/>
        <v/>
      </c>
      <c r="N2971" t="str">
        <f t="shared" si="243"/>
        <v/>
      </c>
      <c r="O2971" t="str">
        <f t="shared" si="243"/>
        <v>Super Plus text remains on screen during gameplay</v>
      </c>
      <c r="P2971" t="str">
        <f t="shared" si="243"/>
        <v/>
      </c>
      <c r="T2971" t="str">
        <f t="shared" si="246"/>
        <v/>
      </c>
      <c r="V2971" t="str">
        <f t="shared" si="247"/>
        <v>MVS</v>
      </c>
      <c r="W2971" t="str">
        <f t="shared" si="247"/>
        <v>MVS</v>
      </c>
      <c r="AB2971" t="s">
        <v>12</v>
      </c>
      <c r="AE2971" t="s">
        <v>175</v>
      </c>
      <c r="AG2971" t="s">
        <v>6</v>
      </c>
      <c r="AH2971" t="s">
        <v>883</v>
      </c>
      <c r="AI2971" t="s">
        <v>9</v>
      </c>
      <c r="AJ2971" t="s">
        <v>57</v>
      </c>
      <c r="AK2971" t="s">
        <v>882</v>
      </c>
      <c r="AL2971" t="s">
        <v>881</v>
      </c>
    </row>
    <row r="2972" spans="5:44" x14ac:dyDescent="0.25">
      <c r="I2972" t="str">
        <f t="shared" si="244"/>
        <v>ct2k3sp</v>
      </c>
      <c r="J2972" t="str">
        <f t="shared" si="245"/>
        <v/>
      </c>
      <c r="L2972" t="str">
        <f t="shared" si="243"/>
        <v/>
      </c>
      <c r="M2972" t="str">
        <f t="shared" si="243"/>
        <v/>
      </c>
      <c r="N2972" t="str">
        <f t="shared" si="243"/>
        <v/>
      </c>
      <c r="O2972" t="str">
        <f t="shared" si="243"/>
        <v>Super Plus text remains on screen during gameplay</v>
      </c>
      <c r="P2972" t="str">
        <f t="shared" si="243"/>
        <v/>
      </c>
      <c r="T2972" t="str">
        <f t="shared" si="246"/>
        <v/>
      </c>
      <c r="V2972" t="str">
        <f t="shared" si="247"/>
        <v>MVS</v>
      </c>
      <c r="W2972" t="str">
        <f t="shared" si="247"/>
        <v>MVS</v>
      </c>
      <c r="AG2972" t="s">
        <v>6</v>
      </c>
      <c r="AH2972" t="s">
        <v>880</v>
      </c>
      <c r="AI2972" t="s">
        <v>4</v>
      </c>
      <c r="AJ2972" t="s">
        <v>57</v>
      </c>
      <c r="AK2972" t="s">
        <v>879</v>
      </c>
      <c r="AL2972" t="s">
        <v>878</v>
      </c>
    </row>
    <row r="2973" spans="5:44" x14ac:dyDescent="0.25">
      <c r="I2973" t="str">
        <f t="shared" si="244"/>
        <v>ct2k3sp</v>
      </c>
      <c r="J2973" t="str">
        <f t="shared" si="245"/>
        <v/>
      </c>
      <c r="L2973" t="str">
        <f t="shared" ref="L2973:P3023" si="248">IFERROR(VLOOKUP($I2973&amp;L$1,$J:$Q,8,0),"")</f>
        <v/>
      </c>
      <c r="M2973" t="str">
        <f t="shared" si="248"/>
        <v/>
      </c>
      <c r="N2973" t="str">
        <f t="shared" si="248"/>
        <v/>
      </c>
      <c r="O2973" t="str">
        <f t="shared" si="248"/>
        <v>Super Plus text remains on screen during gameplay</v>
      </c>
      <c r="P2973" t="str">
        <f t="shared" si="248"/>
        <v/>
      </c>
      <c r="T2973" t="str">
        <f t="shared" si="246"/>
        <v/>
      </c>
      <c r="V2973" t="str">
        <f t="shared" si="247"/>
        <v>MVS</v>
      </c>
      <c r="W2973" t="str">
        <f t="shared" si="247"/>
        <v>MVS</v>
      </c>
      <c r="AG2973" t="s">
        <v>6</v>
      </c>
      <c r="AH2973" t="s">
        <v>877</v>
      </c>
      <c r="AI2973" t="s">
        <v>65</v>
      </c>
      <c r="AJ2973" t="s">
        <v>57</v>
      </c>
      <c r="AK2973" t="s">
        <v>876</v>
      </c>
      <c r="AL2973" t="s">
        <v>875</v>
      </c>
    </row>
    <row r="2974" spans="5:44" x14ac:dyDescent="0.25">
      <c r="I2974" t="str">
        <f t="shared" si="244"/>
        <v>ct2k3sp</v>
      </c>
      <c r="J2974" t="str">
        <f t="shared" si="245"/>
        <v/>
      </c>
      <c r="L2974" t="str">
        <f t="shared" si="248"/>
        <v/>
      </c>
      <c r="M2974" t="str">
        <f t="shared" si="248"/>
        <v/>
      </c>
      <c r="N2974" t="str">
        <f t="shared" si="248"/>
        <v/>
      </c>
      <c r="O2974" t="str">
        <f t="shared" si="248"/>
        <v>Super Plus text remains on screen during gameplay</v>
      </c>
      <c r="P2974" t="str">
        <f t="shared" si="248"/>
        <v/>
      </c>
      <c r="T2974" t="str">
        <f t="shared" si="246"/>
        <v/>
      </c>
      <c r="V2974" t="str">
        <f t="shared" si="247"/>
        <v>MVS</v>
      </c>
      <c r="W2974" t="str">
        <f t="shared" si="247"/>
        <v>MVS</v>
      </c>
      <c r="AG2974" t="s">
        <v>6</v>
      </c>
      <c r="AH2974" t="s">
        <v>874</v>
      </c>
      <c r="AI2974" t="s">
        <v>164</v>
      </c>
      <c r="AJ2974" t="s">
        <v>57</v>
      </c>
      <c r="AK2974" t="s">
        <v>873</v>
      </c>
      <c r="AL2974" t="s">
        <v>872</v>
      </c>
    </row>
    <row r="2975" spans="5:44" x14ac:dyDescent="0.25">
      <c r="I2975" t="str">
        <f t="shared" si="244"/>
        <v>ct2k3sp</v>
      </c>
      <c r="J2975" t="str">
        <f t="shared" si="245"/>
        <v/>
      </c>
      <c r="L2975" t="str">
        <f t="shared" si="248"/>
        <v/>
      </c>
      <c r="M2975" t="str">
        <f t="shared" si="248"/>
        <v/>
      </c>
      <c r="N2975" t="str">
        <f t="shared" si="248"/>
        <v/>
      </c>
      <c r="O2975" t="str">
        <f t="shared" si="248"/>
        <v>Super Plus text remains on screen during gameplay</v>
      </c>
      <c r="P2975" t="str">
        <f t="shared" si="248"/>
        <v/>
      </c>
      <c r="T2975" t="str">
        <f t="shared" si="246"/>
        <v/>
      </c>
      <c r="V2975" t="str">
        <f t="shared" si="247"/>
        <v>MVS</v>
      </c>
      <c r="W2975" t="str">
        <f t="shared" si="247"/>
        <v>MVS</v>
      </c>
      <c r="AG2975" t="s">
        <v>6</v>
      </c>
      <c r="AH2975" t="s">
        <v>871</v>
      </c>
      <c r="AI2975" t="s">
        <v>160</v>
      </c>
      <c r="AJ2975" t="s">
        <v>57</v>
      </c>
      <c r="AK2975" t="s">
        <v>870</v>
      </c>
      <c r="AL2975" t="s">
        <v>869</v>
      </c>
    </row>
    <row r="2976" spans="5:44" x14ac:dyDescent="0.25">
      <c r="I2976" t="str">
        <f t="shared" si="244"/>
        <v>ct2k3sp</v>
      </c>
      <c r="J2976" t="str">
        <f t="shared" si="245"/>
        <v/>
      </c>
      <c r="L2976" t="str">
        <f t="shared" si="248"/>
        <v/>
      </c>
      <c r="M2976" t="str">
        <f t="shared" si="248"/>
        <v/>
      </c>
      <c r="N2976" t="str">
        <f t="shared" si="248"/>
        <v/>
      </c>
      <c r="O2976" t="str">
        <f t="shared" si="248"/>
        <v>Super Plus text remains on screen during gameplay</v>
      </c>
      <c r="P2976" t="str">
        <f t="shared" si="248"/>
        <v/>
      </c>
      <c r="T2976" t="str">
        <f t="shared" si="246"/>
        <v/>
      </c>
      <c r="V2976" t="str">
        <f t="shared" si="247"/>
        <v>MVS</v>
      </c>
      <c r="W2976" t="str">
        <f t="shared" si="247"/>
        <v>MVS</v>
      </c>
      <c r="AG2976" t="s">
        <v>6</v>
      </c>
      <c r="AH2976" t="s">
        <v>868</v>
      </c>
      <c r="AI2976" t="s">
        <v>156</v>
      </c>
      <c r="AJ2976" t="s">
        <v>57</v>
      </c>
      <c r="AK2976" t="s">
        <v>867</v>
      </c>
      <c r="AL2976" t="s">
        <v>866</v>
      </c>
    </row>
    <row r="2977" spans="5:44" x14ac:dyDescent="0.25">
      <c r="I2977" t="str">
        <f t="shared" si="244"/>
        <v>ct2k3sp</v>
      </c>
      <c r="J2977" t="str">
        <f t="shared" si="245"/>
        <v/>
      </c>
      <c r="L2977" t="str">
        <f t="shared" si="248"/>
        <v/>
      </c>
      <c r="M2977" t="str">
        <f t="shared" si="248"/>
        <v/>
      </c>
      <c r="N2977" t="str">
        <f t="shared" si="248"/>
        <v/>
      </c>
      <c r="O2977" t="str">
        <f t="shared" si="248"/>
        <v>Super Plus text remains on screen during gameplay</v>
      </c>
      <c r="P2977" t="str">
        <f t="shared" si="248"/>
        <v/>
      </c>
      <c r="T2977" t="str">
        <f t="shared" si="246"/>
        <v/>
      </c>
      <c r="V2977" t="str">
        <f t="shared" si="247"/>
        <v>MVS</v>
      </c>
      <c r="W2977" t="str">
        <f t="shared" si="247"/>
        <v>MVS</v>
      </c>
      <c r="AG2977" t="s">
        <v>6</v>
      </c>
      <c r="AH2977" t="s">
        <v>865</v>
      </c>
      <c r="AI2977" t="s">
        <v>152</v>
      </c>
      <c r="AJ2977" t="s">
        <v>57</v>
      </c>
      <c r="AK2977" t="s">
        <v>864</v>
      </c>
      <c r="AL2977" t="s">
        <v>863</v>
      </c>
    </row>
    <row r="2978" spans="5:44" x14ac:dyDescent="0.25">
      <c r="I2978" t="str">
        <f t="shared" si="244"/>
        <v>ct2k3sp</v>
      </c>
      <c r="J2978" t="str">
        <f t="shared" si="245"/>
        <v/>
      </c>
      <c r="L2978" t="str">
        <f t="shared" si="248"/>
        <v/>
      </c>
      <c r="M2978" t="str">
        <f t="shared" si="248"/>
        <v/>
      </c>
      <c r="N2978" t="str">
        <f t="shared" si="248"/>
        <v/>
      </c>
      <c r="O2978" t="str">
        <f t="shared" si="248"/>
        <v>Super Plus text remains on screen during gameplay</v>
      </c>
      <c r="P2978" t="str">
        <f t="shared" si="248"/>
        <v/>
      </c>
      <c r="T2978" t="str">
        <f t="shared" si="246"/>
        <v/>
      </c>
      <c r="V2978" t="str">
        <f t="shared" si="247"/>
        <v>MVS</v>
      </c>
      <c r="W2978" t="str">
        <f t="shared" si="247"/>
        <v>MVS</v>
      </c>
      <c r="AG2978" t="s">
        <v>6</v>
      </c>
      <c r="AH2978" t="s">
        <v>862</v>
      </c>
      <c r="AI2978" t="s">
        <v>148</v>
      </c>
      <c r="AJ2978" t="s">
        <v>57</v>
      </c>
      <c r="AK2978" t="s">
        <v>861</v>
      </c>
      <c r="AL2978" t="s">
        <v>860</v>
      </c>
    </row>
    <row r="2979" spans="5:44" x14ac:dyDescent="0.25">
      <c r="E2979" t="s">
        <v>911</v>
      </c>
      <c r="F2979" t="s">
        <v>910</v>
      </c>
      <c r="G2979" t="s">
        <v>195</v>
      </c>
      <c r="H2979" t="s">
        <v>194</v>
      </c>
      <c r="I2979" t="str">
        <f t="shared" si="244"/>
        <v>ct2k3sa</v>
      </c>
      <c r="J2979" t="str">
        <f t="shared" si="245"/>
        <v>ct2k3sacompat_note</v>
      </c>
      <c r="K2979" t="s">
        <v>111</v>
      </c>
      <c r="L2979" t="str">
        <f t="shared" si="248"/>
        <v/>
      </c>
      <c r="M2979" t="str">
        <f t="shared" si="248"/>
        <v/>
      </c>
      <c r="N2979" t="str">
        <f t="shared" si="248"/>
        <v/>
      </c>
      <c r="O2979" t="str">
        <f t="shared" si="248"/>
        <v>Super Plus text remains on screen during gameplay</v>
      </c>
      <c r="P2979" t="str">
        <f t="shared" si="248"/>
        <v/>
      </c>
      <c r="Q2979" t="s">
        <v>330</v>
      </c>
      <c r="S2979" t="s">
        <v>46</v>
      </c>
      <c r="T2979" t="str">
        <f t="shared" si="246"/>
        <v>ct2k3sarelease</v>
      </c>
      <c r="U2979" t="s">
        <v>106</v>
      </c>
      <c r="V2979" t="str">
        <f t="shared" si="247"/>
        <v>MVS</v>
      </c>
      <c r="W2979" t="str">
        <f t="shared" si="247"/>
        <v>MVS</v>
      </c>
      <c r="Y2979" t="s">
        <v>45</v>
      </c>
      <c r="Z2979" t="s">
        <v>44</v>
      </c>
      <c r="AB2979" t="s">
        <v>43</v>
      </c>
      <c r="AC2979" t="s">
        <v>42</v>
      </c>
      <c r="AD2979" t="s">
        <v>41</v>
      </c>
      <c r="AE2979" t="s">
        <v>23</v>
      </c>
      <c r="AG2979" t="s">
        <v>40</v>
      </c>
      <c r="AH2979" t="s">
        <v>909</v>
      </c>
      <c r="AI2979" t="s">
        <v>9</v>
      </c>
      <c r="AJ2979" t="s">
        <v>15</v>
      </c>
      <c r="AK2979" t="s">
        <v>908</v>
      </c>
      <c r="AL2979" t="s">
        <v>907</v>
      </c>
      <c r="AP2979" t="s">
        <v>138</v>
      </c>
      <c r="AQ2979" t="s">
        <v>906</v>
      </c>
      <c r="AR2979" t="s">
        <v>905</v>
      </c>
    </row>
    <row r="2980" spans="5:44" x14ac:dyDescent="0.25">
      <c r="I2980" t="str">
        <f t="shared" si="244"/>
        <v>ct2k3sa</v>
      </c>
      <c r="J2980" t="str">
        <f t="shared" si="245"/>
        <v/>
      </c>
      <c r="L2980" t="str">
        <f t="shared" si="248"/>
        <v/>
      </c>
      <c r="M2980" t="str">
        <f t="shared" si="248"/>
        <v/>
      </c>
      <c r="N2980" t="str">
        <f t="shared" si="248"/>
        <v/>
      </c>
      <c r="O2980" t="str">
        <f t="shared" si="248"/>
        <v>Super Plus text remains on screen during gameplay</v>
      </c>
      <c r="P2980" t="str">
        <f t="shared" si="248"/>
        <v/>
      </c>
      <c r="S2980" t="s">
        <v>36</v>
      </c>
      <c r="T2980" t="str">
        <f t="shared" si="246"/>
        <v>ct2k3sacompatibility</v>
      </c>
      <c r="U2980" t="s">
        <v>106</v>
      </c>
      <c r="V2980" t="str">
        <f t="shared" si="247"/>
        <v>MVS</v>
      </c>
      <c r="W2980" t="str">
        <f t="shared" si="247"/>
        <v>MVS</v>
      </c>
      <c r="AG2980" t="s">
        <v>40</v>
      </c>
      <c r="AH2980" t="s">
        <v>904</v>
      </c>
      <c r="AI2980" t="s">
        <v>15</v>
      </c>
      <c r="AJ2980" t="s">
        <v>11</v>
      </c>
      <c r="AK2980" t="s">
        <v>903</v>
      </c>
      <c r="AL2980" t="s">
        <v>902</v>
      </c>
    </row>
    <row r="2981" spans="5:44" x14ac:dyDescent="0.25">
      <c r="I2981" t="str">
        <f t="shared" si="244"/>
        <v>ct2k3sa</v>
      </c>
      <c r="J2981" t="str">
        <f t="shared" si="245"/>
        <v/>
      </c>
      <c r="L2981" t="str">
        <f t="shared" si="248"/>
        <v/>
      </c>
      <c r="M2981" t="str">
        <f t="shared" si="248"/>
        <v/>
      </c>
      <c r="N2981" t="str">
        <f t="shared" si="248"/>
        <v/>
      </c>
      <c r="O2981" t="str">
        <f t="shared" si="248"/>
        <v>Super Plus text remains on screen during gameplay</v>
      </c>
      <c r="P2981" t="str">
        <f t="shared" si="248"/>
        <v/>
      </c>
      <c r="T2981" t="str">
        <f t="shared" si="246"/>
        <v/>
      </c>
      <c r="V2981" t="str">
        <f t="shared" si="247"/>
        <v>MVS</v>
      </c>
      <c r="W2981" t="str">
        <f t="shared" si="247"/>
        <v>MVS</v>
      </c>
      <c r="AB2981" t="s">
        <v>34</v>
      </c>
      <c r="AE2981" t="s">
        <v>135</v>
      </c>
      <c r="AH2981" t="s">
        <v>901</v>
      </c>
      <c r="AI2981" t="s">
        <v>314</v>
      </c>
      <c r="AJ2981" t="s">
        <v>135</v>
      </c>
      <c r="AK2981" t="s">
        <v>900</v>
      </c>
      <c r="AL2981" t="s">
        <v>899</v>
      </c>
    </row>
    <row r="2982" spans="5:44" x14ac:dyDescent="0.25">
      <c r="I2982" t="str">
        <f t="shared" si="244"/>
        <v>ct2k3sa</v>
      </c>
      <c r="J2982" t="str">
        <f t="shared" si="245"/>
        <v/>
      </c>
      <c r="L2982" t="str">
        <f t="shared" si="248"/>
        <v/>
      </c>
      <c r="M2982" t="str">
        <f t="shared" si="248"/>
        <v/>
      </c>
      <c r="N2982" t="str">
        <f t="shared" si="248"/>
        <v/>
      </c>
      <c r="O2982" t="str">
        <f t="shared" si="248"/>
        <v>Super Plus text remains on screen during gameplay</v>
      </c>
      <c r="P2982" t="str">
        <f t="shared" si="248"/>
        <v/>
      </c>
      <c r="T2982" t="str">
        <f t="shared" si="246"/>
        <v/>
      </c>
      <c r="V2982" t="str">
        <f t="shared" si="247"/>
        <v>MVS</v>
      </c>
      <c r="W2982" t="str">
        <f t="shared" si="247"/>
        <v>MVS</v>
      </c>
      <c r="AB2982" t="s">
        <v>29</v>
      </c>
      <c r="AE2982" t="s">
        <v>27</v>
      </c>
      <c r="AH2982" t="s">
        <v>898</v>
      </c>
      <c r="AI2982" t="s">
        <v>9</v>
      </c>
      <c r="AJ2982" t="s">
        <v>27</v>
      </c>
      <c r="AK2982" t="s">
        <v>897</v>
      </c>
      <c r="AL2982" t="s">
        <v>896</v>
      </c>
    </row>
    <row r="2983" spans="5:44" x14ac:dyDescent="0.25">
      <c r="I2983" t="str">
        <f t="shared" si="244"/>
        <v>ct2k3sa</v>
      </c>
      <c r="J2983" t="str">
        <f t="shared" si="245"/>
        <v/>
      </c>
      <c r="L2983" t="str">
        <f t="shared" si="248"/>
        <v/>
      </c>
      <c r="M2983" t="str">
        <f t="shared" si="248"/>
        <v/>
      </c>
      <c r="N2983" t="str">
        <f t="shared" si="248"/>
        <v/>
      </c>
      <c r="O2983" t="str">
        <f t="shared" si="248"/>
        <v>Super Plus text remains on screen during gameplay</v>
      </c>
      <c r="P2983" t="str">
        <f t="shared" si="248"/>
        <v/>
      </c>
      <c r="T2983" t="str">
        <f t="shared" si="246"/>
        <v/>
      </c>
      <c r="V2983" t="str">
        <f t="shared" si="247"/>
        <v>MVS</v>
      </c>
      <c r="W2983" t="str">
        <f t="shared" si="247"/>
        <v>MVS</v>
      </c>
      <c r="AB2983" t="s">
        <v>24</v>
      </c>
      <c r="AE2983" t="s">
        <v>65</v>
      </c>
      <c r="AH2983" t="s">
        <v>895</v>
      </c>
      <c r="AI2983" t="s">
        <v>9</v>
      </c>
      <c r="AJ2983" t="s">
        <v>11</v>
      </c>
      <c r="AK2983" t="s">
        <v>894</v>
      </c>
      <c r="AL2983" t="s">
        <v>893</v>
      </c>
    </row>
    <row r="2984" spans="5:44" x14ac:dyDescent="0.25">
      <c r="I2984" t="str">
        <f t="shared" si="244"/>
        <v>ct2k3sa</v>
      </c>
      <c r="J2984" t="str">
        <f t="shared" si="245"/>
        <v/>
      </c>
      <c r="L2984" t="str">
        <f t="shared" si="248"/>
        <v/>
      </c>
      <c r="M2984" t="str">
        <f t="shared" si="248"/>
        <v/>
      </c>
      <c r="N2984" t="str">
        <f t="shared" si="248"/>
        <v/>
      </c>
      <c r="O2984" t="str">
        <f t="shared" si="248"/>
        <v>Super Plus text remains on screen during gameplay</v>
      </c>
      <c r="P2984" t="str">
        <f t="shared" si="248"/>
        <v/>
      </c>
      <c r="T2984" t="str">
        <f t="shared" si="246"/>
        <v/>
      </c>
      <c r="V2984" t="str">
        <f t="shared" si="247"/>
        <v>MVS</v>
      </c>
      <c r="W2984" t="str">
        <f t="shared" si="247"/>
        <v>MVS</v>
      </c>
      <c r="AH2984" t="s">
        <v>892</v>
      </c>
      <c r="AI2984" t="s">
        <v>11</v>
      </c>
      <c r="AJ2984" t="s">
        <v>11</v>
      </c>
      <c r="AK2984" t="s">
        <v>891</v>
      </c>
      <c r="AL2984" t="s">
        <v>890</v>
      </c>
    </row>
    <row r="2985" spans="5:44" x14ac:dyDescent="0.25">
      <c r="I2985" t="str">
        <f t="shared" si="244"/>
        <v>ct2k3sa</v>
      </c>
      <c r="J2985" t="str">
        <f t="shared" si="245"/>
        <v/>
      </c>
      <c r="L2985" t="str">
        <f t="shared" si="248"/>
        <v/>
      </c>
      <c r="M2985" t="str">
        <f t="shared" si="248"/>
        <v/>
      </c>
      <c r="N2985" t="str">
        <f t="shared" si="248"/>
        <v/>
      </c>
      <c r="O2985" t="str">
        <f t="shared" si="248"/>
        <v>Super Plus text remains on screen during gameplay</v>
      </c>
      <c r="P2985" t="str">
        <f t="shared" si="248"/>
        <v/>
      </c>
      <c r="T2985" t="str">
        <f t="shared" si="246"/>
        <v/>
      </c>
      <c r="V2985" t="str">
        <f t="shared" si="247"/>
        <v>MVS</v>
      </c>
      <c r="W2985" t="str">
        <f t="shared" si="247"/>
        <v>MVS</v>
      </c>
      <c r="AH2985" t="s">
        <v>889</v>
      </c>
      <c r="AI2985" t="s">
        <v>57</v>
      </c>
      <c r="AJ2985" t="s">
        <v>11</v>
      </c>
      <c r="AK2985" t="s">
        <v>888</v>
      </c>
      <c r="AL2985" t="s">
        <v>887</v>
      </c>
    </row>
    <row r="2986" spans="5:44" x14ac:dyDescent="0.25">
      <c r="I2986" t="str">
        <f t="shared" si="244"/>
        <v>ct2k3sa</v>
      </c>
      <c r="J2986" t="str">
        <f t="shared" si="245"/>
        <v/>
      </c>
      <c r="L2986" t="str">
        <f t="shared" si="248"/>
        <v/>
      </c>
      <c r="M2986" t="str">
        <f t="shared" si="248"/>
        <v/>
      </c>
      <c r="N2986" t="str">
        <f t="shared" si="248"/>
        <v/>
      </c>
      <c r="O2986" t="str">
        <f t="shared" si="248"/>
        <v>Super Plus text remains on screen during gameplay</v>
      </c>
      <c r="P2986" t="str">
        <f t="shared" si="248"/>
        <v/>
      </c>
      <c r="T2986" t="str">
        <f t="shared" si="246"/>
        <v/>
      </c>
      <c r="V2986" t="str">
        <f t="shared" si="247"/>
        <v>MVS</v>
      </c>
      <c r="W2986" t="str">
        <f t="shared" si="247"/>
        <v>MVS</v>
      </c>
      <c r="AH2986" t="s">
        <v>886</v>
      </c>
      <c r="AI2986" t="s">
        <v>250</v>
      </c>
      <c r="AJ2986" t="s">
        <v>11</v>
      </c>
      <c r="AK2986" t="s">
        <v>885</v>
      </c>
      <c r="AL2986" t="s">
        <v>884</v>
      </c>
    </row>
    <row r="2987" spans="5:44" x14ac:dyDescent="0.25">
      <c r="I2987" t="str">
        <f t="shared" si="244"/>
        <v>ct2k3sa</v>
      </c>
      <c r="J2987" t="str">
        <f t="shared" si="245"/>
        <v/>
      </c>
      <c r="L2987" t="str">
        <f t="shared" si="248"/>
        <v/>
      </c>
      <c r="M2987" t="str">
        <f t="shared" si="248"/>
        <v/>
      </c>
      <c r="N2987" t="str">
        <f t="shared" si="248"/>
        <v/>
      </c>
      <c r="O2987" t="str">
        <f t="shared" si="248"/>
        <v>Super Plus text remains on screen during gameplay</v>
      </c>
      <c r="P2987" t="str">
        <f t="shared" si="248"/>
        <v/>
      </c>
      <c r="T2987" t="str">
        <f t="shared" si="246"/>
        <v/>
      </c>
      <c r="V2987" t="str">
        <f t="shared" si="247"/>
        <v>MVS</v>
      </c>
      <c r="W2987" t="str">
        <f t="shared" si="247"/>
        <v>MVS</v>
      </c>
      <c r="AB2987" t="s">
        <v>12</v>
      </c>
      <c r="AE2987" t="s">
        <v>175</v>
      </c>
      <c r="AG2987" t="s">
        <v>6</v>
      </c>
      <c r="AH2987" t="s">
        <v>883</v>
      </c>
      <c r="AI2987" t="s">
        <v>9</v>
      </c>
      <c r="AJ2987" t="s">
        <v>57</v>
      </c>
      <c r="AK2987" t="s">
        <v>882</v>
      </c>
      <c r="AL2987" t="s">
        <v>881</v>
      </c>
    </row>
    <row r="2988" spans="5:44" x14ac:dyDescent="0.25">
      <c r="I2988" t="str">
        <f t="shared" si="244"/>
        <v>ct2k3sa</v>
      </c>
      <c r="J2988" t="str">
        <f t="shared" si="245"/>
        <v/>
      </c>
      <c r="L2988" t="str">
        <f t="shared" si="248"/>
        <v/>
      </c>
      <c r="M2988" t="str">
        <f t="shared" si="248"/>
        <v/>
      </c>
      <c r="N2988" t="str">
        <f t="shared" si="248"/>
        <v/>
      </c>
      <c r="O2988" t="str">
        <f t="shared" si="248"/>
        <v>Super Plus text remains on screen during gameplay</v>
      </c>
      <c r="P2988" t="str">
        <f t="shared" si="248"/>
        <v/>
      </c>
      <c r="T2988" t="str">
        <f t="shared" si="246"/>
        <v/>
      </c>
      <c r="V2988" t="str">
        <f t="shared" si="247"/>
        <v>MVS</v>
      </c>
      <c r="W2988" t="str">
        <f t="shared" si="247"/>
        <v>MVS</v>
      </c>
      <c r="AG2988" t="s">
        <v>6</v>
      </c>
      <c r="AH2988" t="s">
        <v>880</v>
      </c>
      <c r="AI2988" t="s">
        <v>4</v>
      </c>
      <c r="AJ2988" t="s">
        <v>57</v>
      </c>
      <c r="AK2988" t="s">
        <v>879</v>
      </c>
      <c r="AL2988" t="s">
        <v>878</v>
      </c>
    </row>
    <row r="2989" spans="5:44" x14ac:dyDescent="0.25">
      <c r="I2989" t="str">
        <f t="shared" si="244"/>
        <v>ct2k3sa</v>
      </c>
      <c r="J2989" t="str">
        <f t="shared" si="245"/>
        <v/>
      </c>
      <c r="L2989" t="str">
        <f t="shared" si="248"/>
        <v/>
      </c>
      <c r="M2989" t="str">
        <f t="shared" si="248"/>
        <v/>
      </c>
      <c r="N2989" t="str">
        <f t="shared" si="248"/>
        <v/>
      </c>
      <c r="O2989" t="str">
        <f t="shared" si="248"/>
        <v>Super Plus text remains on screen during gameplay</v>
      </c>
      <c r="P2989" t="str">
        <f t="shared" si="248"/>
        <v/>
      </c>
      <c r="T2989" t="str">
        <f t="shared" si="246"/>
        <v/>
      </c>
      <c r="V2989" t="str">
        <f t="shared" si="247"/>
        <v>MVS</v>
      </c>
      <c r="W2989" t="str">
        <f t="shared" si="247"/>
        <v>MVS</v>
      </c>
      <c r="AG2989" t="s">
        <v>6</v>
      </c>
      <c r="AH2989" t="s">
        <v>877</v>
      </c>
      <c r="AI2989" t="s">
        <v>65</v>
      </c>
      <c r="AJ2989" t="s">
        <v>57</v>
      </c>
      <c r="AK2989" t="s">
        <v>876</v>
      </c>
      <c r="AL2989" t="s">
        <v>875</v>
      </c>
    </row>
    <row r="2990" spans="5:44" x14ac:dyDescent="0.25">
      <c r="I2990" t="str">
        <f t="shared" si="244"/>
        <v>ct2k3sa</v>
      </c>
      <c r="J2990" t="str">
        <f t="shared" si="245"/>
        <v/>
      </c>
      <c r="L2990" t="str">
        <f t="shared" si="248"/>
        <v/>
      </c>
      <c r="M2990" t="str">
        <f t="shared" si="248"/>
        <v/>
      </c>
      <c r="N2990" t="str">
        <f t="shared" si="248"/>
        <v/>
      </c>
      <c r="O2990" t="str">
        <f t="shared" si="248"/>
        <v>Super Plus text remains on screen during gameplay</v>
      </c>
      <c r="P2990" t="str">
        <f t="shared" si="248"/>
        <v/>
      </c>
      <c r="T2990" t="str">
        <f t="shared" si="246"/>
        <v/>
      </c>
      <c r="V2990" t="str">
        <f t="shared" si="247"/>
        <v>MVS</v>
      </c>
      <c r="W2990" t="str">
        <f t="shared" si="247"/>
        <v>MVS</v>
      </c>
      <c r="AG2990" t="s">
        <v>6</v>
      </c>
      <c r="AH2990" t="s">
        <v>874</v>
      </c>
      <c r="AI2990" t="s">
        <v>164</v>
      </c>
      <c r="AJ2990" t="s">
        <v>57</v>
      </c>
      <c r="AK2990" t="s">
        <v>873</v>
      </c>
      <c r="AL2990" t="s">
        <v>872</v>
      </c>
    </row>
    <row r="2991" spans="5:44" x14ac:dyDescent="0.25">
      <c r="I2991" t="str">
        <f t="shared" si="244"/>
        <v>ct2k3sa</v>
      </c>
      <c r="J2991" t="str">
        <f t="shared" si="245"/>
        <v/>
      </c>
      <c r="L2991" t="str">
        <f t="shared" si="248"/>
        <v/>
      </c>
      <c r="M2991" t="str">
        <f t="shared" si="248"/>
        <v/>
      </c>
      <c r="N2991" t="str">
        <f t="shared" si="248"/>
        <v/>
      </c>
      <c r="O2991" t="str">
        <f t="shared" si="248"/>
        <v>Super Plus text remains on screen during gameplay</v>
      </c>
      <c r="P2991" t="str">
        <f t="shared" si="248"/>
        <v/>
      </c>
      <c r="T2991" t="str">
        <f t="shared" si="246"/>
        <v/>
      </c>
      <c r="V2991" t="str">
        <f t="shared" si="247"/>
        <v>MVS</v>
      </c>
      <c r="W2991" t="str">
        <f t="shared" si="247"/>
        <v>MVS</v>
      </c>
      <c r="AG2991" t="s">
        <v>6</v>
      </c>
      <c r="AH2991" t="s">
        <v>871</v>
      </c>
      <c r="AI2991" t="s">
        <v>160</v>
      </c>
      <c r="AJ2991" t="s">
        <v>57</v>
      </c>
      <c r="AK2991" t="s">
        <v>870</v>
      </c>
      <c r="AL2991" t="s">
        <v>869</v>
      </c>
    </row>
    <row r="2992" spans="5:44" x14ac:dyDescent="0.25">
      <c r="I2992" t="str">
        <f t="shared" si="244"/>
        <v>ct2k3sa</v>
      </c>
      <c r="J2992" t="str">
        <f t="shared" si="245"/>
        <v/>
      </c>
      <c r="L2992" t="str">
        <f t="shared" si="248"/>
        <v/>
      </c>
      <c r="M2992" t="str">
        <f t="shared" si="248"/>
        <v/>
      </c>
      <c r="N2992" t="str">
        <f t="shared" si="248"/>
        <v/>
      </c>
      <c r="O2992" t="str">
        <f t="shared" si="248"/>
        <v>Super Plus text remains on screen during gameplay</v>
      </c>
      <c r="P2992" t="str">
        <f t="shared" si="248"/>
        <v/>
      </c>
      <c r="T2992" t="str">
        <f t="shared" si="246"/>
        <v/>
      </c>
      <c r="V2992" t="str">
        <f t="shared" si="247"/>
        <v>MVS</v>
      </c>
      <c r="W2992" t="str">
        <f t="shared" si="247"/>
        <v>MVS</v>
      </c>
      <c r="AG2992" t="s">
        <v>6</v>
      </c>
      <c r="AH2992" t="s">
        <v>868</v>
      </c>
      <c r="AI2992" t="s">
        <v>156</v>
      </c>
      <c r="AJ2992" t="s">
        <v>57</v>
      </c>
      <c r="AK2992" t="s">
        <v>867</v>
      </c>
      <c r="AL2992" t="s">
        <v>866</v>
      </c>
    </row>
    <row r="2993" spans="5:44" x14ac:dyDescent="0.25">
      <c r="I2993" t="str">
        <f t="shared" si="244"/>
        <v>ct2k3sa</v>
      </c>
      <c r="J2993" t="str">
        <f t="shared" si="245"/>
        <v/>
      </c>
      <c r="L2993" t="str">
        <f t="shared" si="248"/>
        <v/>
      </c>
      <c r="M2993" t="str">
        <f t="shared" si="248"/>
        <v/>
      </c>
      <c r="N2993" t="str">
        <f t="shared" si="248"/>
        <v/>
      </c>
      <c r="O2993" t="str">
        <f t="shared" si="248"/>
        <v>Super Plus text remains on screen during gameplay</v>
      </c>
      <c r="P2993" t="str">
        <f t="shared" si="248"/>
        <v/>
      </c>
      <c r="T2993" t="str">
        <f t="shared" si="246"/>
        <v/>
      </c>
      <c r="V2993" t="str">
        <f t="shared" si="247"/>
        <v>MVS</v>
      </c>
      <c r="W2993" t="str">
        <f t="shared" si="247"/>
        <v>MVS</v>
      </c>
      <c r="AG2993" t="s">
        <v>6</v>
      </c>
      <c r="AH2993" t="s">
        <v>865</v>
      </c>
      <c r="AI2993" t="s">
        <v>152</v>
      </c>
      <c r="AJ2993" t="s">
        <v>57</v>
      </c>
      <c r="AK2993" t="s">
        <v>864</v>
      </c>
      <c r="AL2993" t="s">
        <v>863</v>
      </c>
    </row>
    <row r="2994" spans="5:44" x14ac:dyDescent="0.25">
      <c r="I2994" t="str">
        <f t="shared" si="244"/>
        <v>ct2k3sa</v>
      </c>
      <c r="J2994" t="str">
        <f t="shared" si="245"/>
        <v/>
      </c>
      <c r="L2994" t="str">
        <f t="shared" si="248"/>
        <v/>
      </c>
      <c r="M2994" t="str">
        <f t="shared" si="248"/>
        <v/>
      </c>
      <c r="N2994" t="str">
        <f t="shared" si="248"/>
        <v/>
      </c>
      <c r="O2994" t="str">
        <f t="shared" si="248"/>
        <v>Super Plus text remains on screen during gameplay</v>
      </c>
      <c r="P2994" t="str">
        <f t="shared" si="248"/>
        <v/>
      </c>
      <c r="T2994" t="str">
        <f t="shared" si="246"/>
        <v/>
      </c>
      <c r="V2994" t="str">
        <f t="shared" si="247"/>
        <v>MVS</v>
      </c>
      <c r="W2994" t="str">
        <f t="shared" si="247"/>
        <v>MVS</v>
      </c>
      <c r="AG2994" t="s">
        <v>6</v>
      </c>
      <c r="AH2994" t="s">
        <v>862</v>
      </c>
      <c r="AI2994" t="s">
        <v>148</v>
      </c>
      <c r="AJ2994" t="s">
        <v>57</v>
      </c>
      <c r="AK2994" t="s">
        <v>861</v>
      </c>
      <c r="AL2994" t="s">
        <v>860</v>
      </c>
    </row>
    <row r="2995" spans="5:44" x14ac:dyDescent="0.25">
      <c r="E2995" t="s">
        <v>859</v>
      </c>
      <c r="F2995" t="s">
        <v>858</v>
      </c>
      <c r="G2995" t="s">
        <v>547</v>
      </c>
      <c r="H2995" t="s">
        <v>194</v>
      </c>
      <c r="I2995" t="str">
        <f t="shared" si="244"/>
        <v>ms4plus</v>
      </c>
      <c r="J2995" t="str">
        <f t="shared" si="245"/>
        <v>ms4pluscompat_note</v>
      </c>
      <c r="K2995" t="s">
        <v>111</v>
      </c>
      <c r="L2995" t="str">
        <f t="shared" si="248"/>
        <v/>
      </c>
      <c r="M2995" t="str">
        <f t="shared" si="248"/>
        <v/>
      </c>
      <c r="N2995" t="str">
        <f t="shared" si="248"/>
        <v/>
      </c>
      <c r="O2995" t="str">
        <f t="shared" si="248"/>
        <v>Plus text remains on screen during gameplay</v>
      </c>
      <c r="P2995" t="str">
        <f t="shared" si="248"/>
        <v/>
      </c>
      <c r="Q2995" t="s">
        <v>212</v>
      </c>
      <c r="S2995" t="s">
        <v>46</v>
      </c>
      <c r="T2995" t="str">
        <f t="shared" si="246"/>
        <v>ms4plusrelease</v>
      </c>
      <c r="U2995" t="s">
        <v>106</v>
      </c>
      <c r="V2995" t="str">
        <f t="shared" si="247"/>
        <v>MVS</v>
      </c>
      <c r="W2995" t="str">
        <f t="shared" si="247"/>
        <v>MVS</v>
      </c>
      <c r="Y2995" t="s">
        <v>45</v>
      </c>
      <c r="Z2995" t="s">
        <v>44</v>
      </c>
      <c r="AB2995" t="s">
        <v>43</v>
      </c>
      <c r="AC2995" t="s">
        <v>42</v>
      </c>
      <c r="AD2995" t="s">
        <v>41</v>
      </c>
      <c r="AE2995" t="s">
        <v>23</v>
      </c>
      <c r="AG2995" t="s">
        <v>40</v>
      </c>
      <c r="AH2995" t="s">
        <v>857</v>
      </c>
      <c r="AI2995" t="s">
        <v>9</v>
      </c>
      <c r="AJ2995" t="s">
        <v>15</v>
      </c>
      <c r="AK2995" t="s">
        <v>856</v>
      </c>
      <c r="AL2995" t="s">
        <v>855</v>
      </c>
      <c r="AP2995" t="s">
        <v>138</v>
      </c>
      <c r="AQ2995" t="s">
        <v>854</v>
      </c>
      <c r="AR2995" t="s">
        <v>853</v>
      </c>
    </row>
    <row r="2996" spans="5:44" x14ac:dyDescent="0.25">
      <c r="I2996" t="str">
        <f t="shared" si="244"/>
        <v>ms4plus</v>
      </c>
      <c r="J2996" t="str">
        <f t="shared" si="245"/>
        <v/>
      </c>
      <c r="L2996" t="str">
        <f t="shared" si="248"/>
        <v/>
      </c>
      <c r="M2996" t="str">
        <f t="shared" si="248"/>
        <v/>
      </c>
      <c r="N2996" t="str">
        <f t="shared" si="248"/>
        <v/>
      </c>
      <c r="O2996" t="str">
        <f t="shared" si="248"/>
        <v>Plus text remains on screen during gameplay</v>
      </c>
      <c r="P2996" t="str">
        <f t="shared" si="248"/>
        <v/>
      </c>
      <c r="S2996" t="s">
        <v>36</v>
      </c>
      <c r="T2996" t="str">
        <f t="shared" si="246"/>
        <v>ms4pluscompatibility</v>
      </c>
      <c r="U2996" t="s">
        <v>106</v>
      </c>
      <c r="V2996" t="str">
        <f t="shared" si="247"/>
        <v>MVS</v>
      </c>
      <c r="W2996" t="str">
        <f t="shared" si="247"/>
        <v>MVS</v>
      </c>
      <c r="AG2996" t="s">
        <v>40</v>
      </c>
      <c r="AH2996" t="s">
        <v>852</v>
      </c>
      <c r="AI2996" t="s">
        <v>15</v>
      </c>
      <c r="AJ2996" t="s">
        <v>11</v>
      </c>
      <c r="AK2996" t="s">
        <v>851</v>
      </c>
      <c r="AL2996" t="s">
        <v>850</v>
      </c>
    </row>
    <row r="2997" spans="5:44" x14ac:dyDescent="0.25">
      <c r="I2997" t="str">
        <f t="shared" si="244"/>
        <v>ms4plus</v>
      </c>
      <c r="J2997" t="str">
        <f t="shared" si="245"/>
        <v/>
      </c>
      <c r="L2997" t="str">
        <f t="shared" si="248"/>
        <v/>
      </c>
      <c r="M2997" t="str">
        <f t="shared" si="248"/>
        <v/>
      </c>
      <c r="N2997" t="str">
        <f t="shared" si="248"/>
        <v/>
      </c>
      <c r="O2997" t="str">
        <f t="shared" si="248"/>
        <v>Plus text remains on screen during gameplay</v>
      </c>
      <c r="P2997" t="str">
        <f t="shared" si="248"/>
        <v/>
      </c>
      <c r="T2997" t="str">
        <f t="shared" si="246"/>
        <v/>
      </c>
      <c r="V2997" t="str">
        <f t="shared" si="247"/>
        <v>MVS</v>
      </c>
      <c r="W2997" t="str">
        <f t="shared" si="247"/>
        <v>MVS</v>
      </c>
      <c r="AB2997" t="s">
        <v>34</v>
      </c>
      <c r="AE2997" t="s">
        <v>33</v>
      </c>
      <c r="AH2997" t="s">
        <v>849</v>
      </c>
      <c r="AI2997" t="s">
        <v>9</v>
      </c>
      <c r="AJ2997" t="s">
        <v>27</v>
      </c>
      <c r="AK2997" t="s">
        <v>848</v>
      </c>
      <c r="AL2997" t="s">
        <v>847</v>
      </c>
    </row>
    <row r="2998" spans="5:44" x14ac:dyDescent="0.25">
      <c r="I2998" t="str">
        <f t="shared" si="244"/>
        <v>ms4plus</v>
      </c>
      <c r="J2998" t="str">
        <f t="shared" si="245"/>
        <v/>
      </c>
      <c r="L2998" t="str">
        <f t="shared" si="248"/>
        <v/>
      </c>
      <c r="M2998" t="str">
        <f t="shared" si="248"/>
        <v/>
      </c>
      <c r="N2998" t="str">
        <f t="shared" si="248"/>
        <v/>
      </c>
      <c r="O2998" t="str">
        <f t="shared" si="248"/>
        <v>Plus text remains on screen during gameplay</v>
      </c>
      <c r="P2998" t="str">
        <f t="shared" si="248"/>
        <v/>
      </c>
      <c r="T2998" t="str">
        <f t="shared" si="246"/>
        <v/>
      </c>
      <c r="V2998" t="str">
        <f t="shared" si="247"/>
        <v>MVS</v>
      </c>
      <c r="W2998" t="str">
        <f t="shared" si="247"/>
        <v>MVS</v>
      </c>
      <c r="AB2998" t="s">
        <v>482</v>
      </c>
      <c r="AE2998" t="s">
        <v>480</v>
      </c>
      <c r="AH2998" t="s">
        <v>846</v>
      </c>
      <c r="AI2998" t="s">
        <v>314</v>
      </c>
      <c r="AJ2998" t="s">
        <v>135</v>
      </c>
      <c r="AK2998" t="s">
        <v>845</v>
      </c>
      <c r="AL2998" t="s">
        <v>844</v>
      </c>
    </row>
    <row r="2999" spans="5:44" x14ac:dyDescent="0.25">
      <c r="I2999" t="str">
        <f t="shared" si="244"/>
        <v>ms4plus</v>
      </c>
      <c r="J2999" t="str">
        <f t="shared" si="245"/>
        <v/>
      </c>
      <c r="L2999" t="str">
        <f t="shared" si="248"/>
        <v/>
      </c>
      <c r="M2999" t="str">
        <f t="shared" si="248"/>
        <v/>
      </c>
      <c r="N2999" t="str">
        <f t="shared" si="248"/>
        <v/>
      </c>
      <c r="O2999" t="str">
        <f t="shared" si="248"/>
        <v>Plus text remains on screen during gameplay</v>
      </c>
      <c r="P2999" t="str">
        <f t="shared" si="248"/>
        <v/>
      </c>
      <c r="T2999" t="str">
        <f t="shared" si="246"/>
        <v/>
      </c>
      <c r="V2999" t="str">
        <f t="shared" si="247"/>
        <v>MVS</v>
      </c>
      <c r="W2999" t="str">
        <f t="shared" si="247"/>
        <v>MVS</v>
      </c>
      <c r="AB2999" t="s">
        <v>24</v>
      </c>
      <c r="AE2999" t="s">
        <v>65</v>
      </c>
      <c r="AH2999" t="s">
        <v>843</v>
      </c>
      <c r="AI2999" t="s">
        <v>9</v>
      </c>
      <c r="AJ2999" t="s">
        <v>57</v>
      </c>
      <c r="AK2999" t="s">
        <v>842</v>
      </c>
      <c r="AL2999" t="s">
        <v>841</v>
      </c>
    </row>
    <row r="3000" spans="5:44" x14ac:dyDescent="0.25">
      <c r="I3000" t="str">
        <f t="shared" si="244"/>
        <v>ms4plus</v>
      </c>
      <c r="J3000" t="str">
        <f t="shared" si="245"/>
        <v/>
      </c>
      <c r="L3000" t="str">
        <f t="shared" si="248"/>
        <v/>
      </c>
      <c r="M3000" t="str">
        <f t="shared" si="248"/>
        <v/>
      </c>
      <c r="N3000" t="str">
        <f t="shared" si="248"/>
        <v/>
      </c>
      <c r="O3000" t="str">
        <f t="shared" si="248"/>
        <v>Plus text remains on screen during gameplay</v>
      </c>
      <c r="P3000" t="str">
        <f t="shared" si="248"/>
        <v/>
      </c>
      <c r="T3000" t="str">
        <f t="shared" si="246"/>
        <v/>
      </c>
      <c r="V3000" t="str">
        <f t="shared" si="247"/>
        <v>MVS</v>
      </c>
      <c r="W3000" t="str">
        <f t="shared" si="247"/>
        <v>MVS</v>
      </c>
      <c r="AH3000" t="s">
        <v>840</v>
      </c>
      <c r="AI3000" t="s">
        <v>57</v>
      </c>
      <c r="AJ3000" t="s">
        <v>57</v>
      </c>
      <c r="AK3000" t="s">
        <v>839</v>
      </c>
      <c r="AL3000" t="s">
        <v>838</v>
      </c>
    </row>
    <row r="3001" spans="5:44" x14ac:dyDescent="0.25">
      <c r="I3001" t="str">
        <f t="shared" si="244"/>
        <v>ms4plus</v>
      </c>
      <c r="J3001" t="str">
        <f t="shared" si="245"/>
        <v/>
      </c>
      <c r="L3001" t="str">
        <f t="shared" si="248"/>
        <v/>
      </c>
      <c r="M3001" t="str">
        <f t="shared" si="248"/>
        <v/>
      </c>
      <c r="N3001" t="str">
        <f t="shared" si="248"/>
        <v/>
      </c>
      <c r="O3001" t="str">
        <f t="shared" si="248"/>
        <v>Plus text remains on screen during gameplay</v>
      </c>
      <c r="P3001" t="str">
        <f t="shared" si="248"/>
        <v/>
      </c>
      <c r="T3001" t="str">
        <f t="shared" si="246"/>
        <v/>
      </c>
      <c r="V3001" t="str">
        <f t="shared" si="247"/>
        <v>MVS</v>
      </c>
      <c r="W3001" t="str">
        <f t="shared" si="247"/>
        <v>MVS</v>
      </c>
      <c r="AB3001" t="s">
        <v>12</v>
      </c>
      <c r="AE3001" t="s">
        <v>152</v>
      </c>
      <c r="AG3001" t="s">
        <v>6</v>
      </c>
      <c r="AH3001" t="s">
        <v>837</v>
      </c>
      <c r="AI3001" t="s">
        <v>9</v>
      </c>
      <c r="AJ3001" t="s">
        <v>57</v>
      </c>
      <c r="AK3001" t="s">
        <v>836</v>
      </c>
      <c r="AL3001" t="s">
        <v>835</v>
      </c>
    </row>
    <row r="3002" spans="5:44" x14ac:dyDescent="0.25">
      <c r="I3002" t="str">
        <f t="shared" si="244"/>
        <v>ms4plus</v>
      </c>
      <c r="J3002" t="str">
        <f t="shared" si="245"/>
        <v/>
      </c>
      <c r="L3002" t="str">
        <f t="shared" si="248"/>
        <v/>
      </c>
      <c r="M3002" t="str">
        <f t="shared" si="248"/>
        <v/>
      </c>
      <c r="N3002" t="str">
        <f t="shared" si="248"/>
        <v/>
      </c>
      <c r="O3002" t="str">
        <f t="shared" si="248"/>
        <v>Plus text remains on screen during gameplay</v>
      </c>
      <c r="P3002" t="str">
        <f t="shared" si="248"/>
        <v/>
      </c>
      <c r="T3002" t="str">
        <f t="shared" si="246"/>
        <v/>
      </c>
      <c r="V3002" t="str">
        <f t="shared" si="247"/>
        <v>MVS</v>
      </c>
      <c r="W3002" t="str">
        <f t="shared" si="247"/>
        <v>MVS</v>
      </c>
      <c r="AG3002" t="s">
        <v>6</v>
      </c>
      <c r="AH3002" t="s">
        <v>834</v>
      </c>
      <c r="AI3002" t="s">
        <v>4</v>
      </c>
      <c r="AJ3002" t="s">
        <v>57</v>
      </c>
      <c r="AK3002" t="s">
        <v>833</v>
      </c>
      <c r="AL3002" t="s">
        <v>832</v>
      </c>
    </row>
    <row r="3003" spans="5:44" x14ac:dyDescent="0.25">
      <c r="I3003" t="str">
        <f t="shared" si="244"/>
        <v>ms4plus</v>
      </c>
      <c r="J3003" t="str">
        <f t="shared" si="245"/>
        <v/>
      </c>
      <c r="L3003" t="str">
        <f t="shared" si="248"/>
        <v/>
      </c>
      <c r="M3003" t="str">
        <f t="shared" si="248"/>
        <v/>
      </c>
      <c r="N3003" t="str">
        <f t="shared" si="248"/>
        <v/>
      </c>
      <c r="O3003" t="str">
        <f t="shared" si="248"/>
        <v>Plus text remains on screen during gameplay</v>
      </c>
      <c r="P3003" t="str">
        <f t="shared" si="248"/>
        <v/>
      </c>
      <c r="T3003" t="str">
        <f t="shared" si="246"/>
        <v/>
      </c>
      <c r="V3003" t="str">
        <f t="shared" si="247"/>
        <v>MVS</v>
      </c>
      <c r="W3003" t="str">
        <f t="shared" si="247"/>
        <v>MVS</v>
      </c>
      <c r="AG3003" t="s">
        <v>6</v>
      </c>
      <c r="AH3003" t="s">
        <v>831</v>
      </c>
      <c r="AI3003" t="s">
        <v>65</v>
      </c>
      <c r="AJ3003" t="s">
        <v>57</v>
      </c>
      <c r="AK3003" t="s">
        <v>830</v>
      </c>
      <c r="AL3003" t="s">
        <v>829</v>
      </c>
    </row>
    <row r="3004" spans="5:44" x14ac:dyDescent="0.25">
      <c r="I3004" t="str">
        <f t="shared" si="244"/>
        <v>ms4plus</v>
      </c>
      <c r="J3004" t="str">
        <f t="shared" si="245"/>
        <v/>
      </c>
      <c r="L3004" t="str">
        <f t="shared" si="248"/>
        <v/>
      </c>
      <c r="M3004" t="str">
        <f t="shared" si="248"/>
        <v/>
      </c>
      <c r="N3004" t="str">
        <f t="shared" si="248"/>
        <v/>
      </c>
      <c r="O3004" t="str">
        <f t="shared" si="248"/>
        <v>Plus text remains on screen during gameplay</v>
      </c>
      <c r="P3004" t="str">
        <f t="shared" si="248"/>
        <v/>
      </c>
      <c r="T3004" t="str">
        <f t="shared" si="246"/>
        <v/>
      </c>
      <c r="V3004" t="str">
        <f t="shared" si="247"/>
        <v>MVS</v>
      </c>
      <c r="W3004" t="str">
        <f t="shared" si="247"/>
        <v>MVS</v>
      </c>
      <c r="AG3004" t="s">
        <v>6</v>
      </c>
      <c r="AH3004" t="s">
        <v>828</v>
      </c>
      <c r="AI3004" t="s">
        <v>164</v>
      </c>
      <c r="AJ3004" t="s">
        <v>57</v>
      </c>
      <c r="AK3004" t="s">
        <v>827</v>
      </c>
      <c r="AL3004" t="s">
        <v>826</v>
      </c>
    </row>
    <row r="3005" spans="5:44" x14ac:dyDescent="0.25">
      <c r="I3005" t="str">
        <f t="shared" si="244"/>
        <v>ms4plus</v>
      </c>
      <c r="J3005" t="str">
        <f t="shared" si="245"/>
        <v/>
      </c>
      <c r="L3005" t="str">
        <f t="shared" si="248"/>
        <v/>
      </c>
      <c r="M3005" t="str">
        <f t="shared" si="248"/>
        <v/>
      </c>
      <c r="N3005" t="str">
        <f t="shared" si="248"/>
        <v/>
      </c>
      <c r="O3005" t="str">
        <f t="shared" si="248"/>
        <v>Plus text remains on screen during gameplay</v>
      </c>
      <c r="P3005" t="str">
        <f t="shared" si="248"/>
        <v/>
      </c>
      <c r="T3005" t="str">
        <f t="shared" si="246"/>
        <v/>
      </c>
      <c r="V3005" t="str">
        <f t="shared" si="247"/>
        <v>MVS</v>
      </c>
      <c r="W3005" t="str">
        <f t="shared" si="247"/>
        <v>MVS</v>
      </c>
      <c r="AG3005" t="s">
        <v>6</v>
      </c>
      <c r="AH3005" t="s">
        <v>825</v>
      </c>
      <c r="AI3005" t="s">
        <v>160</v>
      </c>
      <c r="AJ3005" t="s">
        <v>57</v>
      </c>
      <c r="AK3005" t="s">
        <v>824</v>
      </c>
      <c r="AL3005" t="s">
        <v>823</v>
      </c>
    </row>
    <row r="3006" spans="5:44" x14ac:dyDescent="0.25">
      <c r="I3006" t="str">
        <f t="shared" si="244"/>
        <v>ms4plus</v>
      </c>
      <c r="J3006" t="str">
        <f t="shared" si="245"/>
        <v/>
      </c>
      <c r="L3006" t="str">
        <f t="shared" si="248"/>
        <v/>
      </c>
      <c r="M3006" t="str">
        <f t="shared" si="248"/>
        <v/>
      </c>
      <c r="N3006" t="str">
        <f t="shared" si="248"/>
        <v/>
      </c>
      <c r="O3006" t="str">
        <f t="shared" si="248"/>
        <v>Plus text remains on screen during gameplay</v>
      </c>
      <c r="P3006" t="str">
        <f t="shared" si="248"/>
        <v/>
      </c>
      <c r="T3006" t="str">
        <f t="shared" si="246"/>
        <v/>
      </c>
      <c r="V3006" t="str">
        <f t="shared" si="247"/>
        <v>MVS</v>
      </c>
      <c r="W3006" t="str">
        <f t="shared" si="247"/>
        <v>MVS</v>
      </c>
      <c r="AG3006" t="s">
        <v>6</v>
      </c>
      <c r="AH3006" t="s">
        <v>822</v>
      </c>
      <c r="AI3006" t="s">
        <v>156</v>
      </c>
      <c r="AJ3006" t="s">
        <v>57</v>
      </c>
      <c r="AK3006" t="s">
        <v>821</v>
      </c>
      <c r="AL3006" t="s">
        <v>820</v>
      </c>
    </row>
    <row r="3007" spans="5:44" x14ac:dyDescent="0.25">
      <c r="E3007" t="s">
        <v>819</v>
      </c>
      <c r="F3007" t="s">
        <v>818</v>
      </c>
      <c r="G3007" t="s">
        <v>547</v>
      </c>
      <c r="H3007" t="s">
        <v>194</v>
      </c>
      <c r="I3007" t="str">
        <f t="shared" si="244"/>
        <v>kof2002b</v>
      </c>
      <c r="J3007" t="str">
        <f t="shared" si="245"/>
        <v/>
      </c>
      <c r="L3007" t="str">
        <f t="shared" si="248"/>
        <v/>
      </c>
      <c r="M3007" t="str">
        <f t="shared" si="248"/>
        <v/>
      </c>
      <c r="N3007" t="str">
        <f t="shared" si="248"/>
        <v/>
      </c>
      <c r="O3007" t="str">
        <f t="shared" si="248"/>
        <v/>
      </c>
      <c r="P3007" t="str">
        <f t="shared" si="248"/>
        <v/>
      </c>
      <c r="S3007" t="s">
        <v>46</v>
      </c>
      <c r="T3007" t="str">
        <f t="shared" si="246"/>
        <v>kof2002brelease</v>
      </c>
      <c r="U3007" t="s">
        <v>106</v>
      </c>
      <c r="V3007" t="str">
        <f t="shared" si="247"/>
        <v>MVS</v>
      </c>
      <c r="W3007" t="str">
        <f t="shared" si="247"/>
        <v>MVS,AES</v>
      </c>
      <c r="Y3007" t="s">
        <v>45</v>
      </c>
      <c r="Z3007" t="s">
        <v>44</v>
      </c>
      <c r="AB3007" t="s">
        <v>43</v>
      </c>
      <c r="AC3007" t="s">
        <v>42</v>
      </c>
      <c r="AD3007" t="s">
        <v>41</v>
      </c>
      <c r="AE3007" t="s">
        <v>23</v>
      </c>
      <c r="AG3007" t="s">
        <v>40</v>
      </c>
      <c r="AH3007" t="s">
        <v>817</v>
      </c>
      <c r="AI3007" t="s">
        <v>9</v>
      </c>
      <c r="AJ3007" t="s">
        <v>15</v>
      </c>
      <c r="AK3007" t="s">
        <v>816</v>
      </c>
      <c r="AL3007" t="s">
        <v>815</v>
      </c>
      <c r="AP3007" t="s">
        <v>138</v>
      </c>
      <c r="AQ3007" t="s">
        <v>814</v>
      </c>
      <c r="AR3007" t="s">
        <v>592</v>
      </c>
    </row>
    <row r="3008" spans="5:44" x14ac:dyDescent="0.25">
      <c r="I3008" t="str">
        <f t="shared" si="244"/>
        <v>kof2002b</v>
      </c>
      <c r="J3008" t="str">
        <f t="shared" si="245"/>
        <v/>
      </c>
      <c r="L3008" t="str">
        <f t="shared" si="248"/>
        <v/>
      </c>
      <c r="M3008" t="str">
        <f t="shared" si="248"/>
        <v/>
      </c>
      <c r="N3008" t="str">
        <f t="shared" si="248"/>
        <v/>
      </c>
      <c r="O3008" t="str">
        <f t="shared" si="248"/>
        <v/>
      </c>
      <c r="P3008" t="str">
        <f t="shared" si="248"/>
        <v/>
      </c>
      <c r="S3008" t="s">
        <v>36</v>
      </c>
      <c r="T3008" t="str">
        <f t="shared" si="246"/>
        <v>kof2002bcompatibility</v>
      </c>
      <c r="U3008" t="s">
        <v>218</v>
      </c>
      <c r="V3008" t="str">
        <f t="shared" si="247"/>
        <v>MVS</v>
      </c>
      <c r="W3008" t="str">
        <f t="shared" si="247"/>
        <v>MVS,AES</v>
      </c>
      <c r="AG3008" t="s">
        <v>40</v>
      </c>
      <c r="AH3008" t="s">
        <v>813</v>
      </c>
      <c r="AI3008" t="s">
        <v>15</v>
      </c>
      <c r="AJ3008" t="s">
        <v>11</v>
      </c>
      <c r="AK3008" t="s">
        <v>812</v>
      </c>
      <c r="AL3008" t="s">
        <v>811</v>
      </c>
    </row>
    <row r="3009" spans="5:44" x14ac:dyDescent="0.25">
      <c r="I3009" t="str">
        <f t="shared" si="244"/>
        <v>kof2002b</v>
      </c>
      <c r="J3009" t="str">
        <f t="shared" si="245"/>
        <v/>
      </c>
      <c r="L3009" t="str">
        <f t="shared" si="248"/>
        <v/>
      </c>
      <c r="M3009" t="str">
        <f t="shared" si="248"/>
        <v/>
      </c>
      <c r="N3009" t="str">
        <f t="shared" si="248"/>
        <v/>
      </c>
      <c r="O3009" t="str">
        <f t="shared" si="248"/>
        <v/>
      </c>
      <c r="P3009" t="str">
        <f t="shared" si="248"/>
        <v/>
      </c>
      <c r="T3009" t="str">
        <f t="shared" si="246"/>
        <v/>
      </c>
      <c r="V3009" t="str">
        <f t="shared" si="247"/>
        <v>MVS</v>
      </c>
      <c r="W3009" t="str">
        <f t="shared" si="247"/>
        <v>MVS,AES</v>
      </c>
      <c r="AB3009" t="s">
        <v>34</v>
      </c>
      <c r="AE3009" t="s">
        <v>33</v>
      </c>
      <c r="AH3009" t="s">
        <v>810</v>
      </c>
      <c r="AI3009" t="s">
        <v>9</v>
      </c>
      <c r="AJ3009" t="s">
        <v>27</v>
      </c>
      <c r="AK3009" t="s">
        <v>809</v>
      </c>
      <c r="AL3009" t="s">
        <v>808</v>
      </c>
    </row>
    <row r="3010" spans="5:44" x14ac:dyDescent="0.25">
      <c r="I3010" t="str">
        <f t="shared" si="244"/>
        <v>kof2002b</v>
      </c>
      <c r="J3010" t="str">
        <f t="shared" si="245"/>
        <v/>
      </c>
      <c r="L3010" t="str">
        <f t="shared" si="248"/>
        <v/>
      </c>
      <c r="M3010" t="str">
        <f t="shared" si="248"/>
        <v/>
      </c>
      <c r="N3010" t="str">
        <f t="shared" si="248"/>
        <v/>
      </c>
      <c r="O3010" t="str">
        <f t="shared" si="248"/>
        <v/>
      </c>
      <c r="P3010" t="str">
        <f t="shared" si="248"/>
        <v/>
      </c>
      <c r="T3010" t="str">
        <f t="shared" si="246"/>
        <v/>
      </c>
      <c r="V3010" t="str">
        <f t="shared" si="247"/>
        <v>MVS</v>
      </c>
      <c r="W3010" t="str">
        <f t="shared" si="247"/>
        <v>MVS,AES</v>
      </c>
      <c r="AB3010" t="s">
        <v>482</v>
      </c>
      <c r="AE3010" t="s">
        <v>480</v>
      </c>
      <c r="AH3010" t="s">
        <v>739</v>
      </c>
      <c r="AI3010" t="s">
        <v>314</v>
      </c>
      <c r="AJ3010" t="s">
        <v>135</v>
      </c>
      <c r="AK3010" t="s">
        <v>738</v>
      </c>
      <c r="AL3010" t="s">
        <v>737</v>
      </c>
    </row>
    <row r="3011" spans="5:44" x14ac:dyDescent="0.25">
      <c r="I3011" t="str">
        <f t="shared" ref="I3011:I3074" si="249">IF(E3011="",I3010,E3011)</f>
        <v>kof2002b</v>
      </c>
      <c r="J3011" t="str">
        <f t="shared" ref="J3011:J3074" si="250">IF(K3011="","",I3011&amp;K3011)</f>
        <v/>
      </c>
      <c r="L3011" t="str">
        <f t="shared" si="248"/>
        <v/>
      </c>
      <c r="M3011" t="str">
        <f t="shared" si="248"/>
        <v/>
      </c>
      <c r="N3011" t="str">
        <f t="shared" si="248"/>
        <v/>
      </c>
      <c r="O3011" t="str">
        <f t="shared" si="248"/>
        <v/>
      </c>
      <c r="P3011" t="str">
        <f t="shared" si="248"/>
        <v/>
      </c>
      <c r="T3011" t="str">
        <f t="shared" ref="T3011:T3074" si="251">IF(S3011="","",I3011&amp;S3011)</f>
        <v/>
      </c>
      <c r="V3011" t="str">
        <f t="shared" si="247"/>
        <v>MVS</v>
      </c>
      <c r="W3011" t="str">
        <f t="shared" si="247"/>
        <v>MVS,AES</v>
      </c>
      <c r="AB3011" t="s">
        <v>24</v>
      </c>
      <c r="AE3011" t="s">
        <v>65</v>
      </c>
      <c r="AH3011" t="s">
        <v>736</v>
      </c>
      <c r="AI3011" t="s">
        <v>9</v>
      </c>
      <c r="AJ3011" t="s">
        <v>57</v>
      </c>
      <c r="AK3011" t="s">
        <v>735</v>
      </c>
      <c r="AL3011" t="s">
        <v>734</v>
      </c>
    </row>
    <row r="3012" spans="5:44" x14ac:dyDescent="0.25">
      <c r="I3012" t="str">
        <f t="shared" si="249"/>
        <v>kof2002b</v>
      </c>
      <c r="J3012" t="str">
        <f t="shared" si="250"/>
        <v/>
      </c>
      <c r="L3012" t="str">
        <f t="shared" si="248"/>
        <v/>
      </c>
      <c r="M3012" t="str">
        <f t="shared" si="248"/>
        <v/>
      </c>
      <c r="N3012" t="str">
        <f t="shared" si="248"/>
        <v/>
      </c>
      <c r="O3012" t="str">
        <f t="shared" si="248"/>
        <v/>
      </c>
      <c r="P3012" t="str">
        <f t="shared" si="248"/>
        <v/>
      </c>
      <c r="T3012" t="str">
        <f t="shared" si="251"/>
        <v/>
      </c>
      <c r="V3012" t="str">
        <f t="shared" si="247"/>
        <v>MVS</v>
      </c>
      <c r="W3012" t="str">
        <f t="shared" si="247"/>
        <v>MVS,AES</v>
      </c>
      <c r="AH3012" t="s">
        <v>733</v>
      </c>
      <c r="AI3012" t="s">
        <v>57</v>
      </c>
      <c r="AJ3012" t="s">
        <v>57</v>
      </c>
      <c r="AK3012" t="s">
        <v>732</v>
      </c>
      <c r="AL3012" t="s">
        <v>731</v>
      </c>
    </row>
    <row r="3013" spans="5:44" x14ac:dyDescent="0.25">
      <c r="I3013" t="str">
        <f t="shared" si="249"/>
        <v>kof2002b</v>
      </c>
      <c r="J3013" t="str">
        <f t="shared" si="250"/>
        <v/>
      </c>
      <c r="L3013" t="str">
        <f t="shared" si="248"/>
        <v/>
      </c>
      <c r="M3013" t="str">
        <f t="shared" si="248"/>
        <v/>
      </c>
      <c r="N3013" t="str">
        <f t="shared" si="248"/>
        <v/>
      </c>
      <c r="O3013" t="str">
        <f t="shared" si="248"/>
        <v/>
      </c>
      <c r="P3013" t="str">
        <f t="shared" si="248"/>
        <v/>
      </c>
      <c r="T3013" t="str">
        <f t="shared" si="251"/>
        <v/>
      </c>
      <c r="V3013" t="str">
        <f t="shared" si="247"/>
        <v>MVS</v>
      </c>
      <c r="W3013" t="str">
        <f t="shared" si="247"/>
        <v>MVS,AES</v>
      </c>
      <c r="AB3013" t="s">
        <v>12</v>
      </c>
      <c r="AE3013" t="s">
        <v>175</v>
      </c>
      <c r="AG3013" t="s">
        <v>6</v>
      </c>
      <c r="AH3013" t="s">
        <v>807</v>
      </c>
      <c r="AI3013" t="s">
        <v>9</v>
      </c>
      <c r="AJ3013" t="s">
        <v>57</v>
      </c>
      <c r="AK3013" t="s">
        <v>806</v>
      </c>
      <c r="AL3013" t="s">
        <v>805</v>
      </c>
    </row>
    <row r="3014" spans="5:44" x14ac:dyDescent="0.25">
      <c r="I3014" t="str">
        <f t="shared" si="249"/>
        <v>kof2002b</v>
      </c>
      <c r="J3014" t="str">
        <f t="shared" si="250"/>
        <v/>
      </c>
      <c r="L3014" t="str">
        <f t="shared" si="248"/>
        <v/>
      </c>
      <c r="M3014" t="str">
        <f t="shared" si="248"/>
        <v/>
      </c>
      <c r="N3014" t="str">
        <f t="shared" si="248"/>
        <v/>
      </c>
      <c r="O3014" t="str">
        <f t="shared" si="248"/>
        <v/>
      </c>
      <c r="P3014" t="str">
        <f t="shared" si="248"/>
        <v/>
      </c>
      <c r="T3014" t="str">
        <f t="shared" si="251"/>
        <v/>
      </c>
      <c r="V3014" t="str">
        <f t="shared" si="247"/>
        <v>MVS</v>
      </c>
      <c r="W3014" t="str">
        <f t="shared" si="247"/>
        <v>MVS,AES</v>
      </c>
      <c r="AG3014" t="s">
        <v>6</v>
      </c>
      <c r="AH3014" t="s">
        <v>804</v>
      </c>
      <c r="AI3014" t="s">
        <v>4</v>
      </c>
      <c r="AJ3014" t="s">
        <v>57</v>
      </c>
      <c r="AK3014" t="s">
        <v>803</v>
      </c>
      <c r="AL3014" t="s">
        <v>802</v>
      </c>
    </row>
    <row r="3015" spans="5:44" x14ac:dyDescent="0.25">
      <c r="I3015" t="str">
        <f t="shared" si="249"/>
        <v>kof2002b</v>
      </c>
      <c r="J3015" t="str">
        <f t="shared" si="250"/>
        <v/>
      </c>
      <c r="L3015" t="str">
        <f t="shared" si="248"/>
        <v/>
      </c>
      <c r="M3015" t="str">
        <f t="shared" si="248"/>
        <v/>
      </c>
      <c r="N3015" t="str">
        <f t="shared" si="248"/>
        <v/>
      </c>
      <c r="O3015" t="str">
        <f t="shared" si="248"/>
        <v/>
      </c>
      <c r="P3015" t="str">
        <f t="shared" si="248"/>
        <v/>
      </c>
      <c r="T3015" t="str">
        <f t="shared" si="251"/>
        <v/>
      </c>
      <c r="V3015" t="str">
        <f t="shared" si="247"/>
        <v>MVS</v>
      </c>
      <c r="W3015" t="str">
        <f t="shared" si="247"/>
        <v>MVS,AES</v>
      </c>
      <c r="AG3015" t="s">
        <v>6</v>
      </c>
      <c r="AH3015" t="s">
        <v>801</v>
      </c>
      <c r="AI3015" t="s">
        <v>65</v>
      </c>
      <c r="AJ3015" t="s">
        <v>57</v>
      </c>
      <c r="AK3015" t="s">
        <v>800</v>
      </c>
      <c r="AL3015" t="s">
        <v>799</v>
      </c>
    </row>
    <row r="3016" spans="5:44" x14ac:dyDescent="0.25">
      <c r="I3016" t="str">
        <f t="shared" si="249"/>
        <v>kof2002b</v>
      </c>
      <c r="J3016" t="str">
        <f t="shared" si="250"/>
        <v/>
      </c>
      <c r="L3016" t="str">
        <f t="shared" si="248"/>
        <v/>
      </c>
      <c r="M3016" t="str">
        <f t="shared" si="248"/>
        <v/>
      </c>
      <c r="N3016" t="str">
        <f t="shared" si="248"/>
        <v/>
      </c>
      <c r="O3016" t="str">
        <f t="shared" si="248"/>
        <v/>
      </c>
      <c r="P3016" t="str">
        <f t="shared" si="248"/>
        <v/>
      </c>
      <c r="T3016" t="str">
        <f t="shared" si="251"/>
        <v/>
      </c>
      <c r="V3016" t="str">
        <f t="shared" si="247"/>
        <v>MVS</v>
      </c>
      <c r="W3016" t="str">
        <f t="shared" si="247"/>
        <v>MVS,AES</v>
      </c>
      <c r="AG3016" t="s">
        <v>6</v>
      </c>
      <c r="AH3016" t="s">
        <v>798</v>
      </c>
      <c r="AI3016" t="s">
        <v>164</v>
      </c>
      <c r="AJ3016" t="s">
        <v>57</v>
      </c>
      <c r="AK3016" t="s">
        <v>797</v>
      </c>
      <c r="AL3016" t="s">
        <v>796</v>
      </c>
    </row>
    <row r="3017" spans="5:44" x14ac:dyDescent="0.25">
      <c r="I3017" t="str">
        <f t="shared" si="249"/>
        <v>kof2002b</v>
      </c>
      <c r="J3017" t="str">
        <f t="shared" si="250"/>
        <v/>
      </c>
      <c r="L3017" t="str">
        <f t="shared" si="248"/>
        <v/>
      </c>
      <c r="M3017" t="str">
        <f t="shared" si="248"/>
        <v/>
      </c>
      <c r="N3017" t="str">
        <f t="shared" si="248"/>
        <v/>
      </c>
      <c r="O3017" t="str">
        <f t="shared" si="248"/>
        <v/>
      </c>
      <c r="P3017" t="str">
        <f t="shared" si="248"/>
        <v/>
      </c>
      <c r="T3017" t="str">
        <f t="shared" si="251"/>
        <v/>
      </c>
      <c r="V3017" t="str">
        <f t="shared" si="247"/>
        <v>MVS</v>
      </c>
      <c r="W3017" t="str">
        <f t="shared" si="247"/>
        <v>MVS,AES</v>
      </c>
      <c r="AG3017" t="s">
        <v>6</v>
      </c>
      <c r="AH3017" t="s">
        <v>795</v>
      </c>
      <c r="AI3017" t="s">
        <v>160</v>
      </c>
      <c r="AJ3017" t="s">
        <v>57</v>
      </c>
      <c r="AK3017" t="s">
        <v>794</v>
      </c>
      <c r="AL3017" t="s">
        <v>793</v>
      </c>
    </row>
    <row r="3018" spans="5:44" x14ac:dyDescent="0.25">
      <c r="I3018" t="str">
        <f t="shared" si="249"/>
        <v>kof2002b</v>
      </c>
      <c r="J3018" t="str">
        <f t="shared" si="250"/>
        <v/>
      </c>
      <c r="L3018" t="str">
        <f t="shared" si="248"/>
        <v/>
      </c>
      <c r="M3018" t="str">
        <f t="shared" si="248"/>
        <v/>
      </c>
      <c r="N3018" t="str">
        <f t="shared" si="248"/>
        <v/>
      </c>
      <c r="O3018" t="str">
        <f t="shared" si="248"/>
        <v/>
      </c>
      <c r="P3018" t="str">
        <f t="shared" si="248"/>
        <v/>
      </c>
      <c r="T3018" t="str">
        <f t="shared" si="251"/>
        <v/>
      </c>
      <c r="V3018" t="str">
        <f t="shared" si="247"/>
        <v>MVS</v>
      </c>
      <c r="W3018" t="str">
        <f t="shared" si="247"/>
        <v>MVS,AES</v>
      </c>
      <c r="AG3018" t="s">
        <v>6</v>
      </c>
      <c r="AH3018" t="s">
        <v>792</v>
      </c>
      <c r="AI3018" t="s">
        <v>156</v>
      </c>
      <c r="AJ3018" t="s">
        <v>57</v>
      </c>
      <c r="AK3018" t="s">
        <v>791</v>
      </c>
      <c r="AL3018" t="s">
        <v>790</v>
      </c>
    </row>
    <row r="3019" spans="5:44" x14ac:dyDescent="0.25">
      <c r="I3019" t="str">
        <f t="shared" si="249"/>
        <v>kof2002b</v>
      </c>
      <c r="J3019" t="str">
        <f t="shared" si="250"/>
        <v/>
      </c>
      <c r="L3019" t="str">
        <f t="shared" si="248"/>
        <v/>
      </c>
      <c r="M3019" t="str">
        <f t="shared" si="248"/>
        <v/>
      </c>
      <c r="N3019" t="str">
        <f t="shared" si="248"/>
        <v/>
      </c>
      <c r="O3019" t="str">
        <f t="shared" si="248"/>
        <v/>
      </c>
      <c r="P3019" t="str">
        <f t="shared" si="248"/>
        <v/>
      </c>
      <c r="T3019" t="str">
        <f t="shared" si="251"/>
        <v/>
      </c>
      <c r="V3019" t="str">
        <f t="shared" si="247"/>
        <v>MVS</v>
      </c>
      <c r="W3019" t="str">
        <f t="shared" si="247"/>
        <v>MVS,AES</v>
      </c>
      <c r="AG3019" t="s">
        <v>6</v>
      </c>
      <c r="AH3019" t="s">
        <v>789</v>
      </c>
      <c r="AI3019" t="s">
        <v>152</v>
      </c>
      <c r="AJ3019" t="s">
        <v>57</v>
      </c>
      <c r="AK3019" t="s">
        <v>788</v>
      </c>
      <c r="AL3019" t="s">
        <v>787</v>
      </c>
    </row>
    <row r="3020" spans="5:44" x14ac:dyDescent="0.25">
      <c r="I3020" t="str">
        <f t="shared" si="249"/>
        <v>kof2002b</v>
      </c>
      <c r="J3020" t="str">
        <f t="shared" si="250"/>
        <v/>
      </c>
      <c r="L3020" t="str">
        <f t="shared" si="248"/>
        <v/>
      </c>
      <c r="M3020" t="str">
        <f t="shared" si="248"/>
        <v/>
      </c>
      <c r="N3020" t="str">
        <f t="shared" si="248"/>
        <v/>
      </c>
      <c r="O3020" t="str">
        <f t="shared" si="248"/>
        <v/>
      </c>
      <c r="P3020" t="str">
        <f t="shared" si="248"/>
        <v/>
      </c>
      <c r="T3020" t="str">
        <f t="shared" si="251"/>
        <v/>
      </c>
      <c r="V3020" t="str">
        <f t="shared" si="247"/>
        <v>MVS</v>
      </c>
      <c r="W3020" t="str">
        <f t="shared" si="247"/>
        <v>MVS,AES</v>
      </c>
      <c r="AG3020" t="s">
        <v>6</v>
      </c>
      <c r="AH3020" t="s">
        <v>786</v>
      </c>
      <c r="AI3020" t="s">
        <v>148</v>
      </c>
      <c r="AJ3020" t="s">
        <v>57</v>
      </c>
      <c r="AK3020" t="s">
        <v>785</v>
      </c>
      <c r="AL3020" t="s">
        <v>784</v>
      </c>
    </row>
    <row r="3021" spans="5:44" x14ac:dyDescent="0.25">
      <c r="E3021" t="s">
        <v>783</v>
      </c>
      <c r="F3021" t="s">
        <v>782</v>
      </c>
      <c r="G3021" t="s">
        <v>547</v>
      </c>
      <c r="H3021" t="s">
        <v>194</v>
      </c>
      <c r="I3021" t="str">
        <f t="shared" si="249"/>
        <v>kf2k2pls</v>
      </c>
      <c r="J3021" t="str">
        <f t="shared" si="250"/>
        <v/>
      </c>
      <c r="L3021" t="str">
        <f t="shared" si="248"/>
        <v/>
      </c>
      <c r="M3021" t="str">
        <f t="shared" si="248"/>
        <v/>
      </c>
      <c r="N3021" t="str">
        <f t="shared" si="248"/>
        <v/>
      </c>
      <c r="O3021" t="str">
        <f t="shared" si="248"/>
        <v/>
      </c>
      <c r="P3021" t="str">
        <f t="shared" si="248"/>
        <v/>
      </c>
      <c r="S3021" t="s">
        <v>46</v>
      </c>
      <c r="T3021" t="str">
        <f t="shared" si="251"/>
        <v>kf2k2plsrelease</v>
      </c>
      <c r="U3021" t="s">
        <v>106</v>
      </c>
      <c r="V3021" t="str">
        <f t="shared" si="247"/>
        <v>MVS</v>
      </c>
      <c r="W3021" t="str">
        <f t="shared" si="247"/>
        <v>MVS,AES</v>
      </c>
      <c r="Y3021" t="s">
        <v>45</v>
      </c>
      <c r="Z3021" t="s">
        <v>44</v>
      </c>
      <c r="AB3021" t="s">
        <v>43</v>
      </c>
      <c r="AC3021" t="s">
        <v>42</v>
      </c>
      <c r="AD3021" t="s">
        <v>41</v>
      </c>
      <c r="AE3021" t="s">
        <v>23</v>
      </c>
      <c r="AG3021" t="s">
        <v>40</v>
      </c>
      <c r="AH3021" t="s">
        <v>781</v>
      </c>
      <c r="AI3021" t="s">
        <v>9</v>
      </c>
      <c r="AJ3021" t="s">
        <v>15</v>
      </c>
      <c r="AK3021" t="s">
        <v>780</v>
      </c>
      <c r="AL3021" t="s">
        <v>779</v>
      </c>
      <c r="AP3021" t="s">
        <v>138</v>
      </c>
      <c r="AQ3021" t="s">
        <v>770</v>
      </c>
      <c r="AR3021" t="s">
        <v>592</v>
      </c>
    </row>
    <row r="3022" spans="5:44" x14ac:dyDescent="0.25">
      <c r="I3022" t="str">
        <f t="shared" si="249"/>
        <v>kf2k2pls</v>
      </c>
      <c r="J3022" t="str">
        <f t="shared" si="250"/>
        <v/>
      </c>
      <c r="L3022" t="str">
        <f t="shared" si="248"/>
        <v/>
      </c>
      <c r="M3022" t="str">
        <f t="shared" si="248"/>
        <v/>
      </c>
      <c r="N3022" t="str">
        <f t="shared" si="248"/>
        <v/>
      </c>
      <c r="O3022" t="str">
        <f t="shared" si="248"/>
        <v/>
      </c>
      <c r="P3022" t="str">
        <f t="shared" si="248"/>
        <v/>
      </c>
      <c r="S3022" t="s">
        <v>36</v>
      </c>
      <c r="T3022" t="str">
        <f t="shared" si="251"/>
        <v>kf2k2plscompatibility</v>
      </c>
      <c r="U3022" t="s">
        <v>218</v>
      </c>
      <c r="V3022" t="str">
        <f t="shared" si="247"/>
        <v>MVS</v>
      </c>
      <c r="W3022" t="str">
        <f t="shared" si="247"/>
        <v>MVS,AES</v>
      </c>
      <c r="AG3022" t="s">
        <v>40</v>
      </c>
      <c r="AH3022" t="s">
        <v>769</v>
      </c>
      <c r="AI3022" t="s">
        <v>15</v>
      </c>
      <c r="AJ3022" t="s">
        <v>11</v>
      </c>
      <c r="AK3022" t="s">
        <v>768</v>
      </c>
      <c r="AL3022" t="s">
        <v>767</v>
      </c>
    </row>
    <row r="3023" spans="5:44" x14ac:dyDescent="0.25">
      <c r="I3023" t="str">
        <f t="shared" si="249"/>
        <v>kf2k2pls</v>
      </c>
      <c r="J3023" t="str">
        <f t="shared" si="250"/>
        <v/>
      </c>
      <c r="L3023" t="str">
        <f t="shared" si="248"/>
        <v/>
      </c>
      <c r="M3023" t="str">
        <f t="shared" si="248"/>
        <v/>
      </c>
      <c r="N3023" t="str">
        <f t="shared" si="248"/>
        <v/>
      </c>
      <c r="O3023" t="str">
        <f t="shared" si="248"/>
        <v/>
      </c>
      <c r="P3023" t="str">
        <f t="shared" si="248"/>
        <v/>
      </c>
      <c r="T3023" t="str">
        <f t="shared" si="251"/>
        <v/>
      </c>
      <c r="V3023" t="str">
        <f t="shared" si="247"/>
        <v>MVS</v>
      </c>
      <c r="W3023" t="str">
        <f t="shared" si="247"/>
        <v>MVS,AES</v>
      </c>
      <c r="AB3023" t="s">
        <v>34</v>
      </c>
      <c r="AE3023" t="s">
        <v>33</v>
      </c>
      <c r="AH3023" t="s">
        <v>778</v>
      </c>
      <c r="AI3023" t="s">
        <v>9</v>
      </c>
      <c r="AJ3023" t="s">
        <v>27</v>
      </c>
      <c r="AK3023" t="s">
        <v>777</v>
      </c>
      <c r="AL3023" t="s">
        <v>776</v>
      </c>
    </row>
    <row r="3024" spans="5:44" x14ac:dyDescent="0.25">
      <c r="I3024" t="str">
        <f t="shared" si="249"/>
        <v>kf2k2pls</v>
      </c>
      <c r="J3024" t="str">
        <f t="shared" si="250"/>
        <v/>
      </c>
      <c r="L3024" t="str">
        <f t="shared" ref="L3024:P3074" si="252">IFERROR(VLOOKUP($I3024&amp;L$1,$J:$Q,8,0),"")</f>
        <v/>
      </c>
      <c r="M3024" t="str">
        <f t="shared" si="252"/>
        <v/>
      </c>
      <c r="N3024" t="str">
        <f t="shared" si="252"/>
        <v/>
      </c>
      <c r="O3024" t="str">
        <f t="shared" si="252"/>
        <v/>
      </c>
      <c r="P3024" t="str">
        <f t="shared" si="252"/>
        <v/>
      </c>
      <c r="T3024" t="str">
        <f t="shared" si="251"/>
        <v/>
      </c>
      <c r="V3024" t="str">
        <f t="shared" si="247"/>
        <v>MVS</v>
      </c>
      <c r="W3024" t="str">
        <f t="shared" si="247"/>
        <v>MVS,AES</v>
      </c>
      <c r="AB3024" t="s">
        <v>482</v>
      </c>
      <c r="AE3024" t="s">
        <v>480</v>
      </c>
      <c r="AH3024" t="s">
        <v>739</v>
      </c>
      <c r="AI3024" t="s">
        <v>314</v>
      </c>
      <c r="AJ3024" t="s">
        <v>135</v>
      </c>
      <c r="AK3024" t="s">
        <v>738</v>
      </c>
      <c r="AL3024" t="s">
        <v>737</v>
      </c>
    </row>
    <row r="3025" spans="5:44" x14ac:dyDescent="0.25">
      <c r="I3025" t="str">
        <f t="shared" si="249"/>
        <v>kf2k2pls</v>
      </c>
      <c r="J3025" t="str">
        <f t="shared" si="250"/>
        <v/>
      </c>
      <c r="L3025" t="str">
        <f t="shared" si="252"/>
        <v/>
      </c>
      <c r="M3025" t="str">
        <f t="shared" si="252"/>
        <v/>
      </c>
      <c r="N3025" t="str">
        <f t="shared" si="252"/>
        <v/>
      </c>
      <c r="O3025" t="str">
        <f t="shared" si="252"/>
        <v/>
      </c>
      <c r="P3025" t="str">
        <f t="shared" si="252"/>
        <v/>
      </c>
      <c r="T3025" t="str">
        <f t="shared" si="251"/>
        <v/>
      </c>
      <c r="V3025" t="str">
        <f t="shared" si="247"/>
        <v>MVS</v>
      </c>
      <c r="W3025" t="str">
        <f t="shared" si="247"/>
        <v>MVS,AES</v>
      </c>
      <c r="AB3025" t="s">
        <v>24</v>
      </c>
      <c r="AE3025" t="s">
        <v>65</v>
      </c>
      <c r="AH3025" t="s">
        <v>736</v>
      </c>
      <c r="AI3025" t="s">
        <v>9</v>
      </c>
      <c r="AJ3025" t="s">
        <v>57</v>
      </c>
      <c r="AK3025" t="s">
        <v>735</v>
      </c>
      <c r="AL3025" t="s">
        <v>734</v>
      </c>
    </row>
    <row r="3026" spans="5:44" x14ac:dyDescent="0.25">
      <c r="I3026" t="str">
        <f t="shared" si="249"/>
        <v>kf2k2pls</v>
      </c>
      <c r="J3026" t="str">
        <f t="shared" si="250"/>
        <v/>
      </c>
      <c r="L3026" t="str">
        <f t="shared" si="252"/>
        <v/>
      </c>
      <c r="M3026" t="str">
        <f t="shared" si="252"/>
        <v/>
      </c>
      <c r="N3026" t="str">
        <f t="shared" si="252"/>
        <v/>
      </c>
      <c r="O3026" t="str">
        <f t="shared" si="252"/>
        <v/>
      </c>
      <c r="P3026" t="str">
        <f t="shared" si="252"/>
        <v/>
      </c>
      <c r="T3026" t="str">
        <f t="shared" si="251"/>
        <v/>
      </c>
      <c r="V3026" t="str">
        <f t="shared" si="247"/>
        <v>MVS</v>
      </c>
      <c r="W3026" t="str">
        <f t="shared" si="247"/>
        <v>MVS,AES</v>
      </c>
      <c r="AH3026" t="s">
        <v>733</v>
      </c>
      <c r="AI3026" t="s">
        <v>57</v>
      </c>
      <c r="AJ3026" t="s">
        <v>57</v>
      </c>
      <c r="AK3026" t="s">
        <v>732</v>
      </c>
      <c r="AL3026" t="s">
        <v>731</v>
      </c>
    </row>
    <row r="3027" spans="5:44" x14ac:dyDescent="0.25">
      <c r="I3027" t="str">
        <f t="shared" si="249"/>
        <v>kf2k2pls</v>
      </c>
      <c r="J3027" t="str">
        <f t="shared" si="250"/>
        <v/>
      </c>
      <c r="L3027" t="str">
        <f t="shared" si="252"/>
        <v/>
      </c>
      <c r="M3027" t="str">
        <f t="shared" si="252"/>
        <v/>
      </c>
      <c r="N3027" t="str">
        <f t="shared" si="252"/>
        <v/>
      </c>
      <c r="O3027" t="str">
        <f t="shared" si="252"/>
        <v/>
      </c>
      <c r="P3027" t="str">
        <f t="shared" si="252"/>
        <v/>
      </c>
      <c r="T3027" t="str">
        <f t="shared" si="251"/>
        <v/>
      </c>
      <c r="V3027" t="str">
        <f t="shared" si="247"/>
        <v>MVS</v>
      </c>
      <c r="W3027" t="str">
        <f t="shared" si="247"/>
        <v>MVS,AES</v>
      </c>
      <c r="AB3027" t="s">
        <v>12</v>
      </c>
      <c r="AE3027" t="s">
        <v>175</v>
      </c>
      <c r="AG3027" t="s">
        <v>6</v>
      </c>
      <c r="AH3027" t="s">
        <v>730</v>
      </c>
      <c r="AI3027" t="s">
        <v>9</v>
      </c>
      <c r="AJ3027" t="s">
        <v>57</v>
      </c>
      <c r="AK3027" t="s">
        <v>729</v>
      </c>
      <c r="AL3027" t="s">
        <v>728</v>
      </c>
    </row>
    <row r="3028" spans="5:44" x14ac:dyDescent="0.25">
      <c r="I3028" t="str">
        <f t="shared" si="249"/>
        <v>kf2k2pls</v>
      </c>
      <c r="J3028" t="str">
        <f t="shared" si="250"/>
        <v/>
      </c>
      <c r="L3028" t="str">
        <f t="shared" si="252"/>
        <v/>
      </c>
      <c r="M3028" t="str">
        <f t="shared" si="252"/>
        <v/>
      </c>
      <c r="N3028" t="str">
        <f t="shared" si="252"/>
        <v/>
      </c>
      <c r="O3028" t="str">
        <f t="shared" si="252"/>
        <v/>
      </c>
      <c r="P3028" t="str">
        <f t="shared" si="252"/>
        <v/>
      </c>
      <c r="T3028" t="str">
        <f t="shared" si="251"/>
        <v/>
      </c>
      <c r="V3028" t="str">
        <f t="shared" si="247"/>
        <v>MVS</v>
      </c>
      <c r="W3028" t="str">
        <f t="shared" si="247"/>
        <v>MVS,AES</v>
      </c>
      <c r="AG3028" t="s">
        <v>6</v>
      </c>
      <c r="AH3028" t="s">
        <v>727</v>
      </c>
      <c r="AI3028" t="s">
        <v>4</v>
      </c>
      <c r="AJ3028" t="s">
        <v>57</v>
      </c>
      <c r="AK3028" t="s">
        <v>726</v>
      </c>
      <c r="AL3028" t="s">
        <v>725</v>
      </c>
    </row>
    <row r="3029" spans="5:44" x14ac:dyDescent="0.25">
      <c r="I3029" t="str">
        <f t="shared" si="249"/>
        <v>kf2k2pls</v>
      </c>
      <c r="J3029" t="str">
        <f t="shared" si="250"/>
        <v/>
      </c>
      <c r="L3029" t="str">
        <f t="shared" si="252"/>
        <v/>
      </c>
      <c r="M3029" t="str">
        <f t="shared" si="252"/>
        <v/>
      </c>
      <c r="N3029" t="str">
        <f t="shared" si="252"/>
        <v/>
      </c>
      <c r="O3029" t="str">
        <f t="shared" si="252"/>
        <v/>
      </c>
      <c r="P3029" t="str">
        <f t="shared" si="252"/>
        <v/>
      </c>
      <c r="T3029" t="str">
        <f t="shared" si="251"/>
        <v/>
      </c>
      <c r="V3029" t="str">
        <f t="shared" si="247"/>
        <v>MVS</v>
      </c>
      <c r="W3029" t="str">
        <f t="shared" si="247"/>
        <v>MVS,AES</v>
      </c>
      <c r="AG3029" t="s">
        <v>6</v>
      </c>
      <c r="AH3029" t="s">
        <v>724</v>
      </c>
      <c r="AI3029" t="s">
        <v>65</v>
      </c>
      <c r="AJ3029" t="s">
        <v>57</v>
      </c>
      <c r="AK3029" t="s">
        <v>723</v>
      </c>
      <c r="AL3029" t="s">
        <v>722</v>
      </c>
    </row>
    <row r="3030" spans="5:44" x14ac:dyDescent="0.25">
      <c r="I3030" t="str">
        <f t="shared" si="249"/>
        <v>kf2k2pls</v>
      </c>
      <c r="J3030" t="str">
        <f t="shared" si="250"/>
        <v/>
      </c>
      <c r="L3030" t="str">
        <f t="shared" si="252"/>
        <v/>
      </c>
      <c r="M3030" t="str">
        <f t="shared" si="252"/>
        <v/>
      </c>
      <c r="N3030" t="str">
        <f t="shared" si="252"/>
        <v/>
      </c>
      <c r="O3030" t="str">
        <f t="shared" si="252"/>
        <v/>
      </c>
      <c r="P3030" t="str">
        <f t="shared" si="252"/>
        <v/>
      </c>
      <c r="T3030" t="str">
        <f t="shared" si="251"/>
        <v/>
      </c>
      <c r="V3030" t="str">
        <f t="shared" si="247"/>
        <v>MVS</v>
      </c>
      <c r="W3030" t="str">
        <f t="shared" si="247"/>
        <v>MVS,AES</v>
      </c>
      <c r="AG3030" t="s">
        <v>6</v>
      </c>
      <c r="AH3030" t="s">
        <v>721</v>
      </c>
      <c r="AI3030" t="s">
        <v>164</v>
      </c>
      <c r="AJ3030" t="s">
        <v>57</v>
      </c>
      <c r="AK3030" t="s">
        <v>720</v>
      </c>
      <c r="AL3030" t="s">
        <v>719</v>
      </c>
    </row>
    <row r="3031" spans="5:44" x14ac:dyDescent="0.25">
      <c r="I3031" t="str">
        <f t="shared" si="249"/>
        <v>kf2k2pls</v>
      </c>
      <c r="J3031" t="str">
        <f t="shared" si="250"/>
        <v/>
      </c>
      <c r="L3031" t="str">
        <f t="shared" si="252"/>
        <v/>
      </c>
      <c r="M3031" t="str">
        <f t="shared" si="252"/>
        <v/>
      </c>
      <c r="N3031" t="str">
        <f t="shared" si="252"/>
        <v/>
      </c>
      <c r="O3031" t="str">
        <f t="shared" si="252"/>
        <v/>
      </c>
      <c r="P3031" t="str">
        <f t="shared" si="252"/>
        <v/>
      </c>
      <c r="T3031" t="str">
        <f t="shared" si="251"/>
        <v/>
      </c>
      <c r="V3031" t="str">
        <f t="shared" ref="V3031:W3094" si="253">IFERROR(VLOOKUP($I3031&amp;V$1,$T:$AA,2,0),"")</f>
        <v>MVS</v>
      </c>
      <c r="W3031" t="str">
        <f t="shared" si="253"/>
        <v>MVS,AES</v>
      </c>
      <c r="AG3031" t="s">
        <v>6</v>
      </c>
      <c r="AH3031" t="s">
        <v>718</v>
      </c>
      <c r="AI3031" t="s">
        <v>160</v>
      </c>
      <c r="AJ3031" t="s">
        <v>57</v>
      </c>
      <c r="AK3031" t="s">
        <v>717</v>
      </c>
      <c r="AL3031" t="s">
        <v>716</v>
      </c>
    </row>
    <row r="3032" spans="5:44" x14ac:dyDescent="0.25">
      <c r="I3032" t="str">
        <f t="shared" si="249"/>
        <v>kf2k2pls</v>
      </c>
      <c r="J3032" t="str">
        <f t="shared" si="250"/>
        <v/>
      </c>
      <c r="L3032" t="str">
        <f t="shared" si="252"/>
        <v/>
      </c>
      <c r="M3032" t="str">
        <f t="shared" si="252"/>
        <v/>
      </c>
      <c r="N3032" t="str">
        <f t="shared" si="252"/>
        <v/>
      </c>
      <c r="O3032" t="str">
        <f t="shared" si="252"/>
        <v/>
      </c>
      <c r="P3032" t="str">
        <f t="shared" si="252"/>
        <v/>
      </c>
      <c r="T3032" t="str">
        <f t="shared" si="251"/>
        <v/>
      </c>
      <c r="V3032" t="str">
        <f t="shared" si="253"/>
        <v>MVS</v>
      </c>
      <c r="W3032" t="str">
        <f t="shared" si="253"/>
        <v>MVS,AES</v>
      </c>
      <c r="AG3032" t="s">
        <v>6</v>
      </c>
      <c r="AH3032" t="s">
        <v>715</v>
      </c>
      <c r="AI3032" t="s">
        <v>156</v>
      </c>
      <c r="AJ3032" t="s">
        <v>57</v>
      </c>
      <c r="AK3032" t="s">
        <v>714</v>
      </c>
      <c r="AL3032" t="s">
        <v>713</v>
      </c>
    </row>
    <row r="3033" spans="5:44" x14ac:dyDescent="0.25">
      <c r="I3033" t="str">
        <f t="shared" si="249"/>
        <v>kf2k2pls</v>
      </c>
      <c r="J3033" t="str">
        <f t="shared" si="250"/>
        <v/>
      </c>
      <c r="L3033" t="str">
        <f t="shared" si="252"/>
        <v/>
      </c>
      <c r="M3033" t="str">
        <f t="shared" si="252"/>
        <v/>
      </c>
      <c r="N3033" t="str">
        <f t="shared" si="252"/>
        <v/>
      </c>
      <c r="O3033" t="str">
        <f t="shared" si="252"/>
        <v/>
      </c>
      <c r="P3033" t="str">
        <f t="shared" si="252"/>
        <v/>
      </c>
      <c r="T3033" t="str">
        <f t="shared" si="251"/>
        <v/>
      </c>
      <c r="V3033" t="str">
        <f t="shared" si="253"/>
        <v>MVS</v>
      </c>
      <c r="W3033" t="str">
        <f t="shared" si="253"/>
        <v>MVS,AES</v>
      </c>
      <c r="AG3033" t="s">
        <v>6</v>
      </c>
      <c r="AH3033" t="s">
        <v>712</v>
      </c>
      <c r="AI3033" t="s">
        <v>152</v>
      </c>
      <c r="AJ3033" t="s">
        <v>57</v>
      </c>
      <c r="AK3033" t="s">
        <v>711</v>
      </c>
      <c r="AL3033" t="s">
        <v>710</v>
      </c>
    </row>
    <row r="3034" spans="5:44" x14ac:dyDescent="0.25">
      <c r="I3034" t="str">
        <f t="shared" si="249"/>
        <v>kf2k2pls</v>
      </c>
      <c r="J3034" t="str">
        <f t="shared" si="250"/>
        <v/>
      </c>
      <c r="L3034" t="str">
        <f t="shared" si="252"/>
        <v/>
      </c>
      <c r="M3034" t="str">
        <f t="shared" si="252"/>
        <v/>
      </c>
      <c r="N3034" t="str">
        <f t="shared" si="252"/>
        <v/>
      </c>
      <c r="O3034" t="str">
        <f t="shared" si="252"/>
        <v/>
      </c>
      <c r="P3034" t="str">
        <f t="shared" si="252"/>
        <v/>
      </c>
      <c r="T3034" t="str">
        <f t="shared" si="251"/>
        <v/>
      </c>
      <c r="V3034" t="str">
        <f t="shared" si="253"/>
        <v>MVS</v>
      </c>
      <c r="W3034" t="str">
        <f t="shared" si="253"/>
        <v>MVS,AES</v>
      </c>
      <c r="AG3034" t="s">
        <v>6</v>
      </c>
      <c r="AH3034" t="s">
        <v>709</v>
      </c>
      <c r="AI3034" t="s">
        <v>148</v>
      </c>
      <c r="AJ3034" t="s">
        <v>57</v>
      </c>
      <c r="AK3034" t="s">
        <v>708</v>
      </c>
      <c r="AL3034" t="s">
        <v>707</v>
      </c>
    </row>
    <row r="3035" spans="5:44" x14ac:dyDescent="0.25">
      <c r="E3035" t="s">
        <v>775</v>
      </c>
      <c r="F3035" t="s">
        <v>774</v>
      </c>
      <c r="G3035" t="s">
        <v>547</v>
      </c>
      <c r="H3035" t="s">
        <v>194</v>
      </c>
      <c r="I3035" t="str">
        <f t="shared" si="249"/>
        <v>kf2k2pla</v>
      </c>
      <c r="J3035" t="str">
        <f t="shared" si="250"/>
        <v/>
      </c>
      <c r="L3035" t="str">
        <f t="shared" si="252"/>
        <v/>
      </c>
      <c r="M3035" t="str">
        <f t="shared" si="252"/>
        <v/>
      </c>
      <c r="N3035" t="str">
        <f t="shared" si="252"/>
        <v/>
      </c>
      <c r="O3035" t="str">
        <f t="shared" si="252"/>
        <v/>
      </c>
      <c r="P3035" t="str">
        <f t="shared" si="252"/>
        <v/>
      </c>
      <c r="S3035" t="s">
        <v>46</v>
      </c>
      <c r="T3035" t="str">
        <f t="shared" si="251"/>
        <v>kf2k2plarelease</v>
      </c>
      <c r="U3035" t="s">
        <v>106</v>
      </c>
      <c r="V3035" t="str">
        <f t="shared" si="253"/>
        <v>MVS</v>
      </c>
      <c r="W3035" t="str">
        <f t="shared" si="253"/>
        <v>MVS,AES</v>
      </c>
      <c r="Y3035" t="s">
        <v>45</v>
      </c>
      <c r="Z3035" t="s">
        <v>44</v>
      </c>
      <c r="AB3035" t="s">
        <v>43</v>
      </c>
      <c r="AC3035" t="s">
        <v>42</v>
      </c>
      <c r="AD3035" t="s">
        <v>41</v>
      </c>
      <c r="AE3035" t="s">
        <v>23</v>
      </c>
      <c r="AG3035" t="s">
        <v>40</v>
      </c>
      <c r="AH3035" t="s">
        <v>773</v>
      </c>
      <c r="AI3035" t="s">
        <v>9</v>
      </c>
      <c r="AJ3035" t="s">
        <v>15</v>
      </c>
      <c r="AK3035" t="s">
        <v>772</v>
      </c>
      <c r="AL3035" t="s">
        <v>771</v>
      </c>
      <c r="AP3035" t="s">
        <v>138</v>
      </c>
      <c r="AQ3035" t="s">
        <v>770</v>
      </c>
      <c r="AR3035" t="s">
        <v>592</v>
      </c>
    </row>
    <row r="3036" spans="5:44" x14ac:dyDescent="0.25">
      <c r="I3036" t="str">
        <f t="shared" si="249"/>
        <v>kf2k2pla</v>
      </c>
      <c r="J3036" t="str">
        <f t="shared" si="250"/>
        <v/>
      </c>
      <c r="L3036" t="str">
        <f t="shared" si="252"/>
        <v/>
      </c>
      <c r="M3036" t="str">
        <f t="shared" si="252"/>
        <v/>
      </c>
      <c r="N3036" t="str">
        <f t="shared" si="252"/>
        <v/>
      </c>
      <c r="O3036" t="str">
        <f t="shared" si="252"/>
        <v/>
      </c>
      <c r="P3036" t="str">
        <f t="shared" si="252"/>
        <v/>
      </c>
      <c r="S3036" t="s">
        <v>36</v>
      </c>
      <c r="T3036" t="str">
        <f t="shared" si="251"/>
        <v>kf2k2placompatibility</v>
      </c>
      <c r="U3036" t="s">
        <v>218</v>
      </c>
      <c r="V3036" t="str">
        <f t="shared" si="253"/>
        <v>MVS</v>
      </c>
      <c r="W3036" t="str">
        <f t="shared" si="253"/>
        <v>MVS,AES</v>
      </c>
      <c r="AG3036" t="s">
        <v>40</v>
      </c>
      <c r="AH3036" t="s">
        <v>769</v>
      </c>
      <c r="AI3036" t="s">
        <v>15</v>
      </c>
      <c r="AJ3036" t="s">
        <v>11</v>
      </c>
      <c r="AK3036" t="s">
        <v>768</v>
      </c>
      <c r="AL3036" t="s">
        <v>767</v>
      </c>
    </row>
    <row r="3037" spans="5:44" x14ac:dyDescent="0.25">
      <c r="I3037" t="str">
        <f t="shared" si="249"/>
        <v>kf2k2pla</v>
      </c>
      <c r="J3037" t="str">
        <f t="shared" si="250"/>
        <v/>
      </c>
      <c r="L3037" t="str">
        <f t="shared" si="252"/>
        <v/>
      </c>
      <c r="M3037" t="str">
        <f t="shared" si="252"/>
        <v/>
      </c>
      <c r="N3037" t="str">
        <f t="shared" si="252"/>
        <v/>
      </c>
      <c r="O3037" t="str">
        <f t="shared" si="252"/>
        <v/>
      </c>
      <c r="P3037" t="str">
        <f t="shared" si="252"/>
        <v/>
      </c>
      <c r="T3037" t="str">
        <f t="shared" si="251"/>
        <v/>
      </c>
      <c r="V3037" t="str">
        <f t="shared" si="253"/>
        <v>MVS</v>
      </c>
      <c r="W3037" t="str">
        <f t="shared" si="253"/>
        <v>MVS,AES</v>
      </c>
      <c r="AB3037" t="s">
        <v>34</v>
      </c>
      <c r="AE3037" t="s">
        <v>33</v>
      </c>
      <c r="AH3037" t="s">
        <v>766</v>
      </c>
      <c r="AI3037" t="s">
        <v>9</v>
      </c>
      <c r="AJ3037" t="s">
        <v>27</v>
      </c>
      <c r="AK3037" t="s">
        <v>765</v>
      </c>
      <c r="AL3037" t="s">
        <v>764</v>
      </c>
    </row>
    <row r="3038" spans="5:44" x14ac:dyDescent="0.25">
      <c r="I3038" t="str">
        <f t="shared" si="249"/>
        <v>kf2k2pla</v>
      </c>
      <c r="J3038" t="str">
        <f t="shared" si="250"/>
        <v/>
      </c>
      <c r="L3038" t="str">
        <f t="shared" si="252"/>
        <v/>
      </c>
      <c r="M3038" t="str">
        <f t="shared" si="252"/>
        <v/>
      </c>
      <c r="N3038" t="str">
        <f t="shared" si="252"/>
        <v/>
      </c>
      <c r="O3038" t="str">
        <f t="shared" si="252"/>
        <v/>
      </c>
      <c r="P3038" t="str">
        <f t="shared" si="252"/>
        <v/>
      </c>
      <c r="T3038" t="str">
        <f t="shared" si="251"/>
        <v/>
      </c>
      <c r="V3038" t="str">
        <f t="shared" si="253"/>
        <v>MVS</v>
      </c>
      <c r="W3038" t="str">
        <f t="shared" si="253"/>
        <v>MVS,AES</v>
      </c>
      <c r="AB3038" t="s">
        <v>482</v>
      </c>
      <c r="AE3038" t="s">
        <v>480</v>
      </c>
      <c r="AH3038" t="s">
        <v>739</v>
      </c>
      <c r="AI3038" t="s">
        <v>314</v>
      </c>
      <c r="AJ3038" t="s">
        <v>135</v>
      </c>
      <c r="AK3038" t="s">
        <v>738</v>
      </c>
      <c r="AL3038" t="s">
        <v>737</v>
      </c>
    </row>
    <row r="3039" spans="5:44" x14ac:dyDescent="0.25">
      <c r="I3039" t="str">
        <f t="shared" si="249"/>
        <v>kf2k2pla</v>
      </c>
      <c r="J3039" t="str">
        <f t="shared" si="250"/>
        <v/>
      </c>
      <c r="L3039" t="str">
        <f t="shared" si="252"/>
        <v/>
      </c>
      <c r="M3039" t="str">
        <f t="shared" si="252"/>
        <v/>
      </c>
      <c r="N3039" t="str">
        <f t="shared" si="252"/>
        <v/>
      </c>
      <c r="O3039" t="str">
        <f t="shared" si="252"/>
        <v/>
      </c>
      <c r="P3039" t="str">
        <f t="shared" si="252"/>
        <v/>
      </c>
      <c r="T3039" t="str">
        <f t="shared" si="251"/>
        <v/>
      </c>
      <c r="V3039" t="str">
        <f t="shared" si="253"/>
        <v>MVS</v>
      </c>
      <c r="W3039" t="str">
        <f t="shared" si="253"/>
        <v>MVS,AES</v>
      </c>
      <c r="AB3039" t="s">
        <v>24</v>
      </c>
      <c r="AE3039" t="s">
        <v>65</v>
      </c>
      <c r="AH3039" t="s">
        <v>736</v>
      </c>
      <c r="AI3039" t="s">
        <v>9</v>
      </c>
      <c r="AJ3039" t="s">
        <v>57</v>
      </c>
      <c r="AK3039" t="s">
        <v>735</v>
      </c>
      <c r="AL3039" t="s">
        <v>734</v>
      </c>
    </row>
    <row r="3040" spans="5:44" x14ac:dyDescent="0.25">
      <c r="I3040" t="str">
        <f t="shared" si="249"/>
        <v>kf2k2pla</v>
      </c>
      <c r="J3040" t="str">
        <f t="shared" si="250"/>
        <v/>
      </c>
      <c r="L3040" t="str">
        <f t="shared" si="252"/>
        <v/>
      </c>
      <c r="M3040" t="str">
        <f t="shared" si="252"/>
        <v/>
      </c>
      <c r="N3040" t="str">
        <f t="shared" si="252"/>
        <v/>
      </c>
      <c r="O3040" t="str">
        <f t="shared" si="252"/>
        <v/>
      </c>
      <c r="P3040" t="str">
        <f t="shared" si="252"/>
        <v/>
      </c>
      <c r="T3040" t="str">
        <f t="shared" si="251"/>
        <v/>
      </c>
      <c r="V3040" t="str">
        <f t="shared" si="253"/>
        <v>MVS</v>
      </c>
      <c r="W3040" t="str">
        <f t="shared" si="253"/>
        <v>MVS,AES</v>
      </c>
      <c r="AH3040" t="s">
        <v>733</v>
      </c>
      <c r="AI3040" t="s">
        <v>57</v>
      </c>
      <c r="AJ3040" t="s">
        <v>57</v>
      </c>
      <c r="AK3040" t="s">
        <v>732</v>
      </c>
      <c r="AL3040" t="s">
        <v>731</v>
      </c>
    </row>
    <row r="3041" spans="5:44" x14ac:dyDescent="0.25">
      <c r="I3041" t="str">
        <f t="shared" si="249"/>
        <v>kf2k2pla</v>
      </c>
      <c r="J3041" t="str">
        <f t="shared" si="250"/>
        <v/>
      </c>
      <c r="L3041" t="str">
        <f t="shared" si="252"/>
        <v/>
      </c>
      <c r="M3041" t="str">
        <f t="shared" si="252"/>
        <v/>
      </c>
      <c r="N3041" t="str">
        <f t="shared" si="252"/>
        <v/>
      </c>
      <c r="O3041" t="str">
        <f t="shared" si="252"/>
        <v/>
      </c>
      <c r="P3041" t="str">
        <f t="shared" si="252"/>
        <v/>
      </c>
      <c r="T3041" t="str">
        <f t="shared" si="251"/>
        <v/>
      </c>
      <c r="V3041" t="str">
        <f t="shared" si="253"/>
        <v>MVS</v>
      </c>
      <c r="W3041" t="str">
        <f t="shared" si="253"/>
        <v>MVS,AES</v>
      </c>
      <c r="AB3041" t="s">
        <v>12</v>
      </c>
      <c r="AE3041" t="s">
        <v>175</v>
      </c>
      <c r="AG3041" t="s">
        <v>6</v>
      </c>
      <c r="AH3041" t="s">
        <v>730</v>
      </c>
      <c r="AI3041" t="s">
        <v>9</v>
      </c>
      <c r="AJ3041" t="s">
        <v>57</v>
      </c>
      <c r="AK3041" t="s">
        <v>729</v>
      </c>
      <c r="AL3041" t="s">
        <v>728</v>
      </c>
    </row>
    <row r="3042" spans="5:44" x14ac:dyDescent="0.25">
      <c r="I3042" t="str">
        <f t="shared" si="249"/>
        <v>kf2k2pla</v>
      </c>
      <c r="J3042" t="str">
        <f t="shared" si="250"/>
        <v/>
      </c>
      <c r="L3042" t="str">
        <f t="shared" si="252"/>
        <v/>
      </c>
      <c r="M3042" t="str">
        <f t="shared" si="252"/>
        <v/>
      </c>
      <c r="N3042" t="str">
        <f t="shared" si="252"/>
        <v/>
      </c>
      <c r="O3042" t="str">
        <f t="shared" si="252"/>
        <v/>
      </c>
      <c r="P3042" t="str">
        <f t="shared" si="252"/>
        <v/>
      </c>
      <c r="T3042" t="str">
        <f t="shared" si="251"/>
        <v/>
      </c>
      <c r="V3042" t="str">
        <f t="shared" si="253"/>
        <v>MVS</v>
      </c>
      <c r="W3042" t="str">
        <f t="shared" si="253"/>
        <v>MVS,AES</v>
      </c>
      <c r="AG3042" t="s">
        <v>6</v>
      </c>
      <c r="AH3042" t="s">
        <v>727</v>
      </c>
      <c r="AI3042" t="s">
        <v>4</v>
      </c>
      <c r="AJ3042" t="s">
        <v>57</v>
      </c>
      <c r="AK3042" t="s">
        <v>726</v>
      </c>
      <c r="AL3042" t="s">
        <v>725</v>
      </c>
    </row>
    <row r="3043" spans="5:44" x14ac:dyDescent="0.25">
      <c r="I3043" t="str">
        <f t="shared" si="249"/>
        <v>kf2k2pla</v>
      </c>
      <c r="J3043" t="str">
        <f t="shared" si="250"/>
        <v/>
      </c>
      <c r="L3043" t="str">
        <f t="shared" si="252"/>
        <v/>
      </c>
      <c r="M3043" t="str">
        <f t="shared" si="252"/>
        <v/>
      </c>
      <c r="N3043" t="str">
        <f t="shared" si="252"/>
        <v/>
      </c>
      <c r="O3043" t="str">
        <f t="shared" si="252"/>
        <v/>
      </c>
      <c r="P3043" t="str">
        <f t="shared" si="252"/>
        <v/>
      </c>
      <c r="T3043" t="str">
        <f t="shared" si="251"/>
        <v/>
      </c>
      <c r="V3043" t="str">
        <f t="shared" si="253"/>
        <v>MVS</v>
      </c>
      <c r="W3043" t="str">
        <f t="shared" si="253"/>
        <v>MVS,AES</v>
      </c>
      <c r="AG3043" t="s">
        <v>6</v>
      </c>
      <c r="AH3043" t="s">
        <v>724</v>
      </c>
      <c r="AI3043" t="s">
        <v>65</v>
      </c>
      <c r="AJ3043" t="s">
        <v>57</v>
      </c>
      <c r="AK3043" t="s">
        <v>723</v>
      </c>
      <c r="AL3043" t="s">
        <v>722</v>
      </c>
    </row>
    <row r="3044" spans="5:44" x14ac:dyDescent="0.25">
      <c r="I3044" t="str">
        <f t="shared" si="249"/>
        <v>kf2k2pla</v>
      </c>
      <c r="J3044" t="str">
        <f t="shared" si="250"/>
        <v/>
      </c>
      <c r="L3044" t="str">
        <f t="shared" si="252"/>
        <v/>
      </c>
      <c r="M3044" t="str">
        <f t="shared" si="252"/>
        <v/>
      </c>
      <c r="N3044" t="str">
        <f t="shared" si="252"/>
        <v/>
      </c>
      <c r="O3044" t="str">
        <f t="shared" si="252"/>
        <v/>
      </c>
      <c r="P3044" t="str">
        <f t="shared" si="252"/>
        <v/>
      </c>
      <c r="T3044" t="str">
        <f t="shared" si="251"/>
        <v/>
      </c>
      <c r="V3044" t="str">
        <f t="shared" si="253"/>
        <v>MVS</v>
      </c>
      <c r="W3044" t="str">
        <f t="shared" si="253"/>
        <v>MVS,AES</v>
      </c>
      <c r="AG3044" t="s">
        <v>6</v>
      </c>
      <c r="AH3044" t="s">
        <v>721</v>
      </c>
      <c r="AI3044" t="s">
        <v>164</v>
      </c>
      <c r="AJ3044" t="s">
        <v>57</v>
      </c>
      <c r="AK3044" t="s">
        <v>720</v>
      </c>
      <c r="AL3044" t="s">
        <v>719</v>
      </c>
    </row>
    <row r="3045" spans="5:44" x14ac:dyDescent="0.25">
      <c r="I3045" t="str">
        <f t="shared" si="249"/>
        <v>kf2k2pla</v>
      </c>
      <c r="J3045" t="str">
        <f t="shared" si="250"/>
        <v/>
      </c>
      <c r="L3045" t="str">
        <f t="shared" si="252"/>
        <v/>
      </c>
      <c r="M3045" t="str">
        <f t="shared" si="252"/>
        <v/>
      </c>
      <c r="N3045" t="str">
        <f t="shared" si="252"/>
        <v/>
      </c>
      <c r="O3045" t="str">
        <f t="shared" si="252"/>
        <v/>
      </c>
      <c r="P3045" t="str">
        <f t="shared" si="252"/>
        <v/>
      </c>
      <c r="T3045" t="str">
        <f t="shared" si="251"/>
        <v/>
      </c>
      <c r="V3045" t="str">
        <f t="shared" si="253"/>
        <v>MVS</v>
      </c>
      <c r="W3045" t="str">
        <f t="shared" si="253"/>
        <v>MVS,AES</v>
      </c>
      <c r="AG3045" t="s">
        <v>6</v>
      </c>
      <c r="AH3045" t="s">
        <v>718</v>
      </c>
      <c r="AI3045" t="s">
        <v>160</v>
      </c>
      <c r="AJ3045" t="s">
        <v>57</v>
      </c>
      <c r="AK3045" t="s">
        <v>717</v>
      </c>
      <c r="AL3045" t="s">
        <v>716</v>
      </c>
    </row>
    <row r="3046" spans="5:44" x14ac:dyDescent="0.25">
      <c r="I3046" t="str">
        <f t="shared" si="249"/>
        <v>kf2k2pla</v>
      </c>
      <c r="J3046" t="str">
        <f t="shared" si="250"/>
        <v/>
      </c>
      <c r="L3046" t="str">
        <f t="shared" si="252"/>
        <v/>
      </c>
      <c r="M3046" t="str">
        <f t="shared" si="252"/>
        <v/>
      </c>
      <c r="N3046" t="str">
        <f t="shared" si="252"/>
        <v/>
      </c>
      <c r="O3046" t="str">
        <f t="shared" si="252"/>
        <v/>
      </c>
      <c r="P3046" t="str">
        <f t="shared" si="252"/>
        <v/>
      </c>
      <c r="T3046" t="str">
        <f t="shared" si="251"/>
        <v/>
      </c>
      <c r="V3046" t="str">
        <f t="shared" si="253"/>
        <v>MVS</v>
      </c>
      <c r="W3046" t="str">
        <f t="shared" si="253"/>
        <v>MVS,AES</v>
      </c>
      <c r="AG3046" t="s">
        <v>6</v>
      </c>
      <c r="AH3046" t="s">
        <v>715</v>
      </c>
      <c r="AI3046" t="s">
        <v>156</v>
      </c>
      <c r="AJ3046" t="s">
        <v>57</v>
      </c>
      <c r="AK3046" t="s">
        <v>714</v>
      </c>
      <c r="AL3046" t="s">
        <v>713</v>
      </c>
    </row>
    <row r="3047" spans="5:44" x14ac:dyDescent="0.25">
      <c r="I3047" t="str">
        <f t="shared" si="249"/>
        <v>kf2k2pla</v>
      </c>
      <c r="J3047" t="str">
        <f t="shared" si="250"/>
        <v/>
      </c>
      <c r="L3047" t="str">
        <f t="shared" si="252"/>
        <v/>
      </c>
      <c r="M3047" t="str">
        <f t="shared" si="252"/>
        <v/>
      </c>
      <c r="N3047" t="str">
        <f t="shared" si="252"/>
        <v/>
      </c>
      <c r="O3047" t="str">
        <f t="shared" si="252"/>
        <v/>
      </c>
      <c r="P3047" t="str">
        <f t="shared" si="252"/>
        <v/>
      </c>
      <c r="T3047" t="str">
        <f t="shared" si="251"/>
        <v/>
      </c>
      <c r="V3047" t="str">
        <f t="shared" si="253"/>
        <v>MVS</v>
      </c>
      <c r="W3047" t="str">
        <f t="shared" si="253"/>
        <v>MVS,AES</v>
      </c>
      <c r="AG3047" t="s">
        <v>6</v>
      </c>
      <c r="AH3047" t="s">
        <v>712</v>
      </c>
      <c r="AI3047" t="s">
        <v>152</v>
      </c>
      <c r="AJ3047" t="s">
        <v>57</v>
      </c>
      <c r="AK3047" t="s">
        <v>711</v>
      </c>
      <c r="AL3047" t="s">
        <v>710</v>
      </c>
    </row>
    <row r="3048" spans="5:44" x14ac:dyDescent="0.25">
      <c r="I3048" t="str">
        <f t="shared" si="249"/>
        <v>kf2k2pla</v>
      </c>
      <c r="J3048" t="str">
        <f t="shared" si="250"/>
        <v/>
      </c>
      <c r="L3048" t="str">
        <f t="shared" si="252"/>
        <v/>
      </c>
      <c r="M3048" t="str">
        <f t="shared" si="252"/>
        <v/>
      </c>
      <c r="N3048" t="str">
        <f t="shared" si="252"/>
        <v/>
      </c>
      <c r="O3048" t="str">
        <f t="shared" si="252"/>
        <v/>
      </c>
      <c r="P3048" t="str">
        <f t="shared" si="252"/>
        <v/>
      </c>
      <c r="T3048" t="str">
        <f t="shared" si="251"/>
        <v/>
      </c>
      <c r="V3048" t="str">
        <f t="shared" si="253"/>
        <v>MVS</v>
      </c>
      <c r="W3048" t="str">
        <f t="shared" si="253"/>
        <v>MVS,AES</v>
      </c>
      <c r="AG3048" t="s">
        <v>6</v>
      </c>
      <c r="AH3048" t="s">
        <v>709</v>
      </c>
      <c r="AI3048" t="s">
        <v>148</v>
      </c>
      <c r="AJ3048" t="s">
        <v>57</v>
      </c>
      <c r="AK3048" t="s">
        <v>708</v>
      </c>
      <c r="AL3048" t="s">
        <v>707</v>
      </c>
    </row>
    <row r="3049" spans="5:44" x14ac:dyDescent="0.25">
      <c r="E3049" t="s">
        <v>763</v>
      </c>
      <c r="F3049" t="s">
        <v>762</v>
      </c>
      <c r="G3049" t="s">
        <v>547</v>
      </c>
      <c r="H3049" t="s">
        <v>194</v>
      </c>
      <c r="I3049" t="str">
        <f t="shared" si="249"/>
        <v>kf2k2mp</v>
      </c>
      <c r="J3049" t="str">
        <f t="shared" si="250"/>
        <v/>
      </c>
      <c r="L3049" t="str">
        <f t="shared" si="252"/>
        <v/>
      </c>
      <c r="M3049" t="str">
        <f t="shared" si="252"/>
        <v/>
      </c>
      <c r="N3049" t="str">
        <f t="shared" si="252"/>
        <v/>
      </c>
      <c r="O3049" t="str">
        <f t="shared" si="252"/>
        <v/>
      </c>
      <c r="P3049" t="str">
        <f t="shared" si="252"/>
        <v/>
      </c>
      <c r="S3049" t="s">
        <v>46</v>
      </c>
      <c r="T3049" t="str">
        <f t="shared" si="251"/>
        <v>kf2k2mprelease</v>
      </c>
      <c r="U3049" t="s">
        <v>106</v>
      </c>
      <c r="V3049" t="str">
        <f t="shared" si="253"/>
        <v>MVS</v>
      </c>
      <c r="W3049" t="str">
        <f t="shared" si="253"/>
        <v>MVS,AES</v>
      </c>
      <c r="Y3049" t="s">
        <v>45</v>
      </c>
      <c r="Z3049" t="s">
        <v>44</v>
      </c>
      <c r="AB3049" t="s">
        <v>43</v>
      </c>
      <c r="AC3049" t="s">
        <v>42</v>
      </c>
      <c r="AD3049" t="s">
        <v>41</v>
      </c>
      <c r="AE3049" t="s">
        <v>57</v>
      </c>
      <c r="AG3049" t="s">
        <v>40</v>
      </c>
      <c r="AH3049" t="s">
        <v>761</v>
      </c>
      <c r="AI3049" t="s">
        <v>9</v>
      </c>
      <c r="AJ3049" t="s">
        <v>11</v>
      </c>
      <c r="AK3049" t="s">
        <v>760</v>
      </c>
      <c r="AL3049" t="s">
        <v>759</v>
      </c>
      <c r="AP3049" t="s">
        <v>138</v>
      </c>
      <c r="AQ3049" t="s">
        <v>758</v>
      </c>
      <c r="AR3049" t="s">
        <v>592</v>
      </c>
    </row>
    <row r="3050" spans="5:44" x14ac:dyDescent="0.25">
      <c r="I3050" t="str">
        <f t="shared" si="249"/>
        <v>kf2k2mp</v>
      </c>
      <c r="J3050" t="str">
        <f t="shared" si="250"/>
        <v/>
      </c>
      <c r="L3050" t="str">
        <f t="shared" si="252"/>
        <v/>
      </c>
      <c r="M3050" t="str">
        <f t="shared" si="252"/>
        <v/>
      </c>
      <c r="N3050" t="str">
        <f t="shared" si="252"/>
        <v/>
      </c>
      <c r="O3050" t="str">
        <f t="shared" si="252"/>
        <v/>
      </c>
      <c r="P3050" t="str">
        <f t="shared" si="252"/>
        <v/>
      </c>
      <c r="S3050" t="s">
        <v>36</v>
      </c>
      <c r="T3050" t="str">
        <f t="shared" si="251"/>
        <v>kf2k2mpcompatibility</v>
      </c>
      <c r="U3050" t="s">
        <v>218</v>
      </c>
      <c r="V3050" t="str">
        <f t="shared" si="253"/>
        <v>MVS</v>
      </c>
      <c r="W3050" t="str">
        <f t="shared" si="253"/>
        <v>MVS,AES</v>
      </c>
      <c r="AG3050" t="s">
        <v>40</v>
      </c>
      <c r="AH3050" t="s">
        <v>757</v>
      </c>
      <c r="AI3050" t="s">
        <v>11</v>
      </c>
      <c r="AJ3050" t="s">
        <v>11</v>
      </c>
      <c r="AK3050" t="s">
        <v>756</v>
      </c>
      <c r="AL3050" t="s">
        <v>755</v>
      </c>
    </row>
    <row r="3051" spans="5:44" x14ac:dyDescent="0.25">
      <c r="I3051" t="str">
        <f t="shared" si="249"/>
        <v>kf2k2mp</v>
      </c>
      <c r="J3051" t="str">
        <f t="shared" si="250"/>
        <v/>
      </c>
      <c r="L3051" t="str">
        <f t="shared" si="252"/>
        <v/>
      </c>
      <c r="M3051" t="str">
        <f t="shared" si="252"/>
        <v/>
      </c>
      <c r="N3051" t="str">
        <f t="shared" si="252"/>
        <v/>
      </c>
      <c r="O3051" t="str">
        <f t="shared" si="252"/>
        <v/>
      </c>
      <c r="P3051" t="str">
        <f t="shared" si="252"/>
        <v/>
      </c>
      <c r="T3051" t="str">
        <f t="shared" si="251"/>
        <v/>
      </c>
      <c r="V3051" t="str">
        <f t="shared" si="253"/>
        <v>MVS</v>
      </c>
      <c r="W3051" t="str">
        <f t="shared" si="253"/>
        <v>MVS,AES</v>
      </c>
      <c r="AB3051" t="s">
        <v>34</v>
      </c>
      <c r="AE3051" t="s">
        <v>33</v>
      </c>
      <c r="AH3051" t="s">
        <v>754</v>
      </c>
      <c r="AI3051" t="s">
        <v>9</v>
      </c>
      <c r="AJ3051" t="s">
        <v>27</v>
      </c>
      <c r="AK3051" t="s">
        <v>753</v>
      </c>
      <c r="AL3051" t="s">
        <v>752</v>
      </c>
    </row>
    <row r="3052" spans="5:44" x14ac:dyDescent="0.25">
      <c r="I3052" t="str">
        <f t="shared" si="249"/>
        <v>kf2k2mp</v>
      </c>
      <c r="J3052" t="str">
        <f t="shared" si="250"/>
        <v/>
      </c>
      <c r="L3052" t="str">
        <f t="shared" si="252"/>
        <v/>
      </c>
      <c r="M3052" t="str">
        <f t="shared" si="252"/>
        <v/>
      </c>
      <c r="N3052" t="str">
        <f t="shared" si="252"/>
        <v/>
      </c>
      <c r="O3052" t="str">
        <f t="shared" si="252"/>
        <v/>
      </c>
      <c r="P3052" t="str">
        <f t="shared" si="252"/>
        <v/>
      </c>
      <c r="T3052" t="str">
        <f t="shared" si="251"/>
        <v/>
      </c>
      <c r="V3052" t="str">
        <f t="shared" si="253"/>
        <v>MVS</v>
      </c>
      <c r="W3052" t="str">
        <f t="shared" si="253"/>
        <v>MVS,AES</v>
      </c>
      <c r="AB3052" t="s">
        <v>482</v>
      </c>
      <c r="AE3052" t="s">
        <v>480</v>
      </c>
      <c r="AH3052" t="s">
        <v>739</v>
      </c>
      <c r="AI3052" t="s">
        <v>314</v>
      </c>
      <c r="AJ3052" t="s">
        <v>135</v>
      </c>
      <c r="AK3052" t="s">
        <v>738</v>
      </c>
      <c r="AL3052" t="s">
        <v>737</v>
      </c>
    </row>
    <row r="3053" spans="5:44" x14ac:dyDescent="0.25">
      <c r="I3053" t="str">
        <f t="shared" si="249"/>
        <v>kf2k2mp</v>
      </c>
      <c r="J3053" t="str">
        <f t="shared" si="250"/>
        <v/>
      </c>
      <c r="L3053" t="str">
        <f t="shared" si="252"/>
        <v/>
      </c>
      <c r="M3053" t="str">
        <f t="shared" si="252"/>
        <v/>
      </c>
      <c r="N3053" t="str">
        <f t="shared" si="252"/>
        <v/>
      </c>
      <c r="O3053" t="str">
        <f t="shared" si="252"/>
        <v/>
      </c>
      <c r="P3053" t="str">
        <f t="shared" si="252"/>
        <v/>
      </c>
      <c r="T3053" t="str">
        <f t="shared" si="251"/>
        <v/>
      </c>
      <c r="V3053" t="str">
        <f t="shared" si="253"/>
        <v>MVS</v>
      </c>
      <c r="W3053" t="str">
        <f t="shared" si="253"/>
        <v>MVS,AES</v>
      </c>
      <c r="AB3053" t="s">
        <v>24</v>
      </c>
      <c r="AE3053" t="s">
        <v>65</v>
      </c>
      <c r="AH3053" t="s">
        <v>736</v>
      </c>
      <c r="AI3053" t="s">
        <v>9</v>
      </c>
      <c r="AJ3053" t="s">
        <v>57</v>
      </c>
      <c r="AK3053" t="s">
        <v>735</v>
      </c>
      <c r="AL3053" t="s">
        <v>734</v>
      </c>
    </row>
    <row r="3054" spans="5:44" x14ac:dyDescent="0.25">
      <c r="I3054" t="str">
        <f t="shared" si="249"/>
        <v>kf2k2mp</v>
      </c>
      <c r="J3054" t="str">
        <f t="shared" si="250"/>
        <v/>
      </c>
      <c r="L3054" t="str">
        <f t="shared" si="252"/>
        <v/>
      </c>
      <c r="M3054" t="str">
        <f t="shared" si="252"/>
        <v/>
      </c>
      <c r="N3054" t="str">
        <f t="shared" si="252"/>
        <v/>
      </c>
      <c r="O3054" t="str">
        <f t="shared" si="252"/>
        <v/>
      </c>
      <c r="P3054" t="str">
        <f t="shared" si="252"/>
        <v/>
      </c>
      <c r="T3054" t="str">
        <f t="shared" si="251"/>
        <v/>
      </c>
      <c r="V3054" t="str">
        <f t="shared" si="253"/>
        <v>MVS</v>
      </c>
      <c r="W3054" t="str">
        <f t="shared" si="253"/>
        <v>MVS,AES</v>
      </c>
      <c r="AH3054" t="s">
        <v>733</v>
      </c>
      <c r="AI3054" t="s">
        <v>57</v>
      </c>
      <c r="AJ3054" t="s">
        <v>57</v>
      </c>
      <c r="AK3054" t="s">
        <v>732</v>
      </c>
      <c r="AL3054" t="s">
        <v>731</v>
      </c>
    </row>
    <row r="3055" spans="5:44" x14ac:dyDescent="0.25">
      <c r="I3055" t="str">
        <f t="shared" si="249"/>
        <v>kf2k2mp</v>
      </c>
      <c r="J3055" t="str">
        <f t="shared" si="250"/>
        <v/>
      </c>
      <c r="L3055" t="str">
        <f t="shared" si="252"/>
        <v/>
      </c>
      <c r="M3055" t="str">
        <f t="shared" si="252"/>
        <v/>
      </c>
      <c r="N3055" t="str">
        <f t="shared" si="252"/>
        <v/>
      </c>
      <c r="O3055" t="str">
        <f t="shared" si="252"/>
        <v/>
      </c>
      <c r="P3055" t="str">
        <f t="shared" si="252"/>
        <v/>
      </c>
      <c r="T3055" t="str">
        <f t="shared" si="251"/>
        <v/>
      </c>
      <c r="V3055" t="str">
        <f t="shared" si="253"/>
        <v>MVS</v>
      </c>
      <c r="W3055" t="str">
        <f t="shared" si="253"/>
        <v>MVS,AES</v>
      </c>
      <c r="AB3055" t="s">
        <v>12</v>
      </c>
      <c r="AE3055" t="s">
        <v>175</v>
      </c>
      <c r="AG3055" t="s">
        <v>6</v>
      </c>
      <c r="AH3055" t="s">
        <v>730</v>
      </c>
      <c r="AI3055" t="s">
        <v>9</v>
      </c>
      <c r="AJ3055" t="s">
        <v>57</v>
      </c>
      <c r="AK3055" t="s">
        <v>729</v>
      </c>
      <c r="AL3055" t="s">
        <v>728</v>
      </c>
    </row>
    <row r="3056" spans="5:44" x14ac:dyDescent="0.25">
      <c r="I3056" t="str">
        <f t="shared" si="249"/>
        <v>kf2k2mp</v>
      </c>
      <c r="J3056" t="str">
        <f t="shared" si="250"/>
        <v/>
      </c>
      <c r="L3056" t="str">
        <f t="shared" si="252"/>
        <v/>
      </c>
      <c r="M3056" t="str">
        <f t="shared" si="252"/>
        <v/>
      </c>
      <c r="N3056" t="str">
        <f t="shared" si="252"/>
        <v/>
      </c>
      <c r="O3056" t="str">
        <f t="shared" si="252"/>
        <v/>
      </c>
      <c r="P3056" t="str">
        <f t="shared" si="252"/>
        <v/>
      </c>
      <c r="T3056" t="str">
        <f t="shared" si="251"/>
        <v/>
      </c>
      <c r="V3056" t="str">
        <f t="shared" si="253"/>
        <v>MVS</v>
      </c>
      <c r="W3056" t="str">
        <f t="shared" si="253"/>
        <v>MVS,AES</v>
      </c>
      <c r="AG3056" t="s">
        <v>6</v>
      </c>
      <c r="AH3056" t="s">
        <v>727</v>
      </c>
      <c r="AI3056" t="s">
        <v>4</v>
      </c>
      <c r="AJ3056" t="s">
        <v>57</v>
      </c>
      <c r="AK3056" t="s">
        <v>726</v>
      </c>
      <c r="AL3056" t="s">
        <v>725</v>
      </c>
    </row>
    <row r="3057" spans="5:44" x14ac:dyDescent="0.25">
      <c r="I3057" t="str">
        <f t="shared" si="249"/>
        <v>kf2k2mp</v>
      </c>
      <c r="J3057" t="str">
        <f t="shared" si="250"/>
        <v/>
      </c>
      <c r="L3057" t="str">
        <f t="shared" si="252"/>
        <v/>
      </c>
      <c r="M3057" t="str">
        <f t="shared" si="252"/>
        <v/>
      </c>
      <c r="N3057" t="str">
        <f t="shared" si="252"/>
        <v/>
      </c>
      <c r="O3057" t="str">
        <f t="shared" si="252"/>
        <v/>
      </c>
      <c r="P3057" t="str">
        <f t="shared" si="252"/>
        <v/>
      </c>
      <c r="T3057" t="str">
        <f t="shared" si="251"/>
        <v/>
      </c>
      <c r="V3057" t="str">
        <f t="shared" si="253"/>
        <v>MVS</v>
      </c>
      <c r="W3057" t="str">
        <f t="shared" si="253"/>
        <v>MVS,AES</v>
      </c>
      <c r="AG3057" t="s">
        <v>6</v>
      </c>
      <c r="AH3057" t="s">
        <v>724</v>
      </c>
      <c r="AI3057" t="s">
        <v>65</v>
      </c>
      <c r="AJ3057" t="s">
        <v>57</v>
      </c>
      <c r="AK3057" t="s">
        <v>723</v>
      </c>
      <c r="AL3057" t="s">
        <v>722</v>
      </c>
    </row>
    <row r="3058" spans="5:44" x14ac:dyDescent="0.25">
      <c r="I3058" t="str">
        <f t="shared" si="249"/>
        <v>kf2k2mp</v>
      </c>
      <c r="J3058" t="str">
        <f t="shared" si="250"/>
        <v/>
      </c>
      <c r="L3058" t="str">
        <f t="shared" si="252"/>
        <v/>
      </c>
      <c r="M3058" t="str">
        <f t="shared" si="252"/>
        <v/>
      </c>
      <c r="N3058" t="str">
        <f t="shared" si="252"/>
        <v/>
      </c>
      <c r="O3058" t="str">
        <f t="shared" si="252"/>
        <v/>
      </c>
      <c r="P3058" t="str">
        <f t="shared" si="252"/>
        <v/>
      </c>
      <c r="T3058" t="str">
        <f t="shared" si="251"/>
        <v/>
      </c>
      <c r="V3058" t="str">
        <f t="shared" si="253"/>
        <v>MVS</v>
      </c>
      <c r="W3058" t="str">
        <f t="shared" si="253"/>
        <v>MVS,AES</v>
      </c>
      <c r="AG3058" t="s">
        <v>6</v>
      </c>
      <c r="AH3058" t="s">
        <v>721</v>
      </c>
      <c r="AI3058" t="s">
        <v>164</v>
      </c>
      <c r="AJ3058" t="s">
        <v>57</v>
      </c>
      <c r="AK3058" t="s">
        <v>720</v>
      </c>
      <c r="AL3058" t="s">
        <v>719</v>
      </c>
    </row>
    <row r="3059" spans="5:44" x14ac:dyDescent="0.25">
      <c r="I3059" t="str">
        <f t="shared" si="249"/>
        <v>kf2k2mp</v>
      </c>
      <c r="J3059" t="str">
        <f t="shared" si="250"/>
        <v/>
      </c>
      <c r="L3059" t="str">
        <f t="shared" si="252"/>
        <v/>
      </c>
      <c r="M3059" t="str">
        <f t="shared" si="252"/>
        <v/>
      </c>
      <c r="N3059" t="str">
        <f t="shared" si="252"/>
        <v/>
      </c>
      <c r="O3059" t="str">
        <f t="shared" si="252"/>
        <v/>
      </c>
      <c r="P3059" t="str">
        <f t="shared" si="252"/>
        <v/>
      </c>
      <c r="T3059" t="str">
        <f t="shared" si="251"/>
        <v/>
      </c>
      <c r="V3059" t="str">
        <f t="shared" si="253"/>
        <v>MVS</v>
      </c>
      <c r="W3059" t="str">
        <f t="shared" si="253"/>
        <v>MVS,AES</v>
      </c>
      <c r="AG3059" t="s">
        <v>6</v>
      </c>
      <c r="AH3059" t="s">
        <v>718</v>
      </c>
      <c r="AI3059" t="s">
        <v>160</v>
      </c>
      <c r="AJ3059" t="s">
        <v>57</v>
      </c>
      <c r="AK3059" t="s">
        <v>717</v>
      </c>
      <c r="AL3059" t="s">
        <v>716</v>
      </c>
    </row>
    <row r="3060" spans="5:44" x14ac:dyDescent="0.25">
      <c r="I3060" t="str">
        <f t="shared" si="249"/>
        <v>kf2k2mp</v>
      </c>
      <c r="J3060" t="str">
        <f t="shared" si="250"/>
        <v/>
      </c>
      <c r="L3060" t="str">
        <f t="shared" si="252"/>
        <v/>
      </c>
      <c r="M3060" t="str">
        <f t="shared" si="252"/>
        <v/>
      </c>
      <c r="N3060" t="str">
        <f t="shared" si="252"/>
        <v/>
      </c>
      <c r="O3060" t="str">
        <f t="shared" si="252"/>
        <v/>
      </c>
      <c r="P3060" t="str">
        <f t="shared" si="252"/>
        <v/>
      </c>
      <c r="T3060" t="str">
        <f t="shared" si="251"/>
        <v/>
      </c>
      <c r="V3060" t="str">
        <f t="shared" si="253"/>
        <v>MVS</v>
      </c>
      <c r="W3060" t="str">
        <f t="shared" si="253"/>
        <v>MVS,AES</v>
      </c>
      <c r="AG3060" t="s">
        <v>6</v>
      </c>
      <c r="AH3060" t="s">
        <v>715</v>
      </c>
      <c r="AI3060" t="s">
        <v>156</v>
      </c>
      <c r="AJ3060" t="s">
        <v>57</v>
      </c>
      <c r="AK3060" t="s">
        <v>714</v>
      </c>
      <c r="AL3060" t="s">
        <v>713</v>
      </c>
    </row>
    <row r="3061" spans="5:44" x14ac:dyDescent="0.25">
      <c r="I3061" t="str">
        <f t="shared" si="249"/>
        <v>kf2k2mp</v>
      </c>
      <c r="J3061" t="str">
        <f t="shared" si="250"/>
        <v/>
      </c>
      <c r="L3061" t="str">
        <f t="shared" si="252"/>
        <v/>
      </c>
      <c r="M3061" t="str">
        <f t="shared" si="252"/>
        <v/>
      </c>
      <c r="N3061" t="str">
        <f t="shared" si="252"/>
        <v/>
      </c>
      <c r="O3061" t="str">
        <f t="shared" si="252"/>
        <v/>
      </c>
      <c r="P3061" t="str">
        <f t="shared" si="252"/>
        <v/>
      </c>
      <c r="T3061" t="str">
        <f t="shared" si="251"/>
        <v/>
      </c>
      <c r="V3061" t="str">
        <f t="shared" si="253"/>
        <v>MVS</v>
      </c>
      <c r="W3061" t="str">
        <f t="shared" si="253"/>
        <v>MVS,AES</v>
      </c>
      <c r="AG3061" t="s">
        <v>6</v>
      </c>
      <c r="AH3061" t="s">
        <v>712</v>
      </c>
      <c r="AI3061" t="s">
        <v>152</v>
      </c>
      <c r="AJ3061" t="s">
        <v>57</v>
      </c>
      <c r="AK3061" t="s">
        <v>711</v>
      </c>
      <c r="AL3061" t="s">
        <v>710</v>
      </c>
    </row>
    <row r="3062" spans="5:44" x14ac:dyDescent="0.25">
      <c r="I3062" t="str">
        <f t="shared" si="249"/>
        <v>kf2k2mp</v>
      </c>
      <c r="J3062" t="str">
        <f t="shared" si="250"/>
        <v/>
      </c>
      <c r="L3062" t="str">
        <f t="shared" si="252"/>
        <v/>
      </c>
      <c r="M3062" t="str">
        <f t="shared" si="252"/>
        <v/>
      </c>
      <c r="N3062" t="str">
        <f t="shared" si="252"/>
        <v/>
      </c>
      <c r="O3062" t="str">
        <f t="shared" si="252"/>
        <v/>
      </c>
      <c r="P3062" t="str">
        <f t="shared" si="252"/>
        <v/>
      </c>
      <c r="T3062" t="str">
        <f t="shared" si="251"/>
        <v/>
      </c>
      <c r="V3062" t="str">
        <f t="shared" si="253"/>
        <v>MVS</v>
      </c>
      <c r="W3062" t="str">
        <f t="shared" si="253"/>
        <v>MVS,AES</v>
      </c>
      <c r="AG3062" t="s">
        <v>6</v>
      </c>
      <c r="AH3062" t="s">
        <v>709</v>
      </c>
      <c r="AI3062" t="s">
        <v>148</v>
      </c>
      <c r="AJ3062" t="s">
        <v>57</v>
      </c>
      <c r="AK3062" t="s">
        <v>708</v>
      </c>
      <c r="AL3062" t="s">
        <v>707</v>
      </c>
    </row>
    <row r="3063" spans="5:44" x14ac:dyDescent="0.25">
      <c r="E3063" t="s">
        <v>751</v>
      </c>
      <c r="F3063" t="s">
        <v>750</v>
      </c>
      <c r="G3063" t="s">
        <v>547</v>
      </c>
      <c r="H3063" t="s">
        <v>194</v>
      </c>
      <c r="I3063" t="str">
        <f t="shared" si="249"/>
        <v>kf2k2mp2</v>
      </c>
      <c r="J3063" t="str">
        <f t="shared" si="250"/>
        <v/>
      </c>
      <c r="L3063" t="str">
        <f t="shared" si="252"/>
        <v/>
      </c>
      <c r="M3063" t="str">
        <f t="shared" si="252"/>
        <v/>
      </c>
      <c r="N3063" t="str">
        <f t="shared" si="252"/>
        <v/>
      </c>
      <c r="O3063" t="str">
        <f t="shared" si="252"/>
        <v/>
      </c>
      <c r="P3063" t="str">
        <f t="shared" si="252"/>
        <v/>
      </c>
      <c r="S3063" t="s">
        <v>46</v>
      </c>
      <c r="T3063" t="str">
        <f t="shared" si="251"/>
        <v>kf2k2mp2release</v>
      </c>
      <c r="U3063" t="s">
        <v>106</v>
      </c>
      <c r="V3063" t="str">
        <f t="shared" si="253"/>
        <v>MVS</v>
      </c>
      <c r="W3063" t="str">
        <f t="shared" si="253"/>
        <v>MVS,AES</v>
      </c>
      <c r="Y3063" t="s">
        <v>45</v>
      </c>
      <c r="Z3063" t="s">
        <v>44</v>
      </c>
      <c r="AB3063" t="s">
        <v>43</v>
      </c>
      <c r="AC3063" t="s">
        <v>42</v>
      </c>
      <c r="AD3063" t="s">
        <v>41</v>
      </c>
      <c r="AE3063" t="s">
        <v>75</v>
      </c>
      <c r="AG3063" t="s">
        <v>40</v>
      </c>
      <c r="AH3063" t="s">
        <v>749</v>
      </c>
      <c r="AI3063" t="s">
        <v>9</v>
      </c>
      <c r="AJ3063" t="s">
        <v>3</v>
      </c>
      <c r="AK3063" t="s">
        <v>748</v>
      </c>
      <c r="AL3063" t="s">
        <v>747</v>
      </c>
      <c r="AP3063" t="s">
        <v>138</v>
      </c>
      <c r="AQ3063" t="s">
        <v>746</v>
      </c>
      <c r="AR3063" t="s">
        <v>592</v>
      </c>
    </row>
    <row r="3064" spans="5:44" x14ac:dyDescent="0.25">
      <c r="I3064" t="str">
        <f t="shared" si="249"/>
        <v>kf2k2mp2</v>
      </c>
      <c r="J3064" t="str">
        <f t="shared" si="250"/>
        <v/>
      </c>
      <c r="L3064" t="str">
        <f t="shared" si="252"/>
        <v/>
      </c>
      <c r="M3064" t="str">
        <f t="shared" si="252"/>
        <v/>
      </c>
      <c r="N3064" t="str">
        <f t="shared" si="252"/>
        <v/>
      </c>
      <c r="O3064" t="str">
        <f t="shared" si="252"/>
        <v/>
      </c>
      <c r="P3064" t="str">
        <f t="shared" si="252"/>
        <v/>
      </c>
      <c r="S3064" t="s">
        <v>36</v>
      </c>
      <c r="T3064" t="str">
        <f t="shared" si="251"/>
        <v>kf2k2mp2compatibility</v>
      </c>
      <c r="U3064" t="s">
        <v>218</v>
      </c>
      <c r="V3064" t="str">
        <f t="shared" si="253"/>
        <v>MVS</v>
      </c>
      <c r="W3064" t="str">
        <f t="shared" si="253"/>
        <v>MVS,AES</v>
      </c>
      <c r="AG3064" t="s">
        <v>40</v>
      </c>
      <c r="AH3064" t="s">
        <v>745</v>
      </c>
      <c r="AI3064" t="s">
        <v>3</v>
      </c>
      <c r="AJ3064" t="s">
        <v>11</v>
      </c>
      <c r="AK3064" t="s">
        <v>744</v>
      </c>
      <c r="AL3064" t="s">
        <v>743</v>
      </c>
    </row>
    <row r="3065" spans="5:44" x14ac:dyDescent="0.25">
      <c r="I3065" t="str">
        <f t="shared" si="249"/>
        <v>kf2k2mp2</v>
      </c>
      <c r="J3065" t="str">
        <f t="shared" si="250"/>
        <v/>
      </c>
      <c r="L3065" t="str">
        <f t="shared" si="252"/>
        <v/>
      </c>
      <c r="M3065" t="str">
        <f t="shared" si="252"/>
        <v/>
      </c>
      <c r="N3065" t="str">
        <f t="shared" si="252"/>
        <v/>
      </c>
      <c r="O3065" t="str">
        <f t="shared" si="252"/>
        <v/>
      </c>
      <c r="P3065" t="str">
        <f t="shared" si="252"/>
        <v/>
      </c>
      <c r="T3065" t="str">
        <f t="shared" si="251"/>
        <v/>
      </c>
      <c r="V3065" t="str">
        <f t="shared" si="253"/>
        <v>MVS</v>
      </c>
      <c r="W3065" t="str">
        <f t="shared" si="253"/>
        <v>MVS,AES</v>
      </c>
      <c r="AB3065" t="s">
        <v>34</v>
      </c>
      <c r="AE3065" t="s">
        <v>33</v>
      </c>
      <c r="AH3065" t="s">
        <v>742</v>
      </c>
      <c r="AI3065" t="s">
        <v>9</v>
      </c>
      <c r="AJ3065" t="s">
        <v>27</v>
      </c>
      <c r="AK3065" t="s">
        <v>741</v>
      </c>
      <c r="AL3065" t="s">
        <v>740</v>
      </c>
    </row>
    <row r="3066" spans="5:44" x14ac:dyDescent="0.25">
      <c r="I3066" t="str">
        <f t="shared" si="249"/>
        <v>kf2k2mp2</v>
      </c>
      <c r="J3066" t="str">
        <f t="shared" si="250"/>
        <v/>
      </c>
      <c r="L3066" t="str">
        <f t="shared" si="252"/>
        <v/>
      </c>
      <c r="M3066" t="str">
        <f t="shared" si="252"/>
        <v/>
      </c>
      <c r="N3066" t="str">
        <f t="shared" si="252"/>
        <v/>
      </c>
      <c r="O3066" t="str">
        <f t="shared" si="252"/>
        <v/>
      </c>
      <c r="P3066" t="str">
        <f t="shared" si="252"/>
        <v/>
      </c>
      <c r="T3066" t="str">
        <f t="shared" si="251"/>
        <v/>
      </c>
      <c r="V3066" t="str">
        <f t="shared" si="253"/>
        <v>MVS</v>
      </c>
      <c r="W3066" t="str">
        <f t="shared" si="253"/>
        <v>MVS,AES</v>
      </c>
      <c r="AB3066" t="s">
        <v>482</v>
      </c>
      <c r="AE3066" t="s">
        <v>480</v>
      </c>
      <c r="AH3066" t="s">
        <v>739</v>
      </c>
      <c r="AI3066" t="s">
        <v>314</v>
      </c>
      <c r="AJ3066" t="s">
        <v>135</v>
      </c>
      <c r="AK3066" t="s">
        <v>738</v>
      </c>
      <c r="AL3066" t="s">
        <v>737</v>
      </c>
    </row>
    <row r="3067" spans="5:44" x14ac:dyDescent="0.25">
      <c r="I3067" t="str">
        <f t="shared" si="249"/>
        <v>kf2k2mp2</v>
      </c>
      <c r="J3067" t="str">
        <f t="shared" si="250"/>
        <v/>
      </c>
      <c r="L3067" t="str">
        <f t="shared" si="252"/>
        <v/>
      </c>
      <c r="M3067" t="str">
        <f t="shared" si="252"/>
        <v/>
      </c>
      <c r="N3067" t="str">
        <f t="shared" si="252"/>
        <v/>
      </c>
      <c r="O3067" t="str">
        <f t="shared" si="252"/>
        <v/>
      </c>
      <c r="P3067" t="str">
        <f t="shared" si="252"/>
        <v/>
      </c>
      <c r="T3067" t="str">
        <f t="shared" si="251"/>
        <v/>
      </c>
      <c r="V3067" t="str">
        <f t="shared" si="253"/>
        <v>MVS</v>
      </c>
      <c r="W3067" t="str">
        <f t="shared" si="253"/>
        <v>MVS,AES</v>
      </c>
      <c r="AB3067" t="s">
        <v>24</v>
      </c>
      <c r="AE3067" t="s">
        <v>65</v>
      </c>
      <c r="AH3067" t="s">
        <v>736</v>
      </c>
      <c r="AI3067" t="s">
        <v>9</v>
      </c>
      <c r="AJ3067" t="s">
        <v>57</v>
      </c>
      <c r="AK3067" t="s">
        <v>735</v>
      </c>
      <c r="AL3067" t="s">
        <v>734</v>
      </c>
    </row>
    <row r="3068" spans="5:44" x14ac:dyDescent="0.25">
      <c r="I3068" t="str">
        <f t="shared" si="249"/>
        <v>kf2k2mp2</v>
      </c>
      <c r="J3068" t="str">
        <f t="shared" si="250"/>
        <v/>
      </c>
      <c r="L3068" t="str">
        <f t="shared" si="252"/>
        <v/>
      </c>
      <c r="M3068" t="str">
        <f t="shared" si="252"/>
        <v/>
      </c>
      <c r="N3068" t="str">
        <f t="shared" si="252"/>
        <v/>
      </c>
      <c r="O3068" t="str">
        <f t="shared" si="252"/>
        <v/>
      </c>
      <c r="P3068" t="str">
        <f t="shared" si="252"/>
        <v/>
      </c>
      <c r="T3068" t="str">
        <f t="shared" si="251"/>
        <v/>
      </c>
      <c r="V3068" t="str">
        <f t="shared" si="253"/>
        <v>MVS</v>
      </c>
      <c r="W3068" t="str">
        <f t="shared" si="253"/>
        <v>MVS,AES</v>
      </c>
      <c r="AH3068" t="s">
        <v>733</v>
      </c>
      <c r="AI3068" t="s">
        <v>57</v>
      </c>
      <c r="AJ3068" t="s">
        <v>57</v>
      </c>
      <c r="AK3068" t="s">
        <v>732</v>
      </c>
      <c r="AL3068" t="s">
        <v>731</v>
      </c>
    </row>
    <row r="3069" spans="5:44" x14ac:dyDescent="0.25">
      <c r="I3069" t="str">
        <f t="shared" si="249"/>
        <v>kf2k2mp2</v>
      </c>
      <c r="J3069" t="str">
        <f t="shared" si="250"/>
        <v/>
      </c>
      <c r="L3069" t="str">
        <f t="shared" si="252"/>
        <v/>
      </c>
      <c r="M3069" t="str">
        <f t="shared" si="252"/>
        <v/>
      </c>
      <c r="N3069" t="str">
        <f t="shared" si="252"/>
        <v/>
      </c>
      <c r="O3069" t="str">
        <f t="shared" si="252"/>
        <v/>
      </c>
      <c r="P3069" t="str">
        <f t="shared" si="252"/>
        <v/>
      </c>
      <c r="T3069" t="str">
        <f t="shared" si="251"/>
        <v/>
      </c>
      <c r="V3069" t="str">
        <f t="shared" si="253"/>
        <v>MVS</v>
      </c>
      <c r="W3069" t="str">
        <f t="shared" si="253"/>
        <v>MVS,AES</v>
      </c>
      <c r="AB3069" t="s">
        <v>12</v>
      </c>
      <c r="AE3069" t="s">
        <v>175</v>
      </c>
      <c r="AG3069" t="s">
        <v>6</v>
      </c>
      <c r="AH3069" t="s">
        <v>730</v>
      </c>
      <c r="AI3069" t="s">
        <v>9</v>
      </c>
      <c r="AJ3069" t="s">
        <v>57</v>
      </c>
      <c r="AK3069" t="s">
        <v>729</v>
      </c>
      <c r="AL3069" t="s">
        <v>728</v>
      </c>
    </row>
    <row r="3070" spans="5:44" x14ac:dyDescent="0.25">
      <c r="I3070" t="str">
        <f t="shared" si="249"/>
        <v>kf2k2mp2</v>
      </c>
      <c r="J3070" t="str">
        <f t="shared" si="250"/>
        <v/>
      </c>
      <c r="L3070" t="str">
        <f t="shared" si="252"/>
        <v/>
      </c>
      <c r="M3070" t="str">
        <f t="shared" si="252"/>
        <v/>
      </c>
      <c r="N3070" t="str">
        <f t="shared" si="252"/>
        <v/>
      </c>
      <c r="O3070" t="str">
        <f t="shared" si="252"/>
        <v/>
      </c>
      <c r="P3070" t="str">
        <f t="shared" si="252"/>
        <v/>
      </c>
      <c r="T3070" t="str">
        <f t="shared" si="251"/>
        <v/>
      </c>
      <c r="V3070" t="str">
        <f t="shared" si="253"/>
        <v>MVS</v>
      </c>
      <c r="W3070" t="str">
        <f t="shared" si="253"/>
        <v>MVS,AES</v>
      </c>
      <c r="AG3070" t="s">
        <v>6</v>
      </c>
      <c r="AH3070" t="s">
        <v>727</v>
      </c>
      <c r="AI3070" t="s">
        <v>4</v>
      </c>
      <c r="AJ3070" t="s">
        <v>57</v>
      </c>
      <c r="AK3070" t="s">
        <v>726</v>
      </c>
      <c r="AL3070" t="s">
        <v>725</v>
      </c>
    </row>
    <row r="3071" spans="5:44" x14ac:dyDescent="0.25">
      <c r="I3071" t="str">
        <f t="shared" si="249"/>
        <v>kf2k2mp2</v>
      </c>
      <c r="J3071" t="str">
        <f t="shared" si="250"/>
        <v/>
      </c>
      <c r="L3071" t="str">
        <f t="shared" si="252"/>
        <v/>
      </c>
      <c r="M3071" t="str">
        <f t="shared" si="252"/>
        <v/>
      </c>
      <c r="N3071" t="str">
        <f t="shared" si="252"/>
        <v/>
      </c>
      <c r="O3071" t="str">
        <f t="shared" si="252"/>
        <v/>
      </c>
      <c r="P3071" t="str">
        <f t="shared" si="252"/>
        <v/>
      </c>
      <c r="T3071" t="str">
        <f t="shared" si="251"/>
        <v/>
      </c>
      <c r="V3071" t="str">
        <f t="shared" si="253"/>
        <v>MVS</v>
      </c>
      <c r="W3071" t="str">
        <f t="shared" si="253"/>
        <v>MVS,AES</v>
      </c>
      <c r="AG3071" t="s">
        <v>6</v>
      </c>
      <c r="AH3071" t="s">
        <v>724</v>
      </c>
      <c r="AI3071" t="s">
        <v>65</v>
      </c>
      <c r="AJ3071" t="s">
        <v>57</v>
      </c>
      <c r="AK3071" t="s">
        <v>723</v>
      </c>
      <c r="AL3071" t="s">
        <v>722</v>
      </c>
    </row>
    <row r="3072" spans="5:44" x14ac:dyDescent="0.25">
      <c r="I3072" t="str">
        <f t="shared" si="249"/>
        <v>kf2k2mp2</v>
      </c>
      <c r="J3072" t="str">
        <f t="shared" si="250"/>
        <v/>
      </c>
      <c r="L3072" t="str">
        <f t="shared" si="252"/>
        <v/>
      </c>
      <c r="M3072" t="str">
        <f t="shared" si="252"/>
        <v/>
      </c>
      <c r="N3072" t="str">
        <f t="shared" si="252"/>
        <v/>
      </c>
      <c r="O3072" t="str">
        <f t="shared" si="252"/>
        <v/>
      </c>
      <c r="P3072" t="str">
        <f t="shared" si="252"/>
        <v/>
      </c>
      <c r="T3072" t="str">
        <f t="shared" si="251"/>
        <v/>
      </c>
      <c r="V3072" t="str">
        <f t="shared" si="253"/>
        <v>MVS</v>
      </c>
      <c r="W3072" t="str">
        <f t="shared" si="253"/>
        <v>MVS,AES</v>
      </c>
      <c r="AG3072" t="s">
        <v>6</v>
      </c>
      <c r="AH3072" t="s">
        <v>721</v>
      </c>
      <c r="AI3072" t="s">
        <v>164</v>
      </c>
      <c r="AJ3072" t="s">
        <v>57</v>
      </c>
      <c r="AK3072" t="s">
        <v>720</v>
      </c>
      <c r="AL3072" t="s">
        <v>719</v>
      </c>
    </row>
    <row r="3073" spans="5:44" x14ac:dyDescent="0.25">
      <c r="I3073" t="str">
        <f t="shared" si="249"/>
        <v>kf2k2mp2</v>
      </c>
      <c r="J3073" t="str">
        <f t="shared" si="250"/>
        <v/>
      </c>
      <c r="L3073" t="str">
        <f t="shared" si="252"/>
        <v/>
      </c>
      <c r="M3073" t="str">
        <f t="shared" si="252"/>
        <v/>
      </c>
      <c r="N3073" t="str">
        <f t="shared" si="252"/>
        <v/>
      </c>
      <c r="O3073" t="str">
        <f t="shared" si="252"/>
        <v/>
      </c>
      <c r="P3073" t="str">
        <f t="shared" si="252"/>
        <v/>
      </c>
      <c r="T3073" t="str">
        <f t="shared" si="251"/>
        <v/>
      </c>
      <c r="V3073" t="str">
        <f t="shared" si="253"/>
        <v>MVS</v>
      </c>
      <c r="W3073" t="str">
        <f t="shared" si="253"/>
        <v>MVS,AES</v>
      </c>
      <c r="AG3073" t="s">
        <v>6</v>
      </c>
      <c r="AH3073" t="s">
        <v>718</v>
      </c>
      <c r="AI3073" t="s">
        <v>160</v>
      </c>
      <c r="AJ3073" t="s">
        <v>57</v>
      </c>
      <c r="AK3073" t="s">
        <v>717</v>
      </c>
      <c r="AL3073" t="s">
        <v>716</v>
      </c>
    </row>
    <row r="3074" spans="5:44" x14ac:dyDescent="0.25">
      <c r="I3074" t="str">
        <f t="shared" si="249"/>
        <v>kf2k2mp2</v>
      </c>
      <c r="J3074" t="str">
        <f t="shared" si="250"/>
        <v/>
      </c>
      <c r="L3074" t="str">
        <f t="shared" si="252"/>
        <v/>
      </c>
      <c r="M3074" t="str">
        <f t="shared" si="252"/>
        <v/>
      </c>
      <c r="N3074" t="str">
        <f t="shared" si="252"/>
        <v/>
      </c>
      <c r="O3074" t="str">
        <f t="shared" si="252"/>
        <v/>
      </c>
      <c r="P3074" t="str">
        <f t="shared" si="252"/>
        <v/>
      </c>
      <c r="T3074" t="str">
        <f t="shared" si="251"/>
        <v/>
      </c>
      <c r="V3074" t="str">
        <f t="shared" si="253"/>
        <v>MVS</v>
      </c>
      <c r="W3074" t="str">
        <f t="shared" si="253"/>
        <v>MVS,AES</v>
      </c>
      <c r="AG3074" t="s">
        <v>6</v>
      </c>
      <c r="AH3074" t="s">
        <v>715</v>
      </c>
      <c r="AI3074" t="s">
        <v>156</v>
      </c>
      <c r="AJ3074" t="s">
        <v>57</v>
      </c>
      <c r="AK3074" t="s">
        <v>714</v>
      </c>
      <c r="AL3074" t="s">
        <v>713</v>
      </c>
    </row>
    <row r="3075" spans="5:44" x14ac:dyDescent="0.25">
      <c r="I3075" t="str">
        <f t="shared" ref="I3075:I3138" si="254">IF(E3075="",I3074,E3075)</f>
        <v>kf2k2mp2</v>
      </c>
      <c r="J3075" t="str">
        <f t="shared" ref="J3075:J3138" si="255">IF(K3075="","",I3075&amp;K3075)</f>
        <v/>
      </c>
      <c r="L3075" t="str">
        <f t="shared" ref="L3075:P3125" si="256">IFERROR(VLOOKUP($I3075&amp;L$1,$J:$Q,8,0),"")</f>
        <v/>
      </c>
      <c r="M3075" t="str">
        <f t="shared" si="256"/>
        <v/>
      </c>
      <c r="N3075" t="str">
        <f t="shared" si="256"/>
        <v/>
      </c>
      <c r="O3075" t="str">
        <f t="shared" si="256"/>
        <v/>
      </c>
      <c r="P3075" t="str">
        <f t="shared" si="256"/>
        <v/>
      </c>
      <c r="T3075" t="str">
        <f t="shared" ref="T3075:T3138" si="257">IF(S3075="","",I3075&amp;S3075)</f>
        <v/>
      </c>
      <c r="V3075" t="str">
        <f t="shared" si="253"/>
        <v>MVS</v>
      </c>
      <c r="W3075" t="str">
        <f t="shared" si="253"/>
        <v>MVS,AES</v>
      </c>
      <c r="AG3075" t="s">
        <v>6</v>
      </c>
      <c r="AH3075" t="s">
        <v>712</v>
      </c>
      <c r="AI3075" t="s">
        <v>152</v>
      </c>
      <c r="AJ3075" t="s">
        <v>57</v>
      </c>
      <c r="AK3075" t="s">
        <v>711</v>
      </c>
      <c r="AL3075" t="s">
        <v>710</v>
      </c>
    </row>
    <row r="3076" spans="5:44" x14ac:dyDescent="0.25">
      <c r="I3076" t="str">
        <f t="shared" si="254"/>
        <v>kf2k2mp2</v>
      </c>
      <c r="J3076" t="str">
        <f t="shared" si="255"/>
        <v/>
      </c>
      <c r="L3076" t="str">
        <f t="shared" si="256"/>
        <v/>
      </c>
      <c r="M3076" t="str">
        <f t="shared" si="256"/>
        <v/>
      </c>
      <c r="N3076" t="str">
        <f t="shared" si="256"/>
        <v/>
      </c>
      <c r="O3076" t="str">
        <f t="shared" si="256"/>
        <v/>
      </c>
      <c r="P3076" t="str">
        <f t="shared" si="256"/>
        <v/>
      </c>
      <c r="T3076" t="str">
        <f t="shared" si="257"/>
        <v/>
      </c>
      <c r="V3076" t="str">
        <f t="shared" si="253"/>
        <v>MVS</v>
      </c>
      <c r="W3076" t="str">
        <f t="shared" si="253"/>
        <v>MVS,AES</v>
      </c>
      <c r="AG3076" t="s">
        <v>6</v>
      </c>
      <c r="AH3076" t="s">
        <v>709</v>
      </c>
      <c r="AI3076" t="s">
        <v>148</v>
      </c>
      <c r="AJ3076" t="s">
        <v>57</v>
      </c>
      <c r="AK3076" t="s">
        <v>708</v>
      </c>
      <c r="AL3076" t="s">
        <v>707</v>
      </c>
    </row>
    <row r="3077" spans="5:44" x14ac:dyDescent="0.25">
      <c r="E3077" t="s">
        <v>706</v>
      </c>
      <c r="F3077" t="s">
        <v>705</v>
      </c>
      <c r="G3077" t="s">
        <v>547</v>
      </c>
      <c r="H3077" t="s">
        <v>194</v>
      </c>
      <c r="I3077" t="str">
        <f t="shared" si="254"/>
        <v>kof10th</v>
      </c>
      <c r="J3077" t="str">
        <f t="shared" si="255"/>
        <v/>
      </c>
      <c r="L3077" t="str">
        <f t="shared" si="256"/>
        <v/>
      </c>
      <c r="M3077" t="str">
        <f t="shared" si="256"/>
        <v/>
      </c>
      <c r="N3077" t="str">
        <f t="shared" si="256"/>
        <v/>
      </c>
      <c r="O3077" t="str">
        <f t="shared" si="256"/>
        <v/>
      </c>
      <c r="P3077" t="str">
        <f t="shared" si="256"/>
        <v/>
      </c>
      <c r="S3077" t="s">
        <v>46</v>
      </c>
      <c r="T3077" t="str">
        <f t="shared" si="257"/>
        <v>kof10threlease</v>
      </c>
      <c r="U3077" t="s">
        <v>106</v>
      </c>
      <c r="V3077" t="str">
        <f t="shared" si="253"/>
        <v>MVS</v>
      </c>
      <c r="W3077" t="str">
        <f t="shared" si="253"/>
        <v>MVS,AES</v>
      </c>
      <c r="Y3077" t="s">
        <v>45</v>
      </c>
      <c r="Z3077" t="s">
        <v>44</v>
      </c>
      <c r="AB3077" t="s">
        <v>43</v>
      </c>
      <c r="AC3077" t="s">
        <v>42</v>
      </c>
      <c r="AD3077" t="s">
        <v>41</v>
      </c>
      <c r="AE3077" t="s">
        <v>704</v>
      </c>
      <c r="AG3077" t="s">
        <v>40</v>
      </c>
      <c r="AH3077" t="s">
        <v>703</v>
      </c>
      <c r="AI3077" t="s">
        <v>9</v>
      </c>
      <c r="AJ3077" t="s">
        <v>57</v>
      </c>
      <c r="AK3077" t="s">
        <v>702</v>
      </c>
      <c r="AL3077" t="s">
        <v>701</v>
      </c>
      <c r="AP3077" t="s">
        <v>138</v>
      </c>
      <c r="AQ3077" t="s">
        <v>700</v>
      </c>
      <c r="AR3077" t="s">
        <v>592</v>
      </c>
    </row>
    <row r="3078" spans="5:44" x14ac:dyDescent="0.25">
      <c r="I3078" t="str">
        <f t="shared" si="254"/>
        <v>kof10th</v>
      </c>
      <c r="J3078" t="str">
        <f t="shared" si="255"/>
        <v/>
      </c>
      <c r="L3078" t="str">
        <f t="shared" si="256"/>
        <v/>
      </c>
      <c r="M3078" t="str">
        <f t="shared" si="256"/>
        <v/>
      </c>
      <c r="N3078" t="str">
        <f t="shared" si="256"/>
        <v/>
      </c>
      <c r="O3078" t="str">
        <f t="shared" si="256"/>
        <v/>
      </c>
      <c r="P3078" t="str">
        <f t="shared" si="256"/>
        <v/>
      </c>
      <c r="S3078" t="s">
        <v>36</v>
      </c>
      <c r="T3078" t="str">
        <f t="shared" si="257"/>
        <v>kof10thcompatibility</v>
      </c>
      <c r="U3078" t="s">
        <v>218</v>
      </c>
      <c r="V3078" t="str">
        <f t="shared" si="253"/>
        <v>MVS</v>
      </c>
      <c r="W3078" t="str">
        <f t="shared" si="253"/>
        <v>MVS,AES</v>
      </c>
      <c r="AB3078" t="s">
        <v>34</v>
      </c>
      <c r="AE3078" t="s">
        <v>318</v>
      </c>
      <c r="AG3078" t="s">
        <v>538</v>
      </c>
      <c r="AI3078" t="s">
        <v>9</v>
      </c>
      <c r="AJ3078" t="s">
        <v>318</v>
      </c>
      <c r="AN3078" t="s">
        <v>537</v>
      </c>
    </row>
    <row r="3079" spans="5:44" x14ac:dyDescent="0.25">
      <c r="I3079" t="str">
        <f t="shared" si="254"/>
        <v>kof10th</v>
      </c>
      <c r="J3079" t="str">
        <f t="shared" si="255"/>
        <v/>
      </c>
      <c r="L3079" t="str">
        <f t="shared" si="256"/>
        <v/>
      </c>
      <c r="M3079" t="str">
        <f t="shared" si="256"/>
        <v/>
      </c>
      <c r="N3079" t="str">
        <f t="shared" si="256"/>
        <v/>
      </c>
      <c r="O3079" t="str">
        <f t="shared" si="256"/>
        <v/>
      </c>
      <c r="P3079" t="str">
        <f t="shared" si="256"/>
        <v/>
      </c>
      <c r="T3079" t="str">
        <f t="shared" si="257"/>
        <v/>
      </c>
      <c r="V3079" t="str">
        <f t="shared" si="253"/>
        <v>MVS</v>
      </c>
      <c r="W3079" t="str">
        <f t="shared" si="253"/>
        <v>MVS,AES</v>
      </c>
      <c r="AB3079" t="s">
        <v>29</v>
      </c>
      <c r="AE3079" t="s">
        <v>27</v>
      </c>
      <c r="AH3079" t="s">
        <v>699</v>
      </c>
      <c r="AI3079" t="s">
        <v>9</v>
      </c>
      <c r="AJ3079" t="s">
        <v>27</v>
      </c>
      <c r="AK3079" t="s">
        <v>698</v>
      </c>
      <c r="AL3079" t="s">
        <v>697</v>
      </c>
    </row>
    <row r="3080" spans="5:44" x14ac:dyDescent="0.25">
      <c r="I3080" t="str">
        <f t="shared" si="254"/>
        <v>kof10th</v>
      </c>
      <c r="J3080" t="str">
        <f t="shared" si="255"/>
        <v/>
      </c>
      <c r="L3080" t="str">
        <f t="shared" si="256"/>
        <v/>
      </c>
      <c r="M3080" t="str">
        <f t="shared" si="256"/>
        <v/>
      </c>
      <c r="N3080" t="str">
        <f t="shared" si="256"/>
        <v/>
      </c>
      <c r="O3080" t="str">
        <f t="shared" si="256"/>
        <v/>
      </c>
      <c r="P3080" t="str">
        <f t="shared" si="256"/>
        <v/>
      </c>
      <c r="T3080" t="str">
        <f t="shared" si="257"/>
        <v/>
      </c>
      <c r="V3080" t="str">
        <f t="shared" si="253"/>
        <v>MVS</v>
      </c>
      <c r="W3080" t="str">
        <f t="shared" si="253"/>
        <v>MVS,AES</v>
      </c>
      <c r="AB3080" t="s">
        <v>24</v>
      </c>
      <c r="AE3080" t="s">
        <v>65</v>
      </c>
      <c r="AH3080" t="s">
        <v>659</v>
      </c>
      <c r="AI3080" t="s">
        <v>9</v>
      </c>
      <c r="AJ3080" t="s">
        <v>57</v>
      </c>
      <c r="AK3080" t="s">
        <v>658</v>
      </c>
      <c r="AL3080" t="s">
        <v>657</v>
      </c>
    </row>
    <row r="3081" spans="5:44" x14ac:dyDescent="0.25">
      <c r="I3081" t="str">
        <f t="shared" si="254"/>
        <v>kof10th</v>
      </c>
      <c r="J3081" t="str">
        <f t="shared" si="255"/>
        <v/>
      </c>
      <c r="L3081" t="str">
        <f t="shared" si="256"/>
        <v/>
      </c>
      <c r="M3081" t="str">
        <f t="shared" si="256"/>
        <v/>
      </c>
      <c r="N3081" t="str">
        <f t="shared" si="256"/>
        <v/>
      </c>
      <c r="O3081" t="str">
        <f t="shared" si="256"/>
        <v/>
      </c>
      <c r="P3081" t="str">
        <f t="shared" si="256"/>
        <v/>
      </c>
      <c r="T3081" t="str">
        <f t="shared" si="257"/>
        <v/>
      </c>
      <c r="V3081" t="str">
        <f t="shared" si="253"/>
        <v>MVS</v>
      </c>
      <c r="W3081" t="str">
        <f t="shared" si="253"/>
        <v>MVS,AES</v>
      </c>
      <c r="AH3081" t="s">
        <v>656</v>
      </c>
      <c r="AI3081" t="s">
        <v>57</v>
      </c>
      <c r="AJ3081" t="s">
        <v>57</v>
      </c>
      <c r="AK3081" t="s">
        <v>655</v>
      </c>
      <c r="AL3081" t="s">
        <v>654</v>
      </c>
    </row>
    <row r="3082" spans="5:44" x14ac:dyDescent="0.25">
      <c r="I3082" t="str">
        <f t="shared" si="254"/>
        <v>kof10th</v>
      </c>
      <c r="J3082" t="str">
        <f t="shared" si="255"/>
        <v/>
      </c>
      <c r="L3082" t="str">
        <f t="shared" si="256"/>
        <v/>
      </c>
      <c r="M3082" t="str">
        <f t="shared" si="256"/>
        <v/>
      </c>
      <c r="N3082" t="str">
        <f t="shared" si="256"/>
        <v/>
      </c>
      <c r="O3082" t="str">
        <f t="shared" si="256"/>
        <v/>
      </c>
      <c r="P3082" t="str">
        <f t="shared" si="256"/>
        <v/>
      </c>
      <c r="T3082" t="str">
        <f t="shared" si="257"/>
        <v/>
      </c>
      <c r="V3082" t="str">
        <f t="shared" si="253"/>
        <v>MVS</v>
      </c>
      <c r="W3082" t="str">
        <f t="shared" si="253"/>
        <v>MVS,AES</v>
      </c>
      <c r="AB3082" t="s">
        <v>12</v>
      </c>
      <c r="AE3082" t="s">
        <v>175</v>
      </c>
      <c r="AG3082" t="s">
        <v>6</v>
      </c>
      <c r="AH3082" t="s">
        <v>653</v>
      </c>
      <c r="AI3082" t="s">
        <v>9</v>
      </c>
      <c r="AJ3082" t="s">
        <v>11</v>
      </c>
      <c r="AK3082" t="s">
        <v>652</v>
      </c>
      <c r="AL3082" t="s">
        <v>651</v>
      </c>
    </row>
    <row r="3083" spans="5:44" x14ac:dyDescent="0.25">
      <c r="I3083" t="str">
        <f t="shared" si="254"/>
        <v>kof10th</v>
      </c>
      <c r="J3083" t="str">
        <f t="shared" si="255"/>
        <v/>
      </c>
      <c r="L3083" t="str">
        <f t="shared" si="256"/>
        <v/>
      </c>
      <c r="M3083" t="str">
        <f t="shared" si="256"/>
        <v/>
      </c>
      <c r="N3083" t="str">
        <f t="shared" si="256"/>
        <v/>
      </c>
      <c r="O3083" t="str">
        <f t="shared" si="256"/>
        <v/>
      </c>
      <c r="P3083" t="str">
        <f t="shared" si="256"/>
        <v/>
      </c>
      <c r="T3083" t="str">
        <f t="shared" si="257"/>
        <v/>
      </c>
      <c r="V3083" t="str">
        <f t="shared" si="253"/>
        <v>MVS</v>
      </c>
      <c r="W3083" t="str">
        <f t="shared" si="253"/>
        <v>MVS,AES</v>
      </c>
      <c r="AG3083" t="s">
        <v>6</v>
      </c>
      <c r="AH3083" t="s">
        <v>650</v>
      </c>
      <c r="AI3083" t="s">
        <v>4</v>
      </c>
      <c r="AJ3083" t="s">
        <v>11</v>
      </c>
      <c r="AK3083" t="s">
        <v>649</v>
      </c>
      <c r="AL3083" t="s">
        <v>648</v>
      </c>
    </row>
    <row r="3084" spans="5:44" x14ac:dyDescent="0.25">
      <c r="I3084" t="str">
        <f t="shared" si="254"/>
        <v>kof10th</v>
      </c>
      <c r="J3084" t="str">
        <f t="shared" si="255"/>
        <v/>
      </c>
      <c r="L3084" t="str">
        <f t="shared" si="256"/>
        <v/>
      </c>
      <c r="M3084" t="str">
        <f t="shared" si="256"/>
        <v/>
      </c>
      <c r="N3084" t="str">
        <f t="shared" si="256"/>
        <v/>
      </c>
      <c r="O3084" t="str">
        <f t="shared" si="256"/>
        <v/>
      </c>
      <c r="P3084" t="str">
        <f t="shared" si="256"/>
        <v/>
      </c>
      <c r="T3084" t="str">
        <f t="shared" si="257"/>
        <v/>
      </c>
      <c r="V3084" t="str">
        <f t="shared" si="253"/>
        <v>MVS</v>
      </c>
      <c r="W3084" t="str">
        <f t="shared" si="253"/>
        <v>MVS,AES</v>
      </c>
      <c r="AG3084" t="s">
        <v>6</v>
      </c>
      <c r="AH3084" t="s">
        <v>647</v>
      </c>
      <c r="AI3084" t="s">
        <v>57</v>
      </c>
      <c r="AJ3084" t="s">
        <v>11</v>
      </c>
      <c r="AK3084" t="s">
        <v>646</v>
      </c>
      <c r="AL3084" t="s">
        <v>645</v>
      </c>
    </row>
    <row r="3085" spans="5:44" x14ac:dyDescent="0.25">
      <c r="I3085" t="str">
        <f t="shared" si="254"/>
        <v>kof10th</v>
      </c>
      <c r="J3085" t="str">
        <f t="shared" si="255"/>
        <v/>
      </c>
      <c r="L3085" t="str">
        <f t="shared" si="256"/>
        <v/>
      </c>
      <c r="M3085" t="str">
        <f t="shared" si="256"/>
        <v/>
      </c>
      <c r="N3085" t="str">
        <f t="shared" si="256"/>
        <v/>
      </c>
      <c r="O3085" t="str">
        <f t="shared" si="256"/>
        <v/>
      </c>
      <c r="P3085" t="str">
        <f t="shared" si="256"/>
        <v/>
      </c>
      <c r="T3085" t="str">
        <f t="shared" si="257"/>
        <v/>
      </c>
      <c r="V3085" t="str">
        <f t="shared" si="253"/>
        <v>MVS</v>
      </c>
      <c r="W3085" t="str">
        <f t="shared" si="253"/>
        <v>MVS,AES</v>
      </c>
      <c r="AG3085" t="s">
        <v>6</v>
      </c>
      <c r="AH3085" t="s">
        <v>644</v>
      </c>
      <c r="AI3085" t="s">
        <v>53</v>
      </c>
      <c r="AJ3085" t="s">
        <v>11</v>
      </c>
      <c r="AK3085" t="s">
        <v>643</v>
      </c>
      <c r="AL3085" t="s">
        <v>642</v>
      </c>
    </row>
    <row r="3086" spans="5:44" x14ac:dyDescent="0.25">
      <c r="I3086" t="str">
        <f t="shared" si="254"/>
        <v>kof10th</v>
      </c>
      <c r="J3086" t="str">
        <f t="shared" si="255"/>
        <v/>
      </c>
      <c r="L3086" t="str">
        <f t="shared" si="256"/>
        <v/>
      </c>
      <c r="M3086" t="str">
        <f t="shared" si="256"/>
        <v/>
      </c>
      <c r="N3086" t="str">
        <f t="shared" si="256"/>
        <v/>
      </c>
      <c r="O3086" t="str">
        <f t="shared" si="256"/>
        <v/>
      </c>
      <c r="P3086" t="str">
        <f t="shared" si="256"/>
        <v/>
      </c>
      <c r="T3086" t="str">
        <f t="shared" si="257"/>
        <v/>
      </c>
      <c r="V3086" t="str">
        <f t="shared" si="253"/>
        <v>MVS</v>
      </c>
      <c r="W3086" t="str">
        <f t="shared" si="253"/>
        <v>MVS,AES</v>
      </c>
      <c r="AG3086" t="s">
        <v>6</v>
      </c>
      <c r="AH3086" t="s">
        <v>641</v>
      </c>
      <c r="AI3086" t="s">
        <v>65</v>
      </c>
      <c r="AJ3086" t="s">
        <v>11</v>
      </c>
      <c r="AK3086" t="s">
        <v>640</v>
      </c>
      <c r="AL3086" t="s">
        <v>639</v>
      </c>
    </row>
    <row r="3087" spans="5:44" x14ac:dyDescent="0.25">
      <c r="I3087" t="str">
        <f t="shared" si="254"/>
        <v>kof10th</v>
      </c>
      <c r="J3087" t="str">
        <f t="shared" si="255"/>
        <v/>
      </c>
      <c r="L3087" t="str">
        <f t="shared" si="256"/>
        <v/>
      </c>
      <c r="M3087" t="str">
        <f t="shared" si="256"/>
        <v/>
      </c>
      <c r="N3087" t="str">
        <f t="shared" si="256"/>
        <v/>
      </c>
      <c r="O3087" t="str">
        <f t="shared" si="256"/>
        <v/>
      </c>
      <c r="P3087" t="str">
        <f t="shared" si="256"/>
        <v/>
      </c>
      <c r="T3087" t="str">
        <f t="shared" si="257"/>
        <v/>
      </c>
      <c r="V3087" t="str">
        <f t="shared" si="253"/>
        <v>MVS</v>
      </c>
      <c r="W3087" t="str">
        <f t="shared" si="253"/>
        <v>MVS,AES</v>
      </c>
      <c r="AG3087" t="s">
        <v>6</v>
      </c>
      <c r="AH3087" t="s">
        <v>638</v>
      </c>
      <c r="AI3087" t="s">
        <v>164</v>
      </c>
      <c r="AJ3087" t="s">
        <v>11</v>
      </c>
      <c r="AK3087" t="s">
        <v>637</v>
      </c>
      <c r="AL3087" t="s">
        <v>636</v>
      </c>
    </row>
    <row r="3088" spans="5:44" x14ac:dyDescent="0.25">
      <c r="I3088" t="str">
        <f t="shared" si="254"/>
        <v>kof10th</v>
      </c>
      <c r="J3088" t="str">
        <f t="shared" si="255"/>
        <v/>
      </c>
      <c r="L3088" t="str">
        <f t="shared" si="256"/>
        <v/>
      </c>
      <c r="M3088" t="str">
        <f t="shared" si="256"/>
        <v/>
      </c>
      <c r="N3088" t="str">
        <f t="shared" si="256"/>
        <v/>
      </c>
      <c r="O3088" t="str">
        <f t="shared" si="256"/>
        <v/>
      </c>
      <c r="P3088" t="str">
        <f t="shared" si="256"/>
        <v/>
      </c>
      <c r="T3088" t="str">
        <f t="shared" si="257"/>
        <v/>
      </c>
      <c r="V3088" t="str">
        <f t="shared" si="253"/>
        <v>MVS</v>
      </c>
      <c r="W3088" t="str">
        <f t="shared" si="253"/>
        <v>MVS,AES</v>
      </c>
      <c r="AG3088" t="s">
        <v>6</v>
      </c>
      <c r="AH3088" t="s">
        <v>635</v>
      </c>
      <c r="AI3088" t="s">
        <v>634</v>
      </c>
      <c r="AJ3088" t="s">
        <v>11</v>
      </c>
      <c r="AK3088" t="s">
        <v>633</v>
      </c>
      <c r="AL3088" t="s">
        <v>632</v>
      </c>
    </row>
    <row r="3089" spans="5:44" x14ac:dyDescent="0.25">
      <c r="I3089" t="str">
        <f t="shared" si="254"/>
        <v>kof10th</v>
      </c>
      <c r="J3089" t="str">
        <f t="shared" si="255"/>
        <v/>
      </c>
      <c r="L3089" t="str">
        <f t="shared" si="256"/>
        <v/>
      </c>
      <c r="M3089" t="str">
        <f t="shared" si="256"/>
        <v/>
      </c>
      <c r="N3089" t="str">
        <f t="shared" si="256"/>
        <v/>
      </c>
      <c r="O3089" t="str">
        <f t="shared" si="256"/>
        <v/>
      </c>
      <c r="P3089" t="str">
        <f t="shared" si="256"/>
        <v/>
      </c>
      <c r="T3089" t="str">
        <f t="shared" si="257"/>
        <v/>
      </c>
      <c r="V3089" t="str">
        <f t="shared" si="253"/>
        <v>MVS</v>
      </c>
      <c r="W3089" t="str">
        <f t="shared" si="253"/>
        <v>MVS,AES</v>
      </c>
      <c r="AG3089" t="s">
        <v>6</v>
      </c>
      <c r="AH3089" t="s">
        <v>631</v>
      </c>
      <c r="AI3089" t="s">
        <v>630</v>
      </c>
      <c r="AJ3089" t="s">
        <v>11</v>
      </c>
      <c r="AK3089" t="s">
        <v>629</v>
      </c>
      <c r="AL3089" t="s">
        <v>628</v>
      </c>
    </row>
    <row r="3090" spans="5:44" x14ac:dyDescent="0.25">
      <c r="I3090" t="str">
        <f t="shared" si="254"/>
        <v>kof10th</v>
      </c>
      <c r="J3090" t="str">
        <f t="shared" si="255"/>
        <v/>
      </c>
      <c r="L3090" t="str">
        <f t="shared" si="256"/>
        <v/>
      </c>
      <c r="M3090" t="str">
        <f t="shared" si="256"/>
        <v/>
      </c>
      <c r="N3090" t="str">
        <f t="shared" si="256"/>
        <v/>
      </c>
      <c r="O3090" t="str">
        <f t="shared" si="256"/>
        <v/>
      </c>
      <c r="P3090" t="str">
        <f t="shared" si="256"/>
        <v/>
      </c>
      <c r="T3090" t="str">
        <f t="shared" si="257"/>
        <v/>
      </c>
      <c r="V3090" t="str">
        <f t="shared" si="253"/>
        <v>MVS</v>
      </c>
      <c r="W3090" t="str">
        <f t="shared" si="253"/>
        <v>MVS,AES</v>
      </c>
      <c r="AG3090" t="s">
        <v>6</v>
      </c>
      <c r="AH3090" t="s">
        <v>627</v>
      </c>
      <c r="AI3090" t="s">
        <v>160</v>
      </c>
      <c r="AJ3090" t="s">
        <v>11</v>
      </c>
      <c r="AK3090" t="s">
        <v>626</v>
      </c>
      <c r="AL3090" t="s">
        <v>625</v>
      </c>
    </row>
    <row r="3091" spans="5:44" x14ac:dyDescent="0.25">
      <c r="I3091" t="str">
        <f t="shared" si="254"/>
        <v>kof10th</v>
      </c>
      <c r="J3091" t="str">
        <f t="shared" si="255"/>
        <v/>
      </c>
      <c r="L3091" t="str">
        <f t="shared" si="256"/>
        <v/>
      </c>
      <c r="M3091" t="str">
        <f t="shared" si="256"/>
        <v/>
      </c>
      <c r="N3091" t="str">
        <f t="shared" si="256"/>
        <v/>
      </c>
      <c r="O3091" t="str">
        <f t="shared" si="256"/>
        <v/>
      </c>
      <c r="P3091" t="str">
        <f t="shared" si="256"/>
        <v/>
      </c>
      <c r="T3091" t="str">
        <f t="shared" si="257"/>
        <v/>
      </c>
      <c r="V3091" t="str">
        <f t="shared" si="253"/>
        <v>MVS</v>
      </c>
      <c r="W3091" t="str">
        <f t="shared" si="253"/>
        <v>MVS,AES</v>
      </c>
      <c r="AG3091" t="s">
        <v>6</v>
      </c>
      <c r="AH3091" t="s">
        <v>624</v>
      </c>
      <c r="AI3091" t="s">
        <v>156</v>
      </c>
      <c r="AJ3091" t="s">
        <v>11</v>
      </c>
      <c r="AK3091" t="s">
        <v>623</v>
      </c>
      <c r="AL3091" t="s">
        <v>622</v>
      </c>
    </row>
    <row r="3092" spans="5:44" x14ac:dyDescent="0.25">
      <c r="I3092" t="str">
        <f t="shared" si="254"/>
        <v>kof10th</v>
      </c>
      <c r="J3092" t="str">
        <f t="shared" si="255"/>
        <v/>
      </c>
      <c r="L3092" t="str">
        <f t="shared" si="256"/>
        <v/>
      </c>
      <c r="M3092" t="str">
        <f t="shared" si="256"/>
        <v/>
      </c>
      <c r="N3092" t="str">
        <f t="shared" si="256"/>
        <v/>
      </c>
      <c r="O3092" t="str">
        <f t="shared" si="256"/>
        <v/>
      </c>
      <c r="P3092" t="str">
        <f t="shared" si="256"/>
        <v/>
      </c>
      <c r="T3092" t="str">
        <f t="shared" si="257"/>
        <v/>
      </c>
      <c r="V3092" t="str">
        <f t="shared" si="253"/>
        <v>MVS</v>
      </c>
      <c r="W3092" t="str">
        <f t="shared" si="253"/>
        <v>MVS,AES</v>
      </c>
      <c r="AG3092" t="s">
        <v>6</v>
      </c>
      <c r="AH3092" t="s">
        <v>621</v>
      </c>
      <c r="AI3092" t="s">
        <v>620</v>
      </c>
      <c r="AJ3092" t="s">
        <v>11</v>
      </c>
      <c r="AK3092" t="s">
        <v>619</v>
      </c>
      <c r="AL3092" t="s">
        <v>618</v>
      </c>
    </row>
    <row r="3093" spans="5:44" x14ac:dyDescent="0.25">
      <c r="I3093" t="str">
        <f t="shared" si="254"/>
        <v>kof10th</v>
      </c>
      <c r="J3093" t="str">
        <f t="shared" si="255"/>
        <v/>
      </c>
      <c r="L3093" t="str">
        <f t="shared" si="256"/>
        <v/>
      </c>
      <c r="M3093" t="str">
        <f t="shared" si="256"/>
        <v/>
      </c>
      <c r="N3093" t="str">
        <f t="shared" si="256"/>
        <v/>
      </c>
      <c r="O3093" t="str">
        <f t="shared" si="256"/>
        <v/>
      </c>
      <c r="P3093" t="str">
        <f t="shared" si="256"/>
        <v/>
      </c>
      <c r="T3093" t="str">
        <f t="shared" si="257"/>
        <v/>
      </c>
      <c r="V3093" t="str">
        <f t="shared" si="253"/>
        <v>MVS</v>
      </c>
      <c r="W3093" t="str">
        <f t="shared" si="253"/>
        <v>MVS,AES</v>
      </c>
      <c r="AG3093" t="s">
        <v>6</v>
      </c>
      <c r="AH3093" t="s">
        <v>617</v>
      </c>
      <c r="AI3093" t="s">
        <v>616</v>
      </c>
      <c r="AJ3093" t="s">
        <v>11</v>
      </c>
      <c r="AK3093" t="s">
        <v>615</v>
      </c>
      <c r="AL3093" t="s">
        <v>614</v>
      </c>
    </row>
    <row r="3094" spans="5:44" x14ac:dyDescent="0.25">
      <c r="I3094" t="str">
        <f t="shared" si="254"/>
        <v>kof10th</v>
      </c>
      <c r="J3094" t="str">
        <f t="shared" si="255"/>
        <v/>
      </c>
      <c r="L3094" t="str">
        <f t="shared" si="256"/>
        <v/>
      </c>
      <c r="M3094" t="str">
        <f t="shared" si="256"/>
        <v/>
      </c>
      <c r="N3094" t="str">
        <f t="shared" si="256"/>
        <v/>
      </c>
      <c r="O3094" t="str">
        <f t="shared" si="256"/>
        <v/>
      </c>
      <c r="P3094" t="str">
        <f t="shared" si="256"/>
        <v/>
      </c>
      <c r="T3094" t="str">
        <f t="shared" si="257"/>
        <v/>
      </c>
      <c r="V3094" t="str">
        <f t="shared" si="253"/>
        <v>MVS</v>
      </c>
      <c r="W3094" t="str">
        <f t="shared" si="253"/>
        <v>MVS,AES</v>
      </c>
      <c r="AG3094" t="s">
        <v>6</v>
      </c>
      <c r="AH3094" t="s">
        <v>613</v>
      </c>
      <c r="AI3094" t="s">
        <v>152</v>
      </c>
      <c r="AJ3094" t="s">
        <v>11</v>
      </c>
      <c r="AK3094" t="s">
        <v>612</v>
      </c>
      <c r="AL3094" t="s">
        <v>611</v>
      </c>
    </row>
    <row r="3095" spans="5:44" x14ac:dyDescent="0.25">
      <c r="I3095" t="str">
        <f t="shared" si="254"/>
        <v>kof10th</v>
      </c>
      <c r="J3095" t="str">
        <f t="shared" si="255"/>
        <v/>
      </c>
      <c r="L3095" t="str">
        <f t="shared" si="256"/>
        <v/>
      </c>
      <c r="M3095" t="str">
        <f t="shared" si="256"/>
        <v/>
      </c>
      <c r="N3095" t="str">
        <f t="shared" si="256"/>
        <v/>
      </c>
      <c r="O3095" t="str">
        <f t="shared" si="256"/>
        <v/>
      </c>
      <c r="P3095" t="str">
        <f t="shared" si="256"/>
        <v/>
      </c>
      <c r="T3095" t="str">
        <f t="shared" si="257"/>
        <v/>
      </c>
      <c r="V3095" t="str">
        <f t="shared" ref="V3095:W3158" si="258">IFERROR(VLOOKUP($I3095&amp;V$1,$T:$AA,2,0),"")</f>
        <v>MVS</v>
      </c>
      <c r="W3095" t="str">
        <f t="shared" si="258"/>
        <v>MVS,AES</v>
      </c>
      <c r="AG3095" t="s">
        <v>6</v>
      </c>
      <c r="AH3095" t="s">
        <v>610</v>
      </c>
      <c r="AI3095" t="s">
        <v>148</v>
      </c>
      <c r="AJ3095" t="s">
        <v>11</v>
      </c>
      <c r="AK3095" t="s">
        <v>609</v>
      </c>
      <c r="AL3095" t="s">
        <v>608</v>
      </c>
    </row>
    <row r="3096" spans="5:44" x14ac:dyDescent="0.25">
      <c r="I3096" t="str">
        <f t="shared" si="254"/>
        <v>kof10th</v>
      </c>
      <c r="J3096" t="str">
        <f t="shared" si="255"/>
        <v/>
      </c>
      <c r="L3096" t="str">
        <f t="shared" si="256"/>
        <v/>
      </c>
      <c r="M3096" t="str">
        <f t="shared" si="256"/>
        <v/>
      </c>
      <c r="N3096" t="str">
        <f t="shared" si="256"/>
        <v/>
      </c>
      <c r="O3096" t="str">
        <f t="shared" si="256"/>
        <v/>
      </c>
      <c r="P3096" t="str">
        <f t="shared" si="256"/>
        <v/>
      </c>
      <c r="T3096" t="str">
        <f t="shared" si="257"/>
        <v/>
      </c>
      <c r="V3096" t="str">
        <f t="shared" si="258"/>
        <v>MVS</v>
      </c>
      <c r="W3096" t="str">
        <f t="shared" si="258"/>
        <v>MVS,AES</v>
      </c>
      <c r="AG3096" t="s">
        <v>6</v>
      </c>
      <c r="AH3096" t="s">
        <v>607</v>
      </c>
      <c r="AI3096" t="s">
        <v>606</v>
      </c>
      <c r="AJ3096" t="s">
        <v>11</v>
      </c>
      <c r="AK3096" t="s">
        <v>605</v>
      </c>
      <c r="AL3096" t="s">
        <v>604</v>
      </c>
    </row>
    <row r="3097" spans="5:44" x14ac:dyDescent="0.25">
      <c r="I3097" t="str">
        <f t="shared" si="254"/>
        <v>kof10th</v>
      </c>
      <c r="J3097" t="str">
        <f t="shared" si="255"/>
        <v/>
      </c>
      <c r="L3097" t="str">
        <f t="shared" si="256"/>
        <v/>
      </c>
      <c r="M3097" t="str">
        <f t="shared" si="256"/>
        <v/>
      </c>
      <c r="N3097" t="str">
        <f t="shared" si="256"/>
        <v/>
      </c>
      <c r="O3097" t="str">
        <f t="shared" si="256"/>
        <v/>
      </c>
      <c r="P3097" t="str">
        <f t="shared" si="256"/>
        <v/>
      </c>
      <c r="T3097" t="str">
        <f t="shared" si="257"/>
        <v/>
      </c>
      <c r="V3097" t="str">
        <f t="shared" si="258"/>
        <v>MVS</v>
      </c>
      <c r="W3097" t="str">
        <f t="shared" si="258"/>
        <v>MVS,AES</v>
      </c>
      <c r="AG3097" t="s">
        <v>6</v>
      </c>
      <c r="AH3097" t="s">
        <v>603</v>
      </c>
      <c r="AI3097" t="s">
        <v>602</v>
      </c>
      <c r="AJ3097" t="s">
        <v>11</v>
      </c>
      <c r="AK3097" t="s">
        <v>601</v>
      </c>
      <c r="AL3097" t="s">
        <v>600</v>
      </c>
    </row>
    <row r="3098" spans="5:44" x14ac:dyDescent="0.25">
      <c r="E3098" t="s">
        <v>696</v>
      </c>
      <c r="F3098" t="s">
        <v>695</v>
      </c>
      <c r="G3098" t="s">
        <v>87</v>
      </c>
      <c r="H3098" t="s">
        <v>194</v>
      </c>
      <c r="I3098" t="str">
        <f t="shared" si="254"/>
        <v>kf10thep</v>
      </c>
      <c r="J3098" t="str">
        <f t="shared" si="255"/>
        <v/>
      </c>
      <c r="L3098" t="str">
        <f t="shared" si="256"/>
        <v/>
      </c>
      <c r="M3098" t="str">
        <f t="shared" si="256"/>
        <v/>
      </c>
      <c r="N3098" t="str">
        <f t="shared" si="256"/>
        <v/>
      </c>
      <c r="O3098" t="str">
        <f t="shared" si="256"/>
        <v/>
      </c>
      <c r="P3098" t="str">
        <f t="shared" si="256"/>
        <v/>
      </c>
      <c r="S3098" t="s">
        <v>46</v>
      </c>
      <c r="T3098" t="str">
        <f t="shared" si="257"/>
        <v>kf10theprelease</v>
      </c>
      <c r="U3098" t="s">
        <v>106</v>
      </c>
      <c r="V3098" t="str">
        <f t="shared" si="258"/>
        <v>MVS</v>
      </c>
      <c r="W3098" t="str">
        <f t="shared" si="258"/>
        <v>MVS,AES</v>
      </c>
      <c r="Y3098" t="s">
        <v>45</v>
      </c>
      <c r="Z3098" t="s">
        <v>44</v>
      </c>
      <c r="AB3098" t="s">
        <v>43</v>
      </c>
      <c r="AC3098" t="s">
        <v>42</v>
      </c>
      <c r="AD3098" t="s">
        <v>41</v>
      </c>
      <c r="AE3098" t="s">
        <v>57</v>
      </c>
      <c r="AG3098" t="s">
        <v>40</v>
      </c>
      <c r="AH3098" t="s">
        <v>694</v>
      </c>
      <c r="AI3098" t="s">
        <v>9</v>
      </c>
      <c r="AJ3098" t="s">
        <v>3</v>
      </c>
      <c r="AK3098" t="s">
        <v>693</v>
      </c>
      <c r="AL3098" t="s">
        <v>692</v>
      </c>
      <c r="AP3098" t="s">
        <v>138</v>
      </c>
      <c r="AQ3098" t="s">
        <v>691</v>
      </c>
      <c r="AR3098" t="s">
        <v>592</v>
      </c>
    </row>
    <row r="3099" spans="5:44" x14ac:dyDescent="0.25">
      <c r="I3099" t="str">
        <f t="shared" si="254"/>
        <v>kf10thep</v>
      </c>
      <c r="J3099" t="str">
        <f t="shared" si="255"/>
        <v/>
      </c>
      <c r="L3099" t="str">
        <f t="shared" si="256"/>
        <v/>
      </c>
      <c r="M3099" t="str">
        <f t="shared" si="256"/>
        <v/>
      </c>
      <c r="N3099" t="str">
        <f t="shared" si="256"/>
        <v/>
      </c>
      <c r="O3099" t="str">
        <f t="shared" si="256"/>
        <v/>
      </c>
      <c r="P3099" t="str">
        <f t="shared" si="256"/>
        <v/>
      </c>
      <c r="S3099" t="s">
        <v>36</v>
      </c>
      <c r="T3099" t="str">
        <f t="shared" si="257"/>
        <v>kf10thepcompatibility</v>
      </c>
      <c r="U3099" t="s">
        <v>218</v>
      </c>
      <c r="V3099" t="str">
        <f t="shared" si="258"/>
        <v>MVS</v>
      </c>
      <c r="W3099" t="str">
        <f t="shared" si="258"/>
        <v>MVS,AES</v>
      </c>
      <c r="AG3099" t="s">
        <v>40</v>
      </c>
      <c r="AH3099" t="s">
        <v>690</v>
      </c>
      <c r="AI3099" t="s">
        <v>3</v>
      </c>
      <c r="AJ3099" t="s">
        <v>11</v>
      </c>
      <c r="AK3099" t="s">
        <v>689</v>
      </c>
      <c r="AL3099" t="s">
        <v>688</v>
      </c>
    </row>
    <row r="3100" spans="5:44" x14ac:dyDescent="0.25">
      <c r="I3100" t="str">
        <f t="shared" si="254"/>
        <v>kf10thep</v>
      </c>
      <c r="J3100" t="str">
        <f t="shared" si="255"/>
        <v/>
      </c>
      <c r="L3100" t="str">
        <f t="shared" si="256"/>
        <v/>
      </c>
      <c r="M3100" t="str">
        <f t="shared" si="256"/>
        <v/>
      </c>
      <c r="N3100" t="str">
        <f t="shared" si="256"/>
        <v/>
      </c>
      <c r="O3100" t="str">
        <f t="shared" si="256"/>
        <v/>
      </c>
      <c r="P3100" t="str">
        <f t="shared" si="256"/>
        <v/>
      </c>
      <c r="T3100" t="str">
        <f t="shared" si="257"/>
        <v/>
      </c>
      <c r="V3100" t="str">
        <f t="shared" si="258"/>
        <v>MVS</v>
      </c>
      <c r="W3100" t="str">
        <f t="shared" si="258"/>
        <v>MVS,AES</v>
      </c>
      <c r="AG3100" t="s">
        <v>40</v>
      </c>
      <c r="AH3100" t="s">
        <v>687</v>
      </c>
      <c r="AI3100" t="s">
        <v>75</v>
      </c>
      <c r="AJ3100" t="s">
        <v>3</v>
      </c>
      <c r="AK3100" t="s">
        <v>686</v>
      </c>
      <c r="AL3100" t="s">
        <v>685</v>
      </c>
    </row>
    <row r="3101" spans="5:44" x14ac:dyDescent="0.25">
      <c r="I3101" t="str">
        <f t="shared" si="254"/>
        <v>kf10thep</v>
      </c>
      <c r="J3101" t="str">
        <f t="shared" si="255"/>
        <v/>
      </c>
      <c r="L3101" t="str">
        <f t="shared" si="256"/>
        <v/>
      </c>
      <c r="M3101" t="str">
        <f t="shared" si="256"/>
        <v/>
      </c>
      <c r="N3101" t="str">
        <f t="shared" si="256"/>
        <v/>
      </c>
      <c r="O3101" t="str">
        <f t="shared" si="256"/>
        <v/>
      </c>
      <c r="P3101" t="str">
        <f t="shared" si="256"/>
        <v/>
      </c>
      <c r="T3101" t="str">
        <f t="shared" si="257"/>
        <v/>
      </c>
      <c r="V3101" t="str">
        <f t="shared" si="258"/>
        <v>MVS</v>
      </c>
      <c r="W3101" t="str">
        <f t="shared" si="258"/>
        <v>MVS,AES</v>
      </c>
      <c r="AB3101" t="s">
        <v>34</v>
      </c>
      <c r="AE3101" t="s">
        <v>33</v>
      </c>
      <c r="AH3101" t="s">
        <v>684</v>
      </c>
      <c r="AI3101" t="s">
        <v>9</v>
      </c>
      <c r="AJ3101" t="s">
        <v>27</v>
      </c>
      <c r="AK3101" t="s">
        <v>683</v>
      </c>
      <c r="AL3101" t="s">
        <v>682</v>
      </c>
    </row>
    <row r="3102" spans="5:44" x14ac:dyDescent="0.25">
      <c r="I3102" t="str">
        <f t="shared" si="254"/>
        <v>kf10thep</v>
      </c>
      <c r="J3102" t="str">
        <f t="shared" si="255"/>
        <v/>
      </c>
      <c r="L3102" t="str">
        <f t="shared" si="256"/>
        <v/>
      </c>
      <c r="M3102" t="str">
        <f t="shared" si="256"/>
        <v/>
      </c>
      <c r="N3102" t="str">
        <f t="shared" si="256"/>
        <v/>
      </c>
      <c r="O3102" t="str">
        <f t="shared" si="256"/>
        <v/>
      </c>
      <c r="P3102" t="str">
        <f t="shared" si="256"/>
        <v/>
      </c>
      <c r="T3102" t="str">
        <f t="shared" si="257"/>
        <v/>
      </c>
      <c r="V3102" t="str">
        <f t="shared" si="258"/>
        <v>MVS</v>
      </c>
      <c r="W3102" t="str">
        <f t="shared" si="258"/>
        <v>MVS,AES</v>
      </c>
      <c r="AB3102" t="s">
        <v>29</v>
      </c>
      <c r="AE3102" t="s">
        <v>27</v>
      </c>
      <c r="AH3102" t="s">
        <v>681</v>
      </c>
      <c r="AI3102" t="s">
        <v>9</v>
      </c>
      <c r="AJ3102" t="s">
        <v>27</v>
      </c>
      <c r="AK3102" t="s">
        <v>581</v>
      </c>
      <c r="AL3102" t="s">
        <v>580</v>
      </c>
    </row>
    <row r="3103" spans="5:44" x14ac:dyDescent="0.25">
      <c r="I3103" t="str">
        <f t="shared" si="254"/>
        <v>kf10thep</v>
      </c>
      <c r="J3103" t="str">
        <f t="shared" si="255"/>
        <v/>
      </c>
      <c r="L3103" t="str">
        <f t="shared" si="256"/>
        <v/>
      </c>
      <c r="M3103" t="str">
        <f t="shared" si="256"/>
        <v/>
      </c>
      <c r="N3103" t="str">
        <f t="shared" si="256"/>
        <v/>
      </c>
      <c r="O3103" t="str">
        <f t="shared" si="256"/>
        <v/>
      </c>
      <c r="P3103" t="str">
        <f t="shared" si="256"/>
        <v/>
      </c>
      <c r="T3103" t="str">
        <f t="shared" si="257"/>
        <v/>
      </c>
      <c r="V3103" t="str">
        <f t="shared" si="258"/>
        <v>MVS</v>
      </c>
      <c r="W3103" t="str">
        <f t="shared" si="258"/>
        <v>MVS,AES</v>
      </c>
      <c r="AB3103" t="s">
        <v>24</v>
      </c>
      <c r="AE3103" t="s">
        <v>65</v>
      </c>
      <c r="AH3103" t="s">
        <v>659</v>
      </c>
      <c r="AI3103" t="s">
        <v>9</v>
      </c>
      <c r="AJ3103" t="s">
        <v>57</v>
      </c>
      <c r="AK3103" t="s">
        <v>658</v>
      </c>
      <c r="AL3103" t="s">
        <v>657</v>
      </c>
    </row>
    <row r="3104" spans="5:44" x14ac:dyDescent="0.25">
      <c r="I3104" t="str">
        <f t="shared" si="254"/>
        <v>kf10thep</v>
      </c>
      <c r="J3104" t="str">
        <f t="shared" si="255"/>
        <v/>
      </c>
      <c r="L3104" t="str">
        <f t="shared" si="256"/>
        <v/>
      </c>
      <c r="M3104" t="str">
        <f t="shared" si="256"/>
        <v/>
      </c>
      <c r="N3104" t="str">
        <f t="shared" si="256"/>
        <v/>
      </c>
      <c r="O3104" t="str">
        <f t="shared" si="256"/>
        <v/>
      </c>
      <c r="P3104" t="str">
        <f t="shared" si="256"/>
        <v/>
      </c>
      <c r="T3104" t="str">
        <f t="shared" si="257"/>
        <v/>
      </c>
      <c r="V3104" t="str">
        <f t="shared" si="258"/>
        <v>MVS</v>
      </c>
      <c r="W3104" t="str">
        <f t="shared" si="258"/>
        <v>MVS,AES</v>
      </c>
      <c r="AH3104" t="s">
        <v>656</v>
      </c>
      <c r="AI3104" t="s">
        <v>57</v>
      </c>
      <c r="AJ3104" t="s">
        <v>57</v>
      </c>
      <c r="AK3104" t="s">
        <v>655</v>
      </c>
      <c r="AL3104" t="s">
        <v>654</v>
      </c>
    </row>
    <row r="3105" spans="9:38" x14ac:dyDescent="0.25">
      <c r="I3105" t="str">
        <f t="shared" si="254"/>
        <v>kf10thep</v>
      </c>
      <c r="J3105" t="str">
        <f t="shared" si="255"/>
        <v/>
      </c>
      <c r="L3105" t="str">
        <f t="shared" si="256"/>
        <v/>
      </c>
      <c r="M3105" t="str">
        <f t="shared" si="256"/>
        <v/>
      </c>
      <c r="N3105" t="str">
        <f t="shared" si="256"/>
        <v/>
      </c>
      <c r="O3105" t="str">
        <f t="shared" si="256"/>
        <v/>
      </c>
      <c r="P3105" t="str">
        <f t="shared" si="256"/>
        <v/>
      </c>
      <c r="T3105" t="str">
        <f t="shared" si="257"/>
        <v/>
      </c>
      <c r="V3105" t="str">
        <f t="shared" si="258"/>
        <v>MVS</v>
      </c>
      <c r="W3105" t="str">
        <f t="shared" si="258"/>
        <v>MVS,AES</v>
      </c>
      <c r="AB3105" t="s">
        <v>12</v>
      </c>
      <c r="AE3105" t="s">
        <v>175</v>
      </c>
      <c r="AG3105" t="s">
        <v>6</v>
      </c>
      <c r="AH3105" t="s">
        <v>653</v>
      </c>
      <c r="AI3105" t="s">
        <v>9</v>
      </c>
      <c r="AJ3105" t="s">
        <v>11</v>
      </c>
      <c r="AK3105" t="s">
        <v>652</v>
      </c>
      <c r="AL3105" t="s">
        <v>651</v>
      </c>
    </row>
    <row r="3106" spans="9:38" x14ac:dyDescent="0.25">
      <c r="I3106" t="str">
        <f t="shared" si="254"/>
        <v>kf10thep</v>
      </c>
      <c r="J3106" t="str">
        <f t="shared" si="255"/>
        <v/>
      </c>
      <c r="L3106" t="str">
        <f t="shared" si="256"/>
        <v/>
      </c>
      <c r="M3106" t="str">
        <f t="shared" si="256"/>
        <v/>
      </c>
      <c r="N3106" t="str">
        <f t="shared" si="256"/>
        <v/>
      </c>
      <c r="O3106" t="str">
        <f t="shared" si="256"/>
        <v/>
      </c>
      <c r="P3106" t="str">
        <f t="shared" si="256"/>
        <v/>
      </c>
      <c r="T3106" t="str">
        <f t="shared" si="257"/>
        <v/>
      </c>
      <c r="V3106" t="str">
        <f t="shared" si="258"/>
        <v>MVS</v>
      </c>
      <c r="W3106" t="str">
        <f t="shared" si="258"/>
        <v>MVS,AES</v>
      </c>
      <c r="AG3106" t="s">
        <v>6</v>
      </c>
      <c r="AH3106" t="s">
        <v>650</v>
      </c>
      <c r="AI3106" t="s">
        <v>4</v>
      </c>
      <c r="AJ3106" t="s">
        <v>11</v>
      </c>
      <c r="AK3106" t="s">
        <v>649</v>
      </c>
      <c r="AL3106" t="s">
        <v>648</v>
      </c>
    </row>
    <row r="3107" spans="9:38" x14ac:dyDescent="0.25">
      <c r="I3107" t="str">
        <f t="shared" si="254"/>
        <v>kf10thep</v>
      </c>
      <c r="J3107" t="str">
        <f t="shared" si="255"/>
        <v/>
      </c>
      <c r="L3107" t="str">
        <f t="shared" si="256"/>
        <v/>
      </c>
      <c r="M3107" t="str">
        <f t="shared" si="256"/>
        <v/>
      </c>
      <c r="N3107" t="str">
        <f t="shared" si="256"/>
        <v/>
      </c>
      <c r="O3107" t="str">
        <f t="shared" si="256"/>
        <v/>
      </c>
      <c r="P3107" t="str">
        <f t="shared" si="256"/>
        <v/>
      </c>
      <c r="T3107" t="str">
        <f t="shared" si="257"/>
        <v/>
      </c>
      <c r="V3107" t="str">
        <f t="shared" si="258"/>
        <v>MVS</v>
      </c>
      <c r="W3107" t="str">
        <f t="shared" si="258"/>
        <v>MVS,AES</v>
      </c>
      <c r="AG3107" t="s">
        <v>6</v>
      </c>
      <c r="AH3107" t="s">
        <v>647</v>
      </c>
      <c r="AI3107" t="s">
        <v>57</v>
      </c>
      <c r="AJ3107" t="s">
        <v>11</v>
      </c>
      <c r="AK3107" t="s">
        <v>646</v>
      </c>
      <c r="AL3107" t="s">
        <v>645</v>
      </c>
    </row>
    <row r="3108" spans="9:38" x14ac:dyDescent="0.25">
      <c r="I3108" t="str">
        <f t="shared" si="254"/>
        <v>kf10thep</v>
      </c>
      <c r="J3108" t="str">
        <f t="shared" si="255"/>
        <v/>
      </c>
      <c r="L3108" t="str">
        <f t="shared" si="256"/>
        <v/>
      </c>
      <c r="M3108" t="str">
        <f t="shared" si="256"/>
        <v/>
      </c>
      <c r="N3108" t="str">
        <f t="shared" si="256"/>
        <v/>
      </c>
      <c r="O3108" t="str">
        <f t="shared" si="256"/>
        <v/>
      </c>
      <c r="P3108" t="str">
        <f t="shared" si="256"/>
        <v/>
      </c>
      <c r="T3108" t="str">
        <f t="shared" si="257"/>
        <v/>
      </c>
      <c r="V3108" t="str">
        <f t="shared" si="258"/>
        <v>MVS</v>
      </c>
      <c r="W3108" t="str">
        <f t="shared" si="258"/>
        <v>MVS,AES</v>
      </c>
      <c r="AG3108" t="s">
        <v>6</v>
      </c>
      <c r="AH3108" t="s">
        <v>644</v>
      </c>
      <c r="AI3108" t="s">
        <v>53</v>
      </c>
      <c r="AJ3108" t="s">
        <v>11</v>
      </c>
      <c r="AK3108" t="s">
        <v>643</v>
      </c>
      <c r="AL3108" t="s">
        <v>642</v>
      </c>
    </row>
    <row r="3109" spans="9:38" x14ac:dyDescent="0.25">
      <c r="I3109" t="str">
        <f t="shared" si="254"/>
        <v>kf10thep</v>
      </c>
      <c r="J3109" t="str">
        <f t="shared" si="255"/>
        <v/>
      </c>
      <c r="L3109" t="str">
        <f t="shared" si="256"/>
        <v/>
      </c>
      <c r="M3109" t="str">
        <f t="shared" si="256"/>
        <v/>
      </c>
      <c r="N3109" t="str">
        <f t="shared" si="256"/>
        <v/>
      </c>
      <c r="O3109" t="str">
        <f t="shared" si="256"/>
        <v/>
      </c>
      <c r="P3109" t="str">
        <f t="shared" si="256"/>
        <v/>
      </c>
      <c r="T3109" t="str">
        <f t="shared" si="257"/>
        <v/>
      </c>
      <c r="V3109" t="str">
        <f t="shared" si="258"/>
        <v>MVS</v>
      </c>
      <c r="W3109" t="str">
        <f t="shared" si="258"/>
        <v>MVS,AES</v>
      </c>
      <c r="AG3109" t="s">
        <v>6</v>
      </c>
      <c r="AH3109" t="s">
        <v>641</v>
      </c>
      <c r="AI3109" t="s">
        <v>65</v>
      </c>
      <c r="AJ3109" t="s">
        <v>11</v>
      </c>
      <c r="AK3109" t="s">
        <v>640</v>
      </c>
      <c r="AL3109" t="s">
        <v>639</v>
      </c>
    </row>
    <row r="3110" spans="9:38" x14ac:dyDescent="0.25">
      <c r="I3110" t="str">
        <f t="shared" si="254"/>
        <v>kf10thep</v>
      </c>
      <c r="J3110" t="str">
        <f t="shared" si="255"/>
        <v/>
      </c>
      <c r="L3110" t="str">
        <f t="shared" si="256"/>
        <v/>
      </c>
      <c r="M3110" t="str">
        <f t="shared" si="256"/>
        <v/>
      </c>
      <c r="N3110" t="str">
        <f t="shared" si="256"/>
        <v/>
      </c>
      <c r="O3110" t="str">
        <f t="shared" si="256"/>
        <v/>
      </c>
      <c r="P3110" t="str">
        <f t="shared" si="256"/>
        <v/>
      </c>
      <c r="T3110" t="str">
        <f t="shared" si="257"/>
        <v/>
      </c>
      <c r="V3110" t="str">
        <f t="shared" si="258"/>
        <v>MVS</v>
      </c>
      <c r="W3110" t="str">
        <f t="shared" si="258"/>
        <v>MVS,AES</v>
      </c>
      <c r="AG3110" t="s">
        <v>6</v>
      </c>
      <c r="AH3110" t="s">
        <v>638</v>
      </c>
      <c r="AI3110" t="s">
        <v>164</v>
      </c>
      <c r="AJ3110" t="s">
        <v>11</v>
      </c>
      <c r="AK3110" t="s">
        <v>637</v>
      </c>
      <c r="AL3110" t="s">
        <v>636</v>
      </c>
    </row>
    <row r="3111" spans="9:38" x14ac:dyDescent="0.25">
      <c r="I3111" t="str">
        <f t="shared" si="254"/>
        <v>kf10thep</v>
      </c>
      <c r="J3111" t="str">
        <f t="shared" si="255"/>
        <v/>
      </c>
      <c r="L3111" t="str">
        <f t="shared" si="256"/>
        <v/>
      </c>
      <c r="M3111" t="str">
        <f t="shared" si="256"/>
        <v/>
      </c>
      <c r="N3111" t="str">
        <f t="shared" si="256"/>
        <v/>
      </c>
      <c r="O3111" t="str">
        <f t="shared" si="256"/>
        <v/>
      </c>
      <c r="P3111" t="str">
        <f t="shared" si="256"/>
        <v/>
      </c>
      <c r="T3111" t="str">
        <f t="shared" si="257"/>
        <v/>
      </c>
      <c r="V3111" t="str">
        <f t="shared" si="258"/>
        <v>MVS</v>
      </c>
      <c r="W3111" t="str">
        <f t="shared" si="258"/>
        <v>MVS,AES</v>
      </c>
      <c r="AG3111" t="s">
        <v>6</v>
      </c>
      <c r="AH3111" t="s">
        <v>635</v>
      </c>
      <c r="AI3111" t="s">
        <v>634</v>
      </c>
      <c r="AJ3111" t="s">
        <v>11</v>
      </c>
      <c r="AK3111" t="s">
        <v>633</v>
      </c>
      <c r="AL3111" t="s">
        <v>632</v>
      </c>
    </row>
    <row r="3112" spans="9:38" x14ac:dyDescent="0.25">
      <c r="I3112" t="str">
        <f t="shared" si="254"/>
        <v>kf10thep</v>
      </c>
      <c r="J3112" t="str">
        <f t="shared" si="255"/>
        <v/>
      </c>
      <c r="L3112" t="str">
        <f t="shared" si="256"/>
        <v/>
      </c>
      <c r="M3112" t="str">
        <f t="shared" si="256"/>
        <v/>
      </c>
      <c r="N3112" t="str">
        <f t="shared" si="256"/>
        <v/>
      </c>
      <c r="O3112" t="str">
        <f t="shared" si="256"/>
        <v/>
      </c>
      <c r="P3112" t="str">
        <f t="shared" si="256"/>
        <v/>
      </c>
      <c r="T3112" t="str">
        <f t="shared" si="257"/>
        <v/>
      </c>
      <c r="V3112" t="str">
        <f t="shared" si="258"/>
        <v>MVS</v>
      </c>
      <c r="W3112" t="str">
        <f t="shared" si="258"/>
        <v>MVS,AES</v>
      </c>
      <c r="AG3112" t="s">
        <v>6</v>
      </c>
      <c r="AH3112" t="s">
        <v>631</v>
      </c>
      <c r="AI3112" t="s">
        <v>630</v>
      </c>
      <c r="AJ3112" t="s">
        <v>11</v>
      </c>
      <c r="AK3112" t="s">
        <v>629</v>
      </c>
      <c r="AL3112" t="s">
        <v>628</v>
      </c>
    </row>
    <row r="3113" spans="9:38" x14ac:dyDescent="0.25">
      <c r="I3113" t="str">
        <f t="shared" si="254"/>
        <v>kf10thep</v>
      </c>
      <c r="J3113" t="str">
        <f t="shared" si="255"/>
        <v/>
      </c>
      <c r="L3113" t="str">
        <f t="shared" si="256"/>
        <v/>
      </c>
      <c r="M3113" t="str">
        <f t="shared" si="256"/>
        <v/>
      </c>
      <c r="N3113" t="str">
        <f t="shared" si="256"/>
        <v/>
      </c>
      <c r="O3113" t="str">
        <f t="shared" si="256"/>
        <v/>
      </c>
      <c r="P3113" t="str">
        <f t="shared" si="256"/>
        <v/>
      </c>
      <c r="T3113" t="str">
        <f t="shared" si="257"/>
        <v/>
      </c>
      <c r="V3113" t="str">
        <f t="shared" si="258"/>
        <v>MVS</v>
      </c>
      <c r="W3113" t="str">
        <f t="shared" si="258"/>
        <v>MVS,AES</v>
      </c>
      <c r="AG3113" t="s">
        <v>6</v>
      </c>
      <c r="AH3113" t="s">
        <v>627</v>
      </c>
      <c r="AI3113" t="s">
        <v>160</v>
      </c>
      <c r="AJ3113" t="s">
        <v>11</v>
      </c>
      <c r="AK3113" t="s">
        <v>626</v>
      </c>
      <c r="AL3113" t="s">
        <v>625</v>
      </c>
    </row>
    <row r="3114" spans="9:38" x14ac:dyDescent="0.25">
      <c r="I3114" t="str">
        <f t="shared" si="254"/>
        <v>kf10thep</v>
      </c>
      <c r="J3114" t="str">
        <f t="shared" si="255"/>
        <v/>
      </c>
      <c r="L3114" t="str">
        <f t="shared" si="256"/>
        <v/>
      </c>
      <c r="M3114" t="str">
        <f t="shared" si="256"/>
        <v/>
      </c>
      <c r="N3114" t="str">
        <f t="shared" si="256"/>
        <v/>
      </c>
      <c r="O3114" t="str">
        <f t="shared" si="256"/>
        <v/>
      </c>
      <c r="P3114" t="str">
        <f t="shared" si="256"/>
        <v/>
      </c>
      <c r="T3114" t="str">
        <f t="shared" si="257"/>
        <v/>
      </c>
      <c r="V3114" t="str">
        <f t="shared" si="258"/>
        <v>MVS</v>
      </c>
      <c r="W3114" t="str">
        <f t="shared" si="258"/>
        <v>MVS,AES</v>
      </c>
      <c r="AG3114" t="s">
        <v>6</v>
      </c>
      <c r="AH3114" t="s">
        <v>624</v>
      </c>
      <c r="AI3114" t="s">
        <v>156</v>
      </c>
      <c r="AJ3114" t="s">
        <v>11</v>
      </c>
      <c r="AK3114" t="s">
        <v>623</v>
      </c>
      <c r="AL3114" t="s">
        <v>622</v>
      </c>
    </row>
    <row r="3115" spans="9:38" x14ac:dyDescent="0.25">
      <c r="I3115" t="str">
        <f t="shared" si="254"/>
        <v>kf10thep</v>
      </c>
      <c r="J3115" t="str">
        <f t="shared" si="255"/>
        <v/>
      </c>
      <c r="L3115" t="str">
        <f t="shared" si="256"/>
        <v/>
      </c>
      <c r="M3115" t="str">
        <f t="shared" si="256"/>
        <v/>
      </c>
      <c r="N3115" t="str">
        <f t="shared" si="256"/>
        <v/>
      </c>
      <c r="O3115" t="str">
        <f t="shared" si="256"/>
        <v/>
      </c>
      <c r="P3115" t="str">
        <f t="shared" si="256"/>
        <v/>
      </c>
      <c r="T3115" t="str">
        <f t="shared" si="257"/>
        <v/>
      </c>
      <c r="V3115" t="str">
        <f t="shared" si="258"/>
        <v>MVS</v>
      </c>
      <c r="W3115" t="str">
        <f t="shared" si="258"/>
        <v>MVS,AES</v>
      </c>
      <c r="AG3115" t="s">
        <v>6</v>
      </c>
      <c r="AH3115" t="s">
        <v>621</v>
      </c>
      <c r="AI3115" t="s">
        <v>620</v>
      </c>
      <c r="AJ3115" t="s">
        <v>11</v>
      </c>
      <c r="AK3115" t="s">
        <v>619</v>
      </c>
      <c r="AL3115" t="s">
        <v>618</v>
      </c>
    </row>
    <row r="3116" spans="9:38" x14ac:dyDescent="0.25">
      <c r="I3116" t="str">
        <f t="shared" si="254"/>
        <v>kf10thep</v>
      </c>
      <c r="J3116" t="str">
        <f t="shared" si="255"/>
        <v/>
      </c>
      <c r="L3116" t="str">
        <f t="shared" si="256"/>
        <v/>
      </c>
      <c r="M3116" t="str">
        <f t="shared" si="256"/>
        <v/>
      </c>
      <c r="N3116" t="str">
        <f t="shared" si="256"/>
        <v/>
      </c>
      <c r="O3116" t="str">
        <f t="shared" si="256"/>
        <v/>
      </c>
      <c r="P3116" t="str">
        <f t="shared" si="256"/>
        <v/>
      </c>
      <c r="T3116" t="str">
        <f t="shared" si="257"/>
        <v/>
      </c>
      <c r="V3116" t="str">
        <f t="shared" si="258"/>
        <v>MVS</v>
      </c>
      <c r="W3116" t="str">
        <f t="shared" si="258"/>
        <v>MVS,AES</v>
      </c>
      <c r="AG3116" t="s">
        <v>6</v>
      </c>
      <c r="AH3116" t="s">
        <v>617</v>
      </c>
      <c r="AI3116" t="s">
        <v>616</v>
      </c>
      <c r="AJ3116" t="s">
        <v>11</v>
      </c>
      <c r="AK3116" t="s">
        <v>615</v>
      </c>
      <c r="AL3116" t="s">
        <v>614</v>
      </c>
    </row>
    <row r="3117" spans="9:38" x14ac:dyDescent="0.25">
      <c r="I3117" t="str">
        <f t="shared" si="254"/>
        <v>kf10thep</v>
      </c>
      <c r="J3117" t="str">
        <f t="shared" si="255"/>
        <v/>
      </c>
      <c r="L3117" t="str">
        <f t="shared" si="256"/>
        <v/>
      </c>
      <c r="M3117" t="str">
        <f t="shared" si="256"/>
        <v/>
      </c>
      <c r="N3117" t="str">
        <f t="shared" si="256"/>
        <v/>
      </c>
      <c r="O3117" t="str">
        <f t="shared" si="256"/>
        <v/>
      </c>
      <c r="P3117" t="str">
        <f t="shared" si="256"/>
        <v/>
      </c>
      <c r="T3117" t="str">
        <f t="shared" si="257"/>
        <v/>
      </c>
      <c r="V3117" t="str">
        <f t="shared" si="258"/>
        <v>MVS</v>
      </c>
      <c r="W3117" t="str">
        <f t="shared" si="258"/>
        <v>MVS,AES</v>
      </c>
      <c r="AG3117" t="s">
        <v>6</v>
      </c>
      <c r="AH3117" t="s">
        <v>613</v>
      </c>
      <c r="AI3117" t="s">
        <v>152</v>
      </c>
      <c r="AJ3117" t="s">
        <v>11</v>
      </c>
      <c r="AK3117" t="s">
        <v>612</v>
      </c>
      <c r="AL3117" t="s">
        <v>611</v>
      </c>
    </row>
    <row r="3118" spans="9:38" x14ac:dyDescent="0.25">
      <c r="I3118" t="str">
        <f t="shared" si="254"/>
        <v>kf10thep</v>
      </c>
      <c r="J3118" t="str">
        <f t="shared" si="255"/>
        <v/>
      </c>
      <c r="L3118" t="str">
        <f t="shared" si="256"/>
        <v/>
      </c>
      <c r="M3118" t="str">
        <f t="shared" si="256"/>
        <v/>
      </c>
      <c r="N3118" t="str">
        <f t="shared" si="256"/>
        <v/>
      </c>
      <c r="O3118" t="str">
        <f t="shared" si="256"/>
        <v/>
      </c>
      <c r="P3118" t="str">
        <f t="shared" si="256"/>
        <v/>
      </c>
      <c r="T3118" t="str">
        <f t="shared" si="257"/>
        <v/>
      </c>
      <c r="V3118" t="str">
        <f t="shared" si="258"/>
        <v>MVS</v>
      </c>
      <c r="W3118" t="str">
        <f t="shared" si="258"/>
        <v>MVS,AES</v>
      </c>
      <c r="AG3118" t="s">
        <v>6</v>
      </c>
      <c r="AH3118" t="s">
        <v>610</v>
      </c>
      <c r="AI3118" t="s">
        <v>148</v>
      </c>
      <c r="AJ3118" t="s">
        <v>11</v>
      </c>
      <c r="AK3118" t="s">
        <v>609</v>
      </c>
      <c r="AL3118" t="s">
        <v>608</v>
      </c>
    </row>
    <row r="3119" spans="9:38" x14ac:dyDescent="0.25">
      <c r="I3119" t="str">
        <f t="shared" si="254"/>
        <v>kf10thep</v>
      </c>
      <c r="J3119" t="str">
        <f t="shared" si="255"/>
        <v/>
      </c>
      <c r="L3119" t="str">
        <f t="shared" si="256"/>
        <v/>
      </c>
      <c r="M3119" t="str">
        <f t="shared" si="256"/>
        <v/>
      </c>
      <c r="N3119" t="str">
        <f t="shared" si="256"/>
        <v/>
      </c>
      <c r="O3119" t="str">
        <f t="shared" si="256"/>
        <v/>
      </c>
      <c r="P3119" t="str">
        <f t="shared" si="256"/>
        <v/>
      </c>
      <c r="T3119" t="str">
        <f t="shared" si="257"/>
        <v/>
      </c>
      <c r="V3119" t="str">
        <f t="shared" si="258"/>
        <v>MVS</v>
      </c>
      <c r="W3119" t="str">
        <f t="shared" si="258"/>
        <v>MVS,AES</v>
      </c>
      <c r="AG3119" t="s">
        <v>6</v>
      </c>
      <c r="AH3119" t="s">
        <v>680</v>
      </c>
      <c r="AI3119" t="s">
        <v>606</v>
      </c>
      <c r="AJ3119" t="s">
        <v>11</v>
      </c>
      <c r="AK3119" t="s">
        <v>679</v>
      </c>
      <c r="AL3119" t="s">
        <v>678</v>
      </c>
    </row>
    <row r="3120" spans="9:38" x14ac:dyDescent="0.25">
      <c r="I3120" t="str">
        <f t="shared" si="254"/>
        <v>kf10thep</v>
      </c>
      <c r="J3120" t="str">
        <f t="shared" si="255"/>
        <v/>
      </c>
      <c r="L3120" t="str">
        <f t="shared" si="256"/>
        <v/>
      </c>
      <c r="M3120" t="str">
        <f t="shared" si="256"/>
        <v/>
      </c>
      <c r="N3120" t="str">
        <f t="shared" si="256"/>
        <v/>
      </c>
      <c r="O3120" t="str">
        <f t="shared" si="256"/>
        <v/>
      </c>
      <c r="P3120" t="str">
        <f t="shared" si="256"/>
        <v/>
      </c>
      <c r="T3120" t="str">
        <f t="shared" si="257"/>
        <v/>
      </c>
      <c r="V3120" t="str">
        <f t="shared" si="258"/>
        <v>MVS</v>
      </c>
      <c r="W3120" t="str">
        <f t="shared" si="258"/>
        <v>MVS,AES</v>
      </c>
      <c r="AG3120" t="s">
        <v>6</v>
      </c>
      <c r="AH3120" t="s">
        <v>677</v>
      </c>
      <c r="AI3120" t="s">
        <v>602</v>
      </c>
      <c r="AJ3120" t="s">
        <v>11</v>
      </c>
      <c r="AK3120" t="s">
        <v>676</v>
      </c>
      <c r="AL3120" t="s">
        <v>675</v>
      </c>
    </row>
    <row r="3121" spans="5:44" x14ac:dyDescent="0.25">
      <c r="E3121" t="s">
        <v>674</v>
      </c>
      <c r="F3121" t="s">
        <v>673</v>
      </c>
      <c r="G3121" t="s">
        <v>143</v>
      </c>
      <c r="H3121" t="s">
        <v>194</v>
      </c>
      <c r="I3121" t="str">
        <f t="shared" si="254"/>
        <v>kf2k5uni</v>
      </c>
      <c r="J3121" t="str">
        <f t="shared" si="255"/>
        <v/>
      </c>
      <c r="L3121" t="str">
        <f t="shared" si="256"/>
        <v/>
      </c>
      <c r="M3121" t="str">
        <f t="shared" si="256"/>
        <v/>
      </c>
      <c r="N3121" t="str">
        <f t="shared" si="256"/>
        <v/>
      </c>
      <c r="O3121" t="str">
        <f t="shared" si="256"/>
        <v/>
      </c>
      <c r="P3121" t="str">
        <f t="shared" si="256"/>
        <v/>
      </c>
      <c r="S3121" t="s">
        <v>46</v>
      </c>
      <c r="T3121" t="str">
        <f t="shared" si="257"/>
        <v>kf2k5unirelease</v>
      </c>
      <c r="U3121" t="s">
        <v>106</v>
      </c>
      <c r="V3121" t="str">
        <f t="shared" si="258"/>
        <v>MVS</v>
      </c>
      <c r="W3121" t="str">
        <f t="shared" si="258"/>
        <v>MVS,AES</v>
      </c>
      <c r="Y3121" t="s">
        <v>45</v>
      </c>
      <c r="Z3121" t="s">
        <v>44</v>
      </c>
      <c r="AB3121" t="s">
        <v>43</v>
      </c>
      <c r="AC3121" t="s">
        <v>42</v>
      </c>
      <c r="AD3121" t="s">
        <v>41</v>
      </c>
      <c r="AE3121" t="s">
        <v>57</v>
      </c>
      <c r="AG3121" t="s">
        <v>40</v>
      </c>
      <c r="AH3121" t="s">
        <v>672</v>
      </c>
      <c r="AI3121" t="s">
        <v>9</v>
      </c>
      <c r="AJ3121" t="s">
        <v>11</v>
      </c>
      <c r="AK3121" t="s">
        <v>671</v>
      </c>
      <c r="AL3121" t="s">
        <v>670</v>
      </c>
      <c r="AP3121" t="s">
        <v>138</v>
      </c>
      <c r="AQ3121" t="s">
        <v>669</v>
      </c>
      <c r="AR3121" t="s">
        <v>592</v>
      </c>
    </row>
    <row r="3122" spans="5:44" x14ac:dyDescent="0.25">
      <c r="I3122" t="str">
        <f t="shared" si="254"/>
        <v>kf2k5uni</v>
      </c>
      <c r="J3122" t="str">
        <f t="shared" si="255"/>
        <v/>
      </c>
      <c r="L3122" t="str">
        <f t="shared" si="256"/>
        <v/>
      </c>
      <c r="M3122" t="str">
        <f t="shared" si="256"/>
        <v/>
      </c>
      <c r="N3122" t="str">
        <f t="shared" si="256"/>
        <v/>
      </c>
      <c r="O3122" t="str">
        <f t="shared" si="256"/>
        <v/>
      </c>
      <c r="P3122" t="str">
        <f t="shared" si="256"/>
        <v/>
      </c>
      <c r="S3122" t="s">
        <v>36</v>
      </c>
      <c r="T3122" t="str">
        <f t="shared" si="257"/>
        <v>kf2k5unicompatibility</v>
      </c>
      <c r="U3122" t="s">
        <v>218</v>
      </c>
      <c r="V3122" t="str">
        <f t="shared" si="258"/>
        <v>MVS</v>
      </c>
      <c r="W3122" t="str">
        <f t="shared" si="258"/>
        <v>MVS,AES</v>
      </c>
      <c r="AG3122" t="s">
        <v>40</v>
      </c>
      <c r="AH3122" t="s">
        <v>668</v>
      </c>
      <c r="AI3122" t="s">
        <v>11</v>
      </c>
      <c r="AJ3122" t="s">
        <v>11</v>
      </c>
      <c r="AK3122" t="s">
        <v>667</v>
      </c>
      <c r="AL3122" t="s">
        <v>666</v>
      </c>
    </row>
    <row r="3123" spans="5:44" x14ac:dyDescent="0.25">
      <c r="I3123" t="str">
        <f t="shared" si="254"/>
        <v>kf2k5uni</v>
      </c>
      <c r="J3123" t="str">
        <f t="shared" si="255"/>
        <v/>
      </c>
      <c r="L3123" t="str">
        <f t="shared" si="256"/>
        <v/>
      </c>
      <c r="M3123" t="str">
        <f t="shared" si="256"/>
        <v/>
      </c>
      <c r="N3123" t="str">
        <f t="shared" si="256"/>
        <v/>
      </c>
      <c r="O3123" t="str">
        <f t="shared" si="256"/>
        <v/>
      </c>
      <c r="P3123" t="str">
        <f t="shared" si="256"/>
        <v/>
      </c>
      <c r="T3123" t="str">
        <f t="shared" si="257"/>
        <v/>
      </c>
      <c r="V3123" t="str">
        <f t="shared" si="258"/>
        <v>MVS</v>
      </c>
      <c r="W3123" t="str">
        <f t="shared" si="258"/>
        <v>MVS,AES</v>
      </c>
      <c r="AB3123" t="s">
        <v>34</v>
      </c>
      <c r="AE3123" t="s">
        <v>33</v>
      </c>
      <c r="AH3123" t="s">
        <v>665</v>
      </c>
      <c r="AI3123" t="s">
        <v>9</v>
      </c>
      <c r="AJ3123" t="s">
        <v>27</v>
      </c>
      <c r="AK3123" t="s">
        <v>664</v>
      </c>
      <c r="AL3123" t="s">
        <v>663</v>
      </c>
    </row>
    <row r="3124" spans="5:44" x14ac:dyDescent="0.25">
      <c r="I3124" t="str">
        <f t="shared" si="254"/>
        <v>kf2k5uni</v>
      </c>
      <c r="J3124" t="str">
        <f t="shared" si="255"/>
        <v/>
      </c>
      <c r="L3124" t="str">
        <f t="shared" si="256"/>
        <v/>
      </c>
      <c r="M3124" t="str">
        <f t="shared" si="256"/>
        <v/>
      </c>
      <c r="N3124" t="str">
        <f t="shared" si="256"/>
        <v/>
      </c>
      <c r="O3124" t="str">
        <f t="shared" si="256"/>
        <v/>
      </c>
      <c r="P3124" t="str">
        <f t="shared" si="256"/>
        <v/>
      </c>
      <c r="T3124" t="str">
        <f t="shared" si="257"/>
        <v/>
      </c>
      <c r="V3124" t="str">
        <f t="shared" si="258"/>
        <v>MVS</v>
      </c>
      <c r="W3124" t="str">
        <f t="shared" si="258"/>
        <v>MVS,AES</v>
      </c>
      <c r="AB3124" t="s">
        <v>29</v>
      </c>
      <c r="AE3124" t="s">
        <v>27</v>
      </c>
      <c r="AH3124" t="s">
        <v>662</v>
      </c>
      <c r="AI3124" t="s">
        <v>9</v>
      </c>
      <c r="AJ3124" t="s">
        <v>27</v>
      </c>
      <c r="AK3124" t="s">
        <v>661</v>
      </c>
      <c r="AL3124" t="s">
        <v>660</v>
      </c>
    </row>
    <row r="3125" spans="5:44" x14ac:dyDescent="0.25">
      <c r="I3125" t="str">
        <f t="shared" si="254"/>
        <v>kf2k5uni</v>
      </c>
      <c r="J3125" t="str">
        <f t="shared" si="255"/>
        <v/>
      </c>
      <c r="L3125" t="str">
        <f t="shared" si="256"/>
        <v/>
      </c>
      <c r="M3125" t="str">
        <f t="shared" si="256"/>
        <v/>
      </c>
      <c r="N3125" t="str">
        <f t="shared" si="256"/>
        <v/>
      </c>
      <c r="O3125" t="str">
        <f t="shared" si="256"/>
        <v/>
      </c>
      <c r="P3125" t="str">
        <f t="shared" si="256"/>
        <v/>
      </c>
      <c r="T3125" t="str">
        <f t="shared" si="257"/>
        <v/>
      </c>
      <c r="V3125" t="str">
        <f t="shared" si="258"/>
        <v>MVS</v>
      </c>
      <c r="W3125" t="str">
        <f t="shared" si="258"/>
        <v>MVS,AES</v>
      </c>
      <c r="AB3125" t="s">
        <v>24</v>
      </c>
      <c r="AE3125" t="s">
        <v>65</v>
      </c>
      <c r="AH3125" t="s">
        <v>659</v>
      </c>
      <c r="AI3125" t="s">
        <v>9</v>
      </c>
      <c r="AJ3125" t="s">
        <v>57</v>
      </c>
      <c r="AK3125" t="s">
        <v>658</v>
      </c>
      <c r="AL3125" t="s">
        <v>657</v>
      </c>
    </row>
    <row r="3126" spans="5:44" x14ac:dyDescent="0.25">
      <c r="I3126" t="str">
        <f t="shared" si="254"/>
        <v>kf2k5uni</v>
      </c>
      <c r="J3126" t="str">
        <f t="shared" si="255"/>
        <v/>
      </c>
      <c r="L3126" t="str">
        <f t="shared" ref="L3126:P3176" si="259">IFERROR(VLOOKUP($I3126&amp;L$1,$J:$Q,8,0),"")</f>
        <v/>
      </c>
      <c r="M3126" t="str">
        <f t="shared" si="259"/>
        <v/>
      </c>
      <c r="N3126" t="str">
        <f t="shared" si="259"/>
        <v/>
      </c>
      <c r="O3126" t="str">
        <f t="shared" si="259"/>
        <v/>
      </c>
      <c r="P3126" t="str">
        <f t="shared" si="259"/>
        <v/>
      </c>
      <c r="T3126" t="str">
        <f t="shared" si="257"/>
        <v/>
      </c>
      <c r="V3126" t="str">
        <f t="shared" si="258"/>
        <v>MVS</v>
      </c>
      <c r="W3126" t="str">
        <f t="shared" si="258"/>
        <v>MVS,AES</v>
      </c>
      <c r="AH3126" t="s">
        <v>656</v>
      </c>
      <c r="AI3126" t="s">
        <v>57</v>
      </c>
      <c r="AJ3126" t="s">
        <v>57</v>
      </c>
      <c r="AK3126" t="s">
        <v>655</v>
      </c>
      <c r="AL3126" t="s">
        <v>654</v>
      </c>
    </row>
    <row r="3127" spans="5:44" x14ac:dyDescent="0.25">
      <c r="I3127" t="str">
        <f t="shared" si="254"/>
        <v>kf2k5uni</v>
      </c>
      <c r="J3127" t="str">
        <f t="shared" si="255"/>
        <v/>
      </c>
      <c r="L3127" t="str">
        <f t="shared" si="259"/>
        <v/>
      </c>
      <c r="M3127" t="str">
        <f t="shared" si="259"/>
        <v/>
      </c>
      <c r="N3127" t="str">
        <f t="shared" si="259"/>
        <v/>
      </c>
      <c r="O3127" t="str">
        <f t="shared" si="259"/>
        <v/>
      </c>
      <c r="P3127" t="str">
        <f t="shared" si="259"/>
        <v/>
      </c>
      <c r="T3127" t="str">
        <f t="shared" si="257"/>
        <v/>
      </c>
      <c r="V3127" t="str">
        <f t="shared" si="258"/>
        <v>MVS</v>
      </c>
      <c r="W3127" t="str">
        <f t="shared" si="258"/>
        <v>MVS,AES</v>
      </c>
      <c r="AB3127" t="s">
        <v>12</v>
      </c>
      <c r="AE3127" t="s">
        <v>175</v>
      </c>
      <c r="AG3127" t="s">
        <v>6</v>
      </c>
      <c r="AH3127" t="s">
        <v>653</v>
      </c>
      <c r="AI3127" t="s">
        <v>9</v>
      </c>
      <c r="AJ3127" t="s">
        <v>11</v>
      </c>
      <c r="AK3127" t="s">
        <v>652</v>
      </c>
      <c r="AL3127" t="s">
        <v>651</v>
      </c>
    </row>
    <row r="3128" spans="5:44" x14ac:dyDescent="0.25">
      <c r="I3128" t="str">
        <f t="shared" si="254"/>
        <v>kf2k5uni</v>
      </c>
      <c r="J3128" t="str">
        <f t="shared" si="255"/>
        <v/>
      </c>
      <c r="L3128" t="str">
        <f t="shared" si="259"/>
        <v/>
      </c>
      <c r="M3128" t="str">
        <f t="shared" si="259"/>
        <v/>
      </c>
      <c r="N3128" t="str">
        <f t="shared" si="259"/>
        <v/>
      </c>
      <c r="O3128" t="str">
        <f t="shared" si="259"/>
        <v/>
      </c>
      <c r="P3128" t="str">
        <f t="shared" si="259"/>
        <v/>
      </c>
      <c r="T3128" t="str">
        <f t="shared" si="257"/>
        <v/>
      </c>
      <c r="V3128" t="str">
        <f t="shared" si="258"/>
        <v>MVS</v>
      </c>
      <c r="W3128" t="str">
        <f t="shared" si="258"/>
        <v>MVS,AES</v>
      </c>
      <c r="AG3128" t="s">
        <v>6</v>
      </c>
      <c r="AH3128" t="s">
        <v>650</v>
      </c>
      <c r="AI3128" t="s">
        <v>4</v>
      </c>
      <c r="AJ3128" t="s">
        <v>11</v>
      </c>
      <c r="AK3128" t="s">
        <v>649</v>
      </c>
      <c r="AL3128" t="s">
        <v>648</v>
      </c>
    </row>
    <row r="3129" spans="5:44" x14ac:dyDescent="0.25">
      <c r="I3129" t="str">
        <f t="shared" si="254"/>
        <v>kf2k5uni</v>
      </c>
      <c r="J3129" t="str">
        <f t="shared" si="255"/>
        <v/>
      </c>
      <c r="L3129" t="str">
        <f t="shared" si="259"/>
        <v/>
      </c>
      <c r="M3129" t="str">
        <f t="shared" si="259"/>
        <v/>
      </c>
      <c r="N3129" t="str">
        <f t="shared" si="259"/>
        <v/>
      </c>
      <c r="O3129" t="str">
        <f t="shared" si="259"/>
        <v/>
      </c>
      <c r="P3129" t="str">
        <f t="shared" si="259"/>
        <v/>
      </c>
      <c r="T3129" t="str">
        <f t="shared" si="257"/>
        <v/>
      </c>
      <c r="V3129" t="str">
        <f t="shared" si="258"/>
        <v>MVS</v>
      </c>
      <c r="W3129" t="str">
        <f t="shared" si="258"/>
        <v>MVS,AES</v>
      </c>
      <c r="AG3129" t="s">
        <v>6</v>
      </c>
      <c r="AH3129" t="s">
        <v>647</v>
      </c>
      <c r="AI3129" t="s">
        <v>57</v>
      </c>
      <c r="AJ3129" t="s">
        <v>11</v>
      </c>
      <c r="AK3129" t="s">
        <v>646</v>
      </c>
      <c r="AL3129" t="s">
        <v>645</v>
      </c>
    </row>
    <row r="3130" spans="5:44" x14ac:dyDescent="0.25">
      <c r="I3130" t="str">
        <f t="shared" si="254"/>
        <v>kf2k5uni</v>
      </c>
      <c r="J3130" t="str">
        <f t="shared" si="255"/>
        <v/>
      </c>
      <c r="L3130" t="str">
        <f t="shared" si="259"/>
        <v/>
      </c>
      <c r="M3130" t="str">
        <f t="shared" si="259"/>
        <v/>
      </c>
      <c r="N3130" t="str">
        <f t="shared" si="259"/>
        <v/>
      </c>
      <c r="O3130" t="str">
        <f t="shared" si="259"/>
        <v/>
      </c>
      <c r="P3130" t="str">
        <f t="shared" si="259"/>
        <v/>
      </c>
      <c r="T3130" t="str">
        <f t="shared" si="257"/>
        <v/>
      </c>
      <c r="V3130" t="str">
        <f t="shared" si="258"/>
        <v>MVS</v>
      </c>
      <c r="W3130" t="str">
        <f t="shared" si="258"/>
        <v>MVS,AES</v>
      </c>
      <c r="AG3130" t="s">
        <v>6</v>
      </c>
      <c r="AH3130" t="s">
        <v>644</v>
      </c>
      <c r="AI3130" t="s">
        <v>53</v>
      </c>
      <c r="AJ3130" t="s">
        <v>11</v>
      </c>
      <c r="AK3130" t="s">
        <v>643</v>
      </c>
      <c r="AL3130" t="s">
        <v>642</v>
      </c>
    </row>
    <row r="3131" spans="5:44" x14ac:dyDescent="0.25">
      <c r="I3131" t="str">
        <f t="shared" si="254"/>
        <v>kf2k5uni</v>
      </c>
      <c r="J3131" t="str">
        <f t="shared" si="255"/>
        <v/>
      </c>
      <c r="L3131" t="str">
        <f t="shared" si="259"/>
        <v/>
      </c>
      <c r="M3131" t="str">
        <f t="shared" si="259"/>
        <v/>
      </c>
      <c r="N3131" t="str">
        <f t="shared" si="259"/>
        <v/>
      </c>
      <c r="O3131" t="str">
        <f t="shared" si="259"/>
        <v/>
      </c>
      <c r="P3131" t="str">
        <f t="shared" si="259"/>
        <v/>
      </c>
      <c r="T3131" t="str">
        <f t="shared" si="257"/>
        <v/>
      </c>
      <c r="V3131" t="str">
        <f t="shared" si="258"/>
        <v>MVS</v>
      </c>
      <c r="W3131" t="str">
        <f t="shared" si="258"/>
        <v>MVS,AES</v>
      </c>
      <c r="AG3131" t="s">
        <v>6</v>
      </c>
      <c r="AH3131" t="s">
        <v>641</v>
      </c>
      <c r="AI3131" t="s">
        <v>65</v>
      </c>
      <c r="AJ3131" t="s">
        <v>11</v>
      </c>
      <c r="AK3131" t="s">
        <v>640</v>
      </c>
      <c r="AL3131" t="s">
        <v>639</v>
      </c>
    </row>
    <row r="3132" spans="5:44" x14ac:dyDescent="0.25">
      <c r="I3132" t="str">
        <f t="shared" si="254"/>
        <v>kf2k5uni</v>
      </c>
      <c r="J3132" t="str">
        <f t="shared" si="255"/>
        <v/>
      </c>
      <c r="L3132" t="str">
        <f t="shared" si="259"/>
        <v/>
      </c>
      <c r="M3132" t="str">
        <f t="shared" si="259"/>
        <v/>
      </c>
      <c r="N3132" t="str">
        <f t="shared" si="259"/>
        <v/>
      </c>
      <c r="O3132" t="str">
        <f t="shared" si="259"/>
        <v/>
      </c>
      <c r="P3132" t="str">
        <f t="shared" si="259"/>
        <v/>
      </c>
      <c r="T3132" t="str">
        <f t="shared" si="257"/>
        <v/>
      </c>
      <c r="V3132" t="str">
        <f t="shared" si="258"/>
        <v>MVS</v>
      </c>
      <c r="W3132" t="str">
        <f t="shared" si="258"/>
        <v>MVS,AES</v>
      </c>
      <c r="AG3132" t="s">
        <v>6</v>
      </c>
      <c r="AH3132" t="s">
        <v>638</v>
      </c>
      <c r="AI3132" t="s">
        <v>164</v>
      </c>
      <c r="AJ3132" t="s">
        <v>11</v>
      </c>
      <c r="AK3132" t="s">
        <v>637</v>
      </c>
      <c r="AL3132" t="s">
        <v>636</v>
      </c>
    </row>
    <row r="3133" spans="5:44" x14ac:dyDescent="0.25">
      <c r="I3133" t="str">
        <f t="shared" si="254"/>
        <v>kf2k5uni</v>
      </c>
      <c r="J3133" t="str">
        <f t="shared" si="255"/>
        <v/>
      </c>
      <c r="L3133" t="str">
        <f t="shared" si="259"/>
        <v/>
      </c>
      <c r="M3133" t="str">
        <f t="shared" si="259"/>
        <v/>
      </c>
      <c r="N3133" t="str">
        <f t="shared" si="259"/>
        <v/>
      </c>
      <c r="O3133" t="str">
        <f t="shared" si="259"/>
        <v/>
      </c>
      <c r="P3133" t="str">
        <f t="shared" si="259"/>
        <v/>
      </c>
      <c r="T3133" t="str">
        <f t="shared" si="257"/>
        <v/>
      </c>
      <c r="V3133" t="str">
        <f t="shared" si="258"/>
        <v>MVS</v>
      </c>
      <c r="W3133" t="str">
        <f t="shared" si="258"/>
        <v>MVS,AES</v>
      </c>
      <c r="AG3133" t="s">
        <v>6</v>
      </c>
      <c r="AH3133" t="s">
        <v>635</v>
      </c>
      <c r="AI3133" t="s">
        <v>634</v>
      </c>
      <c r="AJ3133" t="s">
        <v>11</v>
      </c>
      <c r="AK3133" t="s">
        <v>633</v>
      </c>
      <c r="AL3133" t="s">
        <v>632</v>
      </c>
    </row>
    <row r="3134" spans="5:44" x14ac:dyDescent="0.25">
      <c r="I3134" t="str">
        <f t="shared" si="254"/>
        <v>kf2k5uni</v>
      </c>
      <c r="J3134" t="str">
        <f t="shared" si="255"/>
        <v/>
      </c>
      <c r="L3134" t="str">
        <f t="shared" si="259"/>
        <v/>
      </c>
      <c r="M3134" t="str">
        <f t="shared" si="259"/>
        <v/>
      </c>
      <c r="N3134" t="str">
        <f t="shared" si="259"/>
        <v/>
      </c>
      <c r="O3134" t="str">
        <f t="shared" si="259"/>
        <v/>
      </c>
      <c r="P3134" t="str">
        <f t="shared" si="259"/>
        <v/>
      </c>
      <c r="T3134" t="str">
        <f t="shared" si="257"/>
        <v/>
      </c>
      <c r="V3134" t="str">
        <f t="shared" si="258"/>
        <v>MVS</v>
      </c>
      <c r="W3134" t="str">
        <f t="shared" si="258"/>
        <v>MVS,AES</v>
      </c>
      <c r="AG3134" t="s">
        <v>6</v>
      </c>
      <c r="AH3134" t="s">
        <v>631</v>
      </c>
      <c r="AI3134" t="s">
        <v>630</v>
      </c>
      <c r="AJ3134" t="s">
        <v>11</v>
      </c>
      <c r="AK3134" t="s">
        <v>629</v>
      </c>
      <c r="AL3134" t="s">
        <v>628</v>
      </c>
    </row>
    <row r="3135" spans="5:44" x14ac:dyDescent="0.25">
      <c r="I3135" t="str">
        <f t="shared" si="254"/>
        <v>kf2k5uni</v>
      </c>
      <c r="J3135" t="str">
        <f t="shared" si="255"/>
        <v/>
      </c>
      <c r="L3135" t="str">
        <f t="shared" si="259"/>
        <v/>
      </c>
      <c r="M3135" t="str">
        <f t="shared" si="259"/>
        <v/>
      </c>
      <c r="N3135" t="str">
        <f t="shared" si="259"/>
        <v/>
      </c>
      <c r="O3135" t="str">
        <f t="shared" si="259"/>
        <v/>
      </c>
      <c r="P3135" t="str">
        <f t="shared" si="259"/>
        <v/>
      </c>
      <c r="T3135" t="str">
        <f t="shared" si="257"/>
        <v/>
      </c>
      <c r="V3135" t="str">
        <f t="shared" si="258"/>
        <v>MVS</v>
      </c>
      <c r="W3135" t="str">
        <f t="shared" si="258"/>
        <v>MVS,AES</v>
      </c>
      <c r="AG3135" t="s">
        <v>6</v>
      </c>
      <c r="AH3135" t="s">
        <v>627</v>
      </c>
      <c r="AI3135" t="s">
        <v>160</v>
      </c>
      <c r="AJ3135" t="s">
        <v>11</v>
      </c>
      <c r="AK3135" t="s">
        <v>626</v>
      </c>
      <c r="AL3135" t="s">
        <v>625</v>
      </c>
    </row>
    <row r="3136" spans="5:44" x14ac:dyDescent="0.25">
      <c r="I3136" t="str">
        <f t="shared" si="254"/>
        <v>kf2k5uni</v>
      </c>
      <c r="J3136" t="str">
        <f t="shared" si="255"/>
        <v/>
      </c>
      <c r="L3136" t="str">
        <f t="shared" si="259"/>
        <v/>
      </c>
      <c r="M3136" t="str">
        <f t="shared" si="259"/>
        <v/>
      </c>
      <c r="N3136" t="str">
        <f t="shared" si="259"/>
        <v/>
      </c>
      <c r="O3136" t="str">
        <f t="shared" si="259"/>
        <v/>
      </c>
      <c r="P3136" t="str">
        <f t="shared" si="259"/>
        <v/>
      </c>
      <c r="T3136" t="str">
        <f t="shared" si="257"/>
        <v/>
      </c>
      <c r="V3136" t="str">
        <f t="shared" si="258"/>
        <v>MVS</v>
      </c>
      <c r="W3136" t="str">
        <f t="shared" si="258"/>
        <v>MVS,AES</v>
      </c>
      <c r="AG3136" t="s">
        <v>6</v>
      </c>
      <c r="AH3136" t="s">
        <v>624</v>
      </c>
      <c r="AI3136" t="s">
        <v>156</v>
      </c>
      <c r="AJ3136" t="s">
        <v>11</v>
      </c>
      <c r="AK3136" t="s">
        <v>623</v>
      </c>
      <c r="AL3136" t="s">
        <v>622</v>
      </c>
    </row>
    <row r="3137" spans="5:44" x14ac:dyDescent="0.25">
      <c r="I3137" t="str">
        <f t="shared" si="254"/>
        <v>kf2k5uni</v>
      </c>
      <c r="J3137" t="str">
        <f t="shared" si="255"/>
        <v/>
      </c>
      <c r="L3137" t="str">
        <f t="shared" si="259"/>
        <v/>
      </c>
      <c r="M3137" t="str">
        <f t="shared" si="259"/>
        <v/>
      </c>
      <c r="N3137" t="str">
        <f t="shared" si="259"/>
        <v/>
      </c>
      <c r="O3137" t="str">
        <f t="shared" si="259"/>
        <v/>
      </c>
      <c r="P3137" t="str">
        <f t="shared" si="259"/>
        <v/>
      </c>
      <c r="T3137" t="str">
        <f t="shared" si="257"/>
        <v/>
      </c>
      <c r="V3137" t="str">
        <f t="shared" si="258"/>
        <v>MVS</v>
      </c>
      <c r="W3137" t="str">
        <f t="shared" si="258"/>
        <v>MVS,AES</v>
      </c>
      <c r="AG3137" t="s">
        <v>6</v>
      </c>
      <c r="AH3137" t="s">
        <v>621</v>
      </c>
      <c r="AI3137" t="s">
        <v>620</v>
      </c>
      <c r="AJ3137" t="s">
        <v>11</v>
      </c>
      <c r="AK3137" t="s">
        <v>619</v>
      </c>
      <c r="AL3137" t="s">
        <v>618</v>
      </c>
    </row>
    <row r="3138" spans="5:44" x14ac:dyDescent="0.25">
      <c r="I3138" t="str">
        <f t="shared" si="254"/>
        <v>kf2k5uni</v>
      </c>
      <c r="J3138" t="str">
        <f t="shared" si="255"/>
        <v/>
      </c>
      <c r="L3138" t="str">
        <f t="shared" si="259"/>
        <v/>
      </c>
      <c r="M3138" t="str">
        <f t="shared" si="259"/>
        <v/>
      </c>
      <c r="N3138" t="str">
        <f t="shared" si="259"/>
        <v/>
      </c>
      <c r="O3138" t="str">
        <f t="shared" si="259"/>
        <v/>
      </c>
      <c r="P3138" t="str">
        <f t="shared" si="259"/>
        <v/>
      </c>
      <c r="T3138" t="str">
        <f t="shared" si="257"/>
        <v/>
      </c>
      <c r="V3138" t="str">
        <f t="shared" si="258"/>
        <v>MVS</v>
      </c>
      <c r="W3138" t="str">
        <f t="shared" si="258"/>
        <v>MVS,AES</v>
      </c>
      <c r="AG3138" t="s">
        <v>6</v>
      </c>
      <c r="AH3138" t="s">
        <v>617</v>
      </c>
      <c r="AI3138" t="s">
        <v>616</v>
      </c>
      <c r="AJ3138" t="s">
        <v>11</v>
      </c>
      <c r="AK3138" t="s">
        <v>615</v>
      </c>
      <c r="AL3138" t="s">
        <v>614</v>
      </c>
    </row>
    <row r="3139" spans="5:44" x14ac:dyDescent="0.25">
      <c r="I3139" t="str">
        <f t="shared" ref="I3139:I3202" si="260">IF(E3139="",I3138,E3139)</f>
        <v>kf2k5uni</v>
      </c>
      <c r="J3139" t="str">
        <f t="shared" ref="J3139:J3202" si="261">IF(K3139="","",I3139&amp;K3139)</f>
        <v/>
      </c>
      <c r="L3139" t="str">
        <f t="shared" si="259"/>
        <v/>
      </c>
      <c r="M3139" t="str">
        <f t="shared" si="259"/>
        <v/>
      </c>
      <c r="N3139" t="str">
        <f t="shared" si="259"/>
        <v/>
      </c>
      <c r="O3139" t="str">
        <f t="shared" si="259"/>
        <v/>
      </c>
      <c r="P3139" t="str">
        <f t="shared" si="259"/>
        <v/>
      </c>
      <c r="T3139" t="str">
        <f t="shared" ref="T3139:T3202" si="262">IF(S3139="","",I3139&amp;S3139)</f>
        <v/>
      </c>
      <c r="V3139" t="str">
        <f t="shared" si="258"/>
        <v>MVS</v>
      </c>
      <c r="W3139" t="str">
        <f t="shared" si="258"/>
        <v>MVS,AES</v>
      </c>
      <c r="AG3139" t="s">
        <v>6</v>
      </c>
      <c r="AH3139" t="s">
        <v>613</v>
      </c>
      <c r="AI3139" t="s">
        <v>152</v>
      </c>
      <c r="AJ3139" t="s">
        <v>11</v>
      </c>
      <c r="AK3139" t="s">
        <v>612</v>
      </c>
      <c r="AL3139" t="s">
        <v>611</v>
      </c>
    </row>
    <row r="3140" spans="5:44" x14ac:dyDescent="0.25">
      <c r="I3140" t="str">
        <f t="shared" si="260"/>
        <v>kf2k5uni</v>
      </c>
      <c r="J3140" t="str">
        <f t="shared" si="261"/>
        <v/>
      </c>
      <c r="L3140" t="str">
        <f t="shared" si="259"/>
        <v/>
      </c>
      <c r="M3140" t="str">
        <f t="shared" si="259"/>
        <v/>
      </c>
      <c r="N3140" t="str">
        <f t="shared" si="259"/>
        <v/>
      </c>
      <c r="O3140" t="str">
        <f t="shared" si="259"/>
        <v/>
      </c>
      <c r="P3140" t="str">
        <f t="shared" si="259"/>
        <v/>
      </c>
      <c r="T3140" t="str">
        <f t="shared" si="262"/>
        <v/>
      </c>
      <c r="V3140" t="str">
        <f t="shared" si="258"/>
        <v>MVS</v>
      </c>
      <c r="W3140" t="str">
        <f t="shared" si="258"/>
        <v>MVS,AES</v>
      </c>
      <c r="AG3140" t="s">
        <v>6</v>
      </c>
      <c r="AH3140" t="s">
        <v>610</v>
      </c>
      <c r="AI3140" t="s">
        <v>148</v>
      </c>
      <c r="AJ3140" t="s">
        <v>11</v>
      </c>
      <c r="AK3140" t="s">
        <v>609</v>
      </c>
      <c r="AL3140" t="s">
        <v>608</v>
      </c>
    </row>
    <row r="3141" spans="5:44" x14ac:dyDescent="0.25">
      <c r="I3141" t="str">
        <f t="shared" si="260"/>
        <v>kf2k5uni</v>
      </c>
      <c r="J3141" t="str">
        <f t="shared" si="261"/>
        <v/>
      </c>
      <c r="L3141" t="str">
        <f t="shared" si="259"/>
        <v/>
      </c>
      <c r="M3141" t="str">
        <f t="shared" si="259"/>
        <v/>
      </c>
      <c r="N3141" t="str">
        <f t="shared" si="259"/>
        <v/>
      </c>
      <c r="O3141" t="str">
        <f t="shared" si="259"/>
        <v/>
      </c>
      <c r="P3141" t="str">
        <f t="shared" si="259"/>
        <v/>
      </c>
      <c r="T3141" t="str">
        <f t="shared" si="262"/>
        <v/>
      </c>
      <c r="V3141" t="str">
        <f t="shared" si="258"/>
        <v>MVS</v>
      </c>
      <c r="W3141" t="str">
        <f t="shared" si="258"/>
        <v>MVS,AES</v>
      </c>
      <c r="AG3141" t="s">
        <v>6</v>
      </c>
      <c r="AH3141" t="s">
        <v>607</v>
      </c>
      <c r="AI3141" t="s">
        <v>606</v>
      </c>
      <c r="AJ3141" t="s">
        <v>11</v>
      </c>
      <c r="AK3141" t="s">
        <v>605</v>
      </c>
      <c r="AL3141" t="s">
        <v>604</v>
      </c>
    </row>
    <row r="3142" spans="5:44" x14ac:dyDescent="0.25">
      <c r="I3142" t="str">
        <f t="shared" si="260"/>
        <v>kf2k5uni</v>
      </c>
      <c r="J3142" t="str">
        <f t="shared" si="261"/>
        <v/>
      </c>
      <c r="L3142" t="str">
        <f t="shared" si="259"/>
        <v/>
      </c>
      <c r="M3142" t="str">
        <f t="shared" si="259"/>
        <v/>
      </c>
      <c r="N3142" t="str">
        <f t="shared" si="259"/>
        <v/>
      </c>
      <c r="O3142" t="str">
        <f t="shared" si="259"/>
        <v/>
      </c>
      <c r="P3142" t="str">
        <f t="shared" si="259"/>
        <v/>
      </c>
      <c r="T3142" t="str">
        <f t="shared" si="262"/>
        <v/>
      </c>
      <c r="V3142" t="str">
        <f t="shared" si="258"/>
        <v>MVS</v>
      </c>
      <c r="W3142" t="str">
        <f t="shared" si="258"/>
        <v>MVS,AES</v>
      </c>
      <c r="AG3142" t="s">
        <v>6</v>
      </c>
      <c r="AH3142" t="s">
        <v>603</v>
      </c>
      <c r="AI3142" t="s">
        <v>602</v>
      </c>
      <c r="AJ3142" t="s">
        <v>11</v>
      </c>
      <c r="AK3142" t="s">
        <v>601</v>
      </c>
      <c r="AL3142" t="s">
        <v>600</v>
      </c>
    </row>
    <row r="3143" spans="5:44" x14ac:dyDescent="0.25">
      <c r="E3143" t="s">
        <v>599</v>
      </c>
      <c r="F3143" t="s">
        <v>598</v>
      </c>
      <c r="G3143" t="s">
        <v>143</v>
      </c>
      <c r="H3143" t="s">
        <v>194</v>
      </c>
      <c r="I3143" t="str">
        <f t="shared" si="260"/>
        <v>kof2k4se</v>
      </c>
      <c r="J3143" t="str">
        <f t="shared" si="261"/>
        <v>kof2k4secompat_note</v>
      </c>
      <c r="K3143" t="s">
        <v>111</v>
      </c>
      <c r="L3143" t="str">
        <f t="shared" si="259"/>
        <v/>
      </c>
      <c r="M3143" t="str">
        <f t="shared" si="259"/>
        <v/>
      </c>
      <c r="N3143" t="str">
        <f t="shared" si="259"/>
        <v/>
      </c>
      <c r="O3143" t="str">
        <f t="shared" si="259"/>
        <v>Missing NeoGeo logo at startup</v>
      </c>
      <c r="P3143" t="str">
        <f t="shared" si="259"/>
        <v/>
      </c>
      <c r="Q3143" t="s">
        <v>597</v>
      </c>
      <c r="S3143" t="s">
        <v>46</v>
      </c>
      <c r="T3143" t="str">
        <f t="shared" si="262"/>
        <v>kof2k4serelease</v>
      </c>
      <c r="U3143" t="s">
        <v>106</v>
      </c>
      <c r="V3143" t="str">
        <f t="shared" si="258"/>
        <v>MVS</v>
      </c>
      <c r="W3143" t="str">
        <f t="shared" si="258"/>
        <v>MVS</v>
      </c>
      <c r="Y3143" t="s">
        <v>45</v>
      </c>
      <c r="Z3143" t="s">
        <v>44</v>
      </c>
      <c r="AB3143" t="s">
        <v>43</v>
      </c>
      <c r="AC3143" t="s">
        <v>42</v>
      </c>
      <c r="AD3143" t="s">
        <v>41</v>
      </c>
      <c r="AE3143" t="s">
        <v>23</v>
      </c>
      <c r="AG3143" t="s">
        <v>40</v>
      </c>
      <c r="AH3143" t="s">
        <v>596</v>
      </c>
      <c r="AI3143" t="s">
        <v>9</v>
      </c>
      <c r="AJ3143" t="s">
        <v>92</v>
      </c>
      <c r="AK3143" t="s">
        <v>595</v>
      </c>
      <c r="AL3143" t="s">
        <v>594</v>
      </c>
      <c r="AP3143" t="s">
        <v>138</v>
      </c>
      <c r="AQ3143" t="s">
        <v>593</v>
      </c>
      <c r="AR3143" t="s">
        <v>592</v>
      </c>
    </row>
    <row r="3144" spans="5:44" x14ac:dyDescent="0.25">
      <c r="I3144" t="str">
        <f t="shared" si="260"/>
        <v>kof2k4se</v>
      </c>
      <c r="J3144" t="str">
        <f t="shared" si="261"/>
        <v/>
      </c>
      <c r="L3144" t="str">
        <f t="shared" si="259"/>
        <v/>
      </c>
      <c r="M3144" t="str">
        <f t="shared" si="259"/>
        <v/>
      </c>
      <c r="N3144" t="str">
        <f t="shared" si="259"/>
        <v/>
      </c>
      <c r="O3144" t="str">
        <f t="shared" si="259"/>
        <v>Missing NeoGeo logo at startup</v>
      </c>
      <c r="P3144" t="str">
        <f t="shared" si="259"/>
        <v/>
      </c>
      <c r="S3144" t="s">
        <v>36</v>
      </c>
      <c r="T3144" t="str">
        <f t="shared" si="262"/>
        <v>kof2k4secompatibility</v>
      </c>
      <c r="U3144" t="s">
        <v>106</v>
      </c>
      <c r="V3144" t="str">
        <f t="shared" si="258"/>
        <v>MVS</v>
      </c>
      <c r="W3144" t="str">
        <f t="shared" si="258"/>
        <v>MVS</v>
      </c>
      <c r="AG3144" t="s">
        <v>40</v>
      </c>
      <c r="AH3144" t="s">
        <v>591</v>
      </c>
      <c r="AI3144" t="s">
        <v>92</v>
      </c>
      <c r="AJ3144" t="s">
        <v>92</v>
      </c>
      <c r="AK3144" t="s">
        <v>590</v>
      </c>
      <c r="AL3144" t="s">
        <v>589</v>
      </c>
    </row>
    <row r="3145" spans="5:44" x14ac:dyDescent="0.25">
      <c r="I3145" t="str">
        <f t="shared" si="260"/>
        <v>kof2k4se</v>
      </c>
      <c r="J3145" t="str">
        <f t="shared" si="261"/>
        <v/>
      </c>
      <c r="L3145" t="str">
        <f t="shared" si="259"/>
        <v/>
      </c>
      <c r="M3145" t="str">
        <f t="shared" si="259"/>
        <v/>
      </c>
      <c r="N3145" t="str">
        <f t="shared" si="259"/>
        <v/>
      </c>
      <c r="O3145" t="str">
        <f t="shared" si="259"/>
        <v>Missing NeoGeo logo at startup</v>
      </c>
      <c r="P3145" t="str">
        <f t="shared" si="259"/>
        <v/>
      </c>
      <c r="T3145" t="str">
        <f t="shared" si="262"/>
        <v/>
      </c>
      <c r="V3145" t="str">
        <f t="shared" si="258"/>
        <v>MVS</v>
      </c>
      <c r="W3145" t="str">
        <f t="shared" si="258"/>
        <v>MVS</v>
      </c>
      <c r="AG3145" t="s">
        <v>40</v>
      </c>
      <c r="AH3145" t="s">
        <v>588</v>
      </c>
      <c r="AI3145" t="s">
        <v>15</v>
      </c>
      <c r="AJ3145" t="s">
        <v>11</v>
      </c>
      <c r="AK3145" t="s">
        <v>587</v>
      </c>
      <c r="AL3145" t="s">
        <v>586</v>
      </c>
    </row>
    <row r="3146" spans="5:44" x14ac:dyDescent="0.25">
      <c r="I3146" t="str">
        <f t="shared" si="260"/>
        <v>kof2k4se</v>
      </c>
      <c r="J3146" t="str">
        <f t="shared" si="261"/>
        <v/>
      </c>
      <c r="L3146" t="str">
        <f t="shared" si="259"/>
        <v/>
      </c>
      <c r="M3146" t="str">
        <f t="shared" si="259"/>
        <v/>
      </c>
      <c r="N3146" t="str">
        <f t="shared" si="259"/>
        <v/>
      </c>
      <c r="O3146" t="str">
        <f t="shared" si="259"/>
        <v>Missing NeoGeo logo at startup</v>
      </c>
      <c r="P3146" t="str">
        <f t="shared" si="259"/>
        <v/>
      </c>
      <c r="T3146" t="str">
        <f t="shared" si="262"/>
        <v/>
      </c>
      <c r="V3146" t="str">
        <f t="shared" si="258"/>
        <v>MVS</v>
      </c>
      <c r="W3146" t="str">
        <f t="shared" si="258"/>
        <v>MVS</v>
      </c>
      <c r="AB3146" t="s">
        <v>34</v>
      </c>
      <c r="AE3146" t="s">
        <v>33</v>
      </c>
      <c r="AH3146" t="s">
        <v>585</v>
      </c>
      <c r="AI3146" t="s">
        <v>9</v>
      </c>
      <c r="AJ3146" t="s">
        <v>27</v>
      </c>
      <c r="AK3146" t="s">
        <v>584</v>
      </c>
      <c r="AL3146" t="s">
        <v>583</v>
      </c>
    </row>
    <row r="3147" spans="5:44" x14ac:dyDescent="0.25">
      <c r="I3147" t="str">
        <f t="shared" si="260"/>
        <v>kof2k4se</v>
      </c>
      <c r="J3147" t="str">
        <f t="shared" si="261"/>
        <v/>
      </c>
      <c r="L3147" t="str">
        <f t="shared" si="259"/>
        <v/>
      </c>
      <c r="M3147" t="str">
        <f t="shared" si="259"/>
        <v/>
      </c>
      <c r="N3147" t="str">
        <f t="shared" si="259"/>
        <v/>
      </c>
      <c r="O3147" t="str">
        <f t="shared" si="259"/>
        <v>Missing NeoGeo logo at startup</v>
      </c>
      <c r="P3147" t="str">
        <f t="shared" si="259"/>
        <v/>
      </c>
      <c r="T3147" t="str">
        <f t="shared" si="262"/>
        <v/>
      </c>
      <c r="V3147" t="str">
        <f t="shared" si="258"/>
        <v>MVS</v>
      </c>
      <c r="W3147" t="str">
        <f t="shared" si="258"/>
        <v>MVS</v>
      </c>
      <c r="AB3147" t="s">
        <v>29</v>
      </c>
      <c r="AE3147" t="s">
        <v>27</v>
      </c>
      <c r="AH3147" t="s">
        <v>582</v>
      </c>
      <c r="AI3147" t="s">
        <v>9</v>
      </c>
      <c r="AJ3147" t="s">
        <v>27</v>
      </c>
      <c r="AK3147" t="s">
        <v>581</v>
      </c>
      <c r="AL3147" t="s">
        <v>580</v>
      </c>
    </row>
    <row r="3148" spans="5:44" x14ac:dyDescent="0.25">
      <c r="I3148" t="str">
        <f t="shared" si="260"/>
        <v>kof2k4se</v>
      </c>
      <c r="J3148" t="str">
        <f t="shared" si="261"/>
        <v/>
      </c>
      <c r="L3148" t="str">
        <f t="shared" si="259"/>
        <v/>
      </c>
      <c r="M3148" t="str">
        <f t="shared" si="259"/>
        <v/>
      </c>
      <c r="N3148" t="str">
        <f t="shared" si="259"/>
        <v/>
      </c>
      <c r="O3148" t="str">
        <f t="shared" si="259"/>
        <v>Missing NeoGeo logo at startup</v>
      </c>
      <c r="P3148" t="str">
        <f t="shared" si="259"/>
        <v/>
      </c>
      <c r="T3148" t="str">
        <f t="shared" si="262"/>
        <v/>
      </c>
      <c r="V3148" t="str">
        <f t="shared" si="258"/>
        <v>MVS</v>
      </c>
      <c r="W3148" t="str">
        <f t="shared" si="258"/>
        <v>MVS</v>
      </c>
      <c r="AB3148" t="s">
        <v>24</v>
      </c>
      <c r="AE3148" t="s">
        <v>65</v>
      </c>
      <c r="AH3148" t="s">
        <v>579</v>
      </c>
      <c r="AI3148" t="s">
        <v>9</v>
      </c>
      <c r="AJ3148" t="s">
        <v>57</v>
      </c>
      <c r="AK3148" t="s">
        <v>578</v>
      </c>
      <c r="AL3148" t="s">
        <v>577</v>
      </c>
    </row>
    <row r="3149" spans="5:44" x14ac:dyDescent="0.25">
      <c r="I3149" t="str">
        <f t="shared" si="260"/>
        <v>kof2k4se</v>
      </c>
      <c r="J3149" t="str">
        <f t="shared" si="261"/>
        <v/>
      </c>
      <c r="L3149" t="str">
        <f t="shared" si="259"/>
        <v/>
      </c>
      <c r="M3149" t="str">
        <f t="shared" si="259"/>
        <v/>
      </c>
      <c r="N3149" t="str">
        <f t="shared" si="259"/>
        <v/>
      </c>
      <c r="O3149" t="str">
        <f t="shared" si="259"/>
        <v>Missing NeoGeo logo at startup</v>
      </c>
      <c r="P3149" t="str">
        <f t="shared" si="259"/>
        <v/>
      </c>
      <c r="T3149" t="str">
        <f t="shared" si="262"/>
        <v/>
      </c>
      <c r="V3149" t="str">
        <f t="shared" si="258"/>
        <v>MVS</v>
      </c>
      <c r="W3149" t="str">
        <f t="shared" si="258"/>
        <v>MVS</v>
      </c>
      <c r="AH3149" t="s">
        <v>576</v>
      </c>
      <c r="AI3149" t="s">
        <v>57</v>
      </c>
      <c r="AJ3149" t="s">
        <v>57</v>
      </c>
      <c r="AK3149" t="s">
        <v>575</v>
      </c>
      <c r="AL3149" t="s">
        <v>574</v>
      </c>
    </row>
    <row r="3150" spans="5:44" x14ac:dyDescent="0.25">
      <c r="I3150" t="str">
        <f t="shared" si="260"/>
        <v>kof2k4se</v>
      </c>
      <c r="J3150" t="str">
        <f t="shared" si="261"/>
        <v/>
      </c>
      <c r="L3150" t="str">
        <f t="shared" si="259"/>
        <v/>
      </c>
      <c r="M3150" t="str">
        <f t="shared" si="259"/>
        <v/>
      </c>
      <c r="N3150" t="str">
        <f t="shared" si="259"/>
        <v/>
      </c>
      <c r="O3150" t="str">
        <f t="shared" si="259"/>
        <v>Missing NeoGeo logo at startup</v>
      </c>
      <c r="P3150" t="str">
        <f t="shared" si="259"/>
        <v/>
      </c>
      <c r="T3150" t="str">
        <f t="shared" si="262"/>
        <v/>
      </c>
      <c r="V3150" t="str">
        <f t="shared" si="258"/>
        <v>MVS</v>
      </c>
      <c r="W3150" t="str">
        <f t="shared" si="258"/>
        <v>MVS</v>
      </c>
      <c r="AB3150" t="s">
        <v>12</v>
      </c>
      <c r="AE3150" t="s">
        <v>175</v>
      </c>
      <c r="AG3150" t="s">
        <v>6</v>
      </c>
      <c r="AH3150" t="s">
        <v>573</v>
      </c>
      <c r="AI3150" t="s">
        <v>9</v>
      </c>
      <c r="AJ3150" t="s">
        <v>57</v>
      </c>
      <c r="AK3150" t="s">
        <v>572</v>
      </c>
      <c r="AL3150" t="s">
        <v>571</v>
      </c>
    </row>
    <row r="3151" spans="5:44" x14ac:dyDescent="0.25">
      <c r="I3151" t="str">
        <f t="shared" si="260"/>
        <v>kof2k4se</v>
      </c>
      <c r="J3151" t="str">
        <f t="shared" si="261"/>
        <v/>
      </c>
      <c r="L3151" t="str">
        <f t="shared" si="259"/>
        <v/>
      </c>
      <c r="M3151" t="str">
        <f t="shared" si="259"/>
        <v/>
      </c>
      <c r="N3151" t="str">
        <f t="shared" si="259"/>
        <v/>
      </c>
      <c r="O3151" t="str">
        <f t="shared" si="259"/>
        <v>Missing NeoGeo logo at startup</v>
      </c>
      <c r="P3151" t="str">
        <f t="shared" si="259"/>
        <v/>
      </c>
      <c r="T3151" t="str">
        <f t="shared" si="262"/>
        <v/>
      </c>
      <c r="V3151" t="str">
        <f t="shared" si="258"/>
        <v>MVS</v>
      </c>
      <c r="W3151" t="str">
        <f t="shared" si="258"/>
        <v>MVS</v>
      </c>
      <c r="AG3151" t="s">
        <v>6</v>
      </c>
      <c r="AH3151" t="s">
        <v>570</v>
      </c>
      <c r="AI3151" t="s">
        <v>4</v>
      </c>
      <c r="AJ3151" t="s">
        <v>57</v>
      </c>
      <c r="AK3151" t="s">
        <v>569</v>
      </c>
      <c r="AL3151" t="s">
        <v>568</v>
      </c>
    </row>
    <row r="3152" spans="5:44" x14ac:dyDescent="0.25">
      <c r="I3152" t="str">
        <f t="shared" si="260"/>
        <v>kof2k4se</v>
      </c>
      <c r="J3152" t="str">
        <f t="shared" si="261"/>
        <v/>
      </c>
      <c r="L3152" t="str">
        <f t="shared" si="259"/>
        <v/>
      </c>
      <c r="M3152" t="str">
        <f t="shared" si="259"/>
        <v/>
      </c>
      <c r="N3152" t="str">
        <f t="shared" si="259"/>
        <v/>
      </c>
      <c r="O3152" t="str">
        <f t="shared" si="259"/>
        <v>Missing NeoGeo logo at startup</v>
      </c>
      <c r="P3152" t="str">
        <f t="shared" si="259"/>
        <v/>
      </c>
      <c r="T3152" t="str">
        <f t="shared" si="262"/>
        <v/>
      </c>
      <c r="V3152" t="str">
        <f t="shared" si="258"/>
        <v>MVS</v>
      </c>
      <c r="W3152" t="str">
        <f t="shared" si="258"/>
        <v>MVS</v>
      </c>
      <c r="AG3152" t="s">
        <v>6</v>
      </c>
      <c r="AH3152" t="s">
        <v>567</v>
      </c>
      <c r="AI3152" t="s">
        <v>65</v>
      </c>
      <c r="AJ3152" t="s">
        <v>57</v>
      </c>
      <c r="AK3152" t="s">
        <v>566</v>
      </c>
      <c r="AL3152" t="s">
        <v>565</v>
      </c>
    </row>
    <row r="3153" spans="5:44" x14ac:dyDescent="0.25">
      <c r="I3153" t="str">
        <f t="shared" si="260"/>
        <v>kof2k4se</v>
      </c>
      <c r="J3153" t="str">
        <f t="shared" si="261"/>
        <v/>
      </c>
      <c r="L3153" t="str">
        <f t="shared" si="259"/>
        <v/>
      </c>
      <c r="M3153" t="str">
        <f t="shared" si="259"/>
        <v/>
      </c>
      <c r="N3153" t="str">
        <f t="shared" si="259"/>
        <v/>
      </c>
      <c r="O3153" t="str">
        <f t="shared" si="259"/>
        <v>Missing NeoGeo logo at startup</v>
      </c>
      <c r="P3153" t="str">
        <f t="shared" si="259"/>
        <v/>
      </c>
      <c r="T3153" t="str">
        <f t="shared" si="262"/>
        <v/>
      </c>
      <c r="V3153" t="str">
        <f t="shared" si="258"/>
        <v>MVS</v>
      </c>
      <c r="W3153" t="str">
        <f t="shared" si="258"/>
        <v>MVS</v>
      </c>
      <c r="AG3153" t="s">
        <v>6</v>
      </c>
      <c r="AH3153" t="s">
        <v>564</v>
      </c>
      <c r="AI3153" t="s">
        <v>164</v>
      </c>
      <c r="AJ3153" t="s">
        <v>57</v>
      </c>
      <c r="AK3153" t="s">
        <v>563</v>
      </c>
      <c r="AL3153" t="s">
        <v>562</v>
      </c>
    </row>
    <row r="3154" spans="5:44" x14ac:dyDescent="0.25">
      <c r="I3154" t="str">
        <f t="shared" si="260"/>
        <v>kof2k4se</v>
      </c>
      <c r="J3154" t="str">
        <f t="shared" si="261"/>
        <v/>
      </c>
      <c r="L3154" t="str">
        <f t="shared" si="259"/>
        <v/>
      </c>
      <c r="M3154" t="str">
        <f t="shared" si="259"/>
        <v/>
      </c>
      <c r="N3154" t="str">
        <f t="shared" si="259"/>
        <v/>
      </c>
      <c r="O3154" t="str">
        <f t="shared" si="259"/>
        <v>Missing NeoGeo logo at startup</v>
      </c>
      <c r="P3154" t="str">
        <f t="shared" si="259"/>
        <v/>
      </c>
      <c r="T3154" t="str">
        <f t="shared" si="262"/>
        <v/>
      </c>
      <c r="V3154" t="str">
        <f t="shared" si="258"/>
        <v>MVS</v>
      </c>
      <c r="W3154" t="str">
        <f t="shared" si="258"/>
        <v>MVS</v>
      </c>
      <c r="AG3154" t="s">
        <v>6</v>
      </c>
      <c r="AH3154" t="s">
        <v>561</v>
      </c>
      <c r="AI3154" t="s">
        <v>160</v>
      </c>
      <c r="AJ3154" t="s">
        <v>57</v>
      </c>
      <c r="AK3154" t="s">
        <v>560</v>
      </c>
      <c r="AL3154" t="s">
        <v>559</v>
      </c>
    </row>
    <row r="3155" spans="5:44" x14ac:dyDescent="0.25">
      <c r="I3155" t="str">
        <f t="shared" si="260"/>
        <v>kof2k4se</v>
      </c>
      <c r="J3155" t="str">
        <f t="shared" si="261"/>
        <v/>
      </c>
      <c r="L3155" t="str">
        <f t="shared" si="259"/>
        <v/>
      </c>
      <c r="M3155" t="str">
        <f t="shared" si="259"/>
        <v/>
      </c>
      <c r="N3155" t="str">
        <f t="shared" si="259"/>
        <v/>
      </c>
      <c r="O3155" t="str">
        <f t="shared" si="259"/>
        <v>Missing NeoGeo logo at startup</v>
      </c>
      <c r="P3155" t="str">
        <f t="shared" si="259"/>
        <v/>
      </c>
      <c r="T3155" t="str">
        <f t="shared" si="262"/>
        <v/>
      </c>
      <c r="V3155" t="str">
        <f t="shared" si="258"/>
        <v>MVS</v>
      </c>
      <c r="W3155" t="str">
        <f t="shared" si="258"/>
        <v>MVS</v>
      </c>
      <c r="AG3155" t="s">
        <v>6</v>
      </c>
      <c r="AH3155" t="s">
        <v>558</v>
      </c>
      <c r="AI3155" t="s">
        <v>156</v>
      </c>
      <c r="AJ3155" t="s">
        <v>57</v>
      </c>
      <c r="AK3155" t="s">
        <v>557</v>
      </c>
      <c r="AL3155" t="s">
        <v>556</v>
      </c>
    </row>
    <row r="3156" spans="5:44" x14ac:dyDescent="0.25">
      <c r="I3156" t="str">
        <f t="shared" si="260"/>
        <v>kof2k4se</v>
      </c>
      <c r="J3156" t="str">
        <f t="shared" si="261"/>
        <v/>
      </c>
      <c r="L3156" t="str">
        <f t="shared" si="259"/>
        <v/>
      </c>
      <c r="M3156" t="str">
        <f t="shared" si="259"/>
        <v/>
      </c>
      <c r="N3156" t="str">
        <f t="shared" si="259"/>
        <v/>
      </c>
      <c r="O3156" t="str">
        <f t="shared" si="259"/>
        <v>Missing NeoGeo logo at startup</v>
      </c>
      <c r="P3156" t="str">
        <f t="shared" si="259"/>
        <v/>
      </c>
      <c r="T3156" t="str">
        <f t="shared" si="262"/>
        <v/>
      </c>
      <c r="V3156" t="str">
        <f t="shared" si="258"/>
        <v>MVS</v>
      </c>
      <c r="W3156" t="str">
        <f t="shared" si="258"/>
        <v>MVS</v>
      </c>
      <c r="AG3156" t="s">
        <v>6</v>
      </c>
      <c r="AH3156" t="s">
        <v>555</v>
      </c>
      <c r="AI3156" t="s">
        <v>152</v>
      </c>
      <c r="AJ3156" t="s">
        <v>57</v>
      </c>
      <c r="AK3156" t="s">
        <v>554</v>
      </c>
      <c r="AL3156" t="s">
        <v>553</v>
      </c>
    </row>
    <row r="3157" spans="5:44" x14ac:dyDescent="0.25">
      <c r="I3157" t="str">
        <f t="shared" si="260"/>
        <v>kof2k4se</v>
      </c>
      <c r="J3157" t="str">
        <f t="shared" si="261"/>
        <v/>
      </c>
      <c r="L3157" t="str">
        <f t="shared" si="259"/>
        <v/>
      </c>
      <c r="M3157" t="str">
        <f t="shared" si="259"/>
        <v/>
      </c>
      <c r="N3157" t="str">
        <f t="shared" si="259"/>
        <v/>
      </c>
      <c r="O3157" t="str">
        <f t="shared" si="259"/>
        <v>Missing NeoGeo logo at startup</v>
      </c>
      <c r="P3157" t="str">
        <f t="shared" si="259"/>
        <v/>
      </c>
      <c r="T3157" t="str">
        <f t="shared" si="262"/>
        <v/>
      </c>
      <c r="V3157" t="str">
        <f t="shared" si="258"/>
        <v>MVS</v>
      </c>
      <c r="W3157" t="str">
        <f t="shared" si="258"/>
        <v>MVS</v>
      </c>
      <c r="AG3157" t="s">
        <v>6</v>
      </c>
      <c r="AH3157" t="s">
        <v>552</v>
      </c>
      <c r="AI3157" t="s">
        <v>148</v>
      </c>
      <c r="AJ3157" t="s">
        <v>57</v>
      </c>
      <c r="AK3157" t="s">
        <v>551</v>
      </c>
      <c r="AL3157" t="s">
        <v>550</v>
      </c>
    </row>
    <row r="3158" spans="5:44" x14ac:dyDescent="0.25">
      <c r="E3158" t="s">
        <v>549</v>
      </c>
      <c r="F3158" t="s">
        <v>548</v>
      </c>
      <c r="G3158" t="s">
        <v>547</v>
      </c>
      <c r="H3158" t="s">
        <v>194</v>
      </c>
      <c r="I3158" t="str">
        <f t="shared" si="260"/>
        <v>matrimbl</v>
      </c>
      <c r="J3158" t="str">
        <f t="shared" si="261"/>
        <v/>
      </c>
      <c r="L3158" t="str">
        <f t="shared" si="259"/>
        <v/>
      </c>
      <c r="M3158" t="str">
        <f t="shared" si="259"/>
        <v/>
      </c>
      <c r="N3158" t="str">
        <f t="shared" si="259"/>
        <v/>
      </c>
      <c r="O3158" t="str">
        <f t="shared" si="259"/>
        <v/>
      </c>
      <c r="P3158" t="str">
        <f t="shared" si="259"/>
        <v/>
      </c>
      <c r="S3158" t="s">
        <v>46</v>
      </c>
      <c r="T3158" t="str">
        <f t="shared" si="262"/>
        <v>matrimblrelease</v>
      </c>
      <c r="U3158" t="s">
        <v>106</v>
      </c>
      <c r="V3158" t="str">
        <f t="shared" si="258"/>
        <v>MVS</v>
      </c>
      <c r="W3158" t="str">
        <f t="shared" si="258"/>
        <v>MVS,AES</v>
      </c>
      <c r="Y3158" t="s">
        <v>45</v>
      </c>
      <c r="Z3158" t="s">
        <v>44</v>
      </c>
      <c r="AB3158" t="s">
        <v>43</v>
      </c>
      <c r="AC3158" t="s">
        <v>42</v>
      </c>
      <c r="AD3158" t="s">
        <v>41</v>
      </c>
      <c r="AE3158" t="s">
        <v>23</v>
      </c>
      <c r="AG3158" t="s">
        <v>40</v>
      </c>
      <c r="AH3158" t="s">
        <v>546</v>
      </c>
      <c r="AI3158" t="s">
        <v>9</v>
      </c>
      <c r="AJ3158" t="s">
        <v>15</v>
      </c>
      <c r="AK3158" t="s">
        <v>545</v>
      </c>
      <c r="AL3158" t="s">
        <v>544</v>
      </c>
      <c r="AP3158" t="s">
        <v>138</v>
      </c>
      <c r="AQ3158" t="s">
        <v>543</v>
      </c>
      <c r="AR3158" t="s">
        <v>542</v>
      </c>
    </row>
    <row r="3159" spans="5:44" x14ac:dyDescent="0.25">
      <c r="I3159" t="str">
        <f t="shared" si="260"/>
        <v>matrimbl</v>
      </c>
      <c r="J3159" t="str">
        <f t="shared" si="261"/>
        <v/>
      </c>
      <c r="L3159" t="str">
        <f t="shared" si="259"/>
        <v/>
      </c>
      <c r="M3159" t="str">
        <f t="shared" si="259"/>
        <v/>
      </c>
      <c r="N3159" t="str">
        <f t="shared" si="259"/>
        <v/>
      </c>
      <c r="O3159" t="str">
        <f t="shared" si="259"/>
        <v/>
      </c>
      <c r="P3159" t="str">
        <f t="shared" si="259"/>
        <v/>
      </c>
      <c r="S3159" t="s">
        <v>36</v>
      </c>
      <c r="T3159" t="str">
        <f t="shared" si="262"/>
        <v>matrimblcompatibility</v>
      </c>
      <c r="U3159" t="s">
        <v>218</v>
      </c>
      <c r="V3159" t="str">
        <f t="shared" ref="V3159:W3222" si="263">IFERROR(VLOOKUP($I3159&amp;V$1,$T:$AA,2,0),"")</f>
        <v>MVS</v>
      </c>
      <c r="W3159" t="str">
        <f t="shared" si="263"/>
        <v>MVS,AES</v>
      </c>
      <c r="AG3159" t="s">
        <v>40</v>
      </c>
      <c r="AH3159" t="s">
        <v>541</v>
      </c>
      <c r="AI3159" t="s">
        <v>15</v>
      </c>
      <c r="AJ3159" t="s">
        <v>11</v>
      </c>
      <c r="AK3159" t="s">
        <v>540</v>
      </c>
      <c r="AL3159" t="s">
        <v>539</v>
      </c>
    </row>
    <row r="3160" spans="5:44" x14ac:dyDescent="0.25">
      <c r="I3160" t="str">
        <f t="shared" si="260"/>
        <v>matrimbl</v>
      </c>
      <c r="J3160" t="str">
        <f t="shared" si="261"/>
        <v/>
      </c>
      <c r="L3160" t="str">
        <f t="shared" si="259"/>
        <v/>
      </c>
      <c r="M3160" t="str">
        <f t="shared" si="259"/>
        <v/>
      </c>
      <c r="N3160" t="str">
        <f t="shared" si="259"/>
        <v/>
      </c>
      <c r="O3160" t="str">
        <f t="shared" si="259"/>
        <v/>
      </c>
      <c r="P3160" t="str">
        <f t="shared" si="259"/>
        <v/>
      </c>
      <c r="T3160" t="str">
        <f t="shared" si="262"/>
        <v/>
      </c>
      <c r="V3160" t="str">
        <f t="shared" si="263"/>
        <v>MVS</v>
      </c>
      <c r="W3160" t="str">
        <f t="shared" si="263"/>
        <v>MVS,AES</v>
      </c>
      <c r="AB3160" t="s">
        <v>34</v>
      </c>
      <c r="AE3160" t="s">
        <v>480</v>
      </c>
      <c r="AG3160" t="s">
        <v>538</v>
      </c>
      <c r="AI3160" t="s">
        <v>9</v>
      </c>
      <c r="AJ3160" t="s">
        <v>480</v>
      </c>
      <c r="AN3160" t="s">
        <v>537</v>
      </c>
    </row>
    <row r="3161" spans="5:44" x14ac:dyDescent="0.25">
      <c r="I3161" t="str">
        <f t="shared" si="260"/>
        <v>matrimbl</v>
      </c>
      <c r="J3161" t="str">
        <f t="shared" si="261"/>
        <v/>
      </c>
      <c r="L3161" t="str">
        <f t="shared" si="259"/>
        <v/>
      </c>
      <c r="M3161" t="str">
        <f t="shared" si="259"/>
        <v/>
      </c>
      <c r="N3161" t="str">
        <f t="shared" si="259"/>
        <v/>
      </c>
      <c r="O3161" t="str">
        <f t="shared" si="259"/>
        <v/>
      </c>
      <c r="P3161" t="str">
        <f t="shared" si="259"/>
        <v/>
      </c>
      <c r="T3161" t="str">
        <f t="shared" si="262"/>
        <v/>
      </c>
      <c r="V3161" t="str">
        <f t="shared" si="263"/>
        <v>MVS</v>
      </c>
      <c r="W3161" t="str">
        <f t="shared" si="263"/>
        <v>MVS,AES</v>
      </c>
      <c r="AB3161" t="s">
        <v>29</v>
      </c>
      <c r="AE3161" t="s">
        <v>27</v>
      </c>
      <c r="AH3161" t="s">
        <v>536</v>
      </c>
      <c r="AI3161" t="s">
        <v>9</v>
      </c>
      <c r="AJ3161" t="s">
        <v>27</v>
      </c>
      <c r="AK3161" t="s">
        <v>535</v>
      </c>
      <c r="AL3161" t="s">
        <v>534</v>
      </c>
    </row>
    <row r="3162" spans="5:44" x14ac:dyDescent="0.25">
      <c r="I3162" t="str">
        <f t="shared" si="260"/>
        <v>matrimbl</v>
      </c>
      <c r="J3162" t="str">
        <f t="shared" si="261"/>
        <v/>
      </c>
      <c r="L3162" t="str">
        <f t="shared" si="259"/>
        <v/>
      </c>
      <c r="M3162" t="str">
        <f t="shared" si="259"/>
        <v/>
      </c>
      <c r="N3162" t="str">
        <f t="shared" si="259"/>
        <v/>
      </c>
      <c r="O3162" t="str">
        <f t="shared" si="259"/>
        <v/>
      </c>
      <c r="P3162" t="str">
        <f t="shared" si="259"/>
        <v/>
      </c>
      <c r="T3162" t="str">
        <f t="shared" si="262"/>
        <v/>
      </c>
      <c r="V3162" t="str">
        <f t="shared" si="263"/>
        <v>MVS</v>
      </c>
      <c r="W3162" t="str">
        <f t="shared" si="263"/>
        <v>MVS,AES</v>
      </c>
      <c r="AB3162" t="s">
        <v>24</v>
      </c>
      <c r="AE3162" t="s">
        <v>65</v>
      </c>
      <c r="AH3162" t="s">
        <v>533</v>
      </c>
      <c r="AI3162" t="s">
        <v>9</v>
      </c>
      <c r="AJ3162" t="s">
        <v>11</v>
      </c>
      <c r="AK3162" t="s">
        <v>532</v>
      </c>
      <c r="AL3162" t="s">
        <v>531</v>
      </c>
    </row>
    <row r="3163" spans="5:44" x14ac:dyDescent="0.25">
      <c r="I3163" t="str">
        <f t="shared" si="260"/>
        <v>matrimbl</v>
      </c>
      <c r="J3163" t="str">
        <f t="shared" si="261"/>
        <v/>
      </c>
      <c r="L3163" t="str">
        <f t="shared" si="259"/>
        <v/>
      </c>
      <c r="M3163" t="str">
        <f t="shared" si="259"/>
        <v/>
      </c>
      <c r="N3163" t="str">
        <f t="shared" si="259"/>
        <v/>
      </c>
      <c r="O3163" t="str">
        <f t="shared" si="259"/>
        <v/>
      </c>
      <c r="P3163" t="str">
        <f t="shared" si="259"/>
        <v/>
      </c>
      <c r="T3163" t="str">
        <f t="shared" si="262"/>
        <v/>
      </c>
      <c r="V3163" t="str">
        <f t="shared" si="263"/>
        <v>MVS</v>
      </c>
      <c r="W3163" t="str">
        <f t="shared" si="263"/>
        <v>MVS,AES</v>
      </c>
      <c r="AG3163" t="s">
        <v>40</v>
      </c>
      <c r="AH3163" t="s">
        <v>530</v>
      </c>
      <c r="AI3163" t="s">
        <v>11</v>
      </c>
      <c r="AJ3163" t="s">
        <v>11</v>
      </c>
      <c r="AK3163" t="s">
        <v>529</v>
      </c>
      <c r="AL3163" t="s">
        <v>528</v>
      </c>
    </row>
    <row r="3164" spans="5:44" x14ac:dyDescent="0.25">
      <c r="I3164" t="str">
        <f t="shared" si="260"/>
        <v>matrimbl</v>
      </c>
      <c r="J3164" t="str">
        <f t="shared" si="261"/>
        <v/>
      </c>
      <c r="L3164" t="str">
        <f t="shared" si="259"/>
        <v/>
      </c>
      <c r="M3164" t="str">
        <f t="shared" si="259"/>
        <v/>
      </c>
      <c r="N3164" t="str">
        <f t="shared" si="259"/>
        <v/>
      </c>
      <c r="O3164" t="str">
        <f t="shared" si="259"/>
        <v/>
      </c>
      <c r="P3164" t="str">
        <f t="shared" si="259"/>
        <v/>
      </c>
      <c r="T3164" t="str">
        <f t="shared" si="262"/>
        <v/>
      </c>
      <c r="V3164" t="str">
        <f t="shared" si="263"/>
        <v>MVS</v>
      </c>
      <c r="W3164" t="str">
        <f t="shared" si="263"/>
        <v>MVS,AES</v>
      </c>
      <c r="AH3164" t="s">
        <v>527</v>
      </c>
      <c r="AI3164" t="s">
        <v>57</v>
      </c>
      <c r="AJ3164" t="s">
        <v>11</v>
      </c>
      <c r="AK3164" t="s">
        <v>526</v>
      </c>
      <c r="AL3164" t="s">
        <v>525</v>
      </c>
    </row>
    <row r="3165" spans="5:44" x14ac:dyDescent="0.25">
      <c r="I3165" t="str">
        <f t="shared" si="260"/>
        <v>matrimbl</v>
      </c>
      <c r="J3165" t="str">
        <f t="shared" si="261"/>
        <v/>
      </c>
      <c r="L3165" t="str">
        <f t="shared" si="259"/>
        <v/>
      </c>
      <c r="M3165" t="str">
        <f t="shared" si="259"/>
        <v/>
      </c>
      <c r="N3165" t="str">
        <f t="shared" si="259"/>
        <v/>
      </c>
      <c r="O3165" t="str">
        <f t="shared" si="259"/>
        <v/>
      </c>
      <c r="P3165" t="str">
        <f t="shared" si="259"/>
        <v/>
      </c>
      <c r="T3165" t="str">
        <f t="shared" si="262"/>
        <v/>
      </c>
      <c r="V3165" t="str">
        <f t="shared" si="263"/>
        <v>MVS</v>
      </c>
      <c r="W3165" t="str">
        <f t="shared" si="263"/>
        <v>MVS,AES</v>
      </c>
      <c r="AG3165" t="s">
        <v>40</v>
      </c>
      <c r="AH3165" t="s">
        <v>524</v>
      </c>
      <c r="AI3165" t="s">
        <v>250</v>
      </c>
      <c r="AJ3165" t="s">
        <v>11</v>
      </c>
      <c r="AK3165" t="s">
        <v>523</v>
      </c>
      <c r="AL3165" t="s">
        <v>522</v>
      </c>
    </row>
    <row r="3166" spans="5:44" x14ac:dyDescent="0.25">
      <c r="I3166" t="str">
        <f t="shared" si="260"/>
        <v>matrimbl</v>
      </c>
      <c r="J3166" t="str">
        <f t="shared" si="261"/>
        <v/>
      </c>
      <c r="L3166" t="str">
        <f t="shared" si="259"/>
        <v/>
      </c>
      <c r="M3166" t="str">
        <f t="shared" si="259"/>
        <v/>
      </c>
      <c r="N3166" t="str">
        <f t="shared" si="259"/>
        <v/>
      </c>
      <c r="O3166" t="str">
        <f t="shared" si="259"/>
        <v/>
      </c>
      <c r="P3166" t="str">
        <f t="shared" si="259"/>
        <v/>
      </c>
      <c r="T3166" t="str">
        <f t="shared" si="262"/>
        <v/>
      </c>
      <c r="V3166" t="str">
        <f t="shared" si="263"/>
        <v>MVS</v>
      </c>
      <c r="W3166" t="str">
        <f t="shared" si="263"/>
        <v>MVS,AES</v>
      </c>
      <c r="AB3166" t="s">
        <v>12</v>
      </c>
      <c r="AE3166" t="s">
        <v>175</v>
      </c>
      <c r="AG3166" t="s">
        <v>6</v>
      </c>
      <c r="AH3166" t="s">
        <v>521</v>
      </c>
      <c r="AI3166" t="s">
        <v>9</v>
      </c>
      <c r="AJ3166" t="s">
        <v>57</v>
      </c>
      <c r="AK3166" t="s">
        <v>520</v>
      </c>
      <c r="AL3166" t="s">
        <v>519</v>
      </c>
    </row>
    <row r="3167" spans="5:44" x14ac:dyDescent="0.25">
      <c r="I3167" t="str">
        <f t="shared" si="260"/>
        <v>matrimbl</v>
      </c>
      <c r="J3167" t="str">
        <f t="shared" si="261"/>
        <v/>
      </c>
      <c r="L3167" t="str">
        <f t="shared" si="259"/>
        <v/>
      </c>
      <c r="M3167" t="str">
        <f t="shared" si="259"/>
        <v/>
      </c>
      <c r="N3167" t="str">
        <f t="shared" si="259"/>
        <v/>
      </c>
      <c r="O3167" t="str">
        <f t="shared" si="259"/>
        <v/>
      </c>
      <c r="P3167" t="str">
        <f t="shared" si="259"/>
        <v/>
      </c>
      <c r="T3167" t="str">
        <f t="shared" si="262"/>
        <v/>
      </c>
      <c r="V3167" t="str">
        <f t="shared" si="263"/>
        <v>MVS</v>
      </c>
      <c r="W3167" t="str">
        <f t="shared" si="263"/>
        <v>MVS,AES</v>
      </c>
      <c r="AG3167" t="s">
        <v>6</v>
      </c>
      <c r="AH3167" t="s">
        <v>518</v>
      </c>
      <c r="AI3167" t="s">
        <v>4</v>
      </c>
      <c r="AJ3167" t="s">
        <v>57</v>
      </c>
      <c r="AK3167" t="s">
        <v>517</v>
      </c>
      <c r="AL3167" t="s">
        <v>516</v>
      </c>
    </row>
    <row r="3168" spans="5:44" x14ac:dyDescent="0.25">
      <c r="I3168" t="str">
        <f t="shared" si="260"/>
        <v>matrimbl</v>
      </c>
      <c r="J3168" t="str">
        <f t="shared" si="261"/>
        <v/>
      </c>
      <c r="L3168" t="str">
        <f t="shared" si="259"/>
        <v/>
      </c>
      <c r="M3168" t="str">
        <f t="shared" si="259"/>
        <v/>
      </c>
      <c r="N3168" t="str">
        <f t="shared" si="259"/>
        <v/>
      </c>
      <c r="O3168" t="str">
        <f t="shared" si="259"/>
        <v/>
      </c>
      <c r="P3168" t="str">
        <f t="shared" si="259"/>
        <v/>
      </c>
      <c r="T3168" t="str">
        <f t="shared" si="262"/>
        <v/>
      </c>
      <c r="V3168" t="str">
        <f t="shared" si="263"/>
        <v>MVS</v>
      </c>
      <c r="W3168" t="str">
        <f t="shared" si="263"/>
        <v>MVS,AES</v>
      </c>
      <c r="AG3168" t="s">
        <v>6</v>
      </c>
      <c r="AH3168" t="s">
        <v>515</v>
      </c>
      <c r="AI3168" t="s">
        <v>65</v>
      </c>
      <c r="AJ3168" t="s">
        <v>57</v>
      </c>
      <c r="AK3168" t="s">
        <v>514</v>
      </c>
      <c r="AL3168" t="s">
        <v>513</v>
      </c>
    </row>
    <row r="3169" spans="5:44" x14ac:dyDescent="0.25">
      <c r="I3169" t="str">
        <f t="shared" si="260"/>
        <v>matrimbl</v>
      </c>
      <c r="J3169" t="str">
        <f t="shared" si="261"/>
        <v/>
      </c>
      <c r="L3169" t="str">
        <f t="shared" si="259"/>
        <v/>
      </c>
      <c r="M3169" t="str">
        <f t="shared" si="259"/>
        <v/>
      </c>
      <c r="N3169" t="str">
        <f t="shared" si="259"/>
        <v/>
      </c>
      <c r="O3169" t="str">
        <f t="shared" si="259"/>
        <v/>
      </c>
      <c r="P3169" t="str">
        <f t="shared" si="259"/>
        <v/>
      </c>
      <c r="T3169" t="str">
        <f t="shared" si="262"/>
        <v/>
      </c>
      <c r="V3169" t="str">
        <f t="shared" si="263"/>
        <v>MVS</v>
      </c>
      <c r="W3169" t="str">
        <f t="shared" si="263"/>
        <v>MVS,AES</v>
      </c>
      <c r="AG3169" t="s">
        <v>6</v>
      </c>
      <c r="AH3169" t="s">
        <v>512</v>
      </c>
      <c r="AI3169" t="s">
        <v>164</v>
      </c>
      <c r="AJ3169" t="s">
        <v>57</v>
      </c>
      <c r="AK3169" t="s">
        <v>511</v>
      </c>
      <c r="AL3169" t="s">
        <v>510</v>
      </c>
    </row>
    <row r="3170" spans="5:44" x14ac:dyDescent="0.25">
      <c r="I3170" t="str">
        <f t="shared" si="260"/>
        <v>matrimbl</v>
      </c>
      <c r="J3170" t="str">
        <f t="shared" si="261"/>
        <v/>
      </c>
      <c r="L3170" t="str">
        <f t="shared" si="259"/>
        <v/>
      </c>
      <c r="M3170" t="str">
        <f t="shared" si="259"/>
        <v/>
      </c>
      <c r="N3170" t="str">
        <f t="shared" si="259"/>
        <v/>
      </c>
      <c r="O3170" t="str">
        <f t="shared" si="259"/>
        <v/>
      </c>
      <c r="P3170" t="str">
        <f t="shared" si="259"/>
        <v/>
      </c>
      <c r="T3170" t="str">
        <f t="shared" si="262"/>
        <v/>
      </c>
      <c r="V3170" t="str">
        <f t="shared" si="263"/>
        <v>MVS</v>
      </c>
      <c r="W3170" t="str">
        <f t="shared" si="263"/>
        <v>MVS,AES</v>
      </c>
      <c r="AG3170" t="s">
        <v>6</v>
      </c>
      <c r="AH3170" t="s">
        <v>509</v>
      </c>
      <c r="AI3170" t="s">
        <v>160</v>
      </c>
      <c r="AJ3170" t="s">
        <v>57</v>
      </c>
      <c r="AK3170" t="s">
        <v>508</v>
      </c>
      <c r="AL3170" t="s">
        <v>507</v>
      </c>
    </row>
    <row r="3171" spans="5:44" x14ac:dyDescent="0.25">
      <c r="I3171" t="str">
        <f t="shared" si="260"/>
        <v>matrimbl</v>
      </c>
      <c r="J3171" t="str">
        <f t="shared" si="261"/>
        <v/>
      </c>
      <c r="L3171" t="str">
        <f t="shared" si="259"/>
        <v/>
      </c>
      <c r="M3171" t="str">
        <f t="shared" si="259"/>
        <v/>
      </c>
      <c r="N3171" t="str">
        <f t="shared" si="259"/>
        <v/>
      </c>
      <c r="O3171" t="str">
        <f t="shared" si="259"/>
        <v/>
      </c>
      <c r="P3171" t="str">
        <f t="shared" si="259"/>
        <v/>
      </c>
      <c r="T3171" t="str">
        <f t="shared" si="262"/>
        <v/>
      </c>
      <c r="V3171" t="str">
        <f t="shared" si="263"/>
        <v>MVS</v>
      </c>
      <c r="W3171" t="str">
        <f t="shared" si="263"/>
        <v>MVS,AES</v>
      </c>
      <c r="AG3171" t="s">
        <v>6</v>
      </c>
      <c r="AH3171" t="s">
        <v>506</v>
      </c>
      <c r="AI3171" t="s">
        <v>156</v>
      </c>
      <c r="AJ3171" t="s">
        <v>57</v>
      </c>
      <c r="AK3171" t="s">
        <v>505</v>
      </c>
      <c r="AL3171" t="s">
        <v>504</v>
      </c>
    </row>
    <row r="3172" spans="5:44" x14ac:dyDescent="0.25">
      <c r="I3172" t="str">
        <f t="shared" si="260"/>
        <v>matrimbl</v>
      </c>
      <c r="J3172" t="str">
        <f t="shared" si="261"/>
        <v/>
      </c>
      <c r="L3172" t="str">
        <f t="shared" si="259"/>
        <v/>
      </c>
      <c r="M3172" t="str">
        <f t="shared" si="259"/>
        <v/>
      </c>
      <c r="N3172" t="str">
        <f t="shared" si="259"/>
        <v/>
      </c>
      <c r="O3172" t="str">
        <f t="shared" si="259"/>
        <v/>
      </c>
      <c r="P3172" t="str">
        <f t="shared" si="259"/>
        <v/>
      </c>
      <c r="T3172" t="str">
        <f t="shared" si="262"/>
        <v/>
      </c>
      <c r="V3172" t="str">
        <f t="shared" si="263"/>
        <v>MVS</v>
      </c>
      <c r="W3172" t="str">
        <f t="shared" si="263"/>
        <v>MVS,AES</v>
      </c>
      <c r="AG3172" t="s">
        <v>6</v>
      </c>
      <c r="AH3172" t="s">
        <v>503</v>
      </c>
      <c r="AI3172" t="s">
        <v>152</v>
      </c>
      <c r="AJ3172" t="s">
        <v>57</v>
      </c>
      <c r="AK3172" t="s">
        <v>502</v>
      </c>
      <c r="AL3172" t="s">
        <v>501</v>
      </c>
    </row>
    <row r="3173" spans="5:44" x14ac:dyDescent="0.25">
      <c r="I3173" t="str">
        <f t="shared" si="260"/>
        <v>matrimbl</v>
      </c>
      <c r="J3173" t="str">
        <f t="shared" si="261"/>
        <v/>
      </c>
      <c r="L3173" t="str">
        <f t="shared" si="259"/>
        <v/>
      </c>
      <c r="M3173" t="str">
        <f t="shared" si="259"/>
        <v/>
      </c>
      <c r="N3173" t="str">
        <f t="shared" si="259"/>
        <v/>
      </c>
      <c r="O3173" t="str">
        <f t="shared" si="259"/>
        <v/>
      </c>
      <c r="P3173" t="str">
        <f t="shared" si="259"/>
        <v/>
      </c>
      <c r="T3173" t="str">
        <f t="shared" si="262"/>
        <v/>
      </c>
      <c r="V3173" t="str">
        <f t="shared" si="263"/>
        <v>MVS</v>
      </c>
      <c r="W3173" t="str">
        <f t="shared" si="263"/>
        <v>MVS,AES</v>
      </c>
      <c r="AG3173" t="s">
        <v>6</v>
      </c>
      <c r="AH3173" t="s">
        <v>500</v>
      </c>
      <c r="AI3173" t="s">
        <v>148</v>
      </c>
      <c r="AJ3173" t="s">
        <v>57</v>
      </c>
      <c r="AK3173" t="s">
        <v>499</v>
      </c>
      <c r="AL3173" t="s">
        <v>498</v>
      </c>
    </row>
    <row r="3174" spans="5:44" x14ac:dyDescent="0.25">
      <c r="E3174" t="s">
        <v>497</v>
      </c>
      <c r="F3174" t="s">
        <v>496</v>
      </c>
      <c r="G3174" t="s">
        <v>195</v>
      </c>
      <c r="H3174" t="s">
        <v>194</v>
      </c>
      <c r="I3174" t="str">
        <f t="shared" si="260"/>
        <v>ms5plus</v>
      </c>
      <c r="J3174" t="str">
        <f t="shared" si="261"/>
        <v>ms5pluscompat_note</v>
      </c>
      <c r="K3174" t="s">
        <v>111</v>
      </c>
      <c r="L3174" t="str">
        <f t="shared" si="259"/>
        <v/>
      </c>
      <c r="M3174" t="str">
        <f t="shared" si="259"/>
        <v/>
      </c>
      <c r="N3174" t="str">
        <f t="shared" si="259"/>
        <v/>
      </c>
      <c r="O3174" t="str">
        <f t="shared" si="259"/>
        <v>Plus text remains on screen during gameplay</v>
      </c>
      <c r="P3174" t="str">
        <f t="shared" si="259"/>
        <v/>
      </c>
      <c r="Q3174" t="s">
        <v>212</v>
      </c>
      <c r="S3174" t="s">
        <v>46</v>
      </c>
      <c r="T3174" t="str">
        <f t="shared" si="262"/>
        <v>ms5plusrelease</v>
      </c>
      <c r="U3174" t="s">
        <v>106</v>
      </c>
      <c r="V3174" t="str">
        <f t="shared" si="263"/>
        <v>MVS</v>
      </c>
      <c r="W3174" t="str">
        <f t="shared" si="263"/>
        <v>MVS</v>
      </c>
      <c r="Y3174" t="s">
        <v>45</v>
      </c>
      <c r="Z3174" t="s">
        <v>44</v>
      </c>
      <c r="AB3174" t="s">
        <v>43</v>
      </c>
      <c r="AC3174" t="s">
        <v>42</v>
      </c>
      <c r="AD3174" t="s">
        <v>41</v>
      </c>
      <c r="AE3174" t="s">
        <v>23</v>
      </c>
      <c r="AG3174" t="s">
        <v>40</v>
      </c>
      <c r="AH3174" t="s">
        <v>495</v>
      </c>
      <c r="AI3174" t="s">
        <v>9</v>
      </c>
      <c r="AJ3174" t="s">
        <v>15</v>
      </c>
      <c r="AK3174" t="s">
        <v>494</v>
      </c>
      <c r="AL3174" t="s">
        <v>493</v>
      </c>
      <c r="AP3174" t="s">
        <v>138</v>
      </c>
      <c r="AQ3174" t="s">
        <v>492</v>
      </c>
      <c r="AR3174" t="s">
        <v>441</v>
      </c>
    </row>
    <row r="3175" spans="5:44" x14ac:dyDescent="0.25">
      <c r="I3175" t="str">
        <f t="shared" si="260"/>
        <v>ms5plus</v>
      </c>
      <c r="J3175" t="str">
        <f t="shared" si="261"/>
        <v/>
      </c>
      <c r="L3175" t="str">
        <f t="shared" si="259"/>
        <v/>
      </c>
      <c r="M3175" t="str">
        <f t="shared" si="259"/>
        <v/>
      </c>
      <c r="N3175" t="str">
        <f t="shared" si="259"/>
        <v/>
      </c>
      <c r="O3175" t="str">
        <f t="shared" si="259"/>
        <v>Plus text remains on screen during gameplay</v>
      </c>
      <c r="P3175" t="str">
        <f t="shared" si="259"/>
        <v/>
      </c>
      <c r="S3175" t="s">
        <v>36</v>
      </c>
      <c r="T3175" t="str">
        <f t="shared" si="262"/>
        <v>ms5pluscompatibility</v>
      </c>
      <c r="U3175" t="s">
        <v>106</v>
      </c>
      <c r="V3175" t="str">
        <f t="shared" si="263"/>
        <v>MVS</v>
      </c>
      <c r="W3175" t="str">
        <f t="shared" si="263"/>
        <v>MVS</v>
      </c>
      <c r="AG3175" t="s">
        <v>40</v>
      </c>
      <c r="AH3175" t="s">
        <v>491</v>
      </c>
      <c r="AI3175" t="s">
        <v>15</v>
      </c>
      <c r="AJ3175" t="s">
        <v>3</v>
      </c>
      <c r="AK3175" t="s">
        <v>490</v>
      </c>
      <c r="AL3175" t="s">
        <v>489</v>
      </c>
    </row>
    <row r="3176" spans="5:44" x14ac:dyDescent="0.25">
      <c r="I3176" t="str">
        <f t="shared" si="260"/>
        <v>ms5plus</v>
      </c>
      <c r="J3176" t="str">
        <f t="shared" si="261"/>
        <v/>
      </c>
      <c r="L3176" t="str">
        <f t="shared" si="259"/>
        <v/>
      </c>
      <c r="M3176" t="str">
        <f t="shared" si="259"/>
        <v/>
      </c>
      <c r="N3176" t="str">
        <f t="shared" si="259"/>
        <v/>
      </c>
      <c r="O3176" t="str">
        <f t="shared" si="259"/>
        <v>Plus text remains on screen during gameplay</v>
      </c>
      <c r="P3176" t="str">
        <f t="shared" si="259"/>
        <v/>
      </c>
      <c r="T3176" t="str">
        <f t="shared" si="262"/>
        <v/>
      </c>
      <c r="V3176" t="str">
        <f t="shared" si="263"/>
        <v>MVS</v>
      </c>
      <c r="W3176" t="str">
        <f t="shared" si="263"/>
        <v>MVS</v>
      </c>
      <c r="AG3176" t="s">
        <v>40</v>
      </c>
      <c r="AH3176" t="s">
        <v>488</v>
      </c>
      <c r="AI3176" t="s">
        <v>377</v>
      </c>
      <c r="AJ3176" t="s">
        <v>3</v>
      </c>
      <c r="AK3176" t="s">
        <v>487</v>
      </c>
      <c r="AL3176" t="s">
        <v>486</v>
      </c>
    </row>
    <row r="3177" spans="5:44" x14ac:dyDescent="0.25">
      <c r="I3177" t="str">
        <f t="shared" si="260"/>
        <v>ms5plus</v>
      </c>
      <c r="J3177" t="str">
        <f t="shared" si="261"/>
        <v/>
      </c>
      <c r="L3177" t="str">
        <f t="shared" ref="L3177:P3227" si="264">IFERROR(VLOOKUP($I3177&amp;L$1,$J:$Q,8,0),"")</f>
        <v/>
      </c>
      <c r="M3177" t="str">
        <f t="shared" si="264"/>
        <v/>
      </c>
      <c r="N3177" t="str">
        <f t="shared" si="264"/>
        <v/>
      </c>
      <c r="O3177" t="str">
        <f t="shared" si="264"/>
        <v>Plus text remains on screen during gameplay</v>
      </c>
      <c r="P3177" t="str">
        <f t="shared" si="264"/>
        <v/>
      </c>
      <c r="T3177" t="str">
        <f t="shared" si="262"/>
        <v/>
      </c>
      <c r="V3177" t="str">
        <f t="shared" si="263"/>
        <v>MVS</v>
      </c>
      <c r="W3177" t="str">
        <f t="shared" si="263"/>
        <v>MVS</v>
      </c>
      <c r="AB3177" t="s">
        <v>34</v>
      </c>
      <c r="AE3177" t="s">
        <v>135</v>
      </c>
      <c r="AH3177" t="s">
        <v>485</v>
      </c>
      <c r="AI3177" t="s">
        <v>314</v>
      </c>
      <c r="AJ3177" t="s">
        <v>135</v>
      </c>
      <c r="AK3177" t="s">
        <v>484</v>
      </c>
      <c r="AL3177" t="s">
        <v>483</v>
      </c>
    </row>
    <row r="3178" spans="5:44" x14ac:dyDescent="0.25">
      <c r="I3178" t="str">
        <f t="shared" si="260"/>
        <v>ms5plus</v>
      </c>
      <c r="J3178" t="str">
        <f t="shared" si="261"/>
        <v/>
      </c>
      <c r="L3178" t="str">
        <f t="shared" si="264"/>
        <v/>
      </c>
      <c r="M3178" t="str">
        <f t="shared" si="264"/>
        <v/>
      </c>
      <c r="N3178" t="str">
        <f t="shared" si="264"/>
        <v/>
      </c>
      <c r="O3178" t="str">
        <f t="shared" si="264"/>
        <v>Plus text remains on screen during gameplay</v>
      </c>
      <c r="P3178" t="str">
        <f t="shared" si="264"/>
        <v/>
      </c>
      <c r="T3178" t="str">
        <f t="shared" si="262"/>
        <v/>
      </c>
      <c r="V3178" t="str">
        <f t="shared" si="263"/>
        <v>MVS</v>
      </c>
      <c r="W3178" t="str">
        <f t="shared" si="263"/>
        <v>MVS</v>
      </c>
      <c r="AB3178" t="s">
        <v>482</v>
      </c>
      <c r="AE3178" t="s">
        <v>480</v>
      </c>
      <c r="AH3178" t="s">
        <v>481</v>
      </c>
      <c r="AI3178" t="s">
        <v>314</v>
      </c>
      <c r="AJ3178" t="s">
        <v>480</v>
      </c>
      <c r="AK3178" t="s">
        <v>479</v>
      </c>
      <c r="AL3178" t="s">
        <v>478</v>
      </c>
    </row>
    <row r="3179" spans="5:44" x14ac:dyDescent="0.25">
      <c r="I3179" t="str">
        <f t="shared" si="260"/>
        <v>ms5plus</v>
      </c>
      <c r="J3179" t="str">
        <f t="shared" si="261"/>
        <v/>
      </c>
      <c r="L3179" t="str">
        <f t="shared" si="264"/>
        <v/>
      </c>
      <c r="M3179" t="str">
        <f t="shared" si="264"/>
        <v/>
      </c>
      <c r="N3179" t="str">
        <f t="shared" si="264"/>
        <v/>
      </c>
      <c r="O3179" t="str">
        <f t="shared" si="264"/>
        <v>Plus text remains on screen during gameplay</v>
      </c>
      <c r="P3179" t="str">
        <f t="shared" si="264"/>
        <v/>
      </c>
      <c r="T3179" t="str">
        <f t="shared" si="262"/>
        <v/>
      </c>
      <c r="V3179" t="str">
        <f t="shared" si="263"/>
        <v>MVS</v>
      </c>
      <c r="W3179" t="str">
        <f t="shared" si="263"/>
        <v>MVS</v>
      </c>
      <c r="AB3179" t="s">
        <v>24</v>
      </c>
      <c r="AE3179" t="s">
        <v>65</v>
      </c>
      <c r="AH3179" t="s">
        <v>477</v>
      </c>
      <c r="AI3179" t="s">
        <v>9</v>
      </c>
      <c r="AJ3179" t="s">
        <v>57</v>
      </c>
      <c r="AK3179" t="s">
        <v>476</v>
      </c>
      <c r="AL3179" t="s">
        <v>475</v>
      </c>
    </row>
    <row r="3180" spans="5:44" x14ac:dyDescent="0.25">
      <c r="I3180" t="str">
        <f t="shared" si="260"/>
        <v>ms5plus</v>
      </c>
      <c r="J3180" t="str">
        <f t="shared" si="261"/>
        <v/>
      </c>
      <c r="L3180" t="str">
        <f t="shared" si="264"/>
        <v/>
      </c>
      <c r="M3180" t="str">
        <f t="shared" si="264"/>
        <v/>
      </c>
      <c r="N3180" t="str">
        <f t="shared" si="264"/>
        <v/>
      </c>
      <c r="O3180" t="str">
        <f t="shared" si="264"/>
        <v>Plus text remains on screen during gameplay</v>
      </c>
      <c r="P3180" t="str">
        <f t="shared" si="264"/>
        <v/>
      </c>
      <c r="T3180" t="str">
        <f t="shared" si="262"/>
        <v/>
      </c>
      <c r="V3180" t="str">
        <f t="shared" si="263"/>
        <v>MVS</v>
      </c>
      <c r="W3180" t="str">
        <f t="shared" si="263"/>
        <v>MVS</v>
      </c>
      <c r="AH3180" t="s">
        <v>474</v>
      </c>
      <c r="AI3180" t="s">
        <v>57</v>
      </c>
      <c r="AJ3180" t="s">
        <v>57</v>
      </c>
      <c r="AK3180" t="s">
        <v>473</v>
      </c>
      <c r="AL3180" t="s">
        <v>472</v>
      </c>
    </row>
    <row r="3181" spans="5:44" x14ac:dyDescent="0.25">
      <c r="I3181" t="str">
        <f t="shared" si="260"/>
        <v>ms5plus</v>
      </c>
      <c r="J3181" t="str">
        <f t="shared" si="261"/>
        <v/>
      </c>
      <c r="L3181" t="str">
        <f t="shared" si="264"/>
        <v/>
      </c>
      <c r="M3181" t="str">
        <f t="shared" si="264"/>
        <v/>
      </c>
      <c r="N3181" t="str">
        <f t="shared" si="264"/>
        <v/>
      </c>
      <c r="O3181" t="str">
        <f t="shared" si="264"/>
        <v>Plus text remains on screen during gameplay</v>
      </c>
      <c r="P3181" t="str">
        <f t="shared" si="264"/>
        <v/>
      </c>
      <c r="T3181" t="str">
        <f t="shared" si="262"/>
        <v/>
      </c>
      <c r="V3181" t="str">
        <f t="shared" si="263"/>
        <v>MVS</v>
      </c>
      <c r="W3181" t="str">
        <f t="shared" si="263"/>
        <v>MVS</v>
      </c>
      <c r="AB3181" t="s">
        <v>12</v>
      </c>
      <c r="AE3181" t="s">
        <v>175</v>
      </c>
      <c r="AG3181" t="s">
        <v>6</v>
      </c>
      <c r="AH3181" t="s">
        <v>471</v>
      </c>
      <c r="AI3181" t="s">
        <v>9</v>
      </c>
      <c r="AJ3181" t="s">
        <v>57</v>
      </c>
      <c r="AK3181" t="s">
        <v>470</v>
      </c>
      <c r="AL3181" t="s">
        <v>469</v>
      </c>
    </row>
    <row r="3182" spans="5:44" x14ac:dyDescent="0.25">
      <c r="I3182" t="str">
        <f t="shared" si="260"/>
        <v>ms5plus</v>
      </c>
      <c r="J3182" t="str">
        <f t="shared" si="261"/>
        <v/>
      </c>
      <c r="L3182" t="str">
        <f t="shared" si="264"/>
        <v/>
      </c>
      <c r="M3182" t="str">
        <f t="shared" si="264"/>
        <v/>
      </c>
      <c r="N3182" t="str">
        <f t="shared" si="264"/>
        <v/>
      </c>
      <c r="O3182" t="str">
        <f t="shared" si="264"/>
        <v>Plus text remains on screen during gameplay</v>
      </c>
      <c r="P3182" t="str">
        <f t="shared" si="264"/>
        <v/>
      </c>
      <c r="T3182" t="str">
        <f t="shared" si="262"/>
        <v/>
      </c>
      <c r="V3182" t="str">
        <f t="shared" si="263"/>
        <v>MVS</v>
      </c>
      <c r="W3182" t="str">
        <f t="shared" si="263"/>
        <v>MVS</v>
      </c>
      <c r="AG3182" t="s">
        <v>6</v>
      </c>
      <c r="AH3182" t="s">
        <v>468</v>
      </c>
      <c r="AI3182" t="s">
        <v>4</v>
      </c>
      <c r="AJ3182" t="s">
        <v>57</v>
      </c>
      <c r="AK3182" t="s">
        <v>467</v>
      </c>
      <c r="AL3182" t="s">
        <v>466</v>
      </c>
    </row>
    <row r="3183" spans="5:44" x14ac:dyDescent="0.25">
      <c r="I3183" t="str">
        <f t="shared" si="260"/>
        <v>ms5plus</v>
      </c>
      <c r="J3183" t="str">
        <f t="shared" si="261"/>
        <v/>
      </c>
      <c r="L3183" t="str">
        <f t="shared" si="264"/>
        <v/>
      </c>
      <c r="M3183" t="str">
        <f t="shared" si="264"/>
        <v/>
      </c>
      <c r="N3183" t="str">
        <f t="shared" si="264"/>
        <v/>
      </c>
      <c r="O3183" t="str">
        <f t="shared" si="264"/>
        <v>Plus text remains on screen during gameplay</v>
      </c>
      <c r="P3183" t="str">
        <f t="shared" si="264"/>
        <v/>
      </c>
      <c r="T3183" t="str">
        <f t="shared" si="262"/>
        <v/>
      </c>
      <c r="V3183" t="str">
        <f t="shared" si="263"/>
        <v>MVS</v>
      </c>
      <c r="W3183" t="str">
        <f t="shared" si="263"/>
        <v>MVS</v>
      </c>
      <c r="AG3183" t="s">
        <v>6</v>
      </c>
      <c r="AH3183" t="s">
        <v>465</v>
      </c>
      <c r="AI3183" t="s">
        <v>65</v>
      </c>
      <c r="AJ3183" t="s">
        <v>57</v>
      </c>
      <c r="AK3183" t="s">
        <v>464</v>
      </c>
      <c r="AL3183" t="s">
        <v>463</v>
      </c>
    </row>
    <row r="3184" spans="5:44" x14ac:dyDescent="0.25">
      <c r="I3184" t="str">
        <f t="shared" si="260"/>
        <v>ms5plus</v>
      </c>
      <c r="J3184" t="str">
        <f t="shared" si="261"/>
        <v/>
      </c>
      <c r="L3184" t="str">
        <f t="shared" si="264"/>
        <v/>
      </c>
      <c r="M3184" t="str">
        <f t="shared" si="264"/>
        <v/>
      </c>
      <c r="N3184" t="str">
        <f t="shared" si="264"/>
        <v/>
      </c>
      <c r="O3184" t="str">
        <f t="shared" si="264"/>
        <v>Plus text remains on screen during gameplay</v>
      </c>
      <c r="P3184" t="str">
        <f t="shared" si="264"/>
        <v/>
      </c>
      <c r="T3184" t="str">
        <f t="shared" si="262"/>
        <v/>
      </c>
      <c r="V3184" t="str">
        <f t="shared" si="263"/>
        <v>MVS</v>
      </c>
      <c r="W3184" t="str">
        <f t="shared" si="263"/>
        <v>MVS</v>
      </c>
      <c r="AG3184" t="s">
        <v>6</v>
      </c>
      <c r="AH3184" t="s">
        <v>462</v>
      </c>
      <c r="AI3184" t="s">
        <v>164</v>
      </c>
      <c r="AJ3184" t="s">
        <v>57</v>
      </c>
      <c r="AK3184" t="s">
        <v>461</v>
      </c>
      <c r="AL3184" t="s">
        <v>460</v>
      </c>
    </row>
    <row r="3185" spans="5:44" x14ac:dyDescent="0.25">
      <c r="I3185" t="str">
        <f t="shared" si="260"/>
        <v>ms5plus</v>
      </c>
      <c r="J3185" t="str">
        <f t="shared" si="261"/>
        <v/>
      </c>
      <c r="L3185" t="str">
        <f t="shared" si="264"/>
        <v/>
      </c>
      <c r="M3185" t="str">
        <f t="shared" si="264"/>
        <v/>
      </c>
      <c r="N3185" t="str">
        <f t="shared" si="264"/>
        <v/>
      </c>
      <c r="O3185" t="str">
        <f t="shared" si="264"/>
        <v>Plus text remains on screen during gameplay</v>
      </c>
      <c r="P3185" t="str">
        <f t="shared" si="264"/>
        <v/>
      </c>
      <c r="T3185" t="str">
        <f t="shared" si="262"/>
        <v/>
      </c>
      <c r="V3185" t="str">
        <f t="shared" si="263"/>
        <v>MVS</v>
      </c>
      <c r="W3185" t="str">
        <f t="shared" si="263"/>
        <v>MVS</v>
      </c>
      <c r="AG3185" t="s">
        <v>6</v>
      </c>
      <c r="AH3185" t="s">
        <v>459</v>
      </c>
      <c r="AI3185" t="s">
        <v>160</v>
      </c>
      <c r="AJ3185" t="s">
        <v>57</v>
      </c>
      <c r="AK3185" t="s">
        <v>458</v>
      </c>
      <c r="AL3185" t="s">
        <v>457</v>
      </c>
    </row>
    <row r="3186" spans="5:44" x14ac:dyDescent="0.25">
      <c r="I3186" t="str">
        <f t="shared" si="260"/>
        <v>ms5plus</v>
      </c>
      <c r="J3186" t="str">
        <f t="shared" si="261"/>
        <v/>
      </c>
      <c r="L3186" t="str">
        <f t="shared" si="264"/>
        <v/>
      </c>
      <c r="M3186" t="str">
        <f t="shared" si="264"/>
        <v/>
      </c>
      <c r="N3186" t="str">
        <f t="shared" si="264"/>
        <v/>
      </c>
      <c r="O3186" t="str">
        <f t="shared" si="264"/>
        <v>Plus text remains on screen during gameplay</v>
      </c>
      <c r="P3186" t="str">
        <f t="shared" si="264"/>
        <v/>
      </c>
      <c r="T3186" t="str">
        <f t="shared" si="262"/>
        <v/>
      </c>
      <c r="V3186" t="str">
        <f t="shared" si="263"/>
        <v>MVS</v>
      </c>
      <c r="W3186" t="str">
        <f t="shared" si="263"/>
        <v>MVS</v>
      </c>
      <c r="AG3186" t="s">
        <v>6</v>
      </c>
      <c r="AH3186" t="s">
        <v>456</v>
      </c>
      <c r="AI3186" t="s">
        <v>156</v>
      </c>
      <c r="AJ3186" t="s">
        <v>57</v>
      </c>
      <c r="AK3186" t="s">
        <v>455</v>
      </c>
      <c r="AL3186" t="s">
        <v>454</v>
      </c>
    </row>
    <row r="3187" spans="5:44" x14ac:dyDescent="0.25">
      <c r="I3187" t="str">
        <f t="shared" si="260"/>
        <v>ms5plus</v>
      </c>
      <c r="J3187" t="str">
        <f t="shared" si="261"/>
        <v/>
      </c>
      <c r="L3187" t="str">
        <f t="shared" si="264"/>
        <v/>
      </c>
      <c r="M3187" t="str">
        <f t="shared" si="264"/>
        <v/>
      </c>
      <c r="N3187" t="str">
        <f t="shared" si="264"/>
        <v/>
      </c>
      <c r="O3187" t="str">
        <f t="shared" si="264"/>
        <v>Plus text remains on screen during gameplay</v>
      </c>
      <c r="P3187" t="str">
        <f t="shared" si="264"/>
        <v/>
      </c>
      <c r="T3187" t="str">
        <f t="shared" si="262"/>
        <v/>
      </c>
      <c r="V3187" t="str">
        <f t="shared" si="263"/>
        <v>MVS</v>
      </c>
      <c r="W3187" t="str">
        <f t="shared" si="263"/>
        <v>MVS</v>
      </c>
      <c r="AG3187" t="s">
        <v>6</v>
      </c>
      <c r="AH3187" t="s">
        <v>453</v>
      </c>
      <c r="AI3187" t="s">
        <v>152</v>
      </c>
      <c r="AJ3187" t="s">
        <v>57</v>
      </c>
      <c r="AK3187" t="s">
        <v>452</v>
      </c>
      <c r="AL3187" t="s">
        <v>451</v>
      </c>
    </row>
    <row r="3188" spans="5:44" x14ac:dyDescent="0.25">
      <c r="I3188" t="str">
        <f t="shared" si="260"/>
        <v>ms5plus</v>
      </c>
      <c r="J3188" t="str">
        <f t="shared" si="261"/>
        <v/>
      </c>
      <c r="L3188" t="str">
        <f t="shared" si="264"/>
        <v/>
      </c>
      <c r="M3188" t="str">
        <f t="shared" si="264"/>
        <v/>
      </c>
      <c r="N3188" t="str">
        <f t="shared" si="264"/>
        <v/>
      </c>
      <c r="O3188" t="str">
        <f t="shared" si="264"/>
        <v>Plus text remains on screen during gameplay</v>
      </c>
      <c r="P3188" t="str">
        <f t="shared" si="264"/>
        <v/>
      </c>
      <c r="T3188" t="str">
        <f t="shared" si="262"/>
        <v/>
      </c>
      <c r="V3188" t="str">
        <f t="shared" si="263"/>
        <v>MVS</v>
      </c>
      <c r="W3188" t="str">
        <f t="shared" si="263"/>
        <v>MVS</v>
      </c>
      <c r="AG3188" t="s">
        <v>6</v>
      </c>
      <c r="AH3188" t="s">
        <v>450</v>
      </c>
      <c r="AI3188" t="s">
        <v>148</v>
      </c>
      <c r="AJ3188" t="s">
        <v>57</v>
      </c>
      <c r="AK3188" t="s">
        <v>449</v>
      </c>
      <c r="AL3188" t="s">
        <v>448</v>
      </c>
    </row>
    <row r="3189" spans="5:44" x14ac:dyDescent="0.25">
      <c r="E3189" t="s">
        <v>447</v>
      </c>
      <c r="F3189" t="s">
        <v>446</v>
      </c>
      <c r="G3189" t="s">
        <v>195</v>
      </c>
      <c r="H3189" t="s">
        <v>194</v>
      </c>
      <c r="I3189" t="str">
        <f t="shared" si="260"/>
        <v>mslug5b</v>
      </c>
      <c r="J3189" t="str">
        <f t="shared" si="261"/>
        <v/>
      </c>
      <c r="L3189" t="str">
        <f t="shared" si="264"/>
        <v/>
      </c>
      <c r="M3189" t="str">
        <f t="shared" si="264"/>
        <v/>
      </c>
      <c r="N3189" t="str">
        <f t="shared" si="264"/>
        <v/>
      </c>
      <c r="O3189" t="str">
        <f t="shared" si="264"/>
        <v/>
      </c>
      <c r="P3189" t="str">
        <f t="shared" si="264"/>
        <v/>
      </c>
      <c r="S3189" t="s">
        <v>46</v>
      </c>
      <c r="T3189" t="str">
        <f t="shared" si="262"/>
        <v>mslug5brelease</v>
      </c>
      <c r="U3189" t="s">
        <v>106</v>
      </c>
      <c r="V3189" t="str">
        <f t="shared" si="263"/>
        <v>MVS</v>
      </c>
      <c r="W3189" t="str">
        <f t="shared" si="263"/>
        <v>MVS</v>
      </c>
      <c r="Y3189" t="s">
        <v>45</v>
      </c>
      <c r="Z3189" t="s">
        <v>44</v>
      </c>
      <c r="AB3189" t="s">
        <v>43</v>
      </c>
      <c r="AC3189" t="s">
        <v>42</v>
      </c>
      <c r="AD3189" t="s">
        <v>41</v>
      </c>
      <c r="AE3189" t="s">
        <v>23</v>
      </c>
      <c r="AG3189" t="s">
        <v>40</v>
      </c>
      <c r="AH3189" t="s">
        <v>445</v>
      </c>
      <c r="AI3189" t="s">
        <v>9</v>
      </c>
      <c r="AJ3189" t="s">
        <v>15</v>
      </c>
      <c r="AK3189" t="s">
        <v>444</v>
      </c>
      <c r="AL3189" t="s">
        <v>443</v>
      </c>
      <c r="AP3189" t="s">
        <v>138</v>
      </c>
      <c r="AQ3189" t="s">
        <v>442</v>
      </c>
      <c r="AR3189" t="s">
        <v>441</v>
      </c>
    </row>
    <row r="3190" spans="5:44" x14ac:dyDescent="0.25">
      <c r="I3190" t="str">
        <f t="shared" si="260"/>
        <v>mslug5b</v>
      </c>
      <c r="J3190" t="str">
        <f t="shared" si="261"/>
        <v/>
      </c>
      <c r="L3190" t="str">
        <f t="shared" si="264"/>
        <v/>
      </c>
      <c r="M3190" t="str">
        <f t="shared" si="264"/>
        <v/>
      </c>
      <c r="N3190" t="str">
        <f t="shared" si="264"/>
        <v/>
      </c>
      <c r="O3190" t="str">
        <f t="shared" si="264"/>
        <v/>
      </c>
      <c r="P3190" t="str">
        <f t="shared" si="264"/>
        <v/>
      </c>
      <c r="S3190" t="s">
        <v>36</v>
      </c>
      <c r="T3190" t="str">
        <f t="shared" si="262"/>
        <v>mslug5bcompatibility</v>
      </c>
      <c r="U3190" t="s">
        <v>106</v>
      </c>
      <c r="V3190" t="str">
        <f t="shared" si="263"/>
        <v>MVS</v>
      </c>
      <c r="W3190" t="str">
        <f t="shared" si="263"/>
        <v>MVS</v>
      </c>
      <c r="AG3190" t="s">
        <v>40</v>
      </c>
      <c r="AH3190" t="s">
        <v>440</v>
      </c>
      <c r="AI3190" t="s">
        <v>15</v>
      </c>
      <c r="AJ3190" t="s">
        <v>11</v>
      </c>
      <c r="AK3190" t="s">
        <v>439</v>
      </c>
      <c r="AL3190" t="s">
        <v>438</v>
      </c>
    </row>
    <row r="3191" spans="5:44" x14ac:dyDescent="0.25">
      <c r="I3191" t="str">
        <f t="shared" si="260"/>
        <v>mslug5b</v>
      </c>
      <c r="J3191" t="str">
        <f t="shared" si="261"/>
        <v/>
      </c>
      <c r="L3191" t="str">
        <f t="shared" si="264"/>
        <v/>
      </c>
      <c r="M3191" t="str">
        <f t="shared" si="264"/>
        <v/>
      </c>
      <c r="N3191" t="str">
        <f t="shared" si="264"/>
        <v/>
      </c>
      <c r="O3191" t="str">
        <f t="shared" si="264"/>
        <v/>
      </c>
      <c r="P3191" t="str">
        <f t="shared" si="264"/>
        <v/>
      </c>
      <c r="T3191" t="str">
        <f t="shared" si="262"/>
        <v/>
      </c>
      <c r="V3191" t="str">
        <f t="shared" si="263"/>
        <v>MVS</v>
      </c>
      <c r="W3191" t="str">
        <f t="shared" si="263"/>
        <v>MVS</v>
      </c>
      <c r="AB3191" t="s">
        <v>34</v>
      </c>
      <c r="AE3191" t="s">
        <v>318</v>
      </c>
      <c r="AH3191" t="s">
        <v>437</v>
      </c>
      <c r="AI3191" t="s">
        <v>314</v>
      </c>
      <c r="AJ3191" t="s">
        <v>135</v>
      </c>
      <c r="AK3191" t="s">
        <v>436</v>
      </c>
      <c r="AL3191" t="s">
        <v>435</v>
      </c>
    </row>
    <row r="3192" spans="5:44" x14ac:dyDescent="0.25">
      <c r="I3192" t="str">
        <f t="shared" si="260"/>
        <v>mslug5b</v>
      </c>
      <c r="J3192" t="str">
        <f t="shared" si="261"/>
        <v/>
      </c>
      <c r="L3192" t="str">
        <f t="shared" si="264"/>
        <v/>
      </c>
      <c r="M3192" t="str">
        <f t="shared" si="264"/>
        <v/>
      </c>
      <c r="N3192" t="str">
        <f t="shared" si="264"/>
        <v/>
      </c>
      <c r="O3192" t="str">
        <f t="shared" si="264"/>
        <v/>
      </c>
      <c r="P3192" t="str">
        <f t="shared" si="264"/>
        <v/>
      </c>
      <c r="T3192" t="str">
        <f t="shared" si="262"/>
        <v/>
      </c>
      <c r="V3192" t="str">
        <f t="shared" si="263"/>
        <v>MVS</v>
      </c>
      <c r="W3192" t="str">
        <f t="shared" si="263"/>
        <v>MVS</v>
      </c>
      <c r="AB3192" t="s">
        <v>29</v>
      </c>
      <c r="AE3192" t="s">
        <v>135</v>
      </c>
      <c r="AH3192" t="s">
        <v>434</v>
      </c>
      <c r="AI3192" t="s">
        <v>314</v>
      </c>
      <c r="AJ3192" t="s">
        <v>135</v>
      </c>
      <c r="AK3192" t="s">
        <v>433</v>
      </c>
      <c r="AL3192" t="s">
        <v>432</v>
      </c>
    </row>
    <row r="3193" spans="5:44" x14ac:dyDescent="0.25">
      <c r="I3193" t="str">
        <f t="shared" si="260"/>
        <v>mslug5b</v>
      </c>
      <c r="J3193" t="str">
        <f t="shared" si="261"/>
        <v/>
      </c>
      <c r="L3193" t="str">
        <f t="shared" si="264"/>
        <v/>
      </c>
      <c r="M3193" t="str">
        <f t="shared" si="264"/>
        <v/>
      </c>
      <c r="N3193" t="str">
        <f t="shared" si="264"/>
        <v/>
      </c>
      <c r="O3193" t="str">
        <f t="shared" si="264"/>
        <v/>
      </c>
      <c r="P3193" t="str">
        <f t="shared" si="264"/>
        <v/>
      </c>
      <c r="T3193" t="str">
        <f t="shared" si="262"/>
        <v/>
      </c>
      <c r="V3193" t="str">
        <f t="shared" si="263"/>
        <v>MVS</v>
      </c>
      <c r="W3193" t="str">
        <f t="shared" si="263"/>
        <v>MVS</v>
      </c>
      <c r="AB3193" t="s">
        <v>24</v>
      </c>
      <c r="AE3193" t="s">
        <v>65</v>
      </c>
      <c r="AH3193" t="s">
        <v>431</v>
      </c>
      <c r="AI3193" t="s">
        <v>9</v>
      </c>
      <c r="AJ3193" t="s">
        <v>11</v>
      </c>
      <c r="AK3193" t="s">
        <v>430</v>
      </c>
      <c r="AL3193" t="s">
        <v>429</v>
      </c>
    </row>
    <row r="3194" spans="5:44" x14ac:dyDescent="0.25">
      <c r="I3194" t="str">
        <f t="shared" si="260"/>
        <v>mslug5b</v>
      </c>
      <c r="J3194" t="str">
        <f t="shared" si="261"/>
        <v/>
      </c>
      <c r="L3194" t="str">
        <f t="shared" si="264"/>
        <v/>
      </c>
      <c r="M3194" t="str">
        <f t="shared" si="264"/>
        <v/>
      </c>
      <c r="N3194" t="str">
        <f t="shared" si="264"/>
        <v/>
      </c>
      <c r="O3194" t="str">
        <f t="shared" si="264"/>
        <v/>
      </c>
      <c r="P3194" t="str">
        <f t="shared" si="264"/>
        <v/>
      </c>
      <c r="T3194" t="str">
        <f t="shared" si="262"/>
        <v/>
      </c>
      <c r="V3194" t="str">
        <f t="shared" si="263"/>
        <v>MVS</v>
      </c>
      <c r="W3194" t="str">
        <f t="shared" si="263"/>
        <v>MVS</v>
      </c>
      <c r="AH3194" t="s">
        <v>428</v>
      </c>
      <c r="AI3194" t="s">
        <v>11</v>
      </c>
      <c r="AJ3194" t="s">
        <v>11</v>
      </c>
      <c r="AK3194" t="s">
        <v>427</v>
      </c>
      <c r="AL3194" t="s">
        <v>426</v>
      </c>
    </row>
    <row r="3195" spans="5:44" x14ac:dyDescent="0.25">
      <c r="I3195" t="str">
        <f t="shared" si="260"/>
        <v>mslug5b</v>
      </c>
      <c r="J3195" t="str">
        <f t="shared" si="261"/>
        <v/>
      </c>
      <c r="L3195" t="str">
        <f t="shared" si="264"/>
        <v/>
      </c>
      <c r="M3195" t="str">
        <f t="shared" si="264"/>
        <v/>
      </c>
      <c r="N3195" t="str">
        <f t="shared" si="264"/>
        <v/>
      </c>
      <c r="O3195" t="str">
        <f t="shared" si="264"/>
        <v/>
      </c>
      <c r="P3195" t="str">
        <f t="shared" si="264"/>
        <v/>
      </c>
      <c r="T3195" t="str">
        <f t="shared" si="262"/>
        <v/>
      </c>
      <c r="V3195" t="str">
        <f t="shared" si="263"/>
        <v>MVS</v>
      </c>
      <c r="W3195" t="str">
        <f t="shared" si="263"/>
        <v>MVS</v>
      </c>
      <c r="AH3195" t="s">
        <v>425</v>
      </c>
      <c r="AI3195" t="s">
        <v>57</v>
      </c>
      <c r="AJ3195" t="s">
        <v>11</v>
      </c>
      <c r="AK3195" t="s">
        <v>424</v>
      </c>
      <c r="AL3195" t="s">
        <v>423</v>
      </c>
    </row>
    <row r="3196" spans="5:44" x14ac:dyDescent="0.25">
      <c r="I3196" t="str">
        <f t="shared" si="260"/>
        <v>mslug5b</v>
      </c>
      <c r="J3196" t="str">
        <f t="shared" si="261"/>
        <v/>
      </c>
      <c r="L3196" t="str">
        <f t="shared" si="264"/>
        <v/>
      </c>
      <c r="M3196" t="str">
        <f t="shared" si="264"/>
        <v/>
      </c>
      <c r="N3196" t="str">
        <f t="shared" si="264"/>
        <v/>
      </c>
      <c r="O3196" t="str">
        <f t="shared" si="264"/>
        <v/>
      </c>
      <c r="P3196" t="str">
        <f t="shared" si="264"/>
        <v/>
      </c>
      <c r="T3196" t="str">
        <f t="shared" si="262"/>
        <v/>
      </c>
      <c r="V3196" t="str">
        <f t="shared" si="263"/>
        <v>MVS</v>
      </c>
      <c r="W3196" t="str">
        <f t="shared" si="263"/>
        <v>MVS</v>
      </c>
      <c r="AH3196" t="s">
        <v>422</v>
      </c>
      <c r="AI3196" t="s">
        <v>250</v>
      </c>
      <c r="AJ3196" t="s">
        <v>11</v>
      </c>
      <c r="AK3196" t="s">
        <v>421</v>
      </c>
      <c r="AL3196" t="s">
        <v>420</v>
      </c>
    </row>
    <row r="3197" spans="5:44" x14ac:dyDescent="0.25">
      <c r="I3197" t="str">
        <f t="shared" si="260"/>
        <v>mslug5b</v>
      </c>
      <c r="J3197" t="str">
        <f t="shared" si="261"/>
        <v/>
      </c>
      <c r="L3197" t="str">
        <f t="shared" si="264"/>
        <v/>
      </c>
      <c r="M3197" t="str">
        <f t="shared" si="264"/>
        <v/>
      </c>
      <c r="N3197" t="str">
        <f t="shared" si="264"/>
        <v/>
      </c>
      <c r="O3197" t="str">
        <f t="shared" si="264"/>
        <v/>
      </c>
      <c r="P3197" t="str">
        <f t="shared" si="264"/>
        <v/>
      </c>
      <c r="T3197" t="str">
        <f t="shared" si="262"/>
        <v/>
      </c>
      <c r="V3197" t="str">
        <f t="shared" si="263"/>
        <v>MVS</v>
      </c>
      <c r="W3197" t="str">
        <f t="shared" si="263"/>
        <v>MVS</v>
      </c>
      <c r="AB3197" t="s">
        <v>12</v>
      </c>
      <c r="AE3197" t="s">
        <v>175</v>
      </c>
      <c r="AG3197" t="s">
        <v>6</v>
      </c>
      <c r="AH3197" t="s">
        <v>419</v>
      </c>
      <c r="AI3197" t="s">
        <v>246</v>
      </c>
      <c r="AJ3197" t="s">
        <v>57</v>
      </c>
      <c r="AK3197" t="s">
        <v>418</v>
      </c>
      <c r="AL3197" t="s">
        <v>417</v>
      </c>
    </row>
    <row r="3198" spans="5:44" x14ac:dyDescent="0.25">
      <c r="I3198" t="str">
        <f t="shared" si="260"/>
        <v>mslug5b</v>
      </c>
      <c r="J3198" t="str">
        <f t="shared" si="261"/>
        <v/>
      </c>
      <c r="L3198" t="str">
        <f t="shared" si="264"/>
        <v/>
      </c>
      <c r="M3198" t="str">
        <f t="shared" si="264"/>
        <v/>
      </c>
      <c r="N3198" t="str">
        <f t="shared" si="264"/>
        <v/>
      </c>
      <c r="O3198" t="str">
        <f t="shared" si="264"/>
        <v/>
      </c>
      <c r="P3198" t="str">
        <f t="shared" si="264"/>
        <v/>
      </c>
      <c r="T3198" t="str">
        <f t="shared" si="262"/>
        <v/>
      </c>
      <c r="V3198" t="str">
        <f t="shared" si="263"/>
        <v>MVS</v>
      </c>
      <c r="W3198" t="str">
        <f t="shared" si="263"/>
        <v>MVS</v>
      </c>
      <c r="AG3198" t="s">
        <v>6</v>
      </c>
      <c r="AH3198" t="s">
        <v>416</v>
      </c>
      <c r="AI3198" t="s">
        <v>242</v>
      </c>
      <c r="AJ3198" t="s">
        <v>57</v>
      </c>
      <c r="AK3198" t="s">
        <v>415</v>
      </c>
      <c r="AL3198" t="s">
        <v>414</v>
      </c>
    </row>
    <row r="3199" spans="5:44" x14ac:dyDescent="0.25">
      <c r="I3199" t="str">
        <f t="shared" si="260"/>
        <v>mslug5b</v>
      </c>
      <c r="J3199" t="str">
        <f t="shared" si="261"/>
        <v/>
      </c>
      <c r="L3199" t="str">
        <f t="shared" si="264"/>
        <v/>
      </c>
      <c r="M3199" t="str">
        <f t="shared" si="264"/>
        <v/>
      </c>
      <c r="N3199" t="str">
        <f t="shared" si="264"/>
        <v/>
      </c>
      <c r="O3199" t="str">
        <f t="shared" si="264"/>
        <v/>
      </c>
      <c r="P3199" t="str">
        <f t="shared" si="264"/>
        <v/>
      </c>
      <c r="T3199" t="str">
        <f t="shared" si="262"/>
        <v/>
      </c>
      <c r="V3199" t="str">
        <f t="shared" si="263"/>
        <v>MVS</v>
      </c>
      <c r="W3199" t="str">
        <f t="shared" si="263"/>
        <v>MVS</v>
      </c>
      <c r="AG3199" t="s">
        <v>6</v>
      </c>
      <c r="AH3199" t="s">
        <v>413</v>
      </c>
      <c r="AI3199" t="s">
        <v>65</v>
      </c>
      <c r="AJ3199" t="s">
        <v>57</v>
      </c>
      <c r="AK3199" t="s">
        <v>412</v>
      </c>
      <c r="AL3199" t="s">
        <v>411</v>
      </c>
    </row>
    <row r="3200" spans="5:44" x14ac:dyDescent="0.25">
      <c r="I3200" t="str">
        <f t="shared" si="260"/>
        <v>mslug5b</v>
      </c>
      <c r="J3200" t="str">
        <f t="shared" si="261"/>
        <v/>
      </c>
      <c r="L3200" t="str">
        <f t="shared" si="264"/>
        <v/>
      </c>
      <c r="M3200" t="str">
        <f t="shared" si="264"/>
        <v/>
      </c>
      <c r="N3200" t="str">
        <f t="shared" si="264"/>
        <v/>
      </c>
      <c r="O3200" t="str">
        <f t="shared" si="264"/>
        <v/>
      </c>
      <c r="P3200" t="str">
        <f t="shared" si="264"/>
        <v/>
      </c>
      <c r="T3200" t="str">
        <f t="shared" si="262"/>
        <v/>
      </c>
      <c r="V3200" t="str">
        <f t="shared" si="263"/>
        <v>MVS</v>
      </c>
      <c r="W3200" t="str">
        <f t="shared" si="263"/>
        <v>MVS</v>
      </c>
      <c r="AG3200" t="s">
        <v>6</v>
      </c>
      <c r="AH3200" t="s">
        <v>410</v>
      </c>
      <c r="AI3200" t="s">
        <v>164</v>
      </c>
      <c r="AJ3200" t="s">
        <v>57</v>
      </c>
      <c r="AK3200" t="s">
        <v>409</v>
      </c>
      <c r="AL3200" t="s">
        <v>408</v>
      </c>
    </row>
    <row r="3201" spans="5:44" x14ac:dyDescent="0.25">
      <c r="I3201" t="str">
        <f t="shared" si="260"/>
        <v>mslug5b</v>
      </c>
      <c r="J3201" t="str">
        <f t="shared" si="261"/>
        <v/>
      </c>
      <c r="L3201" t="str">
        <f t="shared" si="264"/>
        <v/>
      </c>
      <c r="M3201" t="str">
        <f t="shared" si="264"/>
        <v/>
      </c>
      <c r="N3201" t="str">
        <f t="shared" si="264"/>
        <v/>
      </c>
      <c r="O3201" t="str">
        <f t="shared" si="264"/>
        <v/>
      </c>
      <c r="P3201" t="str">
        <f t="shared" si="264"/>
        <v/>
      </c>
      <c r="T3201" t="str">
        <f t="shared" si="262"/>
        <v/>
      </c>
      <c r="V3201" t="str">
        <f t="shared" si="263"/>
        <v>MVS</v>
      </c>
      <c r="W3201" t="str">
        <f t="shared" si="263"/>
        <v>MVS</v>
      </c>
      <c r="AG3201" t="s">
        <v>6</v>
      </c>
      <c r="AH3201" t="s">
        <v>407</v>
      </c>
      <c r="AI3201" t="s">
        <v>160</v>
      </c>
      <c r="AJ3201" t="s">
        <v>3</v>
      </c>
      <c r="AK3201" t="s">
        <v>406</v>
      </c>
      <c r="AL3201" t="s">
        <v>405</v>
      </c>
    </row>
    <row r="3202" spans="5:44" x14ac:dyDescent="0.25">
      <c r="I3202" t="str">
        <f t="shared" si="260"/>
        <v>mslug5b</v>
      </c>
      <c r="J3202" t="str">
        <f t="shared" si="261"/>
        <v/>
      </c>
      <c r="L3202" t="str">
        <f t="shared" si="264"/>
        <v/>
      </c>
      <c r="M3202" t="str">
        <f t="shared" si="264"/>
        <v/>
      </c>
      <c r="N3202" t="str">
        <f t="shared" si="264"/>
        <v/>
      </c>
      <c r="O3202" t="str">
        <f t="shared" si="264"/>
        <v/>
      </c>
      <c r="P3202" t="str">
        <f t="shared" si="264"/>
        <v/>
      </c>
      <c r="T3202" t="str">
        <f t="shared" si="262"/>
        <v/>
      </c>
      <c r="V3202" t="str">
        <f t="shared" si="263"/>
        <v>MVS</v>
      </c>
      <c r="W3202" t="str">
        <f t="shared" si="263"/>
        <v>MVS</v>
      </c>
      <c r="AG3202" t="s">
        <v>6</v>
      </c>
      <c r="AH3202" t="s">
        <v>404</v>
      </c>
      <c r="AI3202" t="s">
        <v>156</v>
      </c>
      <c r="AJ3202" t="s">
        <v>3</v>
      </c>
      <c r="AK3202" t="s">
        <v>403</v>
      </c>
      <c r="AL3202" t="s">
        <v>402</v>
      </c>
    </row>
    <row r="3203" spans="5:44" x14ac:dyDescent="0.25">
      <c r="I3203" t="str">
        <f t="shared" ref="I3203:I3266" si="265">IF(E3203="",I3202,E3203)</f>
        <v>mslug5b</v>
      </c>
      <c r="J3203" t="str">
        <f t="shared" ref="J3203:J3266" si="266">IF(K3203="","",I3203&amp;K3203)</f>
        <v/>
      </c>
      <c r="L3203" t="str">
        <f t="shared" si="264"/>
        <v/>
      </c>
      <c r="M3203" t="str">
        <f t="shared" si="264"/>
        <v/>
      </c>
      <c r="N3203" t="str">
        <f t="shared" si="264"/>
        <v/>
      </c>
      <c r="O3203" t="str">
        <f t="shared" si="264"/>
        <v/>
      </c>
      <c r="P3203" t="str">
        <f t="shared" si="264"/>
        <v/>
      </c>
      <c r="T3203" t="str">
        <f t="shared" ref="T3203:T3266" si="267">IF(S3203="","",I3203&amp;S3203)</f>
        <v/>
      </c>
      <c r="V3203" t="str">
        <f t="shared" si="263"/>
        <v>MVS</v>
      </c>
      <c r="W3203" t="str">
        <f t="shared" si="263"/>
        <v>MVS</v>
      </c>
      <c r="AG3203" t="s">
        <v>6</v>
      </c>
      <c r="AH3203" t="s">
        <v>401</v>
      </c>
      <c r="AI3203" t="s">
        <v>152</v>
      </c>
      <c r="AJ3203" t="s">
        <v>57</v>
      </c>
      <c r="AK3203" t="s">
        <v>400</v>
      </c>
      <c r="AL3203" t="s">
        <v>399</v>
      </c>
    </row>
    <row r="3204" spans="5:44" x14ac:dyDescent="0.25">
      <c r="I3204" t="str">
        <f t="shared" si="265"/>
        <v>mslug5b</v>
      </c>
      <c r="J3204" t="str">
        <f t="shared" si="266"/>
        <v/>
      </c>
      <c r="L3204" t="str">
        <f t="shared" si="264"/>
        <v/>
      </c>
      <c r="M3204" t="str">
        <f t="shared" si="264"/>
        <v/>
      </c>
      <c r="N3204" t="str">
        <f t="shared" si="264"/>
        <v/>
      </c>
      <c r="O3204" t="str">
        <f t="shared" si="264"/>
        <v/>
      </c>
      <c r="P3204" t="str">
        <f t="shared" si="264"/>
        <v/>
      </c>
      <c r="T3204" t="str">
        <f t="shared" si="267"/>
        <v/>
      </c>
      <c r="V3204" t="str">
        <f t="shared" si="263"/>
        <v>MVS</v>
      </c>
      <c r="W3204" t="str">
        <f t="shared" si="263"/>
        <v>MVS</v>
      </c>
      <c r="AG3204" t="s">
        <v>6</v>
      </c>
      <c r="AH3204" t="s">
        <v>398</v>
      </c>
      <c r="AI3204" t="s">
        <v>148</v>
      </c>
      <c r="AJ3204" t="s">
        <v>57</v>
      </c>
      <c r="AK3204" t="s">
        <v>397</v>
      </c>
      <c r="AL3204" t="s">
        <v>396</v>
      </c>
    </row>
    <row r="3205" spans="5:44" x14ac:dyDescent="0.25">
      <c r="E3205" t="s">
        <v>395</v>
      </c>
      <c r="F3205" t="s">
        <v>394</v>
      </c>
      <c r="G3205" t="s">
        <v>393</v>
      </c>
      <c r="H3205" t="s">
        <v>194</v>
      </c>
      <c r="I3205" t="str">
        <f t="shared" si="265"/>
        <v>pbobblenb</v>
      </c>
      <c r="J3205" t="str">
        <f t="shared" si="266"/>
        <v/>
      </c>
      <c r="L3205" t="str">
        <f t="shared" si="264"/>
        <v/>
      </c>
      <c r="M3205" t="str">
        <f t="shared" si="264"/>
        <v/>
      </c>
      <c r="N3205" t="str">
        <f t="shared" si="264"/>
        <v/>
      </c>
      <c r="O3205" t="str">
        <f t="shared" si="264"/>
        <v/>
      </c>
      <c r="P3205" t="str">
        <f t="shared" si="264"/>
        <v/>
      </c>
      <c r="S3205" t="s">
        <v>46</v>
      </c>
      <c r="T3205" t="str">
        <f t="shared" si="267"/>
        <v>pbobblenbrelease</v>
      </c>
      <c r="U3205" t="s">
        <v>106</v>
      </c>
      <c r="V3205" t="str">
        <f t="shared" si="263"/>
        <v>MVS</v>
      </c>
      <c r="W3205" t="str">
        <f t="shared" si="263"/>
        <v>MVS,AES</v>
      </c>
      <c r="Y3205" t="s">
        <v>45</v>
      </c>
      <c r="Z3205" t="s">
        <v>44</v>
      </c>
      <c r="AB3205" t="s">
        <v>43</v>
      </c>
      <c r="AC3205" t="s">
        <v>42</v>
      </c>
      <c r="AD3205" t="s">
        <v>41</v>
      </c>
      <c r="AE3205" t="s">
        <v>15</v>
      </c>
      <c r="AG3205" t="s">
        <v>40</v>
      </c>
      <c r="AH3205" t="s">
        <v>392</v>
      </c>
      <c r="AI3205" t="s">
        <v>9</v>
      </c>
      <c r="AJ3205" t="s">
        <v>92</v>
      </c>
      <c r="AK3205" t="s">
        <v>391</v>
      </c>
      <c r="AL3205" t="s">
        <v>390</v>
      </c>
      <c r="AR3205" t="s">
        <v>389</v>
      </c>
    </row>
    <row r="3206" spans="5:44" x14ac:dyDescent="0.25">
      <c r="I3206" t="str">
        <f t="shared" si="265"/>
        <v>pbobblenb</v>
      </c>
      <c r="J3206" t="str">
        <f t="shared" si="266"/>
        <v/>
      </c>
      <c r="L3206" t="str">
        <f t="shared" si="264"/>
        <v/>
      </c>
      <c r="M3206" t="str">
        <f t="shared" si="264"/>
        <v/>
      </c>
      <c r="N3206" t="str">
        <f t="shared" si="264"/>
        <v/>
      </c>
      <c r="O3206" t="str">
        <f t="shared" si="264"/>
        <v/>
      </c>
      <c r="P3206" t="str">
        <f t="shared" si="264"/>
        <v/>
      </c>
      <c r="S3206" t="s">
        <v>36</v>
      </c>
      <c r="T3206" t="str">
        <f t="shared" si="267"/>
        <v>pbobblenbcompatibility</v>
      </c>
      <c r="U3206" t="s">
        <v>218</v>
      </c>
      <c r="V3206" t="str">
        <f t="shared" si="263"/>
        <v>MVS</v>
      </c>
      <c r="W3206" t="str">
        <f t="shared" si="263"/>
        <v>MVS,AES</v>
      </c>
      <c r="AB3206" t="s">
        <v>34</v>
      </c>
      <c r="AE3206" t="s">
        <v>33</v>
      </c>
      <c r="AH3206" t="s">
        <v>388</v>
      </c>
      <c r="AI3206" t="s">
        <v>9</v>
      </c>
      <c r="AJ3206" t="s">
        <v>27</v>
      </c>
      <c r="AK3206" t="s">
        <v>387</v>
      </c>
      <c r="AL3206" t="s">
        <v>386</v>
      </c>
    </row>
    <row r="3207" spans="5:44" x14ac:dyDescent="0.25">
      <c r="I3207" t="str">
        <f t="shared" si="265"/>
        <v>pbobblenb</v>
      </c>
      <c r="J3207" t="str">
        <f t="shared" si="266"/>
        <v/>
      </c>
      <c r="L3207" t="str">
        <f t="shared" si="264"/>
        <v/>
      </c>
      <c r="M3207" t="str">
        <f t="shared" si="264"/>
        <v/>
      </c>
      <c r="N3207" t="str">
        <f t="shared" si="264"/>
        <v/>
      </c>
      <c r="O3207" t="str">
        <f t="shared" si="264"/>
        <v/>
      </c>
      <c r="P3207" t="str">
        <f t="shared" si="264"/>
        <v/>
      </c>
      <c r="T3207" t="str">
        <f t="shared" si="267"/>
        <v/>
      </c>
      <c r="V3207" t="str">
        <f t="shared" si="263"/>
        <v>MVS</v>
      </c>
      <c r="W3207" t="str">
        <f t="shared" si="263"/>
        <v>MVS,AES</v>
      </c>
      <c r="AB3207" t="s">
        <v>29</v>
      </c>
      <c r="AE3207" t="s">
        <v>27</v>
      </c>
      <c r="AH3207" t="s">
        <v>385</v>
      </c>
      <c r="AI3207" t="s">
        <v>9</v>
      </c>
      <c r="AJ3207" t="s">
        <v>27</v>
      </c>
      <c r="AK3207" t="s">
        <v>384</v>
      </c>
      <c r="AL3207" t="s">
        <v>383</v>
      </c>
    </row>
    <row r="3208" spans="5:44" x14ac:dyDescent="0.25">
      <c r="I3208" t="str">
        <f t="shared" si="265"/>
        <v>pbobblenb</v>
      </c>
      <c r="J3208" t="str">
        <f t="shared" si="266"/>
        <v/>
      </c>
      <c r="L3208" t="str">
        <f t="shared" si="264"/>
        <v/>
      </c>
      <c r="M3208" t="str">
        <f t="shared" si="264"/>
        <v/>
      </c>
      <c r="N3208" t="str">
        <f t="shared" si="264"/>
        <v/>
      </c>
      <c r="O3208" t="str">
        <f t="shared" si="264"/>
        <v/>
      </c>
      <c r="P3208" t="str">
        <f t="shared" si="264"/>
        <v/>
      </c>
      <c r="T3208" t="str">
        <f t="shared" si="267"/>
        <v/>
      </c>
      <c r="V3208" t="str">
        <f t="shared" si="263"/>
        <v>MVS</v>
      </c>
      <c r="W3208" t="str">
        <f t="shared" si="263"/>
        <v>MVS,AES</v>
      </c>
      <c r="AB3208" t="s">
        <v>24</v>
      </c>
      <c r="AE3208" t="s">
        <v>382</v>
      </c>
      <c r="AH3208" t="s">
        <v>381</v>
      </c>
      <c r="AI3208" t="s">
        <v>3</v>
      </c>
      <c r="AJ3208" t="s">
        <v>15</v>
      </c>
      <c r="AK3208" t="s">
        <v>380</v>
      </c>
      <c r="AL3208" t="s">
        <v>379</v>
      </c>
    </row>
    <row r="3209" spans="5:44" x14ac:dyDescent="0.25">
      <c r="I3209" t="str">
        <f t="shared" si="265"/>
        <v>pbobblenb</v>
      </c>
      <c r="J3209" t="str">
        <f t="shared" si="266"/>
        <v/>
      </c>
      <c r="L3209" t="str">
        <f t="shared" si="264"/>
        <v/>
      </c>
      <c r="M3209" t="str">
        <f t="shared" si="264"/>
        <v/>
      </c>
      <c r="N3209" t="str">
        <f t="shared" si="264"/>
        <v/>
      </c>
      <c r="O3209" t="str">
        <f t="shared" si="264"/>
        <v/>
      </c>
      <c r="P3209" t="str">
        <f t="shared" si="264"/>
        <v/>
      </c>
      <c r="T3209" t="str">
        <f t="shared" si="267"/>
        <v/>
      </c>
      <c r="V3209" t="str">
        <f t="shared" si="263"/>
        <v>MVS</v>
      </c>
      <c r="W3209" t="str">
        <f t="shared" si="263"/>
        <v>MVS,AES</v>
      </c>
      <c r="AH3209" t="s">
        <v>378</v>
      </c>
      <c r="AI3209" t="s">
        <v>377</v>
      </c>
      <c r="AJ3209" t="s">
        <v>92</v>
      </c>
      <c r="AK3209" t="s">
        <v>376</v>
      </c>
      <c r="AL3209" t="s">
        <v>375</v>
      </c>
    </row>
    <row r="3210" spans="5:44" x14ac:dyDescent="0.25">
      <c r="I3210" t="str">
        <f t="shared" si="265"/>
        <v>pbobblenb</v>
      </c>
      <c r="J3210" t="str">
        <f t="shared" si="266"/>
        <v/>
      </c>
      <c r="L3210" t="str">
        <f t="shared" si="264"/>
        <v/>
      </c>
      <c r="M3210" t="str">
        <f t="shared" si="264"/>
        <v/>
      </c>
      <c r="N3210" t="str">
        <f t="shared" si="264"/>
        <v/>
      </c>
      <c r="O3210" t="str">
        <f t="shared" si="264"/>
        <v/>
      </c>
      <c r="P3210" t="str">
        <f t="shared" si="264"/>
        <v/>
      </c>
      <c r="T3210" t="str">
        <f t="shared" si="267"/>
        <v/>
      </c>
      <c r="V3210" t="str">
        <f t="shared" si="263"/>
        <v>MVS</v>
      </c>
      <c r="W3210" t="str">
        <f t="shared" si="263"/>
        <v>MVS,AES</v>
      </c>
      <c r="AB3210" t="s">
        <v>12</v>
      </c>
      <c r="AE3210" t="s">
        <v>15</v>
      </c>
      <c r="AG3210" t="s">
        <v>6</v>
      </c>
      <c r="AH3210" t="s">
        <v>374</v>
      </c>
      <c r="AI3210" t="s">
        <v>9</v>
      </c>
      <c r="AJ3210" t="s">
        <v>92</v>
      </c>
      <c r="AK3210" t="s">
        <v>373</v>
      </c>
      <c r="AL3210" t="s">
        <v>372</v>
      </c>
    </row>
    <row r="3211" spans="5:44" x14ac:dyDescent="0.25">
      <c r="I3211" t="str">
        <f t="shared" si="265"/>
        <v>pbobblenb</v>
      </c>
      <c r="J3211" t="str">
        <f t="shared" si="266"/>
        <v/>
      </c>
      <c r="L3211" t="str">
        <f t="shared" si="264"/>
        <v/>
      </c>
      <c r="M3211" t="str">
        <f t="shared" si="264"/>
        <v/>
      </c>
      <c r="N3211" t="str">
        <f t="shared" si="264"/>
        <v/>
      </c>
      <c r="O3211" t="str">
        <f t="shared" si="264"/>
        <v/>
      </c>
      <c r="P3211" t="str">
        <f t="shared" si="264"/>
        <v/>
      </c>
      <c r="T3211" t="str">
        <f t="shared" si="267"/>
        <v/>
      </c>
      <c r="V3211" t="str">
        <f t="shared" si="263"/>
        <v>MVS</v>
      </c>
      <c r="W3211" t="str">
        <f t="shared" si="263"/>
        <v>MVS,AES</v>
      </c>
      <c r="AG3211" t="s">
        <v>6</v>
      </c>
      <c r="AH3211" t="s">
        <v>371</v>
      </c>
      <c r="AI3211" t="s">
        <v>4</v>
      </c>
      <c r="AJ3211" t="s">
        <v>92</v>
      </c>
      <c r="AK3211" t="s">
        <v>370</v>
      </c>
      <c r="AL3211" t="s">
        <v>369</v>
      </c>
    </row>
    <row r="3212" spans="5:44" x14ac:dyDescent="0.25">
      <c r="E3212" t="s">
        <v>368</v>
      </c>
      <c r="F3212" t="s">
        <v>367</v>
      </c>
      <c r="G3212" t="s">
        <v>195</v>
      </c>
      <c r="H3212" t="s">
        <v>194</v>
      </c>
      <c r="I3212" t="str">
        <f t="shared" si="265"/>
        <v>svcboot</v>
      </c>
      <c r="J3212" t="str">
        <f t="shared" si="266"/>
        <v/>
      </c>
      <c r="L3212" t="str">
        <f t="shared" si="264"/>
        <v/>
      </c>
      <c r="M3212" t="str">
        <f t="shared" si="264"/>
        <v/>
      </c>
      <c r="N3212" t="str">
        <f t="shared" si="264"/>
        <v/>
      </c>
      <c r="O3212" t="str">
        <f t="shared" si="264"/>
        <v/>
      </c>
      <c r="P3212" t="str">
        <f t="shared" si="264"/>
        <v/>
      </c>
      <c r="S3212" t="s">
        <v>46</v>
      </c>
      <c r="T3212" t="str">
        <f t="shared" si="267"/>
        <v>svcbootrelease</v>
      </c>
      <c r="U3212" t="s">
        <v>106</v>
      </c>
      <c r="V3212" t="str">
        <f t="shared" si="263"/>
        <v>MVS</v>
      </c>
      <c r="W3212" t="str">
        <f t="shared" si="263"/>
        <v>MVS,AES</v>
      </c>
      <c r="Y3212" t="s">
        <v>45</v>
      </c>
      <c r="Z3212" t="s">
        <v>44</v>
      </c>
      <c r="AB3212" t="s">
        <v>43</v>
      </c>
      <c r="AC3212" t="s">
        <v>42</v>
      </c>
      <c r="AD3212" t="s">
        <v>41</v>
      </c>
      <c r="AE3212" t="s">
        <v>57</v>
      </c>
      <c r="AG3212" t="s">
        <v>40</v>
      </c>
      <c r="AH3212" t="s">
        <v>366</v>
      </c>
      <c r="AI3212" t="s">
        <v>9</v>
      </c>
      <c r="AJ3212" t="s">
        <v>57</v>
      </c>
      <c r="AK3212" t="s">
        <v>365</v>
      </c>
      <c r="AL3212" t="s">
        <v>364</v>
      </c>
      <c r="AP3212" t="s">
        <v>138</v>
      </c>
      <c r="AQ3212" t="s">
        <v>363</v>
      </c>
      <c r="AR3212" t="s">
        <v>325</v>
      </c>
    </row>
    <row r="3213" spans="5:44" x14ac:dyDescent="0.25">
      <c r="I3213" t="str">
        <f t="shared" si="265"/>
        <v>svcboot</v>
      </c>
      <c r="J3213" t="str">
        <f t="shared" si="266"/>
        <v/>
      </c>
      <c r="L3213" t="str">
        <f t="shared" si="264"/>
        <v/>
      </c>
      <c r="M3213" t="str">
        <f t="shared" si="264"/>
        <v/>
      </c>
      <c r="N3213" t="str">
        <f t="shared" si="264"/>
        <v/>
      </c>
      <c r="O3213" t="str">
        <f t="shared" si="264"/>
        <v/>
      </c>
      <c r="P3213" t="str">
        <f t="shared" si="264"/>
        <v/>
      </c>
      <c r="S3213" t="s">
        <v>36</v>
      </c>
      <c r="T3213" t="str">
        <f t="shared" si="267"/>
        <v>svcbootcompatibility</v>
      </c>
      <c r="U3213" t="s">
        <v>218</v>
      </c>
      <c r="V3213" t="str">
        <f t="shared" si="263"/>
        <v>MVS</v>
      </c>
      <c r="W3213" t="str">
        <f t="shared" si="263"/>
        <v>MVS,AES</v>
      </c>
      <c r="AB3213" t="s">
        <v>34</v>
      </c>
      <c r="AE3213" t="s">
        <v>135</v>
      </c>
      <c r="AH3213" t="s">
        <v>362</v>
      </c>
      <c r="AI3213" t="s">
        <v>313</v>
      </c>
      <c r="AJ3213" t="s">
        <v>313</v>
      </c>
      <c r="AK3213" t="s">
        <v>361</v>
      </c>
      <c r="AL3213" t="s">
        <v>360</v>
      </c>
    </row>
    <row r="3214" spans="5:44" x14ac:dyDescent="0.25">
      <c r="I3214" t="str">
        <f t="shared" si="265"/>
        <v>svcboot</v>
      </c>
      <c r="J3214" t="str">
        <f t="shared" si="266"/>
        <v/>
      </c>
      <c r="L3214" t="str">
        <f t="shared" si="264"/>
        <v/>
      </c>
      <c r="M3214" t="str">
        <f t="shared" si="264"/>
        <v/>
      </c>
      <c r="N3214" t="str">
        <f t="shared" si="264"/>
        <v/>
      </c>
      <c r="O3214" t="str">
        <f t="shared" si="264"/>
        <v/>
      </c>
      <c r="P3214" t="str">
        <f t="shared" si="264"/>
        <v/>
      </c>
      <c r="T3214" t="str">
        <f t="shared" si="267"/>
        <v/>
      </c>
      <c r="V3214" t="str">
        <f t="shared" si="263"/>
        <v>MVS</v>
      </c>
      <c r="W3214" t="str">
        <f t="shared" si="263"/>
        <v>MVS,AES</v>
      </c>
      <c r="AG3214" t="s">
        <v>224</v>
      </c>
      <c r="AI3214" t="s">
        <v>314</v>
      </c>
      <c r="AJ3214" t="s">
        <v>313</v>
      </c>
    </row>
    <row r="3215" spans="5:44" x14ac:dyDescent="0.25">
      <c r="I3215" t="str">
        <f t="shared" si="265"/>
        <v>svcboot</v>
      </c>
      <c r="J3215" t="str">
        <f t="shared" si="266"/>
        <v/>
      </c>
      <c r="L3215" t="str">
        <f t="shared" si="264"/>
        <v/>
      </c>
      <c r="M3215" t="str">
        <f t="shared" si="264"/>
        <v/>
      </c>
      <c r="N3215" t="str">
        <f t="shared" si="264"/>
        <v/>
      </c>
      <c r="O3215" t="str">
        <f t="shared" si="264"/>
        <v/>
      </c>
      <c r="P3215" t="str">
        <f t="shared" si="264"/>
        <v/>
      </c>
      <c r="T3215" t="str">
        <f t="shared" si="267"/>
        <v/>
      </c>
      <c r="V3215" t="str">
        <f t="shared" si="263"/>
        <v>MVS</v>
      </c>
      <c r="W3215" t="str">
        <f t="shared" si="263"/>
        <v>MVS,AES</v>
      </c>
      <c r="AB3215" t="s">
        <v>29</v>
      </c>
      <c r="AE3215" t="s">
        <v>318</v>
      </c>
      <c r="AH3215" t="s">
        <v>317</v>
      </c>
      <c r="AI3215" t="s">
        <v>135</v>
      </c>
      <c r="AJ3215" t="s">
        <v>313</v>
      </c>
      <c r="AK3215" t="s">
        <v>316</v>
      </c>
      <c r="AL3215" t="s">
        <v>315</v>
      </c>
    </row>
    <row r="3216" spans="5:44" x14ac:dyDescent="0.25">
      <c r="I3216" t="str">
        <f t="shared" si="265"/>
        <v>svcboot</v>
      </c>
      <c r="J3216" t="str">
        <f t="shared" si="266"/>
        <v/>
      </c>
      <c r="L3216" t="str">
        <f t="shared" si="264"/>
        <v/>
      </c>
      <c r="M3216" t="str">
        <f t="shared" si="264"/>
        <v/>
      </c>
      <c r="N3216" t="str">
        <f t="shared" si="264"/>
        <v/>
      </c>
      <c r="O3216" t="str">
        <f t="shared" si="264"/>
        <v/>
      </c>
      <c r="P3216" t="str">
        <f t="shared" si="264"/>
        <v/>
      </c>
      <c r="T3216" t="str">
        <f t="shared" si="267"/>
        <v/>
      </c>
      <c r="V3216" t="str">
        <f t="shared" si="263"/>
        <v>MVS</v>
      </c>
      <c r="W3216" t="str">
        <f t="shared" si="263"/>
        <v>MVS,AES</v>
      </c>
      <c r="AG3216" t="s">
        <v>224</v>
      </c>
      <c r="AI3216" t="s">
        <v>314</v>
      </c>
      <c r="AJ3216" t="s">
        <v>313</v>
      </c>
    </row>
    <row r="3217" spans="5:44" x14ac:dyDescent="0.25">
      <c r="I3217" t="str">
        <f t="shared" si="265"/>
        <v>svcboot</v>
      </c>
      <c r="J3217" t="str">
        <f t="shared" si="266"/>
        <v/>
      </c>
      <c r="L3217" t="str">
        <f t="shared" si="264"/>
        <v/>
      </c>
      <c r="M3217" t="str">
        <f t="shared" si="264"/>
        <v/>
      </c>
      <c r="N3217" t="str">
        <f t="shared" si="264"/>
        <v/>
      </c>
      <c r="O3217" t="str">
        <f t="shared" si="264"/>
        <v/>
      </c>
      <c r="P3217" t="str">
        <f t="shared" si="264"/>
        <v/>
      </c>
      <c r="T3217" t="str">
        <f t="shared" si="267"/>
        <v/>
      </c>
      <c r="V3217" t="str">
        <f t="shared" si="263"/>
        <v>MVS</v>
      </c>
      <c r="W3217" t="str">
        <f t="shared" si="263"/>
        <v>MVS,AES</v>
      </c>
      <c r="AB3217" t="s">
        <v>24</v>
      </c>
      <c r="AE3217" t="s">
        <v>65</v>
      </c>
      <c r="AG3217" t="s">
        <v>40</v>
      </c>
      <c r="AH3217" t="s">
        <v>312</v>
      </c>
      <c r="AI3217" t="s">
        <v>9</v>
      </c>
      <c r="AJ3217" t="s">
        <v>11</v>
      </c>
      <c r="AK3217" t="s">
        <v>311</v>
      </c>
      <c r="AL3217" t="s">
        <v>310</v>
      </c>
    </row>
    <row r="3218" spans="5:44" x14ac:dyDescent="0.25">
      <c r="I3218" t="str">
        <f t="shared" si="265"/>
        <v>svcboot</v>
      </c>
      <c r="J3218" t="str">
        <f t="shared" si="266"/>
        <v/>
      </c>
      <c r="L3218" t="str">
        <f t="shared" si="264"/>
        <v/>
      </c>
      <c r="M3218" t="str">
        <f t="shared" si="264"/>
        <v/>
      </c>
      <c r="N3218" t="str">
        <f t="shared" si="264"/>
        <v/>
      </c>
      <c r="O3218" t="str">
        <f t="shared" si="264"/>
        <v/>
      </c>
      <c r="P3218" t="str">
        <f t="shared" si="264"/>
        <v/>
      </c>
      <c r="T3218" t="str">
        <f t="shared" si="267"/>
        <v/>
      </c>
      <c r="V3218" t="str">
        <f t="shared" si="263"/>
        <v>MVS</v>
      </c>
      <c r="W3218" t="str">
        <f t="shared" si="263"/>
        <v>MVS,AES</v>
      </c>
      <c r="AG3218" t="s">
        <v>40</v>
      </c>
      <c r="AH3218" t="s">
        <v>309</v>
      </c>
      <c r="AI3218" t="s">
        <v>11</v>
      </c>
      <c r="AJ3218" t="s">
        <v>11</v>
      </c>
      <c r="AK3218" t="s">
        <v>308</v>
      </c>
      <c r="AL3218" t="s">
        <v>307</v>
      </c>
    </row>
    <row r="3219" spans="5:44" x14ac:dyDescent="0.25">
      <c r="I3219" t="str">
        <f t="shared" si="265"/>
        <v>svcboot</v>
      </c>
      <c r="J3219" t="str">
        <f t="shared" si="266"/>
        <v/>
      </c>
      <c r="L3219" t="str">
        <f t="shared" si="264"/>
        <v/>
      </c>
      <c r="M3219" t="str">
        <f t="shared" si="264"/>
        <v/>
      </c>
      <c r="N3219" t="str">
        <f t="shared" si="264"/>
        <v/>
      </c>
      <c r="O3219" t="str">
        <f t="shared" si="264"/>
        <v/>
      </c>
      <c r="P3219" t="str">
        <f t="shared" si="264"/>
        <v/>
      </c>
      <c r="T3219" t="str">
        <f t="shared" si="267"/>
        <v/>
      </c>
      <c r="V3219" t="str">
        <f t="shared" si="263"/>
        <v>MVS</v>
      </c>
      <c r="W3219" t="str">
        <f t="shared" si="263"/>
        <v>MVS,AES</v>
      </c>
      <c r="AG3219" t="s">
        <v>40</v>
      </c>
      <c r="AH3219" t="s">
        <v>306</v>
      </c>
      <c r="AI3219" t="s">
        <v>57</v>
      </c>
      <c r="AJ3219" t="s">
        <v>11</v>
      </c>
      <c r="AK3219" t="s">
        <v>305</v>
      </c>
      <c r="AL3219" t="s">
        <v>304</v>
      </c>
    </row>
    <row r="3220" spans="5:44" x14ac:dyDescent="0.25">
      <c r="I3220" t="str">
        <f t="shared" si="265"/>
        <v>svcboot</v>
      </c>
      <c r="J3220" t="str">
        <f t="shared" si="266"/>
        <v/>
      </c>
      <c r="L3220" t="str">
        <f t="shared" si="264"/>
        <v/>
      </c>
      <c r="M3220" t="str">
        <f t="shared" si="264"/>
        <v/>
      </c>
      <c r="N3220" t="str">
        <f t="shared" si="264"/>
        <v/>
      </c>
      <c r="O3220" t="str">
        <f t="shared" si="264"/>
        <v/>
      </c>
      <c r="P3220" t="str">
        <f t="shared" si="264"/>
        <v/>
      </c>
      <c r="T3220" t="str">
        <f t="shared" si="267"/>
        <v/>
      </c>
      <c r="V3220" t="str">
        <f t="shared" si="263"/>
        <v>MVS</v>
      </c>
      <c r="W3220" t="str">
        <f t="shared" si="263"/>
        <v>MVS,AES</v>
      </c>
      <c r="AG3220" t="s">
        <v>40</v>
      </c>
      <c r="AH3220" t="s">
        <v>303</v>
      </c>
      <c r="AI3220" t="s">
        <v>250</v>
      </c>
      <c r="AJ3220" t="s">
        <v>11</v>
      </c>
      <c r="AK3220" t="s">
        <v>302</v>
      </c>
      <c r="AL3220" t="s">
        <v>301</v>
      </c>
    </row>
    <row r="3221" spans="5:44" x14ac:dyDescent="0.25">
      <c r="I3221" t="str">
        <f t="shared" si="265"/>
        <v>svcboot</v>
      </c>
      <c r="J3221" t="str">
        <f t="shared" si="266"/>
        <v/>
      </c>
      <c r="L3221" t="str">
        <f t="shared" si="264"/>
        <v/>
      </c>
      <c r="M3221" t="str">
        <f t="shared" si="264"/>
        <v/>
      </c>
      <c r="N3221" t="str">
        <f t="shared" si="264"/>
        <v/>
      </c>
      <c r="O3221" t="str">
        <f t="shared" si="264"/>
        <v/>
      </c>
      <c r="P3221" t="str">
        <f t="shared" si="264"/>
        <v/>
      </c>
      <c r="T3221" t="str">
        <f t="shared" si="267"/>
        <v/>
      </c>
      <c r="V3221" t="str">
        <f t="shared" si="263"/>
        <v>MVS</v>
      </c>
      <c r="W3221" t="str">
        <f t="shared" si="263"/>
        <v>MVS,AES</v>
      </c>
      <c r="AB3221" t="s">
        <v>12</v>
      </c>
      <c r="AE3221" t="s">
        <v>175</v>
      </c>
      <c r="AG3221" t="s">
        <v>6</v>
      </c>
      <c r="AH3221" t="s">
        <v>300</v>
      </c>
      <c r="AI3221" t="s">
        <v>9</v>
      </c>
      <c r="AJ3221" t="s">
        <v>57</v>
      </c>
      <c r="AK3221" t="s">
        <v>299</v>
      </c>
      <c r="AL3221" t="s">
        <v>298</v>
      </c>
    </row>
    <row r="3222" spans="5:44" x14ac:dyDescent="0.25">
      <c r="I3222" t="str">
        <f t="shared" si="265"/>
        <v>svcboot</v>
      </c>
      <c r="J3222" t="str">
        <f t="shared" si="266"/>
        <v/>
      </c>
      <c r="L3222" t="str">
        <f t="shared" si="264"/>
        <v/>
      </c>
      <c r="M3222" t="str">
        <f t="shared" si="264"/>
        <v/>
      </c>
      <c r="N3222" t="str">
        <f t="shared" si="264"/>
        <v/>
      </c>
      <c r="O3222" t="str">
        <f t="shared" si="264"/>
        <v/>
      </c>
      <c r="P3222" t="str">
        <f t="shared" si="264"/>
        <v/>
      </c>
      <c r="T3222" t="str">
        <f t="shared" si="267"/>
        <v/>
      </c>
      <c r="V3222" t="str">
        <f t="shared" si="263"/>
        <v>MVS</v>
      </c>
      <c r="W3222" t="str">
        <f t="shared" si="263"/>
        <v>MVS,AES</v>
      </c>
      <c r="AG3222" t="s">
        <v>6</v>
      </c>
      <c r="AH3222" t="s">
        <v>297</v>
      </c>
      <c r="AI3222" t="s">
        <v>4</v>
      </c>
      <c r="AJ3222" t="s">
        <v>57</v>
      </c>
      <c r="AK3222" t="s">
        <v>296</v>
      </c>
      <c r="AL3222" t="s">
        <v>295</v>
      </c>
    </row>
    <row r="3223" spans="5:44" x14ac:dyDescent="0.25">
      <c r="I3223" t="str">
        <f t="shared" si="265"/>
        <v>svcboot</v>
      </c>
      <c r="J3223" t="str">
        <f t="shared" si="266"/>
        <v/>
      </c>
      <c r="L3223" t="str">
        <f t="shared" si="264"/>
        <v/>
      </c>
      <c r="M3223" t="str">
        <f t="shared" si="264"/>
        <v/>
      </c>
      <c r="N3223" t="str">
        <f t="shared" si="264"/>
        <v/>
      </c>
      <c r="O3223" t="str">
        <f t="shared" si="264"/>
        <v/>
      </c>
      <c r="P3223" t="str">
        <f t="shared" si="264"/>
        <v/>
      </c>
      <c r="T3223" t="str">
        <f t="shared" si="267"/>
        <v/>
      </c>
      <c r="V3223" t="str">
        <f t="shared" ref="V3223:W3286" si="268">IFERROR(VLOOKUP($I3223&amp;V$1,$T:$AA,2,0),"")</f>
        <v>MVS</v>
      </c>
      <c r="W3223" t="str">
        <f t="shared" si="268"/>
        <v>MVS,AES</v>
      </c>
      <c r="AG3223" t="s">
        <v>6</v>
      </c>
      <c r="AH3223" t="s">
        <v>294</v>
      </c>
      <c r="AI3223" t="s">
        <v>65</v>
      </c>
      <c r="AJ3223" t="s">
        <v>57</v>
      </c>
      <c r="AK3223" t="s">
        <v>293</v>
      </c>
      <c r="AL3223" t="s">
        <v>292</v>
      </c>
    </row>
    <row r="3224" spans="5:44" x14ac:dyDescent="0.25">
      <c r="I3224" t="str">
        <f t="shared" si="265"/>
        <v>svcboot</v>
      </c>
      <c r="J3224" t="str">
        <f t="shared" si="266"/>
        <v/>
      </c>
      <c r="L3224" t="str">
        <f t="shared" si="264"/>
        <v/>
      </c>
      <c r="M3224" t="str">
        <f t="shared" si="264"/>
        <v/>
      </c>
      <c r="N3224" t="str">
        <f t="shared" si="264"/>
        <v/>
      </c>
      <c r="O3224" t="str">
        <f t="shared" si="264"/>
        <v/>
      </c>
      <c r="P3224" t="str">
        <f t="shared" si="264"/>
        <v/>
      </c>
      <c r="T3224" t="str">
        <f t="shared" si="267"/>
        <v/>
      </c>
      <c r="V3224" t="str">
        <f t="shared" si="268"/>
        <v>MVS</v>
      </c>
      <c r="W3224" t="str">
        <f t="shared" si="268"/>
        <v>MVS,AES</v>
      </c>
      <c r="AG3224" t="s">
        <v>6</v>
      </c>
      <c r="AH3224" t="s">
        <v>291</v>
      </c>
      <c r="AI3224" t="s">
        <v>164</v>
      </c>
      <c r="AJ3224" t="s">
        <v>57</v>
      </c>
      <c r="AK3224" t="s">
        <v>290</v>
      </c>
      <c r="AL3224" t="s">
        <v>289</v>
      </c>
    </row>
    <row r="3225" spans="5:44" x14ac:dyDescent="0.25">
      <c r="I3225" t="str">
        <f t="shared" si="265"/>
        <v>svcboot</v>
      </c>
      <c r="J3225" t="str">
        <f t="shared" si="266"/>
        <v/>
      </c>
      <c r="L3225" t="str">
        <f t="shared" si="264"/>
        <v/>
      </c>
      <c r="M3225" t="str">
        <f t="shared" si="264"/>
        <v/>
      </c>
      <c r="N3225" t="str">
        <f t="shared" si="264"/>
        <v/>
      </c>
      <c r="O3225" t="str">
        <f t="shared" si="264"/>
        <v/>
      </c>
      <c r="P3225" t="str">
        <f t="shared" si="264"/>
        <v/>
      </c>
      <c r="T3225" t="str">
        <f t="shared" si="267"/>
        <v/>
      </c>
      <c r="V3225" t="str">
        <f t="shared" si="268"/>
        <v>MVS</v>
      </c>
      <c r="W3225" t="str">
        <f t="shared" si="268"/>
        <v>MVS,AES</v>
      </c>
      <c r="AG3225" t="s">
        <v>6</v>
      </c>
      <c r="AH3225" t="s">
        <v>288</v>
      </c>
      <c r="AI3225" t="s">
        <v>160</v>
      </c>
      <c r="AJ3225" t="s">
        <v>57</v>
      </c>
      <c r="AK3225" t="s">
        <v>287</v>
      </c>
      <c r="AL3225" t="s">
        <v>286</v>
      </c>
    </row>
    <row r="3226" spans="5:44" x14ac:dyDescent="0.25">
      <c r="I3226" t="str">
        <f t="shared" si="265"/>
        <v>svcboot</v>
      </c>
      <c r="J3226" t="str">
        <f t="shared" si="266"/>
        <v/>
      </c>
      <c r="L3226" t="str">
        <f t="shared" si="264"/>
        <v/>
      </c>
      <c r="M3226" t="str">
        <f t="shared" si="264"/>
        <v/>
      </c>
      <c r="N3226" t="str">
        <f t="shared" si="264"/>
        <v/>
      </c>
      <c r="O3226" t="str">
        <f t="shared" si="264"/>
        <v/>
      </c>
      <c r="P3226" t="str">
        <f t="shared" si="264"/>
        <v/>
      </c>
      <c r="T3226" t="str">
        <f t="shared" si="267"/>
        <v/>
      </c>
      <c r="V3226" t="str">
        <f t="shared" si="268"/>
        <v>MVS</v>
      </c>
      <c r="W3226" t="str">
        <f t="shared" si="268"/>
        <v>MVS,AES</v>
      </c>
      <c r="AG3226" t="s">
        <v>6</v>
      </c>
      <c r="AH3226" t="s">
        <v>285</v>
      </c>
      <c r="AI3226" t="s">
        <v>156</v>
      </c>
      <c r="AJ3226" t="s">
        <v>57</v>
      </c>
      <c r="AK3226" t="s">
        <v>284</v>
      </c>
      <c r="AL3226" t="s">
        <v>283</v>
      </c>
    </row>
    <row r="3227" spans="5:44" x14ac:dyDescent="0.25">
      <c r="I3227" t="str">
        <f t="shared" si="265"/>
        <v>svcboot</v>
      </c>
      <c r="J3227" t="str">
        <f t="shared" si="266"/>
        <v/>
      </c>
      <c r="L3227" t="str">
        <f t="shared" si="264"/>
        <v/>
      </c>
      <c r="M3227" t="str">
        <f t="shared" si="264"/>
        <v/>
      </c>
      <c r="N3227" t="str">
        <f t="shared" si="264"/>
        <v/>
      </c>
      <c r="O3227" t="str">
        <f t="shared" si="264"/>
        <v/>
      </c>
      <c r="P3227" t="str">
        <f t="shared" si="264"/>
        <v/>
      </c>
      <c r="T3227" t="str">
        <f t="shared" si="267"/>
        <v/>
      </c>
      <c r="V3227" t="str">
        <f t="shared" si="268"/>
        <v>MVS</v>
      </c>
      <c r="W3227" t="str">
        <f t="shared" si="268"/>
        <v>MVS,AES</v>
      </c>
      <c r="AG3227" t="s">
        <v>6</v>
      </c>
      <c r="AH3227" t="s">
        <v>282</v>
      </c>
      <c r="AI3227" t="s">
        <v>152</v>
      </c>
      <c r="AJ3227" t="s">
        <v>57</v>
      </c>
      <c r="AK3227" t="s">
        <v>281</v>
      </c>
      <c r="AL3227" t="s">
        <v>280</v>
      </c>
    </row>
    <row r="3228" spans="5:44" x14ac:dyDescent="0.25">
      <c r="I3228" t="str">
        <f t="shared" si="265"/>
        <v>svcboot</v>
      </c>
      <c r="J3228" t="str">
        <f t="shared" si="266"/>
        <v/>
      </c>
      <c r="L3228" t="str">
        <f t="shared" ref="L3228:P3259" si="269">IFERROR(VLOOKUP($I3228&amp;L$1,$J:$Q,8,0),"")</f>
        <v/>
      </c>
      <c r="M3228" t="str">
        <f t="shared" si="269"/>
        <v/>
      </c>
      <c r="N3228" t="str">
        <f t="shared" si="269"/>
        <v/>
      </c>
      <c r="O3228" t="str">
        <f t="shared" si="269"/>
        <v/>
      </c>
      <c r="P3228" t="str">
        <f t="shared" si="269"/>
        <v/>
      </c>
      <c r="T3228" t="str">
        <f t="shared" si="267"/>
        <v/>
      </c>
      <c r="V3228" t="str">
        <f t="shared" si="268"/>
        <v>MVS</v>
      </c>
      <c r="W3228" t="str">
        <f t="shared" si="268"/>
        <v>MVS,AES</v>
      </c>
      <c r="AG3228" t="s">
        <v>6</v>
      </c>
      <c r="AH3228" t="s">
        <v>279</v>
      </c>
      <c r="AI3228" t="s">
        <v>148</v>
      </c>
      <c r="AJ3228" t="s">
        <v>57</v>
      </c>
      <c r="AK3228" t="s">
        <v>278</v>
      </c>
      <c r="AL3228" t="s">
        <v>277</v>
      </c>
    </row>
    <row r="3229" spans="5:44" x14ac:dyDescent="0.25">
      <c r="E3229" t="s">
        <v>359</v>
      </c>
      <c r="F3229" t="s">
        <v>358</v>
      </c>
      <c r="G3229" t="s">
        <v>195</v>
      </c>
      <c r="H3229" t="s">
        <v>194</v>
      </c>
      <c r="I3229" t="str">
        <f t="shared" si="265"/>
        <v>svcplus</v>
      </c>
      <c r="J3229" t="str">
        <f t="shared" si="266"/>
        <v>svcpluscompat_note</v>
      </c>
      <c r="K3229" t="s">
        <v>111</v>
      </c>
      <c r="L3229" t="str">
        <f t="shared" si="269"/>
        <v/>
      </c>
      <c r="M3229" t="str">
        <f t="shared" si="269"/>
        <v/>
      </c>
      <c r="N3229" t="str">
        <f t="shared" si="269"/>
        <v/>
      </c>
      <c r="O3229" t="str">
        <f t="shared" si="269"/>
        <v>Plus text remains on screen during gameplay</v>
      </c>
      <c r="P3229" t="str">
        <f t="shared" si="269"/>
        <v/>
      </c>
      <c r="Q3229" t="s">
        <v>212</v>
      </c>
      <c r="S3229" t="s">
        <v>46</v>
      </c>
      <c r="T3229" t="str">
        <f t="shared" si="267"/>
        <v>svcplusrelease</v>
      </c>
      <c r="U3229" t="s">
        <v>106</v>
      </c>
      <c r="V3229" t="str">
        <f t="shared" si="268"/>
        <v>MVS</v>
      </c>
      <c r="W3229" t="str">
        <f t="shared" si="268"/>
        <v>MVS</v>
      </c>
      <c r="Y3229" t="s">
        <v>45</v>
      </c>
      <c r="Z3229" t="s">
        <v>44</v>
      </c>
      <c r="AB3229" t="s">
        <v>43</v>
      </c>
      <c r="AC3229" t="s">
        <v>42</v>
      </c>
      <c r="AD3229" t="s">
        <v>41</v>
      </c>
      <c r="AE3229" t="s">
        <v>75</v>
      </c>
      <c r="AG3229" t="s">
        <v>40</v>
      </c>
      <c r="AH3229" t="s">
        <v>357</v>
      </c>
      <c r="AI3229" t="s">
        <v>9</v>
      </c>
      <c r="AJ3229" t="s">
        <v>3</v>
      </c>
      <c r="AK3229" t="s">
        <v>356</v>
      </c>
      <c r="AL3229" t="s">
        <v>355</v>
      </c>
      <c r="AP3229" t="s">
        <v>138</v>
      </c>
      <c r="AQ3229" t="s">
        <v>354</v>
      </c>
      <c r="AR3229" t="s">
        <v>325</v>
      </c>
    </row>
    <row r="3230" spans="5:44" x14ac:dyDescent="0.25">
      <c r="I3230" t="str">
        <f t="shared" si="265"/>
        <v>svcplus</v>
      </c>
      <c r="J3230" t="str">
        <f t="shared" si="266"/>
        <v/>
      </c>
      <c r="L3230" t="str">
        <f t="shared" si="269"/>
        <v/>
      </c>
      <c r="M3230" t="str">
        <f t="shared" si="269"/>
        <v/>
      </c>
      <c r="N3230" t="str">
        <f t="shared" si="269"/>
        <v/>
      </c>
      <c r="O3230" t="str">
        <f t="shared" si="269"/>
        <v>Plus text remains on screen during gameplay</v>
      </c>
      <c r="P3230" t="str">
        <f t="shared" si="269"/>
        <v/>
      </c>
      <c r="S3230" t="s">
        <v>36</v>
      </c>
      <c r="T3230" t="str">
        <f t="shared" si="267"/>
        <v>svcpluscompatibility</v>
      </c>
      <c r="U3230" t="s">
        <v>106</v>
      </c>
      <c r="V3230" t="str">
        <f t="shared" si="268"/>
        <v>MVS</v>
      </c>
      <c r="W3230" t="str">
        <f t="shared" si="268"/>
        <v>MVS</v>
      </c>
      <c r="AG3230" t="s">
        <v>40</v>
      </c>
      <c r="AH3230" t="s">
        <v>353</v>
      </c>
      <c r="AI3230" t="s">
        <v>3</v>
      </c>
      <c r="AJ3230" t="s">
        <v>3</v>
      </c>
      <c r="AK3230" t="s">
        <v>352</v>
      </c>
      <c r="AL3230" t="s">
        <v>351</v>
      </c>
    </row>
    <row r="3231" spans="5:44" x14ac:dyDescent="0.25">
      <c r="I3231" t="str">
        <f t="shared" si="265"/>
        <v>svcplus</v>
      </c>
      <c r="J3231" t="str">
        <f t="shared" si="266"/>
        <v/>
      </c>
      <c r="L3231" t="str">
        <f t="shared" si="269"/>
        <v/>
      </c>
      <c r="M3231" t="str">
        <f t="shared" si="269"/>
        <v/>
      </c>
      <c r="N3231" t="str">
        <f t="shared" si="269"/>
        <v/>
      </c>
      <c r="O3231" t="str">
        <f t="shared" si="269"/>
        <v>Plus text remains on screen during gameplay</v>
      </c>
      <c r="P3231" t="str">
        <f t="shared" si="269"/>
        <v/>
      </c>
      <c r="T3231" t="str">
        <f t="shared" si="267"/>
        <v/>
      </c>
      <c r="V3231" t="str">
        <f t="shared" si="268"/>
        <v>MVS</v>
      </c>
      <c r="W3231" t="str">
        <f t="shared" si="268"/>
        <v>MVS</v>
      </c>
      <c r="AG3231" t="s">
        <v>40</v>
      </c>
      <c r="AH3231" t="s">
        <v>350</v>
      </c>
      <c r="AI3231" t="s">
        <v>11</v>
      </c>
      <c r="AJ3231" t="s">
        <v>3</v>
      </c>
      <c r="AK3231" t="s">
        <v>349</v>
      </c>
      <c r="AL3231" t="s">
        <v>348</v>
      </c>
    </row>
    <row r="3232" spans="5:44" x14ac:dyDescent="0.25">
      <c r="I3232" t="str">
        <f t="shared" si="265"/>
        <v>svcplus</v>
      </c>
      <c r="J3232" t="str">
        <f t="shared" si="266"/>
        <v/>
      </c>
      <c r="L3232" t="str">
        <f t="shared" si="269"/>
        <v/>
      </c>
      <c r="M3232" t="str">
        <f t="shared" si="269"/>
        <v/>
      </c>
      <c r="N3232" t="str">
        <f t="shared" si="269"/>
        <v/>
      </c>
      <c r="O3232" t="str">
        <f t="shared" si="269"/>
        <v>Plus text remains on screen during gameplay</v>
      </c>
      <c r="P3232" t="str">
        <f t="shared" si="269"/>
        <v/>
      </c>
      <c r="T3232" t="str">
        <f t="shared" si="267"/>
        <v/>
      </c>
      <c r="V3232" t="str">
        <f t="shared" si="268"/>
        <v>MVS</v>
      </c>
      <c r="W3232" t="str">
        <f t="shared" si="268"/>
        <v>MVS</v>
      </c>
      <c r="AB3232" t="s">
        <v>34</v>
      </c>
      <c r="AE3232" t="s">
        <v>33</v>
      </c>
      <c r="AH3232" t="s">
        <v>347</v>
      </c>
      <c r="AI3232" t="s">
        <v>9</v>
      </c>
      <c r="AJ3232" t="s">
        <v>27</v>
      </c>
      <c r="AK3232" t="s">
        <v>346</v>
      </c>
      <c r="AL3232" t="s">
        <v>345</v>
      </c>
    </row>
    <row r="3233" spans="5:44" x14ac:dyDescent="0.25">
      <c r="I3233" t="str">
        <f t="shared" si="265"/>
        <v>svcplus</v>
      </c>
      <c r="J3233" t="str">
        <f t="shared" si="266"/>
        <v/>
      </c>
      <c r="L3233" t="str">
        <f t="shared" si="269"/>
        <v/>
      </c>
      <c r="M3233" t="str">
        <f t="shared" si="269"/>
        <v/>
      </c>
      <c r="N3233" t="str">
        <f t="shared" si="269"/>
        <v/>
      </c>
      <c r="O3233" t="str">
        <f t="shared" si="269"/>
        <v>Plus text remains on screen during gameplay</v>
      </c>
      <c r="P3233" t="str">
        <f t="shared" si="269"/>
        <v/>
      </c>
      <c r="T3233" t="str">
        <f t="shared" si="267"/>
        <v/>
      </c>
      <c r="V3233" t="str">
        <f t="shared" si="268"/>
        <v>MVS</v>
      </c>
      <c r="W3233" t="str">
        <f t="shared" si="268"/>
        <v>MVS</v>
      </c>
      <c r="AB3233" t="s">
        <v>29</v>
      </c>
      <c r="AE3233" t="s">
        <v>318</v>
      </c>
      <c r="AH3233" t="s">
        <v>317</v>
      </c>
      <c r="AI3233" t="s">
        <v>135</v>
      </c>
      <c r="AJ3233" t="s">
        <v>313</v>
      </c>
      <c r="AK3233" t="s">
        <v>316</v>
      </c>
      <c r="AL3233" t="s">
        <v>315</v>
      </c>
    </row>
    <row r="3234" spans="5:44" x14ac:dyDescent="0.25">
      <c r="I3234" t="str">
        <f t="shared" si="265"/>
        <v>svcplus</v>
      </c>
      <c r="J3234" t="str">
        <f t="shared" si="266"/>
        <v/>
      </c>
      <c r="L3234" t="str">
        <f t="shared" si="269"/>
        <v/>
      </c>
      <c r="M3234" t="str">
        <f t="shared" si="269"/>
        <v/>
      </c>
      <c r="N3234" t="str">
        <f t="shared" si="269"/>
        <v/>
      </c>
      <c r="O3234" t="str">
        <f t="shared" si="269"/>
        <v>Plus text remains on screen during gameplay</v>
      </c>
      <c r="P3234" t="str">
        <f t="shared" si="269"/>
        <v/>
      </c>
      <c r="T3234" t="str">
        <f t="shared" si="267"/>
        <v/>
      </c>
      <c r="V3234" t="str">
        <f t="shared" si="268"/>
        <v>MVS</v>
      </c>
      <c r="W3234" t="str">
        <f t="shared" si="268"/>
        <v>MVS</v>
      </c>
      <c r="AG3234" t="s">
        <v>224</v>
      </c>
      <c r="AI3234" t="s">
        <v>314</v>
      </c>
      <c r="AJ3234" t="s">
        <v>313</v>
      </c>
    </row>
    <row r="3235" spans="5:44" x14ac:dyDescent="0.25">
      <c r="I3235" t="str">
        <f t="shared" si="265"/>
        <v>svcplus</v>
      </c>
      <c r="J3235" t="str">
        <f t="shared" si="266"/>
        <v/>
      </c>
      <c r="L3235" t="str">
        <f t="shared" si="269"/>
        <v/>
      </c>
      <c r="M3235" t="str">
        <f t="shared" si="269"/>
        <v/>
      </c>
      <c r="N3235" t="str">
        <f t="shared" si="269"/>
        <v/>
      </c>
      <c r="O3235" t="str">
        <f t="shared" si="269"/>
        <v>Plus text remains on screen during gameplay</v>
      </c>
      <c r="P3235" t="str">
        <f t="shared" si="269"/>
        <v/>
      </c>
      <c r="T3235" t="str">
        <f t="shared" si="267"/>
        <v/>
      </c>
      <c r="V3235" t="str">
        <f t="shared" si="268"/>
        <v>MVS</v>
      </c>
      <c r="W3235" t="str">
        <f t="shared" si="268"/>
        <v>MVS</v>
      </c>
      <c r="AB3235" t="s">
        <v>24</v>
      </c>
      <c r="AE3235" t="s">
        <v>65</v>
      </c>
      <c r="AG3235" t="s">
        <v>40</v>
      </c>
      <c r="AH3235" t="s">
        <v>312</v>
      </c>
      <c r="AI3235" t="s">
        <v>9</v>
      </c>
      <c r="AJ3235" t="s">
        <v>11</v>
      </c>
      <c r="AK3235" t="s">
        <v>311</v>
      </c>
      <c r="AL3235" t="s">
        <v>310</v>
      </c>
    </row>
    <row r="3236" spans="5:44" x14ac:dyDescent="0.25">
      <c r="I3236" t="str">
        <f t="shared" si="265"/>
        <v>svcplus</v>
      </c>
      <c r="J3236" t="str">
        <f t="shared" si="266"/>
        <v/>
      </c>
      <c r="L3236" t="str">
        <f t="shared" si="269"/>
        <v/>
      </c>
      <c r="M3236" t="str">
        <f t="shared" si="269"/>
        <v/>
      </c>
      <c r="N3236" t="str">
        <f t="shared" si="269"/>
        <v/>
      </c>
      <c r="O3236" t="str">
        <f t="shared" si="269"/>
        <v>Plus text remains on screen during gameplay</v>
      </c>
      <c r="P3236" t="str">
        <f t="shared" si="269"/>
        <v/>
      </c>
      <c r="T3236" t="str">
        <f t="shared" si="267"/>
        <v/>
      </c>
      <c r="V3236" t="str">
        <f t="shared" si="268"/>
        <v>MVS</v>
      </c>
      <c r="W3236" t="str">
        <f t="shared" si="268"/>
        <v>MVS</v>
      </c>
      <c r="AG3236" t="s">
        <v>40</v>
      </c>
      <c r="AH3236" t="s">
        <v>309</v>
      </c>
      <c r="AI3236" t="s">
        <v>11</v>
      </c>
      <c r="AJ3236" t="s">
        <v>11</v>
      </c>
      <c r="AK3236" t="s">
        <v>308</v>
      </c>
      <c r="AL3236" t="s">
        <v>307</v>
      </c>
    </row>
    <row r="3237" spans="5:44" x14ac:dyDescent="0.25">
      <c r="I3237" t="str">
        <f t="shared" si="265"/>
        <v>svcplus</v>
      </c>
      <c r="J3237" t="str">
        <f t="shared" si="266"/>
        <v/>
      </c>
      <c r="L3237" t="str">
        <f t="shared" si="269"/>
        <v/>
      </c>
      <c r="M3237" t="str">
        <f t="shared" si="269"/>
        <v/>
      </c>
      <c r="N3237" t="str">
        <f t="shared" si="269"/>
        <v/>
      </c>
      <c r="O3237" t="str">
        <f t="shared" si="269"/>
        <v>Plus text remains on screen during gameplay</v>
      </c>
      <c r="P3237" t="str">
        <f t="shared" si="269"/>
        <v/>
      </c>
      <c r="T3237" t="str">
        <f t="shared" si="267"/>
        <v/>
      </c>
      <c r="V3237" t="str">
        <f t="shared" si="268"/>
        <v>MVS</v>
      </c>
      <c r="W3237" t="str">
        <f t="shared" si="268"/>
        <v>MVS</v>
      </c>
      <c r="AG3237" t="s">
        <v>40</v>
      </c>
      <c r="AH3237" t="s">
        <v>306</v>
      </c>
      <c r="AI3237" t="s">
        <v>57</v>
      </c>
      <c r="AJ3237" t="s">
        <v>11</v>
      </c>
      <c r="AK3237" t="s">
        <v>305</v>
      </c>
      <c r="AL3237" t="s">
        <v>304</v>
      </c>
    </row>
    <row r="3238" spans="5:44" x14ac:dyDescent="0.25">
      <c r="I3238" t="str">
        <f t="shared" si="265"/>
        <v>svcplus</v>
      </c>
      <c r="J3238" t="str">
        <f t="shared" si="266"/>
        <v/>
      </c>
      <c r="L3238" t="str">
        <f t="shared" si="269"/>
        <v/>
      </c>
      <c r="M3238" t="str">
        <f t="shared" si="269"/>
        <v/>
      </c>
      <c r="N3238" t="str">
        <f t="shared" si="269"/>
        <v/>
      </c>
      <c r="O3238" t="str">
        <f t="shared" si="269"/>
        <v>Plus text remains on screen during gameplay</v>
      </c>
      <c r="P3238" t="str">
        <f t="shared" si="269"/>
        <v/>
      </c>
      <c r="T3238" t="str">
        <f t="shared" si="267"/>
        <v/>
      </c>
      <c r="V3238" t="str">
        <f t="shared" si="268"/>
        <v>MVS</v>
      </c>
      <c r="W3238" t="str">
        <f t="shared" si="268"/>
        <v>MVS</v>
      </c>
      <c r="AG3238" t="s">
        <v>40</v>
      </c>
      <c r="AH3238" t="s">
        <v>303</v>
      </c>
      <c r="AI3238" t="s">
        <v>250</v>
      </c>
      <c r="AJ3238" t="s">
        <v>11</v>
      </c>
      <c r="AK3238" t="s">
        <v>302</v>
      </c>
      <c r="AL3238" t="s">
        <v>301</v>
      </c>
    </row>
    <row r="3239" spans="5:44" x14ac:dyDescent="0.25">
      <c r="I3239" t="str">
        <f t="shared" si="265"/>
        <v>svcplus</v>
      </c>
      <c r="J3239" t="str">
        <f t="shared" si="266"/>
        <v/>
      </c>
      <c r="L3239" t="str">
        <f t="shared" si="269"/>
        <v/>
      </c>
      <c r="M3239" t="str">
        <f t="shared" si="269"/>
        <v/>
      </c>
      <c r="N3239" t="str">
        <f t="shared" si="269"/>
        <v/>
      </c>
      <c r="O3239" t="str">
        <f t="shared" si="269"/>
        <v>Plus text remains on screen during gameplay</v>
      </c>
      <c r="P3239" t="str">
        <f t="shared" si="269"/>
        <v/>
      </c>
      <c r="T3239" t="str">
        <f t="shared" si="267"/>
        <v/>
      </c>
      <c r="V3239" t="str">
        <f t="shared" si="268"/>
        <v>MVS</v>
      </c>
      <c r="W3239" t="str">
        <f t="shared" si="268"/>
        <v>MVS</v>
      </c>
      <c r="AB3239" t="s">
        <v>12</v>
      </c>
      <c r="AE3239" t="s">
        <v>175</v>
      </c>
      <c r="AG3239" t="s">
        <v>6</v>
      </c>
      <c r="AH3239" t="s">
        <v>300</v>
      </c>
      <c r="AI3239" t="s">
        <v>9</v>
      </c>
      <c r="AJ3239" t="s">
        <v>57</v>
      </c>
      <c r="AK3239" t="s">
        <v>299</v>
      </c>
      <c r="AL3239" t="s">
        <v>298</v>
      </c>
    </row>
    <row r="3240" spans="5:44" x14ac:dyDescent="0.25">
      <c r="I3240" t="str">
        <f t="shared" si="265"/>
        <v>svcplus</v>
      </c>
      <c r="J3240" t="str">
        <f t="shared" si="266"/>
        <v/>
      </c>
      <c r="L3240" t="str">
        <f t="shared" si="269"/>
        <v/>
      </c>
      <c r="M3240" t="str">
        <f t="shared" si="269"/>
        <v/>
      </c>
      <c r="N3240" t="str">
        <f t="shared" si="269"/>
        <v/>
      </c>
      <c r="O3240" t="str">
        <f t="shared" si="269"/>
        <v>Plus text remains on screen during gameplay</v>
      </c>
      <c r="P3240" t="str">
        <f t="shared" si="269"/>
        <v/>
      </c>
      <c r="T3240" t="str">
        <f t="shared" si="267"/>
        <v/>
      </c>
      <c r="V3240" t="str">
        <f t="shared" si="268"/>
        <v>MVS</v>
      </c>
      <c r="W3240" t="str">
        <f t="shared" si="268"/>
        <v>MVS</v>
      </c>
      <c r="AG3240" t="s">
        <v>6</v>
      </c>
      <c r="AH3240" t="s">
        <v>297</v>
      </c>
      <c r="AI3240" t="s">
        <v>4</v>
      </c>
      <c r="AJ3240" t="s">
        <v>57</v>
      </c>
      <c r="AK3240" t="s">
        <v>296</v>
      </c>
      <c r="AL3240" t="s">
        <v>295</v>
      </c>
    </row>
    <row r="3241" spans="5:44" x14ac:dyDescent="0.25">
      <c r="I3241" t="str">
        <f t="shared" si="265"/>
        <v>svcplus</v>
      </c>
      <c r="J3241" t="str">
        <f t="shared" si="266"/>
        <v/>
      </c>
      <c r="L3241" t="str">
        <f t="shared" si="269"/>
        <v/>
      </c>
      <c r="M3241" t="str">
        <f t="shared" si="269"/>
        <v/>
      </c>
      <c r="N3241" t="str">
        <f t="shared" si="269"/>
        <v/>
      </c>
      <c r="O3241" t="str">
        <f t="shared" si="269"/>
        <v>Plus text remains on screen during gameplay</v>
      </c>
      <c r="P3241" t="str">
        <f t="shared" si="269"/>
        <v/>
      </c>
      <c r="T3241" t="str">
        <f t="shared" si="267"/>
        <v/>
      </c>
      <c r="V3241" t="str">
        <f t="shared" si="268"/>
        <v>MVS</v>
      </c>
      <c r="W3241" t="str">
        <f t="shared" si="268"/>
        <v>MVS</v>
      </c>
      <c r="AG3241" t="s">
        <v>6</v>
      </c>
      <c r="AH3241" t="s">
        <v>294</v>
      </c>
      <c r="AI3241" t="s">
        <v>65</v>
      </c>
      <c r="AJ3241" t="s">
        <v>57</v>
      </c>
      <c r="AK3241" t="s">
        <v>293</v>
      </c>
      <c r="AL3241" t="s">
        <v>292</v>
      </c>
    </row>
    <row r="3242" spans="5:44" x14ac:dyDescent="0.25">
      <c r="I3242" t="str">
        <f t="shared" si="265"/>
        <v>svcplus</v>
      </c>
      <c r="J3242" t="str">
        <f t="shared" si="266"/>
        <v/>
      </c>
      <c r="L3242" t="str">
        <f t="shared" si="269"/>
        <v/>
      </c>
      <c r="M3242" t="str">
        <f t="shared" si="269"/>
        <v/>
      </c>
      <c r="N3242" t="str">
        <f t="shared" si="269"/>
        <v/>
      </c>
      <c r="O3242" t="str">
        <f t="shared" si="269"/>
        <v>Plus text remains on screen during gameplay</v>
      </c>
      <c r="P3242" t="str">
        <f t="shared" si="269"/>
        <v/>
      </c>
      <c r="T3242" t="str">
        <f t="shared" si="267"/>
        <v/>
      </c>
      <c r="V3242" t="str">
        <f t="shared" si="268"/>
        <v>MVS</v>
      </c>
      <c r="W3242" t="str">
        <f t="shared" si="268"/>
        <v>MVS</v>
      </c>
      <c r="AG3242" t="s">
        <v>6</v>
      </c>
      <c r="AH3242" t="s">
        <v>291</v>
      </c>
      <c r="AI3242" t="s">
        <v>164</v>
      </c>
      <c r="AJ3242" t="s">
        <v>57</v>
      </c>
      <c r="AK3242" t="s">
        <v>290</v>
      </c>
      <c r="AL3242" t="s">
        <v>289</v>
      </c>
    </row>
    <row r="3243" spans="5:44" x14ac:dyDescent="0.25">
      <c r="I3243" t="str">
        <f t="shared" si="265"/>
        <v>svcplus</v>
      </c>
      <c r="J3243" t="str">
        <f t="shared" si="266"/>
        <v/>
      </c>
      <c r="L3243" t="str">
        <f t="shared" si="269"/>
        <v/>
      </c>
      <c r="M3243" t="str">
        <f t="shared" si="269"/>
        <v/>
      </c>
      <c r="N3243" t="str">
        <f t="shared" si="269"/>
        <v/>
      </c>
      <c r="O3243" t="str">
        <f t="shared" si="269"/>
        <v>Plus text remains on screen during gameplay</v>
      </c>
      <c r="P3243" t="str">
        <f t="shared" si="269"/>
        <v/>
      </c>
      <c r="T3243" t="str">
        <f t="shared" si="267"/>
        <v/>
      </c>
      <c r="V3243" t="str">
        <f t="shared" si="268"/>
        <v>MVS</v>
      </c>
      <c r="W3243" t="str">
        <f t="shared" si="268"/>
        <v>MVS</v>
      </c>
      <c r="AG3243" t="s">
        <v>6</v>
      </c>
      <c r="AH3243" t="s">
        <v>288</v>
      </c>
      <c r="AI3243" t="s">
        <v>160</v>
      </c>
      <c r="AJ3243" t="s">
        <v>57</v>
      </c>
      <c r="AK3243" t="s">
        <v>287</v>
      </c>
      <c r="AL3243" t="s">
        <v>286</v>
      </c>
    </row>
    <row r="3244" spans="5:44" x14ac:dyDescent="0.25">
      <c r="I3244" t="str">
        <f t="shared" si="265"/>
        <v>svcplus</v>
      </c>
      <c r="J3244" t="str">
        <f t="shared" si="266"/>
        <v/>
      </c>
      <c r="L3244" t="str">
        <f t="shared" si="269"/>
        <v/>
      </c>
      <c r="M3244" t="str">
        <f t="shared" si="269"/>
        <v/>
      </c>
      <c r="N3244" t="str">
        <f t="shared" si="269"/>
        <v/>
      </c>
      <c r="O3244" t="str">
        <f t="shared" si="269"/>
        <v>Plus text remains on screen during gameplay</v>
      </c>
      <c r="P3244" t="str">
        <f t="shared" si="269"/>
        <v/>
      </c>
      <c r="T3244" t="str">
        <f t="shared" si="267"/>
        <v/>
      </c>
      <c r="V3244" t="str">
        <f t="shared" si="268"/>
        <v>MVS</v>
      </c>
      <c r="W3244" t="str">
        <f t="shared" si="268"/>
        <v>MVS</v>
      </c>
      <c r="AG3244" t="s">
        <v>6</v>
      </c>
      <c r="AH3244" t="s">
        <v>285</v>
      </c>
      <c r="AI3244" t="s">
        <v>156</v>
      </c>
      <c r="AJ3244" t="s">
        <v>57</v>
      </c>
      <c r="AK3244" t="s">
        <v>284</v>
      </c>
      <c r="AL3244" t="s">
        <v>283</v>
      </c>
    </row>
    <row r="3245" spans="5:44" x14ac:dyDescent="0.25">
      <c r="I3245" t="str">
        <f t="shared" si="265"/>
        <v>svcplus</v>
      </c>
      <c r="J3245" t="str">
        <f t="shared" si="266"/>
        <v/>
      </c>
      <c r="L3245" t="str">
        <f t="shared" si="269"/>
        <v/>
      </c>
      <c r="M3245" t="str">
        <f t="shared" si="269"/>
        <v/>
      </c>
      <c r="N3245" t="str">
        <f t="shared" si="269"/>
        <v/>
      </c>
      <c r="O3245" t="str">
        <f t="shared" si="269"/>
        <v>Plus text remains on screen during gameplay</v>
      </c>
      <c r="P3245" t="str">
        <f t="shared" si="269"/>
        <v/>
      </c>
      <c r="T3245" t="str">
        <f t="shared" si="267"/>
        <v/>
      </c>
      <c r="V3245" t="str">
        <f t="shared" si="268"/>
        <v>MVS</v>
      </c>
      <c r="W3245" t="str">
        <f t="shared" si="268"/>
        <v>MVS</v>
      </c>
      <c r="AG3245" t="s">
        <v>6</v>
      </c>
      <c r="AH3245" t="s">
        <v>282</v>
      </c>
      <c r="AI3245" t="s">
        <v>152</v>
      </c>
      <c r="AJ3245" t="s">
        <v>57</v>
      </c>
      <c r="AK3245" t="s">
        <v>281</v>
      </c>
      <c r="AL3245" t="s">
        <v>280</v>
      </c>
    </row>
    <row r="3246" spans="5:44" x14ac:dyDescent="0.25">
      <c r="I3246" t="str">
        <f t="shared" si="265"/>
        <v>svcplus</v>
      </c>
      <c r="J3246" t="str">
        <f t="shared" si="266"/>
        <v/>
      </c>
      <c r="L3246" t="str">
        <f t="shared" si="269"/>
        <v/>
      </c>
      <c r="M3246" t="str">
        <f t="shared" si="269"/>
        <v/>
      </c>
      <c r="N3246" t="str">
        <f t="shared" si="269"/>
        <v/>
      </c>
      <c r="O3246" t="str">
        <f t="shared" si="269"/>
        <v>Plus text remains on screen during gameplay</v>
      </c>
      <c r="P3246" t="str">
        <f t="shared" si="269"/>
        <v/>
      </c>
      <c r="T3246" t="str">
        <f t="shared" si="267"/>
        <v/>
      </c>
      <c r="V3246" t="str">
        <f t="shared" si="268"/>
        <v>MVS</v>
      </c>
      <c r="W3246" t="str">
        <f t="shared" si="268"/>
        <v>MVS</v>
      </c>
      <c r="AG3246" t="s">
        <v>6</v>
      </c>
      <c r="AH3246" t="s">
        <v>279</v>
      </c>
      <c r="AI3246" t="s">
        <v>148</v>
      </c>
      <c r="AJ3246" t="s">
        <v>57</v>
      </c>
      <c r="AK3246" t="s">
        <v>278</v>
      </c>
      <c r="AL3246" t="s">
        <v>277</v>
      </c>
    </row>
    <row r="3247" spans="5:44" x14ac:dyDescent="0.25">
      <c r="E3247" t="s">
        <v>344</v>
      </c>
      <c r="F3247" t="s">
        <v>343</v>
      </c>
      <c r="G3247" t="s">
        <v>195</v>
      </c>
      <c r="H3247" t="s">
        <v>194</v>
      </c>
      <c r="I3247" t="str">
        <f t="shared" si="265"/>
        <v>svcplusa</v>
      </c>
      <c r="J3247" t="str">
        <f t="shared" si="266"/>
        <v>svcplusacompat_note</v>
      </c>
      <c r="K3247" t="s">
        <v>111</v>
      </c>
      <c r="L3247" t="str">
        <f t="shared" si="269"/>
        <v/>
      </c>
      <c r="M3247" t="str">
        <f t="shared" si="269"/>
        <v/>
      </c>
      <c r="N3247" t="str">
        <f t="shared" si="269"/>
        <v/>
      </c>
      <c r="O3247" t="str">
        <f t="shared" si="269"/>
        <v>Plus text remains on screen during gameplay</v>
      </c>
      <c r="P3247" t="str">
        <f t="shared" si="269"/>
        <v/>
      </c>
      <c r="Q3247" t="s">
        <v>212</v>
      </c>
      <c r="S3247" t="s">
        <v>46</v>
      </c>
      <c r="T3247" t="str">
        <f t="shared" si="267"/>
        <v>svcplusarelease</v>
      </c>
      <c r="U3247" t="s">
        <v>106</v>
      </c>
      <c r="V3247" t="str">
        <f t="shared" si="268"/>
        <v>MVS</v>
      </c>
      <c r="W3247" t="str">
        <f t="shared" si="268"/>
        <v>MVS</v>
      </c>
      <c r="Y3247" t="s">
        <v>45</v>
      </c>
      <c r="Z3247" t="s">
        <v>44</v>
      </c>
      <c r="AB3247" t="s">
        <v>43</v>
      </c>
      <c r="AC3247" t="s">
        <v>42</v>
      </c>
      <c r="AD3247" t="s">
        <v>41</v>
      </c>
      <c r="AE3247" t="s">
        <v>75</v>
      </c>
      <c r="AG3247" t="s">
        <v>40</v>
      </c>
      <c r="AH3247" t="s">
        <v>342</v>
      </c>
      <c r="AI3247" t="s">
        <v>9</v>
      </c>
      <c r="AJ3247" t="s">
        <v>3</v>
      </c>
      <c r="AK3247" t="s">
        <v>341</v>
      </c>
      <c r="AL3247" t="s">
        <v>340</v>
      </c>
      <c r="AP3247" t="s">
        <v>138</v>
      </c>
      <c r="AQ3247" t="s">
        <v>339</v>
      </c>
      <c r="AR3247" t="s">
        <v>325</v>
      </c>
    </row>
    <row r="3248" spans="5:44" x14ac:dyDescent="0.25">
      <c r="I3248" t="str">
        <f t="shared" si="265"/>
        <v>svcplusa</v>
      </c>
      <c r="J3248" t="str">
        <f t="shared" si="266"/>
        <v/>
      </c>
      <c r="L3248" t="str">
        <f t="shared" si="269"/>
        <v/>
      </c>
      <c r="M3248" t="str">
        <f t="shared" si="269"/>
        <v/>
      </c>
      <c r="N3248" t="str">
        <f t="shared" si="269"/>
        <v/>
      </c>
      <c r="O3248" t="str">
        <f t="shared" si="269"/>
        <v>Plus text remains on screen during gameplay</v>
      </c>
      <c r="P3248" t="str">
        <f t="shared" si="269"/>
        <v/>
      </c>
      <c r="S3248" t="s">
        <v>36</v>
      </c>
      <c r="T3248" t="str">
        <f t="shared" si="267"/>
        <v>svcplusacompatibility</v>
      </c>
      <c r="U3248" t="s">
        <v>106</v>
      </c>
      <c r="V3248" t="str">
        <f t="shared" si="268"/>
        <v>MVS</v>
      </c>
      <c r="W3248" t="str">
        <f t="shared" si="268"/>
        <v>MVS</v>
      </c>
      <c r="AG3248" t="s">
        <v>40</v>
      </c>
      <c r="AH3248" t="s">
        <v>338</v>
      </c>
      <c r="AI3248" t="s">
        <v>3</v>
      </c>
      <c r="AJ3248" t="s">
        <v>11</v>
      </c>
      <c r="AK3248" t="s">
        <v>337</v>
      </c>
      <c r="AL3248" t="s">
        <v>336</v>
      </c>
    </row>
    <row r="3249" spans="9:38" x14ac:dyDescent="0.25">
      <c r="I3249" t="str">
        <f t="shared" si="265"/>
        <v>svcplusa</v>
      </c>
      <c r="J3249" t="str">
        <f t="shared" si="266"/>
        <v/>
      </c>
      <c r="L3249" t="str">
        <f t="shared" si="269"/>
        <v/>
      </c>
      <c r="M3249" t="str">
        <f t="shared" si="269"/>
        <v/>
      </c>
      <c r="N3249" t="str">
        <f t="shared" si="269"/>
        <v/>
      </c>
      <c r="O3249" t="str">
        <f t="shared" si="269"/>
        <v>Plus text remains on screen during gameplay</v>
      </c>
      <c r="P3249" t="str">
        <f t="shared" si="269"/>
        <v/>
      </c>
      <c r="T3249" t="str">
        <f t="shared" si="267"/>
        <v/>
      </c>
      <c r="V3249" t="str">
        <f t="shared" si="268"/>
        <v>MVS</v>
      </c>
      <c r="W3249" t="str">
        <f t="shared" si="268"/>
        <v>MVS</v>
      </c>
      <c r="AB3249" t="s">
        <v>34</v>
      </c>
      <c r="AE3249" t="s">
        <v>135</v>
      </c>
      <c r="AH3249" t="s">
        <v>335</v>
      </c>
      <c r="AI3249" t="s">
        <v>313</v>
      </c>
      <c r="AJ3249" t="s">
        <v>313</v>
      </c>
      <c r="AK3249" t="s">
        <v>334</v>
      </c>
      <c r="AL3249" t="s">
        <v>333</v>
      </c>
    </row>
    <row r="3250" spans="9:38" x14ac:dyDescent="0.25">
      <c r="I3250" t="str">
        <f t="shared" si="265"/>
        <v>svcplusa</v>
      </c>
      <c r="J3250" t="str">
        <f t="shared" si="266"/>
        <v/>
      </c>
      <c r="L3250" t="str">
        <f t="shared" si="269"/>
        <v/>
      </c>
      <c r="M3250" t="str">
        <f t="shared" si="269"/>
        <v/>
      </c>
      <c r="N3250" t="str">
        <f t="shared" si="269"/>
        <v/>
      </c>
      <c r="O3250" t="str">
        <f t="shared" si="269"/>
        <v>Plus text remains on screen during gameplay</v>
      </c>
      <c r="P3250" t="str">
        <f t="shared" si="269"/>
        <v/>
      </c>
      <c r="T3250" t="str">
        <f t="shared" si="267"/>
        <v/>
      </c>
      <c r="V3250" t="str">
        <f t="shared" si="268"/>
        <v>MVS</v>
      </c>
      <c r="W3250" t="str">
        <f t="shared" si="268"/>
        <v>MVS</v>
      </c>
      <c r="AG3250" t="s">
        <v>224</v>
      </c>
      <c r="AI3250" t="s">
        <v>314</v>
      </c>
      <c r="AJ3250" t="s">
        <v>313</v>
      </c>
    </row>
    <row r="3251" spans="9:38" x14ac:dyDescent="0.25">
      <c r="I3251" t="str">
        <f t="shared" si="265"/>
        <v>svcplusa</v>
      </c>
      <c r="J3251" t="str">
        <f t="shared" si="266"/>
        <v/>
      </c>
      <c r="L3251" t="str">
        <f t="shared" si="269"/>
        <v/>
      </c>
      <c r="M3251" t="str">
        <f t="shared" si="269"/>
        <v/>
      </c>
      <c r="N3251" t="str">
        <f t="shared" si="269"/>
        <v/>
      </c>
      <c r="O3251" t="str">
        <f t="shared" si="269"/>
        <v>Plus text remains on screen during gameplay</v>
      </c>
      <c r="P3251" t="str">
        <f t="shared" si="269"/>
        <v/>
      </c>
      <c r="T3251" t="str">
        <f t="shared" si="267"/>
        <v/>
      </c>
      <c r="V3251" t="str">
        <f t="shared" si="268"/>
        <v>MVS</v>
      </c>
      <c r="W3251" t="str">
        <f t="shared" si="268"/>
        <v>MVS</v>
      </c>
      <c r="AB3251" t="s">
        <v>29</v>
      </c>
      <c r="AE3251" t="s">
        <v>318</v>
      </c>
      <c r="AH3251" t="s">
        <v>317</v>
      </c>
      <c r="AI3251" t="s">
        <v>135</v>
      </c>
      <c r="AJ3251" t="s">
        <v>313</v>
      </c>
      <c r="AK3251" t="s">
        <v>316</v>
      </c>
      <c r="AL3251" t="s">
        <v>315</v>
      </c>
    </row>
    <row r="3252" spans="9:38" x14ac:dyDescent="0.25">
      <c r="I3252" t="str">
        <f t="shared" si="265"/>
        <v>svcplusa</v>
      </c>
      <c r="J3252" t="str">
        <f t="shared" si="266"/>
        <v/>
      </c>
      <c r="L3252" t="str">
        <f t="shared" si="269"/>
        <v/>
      </c>
      <c r="M3252" t="str">
        <f t="shared" si="269"/>
        <v/>
      </c>
      <c r="N3252" t="str">
        <f t="shared" si="269"/>
        <v/>
      </c>
      <c r="O3252" t="str">
        <f t="shared" si="269"/>
        <v>Plus text remains on screen during gameplay</v>
      </c>
      <c r="P3252" t="str">
        <f t="shared" si="269"/>
        <v/>
      </c>
      <c r="T3252" t="str">
        <f t="shared" si="267"/>
        <v/>
      </c>
      <c r="V3252" t="str">
        <f t="shared" si="268"/>
        <v>MVS</v>
      </c>
      <c r="W3252" t="str">
        <f t="shared" si="268"/>
        <v>MVS</v>
      </c>
      <c r="AG3252" t="s">
        <v>224</v>
      </c>
      <c r="AI3252" t="s">
        <v>314</v>
      </c>
      <c r="AJ3252" t="s">
        <v>313</v>
      </c>
    </row>
    <row r="3253" spans="9:38" x14ac:dyDescent="0.25">
      <c r="I3253" t="str">
        <f t="shared" si="265"/>
        <v>svcplusa</v>
      </c>
      <c r="J3253" t="str">
        <f t="shared" si="266"/>
        <v/>
      </c>
      <c r="L3253" t="str">
        <f t="shared" si="269"/>
        <v/>
      </c>
      <c r="M3253" t="str">
        <f t="shared" si="269"/>
        <v/>
      </c>
      <c r="N3253" t="str">
        <f t="shared" si="269"/>
        <v/>
      </c>
      <c r="O3253" t="str">
        <f t="shared" si="269"/>
        <v>Plus text remains on screen during gameplay</v>
      </c>
      <c r="P3253" t="str">
        <f t="shared" si="269"/>
        <v/>
      </c>
      <c r="T3253" t="str">
        <f t="shared" si="267"/>
        <v/>
      </c>
      <c r="V3253" t="str">
        <f t="shared" si="268"/>
        <v>MVS</v>
      </c>
      <c r="W3253" t="str">
        <f t="shared" si="268"/>
        <v>MVS</v>
      </c>
      <c r="AB3253" t="s">
        <v>24</v>
      </c>
      <c r="AE3253" t="s">
        <v>65</v>
      </c>
      <c r="AG3253" t="s">
        <v>40</v>
      </c>
      <c r="AH3253" t="s">
        <v>312</v>
      </c>
      <c r="AI3253" t="s">
        <v>9</v>
      </c>
      <c r="AJ3253" t="s">
        <v>11</v>
      </c>
      <c r="AK3253" t="s">
        <v>311</v>
      </c>
      <c r="AL3253" t="s">
        <v>310</v>
      </c>
    </row>
    <row r="3254" spans="9:38" x14ac:dyDescent="0.25">
      <c r="I3254" t="str">
        <f t="shared" si="265"/>
        <v>svcplusa</v>
      </c>
      <c r="J3254" t="str">
        <f t="shared" si="266"/>
        <v/>
      </c>
      <c r="L3254" t="str">
        <f t="shared" si="269"/>
        <v/>
      </c>
      <c r="M3254" t="str">
        <f t="shared" si="269"/>
        <v/>
      </c>
      <c r="N3254" t="str">
        <f t="shared" si="269"/>
        <v/>
      </c>
      <c r="O3254" t="str">
        <f t="shared" si="269"/>
        <v>Plus text remains on screen during gameplay</v>
      </c>
      <c r="P3254" t="str">
        <f t="shared" si="269"/>
        <v/>
      </c>
      <c r="T3254" t="str">
        <f t="shared" si="267"/>
        <v/>
      </c>
      <c r="V3254" t="str">
        <f t="shared" si="268"/>
        <v>MVS</v>
      </c>
      <c r="W3254" t="str">
        <f t="shared" si="268"/>
        <v>MVS</v>
      </c>
      <c r="AG3254" t="s">
        <v>40</v>
      </c>
      <c r="AH3254" t="s">
        <v>309</v>
      </c>
      <c r="AI3254" t="s">
        <v>11</v>
      </c>
      <c r="AJ3254" t="s">
        <v>11</v>
      </c>
      <c r="AK3254" t="s">
        <v>308</v>
      </c>
      <c r="AL3254" t="s">
        <v>307</v>
      </c>
    </row>
    <row r="3255" spans="9:38" x14ac:dyDescent="0.25">
      <c r="I3255" t="str">
        <f t="shared" si="265"/>
        <v>svcplusa</v>
      </c>
      <c r="J3255" t="str">
        <f t="shared" si="266"/>
        <v/>
      </c>
      <c r="L3255" t="str">
        <f t="shared" si="269"/>
        <v/>
      </c>
      <c r="M3255" t="str">
        <f t="shared" si="269"/>
        <v/>
      </c>
      <c r="N3255" t="str">
        <f t="shared" si="269"/>
        <v/>
      </c>
      <c r="O3255" t="str">
        <f t="shared" si="269"/>
        <v>Plus text remains on screen during gameplay</v>
      </c>
      <c r="P3255" t="str">
        <f t="shared" si="269"/>
        <v/>
      </c>
      <c r="T3255" t="str">
        <f t="shared" si="267"/>
        <v/>
      </c>
      <c r="V3255" t="str">
        <f t="shared" si="268"/>
        <v>MVS</v>
      </c>
      <c r="W3255" t="str">
        <f t="shared" si="268"/>
        <v>MVS</v>
      </c>
      <c r="AG3255" t="s">
        <v>40</v>
      </c>
      <c r="AH3255" t="s">
        <v>306</v>
      </c>
      <c r="AI3255" t="s">
        <v>57</v>
      </c>
      <c r="AJ3255" t="s">
        <v>11</v>
      </c>
      <c r="AK3255" t="s">
        <v>305</v>
      </c>
      <c r="AL3255" t="s">
        <v>304</v>
      </c>
    </row>
    <row r="3256" spans="9:38" x14ac:dyDescent="0.25">
      <c r="I3256" t="str">
        <f t="shared" si="265"/>
        <v>svcplusa</v>
      </c>
      <c r="J3256" t="str">
        <f t="shared" si="266"/>
        <v/>
      </c>
      <c r="L3256" t="str">
        <f t="shared" si="269"/>
        <v/>
      </c>
      <c r="M3256" t="str">
        <f t="shared" si="269"/>
        <v/>
      </c>
      <c r="N3256" t="str">
        <f t="shared" si="269"/>
        <v/>
      </c>
      <c r="O3256" t="str">
        <f t="shared" si="269"/>
        <v>Plus text remains on screen during gameplay</v>
      </c>
      <c r="P3256" t="str">
        <f t="shared" si="269"/>
        <v/>
      </c>
      <c r="T3256" t="str">
        <f t="shared" si="267"/>
        <v/>
      </c>
      <c r="V3256" t="str">
        <f t="shared" si="268"/>
        <v>MVS</v>
      </c>
      <c r="W3256" t="str">
        <f t="shared" si="268"/>
        <v>MVS</v>
      </c>
      <c r="AG3256" t="s">
        <v>40</v>
      </c>
      <c r="AH3256" t="s">
        <v>303</v>
      </c>
      <c r="AI3256" t="s">
        <v>250</v>
      </c>
      <c r="AJ3256" t="s">
        <v>11</v>
      </c>
      <c r="AK3256" t="s">
        <v>302</v>
      </c>
      <c r="AL3256" t="s">
        <v>301</v>
      </c>
    </row>
    <row r="3257" spans="9:38" x14ac:dyDescent="0.25">
      <c r="I3257" t="str">
        <f t="shared" si="265"/>
        <v>svcplusa</v>
      </c>
      <c r="J3257" t="str">
        <f t="shared" si="266"/>
        <v/>
      </c>
      <c r="L3257" t="str">
        <f t="shared" si="269"/>
        <v/>
      </c>
      <c r="M3257" t="str">
        <f t="shared" si="269"/>
        <v/>
      </c>
      <c r="N3257" t="str">
        <f t="shared" si="269"/>
        <v/>
      </c>
      <c r="O3257" t="str">
        <f t="shared" si="269"/>
        <v>Plus text remains on screen during gameplay</v>
      </c>
      <c r="P3257" t="str">
        <f t="shared" si="269"/>
        <v/>
      </c>
      <c r="T3257" t="str">
        <f t="shared" si="267"/>
        <v/>
      </c>
      <c r="V3257" t="str">
        <f t="shared" si="268"/>
        <v>MVS</v>
      </c>
      <c r="W3257" t="str">
        <f t="shared" si="268"/>
        <v>MVS</v>
      </c>
      <c r="AB3257" t="s">
        <v>12</v>
      </c>
      <c r="AE3257" t="s">
        <v>175</v>
      </c>
      <c r="AG3257" t="s">
        <v>6</v>
      </c>
      <c r="AH3257" t="s">
        <v>300</v>
      </c>
      <c r="AI3257" t="s">
        <v>9</v>
      </c>
      <c r="AJ3257" t="s">
        <v>57</v>
      </c>
      <c r="AK3257" t="s">
        <v>299</v>
      </c>
      <c r="AL3257" t="s">
        <v>298</v>
      </c>
    </row>
    <row r="3258" spans="9:38" x14ac:dyDescent="0.25">
      <c r="I3258" t="str">
        <f t="shared" si="265"/>
        <v>svcplusa</v>
      </c>
      <c r="J3258" t="str">
        <f t="shared" si="266"/>
        <v/>
      </c>
      <c r="L3258" t="str">
        <f t="shared" si="269"/>
        <v/>
      </c>
      <c r="M3258" t="str">
        <f t="shared" si="269"/>
        <v/>
      </c>
      <c r="N3258" t="str">
        <f t="shared" si="269"/>
        <v/>
      </c>
      <c r="O3258" t="str">
        <f t="shared" si="269"/>
        <v>Plus text remains on screen during gameplay</v>
      </c>
      <c r="P3258" t="str">
        <f t="shared" si="269"/>
        <v/>
      </c>
      <c r="T3258" t="str">
        <f t="shared" si="267"/>
        <v/>
      </c>
      <c r="V3258" t="str">
        <f t="shared" si="268"/>
        <v>MVS</v>
      </c>
      <c r="W3258" t="str">
        <f t="shared" si="268"/>
        <v>MVS</v>
      </c>
      <c r="AG3258" t="s">
        <v>6</v>
      </c>
      <c r="AH3258" t="s">
        <v>297</v>
      </c>
      <c r="AI3258" t="s">
        <v>4</v>
      </c>
      <c r="AJ3258" t="s">
        <v>57</v>
      </c>
      <c r="AK3258" t="s">
        <v>296</v>
      </c>
      <c r="AL3258" t="s">
        <v>295</v>
      </c>
    </row>
    <row r="3259" spans="9:38" x14ac:dyDescent="0.25">
      <c r="I3259" t="str">
        <f t="shared" si="265"/>
        <v>svcplusa</v>
      </c>
      <c r="J3259" t="str">
        <f t="shared" si="266"/>
        <v/>
      </c>
      <c r="L3259" t="str">
        <f t="shared" si="269"/>
        <v/>
      </c>
      <c r="M3259" t="str">
        <f t="shared" si="269"/>
        <v/>
      </c>
      <c r="N3259" t="str">
        <f t="shared" si="269"/>
        <v/>
      </c>
      <c r="O3259" t="str">
        <f t="shared" si="269"/>
        <v>Plus text remains on screen during gameplay</v>
      </c>
      <c r="P3259" t="str">
        <f t="shared" si="269"/>
        <v/>
      </c>
      <c r="T3259" t="str">
        <f t="shared" si="267"/>
        <v/>
      </c>
      <c r="V3259" t="str">
        <f t="shared" si="268"/>
        <v>MVS</v>
      </c>
      <c r="W3259" t="str">
        <f t="shared" si="268"/>
        <v>MVS</v>
      </c>
      <c r="AG3259" t="s">
        <v>6</v>
      </c>
      <c r="AH3259" t="s">
        <v>294</v>
      </c>
      <c r="AI3259" t="s">
        <v>65</v>
      </c>
      <c r="AJ3259" t="s">
        <v>57</v>
      </c>
      <c r="AK3259" t="s">
        <v>293</v>
      </c>
      <c r="AL3259" t="s">
        <v>292</v>
      </c>
    </row>
    <row r="3260" spans="9:38" x14ac:dyDescent="0.25">
      <c r="I3260" t="str">
        <f t="shared" si="265"/>
        <v>svcplusa</v>
      </c>
      <c r="J3260" t="str">
        <f t="shared" si="266"/>
        <v/>
      </c>
      <c r="L3260" t="str">
        <f t="shared" ref="L3260:P3291" si="270">IFERROR(VLOOKUP($I3260&amp;L$1,$J:$Q,8,0),"")</f>
        <v/>
      </c>
      <c r="M3260" t="str">
        <f t="shared" si="270"/>
        <v/>
      </c>
      <c r="N3260" t="str">
        <f t="shared" si="270"/>
        <v/>
      </c>
      <c r="O3260" t="str">
        <f t="shared" si="270"/>
        <v>Plus text remains on screen during gameplay</v>
      </c>
      <c r="P3260" t="str">
        <f t="shared" si="270"/>
        <v/>
      </c>
      <c r="T3260" t="str">
        <f t="shared" si="267"/>
        <v/>
      </c>
      <c r="V3260" t="str">
        <f t="shared" si="268"/>
        <v>MVS</v>
      </c>
      <c r="W3260" t="str">
        <f t="shared" si="268"/>
        <v>MVS</v>
      </c>
      <c r="AG3260" t="s">
        <v>6</v>
      </c>
      <c r="AH3260" t="s">
        <v>291</v>
      </c>
      <c r="AI3260" t="s">
        <v>164</v>
      </c>
      <c r="AJ3260" t="s">
        <v>57</v>
      </c>
      <c r="AK3260" t="s">
        <v>290</v>
      </c>
      <c r="AL3260" t="s">
        <v>289</v>
      </c>
    </row>
    <row r="3261" spans="9:38" x14ac:dyDescent="0.25">
      <c r="I3261" t="str">
        <f t="shared" si="265"/>
        <v>svcplusa</v>
      </c>
      <c r="J3261" t="str">
        <f t="shared" si="266"/>
        <v/>
      </c>
      <c r="L3261" t="str">
        <f t="shared" si="270"/>
        <v/>
      </c>
      <c r="M3261" t="str">
        <f t="shared" si="270"/>
        <v/>
      </c>
      <c r="N3261" t="str">
        <f t="shared" si="270"/>
        <v/>
      </c>
      <c r="O3261" t="str">
        <f t="shared" si="270"/>
        <v>Plus text remains on screen during gameplay</v>
      </c>
      <c r="P3261" t="str">
        <f t="shared" si="270"/>
        <v/>
      </c>
      <c r="T3261" t="str">
        <f t="shared" si="267"/>
        <v/>
      </c>
      <c r="V3261" t="str">
        <f t="shared" si="268"/>
        <v>MVS</v>
      </c>
      <c r="W3261" t="str">
        <f t="shared" si="268"/>
        <v>MVS</v>
      </c>
      <c r="AG3261" t="s">
        <v>6</v>
      </c>
      <c r="AH3261" t="s">
        <v>288</v>
      </c>
      <c r="AI3261" t="s">
        <v>160</v>
      </c>
      <c r="AJ3261" t="s">
        <v>57</v>
      </c>
      <c r="AK3261" t="s">
        <v>287</v>
      </c>
      <c r="AL3261" t="s">
        <v>286</v>
      </c>
    </row>
    <row r="3262" spans="9:38" x14ac:dyDescent="0.25">
      <c r="I3262" t="str">
        <f t="shared" si="265"/>
        <v>svcplusa</v>
      </c>
      <c r="J3262" t="str">
        <f t="shared" si="266"/>
        <v/>
      </c>
      <c r="L3262" t="str">
        <f t="shared" si="270"/>
        <v/>
      </c>
      <c r="M3262" t="str">
        <f t="shared" si="270"/>
        <v/>
      </c>
      <c r="N3262" t="str">
        <f t="shared" si="270"/>
        <v/>
      </c>
      <c r="O3262" t="str">
        <f t="shared" si="270"/>
        <v>Plus text remains on screen during gameplay</v>
      </c>
      <c r="P3262" t="str">
        <f t="shared" si="270"/>
        <v/>
      </c>
      <c r="T3262" t="str">
        <f t="shared" si="267"/>
        <v/>
      </c>
      <c r="V3262" t="str">
        <f t="shared" si="268"/>
        <v>MVS</v>
      </c>
      <c r="W3262" t="str">
        <f t="shared" si="268"/>
        <v>MVS</v>
      </c>
      <c r="AG3262" t="s">
        <v>6</v>
      </c>
      <c r="AH3262" t="s">
        <v>285</v>
      </c>
      <c r="AI3262" t="s">
        <v>156</v>
      </c>
      <c r="AJ3262" t="s">
        <v>57</v>
      </c>
      <c r="AK3262" t="s">
        <v>284</v>
      </c>
      <c r="AL3262" t="s">
        <v>283</v>
      </c>
    </row>
    <row r="3263" spans="9:38" x14ac:dyDescent="0.25">
      <c r="I3263" t="str">
        <f t="shared" si="265"/>
        <v>svcplusa</v>
      </c>
      <c r="J3263" t="str">
        <f t="shared" si="266"/>
        <v/>
      </c>
      <c r="L3263" t="str">
        <f t="shared" si="270"/>
        <v/>
      </c>
      <c r="M3263" t="str">
        <f t="shared" si="270"/>
        <v/>
      </c>
      <c r="N3263" t="str">
        <f t="shared" si="270"/>
        <v/>
      </c>
      <c r="O3263" t="str">
        <f t="shared" si="270"/>
        <v>Plus text remains on screen during gameplay</v>
      </c>
      <c r="P3263" t="str">
        <f t="shared" si="270"/>
        <v/>
      </c>
      <c r="T3263" t="str">
        <f t="shared" si="267"/>
        <v/>
      </c>
      <c r="V3263" t="str">
        <f t="shared" si="268"/>
        <v>MVS</v>
      </c>
      <c r="W3263" t="str">
        <f t="shared" si="268"/>
        <v>MVS</v>
      </c>
      <c r="AG3263" t="s">
        <v>6</v>
      </c>
      <c r="AH3263" t="s">
        <v>282</v>
      </c>
      <c r="AI3263" t="s">
        <v>152</v>
      </c>
      <c r="AJ3263" t="s">
        <v>57</v>
      </c>
      <c r="AK3263" t="s">
        <v>281</v>
      </c>
      <c r="AL3263" t="s">
        <v>280</v>
      </c>
    </row>
    <row r="3264" spans="9:38" x14ac:dyDescent="0.25">
      <c r="I3264" t="str">
        <f t="shared" si="265"/>
        <v>svcplusa</v>
      </c>
      <c r="J3264" t="str">
        <f t="shared" si="266"/>
        <v/>
      </c>
      <c r="L3264" t="str">
        <f t="shared" si="270"/>
        <v/>
      </c>
      <c r="M3264" t="str">
        <f t="shared" si="270"/>
        <v/>
      </c>
      <c r="N3264" t="str">
        <f t="shared" si="270"/>
        <v/>
      </c>
      <c r="O3264" t="str">
        <f t="shared" si="270"/>
        <v>Plus text remains on screen during gameplay</v>
      </c>
      <c r="P3264" t="str">
        <f t="shared" si="270"/>
        <v/>
      </c>
      <c r="T3264" t="str">
        <f t="shared" si="267"/>
        <v/>
      </c>
      <c r="V3264" t="str">
        <f t="shared" si="268"/>
        <v>MVS</v>
      </c>
      <c r="W3264" t="str">
        <f t="shared" si="268"/>
        <v>MVS</v>
      </c>
      <c r="AG3264" t="s">
        <v>6</v>
      </c>
      <c r="AH3264" t="s">
        <v>279</v>
      </c>
      <c r="AI3264" t="s">
        <v>148</v>
      </c>
      <c r="AJ3264" t="s">
        <v>57</v>
      </c>
      <c r="AK3264" t="s">
        <v>278</v>
      </c>
      <c r="AL3264" t="s">
        <v>277</v>
      </c>
    </row>
    <row r="3265" spans="5:44" x14ac:dyDescent="0.25">
      <c r="E3265" t="s">
        <v>332</v>
      </c>
      <c r="F3265" t="s">
        <v>331</v>
      </c>
      <c r="G3265" t="s">
        <v>195</v>
      </c>
      <c r="H3265" t="s">
        <v>194</v>
      </c>
      <c r="I3265" t="str">
        <f t="shared" si="265"/>
        <v>svcsplus</v>
      </c>
      <c r="J3265" t="str">
        <f t="shared" si="266"/>
        <v>svcspluscompat_note</v>
      </c>
      <c r="K3265" t="s">
        <v>111</v>
      </c>
      <c r="L3265" t="str">
        <f t="shared" si="270"/>
        <v/>
      </c>
      <c r="M3265" t="str">
        <f t="shared" si="270"/>
        <v/>
      </c>
      <c r="N3265" t="str">
        <f t="shared" si="270"/>
        <v/>
      </c>
      <c r="O3265" t="str">
        <f t="shared" si="270"/>
        <v>Super Plus text remains on screen during gameplay</v>
      </c>
      <c r="P3265" t="str">
        <f t="shared" si="270"/>
        <v/>
      </c>
      <c r="Q3265" t="s">
        <v>330</v>
      </c>
      <c r="S3265" t="s">
        <v>46</v>
      </c>
      <c r="T3265" t="str">
        <f t="shared" si="267"/>
        <v>svcsplusrelease</v>
      </c>
      <c r="U3265" t="s">
        <v>106</v>
      </c>
      <c r="V3265" t="str">
        <f t="shared" si="268"/>
        <v>MVS</v>
      </c>
      <c r="W3265" t="str">
        <f t="shared" si="268"/>
        <v>MVS</v>
      </c>
      <c r="Y3265" t="s">
        <v>45</v>
      </c>
      <c r="Z3265" t="s">
        <v>44</v>
      </c>
      <c r="AB3265" t="s">
        <v>43</v>
      </c>
      <c r="AC3265" t="s">
        <v>42</v>
      </c>
      <c r="AD3265" t="s">
        <v>41</v>
      </c>
      <c r="AE3265" t="s">
        <v>57</v>
      </c>
      <c r="AG3265" t="s">
        <v>40</v>
      </c>
      <c r="AH3265" t="s">
        <v>329</v>
      </c>
      <c r="AI3265" t="s">
        <v>9</v>
      </c>
      <c r="AJ3265" t="s">
        <v>11</v>
      </c>
      <c r="AK3265" t="s">
        <v>328</v>
      </c>
      <c r="AL3265" t="s">
        <v>327</v>
      </c>
      <c r="AP3265" t="s">
        <v>138</v>
      </c>
      <c r="AQ3265" t="s">
        <v>326</v>
      </c>
      <c r="AR3265" t="s">
        <v>325</v>
      </c>
    </row>
    <row r="3266" spans="5:44" x14ac:dyDescent="0.25">
      <c r="I3266" t="str">
        <f t="shared" si="265"/>
        <v>svcsplus</v>
      </c>
      <c r="J3266" t="str">
        <f t="shared" si="266"/>
        <v/>
      </c>
      <c r="L3266" t="str">
        <f t="shared" si="270"/>
        <v/>
      </c>
      <c r="M3266" t="str">
        <f t="shared" si="270"/>
        <v/>
      </c>
      <c r="N3266" t="str">
        <f t="shared" si="270"/>
        <v/>
      </c>
      <c r="O3266" t="str">
        <f t="shared" si="270"/>
        <v>Super Plus text remains on screen during gameplay</v>
      </c>
      <c r="P3266" t="str">
        <f t="shared" si="270"/>
        <v/>
      </c>
      <c r="S3266" t="s">
        <v>36</v>
      </c>
      <c r="T3266" t="str">
        <f t="shared" si="267"/>
        <v>svcspluscompatibility</v>
      </c>
      <c r="U3266" t="s">
        <v>106</v>
      </c>
      <c r="V3266" t="str">
        <f t="shared" si="268"/>
        <v>MVS</v>
      </c>
      <c r="W3266" t="str">
        <f t="shared" si="268"/>
        <v>MVS</v>
      </c>
      <c r="AG3266" t="s">
        <v>40</v>
      </c>
      <c r="AH3266" t="s">
        <v>324</v>
      </c>
      <c r="AI3266" t="s">
        <v>11</v>
      </c>
      <c r="AJ3266" t="s">
        <v>11</v>
      </c>
      <c r="AK3266" t="s">
        <v>323</v>
      </c>
      <c r="AL3266" t="s">
        <v>322</v>
      </c>
    </row>
    <row r="3267" spans="5:44" x14ac:dyDescent="0.25">
      <c r="I3267" t="str">
        <f t="shared" ref="I3267:I3330" si="271">IF(E3267="",I3266,E3267)</f>
        <v>svcsplus</v>
      </c>
      <c r="J3267" t="str">
        <f t="shared" ref="J3267:J3330" si="272">IF(K3267="","",I3267&amp;K3267)</f>
        <v/>
      </c>
      <c r="L3267" t="str">
        <f t="shared" si="270"/>
        <v/>
      </c>
      <c r="M3267" t="str">
        <f t="shared" si="270"/>
        <v/>
      </c>
      <c r="N3267" t="str">
        <f t="shared" si="270"/>
        <v/>
      </c>
      <c r="O3267" t="str">
        <f t="shared" si="270"/>
        <v>Super Plus text remains on screen during gameplay</v>
      </c>
      <c r="P3267" t="str">
        <f t="shared" si="270"/>
        <v/>
      </c>
      <c r="T3267" t="str">
        <f t="shared" ref="T3267:T3330" si="273">IF(S3267="","",I3267&amp;S3267)</f>
        <v/>
      </c>
      <c r="V3267" t="str">
        <f t="shared" si="268"/>
        <v>MVS</v>
      </c>
      <c r="W3267" t="str">
        <f t="shared" si="268"/>
        <v>MVS</v>
      </c>
      <c r="AB3267" t="s">
        <v>34</v>
      </c>
      <c r="AE3267" t="s">
        <v>33</v>
      </c>
      <c r="AH3267" t="s">
        <v>321</v>
      </c>
      <c r="AI3267" t="s">
        <v>9</v>
      </c>
      <c r="AJ3267" t="s">
        <v>27</v>
      </c>
      <c r="AK3267" t="s">
        <v>320</v>
      </c>
      <c r="AL3267" t="s">
        <v>319</v>
      </c>
    </row>
    <row r="3268" spans="5:44" x14ac:dyDescent="0.25">
      <c r="I3268" t="str">
        <f t="shared" si="271"/>
        <v>svcsplus</v>
      </c>
      <c r="J3268" t="str">
        <f t="shared" si="272"/>
        <v/>
      </c>
      <c r="L3268" t="str">
        <f t="shared" si="270"/>
        <v/>
      </c>
      <c r="M3268" t="str">
        <f t="shared" si="270"/>
        <v/>
      </c>
      <c r="N3268" t="str">
        <f t="shared" si="270"/>
        <v/>
      </c>
      <c r="O3268" t="str">
        <f t="shared" si="270"/>
        <v>Super Plus text remains on screen during gameplay</v>
      </c>
      <c r="P3268" t="str">
        <f t="shared" si="270"/>
        <v/>
      </c>
      <c r="T3268" t="str">
        <f t="shared" si="273"/>
        <v/>
      </c>
      <c r="V3268" t="str">
        <f t="shared" si="268"/>
        <v>MVS</v>
      </c>
      <c r="W3268" t="str">
        <f t="shared" si="268"/>
        <v>MVS</v>
      </c>
      <c r="AB3268" t="s">
        <v>29</v>
      </c>
      <c r="AE3268" t="s">
        <v>318</v>
      </c>
      <c r="AH3268" t="s">
        <v>317</v>
      </c>
      <c r="AI3268" t="s">
        <v>135</v>
      </c>
      <c r="AJ3268" t="s">
        <v>313</v>
      </c>
      <c r="AK3268" t="s">
        <v>316</v>
      </c>
      <c r="AL3268" t="s">
        <v>315</v>
      </c>
    </row>
    <row r="3269" spans="5:44" x14ac:dyDescent="0.25">
      <c r="I3269" t="str">
        <f t="shared" si="271"/>
        <v>svcsplus</v>
      </c>
      <c r="J3269" t="str">
        <f t="shared" si="272"/>
        <v/>
      </c>
      <c r="L3269" t="str">
        <f t="shared" si="270"/>
        <v/>
      </c>
      <c r="M3269" t="str">
        <f t="shared" si="270"/>
        <v/>
      </c>
      <c r="N3269" t="str">
        <f t="shared" si="270"/>
        <v/>
      </c>
      <c r="O3269" t="str">
        <f t="shared" si="270"/>
        <v>Super Plus text remains on screen during gameplay</v>
      </c>
      <c r="P3269" t="str">
        <f t="shared" si="270"/>
        <v/>
      </c>
      <c r="T3269" t="str">
        <f t="shared" si="273"/>
        <v/>
      </c>
      <c r="V3269" t="str">
        <f t="shared" si="268"/>
        <v>MVS</v>
      </c>
      <c r="W3269" t="str">
        <f t="shared" si="268"/>
        <v>MVS</v>
      </c>
      <c r="AG3269" t="s">
        <v>224</v>
      </c>
      <c r="AI3269" t="s">
        <v>314</v>
      </c>
      <c r="AJ3269" t="s">
        <v>313</v>
      </c>
    </row>
    <row r="3270" spans="5:44" x14ac:dyDescent="0.25">
      <c r="I3270" t="str">
        <f t="shared" si="271"/>
        <v>svcsplus</v>
      </c>
      <c r="J3270" t="str">
        <f t="shared" si="272"/>
        <v/>
      </c>
      <c r="L3270" t="str">
        <f t="shared" si="270"/>
        <v/>
      </c>
      <c r="M3270" t="str">
        <f t="shared" si="270"/>
        <v/>
      </c>
      <c r="N3270" t="str">
        <f t="shared" si="270"/>
        <v/>
      </c>
      <c r="O3270" t="str">
        <f t="shared" si="270"/>
        <v>Super Plus text remains on screen during gameplay</v>
      </c>
      <c r="P3270" t="str">
        <f t="shared" si="270"/>
        <v/>
      </c>
      <c r="T3270" t="str">
        <f t="shared" si="273"/>
        <v/>
      </c>
      <c r="V3270" t="str">
        <f t="shared" si="268"/>
        <v>MVS</v>
      </c>
      <c r="W3270" t="str">
        <f t="shared" si="268"/>
        <v>MVS</v>
      </c>
      <c r="AB3270" t="s">
        <v>24</v>
      </c>
      <c r="AE3270" t="s">
        <v>65</v>
      </c>
      <c r="AG3270" t="s">
        <v>40</v>
      </c>
      <c r="AH3270" t="s">
        <v>312</v>
      </c>
      <c r="AI3270" t="s">
        <v>9</v>
      </c>
      <c r="AJ3270" t="s">
        <v>11</v>
      </c>
      <c r="AK3270" t="s">
        <v>311</v>
      </c>
      <c r="AL3270" t="s">
        <v>310</v>
      </c>
    </row>
    <row r="3271" spans="5:44" x14ac:dyDescent="0.25">
      <c r="I3271" t="str">
        <f t="shared" si="271"/>
        <v>svcsplus</v>
      </c>
      <c r="J3271" t="str">
        <f t="shared" si="272"/>
        <v/>
      </c>
      <c r="L3271" t="str">
        <f t="shared" si="270"/>
        <v/>
      </c>
      <c r="M3271" t="str">
        <f t="shared" si="270"/>
        <v/>
      </c>
      <c r="N3271" t="str">
        <f t="shared" si="270"/>
        <v/>
      </c>
      <c r="O3271" t="str">
        <f t="shared" si="270"/>
        <v>Super Plus text remains on screen during gameplay</v>
      </c>
      <c r="P3271" t="str">
        <f t="shared" si="270"/>
        <v/>
      </c>
      <c r="T3271" t="str">
        <f t="shared" si="273"/>
        <v/>
      </c>
      <c r="V3271" t="str">
        <f t="shared" si="268"/>
        <v>MVS</v>
      </c>
      <c r="W3271" t="str">
        <f t="shared" si="268"/>
        <v>MVS</v>
      </c>
      <c r="AG3271" t="s">
        <v>40</v>
      </c>
      <c r="AH3271" t="s">
        <v>309</v>
      </c>
      <c r="AI3271" t="s">
        <v>11</v>
      </c>
      <c r="AJ3271" t="s">
        <v>11</v>
      </c>
      <c r="AK3271" t="s">
        <v>308</v>
      </c>
      <c r="AL3271" t="s">
        <v>307</v>
      </c>
    </row>
    <row r="3272" spans="5:44" x14ac:dyDescent="0.25">
      <c r="I3272" t="str">
        <f t="shared" si="271"/>
        <v>svcsplus</v>
      </c>
      <c r="J3272" t="str">
        <f t="shared" si="272"/>
        <v/>
      </c>
      <c r="L3272" t="str">
        <f t="shared" si="270"/>
        <v/>
      </c>
      <c r="M3272" t="str">
        <f t="shared" si="270"/>
        <v/>
      </c>
      <c r="N3272" t="str">
        <f t="shared" si="270"/>
        <v/>
      </c>
      <c r="O3272" t="str">
        <f t="shared" si="270"/>
        <v>Super Plus text remains on screen during gameplay</v>
      </c>
      <c r="P3272" t="str">
        <f t="shared" si="270"/>
        <v/>
      </c>
      <c r="T3272" t="str">
        <f t="shared" si="273"/>
        <v/>
      </c>
      <c r="V3272" t="str">
        <f t="shared" si="268"/>
        <v>MVS</v>
      </c>
      <c r="W3272" t="str">
        <f t="shared" si="268"/>
        <v>MVS</v>
      </c>
      <c r="AG3272" t="s">
        <v>40</v>
      </c>
      <c r="AH3272" t="s">
        <v>306</v>
      </c>
      <c r="AI3272" t="s">
        <v>57</v>
      </c>
      <c r="AJ3272" t="s">
        <v>11</v>
      </c>
      <c r="AK3272" t="s">
        <v>305</v>
      </c>
      <c r="AL3272" t="s">
        <v>304</v>
      </c>
    </row>
    <row r="3273" spans="5:44" x14ac:dyDescent="0.25">
      <c r="I3273" t="str">
        <f t="shared" si="271"/>
        <v>svcsplus</v>
      </c>
      <c r="J3273" t="str">
        <f t="shared" si="272"/>
        <v/>
      </c>
      <c r="L3273" t="str">
        <f t="shared" si="270"/>
        <v/>
      </c>
      <c r="M3273" t="str">
        <f t="shared" si="270"/>
        <v/>
      </c>
      <c r="N3273" t="str">
        <f t="shared" si="270"/>
        <v/>
      </c>
      <c r="O3273" t="str">
        <f t="shared" si="270"/>
        <v>Super Plus text remains on screen during gameplay</v>
      </c>
      <c r="P3273" t="str">
        <f t="shared" si="270"/>
        <v/>
      </c>
      <c r="T3273" t="str">
        <f t="shared" si="273"/>
        <v/>
      </c>
      <c r="V3273" t="str">
        <f t="shared" si="268"/>
        <v>MVS</v>
      </c>
      <c r="W3273" t="str">
        <f t="shared" si="268"/>
        <v>MVS</v>
      </c>
      <c r="AG3273" t="s">
        <v>40</v>
      </c>
      <c r="AH3273" t="s">
        <v>303</v>
      </c>
      <c r="AI3273" t="s">
        <v>250</v>
      </c>
      <c r="AJ3273" t="s">
        <v>11</v>
      </c>
      <c r="AK3273" t="s">
        <v>302</v>
      </c>
      <c r="AL3273" t="s">
        <v>301</v>
      </c>
    </row>
    <row r="3274" spans="5:44" x14ac:dyDescent="0.25">
      <c r="I3274" t="str">
        <f t="shared" si="271"/>
        <v>svcsplus</v>
      </c>
      <c r="J3274" t="str">
        <f t="shared" si="272"/>
        <v/>
      </c>
      <c r="L3274" t="str">
        <f t="shared" si="270"/>
        <v/>
      </c>
      <c r="M3274" t="str">
        <f t="shared" si="270"/>
        <v/>
      </c>
      <c r="N3274" t="str">
        <f t="shared" si="270"/>
        <v/>
      </c>
      <c r="O3274" t="str">
        <f t="shared" si="270"/>
        <v>Super Plus text remains on screen during gameplay</v>
      </c>
      <c r="P3274" t="str">
        <f t="shared" si="270"/>
        <v/>
      </c>
      <c r="T3274" t="str">
        <f t="shared" si="273"/>
        <v/>
      </c>
      <c r="V3274" t="str">
        <f t="shared" si="268"/>
        <v>MVS</v>
      </c>
      <c r="W3274" t="str">
        <f t="shared" si="268"/>
        <v>MVS</v>
      </c>
      <c r="AB3274" t="s">
        <v>12</v>
      </c>
      <c r="AE3274" t="s">
        <v>175</v>
      </c>
      <c r="AG3274" t="s">
        <v>6</v>
      </c>
      <c r="AH3274" t="s">
        <v>300</v>
      </c>
      <c r="AI3274" t="s">
        <v>9</v>
      </c>
      <c r="AJ3274" t="s">
        <v>57</v>
      </c>
      <c r="AK3274" t="s">
        <v>299</v>
      </c>
      <c r="AL3274" t="s">
        <v>298</v>
      </c>
    </row>
    <row r="3275" spans="5:44" x14ac:dyDescent="0.25">
      <c r="I3275" t="str">
        <f t="shared" si="271"/>
        <v>svcsplus</v>
      </c>
      <c r="J3275" t="str">
        <f t="shared" si="272"/>
        <v/>
      </c>
      <c r="L3275" t="str">
        <f t="shared" si="270"/>
        <v/>
      </c>
      <c r="M3275" t="str">
        <f t="shared" si="270"/>
        <v/>
      </c>
      <c r="N3275" t="str">
        <f t="shared" si="270"/>
        <v/>
      </c>
      <c r="O3275" t="str">
        <f t="shared" si="270"/>
        <v>Super Plus text remains on screen during gameplay</v>
      </c>
      <c r="P3275" t="str">
        <f t="shared" si="270"/>
        <v/>
      </c>
      <c r="T3275" t="str">
        <f t="shared" si="273"/>
        <v/>
      </c>
      <c r="V3275" t="str">
        <f t="shared" si="268"/>
        <v>MVS</v>
      </c>
      <c r="W3275" t="str">
        <f t="shared" si="268"/>
        <v>MVS</v>
      </c>
      <c r="AG3275" t="s">
        <v>6</v>
      </c>
      <c r="AH3275" t="s">
        <v>297</v>
      </c>
      <c r="AI3275" t="s">
        <v>4</v>
      </c>
      <c r="AJ3275" t="s">
        <v>57</v>
      </c>
      <c r="AK3275" t="s">
        <v>296</v>
      </c>
      <c r="AL3275" t="s">
        <v>295</v>
      </c>
    </row>
    <row r="3276" spans="5:44" x14ac:dyDescent="0.25">
      <c r="I3276" t="str">
        <f t="shared" si="271"/>
        <v>svcsplus</v>
      </c>
      <c r="J3276" t="str">
        <f t="shared" si="272"/>
        <v/>
      </c>
      <c r="L3276" t="str">
        <f t="shared" si="270"/>
        <v/>
      </c>
      <c r="M3276" t="str">
        <f t="shared" si="270"/>
        <v/>
      </c>
      <c r="N3276" t="str">
        <f t="shared" si="270"/>
        <v/>
      </c>
      <c r="O3276" t="str">
        <f t="shared" si="270"/>
        <v>Super Plus text remains on screen during gameplay</v>
      </c>
      <c r="P3276" t="str">
        <f t="shared" si="270"/>
        <v/>
      </c>
      <c r="T3276" t="str">
        <f t="shared" si="273"/>
        <v/>
      </c>
      <c r="V3276" t="str">
        <f t="shared" si="268"/>
        <v>MVS</v>
      </c>
      <c r="W3276" t="str">
        <f t="shared" si="268"/>
        <v>MVS</v>
      </c>
      <c r="AG3276" t="s">
        <v>6</v>
      </c>
      <c r="AH3276" t="s">
        <v>294</v>
      </c>
      <c r="AI3276" t="s">
        <v>65</v>
      </c>
      <c r="AJ3276" t="s">
        <v>57</v>
      </c>
      <c r="AK3276" t="s">
        <v>293</v>
      </c>
      <c r="AL3276" t="s">
        <v>292</v>
      </c>
    </row>
    <row r="3277" spans="5:44" x14ac:dyDescent="0.25">
      <c r="I3277" t="str">
        <f t="shared" si="271"/>
        <v>svcsplus</v>
      </c>
      <c r="J3277" t="str">
        <f t="shared" si="272"/>
        <v/>
      </c>
      <c r="L3277" t="str">
        <f t="shared" si="270"/>
        <v/>
      </c>
      <c r="M3277" t="str">
        <f t="shared" si="270"/>
        <v/>
      </c>
      <c r="N3277" t="str">
        <f t="shared" si="270"/>
        <v/>
      </c>
      <c r="O3277" t="str">
        <f t="shared" si="270"/>
        <v>Super Plus text remains on screen during gameplay</v>
      </c>
      <c r="P3277" t="str">
        <f t="shared" si="270"/>
        <v/>
      </c>
      <c r="T3277" t="str">
        <f t="shared" si="273"/>
        <v/>
      </c>
      <c r="V3277" t="str">
        <f t="shared" si="268"/>
        <v>MVS</v>
      </c>
      <c r="W3277" t="str">
        <f t="shared" si="268"/>
        <v>MVS</v>
      </c>
      <c r="AG3277" t="s">
        <v>6</v>
      </c>
      <c r="AH3277" t="s">
        <v>291</v>
      </c>
      <c r="AI3277" t="s">
        <v>164</v>
      </c>
      <c r="AJ3277" t="s">
        <v>57</v>
      </c>
      <c r="AK3277" t="s">
        <v>290</v>
      </c>
      <c r="AL3277" t="s">
        <v>289</v>
      </c>
    </row>
    <row r="3278" spans="5:44" x14ac:dyDescent="0.25">
      <c r="I3278" t="str">
        <f t="shared" si="271"/>
        <v>svcsplus</v>
      </c>
      <c r="J3278" t="str">
        <f t="shared" si="272"/>
        <v/>
      </c>
      <c r="L3278" t="str">
        <f t="shared" si="270"/>
        <v/>
      </c>
      <c r="M3278" t="str">
        <f t="shared" si="270"/>
        <v/>
      </c>
      <c r="N3278" t="str">
        <f t="shared" si="270"/>
        <v/>
      </c>
      <c r="O3278" t="str">
        <f t="shared" si="270"/>
        <v>Super Plus text remains on screen during gameplay</v>
      </c>
      <c r="P3278" t="str">
        <f t="shared" si="270"/>
        <v/>
      </c>
      <c r="T3278" t="str">
        <f t="shared" si="273"/>
        <v/>
      </c>
      <c r="V3278" t="str">
        <f t="shared" si="268"/>
        <v>MVS</v>
      </c>
      <c r="W3278" t="str">
        <f t="shared" si="268"/>
        <v>MVS</v>
      </c>
      <c r="AG3278" t="s">
        <v>6</v>
      </c>
      <c r="AH3278" t="s">
        <v>288</v>
      </c>
      <c r="AI3278" t="s">
        <v>160</v>
      </c>
      <c r="AJ3278" t="s">
        <v>57</v>
      </c>
      <c r="AK3278" t="s">
        <v>287</v>
      </c>
      <c r="AL3278" t="s">
        <v>286</v>
      </c>
    </row>
    <row r="3279" spans="5:44" x14ac:dyDescent="0.25">
      <c r="I3279" t="str">
        <f t="shared" si="271"/>
        <v>svcsplus</v>
      </c>
      <c r="J3279" t="str">
        <f t="shared" si="272"/>
        <v/>
      </c>
      <c r="L3279" t="str">
        <f t="shared" si="270"/>
        <v/>
      </c>
      <c r="M3279" t="str">
        <f t="shared" si="270"/>
        <v/>
      </c>
      <c r="N3279" t="str">
        <f t="shared" si="270"/>
        <v/>
      </c>
      <c r="O3279" t="str">
        <f t="shared" si="270"/>
        <v>Super Plus text remains on screen during gameplay</v>
      </c>
      <c r="P3279" t="str">
        <f t="shared" si="270"/>
        <v/>
      </c>
      <c r="T3279" t="str">
        <f t="shared" si="273"/>
        <v/>
      </c>
      <c r="V3279" t="str">
        <f t="shared" si="268"/>
        <v>MVS</v>
      </c>
      <c r="W3279" t="str">
        <f t="shared" si="268"/>
        <v>MVS</v>
      </c>
      <c r="AG3279" t="s">
        <v>6</v>
      </c>
      <c r="AH3279" t="s">
        <v>285</v>
      </c>
      <c r="AI3279" t="s">
        <v>156</v>
      </c>
      <c r="AJ3279" t="s">
        <v>57</v>
      </c>
      <c r="AK3279" t="s">
        <v>284</v>
      </c>
      <c r="AL3279" t="s">
        <v>283</v>
      </c>
    </row>
    <row r="3280" spans="5:44" x14ac:dyDescent="0.25">
      <c r="I3280" t="str">
        <f t="shared" si="271"/>
        <v>svcsplus</v>
      </c>
      <c r="J3280" t="str">
        <f t="shared" si="272"/>
        <v/>
      </c>
      <c r="L3280" t="str">
        <f t="shared" si="270"/>
        <v/>
      </c>
      <c r="M3280" t="str">
        <f t="shared" si="270"/>
        <v/>
      </c>
      <c r="N3280" t="str">
        <f t="shared" si="270"/>
        <v/>
      </c>
      <c r="O3280" t="str">
        <f t="shared" si="270"/>
        <v>Super Plus text remains on screen during gameplay</v>
      </c>
      <c r="P3280" t="str">
        <f t="shared" si="270"/>
        <v/>
      </c>
      <c r="T3280" t="str">
        <f t="shared" si="273"/>
        <v/>
      </c>
      <c r="V3280" t="str">
        <f t="shared" si="268"/>
        <v>MVS</v>
      </c>
      <c r="W3280" t="str">
        <f t="shared" si="268"/>
        <v>MVS</v>
      </c>
      <c r="AG3280" t="s">
        <v>6</v>
      </c>
      <c r="AH3280" t="s">
        <v>282</v>
      </c>
      <c r="AI3280" t="s">
        <v>152</v>
      </c>
      <c r="AJ3280" t="s">
        <v>57</v>
      </c>
      <c r="AK3280" t="s">
        <v>281</v>
      </c>
      <c r="AL3280" t="s">
        <v>280</v>
      </c>
    </row>
    <row r="3281" spans="5:44" x14ac:dyDescent="0.25">
      <c r="I3281" t="str">
        <f t="shared" si="271"/>
        <v>svcsplus</v>
      </c>
      <c r="J3281" t="str">
        <f t="shared" si="272"/>
        <v/>
      </c>
      <c r="L3281" t="str">
        <f t="shared" si="270"/>
        <v/>
      </c>
      <c r="M3281" t="str">
        <f t="shared" si="270"/>
        <v/>
      </c>
      <c r="N3281" t="str">
        <f t="shared" si="270"/>
        <v/>
      </c>
      <c r="O3281" t="str">
        <f t="shared" si="270"/>
        <v>Super Plus text remains on screen during gameplay</v>
      </c>
      <c r="P3281" t="str">
        <f t="shared" si="270"/>
        <v/>
      </c>
      <c r="T3281" t="str">
        <f t="shared" si="273"/>
        <v/>
      </c>
      <c r="V3281" t="str">
        <f t="shared" si="268"/>
        <v>MVS</v>
      </c>
      <c r="W3281" t="str">
        <f t="shared" si="268"/>
        <v>MVS</v>
      </c>
      <c r="AG3281" t="s">
        <v>6</v>
      </c>
      <c r="AH3281" t="s">
        <v>279</v>
      </c>
      <c r="AI3281" t="s">
        <v>148</v>
      </c>
      <c r="AJ3281" t="s">
        <v>57</v>
      </c>
      <c r="AK3281" t="s">
        <v>278</v>
      </c>
      <c r="AL3281" t="s">
        <v>277</v>
      </c>
    </row>
    <row r="3282" spans="5:44" x14ac:dyDescent="0.25">
      <c r="E3282" t="s">
        <v>276</v>
      </c>
      <c r="F3282" t="s">
        <v>275</v>
      </c>
      <c r="G3282" t="s">
        <v>195</v>
      </c>
      <c r="H3282" t="s">
        <v>194</v>
      </c>
      <c r="I3282" t="str">
        <f t="shared" si="271"/>
        <v>samsho5b</v>
      </c>
      <c r="J3282" t="str">
        <f t="shared" si="272"/>
        <v/>
      </c>
      <c r="L3282" t="str">
        <f t="shared" si="270"/>
        <v/>
      </c>
      <c r="M3282" t="str">
        <f t="shared" si="270"/>
        <v/>
      </c>
      <c r="N3282" t="str">
        <f t="shared" si="270"/>
        <v/>
      </c>
      <c r="O3282" t="str">
        <f t="shared" si="270"/>
        <v/>
      </c>
      <c r="P3282" t="str">
        <f t="shared" si="270"/>
        <v/>
      </c>
      <c r="S3282" t="s">
        <v>46</v>
      </c>
      <c r="T3282" t="str">
        <f t="shared" si="273"/>
        <v>samsho5brelease</v>
      </c>
      <c r="U3282" t="s">
        <v>106</v>
      </c>
      <c r="V3282" t="str">
        <f t="shared" si="268"/>
        <v>MVS</v>
      </c>
      <c r="W3282" t="str">
        <f t="shared" si="268"/>
        <v>MVS,AES</v>
      </c>
      <c r="Y3282" t="s">
        <v>45</v>
      </c>
      <c r="Z3282" t="s">
        <v>44</v>
      </c>
      <c r="AB3282" t="s">
        <v>43</v>
      </c>
      <c r="AC3282" t="s">
        <v>42</v>
      </c>
      <c r="AD3282" t="s">
        <v>41</v>
      </c>
      <c r="AE3282" t="s">
        <v>57</v>
      </c>
      <c r="AG3282" t="s">
        <v>40</v>
      </c>
      <c r="AH3282" t="s">
        <v>274</v>
      </c>
      <c r="AI3282" t="s">
        <v>9</v>
      </c>
      <c r="AJ3282" t="s">
        <v>11</v>
      </c>
      <c r="AK3282" t="s">
        <v>273</v>
      </c>
      <c r="AL3282" t="s">
        <v>272</v>
      </c>
      <c r="AP3282" t="s">
        <v>138</v>
      </c>
      <c r="AQ3282" t="s">
        <v>271</v>
      </c>
      <c r="AR3282" t="s">
        <v>270</v>
      </c>
    </row>
    <row r="3283" spans="5:44" x14ac:dyDescent="0.25">
      <c r="I3283" t="str">
        <f t="shared" si="271"/>
        <v>samsho5b</v>
      </c>
      <c r="J3283" t="str">
        <f t="shared" si="272"/>
        <v/>
      </c>
      <c r="L3283" t="str">
        <f t="shared" si="270"/>
        <v/>
      </c>
      <c r="M3283" t="str">
        <f t="shared" si="270"/>
        <v/>
      </c>
      <c r="N3283" t="str">
        <f t="shared" si="270"/>
        <v/>
      </c>
      <c r="O3283" t="str">
        <f t="shared" si="270"/>
        <v/>
      </c>
      <c r="P3283" t="str">
        <f t="shared" si="270"/>
        <v/>
      </c>
      <c r="S3283" t="s">
        <v>36</v>
      </c>
      <c r="T3283" t="str">
        <f t="shared" si="273"/>
        <v>samsho5bcompatibility</v>
      </c>
      <c r="U3283" t="s">
        <v>218</v>
      </c>
      <c r="V3283" t="str">
        <f t="shared" si="268"/>
        <v>MVS</v>
      </c>
      <c r="W3283" t="str">
        <f t="shared" si="268"/>
        <v>MVS,AES</v>
      </c>
      <c r="AG3283" t="s">
        <v>40</v>
      </c>
      <c r="AH3283" t="s">
        <v>269</v>
      </c>
      <c r="AI3283" t="s">
        <v>11</v>
      </c>
      <c r="AJ3283" t="s">
        <v>11</v>
      </c>
      <c r="AK3283" t="s">
        <v>268</v>
      </c>
      <c r="AL3283" t="s">
        <v>267</v>
      </c>
    </row>
    <row r="3284" spans="5:44" x14ac:dyDescent="0.25">
      <c r="I3284" t="str">
        <f t="shared" si="271"/>
        <v>samsho5b</v>
      </c>
      <c r="J3284" t="str">
        <f t="shared" si="272"/>
        <v/>
      </c>
      <c r="L3284" t="str">
        <f t="shared" si="270"/>
        <v/>
      </c>
      <c r="M3284" t="str">
        <f t="shared" si="270"/>
        <v/>
      </c>
      <c r="N3284" t="str">
        <f t="shared" si="270"/>
        <v/>
      </c>
      <c r="O3284" t="str">
        <f t="shared" si="270"/>
        <v/>
      </c>
      <c r="P3284" t="str">
        <f t="shared" si="270"/>
        <v/>
      </c>
      <c r="T3284" t="str">
        <f t="shared" si="273"/>
        <v/>
      </c>
      <c r="V3284" t="str">
        <f t="shared" si="268"/>
        <v>MVS</v>
      </c>
      <c r="W3284" t="str">
        <f t="shared" si="268"/>
        <v>MVS,AES</v>
      </c>
      <c r="AB3284" t="s">
        <v>34</v>
      </c>
      <c r="AE3284" t="s">
        <v>33</v>
      </c>
      <c r="AH3284" t="s">
        <v>266</v>
      </c>
      <c r="AI3284" t="s">
        <v>9</v>
      </c>
      <c r="AJ3284" t="s">
        <v>27</v>
      </c>
      <c r="AK3284" t="s">
        <v>265</v>
      </c>
      <c r="AL3284" t="s">
        <v>264</v>
      </c>
    </row>
    <row r="3285" spans="5:44" x14ac:dyDescent="0.25">
      <c r="I3285" t="str">
        <f t="shared" si="271"/>
        <v>samsho5b</v>
      </c>
      <c r="J3285" t="str">
        <f t="shared" si="272"/>
        <v/>
      </c>
      <c r="L3285" t="str">
        <f t="shared" si="270"/>
        <v/>
      </c>
      <c r="M3285" t="str">
        <f t="shared" si="270"/>
        <v/>
      </c>
      <c r="N3285" t="str">
        <f t="shared" si="270"/>
        <v/>
      </c>
      <c r="O3285" t="str">
        <f t="shared" si="270"/>
        <v/>
      </c>
      <c r="P3285" t="str">
        <f t="shared" si="270"/>
        <v/>
      </c>
      <c r="T3285" t="str">
        <f t="shared" si="273"/>
        <v/>
      </c>
      <c r="V3285" t="str">
        <f t="shared" si="268"/>
        <v>MVS</v>
      </c>
      <c r="W3285" t="str">
        <f t="shared" si="268"/>
        <v>MVS,AES</v>
      </c>
      <c r="AB3285" t="s">
        <v>29</v>
      </c>
      <c r="AE3285" t="s">
        <v>27</v>
      </c>
      <c r="AH3285" t="s">
        <v>263</v>
      </c>
      <c r="AI3285" t="s">
        <v>9</v>
      </c>
      <c r="AJ3285" t="s">
        <v>27</v>
      </c>
      <c r="AK3285" t="s">
        <v>262</v>
      </c>
      <c r="AL3285" t="s">
        <v>261</v>
      </c>
    </row>
    <row r="3286" spans="5:44" x14ac:dyDescent="0.25">
      <c r="I3286" t="str">
        <f t="shared" si="271"/>
        <v>samsho5b</v>
      </c>
      <c r="J3286" t="str">
        <f t="shared" si="272"/>
        <v/>
      </c>
      <c r="L3286" t="str">
        <f t="shared" si="270"/>
        <v/>
      </c>
      <c r="M3286" t="str">
        <f t="shared" si="270"/>
        <v/>
      </c>
      <c r="N3286" t="str">
        <f t="shared" si="270"/>
        <v/>
      </c>
      <c r="O3286" t="str">
        <f t="shared" si="270"/>
        <v/>
      </c>
      <c r="P3286" t="str">
        <f t="shared" si="270"/>
        <v/>
      </c>
      <c r="T3286" t="str">
        <f t="shared" si="273"/>
        <v/>
      </c>
      <c r="V3286" t="str">
        <f t="shared" si="268"/>
        <v>MVS</v>
      </c>
      <c r="W3286" t="str">
        <f t="shared" si="268"/>
        <v>MVS,AES</v>
      </c>
      <c r="AB3286" t="s">
        <v>24</v>
      </c>
      <c r="AE3286" t="s">
        <v>65</v>
      </c>
      <c r="AH3286" t="s">
        <v>260</v>
      </c>
      <c r="AI3286" t="s">
        <v>9</v>
      </c>
      <c r="AJ3286" t="s">
        <v>11</v>
      </c>
      <c r="AK3286" t="s">
        <v>259</v>
      </c>
      <c r="AL3286" t="s">
        <v>258</v>
      </c>
    </row>
    <row r="3287" spans="5:44" x14ac:dyDescent="0.25">
      <c r="I3287" t="str">
        <f t="shared" si="271"/>
        <v>samsho5b</v>
      </c>
      <c r="J3287" t="str">
        <f t="shared" si="272"/>
        <v/>
      </c>
      <c r="L3287" t="str">
        <f t="shared" si="270"/>
        <v/>
      </c>
      <c r="M3287" t="str">
        <f t="shared" si="270"/>
        <v/>
      </c>
      <c r="N3287" t="str">
        <f t="shared" si="270"/>
        <v/>
      </c>
      <c r="O3287" t="str">
        <f t="shared" si="270"/>
        <v/>
      </c>
      <c r="P3287" t="str">
        <f t="shared" si="270"/>
        <v/>
      </c>
      <c r="T3287" t="str">
        <f t="shared" si="273"/>
        <v/>
      </c>
      <c r="V3287" t="str">
        <f t="shared" ref="V3287:W3350" si="274">IFERROR(VLOOKUP($I3287&amp;V$1,$T:$AA,2,0),"")</f>
        <v>MVS</v>
      </c>
      <c r="W3287" t="str">
        <f t="shared" si="274"/>
        <v>MVS,AES</v>
      </c>
      <c r="AH3287" t="s">
        <v>257</v>
      </c>
      <c r="AI3287" t="s">
        <v>11</v>
      </c>
      <c r="AJ3287" t="s">
        <v>11</v>
      </c>
      <c r="AK3287" t="s">
        <v>256</v>
      </c>
      <c r="AL3287" t="s">
        <v>255</v>
      </c>
    </row>
    <row r="3288" spans="5:44" x14ac:dyDescent="0.25">
      <c r="I3288" t="str">
        <f t="shared" si="271"/>
        <v>samsho5b</v>
      </c>
      <c r="J3288" t="str">
        <f t="shared" si="272"/>
        <v/>
      </c>
      <c r="L3288" t="str">
        <f t="shared" si="270"/>
        <v/>
      </c>
      <c r="M3288" t="str">
        <f t="shared" si="270"/>
        <v/>
      </c>
      <c r="N3288" t="str">
        <f t="shared" si="270"/>
        <v/>
      </c>
      <c r="O3288" t="str">
        <f t="shared" si="270"/>
        <v/>
      </c>
      <c r="P3288" t="str">
        <f t="shared" si="270"/>
        <v/>
      </c>
      <c r="T3288" t="str">
        <f t="shared" si="273"/>
        <v/>
      </c>
      <c r="V3288" t="str">
        <f t="shared" si="274"/>
        <v>MVS</v>
      </c>
      <c r="W3288" t="str">
        <f t="shared" si="274"/>
        <v>MVS,AES</v>
      </c>
      <c r="AH3288" t="s">
        <v>254</v>
      </c>
      <c r="AI3288" t="s">
        <v>57</v>
      </c>
      <c r="AJ3288" t="s">
        <v>11</v>
      </c>
      <c r="AK3288" t="s">
        <v>253</v>
      </c>
      <c r="AL3288" t="s">
        <v>252</v>
      </c>
    </row>
    <row r="3289" spans="5:44" x14ac:dyDescent="0.25">
      <c r="I3289" t="str">
        <f t="shared" si="271"/>
        <v>samsho5b</v>
      </c>
      <c r="J3289" t="str">
        <f t="shared" si="272"/>
        <v/>
      </c>
      <c r="L3289" t="str">
        <f t="shared" si="270"/>
        <v/>
      </c>
      <c r="M3289" t="str">
        <f t="shared" si="270"/>
        <v/>
      </c>
      <c r="N3289" t="str">
        <f t="shared" si="270"/>
        <v/>
      </c>
      <c r="O3289" t="str">
        <f t="shared" si="270"/>
        <v/>
      </c>
      <c r="P3289" t="str">
        <f t="shared" si="270"/>
        <v/>
      </c>
      <c r="T3289" t="str">
        <f t="shared" si="273"/>
        <v/>
      </c>
      <c r="V3289" t="str">
        <f t="shared" si="274"/>
        <v>MVS</v>
      </c>
      <c r="W3289" t="str">
        <f t="shared" si="274"/>
        <v>MVS,AES</v>
      </c>
      <c r="AH3289" t="s">
        <v>251</v>
      </c>
      <c r="AI3289" t="s">
        <v>250</v>
      </c>
      <c r="AJ3289" t="s">
        <v>11</v>
      </c>
      <c r="AK3289" t="s">
        <v>249</v>
      </c>
      <c r="AL3289" t="s">
        <v>248</v>
      </c>
    </row>
    <row r="3290" spans="5:44" x14ac:dyDescent="0.25">
      <c r="I3290" t="str">
        <f t="shared" si="271"/>
        <v>samsho5b</v>
      </c>
      <c r="J3290" t="str">
        <f t="shared" si="272"/>
        <v/>
      </c>
      <c r="L3290" t="str">
        <f t="shared" si="270"/>
        <v/>
      </c>
      <c r="M3290" t="str">
        <f t="shared" si="270"/>
        <v/>
      </c>
      <c r="N3290" t="str">
        <f t="shared" si="270"/>
        <v/>
      </c>
      <c r="O3290" t="str">
        <f t="shared" si="270"/>
        <v/>
      </c>
      <c r="P3290" t="str">
        <f t="shared" si="270"/>
        <v/>
      </c>
      <c r="T3290" t="str">
        <f t="shared" si="273"/>
        <v/>
      </c>
      <c r="V3290" t="str">
        <f t="shared" si="274"/>
        <v>MVS</v>
      </c>
      <c r="W3290" t="str">
        <f t="shared" si="274"/>
        <v>MVS,AES</v>
      </c>
      <c r="AB3290" t="s">
        <v>12</v>
      </c>
      <c r="AE3290" t="s">
        <v>175</v>
      </c>
      <c r="AG3290" t="s">
        <v>6</v>
      </c>
      <c r="AH3290" t="s">
        <v>247</v>
      </c>
      <c r="AI3290" t="s">
        <v>246</v>
      </c>
      <c r="AJ3290" t="s">
        <v>65</v>
      </c>
      <c r="AK3290" t="s">
        <v>245</v>
      </c>
      <c r="AL3290" t="s">
        <v>244</v>
      </c>
    </row>
    <row r="3291" spans="5:44" x14ac:dyDescent="0.25">
      <c r="I3291" t="str">
        <f t="shared" si="271"/>
        <v>samsho5b</v>
      </c>
      <c r="J3291" t="str">
        <f t="shared" si="272"/>
        <v/>
      </c>
      <c r="L3291" t="str">
        <f t="shared" si="270"/>
        <v/>
      </c>
      <c r="M3291" t="str">
        <f t="shared" si="270"/>
        <v/>
      </c>
      <c r="N3291" t="str">
        <f t="shared" si="270"/>
        <v/>
      </c>
      <c r="O3291" t="str">
        <f t="shared" si="270"/>
        <v/>
      </c>
      <c r="P3291" t="str">
        <f t="shared" si="270"/>
        <v/>
      </c>
      <c r="T3291" t="str">
        <f t="shared" si="273"/>
        <v/>
      </c>
      <c r="V3291" t="str">
        <f t="shared" si="274"/>
        <v>MVS</v>
      </c>
      <c r="W3291" t="str">
        <f t="shared" si="274"/>
        <v>MVS,AES</v>
      </c>
      <c r="AG3291" t="s">
        <v>6</v>
      </c>
      <c r="AH3291" t="s">
        <v>243</v>
      </c>
      <c r="AI3291" t="s">
        <v>242</v>
      </c>
      <c r="AJ3291" t="s">
        <v>65</v>
      </c>
      <c r="AK3291" t="s">
        <v>241</v>
      </c>
      <c r="AL3291" t="s">
        <v>240</v>
      </c>
    </row>
    <row r="3292" spans="5:44" x14ac:dyDescent="0.25">
      <c r="I3292" t="str">
        <f t="shared" si="271"/>
        <v>samsho5b</v>
      </c>
      <c r="J3292" t="str">
        <f t="shared" si="272"/>
        <v/>
      </c>
      <c r="L3292" t="str">
        <f t="shared" ref="L3292:P3323" si="275">IFERROR(VLOOKUP($I3292&amp;L$1,$J:$Q,8,0),"")</f>
        <v/>
      </c>
      <c r="M3292" t="str">
        <f t="shared" si="275"/>
        <v/>
      </c>
      <c r="N3292" t="str">
        <f t="shared" si="275"/>
        <v/>
      </c>
      <c r="O3292" t="str">
        <f t="shared" si="275"/>
        <v/>
      </c>
      <c r="P3292" t="str">
        <f t="shared" si="275"/>
        <v/>
      </c>
      <c r="T3292" t="str">
        <f t="shared" si="273"/>
        <v/>
      </c>
      <c r="V3292" t="str">
        <f t="shared" si="274"/>
        <v>MVS</v>
      </c>
      <c r="W3292" t="str">
        <f t="shared" si="274"/>
        <v>MVS,AES</v>
      </c>
      <c r="AG3292" t="s">
        <v>6</v>
      </c>
      <c r="AH3292" t="s">
        <v>239</v>
      </c>
      <c r="AI3292" t="s">
        <v>160</v>
      </c>
      <c r="AJ3292" t="s">
        <v>65</v>
      </c>
      <c r="AK3292" t="s">
        <v>238</v>
      </c>
      <c r="AL3292" t="s">
        <v>237</v>
      </c>
    </row>
    <row r="3293" spans="5:44" x14ac:dyDescent="0.25">
      <c r="I3293" t="str">
        <f t="shared" si="271"/>
        <v>samsho5b</v>
      </c>
      <c r="J3293" t="str">
        <f t="shared" si="272"/>
        <v/>
      </c>
      <c r="L3293" t="str">
        <f t="shared" si="275"/>
        <v/>
      </c>
      <c r="M3293" t="str">
        <f t="shared" si="275"/>
        <v/>
      </c>
      <c r="N3293" t="str">
        <f t="shared" si="275"/>
        <v/>
      </c>
      <c r="O3293" t="str">
        <f t="shared" si="275"/>
        <v/>
      </c>
      <c r="P3293" t="str">
        <f t="shared" si="275"/>
        <v/>
      </c>
      <c r="T3293" t="str">
        <f t="shared" si="273"/>
        <v/>
      </c>
      <c r="V3293" t="str">
        <f t="shared" si="274"/>
        <v>MVS</v>
      </c>
      <c r="W3293" t="str">
        <f t="shared" si="274"/>
        <v>MVS,AES</v>
      </c>
      <c r="AG3293" t="s">
        <v>6</v>
      </c>
      <c r="AH3293" t="s">
        <v>236</v>
      </c>
      <c r="AI3293" t="s">
        <v>156</v>
      </c>
      <c r="AJ3293" t="s">
        <v>65</v>
      </c>
      <c r="AK3293" t="s">
        <v>235</v>
      </c>
      <c r="AL3293" t="s">
        <v>234</v>
      </c>
    </row>
    <row r="3294" spans="5:44" x14ac:dyDescent="0.25">
      <c r="E3294" t="s">
        <v>233</v>
      </c>
      <c r="F3294" t="s">
        <v>232</v>
      </c>
      <c r="G3294" t="s">
        <v>195</v>
      </c>
      <c r="H3294" t="s">
        <v>194</v>
      </c>
      <c r="I3294" t="str">
        <f t="shared" si="271"/>
        <v>kf2k3bl</v>
      </c>
      <c r="J3294" t="str">
        <f t="shared" si="272"/>
        <v/>
      </c>
      <c r="L3294" t="str">
        <f t="shared" si="275"/>
        <v/>
      </c>
      <c r="M3294" t="str">
        <f t="shared" si="275"/>
        <v/>
      </c>
      <c r="N3294" t="str">
        <f t="shared" si="275"/>
        <v/>
      </c>
      <c r="O3294" t="str">
        <f t="shared" si="275"/>
        <v/>
      </c>
      <c r="P3294" t="str">
        <f t="shared" si="275"/>
        <v/>
      </c>
      <c r="S3294" t="s">
        <v>46</v>
      </c>
      <c r="T3294" t="str">
        <f t="shared" si="273"/>
        <v>kf2k3blrelease</v>
      </c>
      <c r="U3294" t="s">
        <v>106</v>
      </c>
      <c r="V3294" t="str">
        <f t="shared" si="274"/>
        <v>MVS</v>
      </c>
      <c r="W3294" t="str">
        <f t="shared" si="274"/>
        <v>MVS,AES</v>
      </c>
      <c r="Y3294" t="s">
        <v>45</v>
      </c>
      <c r="Z3294" t="s">
        <v>44</v>
      </c>
      <c r="AB3294" t="s">
        <v>43</v>
      </c>
      <c r="AC3294" t="s">
        <v>42</v>
      </c>
      <c r="AD3294" t="s">
        <v>41</v>
      </c>
      <c r="AE3294" t="s">
        <v>57</v>
      </c>
      <c r="AG3294" t="s">
        <v>40</v>
      </c>
      <c r="AH3294" t="s">
        <v>231</v>
      </c>
      <c r="AI3294" t="s">
        <v>15</v>
      </c>
      <c r="AJ3294" t="s">
        <v>11</v>
      </c>
      <c r="AK3294" t="s">
        <v>230</v>
      </c>
      <c r="AL3294" t="s">
        <v>229</v>
      </c>
      <c r="AP3294" t="s">
        <v>138</v>
      </c>
      <c r="AQ3294" t="s">
        <v>228</v>
      </c>
      <c r="AR3294" t="s">
        <v>188</v>
      </c>
    </row>
    <row r="3295" spans="5:44" x14ac:dyDescent="0.25">
      <c r="I3295" t="str">
        <f t="shared" si="271"/>
        <v>kf2k3bl</v>
      </c>
      <c r="J3295" t="str">
        <f t="shared" si="272"/>
        <v/>
      </c>
      <c r="L3295" t="str">
        <f t="shared" si="275"/>
        <v/>
      </c>
      <c r="M3295" t="str">
        <f t="shared" si="275"/>
        <v/>
      </c>
      <c r="N3295" t="str">
        <f t="shared" si="275"/>
        <v/>
      </c>
      <c r="O3295" t="str">
        <f t="shared" si="275"/>
        <v/>
      </c>
      <c r="P3295" t="str">
        <f t="shared" si="275"/>
        <v/>
      </c>
      <c r="S3295" t="s">
        <v>36</v>
      </c>
      <c r="T3295" t="str">
        <f t="shared" si="273"/>
        <v>kf2k3blcompatibility</v>
      </c>
      <c r="U3295" t="s">
        <v>218</v>
      </c>
      <c r="V3295" t="str">
        <f t="shared" si="274"/>
        <v>MVS</v>
      </c>
      <c r="W3295" t="str">
        <f t="shared" si="274"/>
        <v>MVS,AES</v>
      </c>
      <c r="AG3295" t="s">
        <v>40</v>
      </c>
      <c r="AH3295" t="s">
        <v>227</v>
      </c>
      <c r="AI3295" t="s">
        <v>23</v>
      </c>
      <c r="AJ3295" t="s">
        <v>3</v>
      </c>
      <c r="AK3295" t="s">
        <v>226</v>
      </c>
      <c r="AL3295" t="s">
        <v>225</v>
      </c>
    </row>
    <row r="3296" spans="5:44" x14ac:dyDescent="0.25">
      <c r="I3296" t="str">
        <f t="shared" si="271"/>
        <v>kf2k3bl</v>
      </c>
      <c r="J3296" t="str">
        <f t="shared" si="272"/>
        <v/>
      </c>
      <c r="L3296" t="str">
        <f t="shared" si="275"/>
        <v/>
      </c>
      <c r="M3296" t="str">
        <f t="shared" si="275"/>
        <v/>
      </c>
      <c r="N3296" t="str">
        <f t="shared" si="275"/>
        <v/>
      </c>
      <c r="O3296" t="str">
        <f t="shared" si="275"/>
        <v/>
      </c>
      <c r="P3296" t="str">
        <f t="shared" si="275"/>
        <v/>
      </c>
      <c r="T3296" t="str">
        <f t="shared" si="273"/>
        <v/>
      </c>
      <c r="V3296" t="str">
        <f t="shared" si="274"/>
        <v>MVS</v>
      </c>
      <c r="W3296" t="str">
        <f t="shared" si="274"/>
        <v>MVS,AES</v>
      </c>
      <c r="AG3296" t="s">
        <v>224</v>
      </c>
      <c r="AI3296" t="s">
        <v>9</v>
      </c>
      <c r="AJ3296" t="s">
        <v>15</v>
      </c>
    </row>
    <row r="3297" spans="5:44" x14ac:dyDescent="0.25">
      <c r="I3297" t="str">
        <f t="shared" si="271"/>
        <v>kf2k3bl</v>
      </c>
      <c r="J3297" t="str">
        <f t="shared" si="272"/>
        <v/>
      </c>
      <c r="L3297" t="str">
        <f t="shared" si="275"/>
        <v/>
      </c>
      <c r="M3297" t="str">
        <f t="shared" si="275"/>
        <v/>
      </c>
      <c r="N3297" t="str">
        <f t="shared" si="275"/>
        <v/>
      </c>
      <c r="O3297" t="str">
        <f t="shared" si="275"/>
        <v/>
      </c>
      <c r="P3297" t="str">
        <f t="shared" si="275"/>
        <v/>
      </c>
      <c r="T3297" t="str">
        <f t="shared" si="273"/>
        <v/>
      </c>
      <c r="V3297" t="str">
        <f t="shared" si="274"/>
        <v>MVS</v>
      </c>
      <c r="W3297" t="str">
        <f t="shared" si="274"/>
        <v>MVS,AES</v>
      </c>
      <c r="AG3297" t="s">
        <v>224</v>
      </c>
      <c r="AI3297" t="s">
        <v>9</v>
      </c>
      <c r="AJ3297" t="s">
        <v>15</v>
      </c>
    </row>
    <row r="3298" spans="5:44" x14ac:dyDescent="0.25">
      <c r="I3298" t="str">
        <f t="shared" si="271"/>
        <v>kf2k3bl</v>
      </c>
      <c r="J3298" t="str">
        <f t="shared" si="272"/>
        <v/>
      </c>
      <c r="L3298" t="str">
        <f t="shared" si="275"/>
        <v/>
      </c>
      <c r="M3298" t="str">
        <f t="shared" si="275"/>
        <v/>
      </c>
      <c r="N3298" t="str">
        <f t="shared" si="275"/>
        <v/>
      </c>
      <c r="O3298" t="str">
        <f t="shared" si="275"/>
        <v/>
      </c>
      <c r="P3298" t="str">
        <f t="shared" si="275"/>
        <v/>
      </c>
      <c r="T3298" t="str">
        <f t="shared" si="273"/>
        <v/>
      </c>
      <c r="V3298" t="str">
        <f t="shared" si="274"/>
        <v>MVS</v>
      </c>
      <c r="W3298" t="str">
        <f t="shared" si="274"/>
        <v>MVS,AES</v>
      </c>
      <c r="AB3298" t="s">
        <v>34</v>
      </c>
      <c r="AE3298" t="s">
        <v>33</v>
      </c>
      <c r="AH3298" t="s">
        <v>217</v>
      </c>
      <c r="AI3298" t="s">
        <v>9</v>
      </c>
      <c r="AJ3298" t="s">
        <v>27</v>
      </c>
      <c r="AK3298" t="s">
        <v>216</v>
      </c>
      <c r="AL3298" t="s">
        <v>215</v>
      </c>
    </row>
    <row r="3299" spans="5:44" x14ac:dyDescent="0.25">
      <c r="I3299" t="str">
        <f t="shared" si="271"/>
        <v>kf2k3bl</v>
      </c>
      <c r="J3299" t="str">
        <f t="shared" si="272"/>
        <v/>
      </c>
      <c r="L3299" t="str">
        <f t="shared" si="275"/>
        <v/>
      </c>
      <c r="M3299" t="str">
        <f t="shared" si="275"/>
        <v/>
      </c>
      <c r="N3299" t="str">
        <f t="shared" si="275"/>
        <v/>
      </c>
      <c r="O3299" t="str">
        <f t="shared" si="275"/>
        <v/>
      </c>
      <c r="P3299" t="str">
        <f t="shared" si="275"/>
        <v/>
      </c>
      <c r="T3299" t="str">
        <f t="shared" si="273"/>
        <v/>
      </c>
      <c r="V3299" t="str">
        <f t="shared" si="274"/>
        <v>MVS</v>
      </c>
      <c r="W3299" t="str">
        <f t="shared" si="274"/>
        <v>MVS,AES</v>
      </c>
      <c r="AB3299" t="s">
        <v>29</v>
      </c>
      <c r="AE3299" t="s">
        <v>27</v>
      </c>
      <c r="AH3299" t="s">
        <v>184</v>
      </c>
      <c r="AI3299" t="s">
        <v>9</v>
      </c>
      <c r="AJ3299" t="s">
        <v>27</v>
      </c>
      <c r="AK3299" t="s">
        <v>183</v>
      </c>
      <c r="AL3299" t="s">
        <v>182</v>
      </c>
    </row>
    <row r="3300" spans="5:44" x14ac:dyDescent="0.25">
      <c r="I3300" t="str">
        <f t="shared" si="271"/>
        <v>kf2k3bl</v>
      </c>
      <c r="J3300" t="str">
        <f t="shared" si="272"/>
        <v/>
      </c>
      <c r="L3300" t="str">
        <f t="shared" si="275"/>
        <v/>
      </c>
      <c r="M3300" t="str">
        <f t="shared" si="275"/>
        <v/>
      </c>
      <c r="N3300" t="str">
        <f t="shared" si="275"/>
        <v/>
      </c>
      <c r="O3300" t="str">
        <f t="shared" si="275"/>
        <v/>
      </c>
      <c r="P3300" t="str">
        <f t="shared" si="275"/>
        <v/>
      </c>
      <c r="T3300" t="str">
        <f t="shared" si="273"/>
        <v/>
      </c>
      <c r="V3300" t="str">
        <f t="shared" si="274"/>
        <v>MVS</v>
      </c>
      <c r="W3300" t="str">
        <f t="shared" si="274"/>
        <v>MVS,AES</v>
      </c>
      <c r="AB3300" t="s">
        <v>24</v>
      </c>
      <c r="AE3300" t="s">
        <v>65</v>
      </c>
      <c r="AH3300" t="s">
        <v>181</v>
      </c>
      <c r="AI3300" t="s">
        <v>9</v>
      </c>
      <c r="AJ3300" t="s">
        <v>57</v>
      </c>
      <c r="AK3300" t="s">
        <v>180</v>
      </c>
      <c r="AL3300" t="s">
        <v>179</v>
      </c>
    </row>
    <row r="3301" spans="5:44" x14ac:dyDescent="0.25">
      <c r="I3301" t="str">
        <f t="shared" si="271"/>
        <v>kf2k3bl</v>
      </c>
      <c r="J3301" t="str">
        <f t="shared" si="272"/>
        <v/>
      </c>
      <c r="L3301" t="str">
        <f t="shared" si="275"/>
        <v/>
      </c>
      <c r="M3301" t="str">
        <f t="shared" si="275"/>
        <v/>
      </c>
      <c r="N3301" t="str">
        <f t="shared" si="275"/>
        <v/>
      </c>
      <c r="O3301" t="str">
        <f t="shared" si="275"/>
        <v/>
      </c>
      <c r="P3301" t="str">
        <f t="shared" si="275"/>
        <v/>
      </c>
      <c r="T3301" t="str">
        <f t="shared" si="273"/>
        <v/>
      </c>
      <c r="V3301" t="str">
        <f t="shared" si="274"/>
        <v>MVS</v>
      </c>
      <c r="W3301" t="str">
        <f t="shared" si="274"/>
        <v>MVS,AES</v>
      </c>
      <c r="AH3301" t="s">
        <v>178</v>
      </c>
      <c r="AI3301" t="s">
        <v>57</v>
      </c>
      <c r="AJ3301" t="s">
        <v>57</v>
      </c>
      <c r="AK3301" t="s">
        <v>177</v>
      </c>
      <c r="AL3301" t="s">
        <v>176</v>
      </c>
    </row>
    <row r="3302" spans="5:44" x14ac:dyDescent="0.25">
      <c r="I3302" t="str">
        <f t="shared" si="271"/>
        <v>kf2k3bl</v>
      </c>
      <c r="J3302" t="str">
        <f t="shared" si="272"/>
        <v/>
      </c>
      <c r="L3302" t="str">
        <f t="shared" si="275"/>
        <v/>
      </c>
      <c r="M3302" t="str">
        <f t="shared" si="275"/>
        <v/>
      </c>
      <c r="N3302" t="str">
        <f t="shared" si="275"/>
        <v/>
      </c>
      <c r="O3302" t="str">
        <f t="shared" si="275"/>
        <v/>
      </c>
      <c r="P3302" t="str">
        <f t="shared" si="275"/>
        <v/>
      </c>
      <c r="T3302" t="str">
        <f t="shared" si="273"/>
        <v/>
      </c>
      <c r="V3302" t="str">
        <f t="shared" si="274"/>
        <v>MVS</v>
      </c>
      <c r="W3302" t="str">
        <f t="shared" si="274"/>
        <v>MVS,AES</v>
      </c>
      <c r="AB3302" t="s">
        <v>12</v>
      </c>
      <c r="AE3302" t="s">
        <v>175</v>
      </c>
      <c r="AG3302" t="s">
        <v>6</v>
      </c>
      <c r="AH3302" t="s">
        <v>174</v>
      </c>
      <c r="AI3302" t="s">
        <v>9</v>
      </c>
      <c r="AJ3302" t="s">
        <v>57</v>
      </c>
      <c r="AK3302" t="s">
        <v>173</v>
      </c>
      <c r="AL3302" t="s">
        <v>172</v>
      </c>
    </row>
    <row r="3303" spans="5:44" x14ac:dyDescent="0.25">
      <c r="I3303" t="str">
        <f t="shared" si="271"/>
        <v>kf2k3bl</v>
      </c>
      <c r="J3303" t="str">
        <f t="shared" si="272"/>
        <v/>
      </c>
      <c r="L3303" t="str">
        <f t="shared" si="275"/>
        <v/>
      </c>
      <c r="M3303" t="str">
        <f t="shared" si="275"/>
        <v/>
      </c>
      <c r="N3303" t="str">
        <f t="shared" si="275"/>
        <v/>
      </c>
      <c r="O3303" t="str">
        <f t="shared" si="275"/>
        <v/>
      </c>
      <c r="P3303" t="str">
        <f t="shared" si="275"/>
        <v/>
      </c>
      <c r="T3303" t="str">
        <f t="shared" si="273"/>
        <v/>
      </c>
      <c r="V3303" t="str">
        <f t="shared" si="274"/>
        <v>MVS</v>
      </c>
      <c r="W3303" t="str">
        <f t="shared" si="274"/>
        <v>MVS,AES</v>
      </c>
      <c r="AG3303" t="s">
        <v>6</v>
      </c>
      <c r="AH3303" t="s">
        <v>171</v>
      </c>
      <c r="AI3303" t="s">
        <v>4</v>
      </c>
      <c r="AJ3303" t="s">
        <v>57</v>
      </c>
      <c r="AK3303" t="s">
        <v>170</v>
      </c>
      <c r="AL3303" t="s">
        <v>169</v>
      </c>
    </row>
    <row r="3304" spans="5:44" x14ac:dyDescent="0.25">
      <c r="I3304" t="str">
        <f t="shared" si="271"/>
        <v>kf2k3bl</v>
      </c>
      <c r="J3304" t="str">
        <f t="shared" si="272"/>
        <v/>
      </c>
      <c r="L3304" t="str">
        <f t="shared" si="275"/>
        <v/>
      </c>
      <c r="M3304" t="str">
        <f t="shared" si="275"/>
        <v/>
      </c>
      <c r="N3304" t="str">
        <f t="shared" si="275"/>
        <v/>
      </c>
      <c r="O3304" t="str">
        <f t="shared" si="275"/>
        <v/>
      </c>
      <c r="P3304" t="str">
        <f t="shared" si="275"/>
        <v/>
      </c>
      <c r="T3304" t="str">
        <f t="shared" si="273"/>
        <v/>
      </c>
      <c r="V3304" t="str">
        <f t="shared" si="274"/>
        <v>MVS</v>
      </c>
      <c r="W3304" t="str">
        <f t="shared" si="274"/>
        <v>MVS,AES</v>
      </c>
      <c r="AG3304" t="s">
        <v>6</v>
      </c>
      <c r="AH3304" t="s">
        <v>168</v>
      </c>
      <c r="AI3304" t="s">
        <v>65</v>
      </c>
      <c r="AJ3304" t="s">
        <v>57</v>
      </c>
      <c r="AK3304" t="s">
        <v>167</v>
      </c>
      <c r="AL3304" t="s">
        <v>166</v>
      </c>
    </row>
    <row r="3305" spans="5:44" x14ac:dyDescent="0.25">
      <c r="I3305" t="str">
        <f t="shared" si="271"/>
        <v>kf2k3bl</v>
      </c>
      <c r="J3305" t="str">
        <f t="shared" si="272"/>
        <v/>
      </c>
      <c r="L3305" t="str">
        <f t="shared" si="275"/>
        <v/>
      </c>
      <c r="M3305" t="str">
        <f t="shared" si="275"/>
        <v/>
      </c>
      <c r="N3305" t="str">
        <f t="shared" si="275"/>
        <v/>
      </c>
      <c r="O3305" t="str">
        <f t="shared" si="275"/>
        <v/>
      </c>
      <c r="P3305" t="str">
        <f t="shared" si="275"/>
        <v/>
      </c>
      <c r="T3305" t="str">
        <f t="shared" si="273"/>
        <v/>
      </c>
      <c r="V3305" t="str">
        <f t="shared" si="274"/>
        <v>MVS</v>
      </c>
      <c r="W3305" t="str">
        <f t="shared" si="274"/>
        <v>MVS,AES</v>
      </c>
      <c r="AG3305" t="s">
        <v>6</v>
      </c>
      <c r="AH3305" t="s">
        <v>165</v>
      </c>
      <c r="AI3305" t="s">
        <v>164</v>
      </c>
      <c r="AJ3305" t="s">
        <v>57</v>
      </c>
      <c r="AK3305" t="s">
        <v>163</v>
      </c>
      <c r="AL3305" t="s">
        <v>162</v>
      </c>
    </row>
    <row r="3306" spans="5:44" x14ac:dyDescent="0.25">
      <c r="I3306" t="str">
        <f t="shared" si="271"/>
        <v>kf2k3bl</v>
      </c>
      <c r="J3306" t="str">
        <f t="shared" si="272"/>
        <v/>
      </c>
      <c r="L3306" t="str">
        <f t="shared" si="275"/>
        <v/>
      </c>
      <c r="M3306" t="str">
        <f t="shared" si="275"/>
        <v/>
      </c>
      <c r="N3306" t="str">
        <f t="shared" si="275"/>
        <v/>
      </c>
      <c r="O3306" t="str">
        <f t="shared" si="275"/>
        <v/>
      </c>
      <c r="P3306" t="str">
        <f t="shared" si="275"/>
        <v/>
      </c>
      <c r="T3306" t="str">
        <f t="shared" si="273"/>
        <v/>
      </c>
      <c r="V3306" t="str">
        <f t="shared" si="274"/>
        <v>MVS</v>
      </c>
      <c r="W3306" t="str">
        <f t="shared" si="274"/>
        <v>MVS,AES</v>
      </c>
      <c r="AG3306" t="s">
        <v>6</v>
      </c>
      <c r="AH3306" t="s">
        <v>161</v>
      </c>
      <c r="AI3306" t="s">
        <v>160</v>
      </c>
      <c r="AJ3306" t="s">
        <v>57</v>
      </c>
      <c r="AK3306" t="s">
        <v>159</v>
      </c>
      <c r="AL3306" t="s">
        <v>158</v>
      </c>
    </row>
    <row r="3307" spans="5:44" x14ac:dyDescent="0.25">
      <c r="I3307" t="str">
        <f t="shared" si="271"/>
        <v>kf2k3bl</v>
      </c>
      <c r="J3307" t="str">
        <f t="shared" si="272"/>
        <v/>
      </c>
      <c r="L3307" t="str">
        <f t="shared" si="275"/>
        <v/>
      </c>
      <c r="M3307" t="str">
        <f t="shared" si="275"/>
        <v/>
      </c>
      <c r="N3307" t="str">
        <f t="shared" si="275"/>
        <v/>
      </c>
      <c r="O3307" t="str">
        <f t="shared" si="275"/>
        <v/>
      </c>
      <c r="P3307" t="str">
        <f t="shared" si="275"/>
        <v/>
      </c>
      <c r="T3307" t="str">
        <f t="shared" si="273"/>
        <v/>
      </c>
      <c r="V3307" t="str">
        <f t="shared" si="274"/>
        <v>MVS</v>
      </c>
      <c r="W3307" t="str">
        <f t="shared" si="274"/>
        <v>MVS,AES</v>
      </c>
      <c r="AG3307" t="s">
        <v>6</v>
      </c>
      <c r="AH3307" t="s">
        <v>157</v>
      </c>
      <c r="AI3307" t="s">
        <v>156</v>
      </c>
      <c r="AJ3307" t="s">
        <v>57</v>
      </c>
      <c r="AK3307" t="s">
        <v>155</v>
      </c>
      <c r="AL3307" t="s">
        <v>154</v>
      </c>
    </row>
    <row r="3308" spans="5:44" x14ac:dyDescent="0.25">
      <c r="I3308" t="str">
        <f t="shared" si="271"/>
        <v>kf2k3bl</v>
      </c>
      <c r="J3308" t="str">
        <f t="shared" si="272"/>
        <v/>
      </c>
      <c r="L3308" t="str">
        <f t="shared" si="275"/>
        <v/>
      </c>
      <c r="M3308" t="str">
        <f t="shared" si="275"/>
        <v/>
      </c>
      <c r="N3308" t="str">
        <f t="shared" si="275"/>
        <v/>
      </c>
      <c r="O3308" t="str">
        <f t="shared" si="275"/>
        <v/>
      </c>
      <c r="P3308" t="str">
        <f t="shared" si="275"/>
        <v/>
      </c>
      <c r="T3308" t="str">
        <f t="shared" si="273"/>
        <v/>
      </c>
      <c r="V3308" t="str">
        <f t="shared" si="274"/>
        <v>MVS</v>
      </c>
      <c r="W3308" t="str">
        <f t="shared" si="274"/>
        <v>MVS,AES</v>
      </c>
      <c r="AG3308" t="s">
        <v>6</v>
      </c>
      <c r="AH3308" t="s">
        <v>153</v>
      </c>
      <c r="AI3308" t="s">
        <v>152</v>
      </c>
      <c r="AJ3308" t="s">
        <v>57</v>
      </c>
      <c r="AK3308" t="s">
        <v>151</v>
      </c>
      <c r="AL3308" t="s">
        <v>150</v>
      </c>
    </row>
    <row r="3309" spans="5:44" x14ac:dyDescent="0.25">
      <c r="I3309" t="str">
        <f t="shared" si="271"/>
        <v>kf2k3bl</v>
      </c>
      <c r="J3309" t="str">
        <f t="shared" si="272"/>
        <v/>
      </c>
      <c r="L3309" t="str">
        <f t="shared" si="275"/>
        <v/>
      </c>
      <c r="M3309" t="str">
        <f t="shared" si="275"/>
        <v/>
      </c>
      <c r="N3309" t="str">
        <f t="shared" si="275"/>
        <v/>
      </c>
      <c r="O3309" t="str">
        <f t="shared" si="275"/>
        <v/>
      </c>
      <c r="P3309" t="str">
        <f t="shared" si="275"/>
        <v/>
      </c>
      <c r="T3309" t="str">
        <f t="shared" si="273"/>
        <v/>
      </c>
      <c r="V3309" t="str">
        <f t="shared" si="274"/>
        <v>MVS</v>
      </c>
      <c r="W3309" t="str">
        <f t="shared" si="274"/>
        <v>MVS,AES</v>
      </c>
      <c r="AG3309" t="s">
        <v>6</v>
      </c>
      <c r="AH3309" t="s">
        <v>149</v>
      </c>
      <c r="AI3309" t="s">
        <v>148</v>
      </c>
      <c r="AJ3309" t="s">
        <v>57</v>
      </c>
      <c r="AK3309" t="s">
        <v>147</v>
      </c>
      <c r="AL3309" t="s">
        <v>146</v>
      </c>
    </row>
    <row r="3310" spans="5:44" x14ac:dyDescent="0.25">
      <c r="E3310" t="s">
        <v>223</v>
      </c>
      <c r="F3310" t="s">
        <v>222</v>
      </c>
      <c r="G3310" t="s">
        <v>195</v>
      </c>
      <c r="H3310" t="s">
        <v>194</v>
      </c>
      <c r="I3310" t="str">
        <f t="shared" si="271"/>
        <v>kf2k3bla</v>
      </c>
      <c r="J3310" t="str">
        <f t="shared" si="272"/>
        <v/>
      </c>
      <c r="L3310" t="str">
        <f t="shared" si="275"/>
        <v/>
      </c>
      <c r="M3310" t="str">
        <f t="shared" si="275"/>
        <v/>
      </c>
      <c r="N3310" t="str">
        <f t="shared" si="275"/>
        <v/>
      </c>
      <c r="O3310" t="str">
        <f t="shared" si="275"/>
        <v/>
      </c>
      <c r="P3310" t="str">
        <f t="shared" si="275"/>
        <v/>
      </c>
      <c r="S3310" t="s">
        <v>46</v>
      </c>
      <c r="T3310" t="str">
        <f t="shared" si="273"/>
        <v>kf2k3blarelease</v>
      </c>
      <c r="U3310" t="s">
        <v>106</v>
      </c>
      <c r="V3310" t="str">
        <f t="shared" si="274"/>
        <v>MVS</v>
      </c>
      <c r="W3310" t="str">
        <f t="shared" si="274"/>
        <v>MVS,AES</v>
      </c>
      <c r="Y3310" t="s">
        <v>45</v>
      </c>
      <c r="Z3310" t="s">
        <v>44</v>
      </c>
      <c r="AB3310" t="s">
        <v>43</v>
      </c>
      <c r="AC3310" t="s">
        <v>42</v>
      </c>
      <c r="AD3310" t="s">
        <v>41</v>
      </c>
      <c r="AE3310" t="s">
        <v>211</v>
      </c>
      <c r="AG3310" t="s">
        <v>40</v>
      </c>
      <c r="AH3310" t="s">
        <v>221</v>
      </c>
      <c r="AI3310" t="s">
        <v>9</v>
      </c>
      <c r="AJ3310" t="s">
        <v>15</v>
      </c>
      <c r="AK3310" t="s">
        <v>220</v>
      </c>
      <c r="AL3310" t="s">
        <v>219</v>
      </c>
      <c r="AP3310" t="s">
        <v>138</v>
      </c>
      <c r="AQ3310" t="s">
        <v>207</v>
      </c>
      <c r="AR3310" t="s">
        <v>188</v>
      </c>
    </row>
    <row r="3311" spans="5:44" x14ac:dyDescent="0.25">
      <c r="I3311" t="str">
        <f t="shared" si="271"/>
        <v>kf2k3bla</v>
      </c>
      <c r="J3311" t="str">
        <f t="shared" si="272"/>
        <v/>
      </c>
      <c r="L3311" t="str">
        <f t="shared" si="275"/>
        <v/>
      </c>
      <c r="M3311" t="str">
        <f t="shared" si="275"/>
        <v/>
      </c>
      <c r="N3311" t="str">
        <f t="shared" si="275"/>
        <v/>
      </c>
      <c r="O3311" t="str">
        <f t="shared" si="275"/>
        <v/>
      </c>
      <c r="P3311" t="str">
        <f t="shared" si="275"/>
        <v/>
      </c>
      <c r="S3311" t="s">
        <v>36</v>
      </c>
      <c r="T3311" t="str">
        <f t="shared" si="273"/>
        <v>kf2k3blacompatibility</v>
      </c>
      <c r="U3311" t="s">
        <v>218</v>
      </c>
      <c r="V3311" t="str">
        <f t="shared" si="274"/>
        <v>MVS</v>
      </c>
      <c r="W3311" t="str">
        <f t="shared" si="274"/>
        <v>MVS,AES</v>
      </c>
      <c r="AG3311" t="s">
        <v>40</v>
      </c>
      <c r="AH3311" t="s">
        <v>206</v>
      </c>
      <c r="AI3311" t="s">
        <v>15</v>
      </c>
      <c r="AJ3311" t="s">
        <v>11</v>
      </c>
      <c r="AK3311" t="s">
        <v>205</v>
      </c>
      <c r="AL3311" t="s">
        <v>204</v>
      </c>
    </row>
    <row r="3312" spans="5:44" x14ac:dyDescent="0.25">
      <c r="I3312" t="str">
        <f t="shared" si="271"/>
        <v>kf2k3bla</v>
      </c>
      <c r="J3312" t="str">
        <f t="shared" si="272"/>
        <v/>
      </c>
      <c r="L3312" t="str">
        <f t="shared" si="275"/>
        <v/>
      </c>
      <c r="M3312" t="str">
        <f t="shared" si="275"/>
        <v/>
      </c>
      <c r="N3312" t="str">
        <f t="shared" si="275"/>
        <v/>
      </c>
      <c r="O3312" t="str">
        <f t="shared" si="275"/>
        <v/>
      </c>
      <c r="P3312" t="str">
        <f t="shared" si="275"/>
        <v/>
      </c>
      <c r="T3312" t="str">
        <f t="shared" si="273"/>
        <v/>
      </c>
      <c r="V3312" t="str">
        <f t="shared" si="274"/>
        <v>MVS</v>
      </c>
      <c r="W3312" t="str">
        <f t="shared" si="274"/>
        <v>MVS,AES</v>
      </c>
      <c r="AG3312" t="s">
        <v>40</v>
      </c>
      <c r="AH3312" t="s">
        <v>203</v>
      </c>
      <c r="AI3312" t="s">
        <v>23</v>
      </c>
      <c r="AJ3312" t="s">
        <v>3</v>
      </c>
      <c r="AK3312" t="s">
        <v>202</v>
      </c>
      <c r="AL3312" t="s">
        <v>201</v>
      </c>
    </row>
    <row r="3313" spans="5:44" x14ac:dyDescent="0.25">
      <c r="I3313" t="str">
        <f t="shared" si="271"/>
        <v>kf2k3bla</v>
      </c>
      <c r="J3313" t="str">
        <f t="shared" si="272"/>
        <v/>
      </c>
      <c r="L3313" t="str">
        <f t="shared" si="275"/>
        <v/>
      </c>
      <c r="M3313" t="str">
        <f t="shared" si="275"/>
        <v/>
      </c>
      <c r="N3313" t="str">
        <f t="shared" si="275"/>
        <v/>
      </c>
      <c r="O3313" t="str">
        <f t="shared" si="275"/>
        <v/>
      </c>
      <c r="P3313" t="str">
        <f t="shared" si="275"/>
        <v/>
      </c>
      <c r="T3313" t="str">
        <f t="shared" si="273"/>
        <v/>
      </c>
      <c r="V3313" t="str">
        <f t="shared" si="274"/>
        <v>MVS</v>
      </c>
      <c r="W3313" t="str">
        <f t="shared" si="274"/>
        <v>MVS,AES</v>
      </c>
      <c r="AB3313" t="s">
        <v>34</v>
      </c>
      <c r="AE3313" t="s">
        <v>33</v>
      </c>
      <c r="AH3313" t="s">
        <v>217</v>
      </c>
      <c r="AI3313" t="s">
        <v>9</v>
      </c>
      <c r="AJ3313" t="s">
        <v>27</v>
      </c>
      <c r="AK3313" t="s">
        <v>216</v>
      </c>
      <c r="AL3313" t="s">
        <v>215</v>
      </c>
    </row>
    <row r="3314" spans="5:44" x14ac:dyDescent="0.25">
      <c r="I3314" t="str">
        <f t="shared" si="271"/>
        <v>kf2k3bla</v>
      </c>
      <c r="J3314" t="str">
        <f t="shared" si="272"/>
        <v/>
      </c>
      <c r="L3314" t="str">
        <f t="shared" si="275"/>
        <v/>
      </c>
      <c r="M3314" t="str">
        <f t="shared" si="275"/>
        <v/>
      </c>
      <c r="N3314" t="str">
        <f t="shared" si="275"/>
        <v/>
      </c>
      <c r="O3314" t="str">
        <f t="shared" si="275"/>
        <v/>
      </c>
      <c r="P3314" t="str">
        <f t="shared" si="275"/>
        <v/>
      </c>
      <c r="T3314" t="str">
        <f t="shared" si="273"/>
        <v/>
      </c>
      <c r="V3314" t="str">
        <f t="shared" si="274"/>
        <v>MVS</v>
      </c>
      <c r="W3314" t="str">
        <f t="shared" si="274"/>
        <v>MVS,AES</v>
      </c>
      <c r="AB3314" t="s">
        <v>29</v>
      </c>
      <c r="AE3314" t="s">
        <v>27</v>
      </c>
      <c r="AH3314" t="s">
        <v>184</v>
      </c>
      <c r="AI3314" t="s">
        <v>9</v>
      </c>
      <c r="AJ3314" t="s">
        <v>27</v>
      </c>
      <c r="AK3314" t="s">
        <v>183</v>
      </c>
      <c r="AL3314" t="s">
        <v>182</v>
      </c>
    </row>
    <row r="3315" spans="5:44" x14ac:dyDescent="0.25">
      <c r="I3315" t="str">
        <f t="shared" si="271"/>
        <v>kf2k3bla</v>
      </c>
      <c r="J3315" t="str">
        <f t="shared" si="272"/>
        <v/>
      </c>
      <c r="L3315" t="str">
        <f t="shared" si="275"/>
        <v/>
      </c>
      <c r="M3315" t="str">
        <f t="shared" si="275"/>
        <v/>
      </c>
      <c r="N3315" t="str">
        <f t="shared" si="275"/>
        <v/>
      </c>
      <c r="O3315" t="str">
        <f t="shared" si="275"/>
        <v/>
      </c>
      <c r="P3315" t="str">
        <f t="shared" si="275"/>
        <v/>
      </c>
      <c r="T3315" t="str">
        <f t="shared" si="273"/>
        <v/>
      </c>
      <c r="V3315" t="str">
        <f t="shared" si="274"/>
        <v>MVS</v>
      </c>
      <c r="W3315" t="str">
        <f t="shared" si="274"/>
        <v>MVS,AES</v>
      </c>
      <c r="AB3315" t="s">
        <v>24</v>
      </c>
      <c r="AE3315" t="s">
        <v>65</v>
      </c>
      <c r="AH3315" t="s">
        <v>181</v>
      </c>
      <c r="AI3315" t="s">
        <v>9</v>
      </c>
      <c r="AJ3315" t="s">
        <v>57</v>
      </c>
      <c r="AK3315" t="s">
        <v>180</v>
      </c>
      <c r="AL3315" t="s">
        <v>179</v>
      </c>
    </row>
    <row r="3316" spans="5:44" x14ac:dyDescent="0.25">
      <c r="I3316" t="str">
        <f t="shared" si="271"/>
        <v>kf2k3bla</v>
      </c>
      <c r="J3316" t="str">
        <f t="shared" si="272"/>
        <v/>
      </c>
      <c r="L3316" t="str">
        <f t="shared" si="275"/>
        <v/>
      </c>
      <c r="M3316" t="str">
        <f t="shared" si="275"/>
        <v/>
      </c>
      <c r="N3316" t="str">
        <f t="shared" si="275"/>
        <v/>
      </c>
      <c r="O3316" t="str">
        <f t="shared" si="275"/>
        <v/>
      </c>
      <c r="P3316" t="str">
        <f t="shared" si="275"/>
        <v/>
      </c>
      <c r="T3316" t="str">
        <f t="shared" si="273"/>
        <v/>
      </c>
      <c r="V3316" t="str">
        <f t="shared" si="274"/>
        <v>MVS</v>
      </c>
      <c r="W3316" t="str">
        <f t="shared" si="274"/>
        <v>MVS,AES</v>
      </c>
      <c r="AH3316" t="s">
        <v>178</v>
      </c>
      <c r="AI3316" t="s">
        <v>57</v>
      </c>
      <c r="AJ3316" t="s">
        <v>57</v>
      </c>
      <c r="AK3316" t="s">
        <v>177</v>
      </c>
      <c r="AL3316" t="s">
        <v>176</v>
      </c>
    </row>
    <row r="3317" spans="5:44" x14ac:dyDescent="0.25">
      <c r="I3317" t="str">
        <f t="shared" si="271"/>
        <v>kf2k3bla</v>
      </c>
      <c r="J3317" t="str">
        <f t="shared" si="272"/>
        <v/>
      </c>
      <c r="L3317" t="str">
        <f t="shared" si="275"/>
        <v/>
      </c>
      <c r="M3317" t="str">
        <f t="shared" si="275"/>
        <v/>
      </c>
      <c r="N3317" t="str">
        <f t="shared" si="275"/>
        <v/>
      </c>
      <c r="O3317" t="str">
        <f t="shared" si="275"/>
        <v/>
      </c>
      <c r="P3317" t="str">
        <f t="shared" si="275"/>
        <v/>
      </c>
      <c r="T3317" t="str">
        <f t="shared" si="273"/>
        <v/>
      </c>
      <c r="V3317" t="str">
        <f t="shared" si="274"/>
        <v>MVS</v>
      </c>
      <c r="W3317" t="str">
        <f t="shared" si="274"/>
        <v>MVS,AES</v>
      </c>
      <c r="AB3317" t="s">
        <v>12</v>
      </c>
      <c r="AE3317" t="s">
        <v>175</v>
      </c>
      <c r="AG3317" t="s">
        <v>6</v>
      </c>
      <c r="AH3317" t="s">
        <v>174</v>
      </c>
      <c r="AI3317" t="s">
        <v>9</v>
      </c>
      <c r="AJ3317" t="s">
        <v>57</v>
      </c>
      <c r="AK3317" t="s">
        <v>173</v>
      </c>
      <c r="AL3317" t="s">
        <v>172</v>
      </c>
    </row>
    <row r="3318" spans="5:44" x14ac:dyDescent="0.25">
      <c r="I3318" t="str">
        <f t="shared" si="271"/>
        <v>kf2k3bla</v>
      </c>
      <c r="J3318" t="str">
        <f t="shared" si="272"/>
        <v/>
      </c>
      <c r="L3318" t="str">
        <f t="shared" si="275"/>
        <v/>
      </c>
      <c r="M3318" t="str">
        <f t="shared" si="275"/>
        <v/>
      </c>
      <c r="N3318" t="str">
        <f t="shared" si="275"/>
        <v/>
      </c>
      <c r="O3318" t="str">
        <f t="shared" si="275"/>
        <v/>
      </c>
      <c r="P3318" t="str">
        <f t="shared" si="275"/>
        <v/>
      </c>
      <c r="T3318" t="str">
        <f t="shared" si="273"/>
        <v/>
      </c>
      <c r="V3318" t="str">
        <f t="shared" si="274"/>
        <v>MVS</v>
      </c>
      <c r="W3318" t="str">
        <f t="shared" si="274"/>
        <v>MVS,AES</v>
      </c>
      <c r="AG3318" t="s">
        <v>6</v>
      </c>
      <c r="AH3318" t="s">
        <v>171</v>
      </c>
      <c r="AI3318" t="s">
        <v>4</v>
      </c>
      <c r="AJ3318" t="s">
        <v>57</v>
      </c>
      <c r="AK3318" t="s">
        <v>170</v>
      </c>
      <c r="AL3318" t="s">
        <v>169</v>
      </c>
    </row>
    <row r="3319" spans="5:44" x14ac:dyDescent="0.25">
      <c r="I3319" t="str">
        <f t="shared" si="271"/>
        <v>kf2k3bla</v>
      </c>
      <c r="J3319" t="str">
        <f t="shared" si="272"/>
        <v/>
      </c>
      <c r="L3319" t="str">
        <f t="shared" si="275"/>
        <v/>
      </c>
      <c r="M3319" t="str">
        <f t="shared" si="275"/>
        <v/>
      </c>
      <c r="N3319" t="str">
        <f t="shared" si="275"/>
        <v/>
      </c>
      <c r="O3319" t="str">
        <f t="shared" si="275"/>
        <v/>
      </c>
      <c r="P3319" t="str">
        <f t="shared" si="275"/>
        <v/>
      </c>
      <c r="T3319" t="str">
        <f t="shared" si="273"/>
        <v/>
      </c>
      <c r="V3319" t="str">
        <f t="shared" si="274"/>
        <v>MVS</v>
      </c>
      <c r="W3319" t="str">
        <f t="shared" si="274"/>
        <v>MVS,AES</v>
      </c>
      <c r="AG3319" t="s">
        <v>6</v>
      </c>
      <c r="AH3319" t="s">
        <v>168</v>
      </c>
      <c r="AI3319" t="s">
        <v>65</v>
      </c>
      <c r="AJ3319" t="s">
        <v>57</v>
      </c>
      <c r="AK3319" t="s">
        <v>167</v>
      </c>
      <c r="AL3319" t="s">
        <v>166</v>
      </c>
    </row>
    <row r="3320" spans="5:44" x14ac:dyDescent="0.25">
      <c r="I3320" t="str">
        <f t="shared" si="271"/>
        <v>kf2k3bla</v>
      </c>
      <c r="J3320" t="str">
        <f t="shared" si="272"/>
        <v/>
      </c>
      <c r="L3320" t="str">
        <f t="shared" si="275"/>
        <v/>
      </c>
      <c r="M3320" t="str">
        <f t="shared" si="275"/>
        <v/>
      </c>
      <c r="N3320" t="str">
        <f t="shared" si="275"/>
        <v/>
      </c>
      <c r="O3320" t="str">
        <f t="shared" si="275"/>
        <v/>
      </c>
      <c r="P3320" t="str">
        <f t="shared" si="275"/>
        <v/>
      </c>
      <c r="T3320" t="str">
        <f t="shared" si="273"/>
        <v/>
      </c>
      <c r="V3320" t="str">
        <f t="shared" si="274"/>
        <v>MVS</v>
      </c>
      <c r="W3320" t="str">
        <f t="shared" si="274"/>
        <v>MVS,AES</v>
      </c>
      <c r="AG3320" t="s">
        <v>6</v>
      </c>
      <c r="AH3320" t="s">
        <v>165</v>
      </c>
      <c r="AI3320" t="s">
        <v>164</v>
      </c>
      <c r="AJ3320" t="s">
        <v>57</v>
      </c>
      <c r="AK3320" t="s">
        <v>163</v>
      </c>
      <c r="AL3320" t="s">
        <v>162</v>
      </c>
    </row>
    <row r="3321" spans="5:44" x14ac:dyDescent="0.25">
      <c r="I3321" t="str">
        <f t="shared" si="271"/>
        <v>kf2k3bla</v>
      </c>
      <c r="J3321" t="str">
        <f t="shared" si="272"/>
        <v/>
      </c>
      <c r="L3321" t="str">
        <f t="shared" si="275"/>
        <v/>
      </c>
      <c r="M3321" t="str">
        <f t="shared" si="275"/>
        <v/>
      </c>
      <c r="N3321" t="str">
        <f t="shared" si="275"/>
        <v/>
      </c>
      <c r="O3321" t="str">
        <f t="shared" si="275"/>
        <v/>
      </c>
      <c r="P3321" t="str">
        <f t="shared" si="275"/>
        <v/>
      </c>
      <c r="T3321" t="str">
        <f t="shared" si="273"/>
        <v/>
      </c>
      <c r="V3321" t="str">
        <f t="shared" si="274"/>
        <v>MVS</v>
      </c>
      <c r="W3321" t="str">
        <f t="shared" si="274"/>
        <v>MVS,AES</v>
      </c>
      <c r="AG3321" t="s">
        <v>6</v>
      </c>
      <c r="AH3321" t="s">
        <v>161</v>
      </c>
      <c r="AI3321" t="s">
        <v>160</v>
      </c>
      <c r="AJ3321" t="s">
        <v>57</v>
      </c>
      <c r="AK3321" t="s">
        <v>159</v>
      </c>
      <c r="AL3321" t="s">
        <v>158</v>
      </c>
    </row>
    <row r="3322" spans="5:44" x14ac:dyDescent="0.25">
      <c r="I3322" t="str">
        <f t="shared" si="271"/>
        <v>kf2k3bla</v>
      </c>
      <c r="J3322" t="str">
        <f t="shared" si="272"/>
        <v/>
      </c>
      <c r="L3322" t="str">
        <f t="shared" si="275"/>
        <v/>
      </c>
      <c r="M3322" t="str">
        <f t="shared" si="275"/>
        <v/>
      </c>
      <c r="N3322" t="str">
        <f t="shared" si="275"/>
        <v/>
      </c>
      <c r="O3322" t="str">
        <f t="shared" si="275"/>
        <v/>
      </c>
      <c r="P3322" t="str">
        <f t="shared" si="275"/>
        <v/>
      </c>
      <c r="T3322" t="str">
        <f t="shared" si="273"/>
        <v/>
      </c>
      <c r="V3322" t="str">
        <f t="shared" si="274"/>
        <v>MVS</v>
      </c>
      <c r="W3322" t="str">
        <f t="shared" si="274"/>
        <v>MVS,AES</v>
      </c>
      <c r="AG3322" t="s">
        <v>6</v>
      </c>
      <c r="AH3322" t="s">
        <v>157</v>
      </c>
      <c r="AI3322" t="s">
        <v>156</v>
      </c>
      <c r="AJ3322" t="s">
        <v>57</v>
      </c>
      <c r="AK3322" t="s">
        <v>155</v>
      </c>
      <c r="AL3322" t="s">
        <v>154</v>
      </c>
    </row>
    <row r="3323" spans="5:44" x14ac:dyDescent="0.25">
      <c r="I3323" t="str">
        <f t="shared" si="271"/>
        <v>kf2k3bla</v>
      </c>
      <c r="J3323" t="str">
        <f t="shared" si="272"/>
        <v/>
      </c>
      <c r="L3323" t="str">
        <f t="shared" si="275"/>
        <v/>
      </c>
      <c r="M3323" t="str">
        <f t="shared" si="275"/>
        <v/>
      </c>
      <c r="N3323" t="str">
        <f t="shared" si="275"/>
        <v/>
      </c>
      <c r="O3323" t="str">
        <f t="shared" si="275"/>
        <v/>
      </c>
      <c r="P3323" t="str">
        <f t="shared" si="275"/>
        <v/>
      </c>
      <c r="T3323" t="str">
        <f t="shared" si="273"/>
        <v/>
      </c>
      <c r="V3323" t="str">
        <f t="shared" si="274"/>
        <v>MVS</v>
      </c>
      <c r="W3323" t="str">
        <f t="shared" si="274"/>
        <v>MVS,AES</v>
      </c>
      <c r="AG3323" t="s">
        <v>6</v>
      </c>
      <c r="AH3323" t="s">
        <v>153</v>
      </c>
      <c r="AI3323" t="s">
        <v>152</v>
      </c>
      <c r="AJ3323" t="s">
        <v>57</v>
      </c>
      <c r="AK3323" t="s">
        <v>151</v>
      </c>
      <c r="AL3323" t="s">
        <v>150</v>
      </c>
    </row>
    <row r="3324" spans="5:44" x14ac:dyDescent="0.25">
      <c r="I3324" t="str">
        <f t="shared" si="271"/>
        <v>kf2k3bla</v>
      </c>
      <c r="J3324" t="str">
        <f t="shared" si="272"/>
        <v/>
      </c>
      <c r="L3324" t="str">
        <f t="shared" ref="L3324:P3355" si="276">IFERROR(VLOOKUP($I3324&amp;L$1,$J:$Q,8,0),"")</f>
        <v/>
      </c>
      <c r="M3324" t="str">
        <f t="shared" si="276"/>
        <v/>
      </c>
      <c r="N3324" t="str">
        <f t="shared" si="276"/>
        <v/>
      </c>
      <c r="O3324" t="str">
        <f t="shared" si="276"/>
        <v/>
      </c>
      <c r="P3324" t="str">
        <f t="shared" si="276"/>
        <v/>
      </c>
      <c r="T3324" t="str">
        <f t="shared" si="273"/>
        <v/>
      </c>
      <c r="V3324" t="str">
        <f t="shared" si="274"/>
        <v>MVS</v>
      </c>
      <c r="W3324" t="str">
        <f t="shared" si="274"/>
        <v>MVS,AES</v>
      </c>
      <c r="AG3324" t="s">
        <v>6</v>
      </c>
      <c r="AH3324" t="s">
        <v>149</v>
      </c>
      <c r="AI3324" t="s">
        <v>148</v>
      </c>
      <c r="AJ3324" t="s">
        <v>57</v>
      </c>
      <c r="AK3324" t="s">
        <v>147</v>
      </c>
      <c r="AL3324" t="s">
        <v>146</v>
      </c>
    </row>
    <row r="3325" spans="5:44" x14ac:dyDescent="0.25">
      <c r="E3325" t="s">
        <v>214</v>
      </c>
      <c r="F3325" t="s">
        <v>213</v>
      </c>
      <c r="G3325" t="s">
        <v>195</v>
      </c>
      <c r="H3325" t="s">
        <v>194</v>
      </c>
      <c r="I3325" t="str">
        <f t="shared" si="271"/>
        <v>kf2k3pl</v>
      </c>
      <c r="J3325" t="str">
        <f t="shared" si="272"/>
        <v>kf2k3plcompat_note</v>
      </c>
      <c r="K3325" t="s">
        <v>111</v>
      </c>
      <c r="L3325" t="str">
        <f t="shared" si="276"/>
        <v/>
      </c>
      <c r="M3325" t="str">
        <f t="shared" si="276"/>
        <v/>
      </c>
      <c r="N3325" t="str">
        <f t="shared" si="276"/>
        <v/>
      </c>
      <c r="O3325" t="str">
        <f t="shared" si="276"/>
        <v>Plus text remains on screen during gameplay</v>
      </c>
      <c r="P3325" t="str">
        <f t="shared" si="276"/>
        <v/>
      </c>
      <c r="Q3325" t="s">
        <v>212</v>
      </c>
      <c r="S3325" t="s">
        <v>46</v>
      </c>
      <c r="T3325" t="str">
        <f t="shared" si="273"/>
        <v>kf2k3plrelease</v>
      </c>
      <c r="U3325" t="s">
        <v>106</v>
      </c>
      <c r="V3325" t="str">
        <f t="shared" si="274"/>
        <v>MVS</v>
      </c>
      <c r="W3325" t="str">
        <f t="shared" si="274"/>
        <v>MVS</v>
      </c>
      <c r="Y3325" t="s">
        <v>45</v>
      </c>
      <c r="Z3325" t="s">
        <v>44</v>
      </c>
      <c r="AB3325" t="s">
        <v>43</v>
      </c>
      <c r="AC3325" t="s">
        <v>42</v>
      </c>
      <c r="AD3325" t="s">
        <v>41</v>
      </c>
      <c r="AE3325" t="s">
        <v>211</v>
      </c>
      <c r="AG3325" t="s">
        <v>40</v>
      </c>
      <c r="AH3325" t="s">
        <v>210</v>
      </c>
      <c r="AI3325" t="s">
        <v>9</v>
      </c>
      <c r="AJ3325" t="s">
        <v>15</v>
      </c>
      <c r="AK3325" t="s">
        <v>209</v>
      </c>
      <c r="AL3325" t="s">
        <v>208</v>
      </c>
      <c r="AP3325" t="s">
        <v>138</v>
      </c>
      <c r="AQ3325" t="s">
        <v>207</v>
      </c>
      <c r="AR3325" t="s">
        <v>188</v>
      </c>
    </row>
    <row r="3326" spans="5:44" x14ac:dyDescent="0.25">
      <c r="I3326" t="str">
        <f t="shared" si="271"/>
        <v>kf2k3pl</v>
      </c>
      <c r="J3326" t="str">
        <f t="shared" si="272"/>
        <v/>
      </c>
      <c r="L3326" t="str">
        <f t="shared" si="276"/>
        <v/>
      </c>
      <c r="M3326" t="str">
        <f t="shared" si="276"/>
        <v/>
      </c>
      <c r="N3326" t="str">
        <f t="shared" si="276"/>
        <v/>
      </c>
      <c r="O3326" t="str">
        <f t="shared" si="276"/>
        <v>Plus text remains on screen during gameplay</v>
      </c>
      <c r="P3326" t="str">
        <f t="shared" si="276"/>
        <v/>
      </c>
      <c r="S3326" t="s">
        <v>36</v>
      </c>
      <c r="T3326" t="str">
        <f t="shared" si="273"/>
        <v>kf2k3plcompatibility</v>
      </c>
      <c r="U3326" t="s">
        <v>106</v>
      </c>
      <c r="V3326" t="str">
        <f t="shared" si="274"/>
        <v>MVS</v>
      </c>
      <c r="W3326" t="str">
        <f t="shared" si="274"/>
        <v>MVS</v>
      </c>
      <c r="AG3326" t="s">
        <v>40</v>
      </c>
      <c r="AH3326" t="s">
        <v>206</v>
      </c>
      <c r="AI3326" t="s">
        <v>15</v>
      </c>
      <c r="AJ3326" t="s">
        <v>11</v>
      </c>
      <c r="AK3326" t="s">
        <v>205</v>
      </c>
      <c r="AL3326" t="s">
        <v>204</v>
      </c>
    </row>
    <row r="3327" spans="5:44" x14ac:dyDescent="0.25">
      <c r="I3327" t="str">
        <f t="shared" si="271"/>
        <v>kf2k3pl</v>
      </c>
      <c r="J3327" t="str">
        <f t="shared" si="272"/>
        <v/>
      </c>
      <c r="L3327" t="str">
        <f t="shared" si="276"/>
        <v/>
      </c>
      <c r="M3327" t="str">
        <f t="shared" si="276"/>
        <v/>
      </c>
      <c r="N3327" t="str">
        <f t="shared" si="276"/>
        <v/>
      </c>
      <c r="O3327" t="str">
        <f t="shared" si="276"/>
        <v>Plus text remains on screen during gameplay</v>
      </c>
      <c r="P3327" t="str">
        <f t="shared" si="276"/>
        <v/>
      </c>
      <c r="T3327" t="str">
        <f t="shared" si="273"/>
        <v/>
      </c>
      <c r="V3327" t="str">
        <f t="shared" si="274"/>
        <v>MVS</v>
      </c>
      <c r="W3327" t="str">
        <f t="shared" si="274"/>
        <v>MVS</v>
      </c>
      <c r="AG3327" t="s">
        <v>40</v>
      </c>
      <c r="AH3327" t="s">
        <v>203</v>
      </c>
      <c r="AI3327" t="s">
        <v>23</v>
      </c>
      <c r="AJ3327" t="s">
        <v>3</v>
      </c>
      <c r="AK3327" t="s">
        <v>202</v>
      </c>
      <c r="AL3327" t="s">
        <v>201</v>
      </c>
    </row>
    <row r="3328" spans="5:44" x14ac:dyDescent="0.25">
      <c r="I3328" t="str">
        <f t="shared" si="271"/>
        <v>kf2k3pl</v>
      </c>
      <c r="J3328" t="str">
        <f t="shared" si="272"/>
        <v/>
      </c>
      <c r="L3328" t="str">
        <f t="shared" si="276"/>
        <v/>
      </c>
      <c r="M3328" t="str">
        <f t="shared" si="276"/>
        <v/>
      </c>
      <c r="N3328" t="str">
        <f t="shared" si="276"/>
        <v/>
      </c>
      <c r="O3328" t="str">
        <f t="shared" si="276"/>
        <v>Plus text remains on screen during gameplay</v>
      </c>
      <c r="P3328" t="str">
        <f t="shared" si="276"/>
        <v/>
      </c>
      <c r="T3328" t="str">
        <f t="shared" si="273"/>
        <v/>
      </c>
      <c r="V3328" t="str">
        <f t="shared" si="274"/>
        <v>MVS</v>
      </c>
      <c r="W3328" t="str">
        <f t="shared" si="274"/>
        <v>MVS</v>
      </c>
      <c r="AB3328" t="s">
        <v>34</v>
      </c>
      <c r="AE3328" t="s">
        <v>33</v>
      </c>
      <c r="AH3328" t="s">
        <v>200</v>
      </c>
      <c r="AI3328" t="s">
        <v>9</v>
      </c>
      <c r="AJ3328" t="s">
        <v>27</v>
      </c>
      <c r="AK3328" t="s">
        <v>199</v>
      </c>
      <c r="AL3328" t="s">
        <v>198</v>
      </c>
    </row>
    <row r="3329" spans="5:44" x14ac:dyDescent="0.25">
      <c r="I3329" t="str">
        <f t="shared" si="271"/>
        <v>kf2k3pl</v>
      </c>
      <c r="J3329" t="str">
        <f t="shared" si="272"/>
        <v/>
      </c>
      <c r="L3329" t="str">
        <f t="shared" si="276"/>
        <v/>
      </c>
      <c r="M3329" t="str">
        <f t="shared" si="276"/>
        <v/>
      </c>
      <c r="N3329" t="str">
        <f t="shared" si="276"/>
        <v/>
      </c>
      <c r="O3329" t="str">
        <f t="shared" si="276"/>
        <v>Plus text remains on screen during gameplay</v>
      </c>
      <c r="P3329" t="str">
        <f t="shared" si="276"/>
        <v/>
      </c>
      <c r="T3329" t="str">
        <f t="shared" si="273"/>
        <v/>
      </c>
      <c r="V3329" t="str">
        <f t="shared" si="274"/>
        <v>MVS</v>
      </c>
      <c r="W3329" t="str">
        <f t="shared" si="274"/>
        <v>MVS</v>
      </c>
      <c r="AB3329" t="s">
        <v>29</v>
      </c>
      <c r="AE3329" t="s">
        <v>27</v>
      </c>
      <c r="AH3329" t="s">
        <v>184</v>
      </c>
      <c r="AI3329" t="s">
        <v>9</v>
      </c>
      <c r="AJ3329" t="s">
        <v>27</v>
      </c>
      <c r="AK3329" t="s">
        <v>183</v>
      </c>
      <c r="AL3329" t="s">
        <v>182</v>
      </c>
    </row>
    <row r="3330" spans="5:44" x14ac:dyDescent="0.25">
      <c r="I3330" t="str">
        <f t="shared" si="271"/>
        <v>kf2k3pl</v>
      </c>
      <c r="J3330" t="str">
        <f t="shared" si="272"/>
        <v/>
      </c>
      <c r="L3330" t="str">
        <f t="shared" si="276"/>
        <v/>
      </c>
      <c r="M3330" t="str">
        <f t="shared" si="276"/>
        <v/>
      </c>
      <c r="N3330" t="str">
        <f t="shared" si="276"/>
        <v/>
      </c>
      <c r="O3330" t="str">
        <f t="shared" si="276"/>
        <v>Plus text remains on screen during gameplay</v>
      </c>
      <c r="P3330" t="str">
        <f t="shared" si="276"/>
        <v/>
      </c>
      <c r="T3330" t="str">
        <f t="shared" si="273"/>
        <v/>
      </c>
      <c r="V3330" t="str">
        <f t="shared" si="274"/>
        <v>MVS</v>
      </c>
      <c r="W3330" t="str">
        <f t="shared" si="274"/>
        <v>MVS</v>
      </c>
      <c r="AB3330" t="s">
        <v>24</v>
      </c>
      <c r="AE3330" t="s">
        <v>65</v>
      </c>
      <c r="AH3330" t="s">
        <v>181</v>
      </c>
      <c r="AI3330" t="s">
        <v>9</v>
      </c>
      <c r="AJ3330" t="s">
        <v>57</v>
      </c>
      <c r="AK3330" t="s">
        <v>180</v>
      </c>
      <c r="AL3330" t="s">
        <v>179</v>
      </c>
    </row>
    <row r="3331" spans="5:44" x14ac:dyDescent="0.25">
      <c r="I3331" t="str">
        <f t="shared" ref="I3331:I3386" si="277">IF(E3331="",I3330,E3331)</f>
        <v>kf2k3pl</v>
      </c>
      <c r="J3331" t="str">
        <f t="shared" ref="J3331:J3386" si="278">IF(K3331="","",I3331&amp;K3331)</f>
        <v/>
      </c>
      <c r="L3331" t="str">
        <f t="shared" si="276"/>
        <v/>
      </c>
      <c r="M3331" t="str">
        <f t="shared" si="276"/>
        <v/>
      </c>
      <c r="N3331" t="str">
        <f t="shared" si="276"/>
        <v/>
      </c>
      <c r="O3331" t="str">
        <f t="shared" si="276"/>
        <v>Plus text remains on screen during gameplay</v>
      </c>
      <c r="P3331" t="str">
        <f t="shared" si="276"/>
        <v/>
      </c>
      <c r="T3331" t="str">
        <f t="shared" ref="T3331:T3386" si="279">IF(S3331="","",I3331&amp;S3331)</f>
        <v/>
      </c>
      <c r="V3331" t="str">
        <f t="shared" si="274"/>
        <v>MVS</v>
      </c>
      <c r="W3331" t="str">
        <f t="shared" si="274"/>
        <v>MVS</v>
      </c>
      <c r="AH3331" t="s">
        <v>178</v>
      </c>
      <c r="AI3331" t="s">
        <v>57</v>
      </c>
      <c r="AJ3331" t="s">
        <v>57</v>
      </c>
      <c r="AK3331" t="s">
        <v>177</v>
      </c>
      <c r="AL3331" t="s">
        <v>176</v>
      </c>
    </row>
    <row r="3332" spans="5:44" x14ac:dyDescent="0.25">
      <c r="I3332" t="str">
        <f t="shared" si="277"/>
        <v>kf2k3pl</v>
      </c>
      <c r="J3332" t="str">
        <f t="shared" si="278"/>
        <v/>
      </c>
      <c r="L3332" t="str">
        <f t="shared" si="276"/>
        <v/>
      </c>
      <c r="M3332" t="str">
        <f t="shared" si="276"/>
        <v/>
      </c>
      <c r="N3332" t="str">
        <f t="shared" si="276"/>
        <v/>
      </c>
      <c r="O3332" t="str">
        <f t="shared" si="276"/>
        <v>Plus text remains on screen during gameplay</v>
      </c>
      <c r="P3332" t="str">
        <f t="shared" si="276"/>
        <v/>
      </c>
      <c r="T3332" t="str">
        <f t="shared" si="279"/>
        <v/>
      </c>
      <c r="V3332" t="str">
        <f t="shared" si="274"/>
        <v>MVS</v>
      </c>
      <c r="W3332" t="str">
        <f t="shared" si="274"/>
        <v>MVS</v>
      </c>
      <c r="AB3332" t="s">
        <v>12</v>
      </c>
      <c r="AE3332" t="s">
        <v>175</v>
      </c>
      <c r="AG3332" t="s">
        <v>6</v>
      </c>
      <c r="AH3332" t="s">
        <v>174</v>
      </c>
      <c r="AI3332" t="s">
        <v>9</v>
      </c>
      <c r="AJ3332" t="s">
        <v>57</v>
      </c>
      <c r="AK3332" t="s">
        <v>173</v>
      </c>
      <c r="AL3332" t="s">
        <v>172</v>
      </c>
    </row>
    <row r="3333" spans="5:44" x14ac:dyDescent="0.25">
      <c r="I3333" t="str">
        <f t="shared" si="277"/>
        <v>kf2k3pl</v>
      </c>
      <c r="J3333" t="str">
        <f t="shared" si="278"/>
        <v/>
      </c>
      <c r="L3333" t="str">
        <f t="shared" si="276"/>
        <v/>
      </c>
      <c r="M3333" t="str">
        <f t="shared" si="276"/>
        <v/>
      </c>
      <c r="N3333" t="str">
        <f t="shared" si="276"/>
        <v/>
      </c>
      <c r="O3333" t="str">
        <f t="shared" si="276"/>
        <v>Plus text remains on screen during gameplay</v>
      </c>
      <c r="P3333" t="str">
        <f t="shared" si="276"/>
        <v/>
      </c>
      <c r="T3333" t="str">
        <f t="shared" si="279"/>
        <v/>
      </c>
      <c r="V3333" t="str">
        <f t="shared" si="274"/>
        <v>MVS</v>
      </c>
      <c r="W3333" t="str">
        <f t="shared" si="274"/>
        <v>MVS</v>
      </c>
      <c r="AG3333" t="s">
        <v>6</v>
      </c>
      <c r="AH3333" t="s">
        <v>171</v>
      </c>
      <c r="AI3333" t="s">
        <v>4</v>
      </c>
      <c r="AJ3333" t="s">
        <v>57</v>
      </c>
      <c r="AK3333" t="s">
        <v>170</v>
      </c>
      <c r="AL3333" t="s">
        <v>169</v>
      </c>
    </row>
    <row r="3334" spans="5:44" x14ac:dyDescent="0.25">
      <c r="I3334" t="str">
        <f t="shared" si="277"/>
        <v>kf2k3pl</v>
      </c>
      <c r="J3334" t="str">
        <f t="shared" si="278"/>
        <v/>
      </c>
      <c r="L3334" t="str">
        <f t="shared" si="276"/>
        <v/>
      </c>
      <c r="M3334" t="str">
        <f t="shared" si="276"/>
        <v/>
      </c>
      <c r="N3334" t="str">
        <f t="shared" si="276"/>
        <v/>
      </c>
      <c r="O3334" t="str">
        <f t="shared" si="276"/>
        <v>Plus text remains on screen during gameplay</v>
      </c>
      <c r="P3334" t="str">
        <f t="shared" si="276"/>
        <v/>
      </c>
      <c r="T3334" t="str">
        <f t="shared" si="279"/>
        <v/>
      </c>
      <c r="V3334" t="str">
        <f t="shared" si="274"/>
        <v>MVS</v>
      </c>
      <c r="W3334" t="str">
        <f t="shared" si="274"/>
        <v>MVS</v>
      </c>
      <c r="AG3334" t="s">
        <v>6</v>
      </c>
      <c r="AH3334" t="s">
        <v>168</v>
      </c>
      <c r="AI3334" t="s">
        <v>65</v>
      </c>
      <c r="AJ3334" t="s">
        <v>57</v>
      </c>
      <c r="AK3334" t="s">
        <v>167</v>
      </c>
      <c r="AL3334" t="s">
        <v>166</v>
      </c>
    </row>
    <row r="3335" spans="5:44" x14ac:dyDescent="0.25">
      <c r="I3335" t="str">
        <f t="shared" si="277"/>
        <v>kf2k3pl</v>
      </c>
      <c r="J3335" t="str">
        <f t="shared" si="278"/>
        <v/>
      </c>
      <c r="L3335" t="str">
        <f t="shared" si="276"/>
        <v/>
      </c>
      <c r="M3335" t="str">
        <f t="shared" si="276"/>
        <v/>
      </c>
      <c r="N3335" t="str">
        <f t="shared" si="276"/>
        <v/>
      </c>
      <c r="O3335" t="str">
        <f t="shared" si="276"/>
        <v>Plus text remains on screen during gameplay</v>
      </c>
      <c r="P3335" t="str">
        <f t="shared" si="276"/>
        <v/>
      </c>
      <c r="T3335" t="str">
        <f t="shared" si="279"/>
        <v/>
      </c>
      <c r="V3335" t="str">
        <f t="shared" si="274"/>
        <v>MVS</v>
      </c>
      <c r="W3335" t="str">
        <f t="shared" si="274"/>
        <v>MVS</v>
      </c>
      <c r="AG3335" t="s">
        <v>6</v>
      </c>
      <c r="AH3335" t="s">
        <v>165</v>
      </c>
      <c r="AI3335" t="s">
        <v>164</v>
      </c>
      <c r="AJ3335" t="s">
        <v>57</v>
      </c>
      <c r="AK3335" t="s">
        <v>163</v>
      </c>
      <c r="AL3335" t="s">
        <v>162</v>
      </c>
    </row>
    <row r="3336" spans="5:44" x14ac:dyDescent="0.25">
      <c r="I3336" t="str">
        <f t="shared" si="277"/>
        <v>kf2k3pl</v>
      </c>
      <c r="J3336" t="str">
        <f t="shared" si="278"/>
        <v/>
      </c>
      <c r="L3336" t="str">
        <f t="shared" si="276"/>
        <v/>
      </c>
      <c r="M3336" t="str">
        <f t="shared" si="276"/>
        <v/>
      </c>
      <c r="N3336" t="str">
        <f t="shared" si="276"/>
        <v/>
      </c>
      <c r="O3336" t="str">
        <f t="shared" si="276"/>
        <v>Plus text remains on screen during gameplay</v>
      </c>
      <c r="P3336" t="str">
        <f t="shared" si="276"/>
        <v/>
      </c>
      <c r="T3336" t="str">
        <f t="shared" si="279"/>
        <v/>
      </c>
      <c r="V3336" t="str">
        <f t="shared" si="274"/>
        <v>MVS</v>
      </c>
      <c r="W3336" t="str">
        <f t="shared" si="274"/>
        <v>MVS</v>
      </c>
      <c r="AG3336" t="s">
        <v>6</v>
      </c>
      <c r="AH3336" t="s">
        <v>161</v>
      </c>
      <c r="AI3336" t="s">
        <v>160</v>
      </c>
      <c r="AJ3336" t="s">
        <v>57</v>
      </c>
      <c r="AK3336" t="s">
        <v>159</v>
      </c>
      <c r="AL3336" t="s">
        <v>158</v>
      </c>
    </row>
    <row r="3337" spans="5:44" x14ac:dyDescent="0.25">
      <c r="I3337" t="str">
        <f t="shared" si="277"/>
        <v>kf2k3pl</v>
      </c>
      <c r="J3337" t="str">
        <f t="shared" si="278"/>
        <v/>
      </c>
      <c r="L3337" t="str">
        <f t="shared" si="276"/>
        <v/>
      </c>
      <c r="M3337" t="str">
        <f t="shared" si="276"/>
        <v/>
      </c>
      <c r="N3337" t="str">
        <f t="shared" si="276"/>
        <v/>
      </c>
      <c r="O3337" t="str">
        <f t="shared" si="276"/>
        <v>Plus text remains on screen during gameplay</v>
      </c>
      <c r="P3337" t="str">
        <f t="shared" si="276"/>
        <v/>
      </c>
      <c r="T3337" t="str">
        <f t="shared" si="279"/>
        <v/>
      </c>
      <c r="V3337" t="str">
        <f t="shared" si="274"/>
        <v>MVS</v>
      </c>
      <c r="W3337" t="str">
        <f t="shared" si="274"/>
        <v>MVS</v>
      </c>
      <c r="AG3337" t="s">
        <v>6</v>
      </c>
      <c r="AH3337" t="s">
        <v>157</v>
      </c>
      <c r="AI3337" t="s">
        <v>156</v>
      </c>
      <c r="AJ3337" t="s">
        <v>57</v>
      </c>
      <c r="AK3337" t="s">
        <v>155</v>
      </c>
      <c r="AL3337" t="s">
        <v>154</v>
      </c>
    </row>
    <row r="3338" spans="5:44" x14ac:dyDescent="0.25">
      <c r="I3338" t="str">
        <f t="shared" si="277"/>
        <v>kf2k3pl</v>
      </c>
      <c r="J3338" t="str">
        <f t="shared" si="278"/>
        <v/>
      </c>
      <c r="L3338" t="str">
        <f t="shared" si="276"/>
        <v/>
      </c>
      <c r="M3338" t="str">
        <f t="shared" si="276"/>
        <v/>
      </c>
      <c r="N3338" t="str">
        <f t="shared" si="276"/>
        <v/>
      </c>
      <c r="O3338" t="str">
        <f t="shared" si="276"/>
        <v>Plus text remains on screen during gameplay</v>
      </c>
      <c r="P3338" t="str">
        <f t="shared" si="276"/>
        <v/>
      </c>
      <c r="T3338" t="str">
        <f t="shared" si="279"/>
        <v/>
      </c>
      <c r="V3338" t="str">
        <f t="shared" si="274"/>
        <v>MVS</v>
      </c>
      <c r="W3338" t="str">
        <f t="shared" si="274"/>
        <v>MVS</v>
      </c>
      <c r="AG3338" t="s">
        <v>6</v>
      </c>
      <c r="AH3338" t="s">
        <v>153</v>
      </c>
      <c r="AI3338" t="s">
        <v>152</v>
      </c>
      <c r="AJ3338" t="s">
        <v>57</v>
      </c>
      <c r="AK3338" t="s">
        <v>151</v>
      </c>
      <c r="AL3338" t="s">
        <v>150</v>
      </c>
    </row>
    <row r="3339" spans="5:44" x14ac:dyDescent="0.25">
      <c r="I3339" t="str">
        <f t="shared" si="277"/>
        <v>kf2k3pl</v>
      </c>
      <c r="J3339" t="str">
        <f t="shared" si="278"/>
        <v/>
      </c>
      <c r="L3339" t="str">
        <f t="shared" si="276"/>
        <v/>
      </c>
      <c r="M3339" t="str">
        <f t="shared" si="276"/>
        <v/>
      </c>
      <c r="N3339" t="str">
        <f t="shared" si="276"/>
        <v/>
      </c>
      <c r="O3339" t="str">
        <f t="shared" si="276"/>
        <v>Plus text remains on screen during gameplay</v>
      </c>
      <c r="P3339" t="str">
        <f t="shared" si="276"/>
        <v/>
      </c>
      <c r="T3339" t="str">
        <f t="shared" si="279"/>
        <v/>
      </c>
      <c r="V3339" t="str">
        <f t="shared" si="274"/>
        <v>MVS</v>
      </c>
      <c r="W3339" t="str">
        <f t="shared" si="274"/>
        <v>MVS</v>
      </c>
      <c r="AG3339" t="s">
        <v>6</v>
      </c>
      <c r="AH3339" t="s">
        <v>149</v>
      </c>
      <c r="AI3339" t="s">
        <v>148</v>
      </c>
      <c r="AJ3339" t="s">
        <v>57</v>
      </c>
      <c r="AK3339" t="s">
        <v>147</v>
      </c>
      <c r="AL3339" t="s">
        <v>146</v>
      </c>
    </row>
    <row r="3340" spans="5:44" x14ac:dyDescent="0.25">
      <c r="E3340" t="s">
        <v>197</v>
      </c>
      <c r="F3340" t="s">
        <v>196</v>
      </c>
      <c r="G3340" t="s">
        <v>195</v>
      </c>
      <c r="H3340" t="s">
        <v>194</v>
      </c>
      <c r="I3340" t="str">
        <f t="shared" si="277"/>
        <v>kf2k3upl</v>
      </c>
      <c r="J3340" t="str">
        <f t="shared" si="278"/>
        <v>kf2k3uplcompat_note</v>
      </c>
      <c r="K3340" t="s">
        <v>111</v>
      </c>
      <c r="L3340" t="str">
        <f t="shared" si="276"/>
        <v/>
      </c>
      <c r="M3340" t="str">
        <f t="shared" si="276"/>
        <v/>
      </c>
      <c r="N3340" t="str">
        <f t="shared" si="276"/>
        <v/>
      </c>
      <c r="O3340" t="str">
        <f t="shared" si="276"/>
        <v>Ultra Plus text remains on screen during gameplay</v>
      </c>
      <c r="P3340" t="str">
        <f t="shared" si="276"/>
        <v/>
      </c>
      <c r="Q3340" t="s">
        <v>193</v>
      </c>
      <c r="S3340" t="s">
        <v>46</v>
      </c>
      <c r="T3340" t="str">
        <f t="shared" si="279"/>
        <v>kf2k3uplrelease</v>
      </c>
      <c r="U3340" t="s">
        <v>106</v>
      </c>
      <c r="V3340" t="str">
        <f t="shared" si="274"/>
        <v>MVS</v>
      </c>
      <c r="W3340" t="str">
        <f t="shared" si="274"/>
        <v>MVS</v>
      </c>
      <c r="Y3340" t="s">
        <v>45</v>
      </c>
      <c r="Z3340" t="s">
        <v>44</v>
      </c>
      <c r="AB3340" t="s">
        <v>43</v>
      </c>
      <c r="AC3340" t="s">
        <v>42</v>
      </c>
      <c r="AD3340" t="s">
        <v>41</v>
      </c>
      <c r="AE3340" t="s">
        <v>57</v>
      </c>
      <c r="AG3340" t="s">
        <v>40</v>
      </c>
      <c r="AH3340" t="s">
        <v>192</v>
      </c>
      <c r="AI3340" t="s">
        <v>9</v>
      </c>
      <c r="AJ3340" t="s">
        <v>57</v>
      </c>
      <c r="AK3340" t="s">
        <v>191</v>
      </c>
      <c r="AL3340" t="s">
        <v>190</v>
      </c>
      <c r="AP3340" t="s">
        <v>138</v>
      </c>
      <c r="AQ3340" t="s">
        <v>189</v>
      </c>
      <c r="AR3340" t="s">
        <v>188</v>
      </c>
    </row>
    <row r="3341" spans="5:44" x14ac:dyDescent="0.25">
      <c r="I3341" t="str">
        <f t="shared" si="277"/>
        <v>kf2k3upl</v>
      </c>
      <c r="J3341" t="str">
        <f t="shared" si="278"/>
        <v/>
      </c>
      <c r="L3341" t="str">
        <f t="shared" si="276"/>
        <v/>
      </c>
      <c r="M3341" t="str">
        <f t="shared" si="276"/>
        <v/>
      </c>
      <c r="N3341" t="str">
        <f t="shared" si="276"/>
        <v/>
      </c>
      <c r="O3341" t="str">
        <f t="shared" si="276"/>
        <v>Ultra Plus text remains on screen during gameplay</v>
      </c>
      <c r="P3341" t="str">
        <f t="shared" si="276"/>
        <v/>
      </c>
      <c r="S3341" t="s">
        <v>36</v>
      </c>
      <c r="T3341" t="str">
        <f t="shared" si="279"/>
        <v>kf2k3uplcompatibility</v>
      </c>
      <c r="U3341" t="s">
        <v>106</v>
      </c>
      <c r="V3341" t="str">
        <f t="shared" si="274"/>
        <v>MVS</v>
      </c>
      <c r="W3341" t="str">
        <f t="shared" si="274"/>
        <v>MVS</v>
      </c>
      <c r="AB3341" t="s">
        <v>34</v>
      </c>
      <c r="AE3341" t="s">
        <v>33</v>
      </c>
      <c r="AH3341" t="s">
        <v>187</v>
      </c>
      <c r="AI3341" t="s">
        <v>9</v>
      </c>
      <c r="AJ3341" t="s">
        <v>27</v>
      </c>
      <c r="AK3341" t="s">
        <v>186</v>
      </c>
      <c r="AL3341" t="s">
        <v>185</v>
      </c>
    </row>
    <row r="3342" spans="5:44" x14ac:dyDescent="0.25">
      <c r="I3342" t="str">
        <f t="shared" si="277"/>
        <v>kf2k3upl</v>
      </c>
      <c r="J3342" t="str">
        <f t="shared" si="278"/>
        <v/>
      </c>
      <c r="L3342" t="str">
        <f t="shared" si="276"/>
        <v/>
      </c>
      <c r="M3342" t="str">
        <f t="shared" si="276"/>
        <v/>
      </c>
      <c r="N3342" t="str">
        <f t="shared" si="276"/>
        <v/>
      </c>
      <c r="O3342" t="str">
        <f t="shared" si="276"/>
        <v>Ultra Plus text remains on screen during gameplay</v>
      </c>
      <c r="P3342" t="str">
        <f t="shared" si="276"/>
        <v/>
      </c>
      <c r="T3342" t="str">
        <f t="shared" si="279"/>
        <v/>
      </c>
      <c r="V3342" t="str">
        <f t="shared" si="274"/>
        <v>MVS</v>
      </c>
      <c r="W3342" t="str">
        <f t="shared" si="274"/>
        <v>MVS</v>
      </c>
      <c r="AB3342" t="s">
        <v>29</v>
      </c>
      <c r="AE3342" t="s">
        <v>27</v>
      </c>
      <c r="AH3342" t="s">
        <v>184</v>
      </c>
      <c r="AI3342" t="s">
        <v>9</v>
      </c>
      <c r="AJ3342" t="s">
        <v>27</v>
      </c>
      <c r="AK3342" t="s">
        <v>183</v>
      </c>
      <c r="AL3342" t="s">
        <v>182</v>
      </c>
    </row>
    <row r="3343" spans="5:44" x14ac:dyDescent="0.25">
      <c r="I3343" t="str">
        <f t="shared" si="277"/>
        <v>kf2k3upl</v>
      </c>
      <c r="J3343" t="str">
        <f t="shared" si="278"/>
        <v/>
      </c>
      <c r="L3343" t="str">
        <f t="shared" si="276"/>
        <v/>
      </c>
      <c r="M3343" t="str">
        <f t="shared" si="276"/>
        <v/>
      </c>
      <c r="N3343" t="str">
        <f t="shared" si="276"/>
        <v/>
      </c>
      <c r="O3343" t="str">
        <f t="shared" si="276"/>
        <v>Ultra Plus text remains on screen during gameplay</v>
      </c>
      <c r="P3343" t="str">
        <f t="shared" si="276"/>
        <v/>
      </c>
      <c r="T3343" t="str">
        <f t="shared" si="279"/>
        <v/>
      </c>
      <c r="V3343" t="str">
        <f t="shared" si="274"/>
        <v>MVS</v>
      </c>
      <c r="W3343" t="str">
        <f t="shared" si="274"/>
        <v>MVS</v>
      </c>
      <c r="AB3343" t="s">
        <v>24</v>
      </c>
      <c r="AE3343" t="s">
        <v>65</v>
      </c>
      <c r="AH3343" t="s">
        <v>181</v>
      </c>
      <c r="AI3343" t="s">
        <v>9</v>
      </c>
      <c r="AJ3343" t="s">
        <v>57</v>
      </c>
      <c r="AK3343" t="s">
        <v>180</v>
      </c>
      <c r="AL3343" t="s">
        <v>179</v>
      </c>
    </row>
    <row r="3344" spans="5:44" x14ac:dyDescent="0.25">
      <c r="I3344" t="str">
        <f t="shared" si="277"/>
        <v>kf2k3upl</v>
      </c>
      <c r="J3344" t="str">
        <f t="shared" si="278"/>
        <v/>
      </c>
      <c r="L3344" t="str">
        <f t="shared" si="276"/>
        <v/>
      </c>
      <c r="M3344" t="str">
        <f t="shared" si="276"/>
        <v/>
      </c>
      <c r="N3344" t="str">
        <f t="shared" si="276"/>
        <v/>
      </c>
      <c r="O3344" t="str">
        <f t="shared" si="276"/>
        <v>Ultra Plus text remains on screen during gameplay</v>
      </c>
      <c r="P3344" t="str">
        <f t="shared" si="276"/>
        <v/>
      </c>
      <c r="T3344" t="str">
        <f t="shared" si="279"/>
        <v/>
      </c>
      <c r="V3344" t="str">
        <f t="shared" si="274"/>
        <v>MVS</v>
      </c>
      <c r="W3344" t="str">
        <f t="shared" si="274"/>
        <v>MVS</v>
      </c>
      <c r="AH3344" t="s">
        <v>178</v>
      </c>
      <c r="AI3344" t="s">
        <v>57</v>
      </c>
      <c r="AJ3344" t="s">
        <v>57</v>
      </c>
      <c r="AK3344" t="s">
        <v>177</v>
      </c>
      <c r="AL3344" t="s">
        <v>176</v>
      </c>
    </row>
    <row r="3345" spans="5:45" x14ac:dyDescent="0.25">
      <c r="I3345" t="str">
        <f t="shared" si="277"/>
        <v>kf2k3upl</v>
      </c>
      <c r="J3345" t="str">
        <f t="shared" si="278"/>
        <v/>
      </c>
      <c r="L3345" t="str">
        <f t="shared" si="276"/>
        <v/>
      </c>
      <c r="M3345" t="str">
        <f t="shared" si="276"/>
        <v/>
      </c>
      <c r="N3345" t="str">
        <f t="shared" si="276"/>
        <v/>
      </c>
      <c r="O3345" t="str">
        <f t="shared" si="276"/>
        <v>Ultra Plus text remains on screen during gameplay</v>
      </c>
      <c r="P3345" t="str">
        <f t="shared" si="276"/>
        <v/>
      </c>
      <c r="T3345" t="str">
        <f t="shared" si="279"/>
        <v/>
      </c>
      <c r="V3345" t="str">
        <f t="shared" si="274"/>
        <v>MVS</v>
      </c>
      <c r="W3345" t="str">
        <f t="shared" si="274"/>
        <v>MVS</v>
      </c>
      <c r="AB3345" t="s">
        <v>12</v>
      </c>
      <c r="AE3345" t="s">
        <v>175</v>
      </c>
      <c r="AG3345" t="s">
        <v>6</v>
      </c>
      <c r="AH3345" t="s">
        <v>174</v>
      </c>
      <c r="AI3345" t="s">
        <v>9</v>
      </c>
      <c r="AJ3345" t="s">
        <v>57</v>
      </c>
      <c r="AK3345" t="s">
        <v>173</v>
      </c>
      <c r="AL3345" t="s">
        <v>172</v>
      </c>
    </row>
    <row r="3346" spans="5:45" x14ac:dyDescent="0.25">
      <c r="I3346" t="str">
        <f t="shared" si="277"/>
        <v>kf2k3upl</v>
      </c>
      <c r="J3346" t="str">
        <f t="shared" si="278"/>
        <v/>
      </c>
      <c r="L3346" t="str">
        <f t="shared" si="276"/>
        <v/>
      </c>
      <c r="M3346" t="str">
        <f t="shared" si="276"/>
        <v/>
      </c>
      <c r="N3346" t="str">
        <f t="shared" si="276"/>
        <v/>
      </c>
      <c r="O3346" t="str">
        <f t="shared" si="276"/>
        <v>Ultra Plus text remains on screen during gameplay</v>
      </c>
      <c r="P3346" t="str">
        <f t="shared" si="276"/>
        <v/>
      </c>
      <c r="T3346" t="str">
        <f t="shared" si="279"/>
        <v/>
      </c>
      <c r="V3346" t="str">
        <f t="shared" si="274"/>
        <v>MVS</v>
      </c>
      <c r="W3346" t="str">
        <f t="shared" si="274"/>
        <v>MVS</v>
      </c>
      <c r="AG3346" t="s">
        <v>6</v>
      </c>
      <c r="AH3346" t="s">
        <v>171</v>
      </c>
      <c r="AI3346" t="s">
        <v>4</v>
      </c>
      <c r="AJ3346" t="s">
        <v>57</v>
      </c>
      <c r="AK3346" t="s">
        <v>170</v>
      </c>
      <c r="AL3346" t="s">
        <v>169</v>
      </c>
    </row>
    <row r="3347" spans="5:45" x14ac:dyDescent="0.25">
      <c r="I3347" t="str">
        <f t="shared" si="277"/>
        <v>kf2k3upl</v>
      </c>
      <c r="J3347" t="str">
        <f t="shared" si="278"/>
        <v/>
      </c>
      <c r="L3347" t="str">
        <f t="shared" si="276"/>
        <v/>
      </c>
      <c r="M3347" t="str">
        <f t="shared" si="276"/>
        <v/>
      </c>
      <c r="N3347" t="str">
        <f t="shared" si="276"/>
        <v/>
      </c>
      <c r="O3347" t="str">
        <f t="shared" si="276"/>
        <v>Ultra Plus text remains on screen during gameplay</v>
      </c>
      <c r="P3347" t="str">
        <f t="shared" si="276"/>
        <v/>
      </c>
      <c r="T3347" t="str">
        <f t="shared" si="279"/>
        <v/>
      </c>
      <c r="V3347" t="str">
        <f t="shared" si="274"/>
        <v>MVS</v>
      </c>
      <c r="W3347" t="str">
        <f t="shared" si="274"/>
        <v>MVS</v>
      </c>
      <c r="AG3347" t="s">
        <v>6</v>
      </c>
      <c r="AH3347" t="s">
        <v>168</v>
      </c>
      <c r="AI3347" t="s">
        <v>65</v>
      </c>
      <c r="AJ3347" t="s">
        <v>57</v>
      </c>
      <c r="AK3347" t="s">
        <v>167</v>
      </c>
      <c r="AL3347" t="s">
        <v>166</v>
      </c>
    </row>
    <row r="3348" spans="5:45" x14ac:dyDescent="0.25">
      <c r="I3348" t="str">
        <f t="shared" si="277"/>
        <v>kf2k3upl</v>
      </c>
      <c r="J3348" t="str">
        <f t="shared" si="278"/>
        <v/>
      </c>
      <c r="L3348" t="str">
        <f t="shared" si="276"/>
        <v/>
      </c>
      <c r="M3348" t="str">
        <f t="shared" si="276"/>
        <v/>
      </c>
      <c r="N3348" t="str">
        <f t="shared" si="276"/>
        <v/>
      </c>
      <c r="O3348" t="str">
        <f t="shared" si="276"/>
        <v>Ultra Plus text remains on screen during gameplay</v>
      </c>
      <c r="P3348" t="str">
        <f t="shared" si="276"/>
        <v/>
      </c>
      <c r="T3348" t="str">
        <f t="shared" si="279"/>
        <v/>
      </c>
      <c r="V3348" t="str">
        <f t="shared" si="274"/>
        <v>MVS</v>
      </c>
      <c r="W3348" t="str">
        <f t="shared" si="274"/>
        <v>MVS</v>
      </c>
      <c r="AG3348" t="s">
        <v>6</v>
      </c>
      <c r="AH3348" t="s">
        <v>165</v>
      </c>
      <c r="AI3348" t="s">
        <v>164</v>
      </c>
      <c r="AJ3348" t="s">
        <v>57</v>
      </c>
      <c r="AK3348" t="s">
        <v>163</v>
      </c>
      <c r="AL3348" t="s">
        <v>162</v>
      </c>
    </row>
    <row r="3349" spans="5:45" x14ac:dyDescent="0.25">
      <c r="I3349" t="str">
        <f t="shared" si="277"/>
        <v>kf2k3upl</v>
      </c>
      <c r="J3349" t="str">
        <f t="shared" si="278"/>
        <v/>
      </c>
      <c r="L3349" t="str">
        <f t="shared" si="276"/>
        <v/>
      </c>
      <c r="M3349" t="str">
        <f t="shared" si="276"/>
        <v/>
      </c>
      <c r="N3349" t="str">
        <f t="shared" si="276"/>
        <v/>
      </c>
      <c r="O3349" t="str">
        <f t="shared" si="276"/>
        <v>Ultra Plus text remains on screen during gameplay</v>
      </c>
      <c r="P3349" t="str">
        <f t="shared" si="276"/>
        <v/>
      </c>
      <c r="T3349" t="str">
        <f t="shared" si="279"/>
        <v/>
      </c>
      <c r="V3349" t="str">
        <f t="shared" si="274"/>
        <v>MVS</v>
      </c>
      <c r="W3349" t="str">
        <f t="shared" si="274"/>
        <v>MVS</v>
      </c>
      <c r="AG3349" t="s">
        <v>6</v>
      </c>
      <c r="AH3349" t="s">
        <v>161</v>
      </c>
      <c r="AI3349" t="s">
        <v>160</v>
      </c>
      <c r="AJ3349" t="s">
        <v>57</v>
      </c>
      <c r="AK3349" t="s">
        <v>159</v>
      </c>
      <c r="AL3349" t="s">
        <v>158</v>
      </c>
    </row>
    <row r="3350" spans="5:45" x14ac:dyDescent="0.25">
      <c r="I3350" t="str">
        <f t="shared" si="277"/>
        <v>kf2k3upl</v>
      </c>
      <c r="J3350" t="str">
        <f t="shared" si="278"/>
        <v/>
      </c>
      <c r="L3350" t="str">
        <f t="shared" si="276"/>
        <v/>
      </c>
      <c r="M3350" t="str">
        <f t="shared" si="276"/>
        <v/>
      </c>
      <c r="N3350" t="str">
        <f t="shared" si="276"/>
        <v/>
      </c>
      <c r="O3350" t="str">
        <f t="shared" si="276"/>
        <v>Ultra Plus text remains on screen during gameplay</v>
      </c>
      <c r="P3350" t="str">
        <f t="shared" si="276"/>
        <v/>
      </c>
      <c r="T3350" t="str">
        <f t="shared" si="279"/>
        <v/>
      </c>
      <c r="V3350" t="str">
        <f t="shared" si="274"/>
        <v>MVS</v>
      </c>
      <c r="W3350" t="str">
        <f t="shared" si="274"/>
        <v>MVS</v>
      </c>
      <c r="AG3350" t="s">
        <v>6</v>
      </c>
      <c r="AH3350" t="s">
        <v>157</v>
      </c>
      <c r="AI3350" t="s">
        <v>156</v>
      </c>
      <c r="AJ3350" t="s">
        <v>57</v>
      </c>
      <c r="AK3350" t="s">
        <v>155</v>
      </c>
      <c r="AL3350" t="s">
        <v>154</v>
      </c>
    </row>
    <row r="3351" spans="5:45" x14ac:dyDescent="0.25">
      <c r="I3351" t="str">
        <f t="shared" si="277"/>
        <v>kf2k3upl</v>
      </c>
      <c r="J3351" t="str">
        <f t="shared" si="278"/>
        <v/>
      </c>
      <c r="L3351" t="str">
        <f t="shared" si="276"/>
        <v/>
      </c>
      <c r="M3351" t="str">
        <f t="shared" si="276"/>
        <v/>
      </c>
      <c r="N3351" t="str">
        <f t="shared" si="276"/>
        <v/>
      </c>
      <c r="O3351" t="str">
        <f t="shared" si="276"/>
        <v>Ultra Plus text remains on screen during gameplay</v>
      </c>
      <c r="P3351" t="str">
        <f t="shared" si="276"/>
        <v/>
      </c>
      <c r="T3351" t="str">
        <f t="shared" si="279"/>
        <v/>
      </c>
      <c r="V3351" t="str">
        <f t="shared" ref="V3351:W3386" si="280">IFERROR(VLOOKUP($I3351&amp;V$1,$T:$AA,2,0),"")</f>
        <v>MVS</v>
      </c>
      <c r="W3351" t="str">
        <f t="shared" si="280"/>
        <v>MVS</v>
      </c>
      <c r="AG3351" t="s">
        <v>6</v>
      </c>
      <c r="AH3351" t="s">
        <v>153</v>
      </c>
      <c r="AI3351" t="s">
        <v>152</v>
      </c>
      <c r="AJ3351" t="s">
        <v>57</v>
      </c>
      <c r="AK3351" t="s">
        <v>151</v>
      </c>
      <c r="AL3351" t="s">
        <v>150</v>
      </c>
    </row>
    <row r="3352" spans="5:45" x14ac:dyDescent="0.25">
      <c r="I3352" t="str">
        <f t="shared" si="277"/>
        <v>kf2k3upl</v>
      </c>
      <c r="J3352" t="str">
        <f t="shared" si="278"/>
        <v/>
      </c>
      <c r="L3352" t="str">
        <f t="shared" si="276"/>
        <v/>
      </c>
      <c r="M3352" t="str">
        <f t="shared" si="276"/>
        <v/>
      </c>
      <c r="N3352" t="str">
        <f t="shared" si="276"/>
        <v/>
      </c>
      <c r="O3352" t="str">
        <f t="shared" si="276"/>
        <v>Ultra Plus text remains on screen during gameplay</v>
      </c>
      <c r="P3352" t="str">
        <f t="shared" si="276"/>
        <v/>
      </c>
      <c r="T3352" t="str">
        <f t="shared" si="279"/>
        <v/>
      </c>
      <c r="V3352" t="str">
        <f t="shared" si="280"/>
        <v>MVS</v>
      </c>
      <c r="W3352" t="str">
        <f t="shared" si="280"/>
        <v>MVS</v>
      </c>
      <c r="AG3352" t="s">
        <v>6</v>
      </c>
      <c r="AH3352" t="s">
        <v>149</v>
      </c>
      <c r="AI3352" t="s">
        <v>148</v>
      </c>
      <c r="AJ3352" t="s">
        <v>57</v>
      </c>
      <c r="AK3352" t="s">
        <v>147</v>
      </c>
      <c r="AL3352" t="s">
        <v>146</v>
      </c>
    </row>
    <row r="3353" spans="5:45" x14ac:dyDescent="0.25">
      <c r="E3353" t="s">
        <v>145</v>
      </c>
      <c r="F3353" t="s">
        <v>144</v>
      </c>
      <c r="G3353" t="s">
        <v>143</v>
      </c>
      <c r="H3353" t="s">
        <v>142</v>
      </c>
      <c r="I3353" t="str">
        <f t="shared" si="277"/>
        <v>sbp</v>
      </c>
      <c r="J3353" t="str">
        <f t="shared" si="278"/>
        <v/>
      </c>
      <c r="L3353" t="str">
        <f t="shared" si="276"/>
        <v/>
      </c>
      <c r="M3353" t="str">
        <f t="shared" si="276"/>
        <v/>
      </c>
      <c r="N3353" t="str">
        <f t="shared" si="276"/>
        <v/>
      </c>
      <c r="O3353" t="str">
        <f t="shared" si="276"/>
        <v/>
      </c>
      <c r="P3353" t="str">
        <f t="shared" si="276"/>
        <v/>
      </c>
      <c r="S3353" t="s">
        <v>46</v>
      </c>
      <c r="T3353" t="str">
        <f t="shared" si="279"/>
        <v>sbprelease</v>
      </c>
      <c r="U3353" t="s">
        <v>106</v>
      </c>
      <c r="V3353" t="str">
        <f t="shared" si="280"/>
        <v>MVS</v>
      </c>
      <c r="W3353" t="str">
        <f t="shared" si="280"/>
        <v>MVS</v>
      </c>
      <c r="Y3353" t="s">
        <v>45</v>
      </c>
      <c r="Z3353" t="s">
        <v>44</v>
      </c>
      <c r="AB3353" t="s">
        <v>43</v>
      </c>
      <c r="AC3353" t="s">
        <v>42</v>
      </c>
      <c r="AD3353" t="s">
        <v>41</v>
      </c>
      <c r="AE3353" t="s">
        <v>15</v>
      </c>
      <c r="AG3353" t="s">
        <v>40</v>
      </c>
      <c r="AH3353" t="s">
        <v>141</v>
      </c>
      <c r="AI3353" t="s">
        <v>9</v>
      </c>
      <c r="AJ3353" t="s">
        <v>92</v>
      </c>
      <c r="AK3353" t="s">
        <v>140</v>
      </c>
      <c r="AL3353" t="s">
        <v>139</v>
      </c>
      <c r="AP3353" t="s">
        <v>138</v>
      </c>
      <c r="AQ3353" t="s">
        <v>137</v>
      </c>
      <c r="AS3353" t="s">
        <v>136</v>
      </c>
    </row>
    <row r="3354" spans="5:45" x14ac:dyDescent="0.25">
      <c r="I3354" t="str">
        <f t="shared" si="277"/>
        <v>sbp</v>
      </c>
      <c r="J3354" t="str">
        <f t="shared" si="278"/>
        <v/>
      </c>
      <c r="L3354" t="str">
        <f t="shared" si="276"/>
        <v/>
      </c>
      <c r="M3354" t="str">
        <f t="shared" si="276"/>
        <v/>
      </c>
      <c r="N3354" t="str">
        <f t="shared" si="276"/>
        <v/>
      </c>
      <c r="O3354" t="str">
        <f t="shared" si="276"/>
        <v/>
      </c>
      <c r="P3354" t="str">
        <f t="shared" si="276"/>
        <v/>
      </c>
      <c r="S3354" t="s">
        <v>36</v>
      </c>
      <c r="T3354" t="str">
        <f t="shared" si="279"/>
        <v>sbpcompatibility</v>
      </c>
      <c r="U3354" t="s">
        <v>106</v>
      </c>
      <c r="V3354" t="str">
        <f t="shared" si="280"/>
        <v>MVS</v>
      </c>
      <c r="W3354" t="str">
        <f t="shared" si="280"/>
        <v>MVS</v>
      </c>
      <c r="AB3354" t="s">
        <v>34</v>
      </c>
      <c r="AE3354" t="s">
        <v>135</v>
      </c>
      <c r="AH3354" t="s">
        <v>134</v>
      </c>
      <c r="AI3354" t="s">
        <v>9</v>
      </c>
      <c r="AJ3354" t="s">
        <v>27</v>
      </c>
      <c r="AK3354" t="s">
        <v>133</v>
      </c>
      <c r="AL3354" t="s">
        <v>132</v>
      </c>
    </row>
    <row r="3355" spans="5:45" x14ac:dyDescent="0.25">
      <c r="I3355" t="str">
        <f t="shared" si="277"/>
        <v>sbp</v>
      </c>
      <c r="J3355" t="str">
        <f t="shared" si="278"/>
        <v/>
      </c>
      <c r="L3355" t="str">
        <f t="shared" si="276"/>
        <v/>
      </c>
      <c r="M3355" t="str">
        <f t="shared" si="276"/>
        <v/>
      </c>
      <c r="N3355" t="str">
        <f t="shared" si="276"/>
        <v/>
      </c>
      <c r="O3355" t="str">
        <f t="shared" si="276"/>
        <v/>
      </c>
      <c r="P3355" t="str">
        <f t="shared" si="276"/>
        <v/>
      </c>
      <c r="T3355" t="str">
        <f t="shared" si="279"/>
        <v/>
      </c>
      <c r="V3355" t="str">
        <f t="shared" si="280"/>
        <v>MVS</v>
      </c>
      <c r="W3355" t="str">
        <f t="shared" si="280"/>
        <v>MVS</v>
      </c>
      <c r="AG3355" t="s">
        <v>131</v>
      </c>
      <c r="AJ3355" t="s">
        <v>27</v>
      </c>
    </row>
    <row r="3356" spans="5:45" x14ac:dyDescent="0.25">
      <c r="I3356" t="str">
        <f t="shared" si="277"/>
        <v>sbp</v>
      </c>
      <c r="J3356" t="str">
        <f t="shared" si="278"/>
        <v/>
      </c>
      <c r="L3356" t="str">
        <f t="shared" ref="L3356:P3386" si="281">IFERROR(VLOOKUP($I3356&amp;L$1,$J:$Q,8,0),"")</f>
        <v/>
      </c>
      <c r="M3356" t="str">
        <f t="shared" si="281"/>
        <v/>
      </c>
      <c r="N3356" t="str">
        <f t="shared" si="281"/>
        <v/>
      </c>
      <c r="O3356" t="str">
        <f t="shared" si="281"/>
        <v/>
      </c>
      <c r="P3356" t="str">
        <f t="shared" si="281"/>
        <v/>
      </c>
      <c r="T3356" t="str">
        <f t="shared" si="279"/>
        <v/>
      </c>
      <c r="V3356" t="str">
        <f t="shared" si="280"/>
        <v>MVS</v>
      </c>
      <c r="W3356" t="str">
        <f t="shared" si="280"/>
        <v>MVS</v>
      </c>
      <c r="AG3356" t="s">
        <v>131</v>
      </c>
      <c r="AJ3356" t="s">
        <v>27</v>
      </c>
    </row>
    <row r="3357" spans="5:45" x14ac:dyDescent="0.25">
      <c r="I3357" t="str">
        <f t="shared" si="277"/>
        <v>sbp</v>
      </c>
      <c r="J3357" t="str">
        <f t="shared" si="278"/>
        <v/>
      </c>
      <c r="L3357" t="str">
        <f t="shared" si="281"/>
        <v/>
      </c>
      <c r="M3357" t="str">
        <f t="shared" si="281"/>
        <v/>
      </c>
      <c r="N3357" t="str">
        <f t="shared" si="281"/>
        <v/>
      </c>
      <c r="O3357" t="str">
        <f t="shared" si="281"/>
        <v/>
      </c>
      <c r="P3357" t="str">
        <f t="shared" si="281"/>
        <v/>
      </c>
      <c r="T3357" t="str">
        <f t="shared" si="279"/>
        <v/>
      </c>
      <c r="V3357" t="str">
        <f t="shared" si="280"/>
        <v>MVS</v>
      </c>
      <c r="W3357" t="str">
        <f t="shared" si="280"/>
        <v>MVS</v>
      </c>
      <c r="AG3357" t="s">
        <v>131</v>
      </c>
      <c r="AJ3357" t="s">
        <v>27</v>
      </c>
    </row>
    <row r="3358" spans="5:45" x14ac:dyDescent="0.25">
      <c r="I3358" t="str">
        <f t="shared" si="277"/>
        <v>sbp</v>
      </c>
      <c r="J3358" t="str">
        <f t="shared" si="278"/>
        <v/>
      </c>
      <c r="L3358" t="str">
        <f t="shared" si="281"/>
        <v/>
      </c>
      <c r="M3358" t="str">
        <f t="shared" si="281"/>
        <v/>
      </c>
      <c r="N3358" t="str">
        <f t="shared" si="281"/>
        <v/>
      </c>
      <c r="O3358" t="str">
        <f t="shared" si="281"/>
        <v/>
      </c>
      <c r="P3358" t="str">
        <f t="shared" si="281"/>
        <v/>
      </c>
      <c r="T3358" t="str">
        <f t="shared" si="279"/>
        <v/>
      </c>
      <c r="V3358" t="str">
        <f t="shared" si="280"/>
        <v>MVS</v>
      </c>
      <c r="W3358" t="str">
        <f t="shared" si="280"/>
        <v>MVS</v>
      </c>
      <c r="AB3358" t="s">
        <v>29</v>
      </c>
      <c r="AE3358" t="s">
        <v>92</v>
      </c>
      <c r="AH3358" t="s">
        <v>130</v>
      </c>
      <c r="AI3358" t="s">
        <v>9</v>
      </c>
      <c r="AJ3358" t="s">
        <v>92</v>
      </c>
      <c r="AK3358" t="s">
        <v>129</v>
      </c>
      <c r="AL3358" t="s">
        <v>128</v>
      </c>
    </row>
    <row r="3359" spans="5:45" x14ac:dyDescent="0.25">
      <c r="I3359" t="str">
        <f t="shared" si="277"/>
        <v>sbp</v>
      </c>
      <c r="J3359" t="str">
        <f t="shared" si="278"/>
        <v/>
      </c>
      <c r="L3359" t="str">
        <f t="shared" si="281"/>
        <v/>
      </c>
      <c r="M3359" t="str">
        <f t="shared" si="281"/>
        <v/>
      </c>
      <c r="N3359" t="str">
        <f t="shared" si="281"/>
        <v/>
      </c>
      <c r="O3359" t="str">
        <f t="shared" si="281"/>
        <v/>
      </c>
      <c r="P3359" t="str">
        <f t="shared" si="281"/>
        <v/>
      </c>
      <c r="T3359" t="str">
        <f t="shared" si="279"/>
        <v/>
      </c>
      <c r="V3359" t="str">
        <f t="shared" si="280"/>
        <v>MVS</v>
      </c>
      <c r="W3359" t="str">
        <f t="shared" si="280"/>
        <v>MVS</v>
      </c>
      <c r="AB3359" t="s">
        <v>24</v>
      </c>
      <c r="AE3359" t="s">
        <v>57</v>
      </c>
      <c r="AH3359" t="s">
        <v>127</v>
      </c>
      <c r="AI3359" t="s">
        <v>9</v>
      </c>
      <c r="AJ3359" t="s">
        <v>11</v>
      </c>
      <c r="AK3359" t="s">
        <v>126</v>
      </c>
      <c r="AL3359" t="s">
        <v>125</v>
      </c>
    </row>
    <row r="3360" spans="5:45" x14ac:dyDescent="0.25">
      <c r="I3360" t="str">
        <f t="shared" si="277"/>
        <v>sbp</v>
      </c>
      <c r="J3360" t="str">
        <f t="shared" si="278"/>
        <v/>
      </c>
      <c r="L3360" t="str">
        <f t="shared" si="281"/>
        <v/>
      </c>
      <c r="M3360" t="str">
        <f t="shared" si="281"/>
        <v/>
      </c>
      <c r="N3360" t="str">
        <f t="shared" si="281"/>
        <v/>
      </c>
      <c r="O3360" t="str">
        <f t="shared" si="281"/>
        <v/>
      </c>
      <c r="P3360" t="str">
        <f t="shared" si="281"/>
        <v/>
      </c>
      <c r="T3360" t="str">
        <f t="shared" si="279"/>
        <v/>
      </c>
      <c r="V3360" t="str">
        <f t="shared" si="280"/>
        <v>MVS</v>
      </c>
      <c r="W3360" t="str">
        <f t="shared" si="280"/>
        <v>MVS</v>
      </c>
      <c r="AH3360" t="s">
        <v>124</v>
      </c>
      <c r="AI3360" t="s">
        <v>11</v>
      </c>
      <c r="AJ3360" t="s">
        <v>11</v>
      </c>
      <c r="AK3360" t="s">
        <v>123</v>
      </c>
      <c r="AL3360" t="s">
        <v>122</v>
      </c>
    </row>
    <row r="3361" spans="5:38" x14ac:dyDescent="0.25">
      <c r="I3361" t="str">
        <f t="shared" si="277"/>
        <v>sbp</v>
      </c>
      <c r="J3361" t="str">
        <f t="shared" si="278"/>
        <v/>
      </c>
      <c r="L3361" t="str">
        <f t="shared" si="281"/>
        <v/>
      </c>
      <c r="M3361" t="str">
        <f t="shared" si="281"/>
        <v/>
      </c>
      <c r="N3361" t="str">
        <f t="shared" si="281"/>
        <v/>
      </c>
      <c r="O3361" t="str">
        <f t="shared" si="281"/>
        <v/>
      </c>
      <c r="P3361" t="str">
        <f t="shared" si="281"/>
        <v/>
      </c>
      <c r="T3361" t="str">
        <f t="shared" si="279"/>
        <v/>
      </c>
      <c r="V3361" t="str">
        <f t="shared" si="280"/>
        <v>MVS</v>
      </c>
      <c r="W3361" t="str">
        <f t="shared" si="280"/>
        <v>MVS</v>
      </c>
      <c r="AB3361" t="s">
        <v>12</v>
      </c>
      <c r="AE3361" t="s">
        <v>11</v>
      </c>
      <c r="AG3361" t="s">
        <v>6</v>
      </c>
      <c r="AH3361" t="s">
        <v>121</v>
      </c>
      <c r="AI3361" t="s">
        <v>9</v>
      </c>
      <c r="AJ3361" t="s">
        <v>3</v>
      </c>
      <c r="AK3361" t="s">
        <v>120</v>
      </c>
      <c r="AL3361" t="s">
        <v>119</v>
      </c>
    </row>
    <row r="3362" spans="5:38" x14ac:dyDescent="0.25">
      <c r="I3362" t="str">
        <f t="shared" si="277"/>
        <v>sbp</v>
      </c>
      <c r="J3362" t="str">
        <f t="shared" si="278"/>
        <v/>
      </c>
      <c r="L3362" t="str">
        <f t="shared" si="281"/>
        <v/>
      </c>
      <c r="M3362" t="str">
        <f t="shared" si="281"/>
        <v/>
      </c>
      <c r="N3362" t="str">
        <f t="shared" si="281"/>
        <v/>
      </c>
      <c r="O3362" t="str">
        <f t="shared" si="281"/>
        <v/>
      </c>
      <c r="P3362" t="str">
        <f t="shared" si="281"/>
        <v/>
      </c>
      <c r="T3362" t="str">
        <f t="shared" si="279"/>
        <v/>
      </c>
      <c r="V3362" t="str">
        <f t="shared" si="280"/>
        <v>MVS</v>
      </c>
      <c r="W3362" t="str">
        <f t="shared" si="280"/>
        <v>MVS</v>
      </c>
      <c r="AG3362" t="s">
        <v>6</v>
      </c>
      <c r="AH3362" t="s">
        <v>118</v>
      </c>
      <c r="AI3362" t="s">
        <v>4</v>
      </c>
      <c r="AJ3362" t="s">
        <v>3</v>
      </c>
      <c r="AK3362" t="s">
        <v>117</v>
      </c>
      <c r="AL3362" t="s">
        <v>116</v>
      </c>
    </row>
    <row r="3363" spans="5:38" x14ac:dyDescent="0.25">
      <c r="E3363" t="s">
        <v>115</v>
      </c>
      <c r="F3363" t="s">
        <v>114</v>
      </c>
      <c r="G3363" t="s">
        <v>113</v>
      </c>
      <c r="H3363" t="s">
        <v>112</v>
      </c>
      <c r="I3363" t="str">
        <f t="shared" si="277"/>
        <v>diggerma</v>
      </c>
      <c r="J3363" t="str">
        <f t="shared" si="278"/>
        <v>diggermacompat_note</v>
      </c>
      <c r="K3363" t="s">
        <v>111</v>
      </c>
      <c r="L3363" t="str">
        <f t="shared" si="281"/>
        <v/>
      </c>
      <c r="M3363" t="str">
        <f t="shared" si="281"/>
        <v/>
      </c>
      <c r="N3363" t="str">
        <f t="shared" si="281"/>
        <v/>
      </c>
      <c r="O3363" t="str">
        <f t="shared" si="281"/>
        <v>Missing Title Screen</v>
      </c>
      <c r="P3363" t="str">
        <f t="shared" si="281"/>
        <v/>
      </c>
      <c r="Q3363" t="s">
        <v>110</v>
      </c>
      <c r="S3363" t="s">
        <v>46</v>
      </c>
      <c r="T3363" t="str">
        <f t="shared" si="279"/>
        <v>diggermarelease</v>
      </c>
      <c r="U3363" t="s">
        <v>106</v>
      </c>
      <c r="V3363" t="str">
        <f t="shared" si="280"/>
        <v>MVS</v>
      </c>
      <c r="W3363" t="str">
        <f t="shared" si="280"/>
        <v>MVS</v>
      </c>
      <c r="Y3363" t="s">
        <v>45</v>
      </c>
      <c r="Z3363" t="s">
        <v>44</v>
      </c>
      <c r="AB3363" t="s">
        <v>43</v>
      </c>
      <c r="AC3363" t="s">
        <v>42</v>
      </c>
      <c r="AD3363" t="s">
        <v>41</v>
      </c>
      <c r="AE3363" t="s">
        <v>15</v>
      </c>
      <c r="AG3363" t="s">
        <v>40</v>
      </c>
      <c r="AH3363" t="s">
        <v>109</v>
      </c>
      <c r="AI3363" t="s">
        <v>9</v>
      </c>
      <c r="AJ3363" t="s">
        <v>92</v>
      </c>
      <c r="AK3363" t="s">
        <v>108</v>
      </c>
      <c r="AL3363" t="s">
        <v>107</v>
      </c>
    </row>
    <row r="3364" spans="5:38" x14ac:dyDescent="0.25">
      <c r="I3364" t="str">
        <f t="shared" si="277"/>
        <v>diggerma</v>
      </c>
      <c r="J3364" t="str">
        <f t="shared" si="278"/>
        <v/>
      </c>
      <c r="L3364" t="str">
        <f t="shared" si="281"/>
        <v/>
      </c>
      <c r="M3364" t="str">
        <f t="shared" si="281"/>
        <v/>
      </c>
      <c r="N3364" t="str">
        <f t="shared" si="281"/>
        <v/>
      </c>
      <c r="O3364" t="str">
        <f t="shared" si="281"/>
        <v>Missing Title Screen</v>
      </c>
      <c r="P3364" t="str">
        <f t="shared" si="281"/>
        <v/>
      </c>
      <c r="S3364" t="s">
        <v>36</v>
      </c>
      <c r="T3364" t="str">
        <f t="shared" si="279"/>
        <v>diggermacompatibility</v>
      </c>
      <c r="U3364" t="s">
        <v>106</v>
      </c>
      <c r="V3364" t="str">
        <f t="shared" si="280"/>
        <v>MVS</v>
      </c>
      <c r="W3364" t="str">
        <f t="shared" si="280"/>
        <v>MVS</v>
      </c>
      <c r="AB3364" t="s">
        <v>34</v>
      </c>
      <c r="AE3364" t="s">
        <v>33</v>
      </c>
      <c r="AH3364" t="s">
        <v>105</v>
      </c>
      <c r="AI3364" t="s">
        <v>9</v>
      </c>
      <c r="AJ3364" t="s">
        <v>27</v>
      </c>
      <c r="AK3364" t="s">
        <v>104</v>
      </c>
      <c r="AL3364" t="s">
        <v>103</v>
      </c>
    </row>
    <row r="3365" spans="5:38" x14ac:dyDescent="0.25">
      <c r="I3365" t="str">
        <f t="shared" si="277"/>
        <v>diggerma</v>
      </c>
      <c r="J3365" t="str">
        <f t="shared" si="278"/>
        <v/>
      </c>
      <c r="L3365" t="str">
        <f t="shared" si="281"/>
        <v/>
      </c>
      <c r="M3365" t="str">
        <f t="shared" si="281"/>
        <v/>
      </c>
      <c r="N3365" t="str">
        <f t="shared" si="281"/>
        <v/>
      </c>
      <c r="O3365" t="str">
        <f t="shared" si="281"/>
        <v>Missing Title Screen</v>
      </c>
      <c r="P3365" t="str">
        <f t="shared" si="281"/>
        <v/>
      </c>
      <c r="T3365" t="str">
        <f t="shared" si="279"/>
        <v/>
      </c>
      <c r="V3365" t="str">
        <f t="shared" si="280"/>
        <v>MVS</v>
      </c>
      <c r="W3365" t="str">
        <f t="shared" si="280"/>
        <v>MVS</v>
      </c>
      <c r="AB3365" t="s">
        <v>29</v>
      </c>
      <c r="AE3365" t="s">
        <v>27</v>
      </c>
      <c r="AH3365" t="s">
        <v>102</v>
      </c>
      <c r="AI3365" t="s">
        <v>9</v>
      </c>
      <c r="AJ3365" t="s">
        <v>27</v>
      </c>
      <c r="AK3365" t="s">
        <v>101</v>
      </c>
      <c r="AL3365" t="s">
        <v>100</v>
      </c>
    </row>
    <row r="3366" spans="5:38" x14ac:dyDescent="0.25">
      <c r="I3366" t="str">
        <f t="shared" si="277"/>
        <v>diggerma</v>
      </c>
      <c r="J3366" t="str">
        <f t="shared" si="278"/>
        <v/>
      </c>
      <c r="L3366" t="str">
        <f t="shared" si="281"/>
        <v/>
      </c>
      <c r="M3366" t="str">
        <f t="shared" si="281"/>
        <v/>
      </c>
      <c r="N3366" t="str">
        <f t="shared" si="281"/>
        <v/>
      </c>
      <c r="O3366" t="str">
        <f t="shared" si="281"/>
        <v>Missing Title Screen</v>
      </c>
      <c r="P3366" t="str">
        <f t="shared" si="281"/>
        <v/>
      </c>
      <c r="T3366" t="str">
        <f t="shared" si="279"/>
        <v/>
      </c>
      <c r="V3366" t="str">
        <f t="shared" si="280"/>
        <v>MVS</v>
      </c>
      <c r="W3366" t="str">
        <f t="shared" si="280"/>
        <v>MVS</v>
      </c>
      <c r="AB3366" t="s">
        <v>24</v>
      </c>
      <c r="AE3366" t="s">
        <v>3</v>
      </c>
      <c r="AH3366" t="s">
        <v>99</v>
      </c>
      <c r="AI3366" t="s">
        <v>9</v>
      </c>
      <c r="AJ3366" t="s">
        <v>92</v>
      </c>
      <c r="AK3366" t="s">
        <v>98</v>
      </c>
      <c r="AL3366" t="s">
        <v>97</v>
      </c>
    </row>
    <row r="3367" spans="5:38" x14ac:dyDescent="0.25">
      <c r="I3367" t="str">
        <f t="shared" si="277"/>
        <v>diggerma</v>
      </c>
      <c r="J3367" t="str">
        <f t="shared" si="278"/>
        <v/>
      </c>
      <c r="L3367" t="str">
        <f t="shared" si="281"/>
        <v/>
      </c>
      <c r="M3367" t="str">
        <f t="shared" si="281"/>
        <v/>
      </c>
      <c r="N3367" t="str">
        <f t="shared" si="281"/>
        <v/>
      </c>
      <c r="O3367" t="str">
        <f t="shared" si="281"/>
        <v>Missing Title Screen</v>
      </c>
      <c r="P3367" t="str">
        <f t="shared" si="281"/>
        <v/>
      </c>
      <c r="T3367" t="str">
        <f t="shared" si="279"/>
        <v/>
      </c>
      <c r="V3367" t="str">
        <f t="shared" si="280"/>
        <v>MVS</v>
      </c>
      <c r="W3367" t="str">
        <f t="shared" si="280"/>
        <v>MVS</v>
      </c>
      <c r="AB3367" t="s">
        <v>12</v>
      </c>
      <c r="AE3367" t="s">
        <v>15</v>
      </c>
      <c r="AG3367" t="s">
        <v>6</v>
      </c>
      <c r="AH3367" t="s">
        <v>96</v>
      </c>
      <c r="AI3367" t="s">
        <v>9</v>
      </c>
      <c r="AJ3367" t="s">
        <v>92</v>
      </c>
      <c r="AK3367" t="s">
        <v>95</v>
      </c>
      <c r="AL3367" t="s">
        <v>94</v>
      </c>
    </row>
    <row r="3368" spans="5:38" x14ac:dyDescent="0.25">
      <c r="I3368" t="str">
        <f t="shared" si="277"/>
        <v>diggerma</v>
      </c>
      <c r="J3368" t="str">
        <f t="shared" si="278"/>
        <v/>
      </c>
      <c r="L3368" t="str">
        <f t="shared" si="281"/>
        <v/>
      </c>
      <c r="M3368" t="str">
        <f t="shared" si="281"/>
        <v/>
      </c>
      <c r="N3368" t="str">
        <f t="shared" si="281"/>
        <v/>
      </c>
      <c r="O3368" t="str">
        <f t="shared" si="281"/>
        <v>Missing Title Screen</v>
      </c>
      <c r="P3368" t="str">
        <f t="shared" si="281"/>
        <v/>
      </c>
      <c r="T3368" t="str">
        <f t="shared" si="279"/>
        <v/>
      </c>
      <c r="V3368" t="str">
        <f t="shared" si="280"/>
        <v>MVS</v>
      </c>
      <c r="W3368" t="str">
        <f t="shared" si="280"/>
        <v>MVS</v>
      </c>
      <c r="AG3368" t="s">
        <v>6</v>
      </c>
      <c r="AH3368" t="s">
        <v>93</v>
      </c>
      <c r="AI3368" t="s">
        <v>4</v>
      </c>
      <c r="AJ3368" t="s">
        <v>92</v>
      </c>
      <c r="AK3368" t="s">
        <v>91</v>
      </c>
      <c r="AL3368" t="s">
        <v>90</v>
      </c>
    </row>
    <row r="3369" spans="5:38" x14ac:dyDescent="0.25">
      <c r="E3369" t="s">
        <v>89</v>
      </c>
      <c r="F3369" t="s">
        <v>88</v>
      </c>
      <c r="G3369" t="s">
        <v>87</v>
      </c>
      <c r="H3369" t="s">
        <v>86</v>
      </c>
      <c r="I3369" t="str">
        <f t="shared" si="277"/>
        <v>lasthope</v>
      </c>
      <c r="J3369" t="str">
        <f t="shared" si="278"/>
        <v/>
      </c>
      <c r="L3369" t="str">
        <f t="shared" si="281"/>
        <v/>
      </c>
      <c r="M3369" t="str">
        <f t="shared" si="281"/>
        <v/>
      </c>
      <c r="N3369" t="str">
        <f t="shared" si="281"/>
        <v/>
      </c>
      <c r="O3369" t="str">
        <f t="shared" si="281"/>
        <v/>
      </c>
      <c r="P3369" t="str">
        <f t="shared" si="281"/>
        <v/>
      </c>
      <c r="S3369" t="s">
        <v>46</v>
      </c>
      <c r="T3369" t="str">
        <f t="shared" si="279"/>
        <v>lasthoperelease</v>
      </c>
      <c r="U3369" t="s">
        <v>35</v>
      </c>
      <c r="V3369" t="str">
        <f t="shared" si="280"/>
        <v>AES</v>
      </c>
      <c r="W3369" t="str">
        <f t="shared" si="280"/>
        <v>AES</v>
      </c>
      <c r="Y3369" t="s">
        <v>45</v>
      </c>
      <c r="Z3369" t="s">
        <v>44</v>
      </c>
      <c r="AB3369" t="s">
        <v>43</v>
      </c>
      <c r="AC3369" t="s">
        <v>42</v>
      </c>
      <c r="AD3369" t="s">
        <v>41</v>
      </c>
      <c r="AE3369" t="s">
        <v>15</v>
      </c>
      <c r="AG3369" t="s">
        <v>40</v>
      </c>
      <c r="AH3369" t="s">
        <v>85</v>
      </c>
      <c r="AI3369" t="s">
        <v>9</v>
      </c>
      <c r="AJ3369" t="s">
        <v>15</v>
      </c>
      <c r="AK3369" t="s">
        <v>84</v>
      </c>
      <c r="AL3369" t="s">
        <v>83</v>
      </c>
    </row>
    <row r="3370" spans="5:38" x14ac:dyDescent="0.25">
      <c r="I3370" t="str">
        <f t="shared" si="277"/>
        <v>lasthope</v>
      </c>
      <c r="J3370" t="str">
        <f t="shared" si="278"/>
        <v/>
      </c>
      <c r="L3370" t="str">
        <f t="shared" si="281"/>
        <v/>
      </c>
      <c r="M3370" t="str">
        <f t="shared" si="281"/>
        <v/>
      </c>
      <c r="N3370" t="str">
        <f t="shared" si="281"/>
        <v/>
      </c>
      <c r="O3370" t="str">
        <f t="shared" si="281"/>
        <v/>
      </c>
      <c r="P3370" t="str">
        <f t="shared" si="281"/>
        <v/>
      </c>
      <c r="S3370" t="s">
        <v>36</v>
      </c>
      <c r="T3370" t="str">
        <f t="shared" si="279"/>
        <v>lasthopecompatibility</v>
      </c>
      <c r="U3370" t="s">
        <v>35</v>
      </c>
      <c r="V3370" t="str">
        <f t="shared" si="280"/>
        <v>AES</v>
      </c>
      <c r="W3370" t="str">
        <f t="shared" si="280"/>
        <v>AES</v>
      </c>
      <c r="AB3370" t="s">
        <v>34</v>
      </c>
      <c r="AE3370" t="s">
        <v>33</v>
      </c>
      <c r="AH3370" t="s">
        <v>82</v>
      </c>
      <c r="AI3370" t="s">
        <v>9</v>
      </c>
      <c r="AJ3370" t="s">
        <v>81</v>
      </c>
      <c r="AK3370" t="s">
        <v>80</v>
      </c>
      <c r="AL3370" t="s">
        <v>79</v>
      </c>
    </row>
    <row r="3371" spans="5:38" x14ac:dyDescent="0.25">
      <c r="I3371" t="str">
        <f t="shared" si="277"/>
        <v>lasthope</v>
      </c>
      <c r="J3371" t="str">
        <f t="shared" si="278"/>
        <v/>
      </c>
      <c r="L3371" t="str">
        <f t="shared" si="281"/>
        <v/>
      </c>
      <c r="M3371" t="str">
        <f t="shared" si="281"/>
        <v/>
      </c>
      <c r="N3371" t="str">
        <f t="shared" si="281"/>
        <v/>
      </c>
      <c r="O3371" t="str">
        <f t="shared" si="281"/>
        <v/>
      </c>
      <c r="P3371" t="str">
        <f t="shared" si="281"/>
        <v/>
      </c>
      <c r="T3371" t="str">
        <f t="shared" si="279"/>
        <v/>
      </c>
      <c r="V3371" t="str">
        <f t="shared" si="280"/>
        <v>AES</v>
      </c>
      <c r="W3371" t="str">
        <f t="shared" si="280"/>
        <v>AES</v>
      </c>
      <c r="AB3371" t="s">
        <v>29</v>
      </c>
      <c r="AE3371" t="s">
        <v>27</v>
      </c>
      <c r="AH3371" t="s">
        <v>78</v>
      </c>
      <c r="AI3371" t="s">
        <v>9</v>
      </c>
      <c r="AJ3371" t="s">
        <v>27</v>
      </c>
      <c r="AK3371" t="s">
        <v>77</v>
      </c>
      <c r="AL3371" t="s">
        <v>76</v>
      </c>
    </row>
    <row r="3372" spans="5:38" x14ac:dyDescent="0.25">
      <c r="I3372" t="str">
        <f t="shared" si="277"/>
        <v>lasthope</v>
      </c>
      <c r="J3372" t="str">
        <f t="shared" si="278"/>
        <v/>
      </c>
      <c r="L3372" t="str">
        <f t="shared" si="281"/>
        <v/>
      </c>
      <c r="M3372" t="str">
        <f t="shared" si="281"/>
        <v/>
      </c>
      <c r="N3372" t="str">
        <f t="shared" si="281"/>
        <v/>
      </c>
      <c r="O3372" t="str">
        <f t="shared" si="281"/>
        <v/>
      </c>
      <c r="P3372" t="str">
        <f t="shared" si="281"/>
        <v/>
      </c>
      <c r="T3372" t="str">
        <f t="shared" si="279"/>
        <v/>
      </c>
      <c r="V3372" t="str">
        <f t="shared" si="280"/>
        <v>AES</v>
      </c>
      <c r="W3372" t="str">
        <f t="shared" si="280"/>
        <v>AES</v>
      </c>
      <c r="AB3372" t="s">
        <v>24</v>
      </c>
      <c r="AE3372" t="s">
        <v>75</v>
      </c>
      <c r="AH3372" t="s">
        <v>74</v>
      </c>
      <c r="AI3372" t="s">
        <v>9</v>
      </c>
      <c r="AJ3372" t="s">
        <v>3</v>
      </c>
      <c r="AK3372" t="s">
        <v>73</v>
      </c>
      <c r="AL3372" t="s">
        <v>72</v>
      </c>
    </row>
    <row r="3373" spans="5:38" x14ac:dyDescent="0.25">
      <c r="I3373" t="str">
        <f t="shared" si="277"/>
        <v>lasthope</v>
      </c>
      <c r="J3373" t="str">
        <f t="shared" si="278"/>
        <v/>
      </c>
      <c r="L3373" t="str">
        <f t="shared" si="281"/>
        <v/>
      </c>
      <c r="M3373" t="str">
        <f t="shared" si="281"/>
        <v/>
      </c>
      <c r="N3373" t="str">
        <f t="shared" si="281"/>
        <v/>
      </c>
      <c r="O3373" t="str">
        <f t="shared" si="281"/>
        <v/>
      </c>
      <c r="P3373" t="str">
        <f t="shared" si="281"/>
        <v/>
      </c>
      <c r="T3373" t="str">
        <f t="shared" si="279"/>
        <v/>
      </c>
      <c r="V3373" t="str">
        <f t="shared" si="280"/>
        <v>AES</v>
      </c>
      <c r="W3373" t="str">
        <f t="shared" si="280"/>
        <v>AES</v>
      </c>
      <c r="AH3373" t="s">
        <v>71</v>
      </c>
      <c r="AI3373" t="s">
        <v>3</v>
      </c>
      <c r="AJ3373" t="s">
        <v>3</v>
      </c>
      <c r="AK3373" t="s">
        <v>70</v>
      </c>
      <c r="AL3373" t="s">
        <v>69</v>
      </c>
    </row>
    <row r="3374" spans="5:38" x14ac:dyDescent="0.25">
      <c r="I3374" t="str">
        <f t="shared" si="277"/>
        <v>lasthope</v>
      </c>
      <c r="J3374" t="str">
        <f t="shared" si="278"/>
        <v/>
      </c>
      <c r="L3374" t="str">
        <f t="shared" si="281"/>
        <v/>
      </c>
      <c r="M3374" t="str">
        <f t="shared" si="281"/>
        <v/>
      </c>
      <c r="N3374" t="str">
        <f t="shared" si="281"/>
        <v/>
      </c>
      <c r="O3374" t="str">
        <f t="shared" si="281"/>
        <v/>
      </c>
      <c r="P3374" t="str">
        <f t="shared" si="281"/>
        <v/>
      </c>
      <c r="T3374" t="str">
        <f t="shared" si="279"/>
        <v/>
      </c>
      <c r="V3374" t="str">
        <f t="shared" si="280"/>
        <v>AES</v>
      </c>
      <c r="W3374" t="str">
        <f t="shared" si="280"/>
        <v>AES</v>
      </c>
      <c r="AH3374" t="s">
        <v>68</v>
      </c>
      <c r="AI3374" t="s">
        <v>11</v>
      </c>
      <c r="AJ3374" t="s">
        <v>3</v>
      </c>
      <c r="AK3374" t="s">
        <v>67</v>
      </c>
      <c r="AL3374" t="s">
        <v>66</v>
      </c>
    </row>
    <row r="3375" spans="5:38" x14ac:dyDescent="0.25">
      <c r="I3375" t="str">
        <f t="shared" si="277"/>
        <v>lasthope</v>
      </c>
      <c r="J3375" t="str">
        <f t="shared" si="278"/>
        <v/>
      </c>
      <c r="L3375" t="str">
        <f t="shared" si="281"/>
        <v/>
      </c>
      <c r="M3375" t="str">
        <f t="shared" si="281"/>
        <v/>
      </c>
      <c r="N3375" t="str">
        <f t="shared" si="281"/>
        <v/>
      </c>
      <c r="O3375" t="str">
        <f t="shared" si="281"/>
        <v/>
      </c>
      <c r="P3375" t="str">
        <f t="shared" si="281"/>
        <v/>
      </c>
      <c r="T3375" t="str">
        <f t="shared" si="279"/>
        <v/>
      </c>
      <c r="V3375" t="str">
        <f t="shared" si="280"/>
        <v>AES</v>
      </c>
      <c r="W3375" t="str">
        <f t="shared" si="280"/>
        <v>AES</v>
      </c>
      <c r="AB3375" t="s">
        <v>12</v>
      </c>
      <c r="AE3375" t="s">
        <v>65</v>
      </c>
      <c r="AG3375" t="s">
        <v>6</v>
      </c>
      <c r="AH3375" t="s">
        <v>64</v>
      </c>
      <c r="AI3375" t="s">
        <v>9</v>
      </c>
      <c r="AJ3375" t="s">
        <v>11</v>
      </c>
      <c r="AK3375" t="s">
        <v>63</v>
      </c>
      <c r="AL3375" t="s">
        <v>62</v>
      </c>
    </row>
    <row r="3376" spans="5:38" x14ac:dyDescent="0.25">
      <c r="I3376" t="str">
        <f t="shared" si="277"/>
        <v>lasthope</v>
      </c>
      <c r="J3376" t="str">
        <f t="shared" si="278"/>
        <v/>
      </c>
      <c r="L3376" t="str">
        <f t="shared" si="281"/>
        <v/>
      </c>
      <c r="M3376" t="str">
        <f t="shared" si="281"/>
        <v/>
      </c>
      <c r="N3376" t="str">
        <f t="shared" si="281"/>
        <v/>
      </c>
      <c r="O3376" t="str">
        <f t="shared" si="281"/>
        <v/>
      </c>
      <c r="P3376" t="str">
        <f t="shared" si="281"/>
        <v/>
      </c>
      <c r="T3376" t="str">
        <f t="shared" si="279"/>
        <v/>
      </c>
      <c r="V3376" t="str">
        <f t="shared" si="280"/>
        <v>AES</v>
      </c>
      <c r="W3376" t="str">
        <f t="shared" si="280"/>
        <v>AES</v>
      </c>
      <c r="AG3376" t="s">
        <v>6</v>
      </c>
      <c r="AH3376" t="s">
        <v>61</v>
      </c>
      <c r="AI3376" t="s">
        <v>4</v>
      </c>
      <c r="AJ3376" t="s">
        <v>11</v>
      </c>
      <c r="AK3376" t="s">
        <v>60</v>
      </c>
      <c r="AL3376" t="s">
        <v>59</v>
      </c>
    </row>
    <row r="3377" spans="5:38" x14ac:dyDescent="0.25">
      <c r="I3377" t="str">
        <f t="shared" si="277"/>
        <v>lasthope</v>
      </c>
      <c r="J3377" t="str">
        <f t="shared" si="278"/>
        <v/>
      </c>
      <c r="L3377" t="str">
        <f t="shared" si="281"/>
        <v/>
      </c>
      <c r="M3377" t="str">
        <f t="shared" si="281"/>
        <v/>
      </c>
      <c r="N3377" t="str">
        <f t="shared" si="281"/>
        <v/>
      </c>
      <c r="O3377" t="str">
        <f t="shared" si="281"/>
        <v/>
      </c>
      <c r="P3377" t="str">
        <f t="shared" si="281"/>
        <v/>
      </c>
      <c r="T3377" t="str">
        <f t="shared" si="279"/>
        <v/>
      </c>
      <c r="V3377" t="str">
        <f t="shared" si="280"/>
        <v>AES</v>
      </c>
      <c r="W3377" t="str">
        <f t="shared" si="280"/>
        <v>AES</v>
      </c>
      <c r="AG3377" t="s">
        <v>6</v>
      </c>
      <c r="AH3377" t="s">
        <v>58</v>
      </c>
      <c r="AI3377" t="s">
        <v>57</v>
      </c>
      <c r="AJ3377" t="s">
        <v>11</v>
      </c>
      <c r="AK3377" t="s">
        <v>56</v>
      </c>
      <c r="AL3377" t="s">
        <v>55</v>
      </c>
    </row>
    <row r="3378" spans="5:38" x14ac:dyDescent="0.25">
      <c r="I3378" t="str">
        <f t="shared" si="277"/>
        <v>lasthope</v>
      </c>
      <c r="J3378" t="str">
        <f t="shared" si="278"/>
        <v/>
      </c>
      <c r="L3378" t="str">
        <f t="shared" si="281"/>
        <v/>
      </c>
      <c r="M3378" t="str">
        <f t="shared" si="281"/>
        <v/>
      </c>
      <c r="N3378" t="str">
        <f t="shared" si="281"/>
        <v/>
      </c>
      <c r="O3378" t="str">
        <f t="shared" si="281"/>
        <v/>
      </c>
      <c r="P3378" t="str">
        <f t="shared" si="281"/>
        <v/>
      </c>
      <c r="T3378" t="str">
        <f t="shared" si="279"/>
        <v/>
      </c>
      <c r="V3378" t="str">
        <f t="shared" si="280"/>
        <v>AES</v>
      </c>
      <c r="W3378" t="str">
        <f t="shared" si="280"/>
        <v>AES</v>
      </c>
      <c r="AG3378" t="s">
        <v>6</v>
      </c>
      <c r="AH3378" t="s">
        <v>54</v>
      </c>
      <c r="AI3378" t="s">
        <v>53</v>
      </c>
      <c r="AJ3378" t="s">
        <v>11</v>
      </c>
      <c r="AK3378" t="s">
        <v>52</v>
      </c>
      <c r="AL3378" t="s">
        <v>51</v>
      </c>
    </row>
    <row r="3379" spans="5:38" x14ac:dyDescent="0.25">
      <c r="E3379" t="s">
        <v>50</v>
      </c>
      <c r="F3379" t="s">
        <v>49</v>
      </c>
      <c r="G3379" t="s">
        <v>48</v>
      </c>
      <c r="H3379" t="s">
        <v>47</v>
      </c>
      <c r="I3379" t="str">
        <f t="shared" si="277"/>
        <v>totc</v>
      </c>
      <c r="J3379" t="str">
        <f t="shared" si="278"/>
        <v/>
      </c>
      <c r="L3379" t="str">
        <f t="shared" si="281"/>
        <v/>
      </c>
      <c r="M3379" t="str">
        <f t="shared" si="281"/>
        <v/>
      </c>
      <c r="N3379" t="str">
        <f t="shared" si="281"/>
        <v/>
      </c>
      <c r="O3379" t="str">
        <f t="shared" si="281"/>
        <v/>
      </c>
      <c r="P3379" t="str">
        <f t="shared" si="281"/>
        <v/>
      </c>
      <c r="S3379" t="s">
        <v>46</v>
      </c>
      <c r="T3379" t="str">
        <f t="shared" si="279"/>
        <v>totcrelease</v>
      </c>
      <c r="U3379" t="s">
        <v>35</v>
      </c>
      <c r="V3379" t="str">
        <f t="shared" si="280"/>
        <v>AES</v>
      </c>
      <c r="W3379" t="str">
        <f t="shared" si="280"/>
        <v>AES</v>
      </c>
      <c r="Y3379" t="s">
        <v>45</v>
      </c>
      <c r="Z3379" t="s">
        <v>44</v>
      </c>
      <c r="AB3379" t="s">
        <v>43</v>
      </c>
      <c r="AC3379" t="s">
        <v>42</v>
      </c>
      <c r="AD3379" t="s">
        <v>41</v>
      </c>
      <c r="AE3379" t="s">
        <v>15</v>
      </c>
      <c r="AG3379" t="s">
        <v>40</v>
      </c>
      <c r="AH3379" t="s">
        <v>39</v>
      </c>
      <c r="AI3379" t="s">
        <v>9</v>
      </c>
      <c r="AJ3379" t="s">
        <v>15</v>
      </c>
      <c r="AK3379" t="s">
        <v>38</v>
      </c>
      <c r="AL3379" t="s">
        <v>37</v>
      </c>
    </row>
    <row r="3380" spans="5:38" x14ac:dyDescent="0.25">
      <c r="I3380" t="str">
        <f t="shared" si="277"/>
        <v>totc</v>
      </c>
      <c r="J3380" t="str">
        <f t="shared" si="278"/>
        <v/>
      </c>
      <c r="L3380" t="str">
        <f t="shared" si="281"/>
        <v/>
      </c>
      <c r="M3380" t="str">
        <f t="shared" si="281"/>
        <v/>
      </c>
      <c r="N3380" t="str">
        <f t="shared" si="281"/>
        <v/>
      </c>
      <c r="O3380" t="str">
        <f t="shared" si="281"/>
        <v/>
      </c>
      <c r="P3380" t="str">
        <f t="shared" si="281"/>
        <v/>
      </c>
      <c r="S3380" t="s">
        <v>36</v>
      </c>
      <c r="T3380" t="str">
        <f t="shared" si="279"/>
        <v>totccompatibility</v>
      </c>
      <c r="U3380" t="s">
        <v>35</v>
      </c>
      <c r="V3380" t="str">
        <f t="shared" si="280"/>
        <v>AES</v>
      </c>
      <c r="W3380" t="str">
        <f t="shared" si="280"/>
        <v>AES</v>
      </c>
      <c r="AB3380" t="s">
        <v>34</v>
      </c>
      <c r="AE3380" t="s">
        <v>33</v>
      </c>
      <c r="AH3380" t="s">
        <v>32</v>
      </c>
      <c r="AI3380" t="s">
        <v>9</v>
      </c>
      <c r="AJ3380" t="s">
        <v>27</v>
      </c>
      <c r="AK3380" t="s">
        <v>31</v>
      </c>
      <c r="AL3380" t="s">
        <v>30</v>
      </c>
    </row>
    <row r="3381" spans="5:38" x14ac:dyDescent="0.25">
      <c r="I3381" t="str">
        <f t="shared" si="277"/>
        <v>totc</v>
      </c>
      <c r="J3381" t="str">
        <f t="shared" si="278"/>
        <v/>
      </c>
      <c r="L3381" t="str">
        <f t="shared" si="281"/>
        <v/>
      </c>
      <c r="M3381" t="str">
        <f t="shared" si="281"/>
        <v/>
      </c>
      <c r="N3381" t="str">
        <f t="shared" si="281"/>
        <v/>
      </c>
      <c r="O3381" t="str">
        <f t="shared" si="281"/>
        <v/>
      </c>
      <c r="P3381" t="str">
        <f t="shared" si="281"/>
        <v/>
      </c>
      <c r="T3381" t="str">
        <f t="shared" si="279"/>
        <v/>
      </c>
      <c r="V3381" t="str">
        <f t="shared" si="280"/>
        <v>AES</v>
      </c>
      <c r="W3381" t="str">
        <f t="shared" si="280"/>
        <v>AES</v>
      </c>
      <c r="AB3381" t="s">
        <v>29</v>
      </c>
      <c r="AE3381" t="s">
        <v>27</v>
      </c>
      <c r="AH3381" t="s">
        <v>28</v>
      </c>
      <c r="AI3381" t="s">
        <v>9</v>
      </c>
      <c r="AJ3381" t="s">
        <v>27</v>
      </c>
      <c r="AK3381" t="s">
        <v>26</v>
      </c>
      <c r="AL3381" t="s">
        <v>25</v>
      </c>
    </row>
    <row r="3382" spans="5:38" x14ac:dyDescent="0.25">
      <c r="I3382" t="str">
        <f t="shared" si="277"/>
        <v>totc</v>
      </c>
      <c r="J3382" t="str">
        <f t="shared" si="278"/>
        <v/>
      </c>
      <c r="L3382" t="str">
        <f t="shared" si="281"/>
        <v/>
      </c>
      <c r="M3382" t="str">
        <f t="shared" si="281"/>
        <v/>
      </c>
      <c r="N3382" t="str">
        <f t="shared" si="281"/>
        <v/>
      </c>
      <c r="O3382" t="str">
        <f t="shared" si="281"/>
        <v/>
      </c>
      <c r="P3382" t="str">
        <f t="shared" si="281"/>
        <v/>
      </c>
      <c r="T3382" t="str">
        <f t="shared" si="279"/>
        <v/>
      </c>
      <c r="V3382" t="str">
        <f t="shared" si="280"/>
        <v>AES</v>
      </c>
      <c r="W3382" t="str">
        <f t="shared" si="280"/>
        <v>AES</v>
      </c>
      <c r="AB3382" t="s">
        <v>24</v>
      </c>
      <c r="AE3382" t="s">
        <v>23</v>
      </c>
      <c r="AH3382" t="s">
        <v>22</v>
      </c>
      <c r="AI3382" t="s">
        <v>9</v>
      </c>
      <c r="AJ3382" t="s">
        <v>3</v>
      </c>
      <c r="AK3382" t="s">
        <v>21</v>
      </c>
      <c r="AL3382" t="s">
        <v>20</v>
      </c>
    </row>
    <row r="3383" spans="5:38" x14ac:dyDescent="0.25">
      <c r="I3383" t="str">
        <f t="shared" si="277"/>
        <v>totc</v>
      </c>
      <c r="J3383" t="str">
        <f t="shared" si="278"/>
        <v/>
      </c>
      <c r="L3383" t="str">
        <f t="shared" si="281"/>
        <v/>
      </c>
      <c r="M3383" t="str">
        <f t="shared" si="281"/>
        <v/>
      </c>
      <c r="N3383" t="str">
        <f t="shared" si="281"/>
        <v/>
      </c>
      <c r="O3383" t="str">
        <f t="shared" si="281"/>
        <v/>
      </c>
      <c r="P3383" t="str">
        <f t="shared" si="281"/>
        <v/>
      </c>
      <c r="T3383" t="str">
        <f t="shared" si="279"/>
        <v/>
      </c>
      <c r="V3383" t="str">
        <f t="shared" si="280"/>
        <v>AES</v>
      </c>
      <c r="W3383" t="str">
        <f t="shared" si="280"/>
        <v>AES</v>
      </c>
      <c r="AH3383" t="s">
        <v>19</v>
      </c>
      <c r="AI3383" t="s">
        <v>3</v>
      </c>
      <c r="AJ3383" t="s">
        <v>3</v>
      </c>
      <c r="AK3383" t="s">
        <v>18</v>
      </c>
      <c r="AL3383" t="s">
        <v>17</v>
      </c>
    </row>
    <row r="3384" spans="5:38" x14ac:dyDescent="0.25">
      <c r="I3384" t="str">
        <f t="shared" si="277"/>
        <v>totc</v>
      </c>
      <c r="J3384" t="str">
        <f t="shared" si="278"/>
        <v/>
      </c>
      <c r="L3384" t="str">
        <f t="shared" si="281"/>
        <v/>
      </c>
      <c r="M3384" t="str">
        <f t="shared" si="281"/>
        <v/>
      </c>
      <c r="N3384" t="str">
        <f t="shared" si="281"/>
        <v/>
      </c>
      <c r="O3384" t="str">
        <f t="shared" si="281"/>
        <v/>
      </c>
      <c r="P3384" t="str">
        <f t="shared" si="281"/>
        <v/>
      </c>
      <c r="T3384" t="str">
        <f t="shared" si="279"/>
        <v/>
      </c>
      <c r="V3384" t="str">
        <f t="shared" si="280"/>
        <v>AES</v>
      </c>
      <c r="W3384" t="str">
        <f t="shared" si="280"/>
        <v>AES</v>
      </c>
      <c r="AH3384" t="s">
        <v>16</v>
      </c>
      <c r="AI3384" t="s">
        <v>11</v>
      </c>
      <c r="AJ3384" t="s">
        <v>15</v>
      </c>
      <c r="AK3384" t="s">
        <v>14</v>
      </c>
      <c r="AL3384" t="s">
        <v>13</v>
      </c>
    </row>
    <row r="3385" spans="5:38" x14ac:dyDescent="0.25">
      <c r="I3385" t="str">
        <f t="shared" si="277"/>
        <v>totc</v>
      </c>
      <c r="J3385" t="str">
        <f t="shared" si="278"/>
        <v/>
      </c>
      <c r="L3385" t="str">
        <f t="shared" si="281"/>
        <v/>
      </c>
      <c r="M3385" t="str">
        <f t="shared" si="281"/>
        <v/>
      </c>
      <c r="N3385" t="str">
        <f t="shared" si="281"/>
        <v/>
      </c>
      <c r="O3385" t="str">
        <f t="shared" si="281"/>
        <v/>
      </c>
      <c r="P3385" t="str">
        <f t="shared" si="281"/>
        <v/>
      </c>
      <c r="T3385" t="str">
        <f t="shared" si="279"/>
        <v/>
      </c>
      <c r="V3385" t="str">
        <f t="shared" si="280"/>
        <v>AES</v>
      </c>
      <c r="W3385" t="str">
        <f t="shared" si="280"/>
        <v>AES</v>
      </c>
      <c r="AB3385" t="s">
        <v>12</v>
      </c>
      <c r="AE3385" t="s">
        <v>11</v>
      </c>
      <c r="AG3385" t="s">
        <v>6</v>
      </c>
      <c r="AH3385" t="s">
        <v>10</v>
      </c>
      <c r="AI3385" t="s">
        <v>9</v>
      </c>
      <c r="AJ3385" t="s">
        <v>3</v>
      </c>
      <c r="AK3385" t="s">
        <v>8</v>
      </c>
      <c r="AL3385" t="s">
        <v>7</v>
      </c>
    </row>
    <row r="3386" spans="5:38" x14ac:dyDescent="0.25">
      <c r="I3386" t="str">
        <f t="shared" si="277"/>
        <v>totc</v>
      </c>
      <c r="J3386" t="str">
        <f t="shared" si="278"/>
        <v/>
      </c>
      <c r="L3386" t="str">
        <f t="shared" si="281"/>
        <v/>
      </c>
      <c r="M3386" t="str">
        <f t="shared" si="281"/>
        <v/>
      </c>
      <c r="N3386" t="str">
        <f t="shared" si="281"/>
        <v/>
      </c>
      <c r="O3386" t="str">
        <f t="shared" si="281"/>
        <v/>
      </c>
      <c r="P3386" t="str">
        <f t="shared" si="281"/>
        <v/>
      </c>
      <c r="T3386" t="str">
        <f t="shared" si="279"/>
        <v/>
      </c>
      <c r="V3386" t="str">
        <f t="shared" si="280"/>
        <v>AES</v>
      </c>
      <c r="W3386" t="str">
        <f t="shared" si="280"/>
        <v>AES</v>
      </c>
      <c r="AG3386" t="s">
        <v>6</v>
      </c>
      <c r="AH3386" t="s">
        <v>5</v>
      </c>
      <c r="AI3386" t="s">
        <v>4</v>
      </c>
      <c r="AJ3386" t="s">
        <v>3</v>
      </c>
      <c r="AK3386" t="s">
        <v>2</v>
      </c>
      <c r="AL3386" t="s">
        <v>1</v>
      </c>
    </row>
  </sheetData>
  <autoFilter ref="A1:AS3386" xr:uid="{41E4AD6A-10DB-44C2-A6C7-3AD0F7FA2C1C}"/>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9F7E8E-66A7-434D-80B4-A4EAB306CE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Games-test</vt:lpstr>
      <vt:lpstr>Games</vt:lpstr>
      <vt:lpstr>neo-geo.com</vt:lpstr>
      <vt:lpstr>PivotTable</vt:lpstr>
      <vt:lpstr>hfsdb</vt:lpstr>
      <vt:lpstr>IGDB</vt:lpstr>
      <vt:lpstr>games to add</vt:lpstr>
      <vt:lpstr>FuzzyLookup_AddIn_Undo_Sheet</vt:lpstr>
      <vt:lpstr>credits</vt:lpstr>
      <vt:lpstr>hbmame</vt:lpstr>
      <vt:lpstr>MAME.xml (cleaned)</vt:lpstr>
      <vt:lpstr>MAME.xml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Clement Artaud</dc:creator>
  <cp:lastModifiedBy>Clement Artaud</cp:lastModifiedBy>
  <dcterms:created xsi:type="dcterms:W3CDTF">2022-01-02T21:37:03Z</dcterms:created>
  <dcterms:modified xsi:type="dcterms:W3CDTF">2023-11-04T08:12:12Z</dcterms:modified>
</cp:coreProperties>
</file>